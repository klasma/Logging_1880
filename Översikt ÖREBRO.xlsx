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45973</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45973</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45973</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55197-2023</t>
        </is>
      </c>
      <c r="B8" s="1" t="n">
        <v>45237</v>
      </c>
      <c r="C8" s="1" t="n">
        <v>45973</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13166-2021</t>
        </is>
      </c>
      <c r="B9" s="1" t="n">
        <v>44272</v>
      </c>
      <c r="C9" s="1" t="n">
        <v>45973</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15758-2023</t>
        </is>
      </c>
      <c r="B10" s="1" t="n">
        <v>45021</v>
      </c>
      <c r="C10" s="1" t="n">
        <v>45973</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45973</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5354-2024</t>
        </is>
      </c>
      <c r="B12" s="1" t="n">
        <v>45331</v>
      </c>
      <c r="C12" s="1" t="n">
        <v>45973</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45973</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45973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45973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45973</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45973</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45973</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50096-2023</t>
        </is>
      </c>
      <c r="B19" s="1" t="n">
        <v>45215</v>
      </c>
      <c r="C19" s="1" t="n">
        <v>45973</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45973</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45973</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575-2024</t>
        </is>
      </c>
      <c r="B22" s="1" t="n">
        <v>45299</v>
      </c>
      <c r="C22" s="1" t="n">
        <v>45973</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45973</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45973</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45973</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45973</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45973</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45973</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14956-2025</t>
        </is>
      </c>
      <c r="B29" s="1" t="n">
        <v>45743.58409722222</v>
      </c>
      <c r="C29" s="1" t="n">
        <v>45973</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22577-2024</t>
        </is>
      </c>
      <c r="B30" s="1" t="n">
        <v>45447</v>
      </c>
      <c r="C30" s="1" t="n">
        <v>45973</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45973</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37019-2024</t>
        </is>
      </c>
      <c r="B32" s="1" t="n">
        <v>45539.37905092593</v>
      </c>
      <c r="C32" s="1" t="n">
        <v>45973</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51550-2025</t>
        </is>
      </c>
      <c r="B33" s="1" t="n">
        <v>45950.83359953704</v>
      </c>
      <c r="C33" s="1" t="n">
        <v>45973</v>
      </c>
      <c r="D33" t="inlineStr">
        <is>
          <t>ÖREBRO LÄN</t>
        </is>
      </c>
      <c r="E33" t="inlineStr">
        <is>
          <t>ÖREBRO</t>
        </is>
      </c>
      <c r="F33" t="inlineStr">
        <is>
          <t>Övriga Aktiebolag</t>
        </is>
      </c>
      <c r="G33" t="n">
        <v>5.5</v>
      </c>
      <c r="H33" t="n">
        <v>0</v>
      </c>
      <c r="I33" t="n">
        <v>1</v>
      </c>
      <c r="J33" t="n">
        <v>1</v>
      </c>
      <c r="K33" t="n">
        <v>0</v>
      </c>
      <c r="L33" t="n">
        <v>0</v>
      </c>
      <c r="M33" t="n">
        <v>0</v>
      </c>
      <c r="N33" t="n">
        <v>0</v>
      </c>
      <c r="O33" t="n">
        <v>1</v>
      </c>
      <c r="P33" t="n">
        <v>0</v>
      </c>
      <c r="Q33" t="n">
        <v>2</v>
      </c>
      <c r="R33" s="2" t="inlineStr">
        <is>
          <t>Bryngökbi
Tibast</t>
        </is>
      </c>
      <c r="S33">
        <f>HYPERLINK("https://klasma.github.io/Logging_1880/artfynd/A 51550-2025 artfynd.xlsx", "A 51550-2025")</f>
        <v/>
      </c>
      <c r="T33">
        <f>HYPERLINK("https://klasma.github.io/Logging_1880/kartor/A 51550-2025 karta.png", "A 51550-2025")</f>
        <v/>
      </c>
      <c r="V33">
        <f>HYPERLINK("https://klasma.github.io/Logging_1880/klagomål/A 51550-2025 FSC-klagomål.docx", "A 51550-2025")</f>
        <v/>
      </c>
      <c r="W33">
        <f>HYPERLINK("https://klasma.github.io/Logging_1880/klagomålsmail/A 51550-2025 FSC-klagomål mail.docx", "A 51550-2025")</f>
        <v/>
      </c>
      <c r="X33">
        <f>HYPERLINK("https://klasma.github.io/Logging_1880/tillsyn/A 51550-2025 tillsynsbegäran.docx", "A 51550-2025")</f>
        <v/>
      </c>
      <c r="Y33">
        <f>HYPERLINK("https://klasma.github.io/Logging_1880/tillsynsmail/A 51550-2025 tillsynsbegäran mail.docx", "A 51550-2025")</f>
        <v/>
      </c>
    </row>
    <row r="34" ht="15" customHeight="1">
      <c r="A34" t="inlineStr">
        <is>
          <t>A 7608-2024</t>
        </is>
      </c>
      <c r="B34" s="1" t="n">
        <v>45348</v>
      </c>
      <c r="C34" s="1" t="n">
        <v>45973</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13395-2024</t>
        </is>
      </c>
      <c r="B35" s="1" t="n">
        <v>45387.42296296296</v>
      </c>
      <c r="C35" s="1" t="n">
        <v>45973</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30409-2025</t>
        </is>
      </c>
      <c r="B36" s="1" t="n">
        <v>45827.59738425926</v>
      </c>
      <c r="C36" s="1" t="n">
        <v>45973</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52400-2024</t>
        </is>
      </c>
      <c r="B37" s="1" t="n">
        <v>45609.44461805555</v>
      </c>
      <c r="C37" s="1" t="n">
        <v>45973</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45973</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6926-2021</t>
        </is>
      </c>
      <c r="B39" s="1" t="n">
        <v>44237</v>
      </c>
      <c r="C39" s="1" t="n">
        <v>45973</v>
      </c>
      <c r="D39" t="inlineStr">
        <is>
          <t>ÖREBRO LÄN</t>
        </is>
      </c>
      <c r="E39" t="inlineStr">
        <is>
          <t>ÖREBRO</t>
        </is>
      </c>
      <c r="G39" t="n">
        <v>0.9</v>
      </c>
      <c r="H39" t="n">
        <v>1</v>
      </c>
      <c r="I39" t="n">
        <v>1</v>
      </c>
      <c r="J39" t="n">
        <v>0</v>
      </c>
      <c r="K39" t="n">
        <v>0</v>
      </c>
      <c r="L39" t="n">
        <v>0</v>
      </c>
      <c r="M39" t="n">
        <v>0</v>
      </c>
      <c r="N39" t="n">
        <v>0</v>
      </c>
      <c r="O39" t="n">
        <v>0</v>
      </c>
      <c r="P39" t="n">
        <v>0</v>
      </c>
      <c r="Q39" t="n">
        <v>1</v>
      </c>
      <c r="R39" s="2" t="inlineStr">
        <is>
          <t>Skogsknipprot</t>
        </is>
      </c>
      <c r="S39">
        <f>HYPERLINK("https://klasma.github.io/Logging_1880/artfynd/A 6926-2021 artfynd.xlsx", "A 6926-2021")</f>
        <v/>
      </c>
      <c r="T39">
        <f>HYPERLINK("https://klasma.github.io/Logging_1880/kartor/A 6926-2021 karta.png", "A 6926-2021")</f>
        <v/>
      </c>
      <c r="V39">
        <f>HYPERLINK("https://klasma.github.io/Logging_1880/klagomål/A 6926-2021 FSC-klagomål.docx", "A 6926-2021")</f>
        <v/>
      </c>
      <c r="W39">
        <f>HYPERLINK("https://klasma.github.io/Logging_1880/klagomålsmail/A 6926-2021 FSC-klagomål mail.docx", "A 6926-2021")</f>
        <v/>
      </c>
      <c r="X39">
        <f>HYPERLINK("https://klasma.github.io/Logging_1880/tillsyn/A 6926-2021 tillsynsbegäran.docx", "A 6926-2021")</f>
        <v/>
      </c>
      <c r="Y39">
        <f>HYPERLINK("https://klasma.github.io/Logging_1880/tillsynsmail/A 6926-2021 tillsynsbegäran mail.docx", "A 6926-2021")</f>
        <v/>
      </c>
    </row>
    <row r="40" ht="15" customHeight="1">
      <c r="A40" t="inlineStr">
        <is>
          <t>A 4943-2022</t>
        </is>
      </c>
      <c r="B40" s="1" t="n">
        <v>44593</v>
      </c>
      <c r="C40" s="1" t="n">
        <v>45973</v>
      </c>
      <c r="D40" t="inlineStr">
        <is>
          <t>ÖREBRO LÄN</t>
        </is>
      </c>
      <c r="E40" t="inlineStr">
        <is>
          <t>ÖREBRO</t>
        </is>
      </c>
      <c r="G40" t="n">
        <v>1.1</v>
      </c>
      <c r="H40" t="n">
        <v>0</v>
      </c>
      <c r="I40" t="n">
        <v>0</v>
      </c>
      <c r="J40" t="n">
        <v>1</v>
      </c>
      <c r="K40" t="n">
        <v>0</v>
      </c>
      <c r="L40" t="n">
        <v>0</v>
      </c>
      <c r="M40" t="n">
        <v>0</v>
      </c>
      <c r="N40" t="n">
        <v>0</v>
      </c>
      <c r="O40" t="n">
        <v>1</v>
      </c>
      <c r="P40" t="n">
        <v>0</v>
      </c>
      <c r="Q40" t="n">
        <v>1</v>
      </c>
      <c r="R40" s="2" t="inlineStr">
        <is>
          <t>Skinntagging</t>
        </is>
      </c>
      <c r="S40">
        <f>HYPERLINK("https://klasma.github.io/Logging_1880/artfynd/A 4943-2022 artfynd.xlsx", "A 4943-2022")</f>
        <v/>
      </c>
      <c r="T40">
        <f>HYPERLINK("https://klasma.github.io/Logging_1880/kartor/A 4943-2022 karta.png", "A 4943-2022")</f>
        <v/>
      </c>
      <c r="V40">
        <f>HYPERLINK("https://klasma.github.io/Logging_1880/klagomål/A 4943-2022 FSC-klagomål.docx", "A 4943-2022")</f>
        <v/>
      </c>
      <c r="W40">
        <f>HYPERLINK("https://klasma.github.io/Logging_1880/klagomålsmail/A 4943-2022 FSC-klagomål mail.docx", "A 4943-2022")</f>
        <v/>
      </c>
      <c r="X40">
        <f>HYPERLINK("https://klasma.github.io/Logging_1880/tillsyn/A 4943-2022 tillsynsbegäran.docx", "A 4943-2022")</f>
        <v/>
      </c>
      <c r="Y40">
        <f>HYPERLINK("https://klasma.github.io/Logging_1880/tillsynsmail/A 4943-2022 tillsynsbegäran mail.docx", "A 4943-2022")</f>
        <v/>
      </c>
    </row>
    <row r="41" ht="15" customHeight="1">
      <c r="A41" t="inlineStr">
        <is>
          <t>A 30725-2023</t>
        </is>
      </c>
      <c r="B41" s="1" t="n">
        <v>45112.61451388889</v>
      </c>
      <c r="C41" s="1" t="n">
        <v>45973</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5097-2023</t>
        </is>
      </c>
      <c r="B42" s="1" t="n">
        <v>44958</v>
      </c>
      <c r="C42" s="1" t="n">
        <v>45973</v>
      </c>
      <c r="D42" t="inlineStr">
        <is>
          <t>ÖREBRO LÄN</t>
        </is>
      </c>
      <c r="E42" t="inlineStr">
        <is>
          <t>ÖREBRO</t>
        </is>
      </c>
      <c r="G42" t="n">
        <v>3.6</v>
      </c>
      <c r="H42" t="n">
        <v>1</v>
      </c>
      <c r="I42" t="n">
        <v>0</v>
      </c>
      <c r="J42" t="n">
        <v>0</v>
      </c>
      <c r="K42" t="n">
        <v>0</v>
      </c>
      <c r="L42" t="n">
        <v>0</v>
      </c>
      <c r="M42" t="n">
        <v>0</v>
      </c>
      <c r="N42" t="n">
        <v>0</v>
      </c>
      <c r="O42" t="n">
        <v>0</v>
      </c>
      <c r="P42" t="n">
        <v>0</v>
      </c>
      <c r="Q42" t="n">
        <v>1</v>
      </c>
      <c r="R42" s="2" t="inlineStr">
        <is>
          <t>Grönvit nattviol</t>
        </is>
      </c>
      <c r="S42">
        <f>HYPERLINK("https://klasma.github.io/Logging_1880/artfynd/A 5097-2023 artfynd.xlsx", "A 5097-2023")</f>
        <v/>
      </c>
      <c r="T42">
        <f>HYPERLINK("https://klasma.github.io/Logging_1880/kartor/A 5097-2023 karta.png", "A 5097-2023")</f>
        <v/>
      </c>
      <c r="V42">
        <f>HYPERLINK("https://klasma.github.io/Logging_1880/klagomål/A 5097-2023 FSC-klagomål.docx", "A 5097-2023")</f>
        <v/>
      </c>
      <c r="W42">
        <f>HYPERLINK("https://klasma.github.io/Logging_1880/klagomålsmail/A 5097-2023 FSC-klagomål mail.docx", "A 5097-2023")</f>
        <v/>
      </c>
      <c r="X42">
        <f>HYPERLINK("https://klasma.github.io/Logging_1880/tillsyn/A 5097-2023 tillsynsbegäran.docx", "A 5097-2023")</f>
        <v/>
      </c>
      <c r="Y42">
        <f>HYPERLINK("https://klasma.github.io/Logging_1880/tillsynsmail/A 5097-2023 tillsynsbegäran mail.docx", "A 5097-2023")</f>
        <v/>
      </c>
    </row>
    <row r="43" ht="15" customHeight="1">
      <c r="A43" t="inlineStr">
        <is>
          <t>A 20247-2023</t>
        </is>
      </c>
      <c r="B43" s="1" t="n">
        <v>45055</v>
      </c>
      <c r="C43" s="1" t="n">
        <v>45973</v>
      </c>
      <c r="D43" t="inlineStr">
        <is>
          <t>ÖREBRO LÄN</t>
        </is>
      </c>
      <c r="E43" t="inlineStr">
        <is>
          <t>ÖREBRO</t>
        </is>
      </c>
      <c r="G43" t="n">
        <v>3</v>
      </c>
      <c r="H43" t="n">
        <v>1</v>
      </c>
      <c r="I43" t="n">
        <v>0</v>
      </c>
      <c r="J43" t="n">
        <v>0</v>
      </c>
      <c r="K43" t="n">
        <v>0</v>
      </c>
      <c r="L43" t="n">
        <v>0</v>
      </c>
      <c r="M43" t="n">
        <v>0</v>
      </c>
      <c r="N43" t="n">
        <v>0</v>
      </c>
      <c r="O43" t="n">
        <v>0</v>
      </c>
      <c r="P43" t="n">
        <v>0</v>
      </c>
      <c r="Q43" t="n">
        <v>1</v>
      </c>
      <c r="R43" s="2" t="inlineStr">
        <is>
          <t>Större vattensalamander</t>
        </is>
      </c>
      <c r="S43">
        <f>HYPERLINK("https://klasma.github.io/Logging_1880/artfynd/A 20247-2023 artfynd.xlsx", "A 20247-2023")</f>
        <v/>
      </c>
      <c r="T43">
        <f>HYPERLINK("https://klasma.github.io/Logging_1880/kartor/A 20247-2023 karta.png", "A 20247-2023")</f>
        <v/>
      </c>
      <c r="V43">
        <f>HYPERLINK("https://klasma.github.io/Logging_1880/klagomål/A 20247-2023 FSC-klagomål.docx", "A 20247-2023")</f>
        <v/>
      </c>
      <c r="W43">
        <f>HYPERLINK("https://klasma.github.io/Logging_1880/klagomålsmail/A 20247-2023 FSC-klagomål mail.docx", "A 20247-2023")</f>
        <v/>
      </c>
      <c r="X43">
        <f>HYPERLINK("https://klasma.github.io/Logging_1880/tillsyn/A 20247-2023 tillsynsbegäran.docx", "A 20247-2023")</f>
        <v/>
      </c>
      <c r="Y43">
        <f>HYPERLINK("https://klasma.github.io/Logging_1880/tillsynsmail/A 20247-2023 tillsynsbegäran mail.docx", "A 20247-2023")</f>
        <v/>
      </c>
    </row>
    <row r="44" ht="15" customHeight="1">
      <c r="A44" t="inlineStr">
        <is>
          <t>A 11501-2025</t>
        </is>
      </c>
      <c r="B44" s="1" t="n">
        <v>45726</v>
      </c>
      <c r="C44" s="1" t="n">
        <v>45973</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43332-2022</t>
        </is>
      </c>
      <c r="B45" s="1" t="n">
        <v>44834</v>
      </c>
      <c r="C45" s="1" t="n">
        <v>45973</v>
      </c>
      <c r="D45" t="inlineStr">
        <is>
          <t>ÖREBRO LÄN</t>
        </is>
      </c>
      <c r="E45" t="inlineStr">
        <is>
          <t>ÖREBRO</t>
        </is>
      </c>
      <c r="G45" t="n">
        <v>2.3</v>
      </c>
      <c r="H45" t="n">
        <v>1</v>
      </c>
      <c r="I45" t="n">
        <v>0</v>
      </c>
      <c r="J45" t="n">
        <v>1</v>
      </c>
      <c r="K45" t="n">
        <v>0</v>
      </c>
      <c r="L45" t="n">
        <v>0</v>
      </c>
      <c r="M45" t="n">
        <v>0</v>
      </c>
      <c r="N45" t="n">
        <v>0</v>
      </c>
      <c r="O45" t="n">
        <v>1</v>
      </c>
      <c r="P45" t="n">
        <v>0</v>
      </c>
      <c r="Q45" t="n">
        <v>1</v>
      </c>
      <c r="R45" s="2" t="inlineStr">
        <is>
          <t>Spillkråka</t>
        </is>
      </c>
      <c r="S45">
        <f>HYPERLINK("https://klasma.github.io/Logging_1880/artfynd/A 43332-2022 artfynd.xlsx", "A 43332-2022")</f>
        <v/>
      </c>
      <c r="T45">
        <f>HYPERLINK("https://klasma.github.io/Logging_1880/kartor/A 43332-2022 karta.png", "A 43332-2022")</f>
        <v/>
      </c>
      <c r="V45">
        <f>HYPERLINK("https://klasma.github.io/Logging_1880/klagomål/A 43332-2022 FSC-klagomål.docx", "A 43332-2022")</f>
        <v/>
      </c>
      <c r="W45">
        <f>HYPERLINK("https://klasma.github.io/Logging_1880/klagomålsmail/A 43332-2022 FSC-klagomål mail.docx", "A 43332-2022")</f>
        <v/>
      </c>
      <c r="X45">
        <f>HYPERLINK("https://klasma.github.io/Logging_1880/tillsyn/A 43332-2022 tillsynsbegäran.docx", "A 43332-2022")</f>
        <v/>
      </c>
      <c r="Y45">
        <f>HYPERLINK("https://klasma.github.io/Logging_1880/tillsynsmail/A 43332-2022 tillsynsbegäran mail.docx", "A 43332-2022")</f>
        <v/>
      </c>
      <c r="Z45">
        <f>HYPERLINK("https://klasma.github.io/Logging_1880/fåglar/A 43332-2022 prioriterade fågelarter.docx", "A 43332-2022")</f>
        <v/>
      </c>
    </row>
    <row r="46" ht="15" customHeight="1">
      <c r="A46" t="inlineStr">
        <is>
          <t>A 44744-2024</t>
        </is>
      </c>
      <c r="B46" s="1" t="n">
        <v>45574.59789351852</v>
      </c>
      <c r="C46" s="1" t="n">
        <v>45973</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42636-2023</t>
        </is>
      </c>
      <c r="B47" s="1" t="n">
        <v>45181.49559027778</v>
      </c>
      <c r="C47" s="1" t="n">
        <v>45973</v>
      </c>
      <c r="D47" t="inlineStr">
        <is>
          <t>ÖREBRO LÄN</t>
        </is>
      </c>
      <c r="E47" t="inlineStr">
        <is>
          <t>ÖREBRO</t>
        </is>
      </c>
      <c r="G47" t="n">
        <v>1.7</v>
      </c>
      <c r="H47" t="n">
        <v>0</v>
      </c>
      <c r="I47" t="n">
        <v>0</v>
      </c>
      <c r="J47" t="n">
        <v>1</v>
      </c>
      <c r="K47" t="n">
        <v>0</v>
      </c>
      <c r="L47" t="n">
        <v>0</v>
      </c>
      <c r="M47" t="n">
        <v>0</v>
      </c>
      <c r="N47" t="n">
        <v>0</v>
      </c>
      <c r="O47" t="n">
        <v>1</v>
      </c>
      <c r="P47" t="n">
        <v>0</v>
      </c>
      <c r="Q47" t="n">
        <v>1</v>
      </c>
      <c r="R47" s="2" t="inlineStr">
        <is>
          <t>Igelkott</t>
        </is>
      </c>
      <c r="S47">
        <f>HYPERLINK("https://klasma.github.io/Logging_1880/artfynd/A 42636-2023 artfynd.xlsx", "A 42636-2023")</f>
        <v/>
      </c>
      <c r="T47">
        <f>HYPERLINK("https://klasma.github.io/Logging_1880/kartor/A 42636-2023 karta.png", "A 42636-2023")</f>
        <v/>
      </c>
      <c r="V47">
        <f>HYPERLINK("https://klasma.github.io/Logging_1880/klagomål/A 42636-2023 FSC-klagomål.docx", "A 42636-2023")</f>
        <v/>
      </c>
      <c r="W47">
        <f>HYPERLINK("https://klasma.github.io/Logging_1880/klagomålsmail/A 42636-2023 FSC-klagomål mail.docx", "A 42636-2023")</f>
        <v/>
      </c>
      <c r="X47">
        <f>HYPERLINK("https://klasma.github.io/Logging_1880/tillsyn/A 42636-2023 tillsynsbegäran.docx", "A 42636-2023")</f>
        <v/>
      </c>
      <c r="Y47">
        <f>HYPERLINK("https://klasma.github.io/Logging_1880/tillsynsmail/A 42636-2023 tillsynsbegäran mail.docx", "A 42636-2023")</f>
        <v/>
      </c>
    </row>
    <row r="48" ht="15" customHeight="1">
      <c r="A48" t="inlineStr">
        <is>
          <t>A 4014-2021</t>
        </is>
      </c>
      <c r="B48" s="1" t="n">
        <v>44218</v>
      </c>
      <c r="C48" s="1" t="n">
        <v>45973</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55904-2024</t>
        </is>
      </c>
      <c r="B49" s="1" t="n">
        <v>45623.58190972222</v>
      </c>
      <c r="C49" s="1" t="n">
        <v>45973</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26890-2022</t>
        </is>
      </c>
      <c r="B50" s="1" t="n">
        <v>44740</v>
      </c>
      <c r="C50" s="1" t="n">
        <v>45973</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23998-2025</t>
        </is>
      </c>
      <c r="B51" s="1" t="n">
        <v>45796.42209490741</v>
      </c>
      <c r="C51" s="1" t="n">
        <v>45973</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32105-2023</t>
        </is>
      </c>
      <c r="B52" s="1" t="n">
        <v>45119</v>
      </c>
      <c r="C52" s="1" t="n">
        <v>45973</v>
      </c>
      <c r="D52" t="inlineStr">
        <is>
          <t>ÖREBRO LÄN</t>
        </is>
      </c>
      <c r="E52" t="inlineStr">
        <is>
          <t>ÖREBRO</t>
        </is>
      </c>
      <c r="G52" t="n">
        <v>1.3</v>
      </c>
      <c r="H52" t="n">
        <v>1</v>
      </c>
      <c r="I52" t="n">
        <v>0</v>
      </c>
      <c r="J52" t="n">
        <v>1</v>
      </c>
      <c r="K52" t="n">
        <v>0</v>
      </c>
      <c r="L52" t="n">
        <v>0</v>
      </c>
      <c r="M52" t="n">
        <v>0</v>
      </c>
      <c r="N52" t="n">
        <v>0</v>
      </c>
      <c r="O52" t="n">
        <v>1</v>
      </c>
      <c r="P52" t="n">
        <v>0</v>
      </c>
      <c r="Q52" t="n">
        <v>1</v>
      </c>
      <c r="R52" s="2" t="inlineStr">
        <is>
          <t>Rödvingetrast</t>
        </is>
      </c>
      <c r="S52">
        <f>HYPERLINK("https://klasma.github.io/Logging_1880/artfynd/A 32105-2023 artfynd.xlsx", "A 32105-2023")</f>
        <v/>
      </c>
      <c r="T52">
        <f>HYPERLINK("https://klasma.github.io/Logging_1880/kartor/A 32105-2023 karta.png", "A 32105-2023")</f>
        <v/>
      </c>
      <c r="V52">
        <f>HYPERLINK("https://klasma.github.io/Logging_1880/klagomål/A 32105-2023 FSC-klagomål.docx", "A 32105-2023")</f>
        <v/>
      </c>
      <c r="W52">
        <f>HYPERLINK("https://klasma.github.io/Logging_1880/klagomålsmail/A 32105-2023 FSC-klagomål mail.docx", "A 32105-2023")</f>
        <v/>
      </c>
      <c r="X52">
        <f>HYPERLINK("https://klasma.github.io/Logging_1880/tillsyn/A 32105-2023 tillsynsbegäran.docx", "A 32105-2023")</f>
        <v/>
      </c>
      <c r="Y52">
        <f>HYPERLINK("https://klasma.github.io/Logging_1880/tillsynsmail/A 32105-2023 tillsynsbegäran mail.docx", "A 32105-2023")</f>
        <v/>
      </c>
      <c r="Z52">
        <f>HYPERLINK("https://klasma.github.io/Logging_1880/fåglar/A 32105-2023 prioriterade fågelarter.docx", "A 32105-2023")</f>
        <v/>
      </c>
    </row>
    <row r="53" ht="15" customHeight="1">
      <c r="A53" t="inlineStr">
        <is>
          <t>A 57920-2024</t>
        </is>
      </c>
      <c r="B53" s="1" t="n">
        <v>45631.50894675926</v>
      </c>
      <c r="C53" s="1" t="n">
        <v>45973</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15621-2021</t>
        </is>
      </c>
      <c r="B54" s="1" t="n">
        <v>44285</v>
      </c>
      <c r="C54" s="1" t="n">
        <v>45973</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50499-2025</t>
        </is>
      </c>
      <c r="B55" s="1" t="n">
        <v>45945.41712962963</v>
      </c>
      <c r="C55" s="1" t="n">
        <v>45973</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20032-2023</t>
        </is>
      </c>
      <c r="B56" s="1" t="n">
        <v>45054</v>
      </c>
      <c r="C56" s="1" t="n">
        <v>45973</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2077-2023</t>
        </is>
      </c>
      <c r="B57" s="1" t="n">
        <v>44939</v>
      </c>
      <c r="C57" s="1" t="n">
        <v>45973</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45973</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31695-2024</t>
        </is>
      </c>
      <c r="B59" s="1" t="n">
        <v>45508</v>
      </c>
      <c r="C59" s="1" t="n">
        <v>45973</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22604-2024</t>
        </is>
      </c>
      <c r="B60" s="1" t="n">
        <v>45447</v>
      </c>
      <c r="C60" s="1" t="n">
        <v>45973</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28936-2025</t>
        </is>
      </c>
      <c r="B61" s="1" t="n">
        <v>45820.69287037037</v>
      </c>
      <c r="C61" s="1" t="n">
        <v>45973</v>
      </c>
      <c r="D61" t="inlineStr">
        <is>
          <t>ÖREBRO LÄN</t>
        </is>
      </c>
      <c r="E61" t="inlineStr">
        <is>
          <t>ÖREBRO</t>
        </is>
      </c>
      <c r="G61" t="n">
        <v>0.9</v>
      </c>
      <c r="H61" t="n">
        <v>1</v>
      </c>
      <c r="I61" t="n">
        <v>0</v>
      </c>
      <c r="J61" t="n">
        <v>0</v>
      </c>
      <c r="K61" t="n">
        <v>0</v>
      </c>
      <c r="L61" t="n">
        <v>0</v>
      </c>
      <c r="M61" t="n">
        <v>0</v>
      </c>
      <c r="N61" t="n">
        <v>0</v>
      </c>
      <c r="O61" t="n">
        <v>0</v>
      </c>
      <c r="P61" t="n">
        <v>0</v>
      </c>
      <c r="Q61" t="n">
        <v>1</v>
      </c>
      <c r="R61" s="2" t="inlineStr">
        <is>
          <t>Kungsfågel</t>
        </is>
      </c>
      <c r="S61">
        <f>HYPERLINK("https://klasma.github.io/Logging_1880/artfynd/A 28936-2025 artfynd.xlsx", "A 28936-2025")</f>
        <v/>
      </c>
      <c r="T61">
        <f>HYPERLINK("https://klasma.github.io/Logging_1880/kartor/A 28936-2025 karta.png", "A 28936-2025")</f>
        <v/>
      </c>
      <c r="V61">
        <f>HYPERLINK("https://klasma.github.io/Logging_1880/klagomål/A 28936-2025 FSC-klagomål.docx", "A 28936-2025")</f>
        <v/>
      </c>
      <c r="W61">
        <f>HYPERLINK("https://klasma.github.io/Logging_1880/klagomålsmail/A 28936-2025 FSC-klagomål mail.docx", "A 28936-2025")</f>
        <v/>
      </c>
      <c r="X61">
        <f>HYPERLINK("https://klasma.github.io/Logging_1880/tillsyn/A 28936-2025 tillsynsbegäran.docx", "A 28936-2025")</f>
        <v/>
      </c>
      <c r="Y61">
        <f>HYPERLINK("https://klasma.github.io/Logging_1880/tillsynsmail/A 28936-2025 tillsynsbegäran mail.docx", "A 28936-2025")</f>
        <v/>
      </c>
      <c r="Z61">
        <f>HYPERLINK("https://klasma.github.io/Logging_1880/fåglar/A 28936-2025 prioriterade fågelarter.docx", "A 28936-2025")</f>
        <v/>
      </c>
    </row>
    <row r="62" ht="15" customHeight="1">
      <c r="A62" t="inlineStr">
        <is>
          <t>A 32226-2025</t>
        </is>
      </c>
      <c r="B62" s="1" t="n">
        <v>45835.59478009259</v>
      </c>
      <c r="C62" s="1" t="n">
        <v>45973</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32204-2025</t>
        </is>
      </c>
      <c r="B63" s="1" t="n">
        <v>45835.58074074074</v>
      </c>
      <c r="C63" s="1" t="n">
        <v>45973</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9406-2021</t>
        </is>
      </c>
      <c r="B64" s="1" t="n">
        <v>44251</v>
      </c>
      <c r="C64" s="1" t="n">
        <v>45973</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45973</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45973</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45973</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45973</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45973</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45973</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45973</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45973</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45973</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45973</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45973</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45973</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45973</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45973</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45973</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45973</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13193-2021</t>
        </is>
      </c>
      <c r="B81" s="1" t="n">
        <v>44272.55052083333</v>
      </c>
      <c r="C81" s="1" t="n">
        <v>45973</v>
      </c>
      <c r="D81" t="inlineStr">
        <is>
          <t>ÖREBRO LÄN</t>
        </is>
      </c>
      <c r="E81" t="inlineStr">
        <is>
          <t>ÖREBRO</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45973</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45973</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45973</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45973</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45973</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45973</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45973</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45973</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45973</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45973</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45973</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45973</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67627-2020</t>
        </is>
      </c>
      <c r="B94" s="1" t="n">
        <v>44182</v>
      </c>
      <c r="C94" s="1" t="n">
        <v>45973</v>
      </c>
      <c r="D94" t="inlineStr">
        <is>
          <t>ÖREBRO LÄN</t>
        </is>
      </c>
      <c r="E94" t="inlineStr">
        <is>
          <t>ÖREBRO</t>
        </is>
      </c>
      <c r="G94" t="n">
        <v>1.4</v>
      </c>
      <c r="H94" t="n">
        <v>0</v>
      </c>
      <c r="I94" t="n">
        <v>0</v>
      </c>
      <c r="J94" t="n">
        <v>0</v>
      </c>
      <c r="K94" t="n">
        <v>0</v>
      </c>
      <c r="L94" t="n">
        <v>0</v>
      </c>
      <c r="M94" t="n">
        <v>0</v>
      </c>
      <c r="N94" t="n">
        <v>0</v>
      </c>
      <c r="O94" t="n">
        <v>0</v>
      </c>
      <c r="P94" t="n">
        <v>0</v>
      </c>
      <c r="Q94" t="n">
        <v>0</v>
      </c>
      <c r="R94" s="2" t="inlineStr"/>
    </row>
    <row r="95" ht="15" customHeight="1">
      <c r="A95" t="inlineStr">
        <is>
          <t>A 55012-2022</t>
        </is>
      </c>
      <c r="B95" s="1" t="n">
        <v>44886.52833333334</v>
      </c>
      <c r="C95" s="1" t="n">
        <v>45973</v>
      </c>
      <c r="D95" t="inlineStr">
        <is>
          <t>ÖREBRO LÄN</t>
        </is>
      </c>
      <c r="E95" t="inlineStr">
        <is>
          <t>ÖREBRO</t>
        </is>
      </c>
      <c r="G95" t="n">
        <v>5.1</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45973</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45973</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45973</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45973</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45973</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15571-2021</t>
        </is>
      </c>
      <c r="B101" s="1" t="n">
        <v>44285</v>
      </c>
      <c r="C101" s="1" t="n">
        <v>45973</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4021-2021</t>
        </is>
      </c>
      <c r="B102" s="1" t="n">
        <v>44218</v>
      </c>
      <c r="C102" s="1" t="n">
        <v>45973</v>
      </c>
      <c r="D102" t="inlineStr">
        <is>
          <t>ÖREBRO LÄN</t>
        </is>
      </c>
      <c r="E102" t="inlineStr">
        <is>
          <t>ÖREBRO</t>
        </is>
      </c>
      <c r="G102" t="n">
        <v>5.3</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45973</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45973</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45973</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45973</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45973</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45973</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45973</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45973</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45973</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60150-2020</t>
        </is>
      </c>
      <c r="B112" s="1" t="n">
        <v>44152</v>
      </c>
      <c r="C112" s="1" t="n">
        <v>45973</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45973</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57343-2021</t>
        </is>
      </c>
      <c r="B114" s="1" t="n">
        <v>44482</v>
      </c>
      <c r="C114" s="1" t="n">
        <v>45973</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63247-2021</t>
        </is>
      </c>
      <c r="B115" s="1" t="n">
        <v>44505</v>
      </c>
      <c r="C115" s="1" t="n">
        <v>45973</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26118-2021</t>
        </is>
      </c>
      <c r="B116" s="1" t="n">
        <v>44345</v>
      </c>
      <c r="C116" s="1" t="n">
        <v>45973</v>
      </c>
      <c r="D116" t="inlineStr">
        <is>
          <t>ÖREBRO LÄN</t>
        </is>
      </c>
      <c r="E116" t="inlineStr">
        <is>
          <t>ÖREBRO</t>
        </is>
      </c>
      <c r="G116" t="n">
        <v>2.2</v>
      </c>
      <c r="H116" t="n">
        <v>0</v>
      </c>
      <c r="I116" t="n">
        <v>0</v>
      </c>
      <c r="J116" t="n">
        <v>0</v>
      </c>
      <c r="K116" t="n">
        <v>0</v>
      </c>
      <c r="L116" t="n">
        <v>0</v>
      </c>
      <c r="M116" t="n">
        <v>0</v>
      </c>
      <c r="N116" t="n">
        <v>0</v>
      </c>
      <c r="O116" t="n">
        <v>0</v>
      </c>
      <c r="P116" t="n">
        <v>0</v>
      </c>
      <c r="Q116" t="n">
        <v>0</v>
      </c>
      <c r="R116" s="2" t="inlineStr"/>
    </row>
    <row r="117" ht="15" customHeight="1">
      <c r="A117" t="inlineStr">
        <is>
          <t>A 26119-2021</t>
        </is>
      </c>
      <c r="B117" s="1" t="n">
        <v>44345.33282407407</v>
      </c>
      <c r="C117" s="1" t="n">
        <v>45973</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45973</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45973</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69613-2020</t>
        </is>
      </c>
      <c r="B120" s="1" t="n">
        <v>44195</v>
      </c>
      <c r="C120" s="1" t="n">
        <v>45973</v>
      </c>
      <c r="D120" t="inlineStr">
        <is>
          <t>ÖREBRO LÄN</t>
        </is>
      </c>
      <c r="E120" t="inlineStr">
        <is>
          <t>ÖREBRO</t>
        </is>
      </c>
      <c r="G120" t="n">
        <v>4.7</v>
      </c>
      <c r="H120" t="n">
        <v>0</v>
      </c>
      <c r="I120" t="n">
        <v>0</v>
      </c>
      <c r="J120" t="n">
        <v>0</v>
      </c>
      <c r="K120" t="n">
        <v>0</v>
      </c>
      <c r="L120" t="n">
        <v>0</v>
      </c>
      <c r="M120" t="n">
        <v>0</v>
      </c>
      <c r="N120" t="n">
        <v>0</v>
      </c>
      <c r="O120" t="n">
        <v>0</v>
      </c>
      <c r="P120" t="n">
        <v>0</v>
      </c>
      <c r="Q120" t="n">
        <v>0</v>
      </c>
      <c r="R120" s="2" t="inlineStr"/>
    </row>
    <row r="121" ht="15" customHeight="1">
      <c r="A121" t="inlineStr">
        <is>
          <t>A 19468-2021</t>
        </is>
      </c>
      <c r="B121" s="1" t="n">
        <v>44311</v>
      </c>
      <c r="C121" s="1" t="n">
        <v>45973</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45973</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21567-2022</t>
        </is>
      </c>
      <c r="B123" s="1" t="n">
        <v>44706</v>
      </c>
      <c r="C123" s="1" t="n">
        <v>45973</v>
      </c>
      <c r="D123" t="inlineStr">
        <is>
          <t>ÖREBRO LÄN</t>
        </is>
      </c>
      <c r="E123" t="inlineStr">
        <is>
          <t>ÖREBRO</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9362-2022</t>
        </is>
      </c>
      <c r="B124" s="1" t="n">
        <v>44616.59946759259</v>
      </c>
      <c r="C124" s="1" t="n">
        <v>45973</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16261-2022</t>
        </is>
      </c>
      <c r="B125" s="1" t="n">
        <v>44670</v>
      </c>
      <c r="C125" s="1" t="n">
        <v>45973</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45973</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45973</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45973</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61232-2021</t>
        </is>
      </c>
      <c r="B129" s="1" t="n">
        <v>44498</v>
      </c>
      <c r="C129" s="1" t="n">
        <v>45973</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29490-2022</t>
        </is>
      </c>
      <c r="B130" s="1" t="n">
        <v>44753</v>
      </c>
      <c r="C130" s="1" t="n">
        <v>45973</v>
      </c>
      <c r="D130" t="inlineStr">
        <is>
          <t>ÖREBRO LÄN</t>
        </is>
      </c>
      <c r="E130" t="inlineStr">
        <is>
          <t>ÖREBRO</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37395-2021</t>
        </is>
      </c>
      <c r="B131" s="1" t="n">
        <v>44398</v>
      </c>
      <c r="C131" s="1" t="n">
        <v>45973</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57498-2021</t>
        </is>
      </c>
      <c r="B132" s="1" t="n">
        <v>44483</v>
      </c>
      <c r="C132" s="1" t="n">
        <v>45973</v>
      </c>
      <c r="D132" t="inlineStr">
        <is>
          <t>ÖREBRO LÄN</t>
        </is>
      </c>
      <c r="E132" t="inlineStr">
        <is>
          <t>ÖREBRO</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45973</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45973</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3087-2021</t>
        </is>
      </c>
      <c r="B135" s="1" t="n">
        <v>44216</v>
      </c>
      <c r="C135" s="1" t="n">
        <v>45973</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45973</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45973</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18321-2022</t>
        </is>
      </c>
      <c r="B138" s="1" t="n">
        <v>44685</v>
      </c>
      <c r="C138" s="1" t="n">
        <v>45973</v>
      </c>
      <c r="D138" t="inlineStr">
        <is>
          <t>ÖREBRO LÄN</t>
        </is>
      </c>
      <c r="E138" t="inlineStr">
        <is>
          <t>ÖREBRO</t>
        </is>
      </c>
      <c r="G138" t="n">
        <v>2.1</v>
      </c>
      <c r="H138" t="n">
        <v>0</v>
      </c>
      <c r="I138" t="n">
        <v>0</v>
      </c>
      <c r="J138" t="n">
        <v>0</v>
      </c>
      <c r="K138" t="n">
        <v>0</v>
      </c>
      <c r="L138" t="n">
        <v>0</v>
      </c>
      <c r="M138" t="n">
        <v>0</v>
      </c>
      <c r="N138" t="n">
        <v>0</v>
      </c>
      <c r="O138" t="n">
        <v>0</v>
      </c>
      <c r="P138" t="n">
        <v>0</v>
      </c>
      <c r="Q138" t="n">
        <v>0</v>
      </c>
      <c r="R138" s="2" t="inlineStr"/>
    </row>
    <row r="139" ht="15" customHeight="1">
      <c r="A139" t="inlineStr">
        <is>
          <t>A 41553-2022</t>
        </is>
      </c>
      <c r="B139" s="1" t="n">
        <v>44827.3940625</v>
      </c>
      <c r="C139" s="1" t="n">
        <v>45973</v>
      </c>
      <c r="D139" t="inlineStr">
        <is>
          <t>ÖREBRO LÄN</t>
        </is>
      </c>
      <c r="E139" t="inlineStr">
        <is>
          <t>ÖREBRO</t>
        </is>
      </c>
      <c r="G139" t="n">
        <v>3.7</v>
      </c>
      <c r="H139" t="n">
        <v>0</v>
      </c>
      <c r="I139" t="n">
        <v>0</v>
      </c>
      <c r="J139" t="n">
        <v>0</v>
      </c>
      <c r="K139" t="n">
        <v>0</v>
      </c>
      <c r="L139" t="n">
        <v>0</v>
      </c>
      <c r="M139" t="n">
        <v>0</v>
      </c>
      <c r="N139" t="n">
        <v>0</v>
      </c>
      <c r="O139" t="n">
        <v>0</v>
      </c>
      <c r="P139" t="n">
        <v>0</v>
      </c>
      <c r="Q139" t="n">
        <v>0</v>
      </c>
      <c r="R139" s="2" t="inlineStr"/>
    </row>
    <row r="140" ht="15" customHeight="1">
      <c r="A140" t="inlineStr">
        <is>
          <t>A 14562-2022</t>
        </is>
      </c>
      <c r="B140" s="1" t="n">
        <v>44655</v>
      </c>
      <c r="C140" s="1" t="n">
        <v>45973</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45973</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19458-2022</t>
        </is>
      </c>
      <c r="B142" s="1" t="n">
        <v>44693</v>
      </c>
      <c r="C142" s="1" t="n">
        <v>45973</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45973</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33814-2021</t>
        </is>
      </c>
      <c r="B144" s="1" t="n">
        <v>44378</v>
      </c>
      <c r="C144" s="1" t="n">
        <v>45973</v>
      </c>
      <c r="D144" t="inlineStr">
        <is>
          <t>ÖREBRO LÄN</t>
        </is>
      </c>
      <c r="E144" t="inlineStr">
        <is>
          <t>ÖREBRO</t>
        </is>
      </c>
      <c r="F144" t="inlineStr">
        <is>
          <t>Kommuner</t>
        </is>
      </c>
      <c r="G144" t="n">
        <v>1.2</v>
      </c>
      <c r="H144" t="n">
        <v>0</v>
      </c>
      <c r="I144" t="n">
        <v>0</v>
      </c>
      <c r="J144" t="n">
        <v>0</v>
      </c>
      <c r="K144" t="n">
        <v>0</v>
      </c>
      <c r="L144" t="n">
        <v>0</v>
      </c>
      <c r="M144" t="n">
        <v>0</v>
      </c>
      <c r="N144" t="n">
        <v>0</v>
      </c>
      <c r="O144" t="n">
        <v>0</v>
      </c>
      <c r="P144" t="n">
        <v>0</v>
      </c>
      <c r="Q144" t="n">
        <v>0</v>
      </c>
      <c r="R144" s="2" t="inlineStr"/>
    </row>
    <row r="145" ht="15" customHeight="1">
      <c r="A145" t="inlineStr">
        <is>
          <t>A 16258-2022</t>
        </is>
      </c>
      <c r="B145" s="1" t="n">
        <v>44670</v>
      </c>
      <c r="C145" s="1" t="n">
        <v>45973</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13631-2022</t>
        </is>
      </c>
      <c r="B146" s="1" t="n">
        <v>44648</v>
      </c>
      <c r="C146" s="1" t="n">
        <v>45973</v>
      </c>
      <c r="D146" t="inlineStr">
        <is>
          <t>ÖREBRO LÄN</t>
        </is>
      </c>
      <c r="E146" t="inlineStr">
        <is>
          <t>ÖREBRO</t>
        </is>
      </c>
      <c r="G146" t="n">
        <v>10.4</v>
      </c>
      <c r="H146" t="n">
        <v>0</v>
      </c>
      <c r="I146" t="n">
        <v>0</v>
      </c>
      <c r="J146" t="n">
        <v>0</v>
      </c>
      <c r="K146" t="n">
        <v>0</v>
      </c>
      <c r="L146" t="n">
        <v>0</v>
      </c>
      <c r="M146" t="n">
        <v>0</v>
      </c>
      <c r="N146" t="n">
        <v>0</v>
      </c>
      <c r="O146" t="n">
        <v>0</v>
      </c>
      <c r="P146" t="n">
        <v>0</v>
      </c>
      <c r="Q146" t="n">
        <v>0</v>
      </c>
      <c r="R146" s="2" t="inlineStr"/>
    </row>
    <row r="147" ht="15" customHeight="1">
      <c r="A147" t="inlineStr">
        <is>
          <t>A 7117-2021</t>
        </is>
      </c>
      <c r="B147" s="1" t="n">
        <v>44238</v>
      </c>
      <c r="C147" s="1" t="n">
        <v>45973</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48581-2024</t>
        </is>
      </c>
      <c r="B148" s="1" t="n">
        <v>45593.41642361111</v>
      </c>
      <c r="C148" s="1" t="n">
        <v>45973</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37968-2024</t>
        </is>
      </c>
      <c r="B149" s="1" t="n">
        <v>45544</v>
      </c>
      <c r="C149" s="1" t="n">
        <v>45973</v>
      </c>
      <c r="D149" t="inlineStr">
        <is>
          <t>ÖREBRO LÄN</t>
        </is>
      </c>
      <c r="E149" t="inlineStr">
        <is>
          <t>ÖREBRO</t>
        </is>
      </c>
      <c r="G149" t="n">
        <v>2</v>
      </c>
      <c r="H149" t="n">
        <v>0</v>
      </c>
      <c r="I149" t="n">
        <v>0</v>
      </c>
      <c r="J149" t="n">
        <v>0</v>
      </c>
      <c r="K149" t="n">
        <v>0</v>
      </c>
      <c r="L149" t="n">
        <v>0</v>
      </c>
      <c r="M149" t="n">
        <v>0</v>
      </c>
      <c r="N149" t="n">
        <v>0</v>
      </c>
      <c r="O149" t="n">
        <v>0</v>
      </c>
      <c r="P149" t="n">
        <v>0</v>
      </c>
      <c r="Q149" t="n">
        <v>0</v>
      </c>
      <c r="R149" s="2" t="inlineStr"/>
    </row>
    <row r="150" ht="15" customHeight="1">
      <c r="A150" t="inlineStr">
        <is>
          <t>A 26509-2021</t>
        </is>
      </c>
      <c r="B150" s="1" t="n">
        <v>44348.45107638889</v>
      </c>
      <c r="C150" s="1" t="n">
        <v>45973</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47047-2022</t>
        </is>
      </c>
      <c r="B151" s="1" t="n">
        <v>44852.39063657408</v>
      </c>
      <c r="C151" s="1" t="n">
        <v>45973</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4766-2022</t>
        </is>
      </c>
      <c r="B152" s="1" t="n">
        <v>44592</v>
      </c>
      <c r="C152" s="1" t="n">
        <v>45973</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62651-2020</t>
        </is>
      </c>
      <c r="B153" s="1" t="n">
        <v>44161</v>
      </c>
      <c r="C153" s="1" t="n">
        <v>45973</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31326-2024</t>
        </is>
      </c>
      <c r="B154" s="1" t="n">
        <v>45504.5934375</v>
      </c>
      <c r="C154" s="1" t="n">
        <v>45973</v>
      </c>
      <c r="D154" t="inlineStr">
        <is>
          <t>ÖREBRO LÄN</t>
        </is>
      </c>
      <c r="E154" t="inlineStr">
        <is>
          <t>ÖREBRO</t>
        </is>
      </c>
      <c r="G154" t="n">
        <v>6.4</v>
      </c>
      <c r="H154" t="n">
        <v>0</v>
      </c>
      <c r="I154" t="n">
        <v>0</v>
      </c>
      <c r="J154" t="n">
        <v>0</v>
      </c>
      <c r="K154" t="n">
        <v>0</v>
      </c>
      <c r="L154" t="n">
        <v>0</v>
      </c>
      <c r="M154" t="n">
        <v>0</v>
      </c>
      <c r="N154" t="n">
        <v>0</v>
      </c>
      <c r="O154" t="n">
        <v>0</v>
      </c>
      <c r="P154" t="n">
        <v>0</v>
      </c>
      <c r="Q154" t="n">
        <v>0</v>
      </c>
      <c r="R154" s="2" t="inlineStr"/>
    </row>
    <row r="155" ht="15" customHeight="1">
      <c r="A155" t="inlineStr">
        <is>
          <t>A 21036-2024</t>
        </is>
      </c>
      <c r="B155" s="1" t="n">
        <v>45439.65954861111</v>
      </c>
      <c r="C155" s="1" t="n">
        <v>45973</v>
      </c>
      <c r="D155" t="inlineStr">
        <is>
          <t>ÖREBRO LÄN</t>
        </is>
      </c>
      <c r="E155" t="inlineStr">
        <is>
          <t>ÖREBRO</t>
        </is>
      </c>
      <c r="F155" t="inlineStr">
        <is>
          <t>Övriga Aktiebolag</t>
        </is>
      </c>
      <c r="G155" t="n">
        <v>5.7</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45973</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45973</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5401-2022</t>
        </is>
      </c>
      <c r="B158" s="1" t="n">
        <v>44595</v>
      </c>
      <c r="C158" s="1" t="n">
        <v>45973</v>
      </c>
      <c r="D158" t="inlineStr">
        <is>
          <t>ÖREBRO LÄN</t>
        </is>
      </c>
      <c r="E158" t="inlineStr">
        <is>
          <t>ÖREBRO</t>
        </is>
      </c>
      <c r="G158" t="n">
        <v>2.3</v>
      </c>
      <c r="H158" t="n">
        <v>0</v>
      </c>
      <c r="I158" t="n">
        <v>0</v>
      </c>
      <c r="J158" t="n">
        <v>0</v>
      </c>
      <c r="K158" t="n">
        <v>0</v>
      </c>
      <c r="L158" t="n">
        <v>0</v>
      </c>
      <c r="M158" t="n">
        <v>0</v>
      </c>
      <c r="N158" t="n">
        <v>0</v>
      </c>
      <c r="O158" t="n">
        <v>0</v>
      </c>
      <c r="P158" t="n">
        <v>0</v>
      </c>
      <c r="Q158" t="n">
        <v>0</v>
      </c>
      <c r="R158" s="2" t="inlineStr"/>
    </row>
    <row r="159" ht="15" customHeight="1">
      <c r="A159" t="inlineStr">
        <is>
          <t>A 60311-2020</t>
        </is>
      </c>
      <c r="B159" s="1" t="n">
        <v>44151</v>
      </c>
      <c r="C159" s="1" t="n">
        <v>45973</v>
      </c>
      <c r="D159" t="inlineStr">
        <is>
          <t>ÖREBRO LÄN</t>
        </is>
      </c>
      <c r="E159" t="inlineStr">
        <is>
          <t>ÖREBRO</t>
        </is>
      </c>
      <c r="F159" t="inlineStr">
        <is>
          <t>Kommuner</t>
        </is>
      </c>
      <c r="G159" t="n">
        <v>0.8</v>
      </c>
      <c r="H159" t="n">
        <v>0</v>
      </c>
      <c r="I159" t="n">
        <v>0</v>
      </c>
      <c r="J159" t="n">
        <v>0</v>
      </c>
      <c r="K159" t="n">
        <v>0</v>
      </c>
      <c r="L159" t="n">
        <v>0</v>
      </c>
      <c r="M159" t="n">
        <v>0</v>
      </c>
      <c r="N159" t="n">
        <v>0</v>
      </c>
      <c r="O159" t="n">
        <v>0</v>
      </c>
      <c r="P159" t="n">
        <v>0</v>
      </c>
      <c r="Q159" t="n">
        <v>0</v>
      </c>
      <c r="R159" s="2" t="inlineStr"/>
    </row>
    <row r="160" ht="15" customHeight="1">
      <c r="A160" t="inlineStr">
        <is>
          <t>A 5762-2025</t>
        </is>
      </c>
      <c r="B160" s="1" t="n">
        <v>45694.57181712963</v>
      </c>
      <c r="C160" s="1" t="n">
        <v>45973</v>
      </c>
      <c r="D160" t="inlineStr">
        <is>
          <t>ÖREBRO LÄN</t>
        </is>
      </c>
      <c r="E160" t="inlineStr">
        <is>
          <t>ÖREBRO</t>
        </is>
      </c>
      <c r="F160" t="inlineStr">
        <is>
          <t>Övriga Aktiebolag</t>
        </is>
      </c>
      <c r="G160" t="n">
        <v>1.5</v>
      </c>
      <c r="H160" t="n">
        <v>0</v>
      </c>
      <c r="I160" t="n">
        <v>0</v>
      </c>
      <c r="J160" t="n">
        <v>0</v>
      </c>
      <c r="K160" t="n">
        <v>0</v>
      </c>
      <c r="L160" t="n">
        <v>0</v>
      </c>
      <c r="M160" t="n">
        <v>0</v>
      </c>
      <c r="N160" t="n">
        <v>0</v>
      </c>
      <c r="O160" t="n">
        <v>0</v>
      </c>
      <c r="P160" t="n">
        <v>0</v>
      </c>
      <c r="Q160" t="n">
        <v>0</v>
      </c>
      <c r="R160" s="2" t="inlineStr"/>
    </row>
    <row r="161" ht="15" customHeight="1">
      <c r="A161" t="inlineStr">
        <is>
          <t>A 16739-2023</t>
        </is>
      </c>
      <c r="B161" s="1" t="n">
        <v>45030.72627314815</v>
      </c>
      <c r="C161" s="1" t="n">
        <v>45973</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19978-2025</t>
        </is>
      </c>
      <c r="B162" s="1" t="n">
        <v>45771.7062037037</v>
      </c>
      <c r="C162" s="1" t="n">
        <v>45973</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2771-2023</t>
        </is>
      </c>
      <c r="B163" s="1" t="n">
        <v>44944.64704861111</v>
      </c>
      <c r="C163" s="1" t="n">
        <v>45973</v>
      </c>
      <c r="D163" t="inlineStr">
        <is>
          <t>ÖREBRO LÄN</t>
        </is>
      </c>
      <c r="E163" t="inlineStr">
        <is>
          <t>ÖREBRO</t>
        </is>
      </c>
      <c r="G163" t="n">
        <v>15.4</v>
      </c>
      <c r="H163" t="n">
        <v>0</v>
      </c>
      <c r="I163" t="n">
        <v>0</v>
      </c>
      <c r="J163" t="n">
        <v>0</v>
      </c>
      <c r="K163" t="n">
        <v>0</v>
      </c>
      <c r="L163" t="n">
        <v>0</v>
      </c>
      <c r="M163" t="n">
        <v>0</v>
      </c>
      <c r="N163" t="n">
        <v>0</v>
      </c>
      <c r="O163" t="n">
        <v>0</v>
      </c>
      <c r="P163" t="n">
        <v>0</v>
      </c>
      <c r="Q163" t="n">
        <v>0</v>
      </c>
      <c r="R163" s="2" t="inlineStr"/>
    </row>
    <row r="164" ht="15" customHeight="1">
      <c r="A164" t="inlineStr">
        <is>
          <t>A 19831-2021</t>
        </is>
      </c>
      <c r="B164" s="1" t="n">
        <v>44313</v>
      </c>
      <c r="C164" s="1" t="n">
        <v>45973</v>
      </c>
      <c r="D164" t="inlineStr">
        <is>
          <t>ÖREBRO LÄN</t>
        </is>
      </c>
      <c r="E164" t="inlineStr">
        <is>
          <t>ÖREBRO</t>
        </is>
      </c>
      <c r="G164" t="n">
        <v>3.2</v>
      </c>
      <c r="H164" t="n">
        <v>0</v>
      </c>
      <c r="I164" t="n">
        <v>0</v>
      </c>
      <c r="J164" t="n">
        <v>0</v>
      </c>
      <c r="K164" t="n">
        <v>0</v>
      </c>
      <c r="L164" t="n">
        <v>0</v>
      </c>
      <c r="M164" t="n">
        <v>0</v>
      </c>
      <c r="N164" t="n">
        <v>0</v>
      </c>
      <c r="O164" t="n">
        <v>0</v>
      </c>
      <c r="P164" t="n">
        <v>0</v>
      </c>
      <c r="Q164" t="n">
        <v>0</v>
      </c>
      <c r="R164" s="2" t="inlineStr"/>
    </row>
    <row r="165" ht="15" customHeight="1">
      <c r="A165" t="inlineStr">
        <is>
          <t>A 5357-2024</t>
        </is>
      </c>
      <c r="B165" s="1" t="n">
        <v>45331</v>
      </c>
      <c r="C165" s="1" t="n">
        <v>45973</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12017-2024</t>
        </is>
      </c>
      <c r="B166" s="1" t="n">
        <v>45377</v>
      </c>
      <c r="C166" s="1" t="n">
        <v>45973</v>
      </c>
      <c r="D166" t="inlineStr">
        <is>
          <t>ÖREBRO LÄN</t>
        </is>
      </c>
      <c r="E166" t="inlineStr">
        <is>
          <t>ÖREBRO</t>
        </is>
      </c>
      <c r="G166" t="n">
        <v>1.8</v>
      </c>
      <c r="H166" t="n">
        <v>0</v>
      </c>
      <c r="I166" t="n">
        <v>0</v>
      </c>
      <c r="J166" t="n">
        <v>0</v>
      </c>
      <c r="K166" t="n">
        <v>0</v>
      </c>
      <c r="L166" t="n">
        <v>0</v>
      </c>
      <c r="M166" t="n">
        <v>0</v>
      </c>
      <c r="N166" t="n">
        <v>0</v>
      </c>
      <c r="O166" t="n">
        <v>0</v>
      </c>
      <c r="P166" t="n">
        <v>0</v>
      </c>
      <c r="Q166" t="n">
        <v>0</v>
      </c>
      <c r="R166" s="2" t="inlineStr"/>
    </row>
    <row r="167" ht="15" customHeight="1">
      <c r="A167" t="inlineStr">
        <is>
          <t>A 22045-2024</t>
        </is>
      </c>
      <c r="B167" s="1" t="n">
        <v>45443.61171296296</v>
      </c>
      <c r="C167" s="1" t="n">
        <v>45973</v>
      </c>
      <c r="D167" t="inlineStr">
        <is>
          <t>ÖREBRO LÄN</t>
        </is>
      </c>
      <c r="E167" t="inlineStr">
        <is>
          <t>ÖREBRO</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15354-2024</t>
        </is>
      </c>
      <c r="B168" s="1" t="n">
        <v>45400.85319444445</v>
      </c>
      <c r="C168" s="1" t="n">
        <v>45973</v>
      </c>
      <c r="D168" t="inlineStr">
        <is>
          <t>ÖREBRO LÄN</t>
        </is>
      </c>
      <c r="E168" t="inlineStr">
        <is>
          <t>ÖREBRO</t>
        </is>
      </c>
      <c r="G168" t="n">
        <v>0.7</v>
      </c>
      <c r="H168" t="n">
        <v>0</v>
      </c>
      <c r="I168" t="n">
        <v>0</v>
      </c>
      <c r="J168" t="n">
        <v>0</v>
      </c>
      <c r="K168" t="n">
        <v>0</v>
      </c>
      <c r="L168" t="n">
        <v>0</v>
      </c>
      <c r="M168" t="n">
        <v>0</v>
      </c>
      <c r="N168" t="n">
        <v>0</v>
      </c>
      <c r="O168" t="n">
        <v>0</v>
      </c>
      <c r="P168" t="n">
        <v>0</v>
      </c>
      <c r="Q168" t="n">
        <v>0</v>
      </c>
      <c r="R168" s="2" t="inlineStr"/>
    </row>
    <row r="169" ht="15" customHeight="1">
      <c r="A169" t="inlineStr">
        <is>
          <t>A 11067-2025</t>
        </is>
      </c>
      <c r="B169" s="1" t="n">
        <v>45723</v>
      </c>
      <c r="C169" s="1" t="n">
        <v>45973</v>
      </c>
      <c r="D169" t="inlineStr">
        <is>
          <t>ÖREBRO LÄN</t>
        </is>
      </c>
      <c r="E169" t="inlineStr">
        <is>
          <t>ÖREBRO</t>
        </is>
      </c>
      <c r="G169" t="n">
        <v>3.1</v>
      </c>
      <c r="H169" t="n">
        <v>0</v>
      </c>
      <c r="I169" t="n">
        <v>0</v>
      </c>
      <c r="J169" t="n">
        <v>0</v>
      </c>
      <c r="K169" t="n">
        <v>0</v>
      </c>
      <c r="L169" t="n">
        <v>0</v>
      </c>
      <c r="M169" t="n">
        <v>0</v>
      </c>
      <c r="N169" t="n">
        <v>0</v>
      </c>
      <c r="O169" t="n">
        <v>0</v>
      </c>
      <c r="P169" t="n">
        <v>0</v>
      </c>
      <c r="Q169" t="n">
        <v>0</v>
      </c>
      <c r="R169" s="2" t="inlineStr"/>
    </row>
    <row r="170" ht="15" customHeight="1">
      <c r="A170" t="inlineStr">
        <is>
          <t>A 56077-2022</t>
        </is>
      </c>
      <c r="B170" s="1" t="n">
        <v>44889.60872685185</v>
      </c>
      <c r="C170" s="1" t="n">
        <v>45973</v>
      </c>
      <c r="D170" t="inlineStr">
        <is>
          <t>ÖREBRO LÄN</t>
        </is>
      </c>
      <c r="E170" t="inlineStr">
        <is>
          <t>ÖREBRO</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9585-2025</t>
        </is>
      </c>
      <c r="B171" s="1" t="n">
        <v>45715.63409722222</v>
      </c>
      <c r="C171" s="1" t="n">
        <v>45973</v>
      </c>
      <c r="D171" t="inlineStr">
        <is>
          <t>ÖREBRO LÄN</t>
        </is>
      </c>
      <c r="E171" t="inlineStr">
        <is>
          <t>ÖREBRO</t>
        </is>
      </c>
      <c r="G171" t="n">
        <v>3.4</v>
      </c>
      <c r="H171" t="n">
        <v>0</v>
      </c>
      <c r="I171" t="n">
        <v>0</v>
      </c>
      <c r="J171" t="n">
        <v>0</v>
      </c>
      <c r="K171" t="n">
        <v>0</v>
      </c>
      <c r="L171" t="n">
        <v>0</v>
      </c>
      <c r="M171" t="n">
        <v>0</v>
      </c>
      <c r="N171" t="n">
        <v>0</v>
      </c>
      <c r="O171" t="n">
        <v>0</v>
      </c>
      <c r="P171" t="n">
        <v>0</v>
      </c>
      <c r="Q171" t="n">
        <v>0</v>
      </c>
      <c r="R171" s="2" t="inlineStr"/>
    </row>
    <row r="172" ht="15" customHeight="1">
      <c r="A172" t="inlineStr">
        <is>
          <t>A 58684-2023</t>
        </is>
      </c>
      <c r="B172" s="1" t="n">
        <v>45251</v>
      </c>
      <c r="C172" s="1" t="n">
        <v>45973</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9609-2023</t>
        </is>
      </c>
      <c r="B173" s="1" t="n">
        <v>44983.93344907407</v>
      </c>
      <c r="C173" s="1" t="n">
        <v>45973</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6879-2024</t>
        </is>
      </c>
      <c r="B174" s="1" t="n">
        <v>45342.85280092592</v>
      </c>
      <c r="C174" s="1" t="n">
        <v>45973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681-2024</t>
        </is>
      </c>
      <c r="B175" s="1" t="n">
        <v>45300</v>
      </c>
      <c r="C175" s="1" t="n">
        <v>45973</v>
      </c>
      <c r="D175" t="inlineStr">
        <is>
          <t>ÖREBRO LÄN</t>
        </is>
      </c>
      <c r="E175" t="inlineStr">
        <is>
          <t>ÖREBRO</t>
        </is>
      </c>
      <c r="G175" t="n">
        <v>3.3</v>
      </c>
      <c r="H175" t="n">
        <v>0</v>
      </c>
      <c r="I175" t="n">
        <v>0</v>
      </c>
      <c r="J175" t="n">
        <v>0</v>
      </c>
      <c r="K175" t="n">
        <v>0</v>
      </c>
      <c r="L175" t="n">
        <v>0</v>
      </c>
      <c r="M175" t="n">
        <v>0</v>
      </c>
      <c r="N175" t="n">
        <v>0</v>
      </c>
      <c r="O175" t="n">
        <v>0</v>
      </c>
      <c r="P175" t="n">
        <v>0</v>
      </c>
      <c r="Q175" t="n">
        <v>0</v>
      </c>
      <c r="R175" s="2" t="inlineStr"/>
    </row>
    <row r="176" ht="15" customHeight="1">
      <c r="A176" t="inlineStr">
        <is>
          <t>A 70707-2021</t>
        </is>
      </c>
      <c r="B176" s="1" t="n">
        <v>44537</v>
      </c>
      <c r="C176" s="1" t="n">
        <v>45973</v>
      </c>
      <c r="D176" t="inlineStr">
        <is>
          <t>ÖREBRO LÄN</t>
        </is>
      </c>
      <c r="E176" t="inlineStr">
        <is>
          <t>ÖREBRO</t>
        </is>
      </c>
      <c r="G176" t="n">
        <v>13.2</v>
      </c>
      <c r="H176" t="n">
        <v>0</v>
      </c>
      <c r="I176" t="n">
        <v>0</v>
      </c>
      <c r="J176" t="n">
        <v>0</v>
      </c>
      <c r="K176" t="n">
        <v>0</v>
      </c>
      <c r="L176" t="n">
        <v>0</v>
      </c>
      <c r="M176" t="n">
        <v>0</v>
      </c>
      <c r="N176" t="n">
        <v>0</v>
      </c>
      <c r="O176" t="n">
        <v>0</v>
      </c>
      <c r="P176" t="n">
        <v>0</v>
      </c>
      <c r="Q176" t="n">
        <v>0</v>
      </c>
      <c r="R176" s="2" t="inlineStr"/>
    </row>
    <row r="177" ht="15" customHeight="1">
      <c r="A177" t="inlineStr">
        <is>
          <t>A 38898-2023</t>
        </is>
      </c>
      <c r="B177" s="1" t="n">
        <v>45163</v>
      </c>
      <c r="C177" s="1" t="n">
        <v>45973</v>
      </c>
      <c r="D177" t="inlineStr">
        <is>
          <t>ÖREBRO LÄN</t>
        </is>
      </c>
      <c r="E177" t="inlineStr">
        <is>
          <t>ÖREBRO</t>
        </is>
      </c>
      <c r="G177" t="n">
        <v>5.1</v>
      </c>
      <c r="H177" t="n">
        <v>0</v>
      </c>
      <c r="I177" t="n">
        <v>0</v>
      </c>
      <c r="J177" t="n">
        <v>0</v>
      </c>
      <c r="K177" t="n">
        <v>0</v>
      </c>
      <c r="L177" t="n">
        <v>0</v>
      </c>
      <c r="M177" t="n">
        <v>0</v>
      </c>
      <c r="N177" t="n">
        <v>0</v>
      </c>
      <c r="O177" t="n">
        <v>0</v>
      </c>
      <c r="P177" t="n">
        <v>0</v>
      </c>
      <c r="Q177" t="n">
        <v>0</v>
      </c>
      <c r="R177" s="2" t="inlineStr"/>
    </row>
    <row r="178" ht="15" customHeight="1">
      <c r="A178" t="inlineStr">
        <is>
          <t>A 57243-2022</t>
        </is>
      </c>
      <c r="B178" s="1" t="n">
        <v>44895.71835648148</v>
      </c>
      <c r="C178" s="1" t="n">
        <v>45973</v>
      </c>
      <c r="D178" t="inlineStr">
        <is>
          <t>ÖREBRO LÄN</t>
        </is>
      </c>
      <c r="E178" t="inlineStr">
        <is>
          <t>ÖREBRO</t>
        </is>
      </c>
      <c r="G178" t="n">
        <v>6</v>
      </c>
      <c r="H178" t="n">
        <v>0</v>
      </c>
      <c r="I178" t="n">
        <v>0</v>
      </c>
      <c r="J178" t="n">
        <v>0</v>
      </c>
      <c r="K178" t="n">
        <v>0</v>
      </c>
      <c r="L178" t="n">
        <v>0</v>
      </c>
      <c r="M178" t="n">
        <v>0</v>
      </c>
      <c r="N178" t="n">
        <v>0</v>
      </c>
      <c r="O178" t="n">
        <v>0</v>
      </c>
      <c r="P178" t="n">
        <v>0</v>
      </c>
      <c r="Q178" t="n">
        <v>0</v>
      </c>
      <c r="R178" s="2" t="inlineStr"/>
    </row>
    <row r="179" ht="15" customHeight="1">
      <c r="A179" t="inlineStr">
        <is>
          <t>A 13169-2024</t>
        </is>
      </c>
      <c r="B179" s="1" t="n">
        <v>45386.40489583334</v>
      </c>
      <c r="C179" s="1" t="n">
        <v>45973</v>
      </c>
      <c r="D179" t="inlineStr">
        <is>
          <t>ÖREBRO LÄN</t>
        </is>
      </c>
      <c r="E179" t="inlineStr">
        <is>
          <t>ÖREBRO</t>
        </is>
      </c>
      <c r="G179" t="n">
        <v>4.3</v>
      </c>
      <c r="H179" t="n">
        <v>0</v>
      </c>
      <c r="I179" t="n">
        <v>0</v>
      </c>
      <c r="J179" t="n">
        <v>0</v>
      </c>
      <c r="K179" t="n">
        <v>0</v>
      </c>
      <c r="L179" t="n">
        <v>0</v>
      </c>
      <c r="M179" t="n">
        <v>0</v>
      </c>
      <c r="N179" t="n">
        <v>0</v>
      </c>
      <c r="O179" t="n">
        <v>0</v>
      </c>
      <c r="P179" t="n">
        <v>0</v>
      </c>
      <c r="Q179" t="n">
        <v>0</v>
      </c>
      <c r="R179" s="2" t="inlineStr"/>
    </row>
    <row r="180" ht="15" customHeight="1">
      <c r="A180" t="inlineStr">
        <is>
          <t>A 58621-2024</t>
        </is>
      </c>
      <c r="B180" s="1" t="n">
        <v>45635.56321759259</v>
      </c>
      <c r="C180" s="1" t="n">
        <v>45973</v>
      </c>
      <c r="D180" t="inlineStr">
        <is>
          <t>ÖREBRO LÄN</t>
        </is>
      </c>
      <c r="E180" t="inlineStr">
        <is>
          <t>ÖREBRO</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13321-2024</t>
        </is>
      </c>
      <c r="B181" s="1" t="n">
        <v>45386.83142361111</v>
      </c>
      <c r="C181" s="1" t="n">
        <v>45973</v>
      </c>
      <c r="D181" t="inlineStr">
        <is>
          <t>ÖREBRO LÄN</t>
        </is>
      </c>
      <c r="E181" t="inlineStr">
        <is>
          <t>ÖREBRO</t>
        </is>
      </c>
      <c r="G181" t="n">
        <v>13.1</v>
      </c>
      <c r="H181" t="n">
        <v>0</v>
      </c>
      <c r="I181" t="n">
        <v>0</v>
      </c>
      <c r="J181" t="n">
        <v>0</v>
      </c>
      <c r="K181" t="n">
        <v>0</v>
      </c>
      <c r="L181" t="n">
        <v>0</v>
      </c>
      <c r="M181" t="n">
        <v>0</v>
      </c>
      <c r="N181" t="n">
        <v>0</v>
      </c>
      <c r="O181" t="n">
        <v>0</v>
      </c>
      <c r="P181" t="n">
        <v>0</v>
      </c>
      <c r="Q181" t="n">
        <v>0</v>
      </c>
      <c r="R181" s="2" t="inlineStr"/>
    </row>
    <row r="182" ht="15" customHeight="1">
      <c r="A182" t="inlineStr">
        <is>
          <t>A 58216-2024</t>
        </is>
      </c>
      <c r="B182" s="1" t="n">
        <v>45632</v>
      </c>
      <c r="C182" s="1" t="n">
        <v>45973</v>
      </c>
      <c r="D182" t="inlineStr">
        <is>
          <t>ÖREBRO LÄN</t>
        </is>
      </c>
      <c r="E182" t="inlineStr">
        <is>
          <t>ÖREBRO</t>
        </is>
      </c>
      <c r="G182" t="n">
        <v>1.9</v>
      </c>
      <c r="H182" t="n">
        <v>0</v>
      </c>
      <c r="I182" t="n">
        <v>0</v>
      </c>
      <c r="J182" t="n">
        <v>0</v>
      </c>
      <c r="K182" t="n">
        <v>0</v>
      </c>
      <c r="L182" t="n">
        <v>0</v>
      </c>
      <c r="M182" t="n">
        <v>0</v>
      </c>
      <c r="N182" t="n">
        <v>0</v>
      </c>
      <c r="O182" t="n">
        <v>0</v>
      </c>
      <c r="P182" t="n">
        <v>0</v>
      </c>
      <c r="Q182" t="n">
        <v>0</v>
      </c>
      <c r="R182" s="2" t="inlineStr"/>
    </row>
    <row r="183" ht="15" customHeight="1">
      <c r="A183" t="inlineStr">
        <is>
          <t>A 38583-2023</t>
        </is>
      </c>
      <c r="B183" s="1" t="n">
        <v>45162.62861111111</v>
      </c>
      <c r="C183" s="1" t="n">
        <v>45973</v>
      </c>
      <c r="D183" t="inlineStr">
        <is>
          <t>ÖREBRO LÄN</t>
        </is>
      </c>
      <c r="E183" t="inlineStr">
        <is>
          <t>ÖREBRO</t>
        </is>
      </c>
      <c r="G183" t="n">
        <v>5.7</v>
      </c>
      <c r="H183" t="n">
        <v>0</v>
      </c>
      <c r="I183" t="n">
        <v>0</v>
      </c>
      <c r="J183" t="n">
        <v>0</v>
      </c>
      <c r="K183" t="n">
        <v>0</v>
      </c>
      <c r="L183" t="n">
        <v>0</v>
      </c>
      <c r="M183" t="n">
        <v>0</v>
      </c>
      <c r="N183" t="n">
        <v>0</v>
      </c>
      <c r="O183" t="n">
        <v>0</v>
      </c>
      <c r="P183" t="n">
        <v>0</v>
      </c>
      <c r="Q183" t="n">
        <v>0</v>
      </c>
      <c r="R183" s="2" t="inlineStr"/>
    </row>
    <row r="184" ht="15" customHeight="1">
      <c r="A184" t="inlineStr">
        <is>
          <t>A 14291-2023</t>
        </is>
      </c>
      <c r="B184" s="1" t="n">
        <v>45010</v>
      </c>
      <c r="C184" s="1" t="n">
        <v>45973</v>
      </c>
      <c r="D184" t="inlineStr">
        <is>
          <t>ÖREBRO LÄN</t>
        </is>
      </c>
      <c r="E184" t="inlineStr">
        <is>
          <t>ÖREBRO</t>
        </is>
      </c>
      <c r="G184" t="n">
        <v>0.8</v>
      </c>
      <c r="H184" t="n">
        <v>0</v>
      </c>
      <c r="I184" t="n">
        <v>0</v>
      </c>
      <c r="J184" t="n">
        <v>0</v>
      </c>
      <c r="K184" t="n">
        <v>0</v>
      </c>
      <c r="L184" t="n">
        <v>0</v>
      </c>
      <c r="M184" t="n">
        <v>0</v>
      </c>
      <c r="N184" t="n">
        <v>0</v>
      </c>
      <c r="O184" t="n">
        <v>0</v>
      </c>
      <c r="P184" t="n">
        <v>0</v>
      </c>
      <c r="Q184" t="n">
        <v>0</v>
      </c>
      <c r="R184" s="2" t="inlineStr"/>
    </row>
    <row r="185" ht="15" customHeight="1">
      <c r="A185" t="inlineStr">
        <is>
          <t>A 5125-2024</t>
        </is>
      </c>
      <c r="B185" s="1" t="n">
        <v>45330</v>
      </c>
      <c r="C185" s="1" t="n">
        <v>45973</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14234-2024</t>
        </is>
      </c>
      <c r="B186" s="1" t="n">
        <v>45393.46980324074</v>
      </c>
      <c r="C186" s="1" t="n">
        <v>45973</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9314-2023</t>
        </is>
      </c>
      <c r="B187" s="1" t="n">
        <v>44980.67747685185</v>
      </c>
      <c r="C187" s="1" t="n">
        <v>45973</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33455-2023</t>
        </is>
      </c>
      <c r="B188" s="1" t="n">
        <v>45130.98962962963</v>
      </c>
      <c r="C188" s="1" t="n">
        <v>45973</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52256-2023</t>
        </is>
      </c>
      <c r="B189" s="1" t="n">
        <v>45224.51471064815</v>
      </c>
      <c r="C189" s="1" t="n">
        <v>45973</v>
      </c>
      <c r="D189" t="inlineStr">
        <is>
          <t>ÖREBRO LÄN</t>
        </is>
      </c>
      <c r="E189" t="inlineStr">
        <is>
          <t>ÖREBRO</t>
        </is>
      </c>
      <c r="G189" t="n">
        <v>2.8</v>
      </c>
      <c r="H189" t="n">
        <v>0</v>
      </c>
      <c r="I189" t="n">
        <v>0</v>
      </c>
      <c r="J189" t="n">
        <v>0</v>
      </c>
      <c r="K189" t="n">
        <v>0</v>
      </c>
      <c r="L189" t="n">
        <v>0</v>
      </c>
      <c r="M189" t="n">
        <v>0</v>
      </c>
      <c r="N189" t="n">
        <v>0</v>
      </c>
      <c r="O189" t="n">
        <v>0</v>
      </c>
      <c r="P189" t="n">
        <v>0</v>
      </c>
      <c r="Q189" t="n">
        <v>0</v>
      </c>
      <c r="R189" s="2" t="inlineStr"/>
    </row>
    <row r="190" ht="15" customHeight="1">
      <c r="A190" t="inlineStr">
        <is>
          <t>A 21306-2024</t>
        </is>
      </c>
      <c r="B190" s="1" t="n">
        <v>45440.67883101852</v>
      </c>
      <c r="C190" s="1" t="n">
        <v>45973</v>
      </c>
      <c r="D190" t="inlineStr">
        <is>
          <t>ÖREBRO LÄN</t>
        </is>
      </c>
      <c r="E190" t="inlineStr">
        <is>
          <t>ÖREBRO</t>
        </is>
      </c>
      <c r="F190" t="inlineStr">
        <is>
          <t>Övriga Aktiebolag</t>
        </is>
      </c>
      <c r="G190" t="n">
        <v>2</v>
      </c>
      <c r="H190" t="n">
        <v>0</v>
      </c>
      <c r="I190" t="n">
        <v>0</v>
      </c>
      <c r="J190" t="n">
        <v>0</v>
      </c>
      <c r="K190" t="n">
        <v>0</v>
      </c>
      <c r="L190" t="n">
        <v>0</v>
      </c>
      <c r="M190" t="n">
        <v>0</v>
      </c>
      <c r="N190" t="n">
        <v>0</v>
      </c>
      <c r="O190" t="n">
        <v>0</v>
      </c>
      <c r="P190" t="n">
        <v>0</v>
      </c>
      <c r="Q190" t="n">
        <v>0</v>
      </c>
      <c r="R190" s="2" t="inlineStr"/>
    </row>
    <row r="191" ht="15" customHeight="1">
      <c r="A191" t="inlineStr">
        <is>
          <t>A 37012-2024</t>
        </is>
      </c>
      <c r="B191" s="1" t="n">
        <v>45539</v>
      </c>
      <c r="C191" s="1" t="n">
        <v>45973</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37020-2024</t>
        </is>
      </c>
      <c r="B192" s="1" t="n">
        <v>45539.38059027777</v>
      </c>
      <c r="C192" s="1" t="n">
        <v>45973</v>
      </c>
      <c r="D192" t="inlineStr">
        <is>
          <t>ÖREBRO LÄN</t>
        </is>
      </c>
      <c r="E192" t="inlineStr">
        <is>
          <t>ÖREBRO</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55353-2024</t>
        </is>
      </c>
      <c r="B193" s="1" t="n">
        <v>45621.79526620371</v>
      </c>
      <c r="C193" s="1" t="n">
        <v>45973</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7634-2024</t>
        </is>
      </c>
      <c r="B194" s="1" t="n">
        <v>45348</v>
      </c>
      <c r="C194" s="1" t="n">
        <v>45973</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62794-2021</t>
        </is>
      </c>
      <c r="B195" s="1" t="n">
        <v>44504</v>
      </c>
      <c r="C195" s="1" t="n">
        <v>45973</v>
      </c>
      <c r="D195" t="inlineStr">
        <is>
          <t>ÖREBRO LÄN</t>
        </is>
      </c>
      <c r="E195" t="inlineStr">
        <is>
          <t>ÖREBRO</t>
        </is>
      </c>
      <c r="G195" t="n">
        <v>3.3</v>
      </c>
      <c r="H195" t="n">
        <v>0</v>
      </c>
      <c r="I195" t="n">
        <v>0</v>
      </c>
      <c r="J195" t="n">
        <v>0</v>
      </c>
      <c r="K195" t="n">
        <v>0</v>
      </c>
      <c r="L195" t="n">
        <v>0</v>
      </c>
      <c r="M195" t="n">
        <v>0</v>
      </c>
      <c r="N195" t="n">
        <v>0</v>
      </c>
      <c r="O195" t="n">
        <v>0</v>
      </c>
      <c r="P195" t="n">
        <v>0</v>
      </c>
      <c r="Q195" t="n">
        <v>0</v>
      </c>
      <c r="R195" s="2" t="inlineStr"/>
    </row>
    <row r="196" ht="15" customHeight="1">
      <c r="A196" t="inlineStr">
        <is>
          <t>A 5324-2024</t>
        </is>
      </c>
      <c r="B196" s="1" t="n">
        <v>45331</v>
      </c>
      <c r="C196" s="1" t="n">
        <v>45973</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52401-2024</t>
        </is>
      </c>
      <c r="B197" s="1" t="n">
        <v>45609.44553240741</v>
      </c>
      <c r="C197" s="1" t="n">
        <v>45973</v>
      </c>
      <c r="D197" t="inlineStr">
        <is>
          <t>ÖREBRO LÄN</t>
        </is>
      </c>
      <c r="E197" t="inlineStr">
        <is>
          <t>ÖREBRO</t>
        </is>
      </c>
      <c r="F197" t="inlineStr">
        <is>
          <t>Sveaskog</t>
        </is>
      </c>
      <c r="G197" t="n">
        <v>0.6</v>
      </c>
      <c r="H197" t="n">
        <v>0</v>
      </c>
      <c r="I197" t="n">
        <v>0</v>
      </c>
      <c r="J197" t="n">
        <v>0</v>
      </c>
      <c r="K197" t="n">
        <v>0</v>
      </c>
      <c r="L197" t="n">
        <v>0</v>
      </c>
      <c r="M197" t="n">
        <v>0</v>
      </c>
      <c r="N197" t="n">
        <v>0</v>
      </c>
      <c r="O197" t="n">
        <v>0</v>
      </c>
      <c r="P197" t="n">
        <v>0</v>
      </c>
      <c r="Q197" t="n">
        <v>0</v>
      </c>
      <c r="R197" s="2" t="inlineStr"/>
    </row>
    <row r="198" ht="15" customHeight="1">
      <c r="A198" t="inlineStr">
        <is>
          <t>A 541-2025</t>
        </is>
      </c>
      <c r="B198" s="1" t="n">
        <v>45664.52034722222</v>
      </c>
      <c r="C198" s="1" t="n">
        <v>45973</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52612-2024</t>
        </is>
      </c>
      <c r="B199" s="1" t="n">
        <v>45609</v>
      </c>
      <c r="C199" s="1" t="n">
        <v>45973</v>
      </c>
      <c r="D199" t="inlineStr">
        <is>
          <t>ÖREBRO LÄN</t>
        </is>
      </c>
      <c r="E199" t="inlineStr">
        <is>
          <t>ÖREBRO</t>
        </is>
      </c>
      <c r="F199" t="inlineStr">
        <is>
          <t>Kommuner</t>
        </is>
      </c>
      <c r="G199" t="n">
        <v>5.5</v>
      </c>
      <c r="H199" t="n">
        <v>0</v>
      </c>
      <c r="I199" t="n">
        <v>0</v>
      </c>
      <c r="J199" t="n">
        <v>0</v>
      </c>
      <c r="K199" t="n">
        <v>0</v>
      </c>
      <c r="L199" t="n">
        <v>0</v>
      </c>
      <c r="M199" t="n">
        <v>0</v>
      </c>
      <c r="N199" t="n">
        <v>0</v>
      </c>
      <c r="O199" t="n">
        <v>0</v>
      </c>
      <c r="P199" t="n">
        <v>0</v>
      </c>
      <c r="Q199" t="n">
        <v>0</v>
      </c>
      <c r="R199" s="2" t="inlineStr"/>
    </row>
    <row r="200" ht="15" customHeight="1">
      <c r="A200" t="inlineStr">
        <is>
          <t>A 14963-2025</t>
        </is>
      </c>
      <c r="B200" s="1" t="n">
        <v>45743.58699074074</v>
      </c>
      <c r="C200" s="1" t="n">
        <v>45973</v>
      </c>
      <c r="D200" t="inlineStr">
        <is>
          <t>ÖREBRO LÄN</t>
        </is>
      </c>
      <c r="E200" t="inlineStr">
        <is>
          <t>ÖREBRO</t>
        </is>
      </c>
      <c r="G200" t="n">
        <v>9.1</v>
      </c>
      <c r="H200" t="n">
        <v>0</v>
      </c>
      <c r="I200" t="n">
        <v>0</v>
      </c>
      <c r="J200" t="n">
        <v>0</v>
      </c>
      <c r="K200" t="n">
        <v>0</v>
      </c>
      <c r="L200" t="n">
        <v>0</v>
      </c>
      <c r="M200" t="n">
        <v>0</v>
      </c>
      <c r="N200" t="n">
        <v>0</v>
      </c>
      <c r="O200" t="n">
        <v>0</v>
      </c>
      <c r="P200" t="n">
        <v>0</v>
      </c>
      <c r="Q200" t="n">
        <v>0</v>
      </c>
      <c r="R200" s="2" t="inlineStr"/>
    </row>
    <row r="201" ht="15" customHeight="1">
      <c r="A201" t="inlineStr">
        <is>
          <t>A 5795-2024</t>
        </is>
      </c>
      <c r="B201" s="1" t="n">
        <v>45335.4531712963</v>
      </c>
      <c r="C201" s="1" t="n">
        <v>45973</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37771-2024</t>
        </is>
      </c>
      <c r="B202" s="1" t="n">
        <v>45542.31359953704</v>
      </c>
      <c r="C202" s="1" t="n">
        <v>45973</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15652-2025</t>
        </is>
      </c>
      <c r="B203" s="1" t="n">
        <v>45748</v>
      </c>
      <c r="C203" s="1" t="n">
        <v>45973</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19553-2023</t>
        </is>
      </c>
      <c r="B204" s="1" t="n">
        <v>45050</v>
      </c>
      <c r="C204" s="1" t="n">
        <v>45973</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37025-2024</t>
        </is>
      </c>
      <c r="B205" s="1" t="n">
        <v>45539.3840162037</v>
      </c>
      <c r="C205" s="1" t="n">
        <v>45973</v>
      </c>
      <c r="D205" t="inlineStr">
        <is>
          <t>ÖREBRO LÄN</t>
        </is>
      </c>
      <c r="E205" t="inlineStr">
        <is>
          <t>ÖREBRO</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37027-2024</t>
        </is>
      </c>
      <c r="B206" s="1" t="n">
        <v>45539.38487268519</v>
      </c>
      <c r="C206" s="1" t="n">
        <v>45973</v>
      </c>
      <c r="D206" t="inlineStr">
        <is>
          <t>ÖREBRO LÄN</t>
        </is>
      </c>
      <c r="E206" t="inlineStr">
        <is>
          <t>ÖREBRO</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2076-2025</t>
        </is>
      </c>
      <c r="B207" s="1" t="n">
        <v>45672</v>
      </c>
      <c r="C207" s="1" t="n">
        <v>45973</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14960-2025</t>
        </is>
      </c>
      <c r="B208" s="1" t="n">
        <v>45743.5853125</v>
      </c>
      <c r="C208" s="1" t="n">
        <v>45973</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60022-2024</t>
        </is>
      </c>
      <c r="B209" s="1" t="n">
        <v>45642</v>
      </c>
      <c r="C209" s="1" t="n">
        <v>45973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55357-2024</t>
        </is>
      </c>
      <c r="B210" s="1" t="n">
        <v>45621.81126157408</v>
      </c>
      <c r="C210" s="1" t="n">
        <v>45973</v>
      </c>
      <c r="D210" t="inlineStr">
        <is>
          <t>ÖREBRO LÄN</t>
        </is>
      </c>
      <c r="E210" t="inlineStr">
        <is>
          <t>ÖREBRO</t>
        </is>
      </c>
      <c r="G210" t="n">
        <v>0.6</v>
      </c>
      <c r="H210" t="n">
        <v>0</v>
      </c>
      <c r="I210" t="n">
        <v>0</v>
      </c>
      <c r="J210" t="n">
        <v>0</v>
      </c>
      <c r="K210" t="n">
        <v>0</v>
      </c>
      <c r="L210" t="n">
        <v>0</v>
      </c>
      <c r="M210" t="n">
        <v>0</v>
      </c>
      <c r="N210" t="n">
        <v>0</v>
      </c>
      <c r="O210" t="n">
        <v>0</v>
      </c>
      <c r="P210" t="n">
        <v>0</v>
      </c>
      <c r="Q210" t="n">
        <v>0</v>
      </c>
      <c r="R210" s="2" t="inlineStr"/>
    </row>
    <row r="211" ht="15" customHeight="1">
      <c r="A211" t="inlineStr">
        <is>
          <t>A 55593-2022</t>
        </is>
      </c>
      <c r="B211" s="1" t="n">
        <v>44888</v>
      </c>
      <c r="C211" s="1" t="n">
        <v>45973</v>
      </c>
      <c r="D211" t="inlineStr">
        <is>
          <t>ÖREBRO LÄN</t>
        </is>
      </c>
      <c r="E211" t="inlineStr">
        <is>
          <t>ÖREBRO</t>
        </is>
      </c>
      <c r="G211" t="n">
        <v>3.6</v>
      </c>
      <c r="H211" t="n">
        <v>0</v>
      </c>
      <c r="I211" t="n">
        <v>0</v>
      </c>
      <c r="J211" t="n">
        <v>0</v>
      </c>
      <c r="K211" t="n">
        <v>0</v>
      </c>
      <c r="L211" t="n">
        <v>0</v>
      </c>
      <c r="M211" t="n">
        <v>0</v>
      </c>
      <c r="N211" t="n">
        <v>0</v>
      </c>
      <c r="O211" t="n">
        <v>0</v>
      </c>
      <c r="P211" t="n">
        <v>0</v>
      </c>
      <c r="Q211" t="n">
        <v>0</v>
      </c>
      <c r="R211" s="2" t="inlineStr"/>
    </row>
    <row r="212" ht="15" customHeight="1">
      <c r="A212" t="inlineStr">
        <is>
          <t>A 21097-2025</t>
        </is>
      </c>
      <c r="B212" s="1" t="n">
        <v>45777.63863425926</v>
      </c>
      <c r="C212" s="1" t="n">
        <v>45973</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23594-2023</t>
        </is>
      </c>
      <c r="B213" s="1" t="n">
        <v>45077</v>
      </c>
      <c r="C213" s="1" t="n">
        <v>45973</v>
      </c>
      <c r="D213" t="inlineStr">
        <is>
          <t>ÖREBRO LÄN</t>
        </is>
      </c>
      <c r="E213" t="inlineStr">
        <is>
          <t>ÖREBRO</t>
        </is>
      </c>
      <c r="G213" t="n">
        <v>9.9</v>
      </c>
      <c r="H213" t="n">
        <v>0</v>
      </c>
      <c r="I213" t="n">
        <v>0</v>
      </c>
      <c r="J213" t="n">
        <v>0</v>
      </c>
      <c r="K213" t="n">
        <v>0</v>
      </c>
      <c r="L213" t="n">
        <v>0</v>
      </c>
      <c r="M213" t="n">
        <v>0</v>
      </c>
      <c r="N213" t="n">
        <v>0</v>
      </c>
      <c r="O213" t="n">
        <v>0</v>
      </c>
      <c r="P213" t="n">
        <v>0</v>
      </c>
      <c r="Q213" t="n">
        <v>0</v>
      </c>
      <c r="R213" s="2" t="inlineStr"/>
    </row>
    <row r="214" ht="15" customHeight="1">
      <c r="A214" t="inlineStr">
        <is>
          <t>A 38422-2023</t>
        </is>
      </c>
      <c r="B214" s="1" t="n">
        <v>45162.36422453704</v>
      </c>
      <c r="C214" s="1" t="n">
        <v>45973</v>
      </c>
      <c r="D214" t="inlineStr">
        <is>
          <t>ÖREBRO LÄN</t>
        </is>
      </c>
      <c r="E214" t="inlineStr">
        <is>
          <t>ÖREBRO</t>
        </is>
      </c>
      <c r="G214" t="n">
        <v>8</v>
      </c>
      <c r="H214" t="n">
        <v>0</v>
      </c>
      <c r="I214" t="n">
        <v>0</v>
      </c>
      <c r="J214" t="n">
        <v>0</v>
      </c>
      <c r="K214" t="n">
        <v>0</v>
      </c>
      <c r="L214" t="n">
        <v>0</v>
      </c>
      <c r="M214" t="n">
        <v>0</v>
      </c>
      <c r="N214" t="n">
        <v>0</v>
      </c>
      <c r="O214" t="n">
        <v>0</v>
      </c>
      <c r="P214" t="n">
        <v>0</v>
      </c>
      <c r="Q214" t="n">
        <v>0</v>
      </c>
      <c r="R214" s="2" t="inlineStr"/>
    </row>
    <row r="215" ht="15" customHeight="1">
      <c r="A215" t="inlineStr">
        <is>
          <t>A 8022-2022</t>
        </is>
      </c>
      <c r="B215" s="1" t="n">
        <v>44609</v>
      </c>
      <c r="C215" s="1" t="n">
        <v>45973</v>
      </c>
      <c r="D215" t="inlineStr">
        <is>
          <t>ÖREBRO LÄN</t>
        </is>
      </c>
      <c r="E215" t="inlineStr">
        <is>
          <t>ÖREBRO</t>
        </is>
      </c>
      <c r="G215" t="n">
        <v>5.6</v>
      </c>
      <c r="H215" t="n">
        <v>0</v>
      </c>
      <c r="I215" t="n">
        <v>0</v>
      </c>
      <c r="J215" t="n">
        <v>0</v>
      </c>
      <c r="K215" t="n">
        <v>0</v>
      </c>
      <c r="L215" t="n">
        <v>0</v>
      </c>
      <c r="M215" t="n">
        <v>0</v>
      </c>
      <c r="N215" t="n">
        <v>0</v>
      </c>
      <c r="O215" t="n">
        <v>0</v>
      </c>
      <c r="P215" t="n">
        <v>0</v>
      </c>
      <c r="Q215" t="n">
        <v>0</v>
      </c>
      <c r="R215" s="2" t="inlineStr"/>
    </row>
    <row r="216" ht="15" customHeight="1">
      <c r="A216" t="inlineStr">
        <is>
          <t>A 50446-2023</t>
        </is>
      </c>
      <c r="B216" s="1" t="n">
        <v>45216</v>
      </c>
      <c r="C216" s="1" t="n">
        <v>45973</v>
      </c>
      <c r="D216" t="inlineStr">
        <is>
          <t>ÖREBRO LÄN</t>
        </is>
      </c>
      <c r="E216" t="inlineStr">
        <is>
          <t>ÖREBRO</t>
        </is>
      </c>
      <c r="F216" t="inlineStr">
        <is>
          <t>Övriga Aktiebolag</t>
        </is>
      </c>
      <c r="G216" t="n">
        <v>2.8</v>
      </c>
      <c r="H216" t="n">
        <v>0</v>
      </c>
      <c r="I216" t="n">
        <v>0</v>
      </c>
      <c r="J216" t="n">
        <v>0</v>
      </c>
      <c r="K216" t="n">
        <v>0</v>
      </c>
      <c r="L216" t="n">
        <v>0</v>
      </c>
      <c r="M216" t="n">
        <v>0</v>
      </c>
      <c r="N216" t="n">
        <v>0</v>
      </c>
      <c r="O216" t="n">
        <v>0</v>
      </c>
      <c r="P216" t="n">
        <v>0</v>
      </c>
      <c r="Q216" t="n">
        <v>0</v>
      </c>
      <c r="R216" s="2" t="inlineStr"/>
    </row>
    <row r="217" ht="15" customHeight="1">
      <c r="A217" t="inlineStr">
        <is>
          <t>A 50450-2023</t>
        </is>
      </c>
      <c r="B217" s="1" t="n">
        <v>45216.73533564815</v>
      </c>
      <c r="C217" s="1" t="n">
        <v>45973</v>
      </c>
      <c r="D217" t="inlineStr">
        <is>
          <t>ÖREBRO LÄN</t>
        </is>
      </c>
      <c r="E217" t="inlineStr">
        <is>
          <t>ÖREBRO</t>
        </is>
      </c>
      <c r="F217" t="inlineStr">
        <is>
          <t>Övriga Aktiebolag</t>
        </is>
      </c>
      <c r="G217" t="n">
        <v>0.8</v>
      </c>
      <c r="H217" t="n">
        <v>0</v>
      </c>
      <c r="I217" t="n">
        <v>0</v>
      </c>
      <c r="J217" t="n">
        <v>0</v>
      </c>
      <c r="K217" t="n">
        <v>0</v>
      </c>
      <c r="L217" t="n">
        <v>0</v>
      </c>
      <c r="M217" t="n">
        <v>0</v>
      </c>
      <c r="N217" t="n">
        <v>0</v>
      </c>
      <c r="O217" t="n">
        <v>0</v>
      </c>
      <c r="P217" t="n">
        <v>0</v>
      </c>
      <c r="Q217" t="n">
        <v>0</v>
      </c>
      <c r="R217" s="2" t="inlineStr"/>
    </row>
    <row r="218" ht="15" customHeight="1">
      <c r="A218" t="inlineStr">
        <is>
          <t>A 47193-2023</t>
        </is>
      </c>
      <c r="B218" s="1" t="n">
        <v>45202.3074537037</v>
      </c>
      <c r="C218" s="1" t="n">
        <v>45973</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46518-2023</t>
        </is>
      </c>
      <c r="B219" s="1" t="n">
        <v>45197.72777777778</v>
      </c>
      <c r="C219" s="1" t="n">
        <v>45973</v>
      </c>
      <c r="D219" t="inlineStr">
        <is>
          <t>ÖREBRO LÄN</t>
        </is>
      </c>
      <c r="E219" t="inlineStr">
        <is>
          <t>ÖREBRO</t>
        </is>
      </c>
      <c r="G219" t="n">
        <v>2.2</v>
      </c>
      <c r="H219" t="n">
        <v>0</v>
      </c>
      <c r="I219" t="n">
        <v>0</v>
      </c>
      <c r="J219" t="n">
        <v>0</v>
      </c>
      <c r="K219" t="n">
        <v>0</v>
      </c>
      <c r="L219" t="n">
        <v>0</v>
      </c>
      <c r="M219" t="n">
        <v>0</v>
      </c>
      <c r="N219" t="n">
        <v>0</v>
      </c>
      <c r="O219" t="n">
        <v>0</v>
      </c>
      <c r="P219" t="n">
        <v>0</v>
      </c>
      <c r="Q219" t="n">
        <v>0</v>
      </c>
      <c r="R219" s="2" t="inlineStr"/>
    </row>
    <row r="220" ht="15" customHeight="1">
      <c r="A220" t="inlineStr">
        <is>
          <t>A 43612-2022</t>
        </is>
      </c>
      <c r="B220" s="1" t="n">
        <v>44837</v>
      </c>
      <c r="C220" s="1" t="n">
        <v>45973</v>
      </c>
      <c r="D220" t="inlineStr">
        <is>
          <t>ÖREBRO LÄN</t>
        </is>
      </c>
      <c r="E220" t="inlineStr">
        <is>
          <t>ÖREBRO</t>
        </is>
      </c>
      <c r="G220" t="n">
        <v>0.6</v>
      </c>
      <c r="H220" t="n">
        <v>0</v>
      </c>
      <c r="I220" t="n">
        <v>0</v>
      </c>
      <c r="J220" t="n">
        <v>0</v>
      </c>
      <c r="K220" t="n">
        <v>0</v>
      </c>
      <c r="L220" t="n">
        <v>0</v>
      </c>
      <c r="M220" t="n">
        <v>0</v>
      </c>
      <c r="N220" t="n">
        <v>0</v>
      </c>
      <c r="O220" t="n">
        <v>0</v>
      </c>
      <c r="P220" t="n">
        <v>0</v>
      </c>
      <c r="Q220" t="n">
        <v>0</v>
      </c>
      <c r="R220" s="2" t="inlineStr"/>
    </row>
    <row r="221" ht="15" customHeight="1">
      <c r="A221" t="inlineStr">
        <is>
          <t>A 35819-2024</t>
        </is>
      </c>
      <c r="B221" s="1" t="n">
        <v>45532</v>
      </c>
      <c r="C221" s="1" t="n">
        <v>45973</v>
      </c>
      <c r="D221" t="inlineStr">
        <is>
          <t>ÖREBRO LÄN</t>
        </is>
      </c>
      <c r="E221" t="inlineStr">
        <is>
          <t>ÖREBRO</t>
        </is>
      </c>
      <c r="G221" t="n">
        <v>6.4</v>
      </c>
      <c r="H221" t="n">
        <v>0</v>
      </c>
      <c r="I221" t="n">
        <v>0</v>
      </c>
      <c r="J221" t="n">
        <v>0</v>
      </c>
      <c r="K221" t="n">
        <v>0</v>
      </c>
      <c r="L221" t="n">
        <v>0</v>
      </c>
      <c r="M221" t="n">
        <v>0</v>
      </c>
      <c r="N221" t="n">
        <v>0</v>
      </c>
      <c r="O221" t="n">
        <v>0</v>
      </c>
      <c r="P221" t="n">
        <v>0</v>
      </c>
      <c r="Q221" t="n">
        <v>0</v>
      </c>
      <c r="R221" s="2" t="inlineStr"/>
    </row>
    <row r="222" ht="15" customHeight="1">
      <c r="A222" t="inlineStr">
        <is>
          <t>A 32076-2023</t>
        </is>
      </c>
      <c r="B222" s="1" t="n">
        <v>45119.58324074074</v>
      </c>
      <c r="C222" s="1" t="n">
        <v>45973</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58598-2022</t>
        </is>
      </c>
      <c r="B223" s="1" t="n">
        <v>44902</v>
      </c>
      <c r="C223" s="1" t="n">
        <v>45973</v>
      </c>
      <c r="D223" t="inlineStr">
        <is>
          <t>ÖREBRO LÄN</t>
        </is>
      </c>
      <c r="E223" t="inlineStr">
        <is>
          <t>ÖREBRO</t>
        </is>
      </c>
      <c r="G223" t="n">
        <v>0.4</v>
      </c>
      <c r="H223" t="n">
        <v>0</v>
      </c>
      <c r="I223" t="n">
        <v>0</v>
      </c>
      <c r="J223" t="n">
        <v>0</v>
      </c>
      <c r="K223" t="n">
        <v>0</v>
      </c>
      <c r="L223" t="n">
        <v>0</v>
      </c>
      <c r="M223" t="n">
        <v>0</v>
      </c>
      <c r="N223" t="n">
        <v>0</v>
      </c>
      <c r="O223" t="n">
        <v>0</v>
      </c>
      <c r="P223" t="n">
        <v>0</v>
      </c>
      <c r="Q223" t="n">
        <v>0</v>
      </c>
      <c r="R223" s="2" t="inlineStr"/>
    </row>
    <row r="224" ht="15" customHeight="1">
      <c r="A224" t="inlineStr">
        <is>
          <t>A 41703-2024</t>
        </is>
      </c>
      <c r="B224" s="1" t="n">
        <v>45560</v>
      </c>
      <c r="C224" s="1" t="n">
        <v>45973</v>
      </c>
      <c r="D224" t="inlineStr">
        <is>
          <t>ÖREBRO LÄN</t>
        </is>
      </c>
      <c r="E224" t="inlineStr">
        <is>
          <t>ÖREBRO</t>
        </is>
      </c>
      <c r="G224" t="n">
        <v>6.4</v>
      </c>
      <c r="H224" t="n">
        <v>0</v>
      </c>
      <c r="I224" t="n">
        <v>0</v>
      </c>
      <c r="J224" t="n">
        <v>0</v>
      </c>
      <c r="K224" t="n">
        <v>0</v>
      </c>
      <c r="L224" t="n">
        <v>0</v>
      </c>
      <c r="M224" t="n">
        <v>0</v>
      </c>
      <c r="N224" t="n">
        <v>0</v>
      </c>
      <c r="O224" t="n">
        <v>0</v>
      </c>
      <c r="P224" t="n">
        <v>0</v>
      </c>
      <c r="Q224" t="n">
        <v>0</v>
      </c>
      <c r="R224" s="2" t="inlineStr"/>
    </row>
    <row r="225" ht="15" customHeight="1">
      <c r="A225" t="inlineStr">
        <is>
          <t>A 764-2024</t>
        </is>
      </c>
      <c r="B225" s="1" t="n">
        <v>45300.51512731481</v>
      </c>
      <c r="C225" s="1" t="n">
        <v>45973</v>
      </c>
      <c r="D225" t="inlineStr">
        <is>
          <t>ÖREBRO LÄN</t>
        </is>
      </c>
      <c r="E225" t="inlineStr">
        <is>
          <t>ÖREBRO</t>
        </is>
      </c>
      <c r="G225" t="n">
        <v>2</v>
      </c>
      <c r="H225" t="n">
        <v>0</v>
      </c>
      <c r="I225" t="n">
        <v>0</v>
      </c>
      <c r="J225" t="n">
        <v>0</v>
      </c>
      <c r="K225" t="n">
        <v>0</v>
      </c>
      <c r="L225" t="n">
        <v>0</v>
      </c>
      <c r="M225" t="n">
        <v>0</v>
      </c>
      <c r="N225" t="n">
        <v>0</v>
      </c>
      <c r="O225" t="n">
        <v>0</v>
      </c>
      <c r="P225" t="n">
        <v>0</v>
      </c>
      <c r="Q225" t="n">
        <v>0</v>
      </c>
      <c r="R225" s="2" t="inlineStr"/>
    </row>
    <row r="226" ht="15" customHeight="1">
      <c r="A226" t="inlineStr">
        <is>
          <t>A 42138-2024</t>
        </is>
      </c>
      <c r="B226" s="1" t="n">
        <v>45562.41854166667</v>
      </c>
      <c r="C226" s="1" t="n">
        <v>45973</v>
      </c>
      <c r="D226" t="inlineStr">
        <is>
          <t>ÖREBRO LÄN</t>
        </is>
      </c>
      <c r="E226" t="inlineStr">
        <is>
          <t>ÖREBRO</t>
        </is>
      </c>
      <c r="G226" t="n">
        <v>1.4</v>
      </c>
      <c r="H226" t="n">
        <v>0</v>
      </c>
      <c r="I226" t="n">
        <v>0</v>
      </c>
      <c r="J226" t="n">
        <v>0</v>
      </c>
      <c r="K226" t="n">
        <v>0</v>
      </c>
      <c r="L226" t="n">
        <v>0</v>
      </c>
      <c r="M226" t="n">
        <v>0</v>
      </c>
      <c r="N226" t="n">
        <v>0</v>
      </c>
      <c r="O226" t="n">
        <v>0</v>
      </c>
      <c r="P226" t="n">
        <v>0</v>
      </c>
      <c r="Q226" t="n">
        <v>0</v>
      </c>
      <c r="R226" s="2" t="inlineStr"/>
    </row>
    <row r="227" ht="15" customHeight="1">
      <c r="A227" t="inlineStr">
        <is>
          <t>A 19763-2024</t>
        </is>
      </c>
      <c r="B227" s="1" t="n">
        <v>45432</v>
      </c>
      <c r="C227" s="1" t="n">
        <v>45973</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71206-2021</t>
        </is>
      </c>
      <c r="B228" s="1" t="n">
        <v>44539</v>
      </c>
      <c r="C228" s="1" t="n">
        <v>45973</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34874-2022</t>
        </is>
      </c>
      <c r="B229" s="1" t="n">
        <v>44796</v>
      </c>
      <c r="C229" s="1" t="n">
        <v>45973</v>
      </c>
      <c r="D229" t="inlineStr">
        <is>
          <t>ÖREBRO LÄN</t>
        </is>
      </c>
      <c r="E229" t="inlineStr">
        <is>
          <t>ÖREBRO</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31247-2023</t>
        </is>
      </c>
      <c r="B230" s="1" t="n">
        <v>45114</v>
      </c>
      <c r="C230" s="1" t="n">
        <v>45973</v>
      </c>
      <c r="D230" t="inlineStr">
        <is>
          <t>ÖREBRO LÄN</t>
        </is>
      </c>
      <c r="E230" t="inlineStr">
        <is>
          <t>ÖREBRO</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36635-2023</t>
        </is>
      </c>
      <c r="B231" s="1" t="n">
        <v>45153</v>
      </c>
      <c r="C231" s="1" t="n">
        <v>45973</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54149-2024</t>
        </is>
      </c>
      <c r="B232" s="1" t="n">
        <v>45616</v>
      </c>
      <c r="C232" s="1" t="n">
        <v>45973</v>
      </c>
      <c r="D232" t="inlineStr">
        <is>
          <t>ÖREBRO LÄN</t>
        </is>
      </c>
      <c r="E232" t="inlineStr">
        <is>
          <t>ÖREBRO</t>
        </is>
      </c>
      <c r="G232" t="n">
        <v>2.7</v>
      </c>
      <c r="H232" t="n">
        <v>0</v>
      </c>
      <c r="I232" t="n">
        <v>0</v>
      </c>
      <c r="J232" t="n">
        <v>0</v>
      </c>
      <c r="K232" t="n">
        <v>0</v>
      </c>
      <c r="L232" t="n">
        <v>0</v>
      </c>
      <c r="M232" t="n">
        <v>0</v>
      </c>
      <c r="N232" t="n">
        <v>0</v>
      </c>
      <c r="O232" t="n">
        <v>0</v>
      </c>
      <c r="P232" t="n">
        <v>0</v>
      </c>
      <c r="Q232" t="n">
        <v>0</v>
      </c>
      <c r="R232" s="2" t="inlineStr"/>
    </row>
    <row r="233" ht="15" customHeight="1">
      <c r="A233" t="inlineStr">
        <is>
          <t>A 16739-2022</t>
        </is>
      </c>
      <c r="B233" s="1" t="n">
        <v>44673</v>
      </c>
      <c r="C233" s="1" t="n">
        <v>45973</v>
      </c>
      <c r="D233" t="inlineStr">
        <is>
          <t>ÖREBRO LÄN</t>
        </is>
      </c>
      <c r="E233" t="inlineStr">
        <is>
          <t>ÖREBRO</t>
        </is>
      </c>
      <c r="G233" t="n">
        <v>4.7</v>
      </c>
      <c r="H233" t="n">
        <v>0</v>
      </c>
      <c r="I233" t="n">
        <v>0</v>
      </c>
      <c r="J233" t="n">
        <v>0</v>
      </c>
      <c r="K233" t="n">
        <v>0</v>
      </c>
      <c r="L233" t="n">
        <v>0</v>
      </c>
      <c r="M233" t="n">
        <v>0</v>
      </c>
      <c r="N233" t="n">
        <v>0</v>
      </c>
      <c r="O233" t="n">
        <v>0</v>
      </c>
      <c r="P233" t="n">
        <v>0</v>
      </c>
      <c r="Q233" t="n">
        <v>0</v>
      </c>
      <c r="R233" s="2" t="inlineStr"/>
    </row>
    <row r="234" ht="15" customHeight="1">
      <c r="A234" t="inlineStr">
        <is>
          <t>A 61593-2023</t>
        </is>
      </c>
      <c r="B234" s="1" t="n">
        <v>45265</v>
      </c>
      <c r="C234" s="1" t="n">
        <v>45973</v>
      </c>
      <c r="D234" t="inlineStr">
        <is>
          <t>ÖREBRO LÄN</t>
        </is>
      </c>
      <c r="E234" t="inlineStr">
        <is>
          <t>ÖREBRO</t>
        </is>
      </c>
      <c r="G234" t="n">
        <v>2.5</v>
      </c>
      <c r="H234" t="n">
        <v>0</v>
      </c>
      <c r="I234" t="n">
        <v>0</v>
      </c>
      <c r="J234" t="n">
        <v>0</v>
      </c>
      <c r="K234" t="n">
        <v>0</v>
      </c>
      <c r="L234" t="n">
        <v>0</v>
      </c>
      <c r="M234" t="n">
        <v>0</v>
      </c>
      <c r="N234" t="n">
        <v>0</v>
      </c>
      <c r="O234" t="n">
        <v>0</v>
      </c>
      <c r="P234" t="n">
        <v>0</v>
      </c>
      <c r="Q234" t="n">
        <v>0</v>
      </c>
      <c r="R234" s="2" t="inlineStr"/>
    </row>
    <row r="235" ht="15" customHeight="1">
      <c r="A235" t="inlineStr">
        <is>
          <t>A 38842-2022</t>
        </is>
      </c>
      <c r="B235" s="1" t="n">
        <v>44814</v>
      </c>
      <c r="C235" s="1" t="n">
        <v>45973</v>
      </c>
      <c r="D235" t="inlineStr">
        <is>
          <t>ÖREBRO LÄN</t>
        </is>
      </c>
      <c r="E235" t="inlineStr">
        <is>
          <t>ÖREBRO</t>
        </is>
      </c>
      <c r="G235" t="n">
        <v>5</v>
      </c>
      <c r="H235" t="n">
        <v>0</v>
      </c>
      <c r="I235" t="n">
        <v>0</v>
      </c>
      <c r="J235" t="n">
        <v>0</v>
      </c>
      <c r="K235" t="n">
        <v>0</v>
      </c>
      <c r="L235" t="n">
        <v>0</v>
      </c>
      <c r="M235" t="n">
        <v>0</v>
      </c>
      <c r="N235" t="n">
        <v>0</v>
      </c>
      <c r="O235" t="n">
        <v>0</v>
      </c>
      <c r="P235" t="n">
        <v>0</v>
      </c>
      <c r="Q235" t="n">
        <v>0</v>
      </c>
      <c r="R235" s="2" t="inlineStr"/>
    </row>
    <row r="236" ht="15" customHeight="1">
      <c r="A236" t="inlineStr">
        <is>
          <t>A 9379-2024</t>
        </is>
      </c>
      <c r="B236" s="1" t="n">
        <v>45359.37298611111</v>
      </c>
      <c r="C236" s="1" t="n">
        <v>45973</v>
      </c>
      <c r="D236" t="inlineStr">
        <is>
          <t>ÖREBRO LÄN</t>
        </is>
      </c>
      <c r="E236" t="inlineStr">
        <is>
          <t>ÖREBRO</t>
        </is>
      </c>
      <c r="G236" t="n">
        <v>2.4</v>
      </c>
      <c r="H236" t="n">
        <v>0</v>
      </c>
      <c r="I236" t="n">
        <v>0</v>
      </c>
      <c r="J236" t="n">
        <v>0</v>
      </c>
      <c r="K236" t="n">
        <v>0</v>
      </c>
      <c r="L236" t="n">
        <v>0</v>
      </c>
      <c r="M236" t="n">
        <v>0</v>
      </c>
      <c r="N236" t="n">
        <v>0</v>
      </c>
      <c r="O236" t="n">
        <v>0</v>
      </c>
      <c r="P236" t="n">
        <v>0</v>
      </c>
      <c r="Q236" t="n">
        <v>0</v>
      </c>
      <c r="R236" s="2" t="inlineStr"/>
    </row>
    <row r="237" ht="15" customHeight="1">
      <c r="A237" t="inlineStr">
        <is>
          <t>A 5398-2022</t>
        </is>
      </c>
      <c r="B237" s="1" t="n">
        <v>44595.3353587963</v>
      </c>
      <c r="C237" s="1" t="n">
        <v>45973</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49797-2024</t>
        </is>
      </c>
      <c r="B238" s="1" t="n">
        <v>45597.37265046296</v>
      </c>
      <c r="C238" s="1" t="n">
        <v>45973</v>
      </c>
      <c r="D238" t="inlineStr">
        <is>
          <t>ÖREBRO LÄN</t>
        </is>
      </c>
      <c r="E238" t="inlineStr">
        <is>
          <t>ÖREBRO</t>
        </is>
      </c>
      <c r="G238" t="n">
        <v>11.6</v>
      </c>
      <c r="H238" t="n">
        <v>0</v>
      </c>
      <c r="I238" t="n">
        <v>0</v>
      </c>
      <c r="J238" t="n">
        <v>0</v>
      </c>
      <c r="K238" t="n">
        <v>0</v>
      </c>
      <c r="L238" t="n">
        <v>0</v>
      </c>
      <c r="M238" t="n">
        <v>0</v>
      </c>
      <c r="N238" t="n">
        <v>0</v>
      </c>
      <c r="O238" t="n">
        <v>0</v>
      </c>
      <c r="P238" t="n">
        <v>0</v>
      </c>
      <c r="Q238" t="n">
        <v>0</v>
      </c>
      <c r="R238" s="2" t="inlineStr"/>
    </row>
    <row r="239" ht="15" customHeight="1">
      <c r="A239" t="inlineStr">
        <is>
          <t>A 11663-2024</t>
        </is>
      </c>
      <c r="B239" s="1" t="n">
        <v>45373</v>
      </c>
      <c r="C239" s="1" t="n">
        <v>45973</v>
      </c>
      <c r="D239" t="inlineStr">
        <is>
          <t>ÖREBRO LÄN</t>
        </is>
      </c>
      <c r="E239" t="inlineStr">
        <is>
          <t>ÖREBRO</t>
        </is>
      </c>
      <c r="G239" t="n">
        <v>1</v>
      </c>
      <c r="H239" t="n">
        <v>0</v>
      </c>
      <c r="I239" t="n">
        <v>0</v>
      </c>
      <c r="J239" t="n">
        <v>0</v>
      </c>
      <c r="K239" t="n">
        <v>0</v>
      </c>
      <c r="L239" t="n">
        <v>0</v>
      </c>
      <c r="M239" t="n">
        <v>0</v>
      </c>
      <c r="N239" t="n">
        <v>0</v>
      </c>
      <c r="O239" t="n">
        <v>0</v>
      </c>
      <c r="P239" t="n">
        <v>0</v>
      </c>
      <c r="Q239" t="n">
        <v>0</v>
      </c>
      <c r="R239" s="2" t="inlineStr"/>
    </row>
    <row r="240" ht="15" customHeight="1">
      <c r="A240" t="inlineStr">
        <is>
          <t>A 32086-2023</t>
        </is>
      </c>
      <c r="B240" s="1" t="n">
        <v>45119.59789351852</v>
      </c>
      <c r="C240" s="1" t="n">
        <v>45973</v>
      </c>
      <c r="D240" t="inlineStr">
        <is>
          <t>ÖREBRO LÄN</t>
        </is>
      </c>
      <c r="E240" t="inlineStr">
        <is>
          <t>ÖREBRO</t>
        </is>
      </c>
      <c r="G240" t="n">
        <v>0.7</v>
      </c>
      <c r="H240" t="n">
        <v>0</v>
      </c>
      <c r="I240" t="n">
        <v>0</v>
      </c>
      <c r="J240" t="n">
        <v>0</v>
      </c>
      <c r="K240" t="n">
        <v>0</v>
      </c>
      <c r="L240" t="n">
        <v>0</v>
      </c>
      <c r="M240" t="n">
        <v>0</v>
      </c>
      <c r="N240" t="n">
        <v>0</v>
      </c>
      <c r="O240" t="n">
        <v>0</v>
      </c>
      <c r="P240" t="n">
        <v>0</v>
      </c>
      <c r="Q240" t="n">
        <v>0</v>
      </c>
      <c r="R240" s="2" t="inlineStr"/>
    </row>
    <row r="241" ht="15" customHeight="1">
      <c r="A241" t="inlineStr">
        <is>
          <t>A 13856-2022</t>
        </is>
      </c>
      <c r="B241" s="1" t="n">
        <v>44649.6965162037</v>
      </c>
      <c r="C241" s="1" t="n">
        <v>45973</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23863-2023</t>
        </is>
      </c>
      <c r="B242" s="1" t="n">
        <v>45078.48994212963</v>
      </c>
      <c r="C242" s="1" t="n">
        <v>45973</v>
      </c>
      <c r="D242" t="inlineStr">
        <is>
          <t>ÖREBRO LÄN</t>
        </is>
      </c>
      <c r="E242" t="inlineStr">
        <is>
          <t>ÖREBRO</t>
        </is>
      </c>
      <c r="F242" t="inlineStr">
        <is>
          <t>Övriga Aktiebolag</t>
        </is>
      </c>
      <c r="G242" t="n">
        <v>5.9</v>
      </c>
      <c r="H242" t="n">
        <v>0</v>
      </c>
      <c r="I242" t="n">
        <v>0</v>
      </c>
      <c r="J242" t="n">
        <v>0</v>
      </c>
      <c r="K242" t="n">
        <v>0</v>
      </c>
      <c r="L242" t="n">
        <v>0</v>
      </c>
      <c r="M242" t="n">
        <v>0</v>
      </c>
      <c r="N242" t="n">
        <v>0</v>
      </c>
      <c r="O242" t="n">
        <v>0</v>
      </c>
      <c r="P242" t="n">
        <v>0</v>
      </c>
      <c r="Q242" t="n">
        <v>0</v>
      </c>
      <c r="R242" s="2" t="inlineStr"/>
    </row>
    <row r="243" ht="15" customHeight="1">
      <c r="A243" t="inlineStr">
        <is>
          <t>A 40597-2021</t>
        </is>
      </c>
      <c r="B243" s="1" t="n">
        <v>44420</v>
      </c>
      <c r="C243" s="1" t="n">
        <v>45973</v>
      </c>
      <c r="D243" t="inlineStr">
        <is>
          <t>ÖREBRO LÄN</t>
        </is>
      </c>
      <c r="E243" t="inlineStr">
        <is>
          <t>ÖREBRO</t>
        </is>
      </c>
      <c r="G243" t="n">
        <v>2.1</v>
      </c>
      <c r="H243" t="n">
        <v>0</v>
      </c>
      <c r="I243" t="n">
        <v>0</v>
      </c>
      <c r="J243" t="n">
        <v>0</v>
      </c>
      <c r="K243" t="n">
        <v>0</v>
      </c>
      <c r="L243" t="n">
        <v>0</v>
      </c>
      <c r="M243" t="n">
        <v>0</v>
      </c>
      <c r="N243" t="n">
        <v>0</v>
      </c>
      <c r="O243" t="n">
        <v>0</v>
      </c>
      <c r="P243" t="n">
        <v>0</v>
      </c>
      <c r="Q243" t="n">
        <v>0</v>
      </c>
      <c r="R243" s="2" t="inlineStr"/>
    </row>
    <row r="244" ht="15" customHeight="1">
      <c r="A244" t="inlineStr">
        <is>
          <t>A 39130-2023</t>
        </is>
      </c>
      <c r="B244" s="1" t="n">
        <v>45165</v>
      </c>
      <c r="C244" s="1" t="n">
        <v>45973</v>
      </c>
      <c r="D244" t="inlineStr">
        <is>
          <t>ÖREBRO LÄN</t>
        </is>
      </c>
      <c r="E244" t="inlineStr">
        <is>
          <t>ÖREBRO</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41995-2024</t>
        </is>
      </c>
      <c r="B245" s="1" t="n">
        <v>45561.6475462963</v>
      </c>
      <c r="C245" s="1" t="n">
        <v>45973</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8575-2021</t>
        </is>
      </c>
      <c r="B246" s="1" t="n">
        <v>44245</v>
      </c>
      <c r="C246" s="1" t="n">
        <v>45973</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26338-2021</t>
        </is>
      </c>
      <c r="B247" s="1" t="n">
        <v>44347</v>
      </c>
      <c r="C247" s="1" t="n">
        <v>45973</v>
      </c>
      <c r="D247" t="inlineStr">
        <is>
          <t>ÖREBRO LÄN</t>
        </is>
      </c>
      <c r="E247" t="inlineStr">
        <is>
          <t>ÖREBRO</t>
        </is>
      </c>
      <c r="G247" t="n">
        <v>0.5</v>
      </c>
      <c r="H247" t="n">
        <v>0</v>
      </c>
      <c r="I247" t="n">
        <v>0</v>
      </c>
      <c r="J247" t="n">
        <v>0</v>
      </c>
      <c r="K247" t="n">
        <v>0</v>
      </c>
      <c r="L247" t="n">
        <v>0</v>
      </c>
      <c r="M247" t="n">
        <v>0</v>
      </c>
      <c r="N247" t="n">
        <v>0</v>
      </c>
      <c r="O247" t="n">
        <v>0</v>
      </c>
      <c r="P247" t="n">
        <v>0</v>
      </c>
      <c r="Q247" t="n">
        <v>0</v>
      </c>
      <c r="R247" s="2" t="inlineStr"/>
    </row>
    <row r="248" ht="15" customHeight="1">
      <c r="A248" t="inlineStr">
        <is>
          <t>A 13599-2025</t>
        </is>
      </c>
      <c r="B248" s="1" t="n">
        <v>45736.60597222222</v>
      </c>
      <c r="C248" s="1" t="n">
        <v>45973</v>
      </c>
      <c r="D248" t="inlineStr">
        <is>
          <t>ÖREBRO LÄN</t>
        </is>
      </c>
      <c r="E248" t="inlineStr">
        <is>
          <t>ÖREBRO</t>
        </is>
      </c>
      <c r="G248" t="n">
        <v>1.9</v>
      </c>
      <c r="H248" t="n">
        <v>0</v>
      </c>
      <c r="I248" t="n">
        <v>0</v>
      </c>
      <c r="J248" t="n">
        <v>0</v>
      </c>
      <c r="K248" t="n">
        <v>0</v>
      </c>
      <c r="L248" t="n">
        <v>0</v>
      </c>
      <c r="M248" t="n">
        <v>0</v>
      </c>
      <c r="N248" t="n">
        <v>0</v>
      </c>
      <c r="O248" t="n">
        <v>0</v>
      </c>
      <c r="P248" t="n">
        <v>0</v>
      </c>
      <c r="Q248" t="n">
        <v>0</v>
      </c>
      <c r="R248" s="2" t="inlineStr"/>
    </row>
    <row r="249" ht="15" customHeight="1">
      <c r="A249" t="inlineStr">
        <is>
          <t>A 16737-2023</t>
        </is>
      </c>
      <c r="B249" s="1" t="n">
        <v>45030.72472222222</v>
      </c>
      <c r="C249" s="1" t="n">
        <v>45973</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71266-2021</t>
        </is>
      </c>
      <c r="B250" s="1" t="n">
        <v>44539</v>
      </c>
      <c r="C250" s="1" t="n">
        <v>45973</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71267-2021</t>
        </is>
      </c>
      <c r="B251" s="1" t="n">
        <v>44539</v>
      </c>
      <c r="C251" s="1" t="n">
        <v>45973</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71280-2021</t>
        </is>
      </c>
      <c r="B252" s="1" t="n">
        <v>44539</v>
      </c>
      <c r="C252" s="1" t="n">
        <v>45973</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15866-2022</t>
        </is>
      </c>
      <c r="B253" s="1" t="n">
        <v>44664</v>
      </c>
      <c r="C253" s="1" t="n">
        <v>45973</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2318-2023</t>
        </is>
      </c>
      <c r="B254" s="1" t="n">
        <v>44942</v>
      </c>
      <c r="C254" s="1" t="n">
        <v>45973</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5764-2022</t>
        </is>
      </c>
      <c r="B255" s="1" t="n">
        <v>44596</v>
      </c>
      <c r="C255" s="1" t="n">
        <v>45973</v>
      </c>
      <c r="D255" t="inlineStr">
        <is>
          <t>ÖREBRO LÄN</t>
        </is>
      </c>
      <c r="E255" t="inlineStr">
        <is>
          <t>ÖREBRO</t>
        </is>
      </c>
      <c r="G255" t="n">
        <v>3.5</v>
      </c>
      <c r="H255" t="n">
        <v>0</v>
      </c>
      <c r="I255" t="n">
        <v>0</v>
      </c>
      <c r="J255" t="n">
        <v>0</v>
      </c>
      <c r="K255" t="n">
        <v>0</v>
      </c>
      <c r="L255" t="n">
        <v>0</v>
      </c>
      <c r="M255" t="n">
        <v>0</v>
      </c>
      <c r="N255" t="n">
        <v>0</v>
      </c>
      <c r="O255" t="n">
        <v>0</v>
      </c>
      <c r="P255" t="n">
        <v>0</v>
      </c>
      <c r="Q255" t="n">
        <v>0</v>
      </c>
      <c r="R255" s="2" t="inlineStr"/>
    </row>
    <row r="256" ht="15" customHeight="1">
      <c r="A256" t="inlineStr">
        <is>
          <t>A 45027-2024</t>
        </is>
      </c>
      <c r="B256" s="1" t="n">
        <v>45575</v>
      </c>
      <c r="C256" s="1" t="n">
        <v>45973</v>
      </c>
      <c r="D256" t="inlineStr">
        <is>
          <t>ÖREBRO LÄN</t>
        </is>
      </c>
      <c r="E256" t="inlineStr">
        <is>
          <t>ÖREBRO</t>
        </is>
      </c>
      <c r="G256" t="n">
        <v>6.3</v>
      </c>
      <c r="H256" t="n">
        <v>0</v>
      </c>
      <c r="I256" t="n">
        <v>0</v>
      </c>
      <c r="J256" t="n">
        <v>0</v>
      </c>
      <c r="K256" t="n">
        <v>0</v>
      </c>
      <c r="L256" t="n">
        <v>0</v>
      </c>
      <c r="M256" t="n">
        <v>0</v>
      </c>
      <c r="N256" t="n">
        <v>0</v>
      </c>
      <c r="O256" t="n">
        <v>0</v>
      </c>
      <c r="P256" t="n">
        <v>0</v>
      </c>
      <c r="Q256" t="n">
        <v>0</v>
      </c>
      <c r="R256" s="2" t="inlineStr"/>
    </row>
    <row r="257" ht="15" customHeight="1">
      <c r="A257" t="inlineStr">
        <is>
          <t>A 40051-2024</t>
        </is>
      </c>
      <c r="B257" s="1" t="n">
        <v>45553</v>
      </c>
      <c r="C257" s="1" t="n">
        <v>45973</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41543-2024</t>
        </is>
      </c>
      <c r="B258" s="1" t="n">
        <v>45560</v>
      </c>
      <c r="C258" s="1" t="n">
        <v>45973</v>
      </c>
      <c r="D258" t="inlineStr">
        <is>
          <t>ÖREBRO LÄN</t>
        </is>
      </c>
      <c r="E258" t="inlineStr">
        <is>
          <t>ÖREBRO</t>
        </is>
      </c>
      <c r="G258" t="n">
        <v>2.8</v>
      </c>
      <c r="H258" t="n">
        <v>0</v>
      </c>
      <c r="I258" t="n">
        <v>0</v>
      </c>
      <c r="J258" t="n">
        <v>0</v>
      </c>
      <c r="K258" t="n">
        <v>0</v>
      </c>
      <c r="L258" t="n">
        <v>0</v>
      </c>
      <c r="M258" t="n">
        <v>0</v>
      </c>
      <c r="N258" t="n">
        <v>0</v>
      </c>
      <c r="O258" t="n">
        <v>0</v>
      </c>
      <c r="P258" t="n">
        <v>0</v>
      </c>
      <c r="Q258" t="n">
        <v>0</v>
      </c>
      <c r="R258" s="2" t="inlineStr"/>
    </row>
    <row r="259" ht="15" customHeight="1">
      <c r="A259" t="inlineStr">
        <is>
          <t>A 10799-2024</t>
        </is>
      </c>
      <c r="B259" s="1" t="n">
        <v>45369</v>
      </c>
      <c r="C259" s="1" t="n">
        <v>45973</v>
      </c>
      <c r="D259" t="inlineStr">
        <is>
          <t>ÖREBRO LÄN</t>
        </is>
      </c>
      <c r="E259" t="inlineStr">
        <is>
          <t>ÖREBRO</t>
        </is>
      </c>
      <c r="G259" t="n">
        <v>5.8</v>
      </c>
      <c r="H259" t="n">
        <v>0</v>
      </c>
      <c r="I259" t="n">
        <v>0</v>
      </c>
      <c r="J259" t="n">
        <v>0</v>
      </c>
      <c r="K259" t="n">
        <v>0</v>
      </c>
      <c r="L259" t="n">
        <v>0</v>
      </c>
      <c r="M259" t="n">
        <v>0</v>
      </c>
      <c r="N259" t="n">
        <v>0</v>
      </c>
      <c r="O259" t="n">
        <v>0</v>
      </c>
      <c r="P259" t="n">
        <v>0</v>
      </c>
      <c r="Q259" t="n">
        <v>0</v>
      </c>
      <c r="R259" s="2" t="inlineStr"/>
    </row>
    <row r="260" ht="15" customHeight="1">
      <c r="A260" t="inlineStr">
        <is>
          <t>A 16694-2025</t>
        </is>
      </c>
      <c r="B260" s="1" t="n">
        <v>45754.46480324074</v>
      </c>
      <c r="C260" s="1" t="n">
        <v>45973</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58644-2023</t>
        </is>
      </c>
      <c r="B261" s="1" t="n">
        <v>45251.58716435185</v>
      </c>
      <c r="C261" s="1" t="n">
        <v>45973</v>
      </c>
      <c r="D261" t="inlineStr">
        <is>
          <t>ÖREBRO LÄN</t>
        </is>
      </c>
      <c r="E261" t="inlineStr">
        <is>
          <t>ÖREBRO</t>
        </is>
      </c>
      <c r="F261" t="inlineStr">
        <is>
          <t>Övriga Aktiebolag</t>
        </is>
      </c>
      <c r="G261" t="n">
        <v>1.9</v>
      </c>
      <c r="H261" t="n">
        <v>0</v>
      </c>
      <c r="I261" t="n">
        <v>0</v>
      </c>
      <c r="J261" t="n">
        <v>0</v>
      </c>
      <c r="K261" t="n">
        <v>0</v>
      </c>
      <c r="L261" t="n">
        <v>0</v>
      </c>
      <c r="M261" t="n">
        <v>0</v>
      </c>
      <c r="N261" t="n">
        <v>0</v>
      </c>
      <c r="O261" t="n">
        <v>0</v>
      </c>
      <c r="P261" t="n">
        <v>0</v>
      </c>
      <c r="Q261" t="n">
        <v>0</v>
      </c>
      <c r="R261" s="2" t="inlineStr"/>
    </row>
    <row r="262" ht="15" customHeight="1">
      <c r="A262" t="inlineStr">
        <is>
          <t>A 50375-2024</t>
        </is>
      </c>
      <c r="B262" s="1" t="n">
        <v>45601.29311342593</v>
      </c>
      <c r="C262" s="1" t="n">
        <v>45973</v>
      </c>
      <c r="D262" t="inlineStr">
        <is>
          <t>ÖREBRO LÄN</t>
        </is>
      </c>
      <c r="E262" t="inlineStr">
        <is>
          <t>ÖREBRO</t>
        </is>
      </c>
      <c r="G262" t="n">
        <v>5</v>
      </c>
      <c r="H262" t="n">
        <v>0</v>
      </c>
      <c r="I262" t="n">
        <v>0</v>
      </c>
      <c r="J262" t="n">
        <v>0</v>
      </c>
      <c r="K262" t="n">
        <v>0</v>
      </c>
      <c r="L262" t="n">
        <v>0</v>
      </c>
      <c r="M262" t="n">
        <v>0</v>
      </c>
      <c r="N262" t="n">
        <v>0</v>
      </c>
      <c r="O262" t="n">
        <v>0</v>
      </c>
      <c r="P262" t="n">
        <v>0</v>
      </c>
      <c r="Q262" t="n">
        <v>0</v>
      </c>
      <c r="R262" s="2" t="inlineStr"/>
    </row>
    <row r="263" ht="15" customHeight="1">
      <c r="A263" t="inlineStr">
        <is>
          <t>A 52391-2024</t>
        </is>
      </c>
      <c r="B263" s="1" t="n">
        <v>45609.43180555556</v>
      </c>
      <c r="C263" s="1" t="n">
        <v>45973</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66799-2020</t>
        </is>
      </c>
      <c r="B264" s="1" t="n">
        <v>44179</v>
      </c>
      <c r="C264" s="1" t="n">
        <v>45973</v>
      </c>
      <c r="D264" t="inlineStr">
        <is>
          <t>ÖREBRO LÄN</t>
        </is>
      </c>
      <c r="E264" t="inlineStr">
        <is>
          <t>ÖREBRO</t>
        </is>
      </c>
      <c r="G264" t="n">
        <v>5.2</v>
      </c>
      <c r="H264" t="n">
        <v>0</v>
      </c>
      <c r="I264" t="n">
        <v>0</v>
      </c>
      <c r="J264" t="n">
        <v>0</v>
      </c>
      <c r="K264" t="n">
        <v>0</v>
      </c>
      <c r="L264" t="n">
        <v>0</v>
      </c>
      <c r="M264" t="n">
        <v>0</v>
      </c>
      <c r="N264" t="n">
        <v>0</v>
      </c>
      <c r="O264" t="n">
        <v>0</v>
      </c>
      <c r="P264" t="n">
        <v>0</v>
      </c>
      <c r="Q264" t="n">
        <v>0</v>
      </c>
      <c r="R264" s="2" t="inlineStr"/>
    </row>
    <row r="265" ht="15" customHeight="1">
      <c r="A265" t="inlineStr">
        <is>
          <t>A 49465-2024</t>
        </is>
      </c>
      <c r="B265" s="1" t="n">
        <v>45596</v>
      </c>
      <c r="C265" s="1" t="n">
        <v>45973</v>
      </c>
      <c r="D265" t="inlineStr">
        <is>
          <t>ÖREBRO LÄN</t>
        </is>
      </c>
      <c r="E265" t="inlineStr">
        <is>
          <t>ÖREBRO</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38057-2025</t>
        </is>
      </c>
      <c r="B266" s="1" t="n">
        <v>45882.42570601852</v>
      </c>
      <c r="C266" s="1" t="n">
        <v>45973</v>
      </c>
      <c r="D266" t="inlineStr">
        <is>
          <t>ÖREBRO LÄN</t>
        </is>
      </c>
      <c r="E266" t="inlineStr">
        <is>
          <t>ÖREBRO</t>
        </is>
      </c>
      <c r="G266" t="n">
        <v>3</v>
      </c>
      <c r="H266" t="n">
        <v>0</v>
      </c>
      <c r="I266" t="n">
        <v>0</v>
      </c>
      <c r="J266" t="n">
        <v>0</v>
      </c>
      <c r="K266" t="n">
        <v>0</v>
      </c>
      <c r="L266" t="n">
        <v>0</v>
      </c>
      <c r="M266" t="n">
        <v>0</v>
      </c>
      <c r="N266" t="n">
        <v>0</v>
      </c>
      <c r="O266" t="n">
        <v>0</v>
      </c>
      <c r="P266" t="n">
        <v>0</v>
      </c>
      <c r="Q266" t="n">
        <v>0</v>
      </c>
      <c r="R266" s="2" t="inlineStr"/>
    </row>
    <row r="267" ht="15" customHeight="1">
      <c r="A267" t="inlineStr">
        <is>
          <t>A 59121-2024</t>
        </is>
      </c>
      <c r="B267" s="1" t="n">
        <v>45637.37755787037</v>
      </c>
      <c r="C267" s="1" t="n">
        <v>45973</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49215-2023</t>
        </is>
      </c>
      <c r="B268" s="1" t="n">
        <v>45210.61050925926</v>
      </c>
      <c r="C268" s="1" t="n">
        <v>45973</v>
      </c>
      <c r="D268" t="inlineStr">
        <is>
          <t>ÖREBRO LÄN</t>
        </is>
      </c>
      <c r="E268" t="inlineStr">
        <is>
          <t>ÖREBRO</t>
        </is>
      </c>
      <c r="F268" t="inlineStr">
        <is>
          <t>Övriga Aktiebolag</t>
        </is>
      </c>
      <c r="G268" t="n">
        <v>4.2</v>
      </c>
      <c r="H268" t="n">
        <v>0</v>
      </c>
      <c r="I268" t="n">
        <v>0</v>
      </c>
      <c r="J268" t="n">
        <v>0</v>
      </c>
      <c r="K268" t="n">
        <v>0</v>
      </c>
      <c r="L268" t="n">
        <v>0</v>
      </c>
      <c r="M268" t="n">
        <v>0</v>
      </c>
      <c r="N268" t="n">
        <v>0</v>
      </c>
      <c r="O268" t="n">
        <v>0</v>
      </c>
      <c r="P268" t="n">
        <v>0</v>
      </c>
      <c r="Q268" t="n">
        <v>0</v>
      </c>
      <c r="R268" s="2" t="inlineStr"/>
    </row>
    <row r="269" ht="15" customHeight="1">
      <c r="A269" t="inlineStr">
        <is>
          <t>A 21338-2025</t>
        </is>
      </c>
      <c r="B269" s="1" t="n">
        <v>45780</v>
      </c>
      <c r="C269" s="1" t="n">
        <v>45973</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58532-2024</t>
        </is>
      </c>
      <c r="B270" s="1" t="n">
        <v>45635.44899305556</v>
      </c>
      <c r="C270" s="1" t="n">
        <v>45973</v>
      </c>
      <c r="D270" t="inlineStr">
        <is>
          <t>ÖREBRO LÄN</t>
        </is>
      </c>
      <c r="E270" t="inlineStr">
        <is>
          <t>ÖREBRO</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17983-2025</t>
        </is>
      </c>
      <c r="B271" s="1" t="n">
        <v>45761.38829861111</v>
      </c>
      <c r="C271" s="1" t="n">
        <v>45973</v>
      </c>
      <c r="D271" t="inlineStr">
        <is>
          <t>ÖREBRO LÄN</t>
        </is>
      </c>
      <c r="E271" t="inlineStr">
        <is>
          <t>ÖREBRO</t>
        </is>
      </c>
      <c r="G271" t="n">
        <v>0.8</v>
      </c>
      <c r="H271" t="n">
        <v>0</v>
      </c>
      <c r="I271" t="n">
        <v>0</v>
      </c>
      <c r="J271" t="n">
        <v>0</v>
      </c>
      <c r="K271" t="n">
        <v>0</v>
      </c>
      <c r="L271" t="n">
        <v>0</v>
      </c>
      <c r="M271" t="n">
        <v>0</v>
      </c>
      <c r="N271" t="n">
        <v>0</v>
      </c>
      <c r="O271" t="n">
        <v>0</v>
      </c>
      <c r="P271" t="n">
        <v>0</v>
      </c>
      <c r="Q271" t="n">
        <v>0</v>
      </c>
      <c r="R271" s="2" t="inlineStr"/>
    </row>
    <row r="272" ht="15" customHeight="1">
      <c r="A272" t="inlineStr">
        <is>
          <t>A 20150-2024</t>
        </is>
      </c>
      <c r="B272" s="1" t="n">
        <v>45434.57969907407</v>
      </c>
      <c r="C272" s="1" t="n">
        <v>45973</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8571-2021</t>
        </is>
      </c>
      <c r="B273" s="1" t="n">
        <v>44245</v>
      </c>
      <c r="C273" s="1" t="n">
        <v>45973</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58208-2024</t>
        </is>
      </c>
      <c r="B274" s="1" t="n">
        <v>45632</v>
      </c>
      <c r="C274" s="1" t="n">
        <v>45973</v>
      </c>
      <c r="D274" t="inlineStr">
        <is>
          <t>ÖREBRO LÄN</t>
        </is>
      </c>
      <c r="E274" t="inlineStr">
        <is>
          <t>ÖREBRO</t>
        </is>
      </c>
      <c r="G274" t="n">
        <v>3.1</v>
      </c>
      <c r="H274" t="n">
        <v>0</v>
      </c>
      <c r="I274" t="n">
        <v>0</v>
      </c>
      <c r="J274" t="n">
        <v>0</v>
      </c>
      <c r="K274" t="n">
        <v>0</v>
      </c>
      <c r="L274" t="n">
        <v>0</v>
      </c>
      <c r="M274" t="n">
        <v>0</v>
      </c>
      <c r="N274" t="n">
        <v>0</v>
      </c>
      <c r="O274" t="n">
        <v>0</v>
      </c>
      <c r="P274" t="n">
        <v>0</v>
      </c>
      <c r="Q274" t="n">
        <v>0</v>
      </c>
      <c r="R274" s="2" t="inlineStr"/>
    </row>
    <row r="275" ht="15" customHeight="1">
      <c r="A275" t="inlineStr">
        <is>
          <t>A 19388-2024</t>
        </is>
      </c>
      <c r="B275" s="1" t="n">
        <v>45429.37775462963</v>
      </c>
      <c r="C275" s="1" t="n">
        <v>45973</v>
      </c>
      <c r="D275" t="inlineStr">
        <is>
          <t>ÖREBRO LÄN</t>
        </is>
      </c>
      <c r="E275" t="inlineStr">
        <is>
          <t>ÖREBRO</t>
        </is>
      </c>
      <c r="G275" t="n">
        <v>4.3</v>
      </c>
      <c r="H275" t="n">
        <v>0</v>
      </c>
      <c r="I275" t="n">
        <v>0</v>
      </c>
      <c r="J275" t="n">
        <v>0</v>
      </c>
      <c r="K275" t="n">
        <v>0</v>
      </c>
      <c r="L275" t="n">
        <v>0</v>
      </c>
      <c r="M275" t="n">
        <v>0</v>
      </c>
      <c r="N275" t="n">
        <v>0</v>
      </c>
      <c r="O275" t="n">
        <v>0</v>
      </c>
      <c r="P275" t="n">
        <v>0</v>
      </c>
      <c r="Q275" t="n">
        <v>0</v>
      </c>
      <c r="R275" s="2" t="inlineStr"/>
    </row>
    <row r="276" ht="15" customHeight="1">
      <c r="A276" t="inlineStr">
        <is>
          <t>A 7506-2025</t>
        </is>
      </c>
      <c r="B276" s="1" t="n">
        <v>45705</v>
      </c>
      <c r="C276" s="1" t="n">
        <v>45973</v>
      </c>
      <c r="D276" t="inlineStr">
        <is>
          <t>ÖREBRO LÄN</t>
        </is>
      </c>
      <c r="E276" t="inlineStr">
        <is>
          <t>ÖREBRO</t>
        </is>
      </c>
      <c r="G276" t="n">
        <v>0.5</v>
      </c>
      <c r="H276" t="n">
        <v>0</v>
      </c>
      <c r="I276" t="n">
        <v>0</v>
      </c>
      <c r="J276" t="n">
        <v>0</v>
      </c>
      <c r="K276" t="n">
        <v>0</v>
      </c>
      <c r="L276" t="n">
        <v>0</v>
      </c>
      <c r="M276" t="n">
        <v>0</v>
      </c>
      <c r="N276" t="n">
        <v>0</v>
      </c>
      <c r="O276" t="n">
        <v>0</v>
      </c>
      <c r="P276" t="n">
        <v>0</v>
      </c>
      <c r="Q276" t="n">
        <v>0</v>
      </c>
      <c r="R276" s="2" t="inlineStr"/>
    </row>
    <row r="277" ht="15" customHeight="1">
      <c r="A277" t="inlineStr">
        <is>
          <t>A 55692-2023</t>
        </is>
      </c>
      <c r="B277" s="1" t="n">
        <v>45239</v>
      </c>
      <c r="C277" s="1" t="n">
        <v>45973</v>
      </c>
      <c r="D277" t="inlineStr">
        <is>
          <t>ÖREBRO LÄN</t>
        </is>
      </c>
      <c r="E277" t="inlineStr">
        <is>
          <t>ÖREBRO</t>
        </is>
      </c>
      <c r="F277" t="inlineStr">
        <is>
          <t>Övriga Aktiebolag</t>
        </is>
      </c>
      <c r="G277" t="n">
        <v>0.4</v>
      </c>
      <c r="H277" t="n">
        <v>0</v>
      </c>
      <c r="I277" t="n">
        <v>0</v>
      </c>
      <c r="J277" t="n">
        <v>0</v>
      </c>
      <c r="K277" t="n">
        <v>0</v>
      </c>
      <c r="L277" t="n">
        <v>0</v>
      </c>
      <c r="M277" t="n">
        <v>0</v>
      </c>
      <c r="N277" t="n">
        <v>0</v>
      </c>
      <c r="O277" t="n">
        <v>0</v>
      </c>
      <c r="P277" t="n">
        <v>0</v>
      </c>
      <c r="Q277" t="n">
        <v>0</v>
      </c>
      <c r="R277" s="2" t="inlineStr"/>
    </row>
    <row r="278" ht="15" customHeight="1">
      <c r="A278" t="inlineStr">
        <is>
          <t>A 4344-2025</t>
        </is>
      </c>
      <c r="B278" s="1" t="n">
        <v>45685</v>
      </c>
      <c r="C278" s="1" t="n">
        <v>45973</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22755-2025</t>
        </is>
      </c>
      <c r="B279" s="1" t="n">
        <v>45789.61872685186</v>
      </c>
      <c r="C279" s="1" t="n">
        <v>45973</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14715-2024</t>
        </is>
      </c>
      <c r="B280" s="1" t="n">
        <v>45397.5500462963</v>
      </c>
      <c r="C280" s="1" t="n">
        <v>45973</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44199-2024</t>
        </is>
      </c>
      <c r="B281" s="1" t="n">
        <v>45573</v>
      </c>
      <c r="C281" s="1" t="n">
        <v>45973</v>
      </c>
      <c r="D281" t="inlineStr">
        <is>
          <t>ÖREBRO LÄN</t>
        </is>
      </c>
      <c r="E281" t="inlineStr">
        <is>
          <t>ÖREBRO</t>
        </is>
      </c>
      <c r="G281" t="n">
        <v>4.3</v>
      </c>
      <c r="H281" t="n">
        <v>0</v>
      </c>
      <c r="I281" t="n">
        <v>0</v>
      </c>
      <c r="J281" t="n">
        <v>0</v>
      </c>
      <c r="K281" t="n">
        <v>0</v>
      </c>
      <c r="L281" t="n">
        <v>0</v>
      </c>
      <c r="M281" t="n">
        <v>0</v>
      </c>
      <c r="N281" t="n">
        <v>0</v>
      </c>
      <c r="O281" t="n">
        <v>0</v>
      </c>
      <c r="P281" t="n">
        <v>0</v>
      </c>
      <c r="Q281" t="n">
        <v>0</v>
      </c>
      <c r="R281" s="2" t="inlineStr"/>
    </row>
    <row r="282" ht="15" customHeight="1">
      <c r="A282" t="inlineStr">
        <is>
          <t>A 34336-2024</t>
        </is>
      </c>
      <c r="B282" s="1" t="n">
        <v>45524.94774305556</v>
      </c>
      <c r="C282" s="1" t="n">
        <v>45973</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16300-2022</t>
        </is>
      </c>
      <c r="B283" s="1" t="n">
        <v>44670</v>
      </c>
      <c r="C283" s="1" t="n">
        <v>45973</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26443-2024</t>
        </is>
      </c>
      <c r="B284" s="1" t="n">
        <v>45469.49901620371</v>
      </c>
      <c r="C284" s="1" t="n">
        <v>45973</v>
      </c>
      <c r="D284" t="inlineStr">
        <is>
          <t>ÖREBRO LÄN</t>
        </is>
      </c>
      <c r="E284" t="inlineStr">
        <is>
          <t>ÖREBRO</t>
        </is>
      </c>
      <c r="G284" t="n">
        <v>5.7</v>
      </c>
      <c r="H284" t="n">
        <v>0</v>
      </c>
      <c r="I284" t="n">
        <v>0</v>
      </c>
      <c r="J284" t="n">
        <v>0</v>
      </c>
      <c r="K284" t="n">
        <v>0</v>
      </c>
      <c r="L284" t="n">
        <v>0</v>
      </c>
      <c r="M284" t="n">
        <v>0</v>
      </c>
      <c r="N284" t="n">
        <v>0</v>
      </c>
      <c r="O284" t="n">
        <v>0</v>
      </c>
      <c r="P284" t="n">
        <v>0</v>
      </c>
      <c r="Q284" t="n">
        <v>0</v>
      </c>
      <c r="R284" s="2" t="inlineStr"/>
    </row>
    <row r="285" ht="15" customHeight="1">
      <c r="A285" t="inlineStr">
        <is>
          <t>A 35477-2024</t>
        </is>
      </c>
      <c r="B285" s="1" t="n">
        <v>45531</v>
      </c>
      <c r="C285" s="1" t="n">
        <v>45973</v>
      </c>
      <c r="D285" t="inlineStr">
        <is>
          <t>ÖREBRO LÄN</t>
        </is>
      </c>
      <c r="E285" t="inlineStr">
        <is>
          <t>ÖREBRO</t>
        </is>
      </c>
      <c r="G285" t="n">
        <v>2.4</v>
      </c>
      <c r="H285" t="n">
        <v>0</v>
      </c>
      <c r="I285" t="n">
        <v>0</v>
      </c>
      <c r="J285" t="n">
        <v>0</v>
      </c>
      <c r="K285" t="n">
        <v>0</v>
      </c>
      <c r="L285" t="n">
        <v>0</v>
      </c>
      <c r="M285" t="n">
        <v>0</v>
      </c>
      <c r="N285" t="n">
        <v>0</v>
      </c>
      <c r="O285" t="n">
        <v>0</v>
      </c>
      <c r="P285" t="n">
        <v>0</v>
      </c>
      <c r="Q285" t="n">
        <v>0</v>
      </c>
      <c r="R285" s="2" t="inlineStr"/>
    </row>
    <row r="286" ht="15" customHeight="1">
      <c r="A286" t="inlineStr">
        <is>
          <t>A 16958-2022</t>
        </is>
      </c>
      <c r="B286" s="1" t="n">
        <v>44676.50481481481</v>
      </c>
      <c r="C286" s="1" t="n">
        <v>45973</v>
      </c>
      <c r="D286" t="inlineStr">
        <is>
          <t>ÖREBRO LÄN</t>
        </is>
      </c>
      <c r="E286" t="inlineStr">
        <is>
          <t>ÖREBRO</t>
        </is>
      </c>
      <c r="G286" t="n">
        <v>3.1</v>
      </c>
      <c r="H286" t="n">
        <v>0</v>
      </c>
      <c r="I286" t="n">
        <v>0</v>
      </c>
      <c r="J286" t="n">
        <v>0</v>
      </c>
      <c r="K286" t="n">
        <v>0</v>
      </c>
      <c r="L286" t="n">
        <v>0</v>
      </c>
      <c r="M286" t="n">
        <v>0</v>
      </c>
      <c r="N286" t="n">
        <v>0</v>
      </c>
      <c r="O286" t="n">
        <v>0</v>
      </c>
      <c r="P286" t="n">
        <v>0</v>
      </c>
      <c r="Q286" t="n">
        <v>0</v>
      </c>
      <c r="R286" s="2" t="inlineStr"/>
    </row>
    <row r="287" ht="15" customHeight="1">
      <c r="A287" t="inlineStr">
        <is>
          <t>A 12682-2023</t>
        </is>
      </c>
      <c r="B287" s="1" t="n">
        <v>45000.6115625</v>
      </c>
      <c r="C287" s="1" t="n">
        <v>45973</v>
      </c>
      <c r="D287" t="inlineStr">
        <is>
          <t>ÖREBRO LÄN</t>
        </is>
      </c>
      <c r="E287" t="inlineStr">
        <is>
          <t>ÖREBRO</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55472-2023</t>
        </is>
      </c>
      <c r="B288" s="1" t="n">
        <v>45238</v>
      </c>
      <c r="C288" s="1" t="n">
        <v>45973</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13592-2023</t>
        </is>
      </c>
      <c r="B289" s="1" t="n">
        <v>45006.56870370371</v>
      </c>
      <c r="C289" s="1" t="n">
        <v>45973</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10368-2021</t>
        </is>
      </c>
      <c r="B290" s="1" t="n">
        <v>44257</v>
      </c>
      <c r="C290" s="1" t="n">
        <v>45973</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22719-2025</t>
        </is>
      </c>
      <c r="B291" s="1" t="n">
        <v>45789</v>
      </c>
      <c r="C291" s="1" t="n">
        <v>45973</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30316-2024</t>
        </is>
      </c>
      <c r="B292" s="1" t="n">
        <v>45490</v>
      </c>
      <c r="C292" s="1" t="n">
        <v>45973</v>
      </c>
      <c r="D292" t="inlineStr">
        <is>
          <t>ÖREBRO LÄN</t>
        </is>
      </c>
      <c r="E292" t="inlineStr">
        <is>
          <t>ÖREBRO</t>
        </is>
      </c>
      <c r="G292" t="n">
        <v>5.5</v>
      </c>
      <c r="H292" t="n">
        <v>0</v>
      </c>
      <c r="I292" t="n">
        <v>0</v>
      </c>
      <c r="J292" t="n">
        <v>0</v>
      </c>
      <c r="K292" t="n">
        <v>0</v>
      </c>
      <c r="L292" t="n">
        <v>0</v>
      </c>
      <c r="M292" t="n">
        <v>0</v>
      </c>
      <c r="N292" t="n">
        <v>0</v>
      </c>
      <c r="O292" t="n">
        <v>0</v>
      </c>
      <c r="P292" t="n">
        <v>0</v>
      </c>
      <c r="Q292" t="n">
        <v>0</v>
      </c>
      <c r="R292" s="2" t="inlineStr"/>
    </row>
    <row r="293" ht="15" customHeight="1">
      <c r="A293" t="inlineStr">
        <is>
          <t>A 38790-2024</t>
        </is>
      </c>
      <c r="B293" s="1" t="n">
        <v>45547.48450231482</v>
      </c>
      <c r="C293" s="1" t="n">
        <v>45973</v>
      </c>
      <c r="D293" t="inlineStr">
        <is>
          <t>ÖREBRO LÄN</t>
        </is>
      </c>
      <c r="E293" t="inlineStr">
        <is>
          <t>ÖREBRO</t>
        </is>
      </c>
      <c r="G293" t="n">
        <v>2</v>
      </c>
      <c r="H293" t="n">
        <v>0</v>
      </c>
      <c r="I293" t="n">
        <v>0</v>
      </c>
      <c r="J293" t="n">
        <v>0</v>
      </c>
      <c r="K293" t="n">
        <v>0</v>
      </c>
      <c r="L293" t="n">
        <v>0</v>
      </c>
      <c r="M293" t="n">
        <v>0</v>
      </c>
      <c r="N293" t="n">
        <v>0</v>
      </c>
      <c r="O293" t="n">
        <v>0</v>
      </c>
      <c r="P293" t="n">
        <v>0</v>
      </c>
      <c r="Q293" t="n">
        <v>0</v>
      </c>
      <c r="R293" s="2" t="inlineStr"/>
    </row>
    <row r="294" ht="15" customHeight="1">
      <c r="A294" t="inlineStr">
        <is>
          <t>A 61279-2024</t>
        </is>
      </c>
      <c r="B294" s="1" t="n">
        <v>45645</v>
      </c>
      <c r="C294" s="1" t="n">
        <v>45973</v>
      </c>
      <c r="D294" t="inlineStr">
        <is>
          <t>ÖREBRO LÄN</t>
        </is>
      </c>
      <c r="E294" t="inlineStr">
        <is>
          <t>ÖREBRO</t>
        </is>
      </c>
      <c r="G294" t="n">
        <v>0.7</v>
      </c>
      <c r="H294" t="n">
        <v>0</v>
      </c>
      <c r="I294" t="n">
        <v>0</v>
      </c>
      <c r="J294" t="n">
        <v>0</v>
      </c>
      <c r="K294" t="n">
        <v>0</v>
      </c>
      <c r="L294" t="n">
        <v>0</v>
      </c>
      <c r="M294" t="n">
        <v>0</v>
      </c>
      <c r="N294" t="n">
        <v>0</v>
      </c>
      <c r="O294" t="n">
        <v>0</v>
      </c>
      <c r="P294" t="n">
        <v>0</v>
      </c>
      <c r="Q294" t="n">
        <v>0</v>
      </c>
      <c r="R294" s="2" t="inlineStr"/>
    </row>
    <row r="295" ht="15" customHeight="1">
      <c r="A295" t="inlineStr">
        <is>
          <t>A 71269-2021</t>
        </is>
      </c>
      <c r="B295" s="1" t="n">
        <v>44539</v>
      </c>
      <c r="C295" s="1" t="n">
        <v>45973</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54925-2023</t>
        </is>
      </c>
      <c r="B296" s="1" t="n">
        <v>45229</v>
      </c>
      <c r="C296" s="1" t="n">
        <v>45973</v>
      </c>
      <c r="D296" t="inlineStr">
        <is>
          <t>ÖREBRO LÄN</t>
        </is>
      </c>
      <c r="E296" t="inlineStr">
        <is>
          <t>ÖREBRO</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8568-2021</t>
        </is>
      </c>
      <c r="B297" s="1" t="n">
        <v>44245</v>
      </c>
      <c r="C297" s="1" t="n">
        <v>45973</v>
      </c>
      <c r="D297" t="inlineStr">
        <is>
          <t>ÖREBRO LÄN</t>
        </is>
      </c>
      <c r="E297" t="inlineStr">
        <is>
          <t>ÖREBRO</t>
        </is>
      </c>
      <c r="G297" t="n">
        <v>4.8</v>
      </c>
      <c r="H297" t="n">
        <v>0</v>
      </c>
      <c r="I297" t="n">
        <v>0</v>
      </c>
      <c r="J297" t="n">
        <v>0</v>
      </c>
      <c r="K297" t="n">
        <v>0</v>
      </c>
      <c r="L297" t="n">
        <v>0</v>
      </c>
      <c r="M297" t="n">
        <v>0</v>
      </c>
      <c r="N297" t="n">
        <v>0</v>
      </c>
      <c r="O297" t="n">
        <v>0</v>
      </c>
      <c r="P297" t="n">
        <v>0</v>
      </c>
      <c r="Q297" t="n">
        <v>0</v>
      </c>
      <c r="R297" s="2" t="inlineStr"/>
    </row>
    <row r="298" ht="15" customHeight="1">
      <c r="A298" t="inlineStr">
        <is>
          <t>A 15555-2025</t>
        </is>
      </c>
      <c r="B298" s="1" t="n">
        <v>45747.67768518518</v>
      </c>
      <c r="C298" s="1" t="n">
        <v>45973</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5136-2024</t>
        </is>
      </c>
      <c r="B299" s="1" t="n">
        <v>45330</v>
      </c>
      <c r="C299" s="1" t="n">
        <v>45973</v>
      </c>
      <c r="D299" t="inlineStr">
        <is>
          <t>ÖREBRO LÄN</t>
        </is>
      </c>
      <c r="E299" t="inlineStr">
        <is>
          <t>ÖREBRO</t>
        </is>
      </c>
      <c r="G299" t="n">
        <v>2.1</v>
      </c>
      <c r="H299" t="n">
        <v>0</v>
      </c>
      <c r="I299" t="n">
        <v>0</v>
      </c>
      <c r="J299" t="n">
        <v>0</v>
      </c>
      <c r="K299" t="n">
        <v>0</v>
      </c>
      <c r="L299" t="n">
        <v>0</v>
      </c>
      <c r="M299" t="n">
        <v>0</v>
      </c>
      <c r="N299" t="n">
        <v>0</v>
      </c>
      <c r="O299" t="n">
        <v>0</v>
      </c>
      <c r="P299" t="n">
        <v>0</v>
      </c>
      <c r="Q299" t="n">
        <v>0</v>
      </c>
      <c r="R299" s="2" t="inlineStr"/>
    </row>
    <row r="300" ht="15" customHeight="1">
      <c r="A300" t="inlineStr">
        <is>
          <t>A 59736-2023</t>
        </is>
      </c>
      <c r="B300" s="1" t="n">
        <v>45257.374375</v>
      </c>
      <c r="C300" s="1" t="n">
        <v>45973</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16961-2022</t>
        </is>
      </c>
      <c r="B301" s="1" t="n">
        <v>44676</v>
      </c>
      <c r="C301" s="1" t="n">
        <v>45973</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4380-2025</t>
        </is>
      </c>
      <c r="B302" s="1" t="n">
        <v>45686.3959375</v>
      </c>
      <c r="C302" s="1" t="n">
        <v>45973</v>
      </c>
      <c r="D302" t="inlineStr">
        <is>
          <t>ÖREBRO LÄN</t>
        </is>
      </c>
      <c r="E302" t="inlineStr">
        <is>
          <t>ÖREBRO</t>
        </is>
      </c>
      <c r="G302" t="n">
        <v>3.2</v>
      </c>
      <c r="H302" t="n">
        <v>0</v>
      </c>
      <c r="I302" t="n">
        <v>0</v>
      </c>
      <c r="J302" t="n">
        <v>0</v>
      </c>
      <c r="K302" t="n">
        <v>0</v>
      </c>
      <c r="L302" t="n">
        <v>0</v>
      </c>
      <c r="M302" t="n">
        <v>0</v>
      </c>
      <c r="N302" t="n">
        <v>0</v>
      </c>
      <c r="O302" t="n">
        <v>0</v>
      </c>
      <c r="P302" t="n">
        <v>0</v>
      </c>
      <c r="Q302" t="n">
        <v>0</v>
      </c>
      <c r="R302" s="2" t="inlineStr"/>
    </row>
    <row r="303" ht="15" customHeight="1">
      <c r="A303" t="inlineStr">
        <is>
          <t>A 41678-2024</t>
        </is>
      </c>
      <c r="B303" s="1" t="n">
        <v>45560</v>
      </c>
      <c r="C303" s="1" t="n">
        <v>45973</v>
      </c>
      <c r="D303" t="inlineStr">
        <is>
          <t>ÖREBRO LÄN</t>
        </is>
      </c>
      <c r="E303" t="inlineStr">
        <is>
          <t>ÖREBRO</t>
        </is>
      </c>
      <c r="G303" t="n">
        <v>11.3</v>
      </c>
      <c r="H303" t="n">
        <v>0</v>
      </c>
      <c r="I303" t="n">
        <v>0</v>
      </c>
      <c r="J303" t="n">
        <v>0</v>
      </c>
      <c r="K303" t="n">
        <v>0</v>
      </c>
      <c r="L303" t="n">
        <v>0</v>
      </c>
      <c r="M303" t="n">
        <v>0</v>
      </c>
      <c r="N303" t="n">
        <v>0</v>
      </c>
      <c r="O303" t="n">
        <v>0</v>
      </c>
      <c r="P303" t="n">
        <v>0</v>
      </c>
      <c r="Q303" t="n">
        <v>0</v>
      </c>
      <c r="R303" s="2" t="inlineStr"/>
    </row>
    <row r="304" ht="15" customHeight="1">
      <c r="A304" t="inlineStr">
        <is>
          <t>A 18550-2025</t>
        </is>
      </c>
      <c r="B304" s="1" t="n">
        <v>45763.43422453704</v>
      </c>
      <c r="C304" s="1" t="n">
        <v>45973</v>
      </c>
      <c r="D304" t="inlineStr">
        <is>
          <t>ÖREBRO LÄN</t>
        </is>
      </c>
      <c r="E304" t="inlineStr">
        <is>
          <t>ÖREBRO</t>
        </is>
      </c>
      <c r="G304" t="n">
        <v>11.5</v>
      </c>
      <c r="H304" t="n">
        <v>0</v>
      </c>
      <c r="I304" t="n">
        <v>0</v>
      </c>
      <c r="J304" t="n">
        <v>0</v>
      </c>
      <c r="K304" t="n">
        <v>0</v>
      </c>
      <c r="L304" t="n">
        <v>0</v>
      </c>
      <c r="M304" t="n">
        <v>0</v>
      </c>
      <c r="N304" t="n">
        <v>0</v>
      </c>
      <c r="O304" t="n">
        <v>0</v>
      </c>
      <c r="P304" t="n">
        <v>0</v>
      </c>
      <c r="Q304" t="n">
        <v>0</v>
      </c>
      <c r="R304" s="2" t="inlineStr"/>
    </row>
    <row r="305" ht="15" customHeight="1">
      <c r="A305" t="inlineStr">
        <is>
          <t>A 15424-2022</t>
        </is>
      </c>
      <c r="B305" s="1" t="n">
        <v>44659</v>
      </c>
      <c r="C305" s="1" t="n">
        <v>45973</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55355-2024</t>
        </is>
      </c>
      <c r="B306" s="1" t="n">
        <v>45621.80475694445</v>
      </c>
      <c r="C306" s="1" t="n">
        <v>45973</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39003-2025</t>
        </is>
      </c>
      <c r="B307" s="1" t="n">
        <v>45888.34467592592</v>
      </c>
      <c r="C307" s="1" t="n">
        <v>45973</v>
      </c>
      <c r="D307" t="inlineStr">
        <is>
          <t>ÖREBRO LÄN</t>
        </is>
      </c>
      <c r="E307" t="inlineStr">
        <is>
          <t>ÖREBRO</t>
        </is>
      </c>
      <c r="G307" t="n">
        <v>3.7</v>
      </c>
      <c r="H307" t="n">
        <v>0</v>
      </c>
      <c r="I307" t="n">
        <v>0</v>
      </c>
      <c r="J307" t="n">
        <v>0</v>
      </c>
      <c r="K307" t="n">
        <v>0</v>
      </c>
      <c r="L307" t="n">
        <v>0</v>
      </c>
      <c r="M307" t="n">
        <v>0</v>
      </c>
      <c r="N307" t="n">
        <v>0</v>
      </c>
      <c r="O307" t="n">
        <v>0</v>
      </c>
      <c r="P307" t="n">
        <v>0</v>
      </c>
      <c r="Q307" t="n">
        <v>0</v>
      </c>
      <c r="R307" s="2" t="inlineStr"/>
    </row>
    <row r="308" ht="15" customHeight="1">
      <c r="A308" t="inlineStr">
        <is>
          <t>A 15422-2022</t>
        </is>
      </c>
      <c r="B308" s="1" t="n">
        <v>44659.63753472222</v>
      </c>
      <c r="C308" s="1" t="n">
        <v>45973</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13418-2024</t>
        </is>
      </c>
      <c r="B309" s="1" t="n">
        <v>45387.46482638889</v>
      </c>
      <c r="C309" s="1" t="n">
        <v>45973</v>
      </c>
      <c r="D309" t="inlineStr">
        <is>
          <t>ÖREBRO LÄN</t>
        </is>
      </c>
      <c r="E309" t="inlineStr">
        <is>
          <t>ÖREBRO</t>
        </is>
      </c>
      <c r="G309" t="n">
        <v>4.2</v>
      </c>
      <c r="H309" t="n">
        <v>0</v>
      </c>
      <c r="I309" t="n">
        <v>0</v>
      </c>
      <c r="J309" t="n">
        <v>0</v>
      </c>
      <c r="K309" t="n">
        <v>0</v>
      </c>
      <c r="L309" t="n">
        <v>0</v>
      </c>
      <c r="M309" t="n">
        <v>0</v>
      </c>
      <c r="N309" t="n">
        <v>0</v>
      </c>
      <c r="O309" t="n">
        <v>0</v>
      </c>
      <c r="P309" t="n">
        <v>0</v>
      </c>
      <c r="Q309" t="n">
        <v>0</v>
      </c>
      <c r="R309" s="2" t="inlineStr"/>
    </row>
    <row r="310" ht="15" customHeight="1">
      <c r="A310" t="inlineStr">
        <is>
          <t>A 49029-2024</t>
        </is>
      </c>
      <c r="B310" s="1" t="n">
        <v>45594</v>
      </c>
      <c r="C310" s="1" t="n">
        <v>45973</v>
      </c>
      <c r="D310" t="inlineStr">
        <is>
          <t>ÖREBRO LÄN</t>
        </is>
      </c>
      <c r="E310" t="inlineStr">
        <is>
          <t>ÖREBRO</t>
        </is>
      </c>
      <c r="G310" t="n">
        <v>3.7</v>
      </c>
      <c r="H310" t="n">
        <v>0</v>
      </c>
      <c r="I310" t="n">
        <v>0</v>
      </c>
      <c r="J310" t="n">
        <v>0</v>
      </c>
      <c r="K310" t="n">
        <v>0</v>
      </c>
      <c r="L310" t="n">
        <v>0</v>
      </c>
      <c r="M310" t="n">
        <v>0</v>
      </c>
      <c r="N310" t="n">
        <v>0</v>
      </c>
      <c r="O310" t="n">
        <v>0</v>
      </c>
      <c r="P310" t="n">
        <v>0</v>
      </c>
      <c r="Q310" t="n">
        <v>0</v>
      </c>
      <c r="R310" s="2" t="inlineStr"/>
    </row>
    <row r="311" ht="15" customHeight="1">
      <c r="A311" t="inlineStr">
        <is>
          <t>A 46323-2024</t>
        </is>
      </c>
      <c r="B311" s="1" t="n">
        <v>45581.84538194445</v>
      </c>
      <c r="C311" s="1" t="n">
        <v>45973</v>
      </c>
      <c r="D311" t="inlineStr">
        <is>
          <t>ÖREBRO LÄN</t>
        </is>
      </c>
      <c r="E311" t="inlineStr">
        <is>
          <t>ÖREBRO</t>
        </is>
      </c>
      <c r="F311" t="inlineStr">
        <is>
          <t>Övriga Aktiebolag</t>
        </is>
      </c>
      <c r="G311" t="n">
        <v>1.4</v>
      </c>
      <c r="H311" t="n">
        <v>0</v>
      </c>
      <c r="I311" t="n">
        <v>0</v>
      </c>
      <c r="J311" t="n">
        <v>0</v>
      </c>
      <c r="K311" t="n">
        <v>0</v>
      </c>
      <c r="L311" t="n">
        <v>0</v>
      </c>
      <c r="M311" t="n">
        <v>0</v>
      </c>
      <c r="N311" t="n">
        <v>0</v>
      </c>
      <c r="O311" t="n">
        <v>0</v>
      </c>
      <c r="P311" t="n">
        <v>0</v>
      </c>
      <c r="Q311" t="n">
        <v>0</v>
      </c>
      <c r="R311" s="2" t="inlineStr"/>
    </row>
    <row r="312" ht="15" customHeight="1">
      <c r="A312" t="inlineStr">
        <is>
          <t>A 34358-2022</t>
        </is>
      </c>
      <c r="B312" s="1" t="n">
        <v>44792.45494212963</v>
      </c>
      <c r="C312" s="1" t="n">
        <v>45973</v>
      </c>
      <c r="D312" t="inlineStr">
        <is>
          <t>ÖREBRO LÄN</t>
        </is>
      </c>
      <c r="E312" t="inlineStr">
        <is>
          <t>ÖREBRO</t>
        </is>
      </c>
      <c r="F312" t="inlineStr">
        <is>
          <t>Övriga Aktiebolag</t>
        </is>
      </c>
      <c r="G312" t="n">
        <v>3.4</v>
      </c>
      <c r="H312" t="n">
        <v>0</v>
      </c>
      <c r="I312" t="n">
        <v>0</v>
      </c>
      <c r="J312" t="n">
        <v>0</v>
      </c>
      <c r="K312" t="n">
        <v>0</v>
      </c>
      <c r="L312" t="n">
        <v>0</v>
      </c>
      <c r="M312" t="n">
        <v>0</v>
      </c>
      <c r="N312" t="n">
        <v>0</v>
      </c>
      <c r="O312" t="n">
        <v>0</v>
      </c>
      <c r="P312" t="n">
        <v>0</v>
      </c>
      <c r="Q312" t="n">
        <v>0</v>
      </c>
      <c r="R312" s="2" t="inlineStr"/>
    </row>
    <row r="313" ht="15" customHeight="1">
      <c r="A313" t="inlineStr">
        <is>
          <t>A 20115-2024</t>
        </is>
      </c>
      <c r="B313" s="1" t="n">
        <v>45434</v>
      </c>
      <c r="C313" s="1" t="n">
        <v>45973</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15695-2024</t>
        </is>
      </c>
      <c r="B314" s="1" t="n">
        <v>45404.45487268519</v>
      </c>
      <c r="C314" s="1" t="n">
        <v>45973</v>
      </c>
      <c r="D314" t="inlineStr">
        <is>
          <t>ÖREBRO LÄN</t>
        </is>
      </c>
      <c r="E314" t="inlineStr">
        <is>
          <t>ÖREBRO</t>
        </is>
      </c>
      <c r="G314" t="n">
        <v>2.7</v>
      </c>
      <c r="H314" t="n">
        <v>0</v>
      </c>
      <c r="I314" t="n">
        <v>0</v>
      </c>
      <c r="J314" t="n">
        <v>0</v>
      </c>
      <c r="K314" t="n">
        <v>0</v>
      </c>
      <c r="L314" t="n">
        <v>0</v>
      </c>
      <c r="M314" t="n">
        <v>0</v>
      </c>
      <c r="N314" t="n">
        <v>0</v>
      </c>
      <c r="O314" t="n">
        <v>0</v>
      </c>
      <c r="P314" t="n">
        <v>0</v>
      </c>
      <c r="Q314" t="n">
        <v>0</v>
      </c>
      <c r="R314" s="2" t="inlineStr"/>
    </row>
    <row r="315" ht="15" customHeight="1">
      <c r="A315" t="inlineStr">
        <is>
          <t>A 5406-2025</t>
        </is>
      </c>
      <c r="B315" s="1" t="n">
        <v>45692.64821759259</v>
      </c>
      <c r="C315" s="1" t="n">
        <v>45973</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13700-2024</t>
        </is>
      </c>
      <c r="B316" s="1" t="n">
        <v>45390.59277777778</v>
      </c>
      <c r="C316" s="1" t="n">
        <v>45973</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55875-2024</t>
        </is>
      </c>
      <c r="B317" s="1" t="n">
        <v>45623.55375</v>
      </c>
      <c r="C317" s="1" t="n">
        <v>45973</v>
      </c>
      <c r="D317" t="inlineStr">
        <is>
          <t>ÖREBRO LÄN</t>
        </is>
      </c>
      <c r="E317" t="inlineStr">
        <is>
          <t>ÖREBRO</t>
        </is>
      </c>
      <c r="G317" t="n">
        <v>3.5</v>
      </c>
      <c r="H317" t="n">
        <v>0</v>
      </c>
      <c r="I317" t="n">
        <v>0</v>
      </c>
      <c r="J317" t="n">
        <v>0</v>
      </c>
      <c r="K317" t="n">
        <v>0</v>
      </c>
      <c r="L317" t="n">
        <v>0</v>
      </c>
      <c r="M317" t="n">
        <v>0</v>
      </c>
      <c r="N317" t="n">
        <v>0</v>
      </c>
      <c r="O317" t="n">
        <v>0</v>
      </c>
      <c r="P317" t="n">
        <v>0</v>
      </c>
      <c r="Q317" t="n">
        <v>0</v>
      </c>
      <c r="R317" s="2" t="inlineStr"/>
    </row>
    <row r="318" ht="15" customHeight="1">
      <c r="A318" t="inlineStr">
        <is>
          <t>A 39446-2025</t>
        </is>
      </c>
      <c r="B318" s="1" t="n">
        <v>45889.70388888889</v>
      </c>
      <c r="C318" s="1" t="n">
        <v>45973</v>
      </c>
      <c r="D318" t="inlineStr">
        <is>
          <t>ÖREBRO LÄN</t>
        </is>
      </c>
      <c r="E318" t="inlineStr">
        <is>
          <t>ÖREBRO</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39479-2025</t>
        </is>
      </c>
      <c r="B319" s="1" t="n">
        <v>45890.34752314815</v>
      </c>
      <c r="C319" s="1" t="n">
        <v>45973</v>
      </c>
      <c r="D319" t="inlineStr">
        <is>
          <t>ÖREBRO LÄN</t>
        </is>
      </c>
      <c r="E319" t="inlineStr">
        <is>
          <t>ÖREBRO</t>
        </is>
      </c>
      <c r="G319" t="n">
        <v>0.7</v>
      </c>
      <c r="H319" t="n">
        <v>0</v>
      </c>
      <c r="I319" t="n">
        <v>0</v>
      </c>
      <c r="J319" t="n">
        <v>0</v>
      </c>
      <c r="K319" t="n">
        <v>0</v>
      </c>
      <c r="L319" t="n">
        <v>0</v>
      </c>
      <c r="M319" t="n">
        <v>0</v>
      </c>
      <c r="N319" t="n">
        <v>0</v>
      </c>
      <c r="O319" t="n">
        <v>0</v>
      </c>
      <c r="P319" t="n">
        <v>0</v>
      </c>
      <c r="Q319" t="n">
        <v>0</v>
      </c>
      <c r="R319" s="2" t="inlineStr"/>
    </row>
    <row r="320" ht="15" customHeight="1">
      <c r="A320" t="inlineStr">
        <is>
          <t>A 23710-2022</t>
        </is>
      </c>
      <c r="B320" s="1" t="n">
        <v>44722</v>
      </c>
      <c r="C320" s="1" t="n">
        <v>45973</v>
      </c>
      <c r="D320" t="inlineStr">
        <is>
          <t>ÖREBRO LÄN</t>
        </is>
      </c>
      <c r="E320" t="inlineStr">
        <is>
          <t>ÖREBRO</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3659-2025</t>
        </is>
      </c>
      <c r="B321" s="1" t="n">
        <v>45681</v>
      </c>
      <c r="C321" s="1" t="n">
        <v>45973</v>
      </c>
      <c r="D321" t="inlineStr">
        <is>
          <t>ÖREBRO LÄN</t>
        </is>
      </c>
      <c r="E321" t="inlineStr">
        <is>
          <t>ÖREBRO</t>
        </is>
      </c>
      <c r="G321" t="n">
        <v>15.8</v>
      </c>
      <c r="H321" t="n">
        <v>0</v>
      </c>
      <c r="I321" t="n">
        <v>0</v>
      </c>
      <c r="J321" t="n">
        <v>0</v>
      </c>
      <c r="K321" t="n">
        <v>0</v>
      </c>
      <c r="L321" t="n">
        <v>0</v>
      </c>
      <c r="M321" t="n">
        <v>0</v>
      </c>
      <c r="N321" t="n">
        <v>0</v>
      </c>
      <c r="O321" t="n">
        <v>0</v>
      </c>
      <c r="P321" t="n">
        <v>0</v>
      </c>
      <c r="Q321" t="n">
        <v>0</v>
      </c>
      <c r="R321" s="2" t="inlineStr"/>
    </row>
    <row r="322" ht="15" customHeight="1">
      <c r="A322" t="inlineStr">
        <is>
          <t>A 10470-2025</t>
        </is>
      </c>
      <c r="B322" s="1" t="n">
        <v>45720</v>
      </c>
      <c r="C322" s="1" t="n">
        <v>45973</v>
      </c>
      <c r="D322" t="inlineStr">
        <is>
          <t>ÖREBRO LÄN</t>
        </is>
      </c>
      <c r="E322" t="inlineStr">
        <is>
          <t>ÖREBRO</t>
        </is>
      </c>
      <c r="G322" t="n">
        <v>11.5</v>
      </c>
      <c r="H322" t="n">
        <v>0</v>
      </c>
      <c r="I322" t="n">
        <v>0</v>
      </c>
      <c r="J322" t="n">
        <v>0</v>
      </c>
      <c r="K322" t="n">
        <v>0</v>
      </c>
      <c r="L322" t="n">
        <v>0</v>
      </c>
      <c r="M322" t="n">
        <v>0</v>
      </c>
      <c r="N322" t="n">
        <v>0</v>
      </c>
      <c r="O322" t="n">
        <v>0</v>
      </c>
      <c r="P322" t="n">
        <v>0</v>
      </c>
      <c r="Q322" t="n">
        <v>0</v>
      </c>
      <c r="R322" s="2" t="inlineStr"/>
    </row>
    <row r="323" ht="15" customHeight="1">
      <c r="A323" t="inlineStr">
        <is>
          <t>A 46056-2024</t>
        </is>
      </c>
      <c r="B323" s="1" t="n">
        <v>45580.91502314815</v>
      </c>
      <c r="C323" s="1" t="n">
        <v>45973</v>
      </c>
      <c r="D323" t="inlineStr">
        <is>
          <t>ÖREBRO LÄN</t>
        </is>
      </c>
      <c r="E323" t="inlineStr">
        <is>
          <t>ÖREBRO</t>
        </is>
      </c>
      <c r="F323" t="inlineStr">
        <is>
          <t>Övriga Aktiebolag</t>
        </is>
      </c>
      <c r="G323" t="n">
        <v>4.5</v>
      </c>
      <c r="H323" t="n">
        <v>0</v>
      </c>
      <c r="I323" t="n">
        <v>0</v>
      </c>
      <c r="J323" t="n">
        <v>0</v>
      </c>
      <c r="K323" t="n">
        <v>0</v>
      </c>
      <c r="L323" t="n">
        <v>0</v>
      </c>
      <c r="M323" t="n">
        <v>0</v>
      </c>
      <c r="N323" t="n">
        <v>0</v>
      </c>
      <c r="O323" t="n">
        <v>0</v>
      </c>
      <c r="P323" t="n">
        <v>0</v>
      </c>
      <c r="Q323" t="n">
        <v>0</v>
      </c>
      <c r="R323" s="2" t="inlineStr"/>
    </row>
    <row r="324" ht="15" customHeight="1">
      <c r="A324" t="inlineStr">
        <is>
          <t>A 1014-2024</t>
        </is>
      </c>
      <c r="B324" s="1" t="n">
        <v>45301</v>
      </c>
      <c r="C324" s="1" t="n">
        <v>45973</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22348-2024</t>
        </is>
      </c>
      <c r="B325" s="1" t="n">
        <v>45446.61256944444</v>
      </c>
      <c r="C325" s="1" t="n">
        <v>45973</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13355-2023</t>
        </is>
      </c>
      <c r="B326" s="1" t="n">
        <v>45004</v>
      </c>
      <c r="C326" s="1" t="n">
        <v>45973</v>
      </c>
      <c r="D326" t="inlineStr">
        <is>
          <t>ÖREBRO LÄN</t>
        </is>
      </c>
      <c r="E326" t="inlineStr">
        <is>
          <t>ÖREBRO</t>
        </is>
      </c>
      <c r="G326" t="n">
        <v>2.3</v>
      </c>
      <c r="H326" t="n">
        <v>0</v>
      </c>
      <c r="I326" t="n">
        <v>0</v>
      </c>
      <c r="J326" t="n">
        <v>0</v>
      </c>
      <c r="K326" t="n">
        <v>0</v>
      </c>
      <c r="L326" t="n">
        <v>0</v>
      </c>
      <c r="M326" t="n">
        <v>0</v>
      </c>
      <c r="N326" t="n">
        <v>0</v>
      </c>
      <c r="O326" t="n">
        <v>0</v>
      </c>
      <c r="P326" t="n">
        <v>0</v>
      </c>
      <c r="Q326" t="n">
        <v>0</v>
      </c>
      <c r="R326" s="2" t="inlineStr"/>
    </row>
    <row r="327" ht="15" customHeight="1">
      <c r="A327" t="inlineStr">
        <is>
          <t>A 52018-2024</t>
        </is>
      </c>
      <c r="B327" s="1" t="n">
        <v>45607.82974537037</v>
      </c>
      <c r="C327" s="1" t="n">
        <v>45973</v>
      </c>
      <c r="D327" t="inlineStr">
        <is>
          <t>ÖREBRO LÄN</t>
        </is>
      </c>
      <c r="E327" t="inlineStr">
        <is>
          <t>ÖREBRO</t>
        </is>
      </c>
      <c r="G327" t="n">
        <v>4.3</v>
      </c>
      <c r="H327" t="n">
        <v>0</v>
      </c>
      <c r="I327" t="n">
        <v>0</v>
      </c>
      <c r="J327" t="n">
        <v>0</v>
      </c>
      <c r="K327" t="n">
        <v>0</v>
      </c>
      <c r="L327" t="n">
        <v>0</v>
      </c>
      <c r="M327" t="n">
        <v>0</v>
      </c>
      <c r="N327" t="n">
        <v>0</v>
      </c>
      <c r="O327" t="n">
        <v>0</v>
      </c>
      <c r="P327" t="n">
        <v>0</v>
      </c>
      <c r="Q327" t="n">
        <v>0</v>
      </c>
      <c r="R327" s="2" t="inlineStr"/>
    </row>
    <row r="328" ht="15" customHeight="1">
      <c r="A328" t="inlineStr">
        <is>
          <t>A 6522-2023</t>
        </is>
      </c>
      <c r="B328" s="1" t="n">
        <v>44966</v>
      </c>
      <c r="C328" s="1" t="n">
        <v>45973</v>
      </c>
      <c r="D328" t="inlineStr">
        <is>
          <t>ÖREBRO LÄN</t>
        </is>
      </c>
      <c r="E328" t="inlineStr">
        <is>
          <t>ÖREBRO</t>
        </is>
      </c>
      <c r="G328" t="n">
        <v>4.4</v>
      </c>
      <c r="H328" t="n">
        <v>0</v>
      </c>
      <c r="I328" t="n">
        <v>0</v>
      </c>
      <c r="J328" t="n">
        <v>0</v>
      </c>
      <c r="K328" t="n">
        <v>0</v>
      </c>
      <c r="L328" t="n">
        <v>0</v>
      </c>
      <c r="M328" t="n">
        <v>0</v>
      </c>
      <c r="N328" t="n">
        <v>0</v>
      </c>
      <c r="O328" t="n">
        <v>0</v>
      </c>
      <c r="P328" t="n">
        <v>0</v>
      </c>
      <c r="Q328" t="n">
        <v>0</v>
      </c>
      <c r="R328" s="2" t="inlineStr"/>
    </row>
    <row r="329" ht="15" customHeight="1">
      <c r="A329" t="inlineStr">
        <is>
          <t>A 8374-2021</t>
        </is>
      </c>
      <c r="B329" s="1" t="n">
        <v>44244</v>
      </c>
      <c r="C329" s="1" t="n">
        <v>45973</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56040-2024</t>
        </is>
      </c>
      <c r="B330" s="1" t="n">
        <v>45624.3344212963</v>
      </c>
      <c r="C330" s="1" t="n">
        <v>45973</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52444-2024</t>
        </is>
      </c>
      <c r="B331" s="1" t="n">
        <v>45609.48894675926</v>
      </c>
      <c r="C331" s="1" t="n">
        <v>45973</v>
      </c>
      <c r="D331" t="inlineStr">
        <is>
          <t>ÖREBRO LÄN</t>
        </is>
      </c>
      <c r="E331" t="inlineStr">
        <is>
          <t>ÖREBRO</t>
        </is>
      </c>
      <c r="G331" t="n">
        <v>1.7</v>
      </c>
      <c r="H331" t="n">
        <v>0</v>
      </c>
      <c r="I331" t="n">
        <v>0</v>
      </c>
      <c r="J331" t="n">
        <v>0</v>
      </c>
      <c r="K331" t="n">
        <v>0</v>
      </c>
      <c r="L331" t="n">
        <v>0</v>
      </c>
      <c r="M331" t="n">
        <v>0</v>
      </c>
      <c r="N331" t="n">
        <v>0</v>
      </c>
      <c r="O331" t="n">
        <v>0</v>
      </c>
      <c r="P331" t="n">
        <v>0</v>
      </c>
      <c r="Q331" t="n">
        <v>0</v>
      </c>
      <c r="R331" s="2" t="inlineStr"/>
    </row>
    <row r="332" ht="15" customHeight="1">
      <c r="A332" t="inlineStr">
        <is>
          <t>A 30089-2024</t>
        </is>
      </c>
      <c r="B332" s="1" t="n">
        <v>45485</v>
      </c>
      <c r="C332" s="1" t="n">
        <v>45973</v>
      </c>
      <c r="D332" t="inlineStr">
        <is>
          <t>ÖREBRO LÄN</t>
        </is>
      </c>
      <c r="E332" t="inlineStr">
        <is>
          <t>ÖREBRO</t>
        </is>
      </c>
      <c r="G332" t="n">
        <v>2.2</v>
      </c>
      <c r="H332" t="n">
        <v>0</v>
      </c>
      <c r="I332" t="n">
        <v>0</v>
      </c>
      <c r="J332" t="n">
        <v>0</v>
      </c>
      <c r="K332" t="n">
        <v>0</v>
      </c>
      <c r="L332" t="n">
        <v>0</v>
      </c>
      <c r="M332" t="n">
        <v>0</v>
      </c>
      <c r="N332" t="n">
        <v>0</v>
      </c>
      <c r="O332" t="n">
        <v>0</v>
      </c>
      <c r="P332" t="n">
        <v>0</v>
      </c>
      <c r="Q332" t="n">
        <v>0</v>
      </c>
      <c r="R332" s="2" t="inlineStr"/>
    </row>
    <row r="333" ht="15" customHeight="1">
      <c r="A333" t="inlineStr">
        <is>
          <t>A 48644-2024</t>
        </is>
      </c>
      <c r="B333" s="1" t="n">
        <v>45593.47466435185</v>
      </c>
      <c r="C333" s="1" t="n">
        <v>45973</v>
      </c>
      <c r="D333" t="inlineStr">
        <is>
          <t>ÖREBRO LÄN</t>
        </is>
      </c>
      <c r="E333" t="inlineStr">
        <is>
          <t>ÖREBRO</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60128-2023</t>
        </is>
      </c>
      <c r="B334" s="1" t="n">
        <v>45258</v>
      </c>
      <c r="C334" s="1" t="n">
        <v>45973</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767-2024</t>
        </is>
      </c>
      <c r="B335" s="1" t="n">
        <v>45300.51892361111</v>
      </c>
      <c r="C335" s="1" t="n">
        <v>45973</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16140-2023</t>
        </is>
      </c>
      <c r="B336" s="1" t="n">
        <v>45027.6433912037</v>
      </c>
      <c r="C336" s="1" t="n">
        <v>45973</v>
      </c>
      <c r="D336" t="inlineStr">
        <is>
          <t>ÖREBRO LÄN</t>
        </is>
      </c>
      <c r="E336" t="inlineStr">
        <is>
          <t>ÖREBRO</t>
        </is>
      </c>
      <c r="G336" t="n">
        <v>2</v>
      </c>
      <c r="H336" t="n">
        <v>0</v>
      </c>
      <c r="I336" t="n">
        <v>0</v>
      </c>
      <c r="J336" t="n">
        <v>0</v>
      </c>
      <c r="K336" t="n">
        <v>0</v>
      </c>
      <c r="L336" t="n">
        <v>0</v>
      </c>
      <c r="M336" t="n">
        <v>0</v>
      </c>
      <c r="N336" t="n">
        <v>0</v>
      </c>
      <c r="O336" t="n">
        <v>0</v>
      </c>
      <c r="P336" t="n">
        <v>0</v>
      </c>
      <c r="Q336" t="n">
        <v>0</v>
      </c>
      <c r="R336" s="2" t="inlineStr"/>
    </row>
    <row r="337" ht="15" customHeight="1">
      <c r="A337" t="inlineStr">
        <is>
          <t>A 44511-2023</t>
        </is>
      </c>
      <c r="B337" s="1" t="n">
        <v>45189</v>
      </c>
      <c r="C337" s="1" t="n">
        <v>45973</v>
      </c>
      <c r="D337" t="inlineStr">
        <is>
          <t>ÖREBRO LÄN</t>
        </is>
      </c>
      <c r="E337" t="inlineStr">
        <is>
          <t>ÖREBRO</t>
        </is>
      </c>
      <c r="F337" t="inlineStr">
        <is>
          <t>Allmännings- och besparingsskogar</t>
        </is>
      </c>
      <c r="G337" t="n">
        <v>2.7</v>
      </c>
      <c r="H337" t="n">
        <v>0</v>
      </c>
      <c r="I337" t="n">
        <v>0</v>
      </c>
      <c r="J337" t="n">
        <v>0</v>
      </c>
      <c r="K337" t="n">
        <v>0</v>
      </c>
      <c r="L337" t="n">
        <v>0</v>
      </c>
      <c r="M337" t="n">
        <v>0</v>
      </c>
      <c r="N337" t="n">
        <v>0</v>
      </c>
      <c r="O337" t="n">
        <v>0</v>
      </c>
      <c r="P337" t="n">
        <v>0</v>
      </c>
      <c r="Q337" t="n">
        <v>0</v>
      </c>
      <c r="R337" s="2" t="inlineStr"/>
    </row>
    <row r="338" ht="15" customHeight="1">
      <c r="A338" t="inlineStr">
        <is>
          <t>A 53234-2023</t>
        </is>
      </c>
      <c r="B338" s="1" t="n">
        <v>45229</v>
      </c>
      <c r="C338" s="1" t="n">
        <v>45973</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8512-2025</t>
        </is>
      </c>
      <c r="B339" s="1" t="n">
        <v>45709.54873842592</v>
      </c>
      <c r="C339" s="1" t="n">
        <v>45973</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48454-2025</t>
        </is>
      </c>
      <c r="B340" s="1" t="n">
        <v>45935.80164351852</v>
      </c>
      <c r="C340" s="1" t="n">
        <v>45973</v>
      </c>
      <c r="D340" t="inlineStr">
        <is>
          <t>ÖREBRO LÄN</t>
        </is>
      </c>
      <c r="E340" t="inlineStr">
        <is>
          <t>ÖREBRO</t>
        </is>
      </c>
      <c r="F340" t="inlineStr">
        <is>
          <t>Övriga Aktiebolag</t>
        </is>
      </c>
      <c r="G340" t="n">
        <v>18.1</v>
      </c>
      <c r="H340" t="n">
        <v>0</v>
      </c>
      <c r="I340" t="n">
        <v>0</v>
      </c>
      <c r="J340" t="n">
        <v>0</v>
      </c>
      <c r="K340" t="n">
        <v>0</v>
      </c>
      <c r="L340" t="n">
        <v>0</v>
      </c>
      <c r="M340" t="n">
        <v>0</v>
      </c>
      <c r="N340" t="n">
        <v>0</v>
      </c>
      <c r="O340" t="n">
        <v>0</v>
      </c>
      <c r="P340" t="n">
        <v>0</v>
      </c>
      <c r="Q340" t="n">
        <v>0</v>
      </c>
      <c r="R340" s="2" t="inlineStr"/>
    </row>
    <row r="341" ht="15" customHeight="1">
      <c r="A341" t="inlineStr">
        <is>
          <t>A 28054-2022</t>
        </is>
      </c>
      <c r="B341" s="1" t="n">
        <v>44746.41938657407</v>
      </c>
      <c r="C341" s="1" t="n">
        <v>45973</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1647-2024</t>
        </is>
      </c>
      <c r="B342" s="1" t="n">
        <v>45306</v>
      </c>
      <c r="C342" s="1" t="n">
        <v>45973</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57485-2023</t>
        </is>
      </c>
      <c r="B343" s="1" t="n">
        <v>45246</v>
      </c>
      <c r="C343" s="1" t="n">
        <v>45973</v>
      </c>
      <c r="D343" t="inlineStr">
        <is>
          <t>ÖREBRO LÄN</t>
        </is>
      </c>
      <c r="E343" t="inlineStr">
        <is>
          <t>ÖREBRO</t>
        </is>
      </c>
      <c r="G343" t="n">
        <v>0.9</v>
      </c>
      <c r="H343" t="n">
        <v>0</v>
      </c>
      <c r="I343" t="n">
        <v>0</v>
      </c>
      <c r="J343" t="n">
        <v>0</v>
      </c>
      <c r="K343" t="n">
        <v>0</v>
      </c>
      <c r="L343" t="n">
        <v>0</v>
      </c>
      <c r="M343" t="n">
        <v>0</v>
      </c>
      <c r="N343" t="n">
        <v>0</v>
      </c>
      <c r="O343" t="n">
        <v>0</v>
      </c>
      <c r="P343" t="n">
        <v>0</v>
      </c>
      <c r="Q343" t="n">
        <v>0</v>
      </c>
      <c r="R343" s="2" t="inlineStr"/>
    </row>
    <row r="344" ht="15" customHeight="1">
      <c r="A344" t="inlineStr">
        <is>
          <t>A 6752-2022</t>
        </is>
      </c>
      <c r="B344" s="1" t="n">
        <v>44602.48082175926</v>
      </c>
      <c r="C344" s="1" t="n">
        <v>45973</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58032-2023</t>
        </is>
      </c>
      <c r="B345" s="1" t="n">
        <v>45247</v>
      </c>
      <c r="C345" s="1" t="n">
        <v>45973</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58035-2023</t>
        </is>
      </c>
      <c r="B346" s="1" t="n">
        <v>45247</v>
      </c>
      <c r="C346" s="1" t="n">
        <v>45973</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71295-2021</t>
        </is>
      </c>
      <c r="B347" s="1" t="n">
        <v>44539.63009259259</v>
      </c>
      <c r="C347" s="1" t="n">
        <v>45973</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34056-2023</t>
        </is>
      </c>
      <c r="B348" s="1" t="n">
        <v>45135</v>
      </c>
      <c r="C348" s="1" t="n">
        <v>45973</v>
      </c>
      <c r="D348" t="inlineStr">
        <is>
          <t>ÖREBRO LÄN</t>
        </is>
      </c>
      <c r="E348" t="inlineStr">
        <is>
          <t>ÖREBRO</t>
        </is>
      </c>
      <c r="F348" t="inlineStr">
        <is>
          <t>Övriga Aktiebolag</t>
        </is>
      </c>
      <c r="G348" t="n">
        <v>4.1</v>
      </c>
      <c r="H348" t="n">
        <v>0</v>
      </c>
      <c r="I348" t="n">
        <v>0</v>
      </c>
      <c r="J348" t="n">
        <v>0</v>
      </c>
      <c r="K348" t="n">
        <v>0</v>
      </c>
      <c r="L348" t="n">
        <v>0</v>
      </c>
      <c r="M348" t="n">
        <v>0</v>
      </c>
      <c r="N348" t="n">
        <v>0</v>
      </c>
      <c r="O348" t="n">
        <v>0</v>
      </c>
      <c r="P348" t="n">
        <v>0</v>
      </c>
      <c r="Q348" t="n">
        <v>0</v>
      </c>
      <c r="R348" s="2" t="inlineStr"/>
    </row>
    <row r="349" ht="15" customHeight="1">
      <c r="A349" t="inlineStr">
        <is>
          <t>A 33457-2023</t>
        </is>
      </c>
      <c r="B349" s="1" t="n">
        <v>45131</v>
      </c>
      <c r="C349" s="1" t="n">
        <v>45973</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45237-2023</t>
        </is>
      </c>
      <c r="B350" s="1" t="n">
        <v>45191</v>
      </c>
      <c r="C350" s="1" t="n">
        <v>45973</v>
      </c>
      <c r="D350" t="inlineStr">
        <is>
          <t>ÖREBRO LÄN</t>
        </is>
      </c>
      <c r="E350" t="inlineStr">
        <is>
          <t>ÖREBRO</t>
        </is>
      </c>
      <c r="G350" t="n">
        <v>1.3</v>
      </c>
      <c r="H350" t="n">
        <v>0</v>
      </c>
      <c r="I350" t="n">
        <v>0</v>
      </c>
      <c r="J350" t="n">
        <v>0</v>
      </c>
      <c r="K350" t="n">
        <v>0</v>
      </c>
      <c r="L350" t="n">
        <v>0</v>
      </c>
      <c r="M350" t="n">
        <v>0</v>
      </c>
      <c r="N350" t="n">
        <v>0</v>
      </c>
      <c r="O350" t="n">
        <v>0</v>
      </c>
      <c r="P350" t="n">
        <v>0</v>
      </c>
      <c r="Q350" t="n">
        <v>0</v>
      </c>
      <c r="R350" s="2" t="inlineStr"/>
    </row>
    <row r="351" ht="15" customHeight="1">
      <c r="A351" t="inlineStr">
        <is>
          <t>A 35829-2024</t>
        </is>
      </c>
      <c r="B351" s="1" t="n">
        <v>45532</v>
      </c>
      <c r="C351" s="1" t="n">
        <v>45973</v>
      </c>
      <c r="D351" t="inlineStr">
        <is>
          <t>ÖREBRO LÄN</t>
        </is>
      </c>
      <c r="E351" t="inlineStr">
        <is>
          <t>ÖREBRO</t>
        </is>
      </c>
      <c r="G351" t="n">
        <v>4.6</v>
      </c>
      <c r="H351" t="n">
        <v>0</v>
      </c>
      <c r="I351" t="n">
        <v>0</v>
      </c>
      <c r="J351" t="n">
        <v>0</v>
      </c>
      <c r="K351" t="n">
        <v>0</v>
      </c>
      <c r="L351" t="n">
        <v>0</v>
      </c>
      <c r="M351" t="n">
        <v>0</v>
      </c>
      <c r="N351" t="n">
        <v>0</v>
      </c>
      <c r="O351" t="n">
        <v>0</v>
      </c>
      <c r="P351" t="n">
        <v>0</v>
      </c>
      <c r="Q351" t="n">
        <v>0</v>
      </c>
      <c r="R351" s="2" t="inlineStr"/>
    </row>
    <row r="352" ht="15" customHeight="1">
      <c r="A352" t="inlineStr">
        <is>
          <t>A 35833-2024</t>
        </is>
      </c>
      <c r="B352" s="1" t="n">
        <v>45532.68699074074</v>
      </c>
      <c r="C352" s="1" t="n">
        <v>45973</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45973</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51180-2023</t>
        </is>
      </c>
      <c r="B354" s="1" t="n">
        <v>45219</v>
      </c>
      <c r="C354" s="1" t="n">
        <v>45973</v>
      </c>
      <c r="D354" t="inlineStr">
        <is>
          <t>ÖREBRO LÄN</t>
        </is>
      </c>
      <c r="E354" t="inlineStr">
        <is>
          <t>ÖREBRO</t>
        </is>
      </c>
      <c r="G354" t="n">
        <v>6.5</v>
      </c>
      <c r="H354" t="n">
        <v>0</v>
      </c>
      <c r="I354" t="n">
        <v>0</v>
      </c>
      <c r="J354" t="n">
        <v>0</v>
      </c>
      <c r="K354" t="n">
        <v>0</v>
      </c>
      <c r="L354" t="n">
        <v>0</v>
      </c>
      <c r="M354" t="n">
        <v>0</v>
      </c>
      <c r="N354" t="n">
        <v>0</v>
      </c>
      <c r="O354" t="n">
        <v>0</v>
      </c>
      <c r="P354" t="n">
        <v>0</v>
      </c>
      <c r="Q354" t="n">
        <v>0</v>
      </c>
      <c r="R354" s="2" t="inlineStr"/>
    </row>
    <row r="355" ht="15" customHeight="1">
      <c r="A355" t="inlineStr">
        <is>
          <t>A 60028-2024</t>
        </is>
      </c>
      <c r="B355" s="1" t="n">
        <v>45642</v>
      </c>
      <c r="C355" s="1" t="n">
        <v>45973</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33294-2023</t>
        </is>
      </c>
      <c r="B356" s="1" t="n">
        <v>45127</v>
      </c>
      <c r="C356" s="1" t="n">
        <v>45973</v>
      </c>
      <c r="D356" t="inlineStr">
        <is>
          <t>ÖREBRO LÄN</t>
        </is>
      </c>
      <c r="E356" t="inlineStr">
        <is>
          <t>ÖREBRO</t>
        </is>
      </c>
      <c r="F356" t="inlineStr">
        <is>
          <t>Övriga Aktiebolag</t>
        </is>
      </c>
      <c r="G356" t="n">
        <v>6.7</v>
      </c>
      <c r="H356" t="n">
        <v>0</v>
      </c>
      <c r="I356" t="n">
        <v>0</v>
      </c>
      <c r="J356" t="n">
        <v>0</v>
      </c>
      <c r="K356" t="n">
        <v>0</v>
      </c>
      <c r="L356" t="n">
        <v>0</v>
      </c>
      <c r="M356" t="n">
        <v>0</v>
      </c>
      <c r="N356" t="n">
        <v>0</v>
      </c>
      <c r="O356" t="n">
        <v>0</v>
      </c>
      <c r="P356" t="n">
        <v>0</v>
      </c>
      <c r="Q356" t="n">
        <v>0</v>
      </c>
      <c r="R356" s="2" t="inlineStr"/>
    </row>
    <row r="357" ht="15" customHeight="1">
      <c r="A357" t="inlineStr">
        <is>
          <t>A 14717-2024</t>
        </is>
      </c>
      <c r="B357" s="1" t="n">
        <v>45397.55104166667</v>
      </c>
      <c r="C357" s="1" t="n">
        <v>45973</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46030-2024</t>
        </is>
      </c>
      <c r="B358" s="1" t="n">
        <v>45580.70377314815</v>
      </c>
      <c r="C358" s="1" t="n">
        <v>45973</v>
      </c>
      <c r="D358" t="inlineStr">
        <is>
          <t>ÖREBRO LÄN</t>
        </is>
      </c>
      <c r="E358" t="inlineStr">
        <is>
          <t>ÖREBRO</t>
        </is>
      </c>
      <c r="G358" t="n">
        <v>3.9</v>
      </c>
      <c r="H358" t="n">
        <v>0</v>
      </c>
      <c r="I358" t="n">
        <v>0</v>
      </c>
      <c r="J358" t="n">
        <v>0</v>
      </c>
      <c r="K358" t="n">
        <v>0</v>
      </c>
      <c r="L358" t="n">
        <v>0</v>
      </c>
      <c r="M358" t="n">
        <v>0</v>
      </c>
      <c r="N358" t="n">
        <v>0</v>
      </c>
      <c r="O358" t="n">
        <v>0</v>
      </c>
      <c r="P358" t="n">
        <v>0</v>
      </c>
      <c r="Q358" t="n">
        <v>0</v>
      </c>
      <c r="R358" s="2" t="inlineStr"/>
    </row>
    <row r="359" ht="15" customHeight="1">
      <c r="A359" t="inlineStr">
        <is>
          <t>A 40330-2025</t>
        </is>
      </c>
      <c r="B359" s="1" t="n">
        <v>45895.4531712963</v>
      </c>
      <c r="C359" s="1" t="n">
        <v>45973</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13857-2022</t>
        </is>
      </c>
      <c r="B360" s="1" t="n">
        <v>44649</v>
      </c>
      <c r="C360" s="1" t="n">
        <v>45973</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61078-2024</t>
        </is>
      </c>
      <c r="B361" s="1" t="n">
        <v>45645.51034722223</v>
      </c>
      <c r="C361" s="1" t="n">
        <v>45973</v>
      </c>
      <c r="D361" t="inlineStr">
        <is>
          <t>ÖREBRO LÄN</t>
        </is>
      </c>
      <c r="E361" t="inlineStr">
        <is>
          <t>ÖREBRO</t>
        </is>
      </c>
      <c r="G361" t="n">
        <v>4.1</v>
      </c>
      <c r="H361" t="n">
        <v>0</v>
      </c>
      <c r="I361" t="n">
        <v>0</v>
      </c>
      <c r="J361" t="n">
        <v>0</v>
      </c>
      <c r="K361" t="n">
        <v>0</v>
      </c>
      <c r="L361" t="n">
        <v>0</v>
      </c>
      <c r="M361" t="n">
        <v>0</v>
      </c>
      <c r="N361" t="n">
        <v>0</v>
      </c>
      <c r="O361" t="n">
        <v>0</v>
      </c>
      <c r="P361" t="n">
        <v>0</v>
      </c>
      <c r="Q361" t="n">
        <v>0</v>
      </c>
      <c r="R361" s="2" t="inlineStr"/>
    </row>
    <row r="362" ht="15" customHeight="1">
      <c r="A362" t="inlineStr">
        <is>
          <t>A 40332-2025</t>
        </is>
      </c>
      <c r="B362" s="1" t="n">
        <v>45895.46060185185</v>
      </c>
      <c r="C362" s="1" t="n">
        <v>45973</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5643-2025</t>
        </is>
      </c>
      <c r="B363" s="1" t="n">
        <v>45693</v>
      </c>
      <c r="C363" s="1" t="n">
        <v>45973</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12871-2021</t>
        </is>
      </c>
      <c r="B364" s="1" t="n">
        <v>44271.42121527778</v>
      </c>
      <c r="C364" s="1" t="n">
        <v>45973</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13158-2024</t>
        </is>
      </c>
      <c r="B365" s="1" t="n">
        <v>45386.38728009259</v>
      </c>
      <c r="C365" s="1" t="n">
        <v>45973</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13181-2023</t>
        </is>
      </c>
      <c r="B366" s="1" t="n">
        <v>45002.60659722222</v>
      </c>
      <c r="C366" s="1" t="n">
        <v>45973</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25996-2024</t>
        </is>
      </c>
      <c r="B367" s="1" t="n">
        <v>45467.89081018518</v>
      </c>
      <c r="C367" s="1" t="n">
        <v>45973</v>
      </c>
      <c r="D367" t="inlineStr">
        <is>
          <t>ÖREBRO LÄN</t>
        </is>
      </c>
      <c r="E367" t="inlineStr">
        <is>
          <t>ÖREBRO</t>
        </is>
      </c>
      <c r="G367" t="n">
        <v>4.7</v>
      </c>
      <c r="H367" t="n">
        <v>0</v>
      </c>
      <c r="I367" t="n">
        <v>0</v>
      </c>
      <c r="J367" t="n">
        <v>0</v>
      </c>
      <c r="K367" t="n">
        <v>0</v>
      </c>
      <c r="L367" t="n">
        <v>0</v>
      </c>
      <c r="M367" t="n">
        <v>0</v>
      </c>
      <c r="N367" t="n">
        <v>0</v>
      </c>
      <c r="O367" t="n">
        <v>0</v>
      </c>
      <c r="P367" t="n">
        <v>0</v>
      </c>
      <c r="Q367" t="n">
        <v>0</v>
      </c>
      <c r="R367" s="2" t="inlineStr"/>
    </row>
    <row r="368" ht="15" customHeight="1">
      <c r="A368" t="inlineStr">
        <is>
          <t>A 16676-2025</t>
        </is>
      </c>
      <c r="B368" s="1" t="n">
        <v>45754.44658564815</v>
      </c>
      <c r="C368" s="1" t="n">
        <v>45973</v>
      </c>
      <c r="D368" t="inlineStr">
        <is>
          <t>ÖREBRO LÄN</t>
        </is>
      </c>
      <c r="E368" t="inlineStr">
        <is>
          <t>ÖREBRO</t>
        </is>
      </c>
      <c r="G368" t="n">
        <v>5.8</v>
      </c>
      <c r="H368" t="n">
        <v>0</v>
      </c>
      <c r="I368" t="n">
        <v>0</v>
      </c>
      <c r="J368" t="n">
        <v>0</v>
      </c>
      <c r="K368" t="n">
        <v>0</v>
      </c>
      <c r="L368" t="n">
        <v>0</v>
      </c>
      <c r="M368" t="n">
        <v>0</v>
      </c>
      <c r="N368" t="n">
        <v>0</v>
      </c>
      <c r="O368" t="n">
        <v>0</v>
      </c>
      <c r="P368" t="n">
        <v>0</v>
      </c>
      <c r="Q368" t="n">
        <v>0</v>
      </c>
      <c r="R368" s="2" t="inlineStr"/>
    </row>
    <row r="369" ht="15" customHeight="1">
      <c r="A369" t="inlineStr">
        <is>
          <t>A 5133-2024</t>
        </is>
      </c>
      <c r="B369" s="1" t="n">
        <v>45330</v>
      </c>
      <c r="C369" s="1" t="n">
        <v>45973</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23741-2022</t>
        </is>
      </c>
      <c r="B370" s="1" t="n">
        <v>44722</v>
      </c>
      <c r="C370" s="1" t="n">
        <v>45973</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8274-2025</t>
        </is>
      </c>
      <c r="B371" s="1" t="n">
        <v>45708</v>
      </c>
      <c r="C371" s="1" t="n">
        <v>45973</v>
      </c>
      <c r="D371" t="inlineStr">
        <is>
          <t>ÖREBRO LÄN</t>
        </is>
      </c>
      <c r="E371" t="inlineStr">
        <is>
          <t>ÖREBRO</t>
        </is>
      </c>
      <c r="G371" t="n">
        <v>5.8</v>
      </c>
      <c r="H371" t="n">
        <v>0</v>
      </c>
      <c r="I371" t="n">
        <v>0</v>
      </c>
      <c r="J371" t="n">
        <v>0</v>
      </c>
      <c r="K371" t="n">
        <v>0</v>
      </c>
      <c r="L371" t="n">
        <v>0</v>
      </c>
      <c r="M371" t="n">
        <v>0</v>
      </c>
      <c r="N371" t="n">
        <v>0</v>
      </c>
      <c r="O371" t="n">
        <v>0</v>
      </c>
      <c r="P371" t="n">
        <v>0</v>
      </c>
      <c r="Q371" t="n">
        <v>0</v>
      </c>
      <c r="R371" s="2" t="inlineStr"/>
    </row>
    <row r="372" ht="15" customHeight="1">
      <c r="A372" t="inlineStr">
        <is>
          <t>A 58620-2024</t>
        </is>
      </c>
      <c r="B372" s="1" t="n">
        <v>45635.56246527778</v>
      </c>
      <c r="C372" s="1" t="n">
        <v>45973</v>
      </c>
      <c r="D372" t="inlineStr">
        <is>
          <t>ÖREBRO LÄN</t>
        </is>
      </c>
      <c r="E372" t="inlineStr">
        <is>
          <t>ÖREBRO</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14432-2023</t>
        </is>
      </c>
      <c r="B373" s="1" t="n">
        <v>45012</v>
      </c>
      <c r="C373" s="1" t="n">
        <v>45973</v>
      </c>
      <c r="D373" t="inlineStr">
        <is>
          <t>ÖREBRO LÄN</t>
        </is>
      </c>
      <c r="E373" t="inlineStr">
        <is>
          <t>ÖREBRO</t>
        </is>
      </c>
      <c r="G373" t="n">
        <v>3.3</v>
      </c>
      <c r="H373" t="n">
        <v>0</v>
      </c>
      <c r="I373" t="n">
        <v>0</v>
      </c>
      <c r="J373" t="n">
        <v>0</v>
      </c>
      <c r="K373" t="n">
        <v>0</v>
      </c>
      <c r="L373" t="n">
        <v>0</v>
      </c>
      <c r="M373" t="n">
        <v>0</v>
      </c>
      <c r="N373" t="n">
        <v>0</v>
      </c>
      <c r="O373" t="n">
        <v>0</v>
      </c>
      <c r="P373" t="n">
        <v>0</v>
      </c>
      <c r="Q373" t="n">
        <v>0</v>
      </c>
      <c r="R373" s="2" t="inlineStr"/>
    </row>
    <row r="374" ht="15" customHeight="1">
      <c r="A374" t="inlineStr">
        <is>
          <t>A 10339-2023</t>
        </is>
      </c>
      <c r="B374" s="1" t="n">
        <v>44987</v>
      </c>
      <c r="C374" s="1" t="n">
        <v>45973</v>
      </c>
      <c r="D374" t="inlineStr">
        <is>
          <t>ÖREBRO LÄN</t>
        </is>
      </c>
      <c r="E374" t="inlineStr">
        <is>
          <t>ÖREBRO</t>
        </is>
      </c>
      <c r="G374" t="n">
        <v>1</v>
      </c>
      <c r="H374" t="n">
        <v>0</v>
      </c>
      <c r="I374" t="n">
        <v>0</v>
      </c>
      <c r="J374" t="n">
        <v>0</v>
      </c>
      <c r="K374" t="n">
        <v>0</v>
      </c>
      <c r="L374" t="n">
        <v>0</v>
      </c>
      <c r="M374" t="n">
        <v>0</v>
      </c>
      <c r="N374" t="n">
        <v>0</v>
      </c>
      <c r="O374" t="n">
        <v>0</v>
      </c>
      <c r="P374" t="n">
        <v>0</v>
      </c>
      <c r="Q374" t="n">
        <v>0</v>
      </c>
      <c r="R374" s="2" t="inlineStr"/>
    </row>
    <row r="375" ht="15" customHeight="1">
      <c r="A375" t="inlineStr">
        <is>
          <t>A 190-2024</t>
        </is>
      </c>
      <c r="B375" s="1" t="n">
        <v>45294.61858796296</v>
      </c>
      <c r="C375" s="1" t="n">
        <v>45973</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7141-2025</t>
        </is>
      </c>
      <c r="B376" s="1" t="n">
        <v>45702</v>
      </c>
      <c r="C376" s="1" t="n">
        <v>45973</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62497-2023</t>
        </is>
      </c>
      <c r="B377" s="1" t="n">
        <v>45268.59935185185</v>
      </c>
      <c r="C377" s="1" t="n">
        <v>45973</v>
      </c>
      <c r="D377" t="inlineStr">
        <is>
          <t>ÖREBRO LÄN</t>
        </is>
      </c>
      <c r="E377" t="inlineStr">
        <is>
          <t>ÖREBRO</t>
        </is>
      </c>
      <c r="F377" t="inlineStr">
        <is>
          <t>Övriga Aktiebolag</t>
        </is>
      </c>
      <c r="G377" t="n">
        <v>3.2</v>
      </c>
      <c r="H377" t="n">
        <v>0</v>
      </c>
      <c r="I377" t="n">
        <v>0</v>
      </c>
      <c r="J377" t="n">
        <v>0</v>
      </c>
      <c r="K377" t="n">
        <v>0</v>
      </c>
      <c r="L377" t="n">
        <v>0</v>
      </c>
      <c r="M377" t="n">
        <v>0</v>
      </c>
      <c r="N377" t="n">
        <v>0</v>
      </c>
      <c r="O377" t="n">
        <v>0</v>
      </c>
      <c r="P377" t="n">
        <v>0</v>
      </c>
      <c r="Q377" t="n">
        <v>0</v>
      </c>
      <c r="R377" s="2" t="inlineStr"/>
    </row>
    <row r="378" ht="15" customHeight="1">
      <c r="A378" t="inlineStr">
        <is>
          <t>A 59024-2024</t>
        </is>
      </c>
      <c r="B378" s="1" t="n">
        <v>45636.68505787037</v>
      </c>
      <c r="C378" s="1" t="n">
        <v>45973</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43399-2022</t>
        </is>
      </c>
      <c r="B379" s="1" t="n">
        <v>44834</v>
      </c>
      <c r="C379" s="1" t="n">
        <v>45973</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13657-2025</t>
        </is>
      </c>
      <c r="B380" s="1" t="n">
        <v>45736.7427662037</v>
      </c>
      <c r="C380" s="1" t="n">
        <v>45973</v>
      </c>
      <c r="D380" t="inlineStr">
        <is>
          <t>ÖREBRO LÄN</t>
        </is>
      </c>
      <c r="E380" t="inlineStr">
        <is>
          <t>ÖREBRO</t>
        </is>
      </c>
      <c r="G380" t="n">
        <v>3.8</v>
      </c>
      <c r="H380" t="n">
        <v>0</v>
      </c>
      <c r="I380" t="n">
        <v>0</v>
      </c>
      <c r="J380" t="n">
        <v>0</v>
      </c>
      <c r="K380" t="n">
        <v>0</v>
      </c>
      <c r="L380" t="n">
        <v>0</v>
      </c>
      <c r="M380" t="n">
        <v>0</v>
      </c>
      <c r="N380" t="n">
        <v>0</v>
      </c>
      <c r="O380" t="n">
        <v>0</v>
      </c>
      <c r="P380" t="n">
        <v>0</v>
      </c>
      <c r="Q380" t="n">
        <v>0</v>
      </c>
      <c r="R380" s="2" t="inlineStr"/>
    </row>
    <row r="381" ht="15" customHeight="1">
      <c r="A381" t="inlineStr">
        <is>
          <t>A 57867-2024</t>
        </is>
      </c>
      <c r="B381" s="1" t="n">
        <v>45631.43864583333</v>
      </c>
      <c r="C381" s="1" t="n">
        <v>45973</v>
      </c>
      <c r="D381" t="inlineStr">
        <is>
          <t>ÖREBRO LÄN</t>
        </is>
      </c>
      <c r="E381" t="inlineStr">
        <is>
          <t>ÖREBRO</t>
        </is>
      </c>
      <c r="G381" t="n">
        <v>1.5</v>
      </c>
      <c r="H381" t="n">
        <v>0</v>
      </c>
      <c r="I381" t="n">
        <v>0</v>
      </c>
      <c r="J381" t="n">
        <v>0</v>
      </c>
      <c r="K381" t="n">
        <v>0</v>
      </c>
      <c r="L381" t="n">
        <v>0</v>
      </c>
      <c r="M381" t="n">
        <v>0</v>
      </c>
      <c r="N381" t="n">
        <v>0</v>
      </c>
      <c r="O381" t="n">
        <v>0</v>
      </c>
      <c r="P381" t="n">
        <v>0</v>
      </c>
      <c r="Q381" t="n">
        <v>0</v>
      </c>
      <c r="R381" s="2" t="inlineStr"/>
    </row>
    <row r="382" ht="15" customHeight="1">
      <c r="A382" t="inlineStr">
        <is>
          <t>A 29138-2022</t>
        </is>
      </c>
      <c r="B382" s="1" t="n">
        <v>44750</v>
      </c>
      <c r="C382" s="1" t="n">
        <v>45973</v>
      </c>
      <c r="D382" t="inlineStr">
        <is>
          <t>ÖREBRO LÄN</t>
        </is>
      </c>
      <c r="E382" t="inlineStr">
        <is>
          <t>ÖREBRO</t>
        </is>
      </c>
      <c r="G382" t="n">
        <v>3.3</v>
      </c>
      <c r="H382" t="n">
        <v>0</v>
      </c>
      <c r="I382" t="n">
        <v>0</v>
      </c>
      <c r="J382" t="n">
        <v>0</v>
      </c>
      <c r="K382" t="n">
        <v>0</v>
      </c>
      <c r="L382" t="n">
        <v>0</v>
      </c>
      <c r="M382" t="n">
        <v>0</v>
      </c>
      <c r="N382" t="n">
        <v>0</v>
      </c>
      <c r="O382" t="n">
        <v>0</v>
      </c>
      <c r="P382" t="n">
        <v>0</v>
      </c>
      <c r="Q382" t="n">
        <v>0</v>
      </c>
      <c r="R382" s="2" t="inlineStr"/>
    </row>
    <row r="383" ht="15" customHeight="1">
      <c r="A383" t="inlineStr">
        <is>
          <t>A 29143-2022</t>
        </is>
      </c>
      <c r="B383" s="1" t="n">
        <v>44750</v>
      </c>
      <c r="C383" s="1" t="n">
        <v>45973</v>
      </c>
      <c r="D383" t="inlineStr">
        <is>
          <t>ÖREBRO LÄN</t>
        </is>
      </c>
      <c r="E383" t="inlineStr">
        <is>
          <t>ÖREBRO</t>
        </is>
      </c>
      <c r="G383" t="n">
        <v>5.6</v>
      </c>
      <c r="H383" t="n">
        <v>0</v>
      </c>
      <c r="I383" t="n">
        <v>0</v>
      </c>
      <c r="J383" t="n">
        <v>0</v>
      </c>
      <c r="K383" t="n">
        <v>0</v>
      </c>
      <c r="L383" t="n">
        <v>0</v>
      </c>
      <c r="M383" t="n">
        <v>0</v>
      </c>
      <c r="N383" t="n">
        <v>0</v>
      </c>
      <c r="O383" t="n">
        <v>0</v>
      </c>
      <c r="P383" t="n">
        <v>0</v>
      </c>
      <c r="Q383" t="n">
        <v>0</v>
      </c>
      <c r="R383" s="2" t="inlineStr"/>
    </row>
    <row r="384" ht="15" customHeight="1">
      <c r="A384" t="inlineStr">
        <is>
          <t>A 11516-2024</t>
        </is>
      </c>
      <c r="B384" s="1" t="n">
        <v>45372</v>
      </c>
      <c r="C384" s="1" t="n">
        <v>45973</v>
      </c>
      <c r="D384" t="inlineStr">
        <is>
          <t>ÖREBRO LÄN</t>
        </is>
      </c>
      <c r="E384" t="inlineStr">
        <is>
          <t>ÖREBRO</t>
        </is>
      </c>
      <c r="G384" t="n">
        <v>10.7</v>
      </c>
      <c r="H384" t="n">
        <v>0</v>
      </c>
      <c r="I384" t="n">
        <v>0</v>
      </c>
      <c r="J384" t="n">
        <v>0</v>
      </c>
      <c r="K384" t="n">
        <v>0</v>
      </c>
      <c r="L384" t="n">
        <v>0</v>
      </c>
      <c r="M384" t="n">
        <v>0</v>
      </c>
      <c r="N384" t="n">
        <v>0</v>
      </c>
      <c r="O384" t="n">
        <v>0</v>
      </c>
      <c r="P384" t="n">
        <v>0</v>
      </c>
      <c r="Q384" t="n">
        <v>0</v>
      </c>
      <c r="R384" s="2" t="inlineStr"/>
    </row>
    <row r="385" ht="15" customHeight="1">
      <c r="A385" t="inlineStr">
        <is>
          <t>A 63142-2023</t>
        </is>
      </c>
      <c r="B385" s="1" t="n">
        <v>45273</v>
      </c>
      <c r="C385" s="1" t="n">
        <v>45973</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21983-2021</t>
        </is>
      </c>
      <c r="B386" s="1" t="n">
        <v>44323</v>
      </c>
      <c r="C386" s="1" t="n">
        <v>45973</v>
      </c>
      <c r="D386" t="inlineStr">
        <is>
          <t>ÖREBRO LÄN</t>
        </is>
      </c>
      <c r="E386" t="inlineStr">
        <is>
          <t>ÖREBRO</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3120-2022</t>
        </is>
      </c>
      <c r="B387" s="1" t="n">
        <v>44582</v>
      </c>
      <c r="C387" s="1" t="n">
        <v>45973</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37021-2024</t>
        </is>
      </c>
      <c r="B388" s="1" t="n">
        <v>45539.38146990741</v>
      </c>
      <c r="C388" s="1" t="n">
        <v>45973</v>
      </c>
      <c r="D388" t="inlineStr">
        <is>
          <t>ÖREBRO LÄN</t>
        </is>
      </c>
      <c r="E388" t="inlineStr">
        <is>
          <t>ÖREBRO</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23573-2023</t>
        </is>
      </c>
      <c r="B389" s="1" t="n">
        <v>45077.41672453703</v>
      </c>
      <c r="C389" s="1" t="n">
        <v>45973</v>
      </c>
      <c r="D389" t="inlineStr">
        <is>
          <t>ÖREBRO LÄN</t>
        </is>
      </c>
      <c r="E389" t="inlineStr">
        <is>
          <t>ÖREBRO</t>
        </is>
      </c>
      <c r="G389" t="n">
        <v>2.9</v>
      </c>
      <c r="H389" t="n">
        <v>0</v>
      </c>
      <c r="I389" t="n">
        <v>0</v>
      </c>
      <c r="J389" t="n">
        <v>0</v>
      </c>
      <c r="K389" t="n">
        <v>0</v>
      </c>
      <c r="L389" t="n">
        <v>0</v>
      </c>
      <c r="M389" t="n">
        <v>0</v>
      </c>
      <c r="N389" t="n">
        <v>0</v>
      </c>
      <c r="O389" t="n">
        <v>0</v>
      </c>
      <c r="P389" t="n">
        <v>0</v>
      </c>
      <c r="Q389" t="n">
        <v>0</v>
      </c>
      <c r="R389" s="2" t="inlineStr"/>
    </row>
    <row r="390" ht="15" customHeight="1">
      <c r="A390" t="inlineStr">
        <is>
          <t>A 58606-2024</t>
        </is>
      </c>
      <c r="B390" s="1" t="n">
        <v>45635.54747685185</v>
      </c>
      <c r="C390" s="1" t="n">
        <v>45973</v>
      </c>
      <c r="D390" t="inlineStr">
        <is>
          <t>ÖREBRO LÄN</t>
        </is>
      </c>
      <c r="E390" t="inlineStr">
        <is>
          <t>ÖREBRO</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13762-2023</t>
        </is>
      </c>
      <c r="B391" s="1" t="n">
        <v>45007.43729166667</v>
      </c>
      <c r="C391" s="1" t="n">
        <v>45973</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26101-2022</t>
        </is>
      </c>
      <c r="B392" s="1" t="n">
        <v>44734</v>
      </c>
      <c r="C392" s="1" t="n">
        <v>45973</v>
      </c>
      <c r="D392" t="inlineStr">
        <is>
          <t>ÖREBRO LÄN</t>
        </is>
      </c>
      <c r="E392" t="inlineStr">
        <is>
          <t>ÖREBRO</t>
        </is>
      </c>
      <c r="G392" t="n">
        <v>15.8</v>
      </c>
      <c r="H392" t="n">
        <v>0</v>
      </c>
      <c r="I392" t="n">
        <v>0</v>
      </c>
      <c r="J392" t="n">
        <v>0</v>
      </c>
      <c r="K392" t="n">
        <v>0</v>
      </c>
      <c r="L392" t="n">
        <v>0</v>
      </c>
      <c r="M392" t="n">
        <v>0</v>
      </c>
      <c r="N392" t="n">
        <v>0</v>
      </c>
      <c r="O392" t="n">
        <v>0</v>
      </c>
      <c r="P392" t="n">
        <v>0</v>
      </c>
      <c r="Q392" t="n">
        <v>0</v>
      </c>
      <c r="R392" s="2" t="inlineStr"/>
    </row>
    <row r="393" ht="15" customHeight="1">
      <c r="A393" t="inlineStr">
        <is>
          <t>A 5129-2024</t>
        </is>
      </c>
      <c r="B393" s="1" t="n">
        <v>45330</v>
      </c>
      <c r="C393" s="1" t="n">
        <v>45973</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58486-2024</t>
        </is>
      </c>
      <c r="B394" s="1" t="n">
        <v>45635</v>
      </c>
      <c r="C394" s="1" t="n">
        <v>45973</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14053-2025</t>
        </is>
      </c>
      <c r="B395" s="1" t="n">
        <v>45739</v>
      </c>
      <c r="C395" s="1" t="n">
        <v>45973</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5342-2024</t>
        </is>
      </c>
      <c r="B396" s="1" t="n">
        <v>45331.44145833333</v>
      </c>
      <c r="C396" s="1" t="n">
        <v>45973</v>
      </c>
      <c r="D396" t="inlineStr">
        <is>
          <t>ÖREBRO LÄN</t>
        </is>
      </c>
      <c r="E396" t="inlineStr">
        <is>
          <t>ÖREBRO</t>
        </is>
      </c>
      <c r="G396" t="n">
        <v>2.5</v>
      </c>
      <c r="H396" t="n">
        <v>0</v>
      </c>
      <c r="I396" t="n">
        <v>0</v>
      </c>
      <c r="J396" t="n">
        <v>0</v>
      </c>
      <c r="K396" t="n">
        <v>0</v>
      </c>
      <c r="L396" t="n">
        <v>0</v>
      </c>
      <c r="M396" t="n">
        <v>0</v>
      </c>
      <c r="N396" t="n">
        <v>0</v>
      </c>
      <c r="O396" t="n">
        <v>0</v>
      </c>
      <c r="P396" t="n">
        <v>0</v>
      </c>
      <c r="Q396" t="n">
        <v>0</v>
      </c>
      <c r="R396" s="2" t="inlineStr"/>
    </row>
    <row r="397" ht="15" customHeight="1">
      <c r="A397" t="inlineStr">
        <is>
          <t>A 35345-2024</t>
        </is>
      </c>
      <c r="B397" s="1" t="n">
        <v>45530</v>
      </c>
      <c r="C397" s="1" t="n">
        <v>45973</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1492-2022</t>
        </is>
      </c>
      <c r="B398" s="1" t="n">
        <v>44573</v>
      </c>
      <c r="C398" s="1" t="n">
        <v>45973</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123-2025</t>
        </is>
      </c>
      <c r="B399" s="1" t="n">
        <v>45659.54851851852</v>
      </c>
      <c r="C399" s="1" t="n">
        <v>45973</v>
      </c>
      <c r="D399" t="inlineStr">
        <is>
          <t>ÖREBRO LÄN</t>
        </is>
      </c>
      <c r="E399" t="inlineStr">
        <is>
          <t>ÖREBRO</t>
        </is>
      </c>
      <c r="G399" t="n">
        <v>1.6</v>
      </c>
      <c r="H399" t="n">
        <v>0</v>
      </c>
      <c r="I399" t="n">
        <v>0</v>
      </c>
      <c r="J399" t="n">
        <v>0</v>
      </c>
      <c r="K399" t="n">
        <v>0</v>
      </c>
      <c r="L399" t="n">
        <v>0</v>
      </c>
      <c r="M399" t="n">
        <v>0</v>
      </c>
      <c r="N399" t="n">
        <v>0</v>
      </c>
      <c r="O399" t="n">
        <v>0</v>
      </c>
      <c r="P399" t="n">
        <v>0</v>
      </c>
      <c r="Q399" t="n">
        <v>0</v>
      </c>
      <c r="R399" s="2" t="inlineStr"/>
    </row>
    <row r="400" ht="15" customHeight="1">
      <c r="A400" t="inlineStr">
        <is>
          <t>A 59026-2024</t>
        </is>
      </c>
      <c r="B400" s="1" t="n">
        <v>45636.6875</v>
      </c>
      <c r="C400" s="1" t="n">
        <v>45973</v>
      </c>
      <c r="D400" t="inlineStr">
        <is>
          <t>ÖREBRO LÄN</t>
        </is>
      </c>
      <c r="E400" t="inlineStr">
        <is>
          <t>ÖREBRO</t>
        </is>
      </c>
      <c r="G400" t="n">
        <v>0.9</v>
      </c>
      <c r="H400" t="n">
        <v>0</v>
      </c>
      <c r="I400" t="n">
        <v>0</v>
      </c>
      <c r="J400" t="n">
        <v>0</v>
      </c>
      <c r="K400" t="n">
        <v>0</v>
      </c>
      <c r="L400" t="n">
        <v>0</v>
      </c>
      <c r="M400" t="n">
        <v>0</v>
      </c>
      <c r="N400" t="n">
        <v>0</v>
      </c>
      <c r="O400" t="n">
        <v>0</v>
      </c>
      <c r="P400" t="n">
        <v>0</v>
      </c>
      <c r="Q400" t="n">
        <v>0</v>
      </c>
      <c r="R400" s="2" t="inlineStr"/>
    </row>
    <row r="401" ht="15" customHeight="1">
      <c r="A401" t="inlineStr">
        <is>
          <t>A 30472-2022</t>
        </is>
      </c>
      <c r="B401" s="1" t="n">
        <v>44761.70467592592</v>
      </c>
      <c r="C401" s="1" t="n">
        <v>45973</v>
      </c>
      <c r="D401" t="inlineStr">
        <is>
          <t>ÖREBRO LÄN</t>
        </is>
      </c>
      <c r="E401" t="inlineStr">
        <is>
          <t>ÖREBRO</t>
        </is>
      </c>
      <c r="F401" t="inlineStr">
        <is>
          <t>Övriga Aktiebolag</t>
        </is>
      </c>
      <c r="G401" t="n">
        <v>5.6</v>
      </c>
      <c r="H401" t="n">
        <v>0</v>
      </c>
      <c r="I401" t="n">
        <v>0</v>
      </c>
      <c r="J401" t="n">
        <v>0</v>
      </c>
      <c r="K401" t="n">
        <v>0</v>
      </c>
      <c r="L401" t="n">
        <v>0</v>
      </c>
      <c r="M401" t="n">
        <v>0</v>
      </c>
      <c r="N401" t="n">
        <v>0</v>
      </c>
      <c r="O401" t="n">
        <v>0</v>
      </c>
      <c r="P401" t="n">
        <v>0</v>
      </c>
      <c r="Q401" t="n">
        <v>0</v>
      </c>
      <c r="R401" s="2" t="inlineStr"/>
    </row>
    <row r="402" ht="15" customHeight="1">
      <c r="A402" t="inlineStr">
        <is>
          <t>A 6869-2025</t>
        </is>
      </c>
      <c r="B402" s="1" t="n">
        <v>45700</v>
      </c>
      <c r="C402" s="1" t="n">
        <v>45973</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52623-2024</t>
        </is>
      </c>
      <c r="B403" s="1" t="n">
        <v>45609</v>
      </c>
      <c r="C403" s="1" t="n">
        <v>45973</v>
      </c>
      <c r="D403" t="inlineStr">
        <is>
          <t>ÖREBRO LÄN</t>
        </is>
      </c>
      <c r="E403" t="inlineStr">
        <is>
          <t>ÖREBRO</t>
        </is>
      </c>
      <c r="F403" t="inlineStr">
        <is>
          <t>Kommuner</t>
        </is>
      </c>
      <c r="G403" t="n">
        <v>1.7</v>
      </c>
      <c r="H403" t="n">
        <v>0</v>
      </c>
      <c r="I403" t="n">
        <v>0</v>
      </c>
      <c r="J403" t="n">
        <v>0</v>
      </c>
      <c r="K403" t="n">
        <v>0</v>
      </c>
      <c r="L403" t="n">
        <v>0</v>
      </c>
      <c r="M403" t="n">
        <v>0</v>
      </c>
      <c r="N403" t="n">
        <v>0</v>
      </c>
      <c r="O403" t="n">
        <v>0</v>
      </c>
      <c r="P403" t="n">
        <v>0</v>
      </c>
      <c r="Q403" t="n">
        <v>0</v>
      </c>
      <c r="R403" s="2" t="inlineStr"/>
    </row>
    <row r="404" ht="15" customHeight="1">
      <c r="A404" t="inlineStr">
        <is>
          <t>A 57869-2024</t>
        </is>
      </c>
      <c r="B404" s="1" t="n">
        <v>45631.44207175926</v>
      </c>
      <c r="C404" s="1" t="n">
        <v>45973</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62511-2023</t>
        </is>
      </c>
      <c r="B405" s="1" t="n">
        <v>45268.61855324074</v>
      </c>
      <c r="C405" s="1" t="n">
        <v>45973</v>
      </c>
      <c r="D405" t="inlineStr">
        <is>
          <t>ÖREBRO LÄN</t>
        </is>
      </c>
      <c r="E405" t="inlineStr">
        <is>
          <t>ÖREBRO</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37277-2022</t>
        </is>
      </c>
      <c r="B406" s="1" t="n">
        <v>44807.49150462963</v>
      </c>
      <c r="C406" s="1" t="n">
        <v>45973</v>
      </c>
      <c r="D406" t="inlineStr">
        <is>
          <t>ÖREBRO LÄN</t>
        </is>
      </c>
      <c r="E406" t="inlineStr">
        <is>
          <t>ÖREBRO</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40522-2024</t>
        </is>
      </c>
      <c r="B407" s="1" t="n">
        <v>45555.59717592593</v>
      </c>
      <c r="C407" s="1" t="n">
        <v>45973</v>
      </c>
      <c r="D407" t="inlineStr">
        <is>
          <t>ÖREBRO LÄN</t>
        </is>
      </c>
      <c r="E407" t="inlineStr">
        <is>
          <t>ÖREBRO</t>
        </is>
      </c>
      <c r="G407" t="n">
        <v>5.1</v>
      </c>
      <c r="H407" t="n">
        <v>0</v>
      </c>
      <c r="I407" t="n">
        <v>0</v>
      </c>
      <c r="J407" t="n">
        <v>0</v>
      </c>
      <c r="K407" t="n">
        <v>0</v>
      </c>
      <c r="L407" t="n">
        <v>0</v>
      </c>
      <c r="M407" t="n">
        <v>0</v>
      </c>
      <c r="N407" t="n">
        <v>0</v>
      </c>
      <c r="O407" t="n">
        <v>0</v>
      </c>
      <c r="P407" t="n">
        <v>0</v>
      </c>
      <c r="Q407" t="n">
        <v>0</v>
      </c>
      <c r="R407" s="2" t="inlineStr"/>
    </row>
    <row r="408" ht="15" customHeight="1">
      <c r="A408" t="inlineStr">
        <is>
          <t>A 41669-2025</t>
        </is>
      </c>
      <c r="B408" s="1" t="n">
        <v>45902.36149305556</v>
      </c>
      <c r="C408" s="1" t="n">
        <v>45973</v>
      </c>
      <c r="D408" t="inlineStr">
        <is>
          <t>ÖREBRO LÄN</t>
        </is>
      </c>
      <c r="E408" t="inlineStr">
        <is>
          <t>ÖREBRO</t>
        </is>
      </c>
      <c r="G408" t="n">
        <v>2.8</v>
      </c>
      <c r="H408" t="n">
        <v>0</v>
      </c>
      <c r="I408" t="n">
        <v>0</v>
      </c>
      <c r="J408" t="n">
        <v>0</v>
      </c>
      <c r="K408" t="n">
        <v>0</v>
      </c>
      <c r="L408" t="n">
        <v>0</v>
      </c>
      <c r="M408" t="n">
        <v>0</v>
      </c>
      <c r="N408" t="n">
        <v>0</v>
      </c>
      <c r="O408" t="n">
        <v>0</v>
      </c>
      <c r="P408" t="n">
        <v>0</v>
      </c>
      <c r="Q408" t="n">
        <v>0</v>
      </c>
      <c r="R408" s="2" t="inlineStr"/>
    </row>
    <row r="409" ht="15" customHeight="1">
      <c r="A409" t="inlineStr">
        <is>
          <t>A 41412-2025</t>
        </is>
      </c>
      <c r="B409" s="1" t="n">
        <v>45901.3549537037</v>
      </c>
      <c r="C409" s="1" t="n">
        <v>45973</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27956-2023</t>
        </is>
      </c>
      <c r="B410" s="1" t="n">
        <v>45098</v>
      </c>
      <c r="C410" s="1" t="n">
        <v>45973</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51331-2023</t>
        </is>
      </c>
      <c r="B411" s="1" t="n">
        <v>45219</v>
      </c>
      <c r="C411" s="1" t="n">
        <v>45973</v>
      </c>
      <c r="D411" t="inlineStr">
        <is>
          <t>ÖREBRO LÄN</t>
        </is>
      </c>
      <c r="E411" t="inlineStr">
        <is>
          <t>ÖREBRO</t>
        </is>
      </c>
      <c r="F411" t="inlineStr">
        <is>
          <t>Kommuner</t>
        </is>
      </c>
      <c r="G411" t="n">
        <v>1.3</v>
      </c>
      <c r="H411" t="n">
        <v>0</v>
      </c>
      <c r="I411" t="n">
        <v>0</v>
      </c>
      <c r="J411" t="n">
        <v>0</v>
      </c>
      <c r="K411" t="n">
        <v>0</v>
      </c>
      <c r="L411" t="n">
        <v>0</v>
      </c>
      <c r="M411" t="n">
        <v>0</v>
      </c>
      <c r="N411" t="n">
        <v>0</v>
      </c>
      <c r="O411" t="n">
        <v>0</v>
      </c>
      <c r="P411" t="n">
        <v>0</v>
      </c>
      <c r="Q411" t="n">
        <v>0</v>
      </c>
      <c r="R411" s="2" t="inlineStr"/>
    </row>
    <row r="412" ht="15" customHeight="1">
      <c r="A412" t="inlineStr">
        <is>
          <t>A 40588-2021</t>
        </is>
      </c>
      <c r="B412" s="1" t="n">
        <v>44420</v>
      </c>
      <c r="C412" s="1" t="n">
        <v>45973</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59265-2020</t>
        </is>
      </c>
      <c r="B413" s="1" t="n">
        <v>44147.67359953704</v>
      </c>
      <c r="C413" s="1" t="n">
        <v>45973</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33577-2023</t>
        </is>
      </c>
      <c r="B414" s="1" t="n">
        <v>45131</v>
      </c>
      <c r="C414" s="1" t="n">
        <v>45973</v>
      </c>
      <c r="D414" t="inlineStr">
        <is>
          <t>ÖREBRO LÄN</t>
        </is>
      </c>
      <c r="E414" t="inlineStr">
        <is>
          <t>ÖREBRO</t>
        </is>
      </c>
      <c r="G414" t="n">
        <v>2</v>
      </c>
      <c r="H414" t="n">
        <v>0</v>
      </c>
      <c r="I414" t="n">
        <v>0</v>
      </c>
      <c r="J414" t="n">
        <v>0</v>
      </c>
      <c r="K414" t="n">
        <v>0</v>
      </c>
      <c r="L414" t="n">
        <v>0</v>
      </c>
      <c r="M414" t="n">
        <v>0</v>
      </c>
      <c r="N414" t="n">
        <v>0</v>
      </c>
      <c r="O414" t="n">
        <v>0</v>
      </c>
      <c r="P414" t="n">
        <v>0</v>
      </c>
      <c r="Q414" t="n">
        <v>0</v>
      </c>
      <c r="R414" s="2" t="inlineStr"/>
    </row>
    <row r="415" ht="15" customHeight="1">
      <c r="A415" t="inlineStr">
        <is>
          <t>A 40231-2022</t>
        </is>
      </c>
      <c r="B415" s="1" t="n">
        <v>44820</v>
      </c>
      <c r="C415" s="1" t="n">
        <v>45973</v>
      </c>
      <c r="D415" t="inlineStr">
        <is>
          <t>ÖREBRO LÄN</t>
        </is>
      </c>
      <c r="E415" t="inlineStr">
        <is>
          <t>ÖREBRO</t>
        </is>
      </c>
      <c r="F415" t="inlineStr">
        <is>
          <t>Allmännings- och besparingsskogar</t>
        </is>
      </c>
      <c r="G415" t="n">
        <v>2.2</v>
      </c>
      <c r="H415" t="n">
        <v>0</v>
      </c>
      <c r="I415" t="n">
        <v>0</v>
      </c>
      <c r="J415" t="n">
        <v>0</v>
      </c>
      <c r="K415" t="n">
        <v>0</v>
      </c>
      <c r="L415" t="n">
        <v>0</v>
      </c>
      <c r="M415" t="n">
        <v>0</v>
      </c>
      <c r="N415" t="n">
        <v>0</v>
      </c>
      <c r="O415" t="n">
        <v>0</v>
      </c>
      <c r="P415" t="n">
        <v>0</v>
      </c>
      <c r="Q415" t="n">
        <v>0</v>
      </c>
      <c r="R415" s="2" t="inlineStr"/>
    </row>
    <row r="416" ht="15" customHeight="1">
      <c r="A416" t="inlineStr">
        <is>
          <t>A 4284-2025</t>
        </is>
      </c>
      <c r="B416" s="1" t="n">
        <v>45685</v>
      </c>
      <c r="C416" s="1" t="n">
        <v>45973</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18360-2024</t>
        </is>
      </c>
      <c r="B417" s="1" t="n">
        <v>45422</v>
      </c>
      <c r="C417" s="1" t="n">
        <v>45973</v>
      </c>
      <c r="D417" t="inlineStr">
        <is>
          <t>ÖREBRO LÄN</t>
        </is>
      </c>
      <c r="E417" t="inlineStr">
        <is>
          <t>ÖREBRO</t>
        </is>
      </c>
      <c r="G417" t="n">
        <v>0.7</v>
      </c>
      <c r="H417" t="n">
        <v>0</v>
      </c>
      <c r="I417" t="n">
        <v>0</v>
      </c>
      <c r="J417" t="n">
        <v>0</v>
      </c>
      <c r="K417" t="n">
        <v>0</v>
      </c>
      <c r="L417" t="n">
        <v>0</v>
      </c>
      <c r="M417" t="n">
        <v>0</v>
      </c>
      <c r="N417" t="n">
        <v>0</v>
      </c>
      <c r="O417" t="n">
        <v>0</v>
      </c>
      <c r="P417" t="n">
        <v>0</v>
      </c>
      <c r="Q417" t="n">
        <v>0</v>
      </c>
      <c r="R417" s="2" t="inlineStr"/>
    </row>
    <row r="418" ht="15" customHeight="1">
      <c r="A418" t="inlineStr">
        <is>
          <t>A 8331-2021</t>
        </is>
      </c>
      <c r="B418" s="1" t="n">
        <v>44244</v>
      </c>
      <c r="C418" s="1" t="n">
        <v>45973</v>
      </c>
      <c r="D418" t="inlineStr">
        <is>
          <t>ÖREBRO LÄN</t>
        </is>
      </c>
      <c r="E418" t="inlineStr">
        <is>
          <t>ÖREBRO</t>
        </is>
      </c>
      <c r="G418" t="n">
        <v>9.1</v>
      </c>
      <c r="H418" t="n">
        <v>0</v>
      </c>
      <c r="I418" t="n">
        <v>0</v>
      </c>
      <c r="J418" t="n">
        <v>0</v>
      </c>
      <c r="K418" t="n">
        <v>0</v>
      </c>
      <c r="L418" t="n">
        <v>0</v>
      </c>
      <c r="M418" t="n">
        <v>0</v>
      </c>
      <c r="N418" t="n">
        <v>0</v>
      </c>
      <c r="O418" t="n">
        <v>0</v>
      </c>
      <c r="P418" t="n">
        <v>0</v>
      </c>
      <c r="Q418" t="n">
        <v>0</v>
      </c>
      <c r="R418" s="2" t="inlineStr"/>
    </row>
    <row r="419" ht="15" customHeight="1">
      <c r="A419" t="inlineStr">
        <is>
          <t>A 8332-2021</t>
        </is>
      </c>
      <c r="B419" s="1" t="n">
        <v>44244</v>
      </c>
      <c r="C419" s="1" t="n">
        <v>45973</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7611-2024</t>
        </is>
      </c>
      <c r="B420" s="1" t="n">
        <v>45348.58864583333</v>
      </c>
      <c r="C420" s="1" t="n">
        <v>45973</v>
      </c>
      <c r="D420" t="inlineStr">
        <is>
          <t>ÖREBRO LÄN</t>
        </is>
      </c>
      <c r="E420" t="inlineStr">
        <is>
          <t>ÖREBRO</t>
        </is>
      </c>
      <c r="G420" t="n">
        <v>4.2</v>
      </c>
      <c r="H420" t="n">
        <v>0</v>
      </c>
      <c r="I420" t="n">
        <v>0</v>
      </c>
      <c r="J420" t="n">
        <v>0</v>
      </c>
      <c r="K420" t="n">
        <v>0</v>
      </c>
      <c r="L420" t="n">
        <v>0</v>
      </c>
      <c r="M420" t="n">
        <v>0</v>
      </c>
      <c r="N420" t="n">
        <v>0</v>
      </c>
      <c r="O420" t="n">
        <v>0</v>
      </c>
      <c r="P420" t="n">
        <v>0</v>
      </c>
      <c r="Q420" t="n">
        <v>0</v>
      </c>
      <c r="R420" s="2" t="inlineStr"/>
    </row>
    <row r="421" ht="15" customHeight="1">
      <c r="A421" t="inlineStr">
        <is>
          <t>A 25443-2021</t>
        </is>
      </c>
      <c r="B421" s="1" t="n">
        <v>44342</v>
      </c>
      <c r="C421" s="1" t="n">
        <v>45973</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13347-2023</t>
        </is>
      </c>
      <c r="B422" s="1" t="n">
        <v>45004</v>
      </c>
      <c r="C422" s="1" t="n">
        <v>45973</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187-2024</t>
        </is>
      </c>
      <c r="B423" s="1" t="n">
        <v>45294</v>
      </c>
      <c r="C423" s="1" t="n">
        <v>45973</v>
      </c>
      <c r="D423" t="inlineStr">
        <is>
          <t>ÖREBRO LÄN</t>
        </is>
      </c>
      <c r="E423" t="inlineStr">
        <is>
          <t>ÖREBRO</t>
        </is>
      </c>
      <c r="G423" t="n">
        <v>5.9</v>
      </c>
      <c r="H423" t="n">
        <v>0</v>
      </c>
      <c r="I423" t="n">
        <v>0</v>
      </c>
      <c r="J423" t="n">
        <v>0</v>
      </c>
      <c r="K423" t="n">
        <v>0</v>
      </c>
      <c r="L423" t="n">
        <v>0</v>
      </c>
      <c r="M423" t="n">
        <v>0</v>
      </c>
      <c r="N423" t="n">
        <v>0</v>
      </c>
      <c r="O423" t="n">
        <v>0</v>
      </c>
      <c r="P423" t="n">
        <v>0</v>
      </c>
      <c r="Q423" t="n">
        <v>0</v>
      </c>
      <c r="R423" s="2" t="inlineStr"/>
    </row>
    <row r="424" ht="15" customHeight="1">
      <c r="A424" t="inlineStr">
        <is>
          <t>A 10832-2023</t>
        </is>
      </c>
      <c r="B424" s="1" t="n">
        <v>44990.91711805556</v>
      </c>
      <c r="C424" s="1" t="n">
        <v>45973</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51248-2025</t>
        </is>
      </c>
      <c r="B425" s="1" t="n">
        <v>45948.450625</v>
      </c>
      <c r="C425" s="1" t="n">
        <v>45973</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2596-2022</t>
        </is>
      </c>
      <c r="B426" s="1" t="n">
        <v>44580</v>
      </c>
      <c r="C426" s="1" t="n">
        <v>45973</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50311-2025</t>
        </is>
      </c>
      <c r="B427" s="1" t="n">
        <v>45944</v>
      </c>
      <c r="C427" s="1" t="n">
        <v>45973</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5338-2024</t>
        </is>
      </c>
      <c r="B428" s="1" t="n">
        <v>45331</v>
      </c>
      <c r="C428" s="1" t="n">
        <v>45973</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51249-2025</t>
        </is>
      </c>
      <c r="B429" s="1" t="n">
        <v>45948.45704861111</v>
      </c>
      <c r="C429" s="1" t="n">
        <v>45973</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14487-2023</t>
        </is>
      </c>
      <c r="B430" s="1" t="n">
        <v>45012</v>
      </c>
      <c r="C430" s="1" t="n">
        <v>45973</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42623-2022</t>
        </is>
      </c>
      <c r="B431" s="1" t="n">
        <v>44831</v>
      </c>
      <c r="C431" s="1" t="n">
        <v>45973</v>
      </c>
      <c r="D431" t="inlineStr">
        <is>
          <t>ÖREBRO LÄN</t>
        </is>
      </c>
      <c r="E431" t="inlineStr">
        <is>
          <t>ÖREBRO</t>
        </is>
      </c>
      <c r="G431" t="n">
        <v>3.6</v>
      </c>
      <c r="H431" t="n">
        <v>0</v>
      </c>
      <c r="I431" t="n">
        <v>0</v>
      </c>
      <c r="J431" t="n">
        <v>0</v>
      </c>
      <c r="K431" t="n">
        <v>0</v>
      </c>
      <c r="L431" t="n">
        <v>0</v>
      </c>
      <c r="M431" t="n">
        <v>0</v>
      </c>
      <c r="N431" t="n">
        <v>0</v>
      </c>
      <c r="O431" t="n">
        <v>0</v>
      </c>
      <c r="P431" t="n">
        <v>0</v>
      </c>
      <c r="Q431" t="n">
        <v>0</v>
      </c>
      <c r="R431" s="2" t="inlineStr"/>
    </row>
    <row r="432" ht="15" customHeight="1">
      <c r="A432" t="inlineStr">
        <is>
          <t>A 8565-2021</t>
        </is>
      </c>
      <c r="B432" s="1" t="n">
        <v>44245</v>
      </c>
      <c r="C432" s="1" t="n">
        <v>45973</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4970-2022</t>
        </is>
      </c>
      <c r="B433" s="1" t="n">
        <v>44593.51175925926</v>
      </c>
      <c r="C433" s="1" t="n">
        <v>45973</v>
      </c>
      <c r="D433" t="inlineStr">
        <is>
          <t>ÖREBRO LÄN</t>
        </is>
      </c>
      <c r="E433" t="inlineStr">
        <is>
          <t>ÖREBRO</t>
        </is>
      </c>
      <c r="G433" t="n">
        <v>1.1</v>
      </c>
      <c r="H433" t="n">
        <v>0</v>
      </c>
      <c r="I433" t="n">
        <v>0</v>
      </c>
      <c r="J433" t="n">
        <v>0</v>
      </c>
      <c r="K433" t="n">
        <v>0</v>
      </c>
      <c r="L433" t="n">
        <v>0</v>
      </c>
      <c r="M433" t="n">
        <v>0</v>
      </c>
      <c r="N433" t="n">
        <v>0</v>
      </c>
      <c r="O433" t="n">
        <v>0</v>
      </c>
      <c r="P433" t="n">
        <v>0</v>
      </c>
      <c r="Q433" t="n">
        <v>0</v>
      </c>
      <c r="R433" s="2" t="inlineStr"/>
    </row>
    <row r="434" ht="15" customHeight="1">
      <c r="A434" t="inlineStr">
        <is>
          <t>A 18047-2023</t>
        </is>
      </c>
      <c r="B434" s="1" t="n">
        <v>45040</v>
      </c>
      <c r="C434" s="1" t="n">
        <v>45973</v>
      </c>
      <c r="D434" t="inlineStr">
        <is>
          <t>ÖREBRO LÄN</t>
        </is>
      </c>
      <c r="E434" t="inlineStr">
        <is>
          <t>ÖREBRO</t>
        </is>
      </c>
      <c r="G434" t="n">
        <v>3.9</v>
      </c>
      <c r="H434" t="n">
        <v>0</v>
      </c>
      <c r="I434" t="n">
        <v>0</v>
      </c>
      <c r="J434" t="n">
        <v>0</v>
      </c>
      <c r="K434" t="n">
        <v>0</v>
      </c>
      <c r="L434" t="n">
        <v>0</v>
      </c>
      <c r="M434" t="n">
        <v>0</v>
      </c>
      <c r="N434" t="n">
        <v>0</v>
      </c>
      <c r="O434" t="n">
        <v>0</v>
      </c>
      <c r="P434" t="n">
        <v>0</v>
      </c>
      <c r="Q434" t="n">
        <v>0</v>
      </c>
      <c r="R434" s="2" t="inlineStr"/>
    </row>
    <row r="435" ht="15" customHeight="1">
      <c r="A435" t="inlineStr">
        <is>
          <t>A 3763-2025</t>
        </is>
      </c>
      <c r="B435" s="1" t="n">
        <v>45681</v>
      </c>
      <c r="C435" s="1" t="n">
        <v>45973</v>
      </c>
      <c r="D435" t="inlineStr">
        <is>
          <t>ÖREBRO LÄN</t>
        </is>
      </c>
      <c r="E435" t="inlineStr">
        <is>
          <t>ÖREBRO</t>
        </is>
      </c>
      <c r="G435" t="n">
        <v>10.1</v>
      </c>
      <c r="H435" t="n">
        <v>0</v>
      </c>
      <c r="I435" t="n">
        <v>0</v>
      </c>
      <c r="J435" t="n">
        <v>0</v>
      </c>
      <c r="K435" t="n">
        <v>0</v>
      </c>
      <c r="L435" t="n">
        <v>0</v>
      </c>
      <c r="M435" t="n">
        <v>0</v>
      </c>
      <c r="N435" t="n">
        <v>0</v>
      </c>
      <c r="O435" t="n">
        <v>0</v>
      </c>
      <c r="P435" t="n">
        <v>0</v>
      </c>
      <c r="Q435" t="n">
        <v>0</v>
      </c>
      <c r="R435" s="2" t="inlineStr"/>
    </row>
    <row r="436" ht="15" customHeight="1">
      <c r="A436" t="inlineStr">
        <is>
          <t>A 3789-2023</t>
        </is>
      </c>
      <c r="B436" s="1" t="n">
        <v>44951</v>
      </c>
      <c r="C436" s="1" t="n">
        <v>45973</v>
      </c>
      <c r="D436" t="inlineStr">
        <is>
          <t>ÖREBRO LÄN</t>
        </is>
      </c>
      <c r="E436" t="inlineStr">
        <is>
          <t>ÖREBRO</t>
        </is>
      </c>
      <c r="G436" t="n">
        <v>7.5</v>
      </c>
      <c r="H436" t="n">
        <v>0</v>
      </c>
      <c r="I436" t="n">
        <v>0</v>
      </c>
      <c r="J436" t="n">
        <v>0</v>
      </c>
      <c r="K436" t="n">
        <v>0</v>
      </c>
      <c r="L436" t="n">
        <v>0</v>
      </c>
      <c r="M436" t="n">
        <v>0</v>
      </c>
      <c r="N436" t="n">
        <v>0</v>
      </c>
      <c r="O436" t="n">
        <v>0</v>
      </c>
      <c r="P436" t="n">
        <v>0</v>
      </c>
      <c r="Q436" t="n">
        <v>0</v>
      </c>
      <c r="R436" s="2" t="inlineStr"/>
    </row>
    <row r="437" ht="15" customHeight="1">
      <c r="A437" t="inlineStr">
        <is>
          <t>A 10829-2023</t>
        </is>
      </c>
      <c r="B437" s="1" t="n">
        <v>44990.88512731482</v>
      </c>
      <c r="C437" s="1" t="n">
        <v>45973</v>
      </c>
      <c r="D437" t="inlineStr">
        <is>
          <t>ÖREBRO LÄN</t>
        </is>
      </c>
      <c r="E437" t="inlineStr">
        <is>
          <t>ÖREBRO</t>
        </is>
      </c>
      <c r="G437" t="n">
        <v>4.4</v>
      </c>
      <c r="H437" t="n">
        <v>0</v>
      </c>
      <c r="I437" t="n">
        <v>0</v>
      </c>
      <c r="J437" t="n">
        <v>0</v>
      </c>
      <c r="K437" t="n">
        <v>0</v>
      </c>
      <c r="L437" t="n">
        <v>0</v>
      </c>
      <c r="M437" t="n">
        <v>0</v>
      </c>
      <c r="N437" t="n">
        <v>0</v>
      </c>
      <c r="O437" t="n">
        <v>0</v>
      </c>
      <c r="P437" t="n">
        <v>0</v>
      </c>
      <c r="Q437" t="n">
        <v>0</v>
      </c>
      <c r="R437" s="2" t="inlineStr"/>
    </row>
    <row r="438" ht="15" customHeight="1">
      <c r="A438" t="inlineStr">
        <is>
          <t>A 10831-2023</t>
        </is>
      </c>
      <c r="B438" s="1" t="n">
        <v>44990.90357638889</v>
      </c>
      <c r="C438" s="1" t="n">
        <v>45973</v>
      </c>
      <c r="D438" t="inlineStr">
        <is>
          <t>ÖREBRO LÄN</t>
        </is>
      </c>
      <c r="E438" t="inlineStr">
        <is>
          <t>ÖREBRO</t>
        </is>
      </c>
      <c r="G438" t="n">
        <v>1.9</v>
      </c>
      <c r="H438" t="n">
        <v>0</v>
      </c>
      <c r="I438" t="n">
        <v>0</v>
      </c>
      <c r="J438" t="n">
        <v>0</v>
      </c>
      <c r="K438" t="n">
        <v>0</v>
      </c>
      <c r="L438" t="n">
        <v>0</v>
      </c>
      <c r="M438" t="n">
        <v>0</v>
      </c>
      <c r="N438" t="n">
        <v>0</v>
      </c>
      <c r="O438" t="n">
        <v>0</v>
      </c>
      <c r="P438" t="n">
        <v>0</v>
      </c>
      <c r="Q438" t="n">
        <v>0</v>
      </c>
      <c r="R438" s="2" t="inlineStr"/>
    </row>
    <row r="439" ht="15" customHeight="1">
      <c r="A439" t="inlineStr">
        <is>
          <t>A 25578-2025</t>
        </is>
      </c>
      <c r="B439" s="1" t="n">
        <v>45803.47803240741</v>
      </c>
      <c r="C439" s="1" t="n">
        <v>45973</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16165-2023</t>
        </is>
      </c>
      <c r="B440" s="1" t="n">
        <v>45027</v>
      </c>
      <c r="C440" s="1" t="n">
        <v>45973</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57247-2022</t>
        </is>
      </c>
      <c r="B441" s="1" t="n">
        <v>44895.73065972222</v>
      </c>
      <c r="C441" s="1" t="n">
        <v>45973</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5026-2022</t>
        </is>
      </c>
      <c r="B442" s="1" t="n">
        <v>44593.63974537037</v>
      </c>
      <c r="C442" s="1" t="n">
        <v>45973</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51937-2025</t>
        </is>
      </c>
      <c r="B443" s="1" t="n">
        <v>45952.51270833334</v>
      </c>
      <c r="C443" s="1" t="n">
        <v>45973</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52135-2025</t>
        </is>
      </c>
      <c r="B444" s="1" t="n">
        <v>45952.84231481481</v>
      </c>
      <c r="C444" s="1" t="n">
        <v>45973</v>
      </c>
      <c r="D444" t="inlineStr">
        <is>
          <t>ÖREBRO LÄN</t>
        </is>
      </c>
      <c r="E444" t="inlineStr">
        <is>
          <t>ÖREBRO</t>
        </is>
      </c>
      <c r="G444" t="n">
        <v>4</v>
      </c>
      <c r="H444" t="n">
        <v>0</v>
      </c>
      <c r="I444" t="n">
        <v>0</v>
      </c>
      <c r="J444" t="n">
        <v>0</v>
      </c>
      <c r="K444" t="n">
        <v>0</v>
      </c>
      <c r="L444" t="n">
        <v>0</v>
      </c>
      <c r="M444" t="n">
        <v>0</v>
      </c>
      <c r="N444" t="n">
        <v>0</v>
      </c>
      <c r="O444" t="n">
        <v>0</v>
      </c>
      <c r="P444" t="n">
        <v>0</v>
      </c>
      <c r="Q444" t="n">
        <v>0</v>
      </c>
      <c r="R444" s="2" t="inlineStr"/>
    </row>
    <row r="445" ht="15" customHeight="1">
      <c r="A445" t="inlineStr">
        <is>
          <t>A 51923-2025</t>
        </is>
      </c>
      <c r="B445" s="1" t="n">
        <v>45952.49300925926</v>
      </c>
      <c r="C445" s="1" t="n">
        <v>45973</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54917-2023</t>
        </is>
      </c>
      <c r="B446" s="1" t="n">
        <v>45229</v>
      </c>
      <c r="C446" s="1" t="n">
        <v>45973</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72329-2021</t>
        </is>
      </c>
      <c r="B447" s="1" t="n">
        <v>44545.46072916667</v>
      </c>
      <c r="C447" s="1" t="n">
        <v>45973</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43803-2023</t>
        </is>
      </c>
      <c r="B448" s="1" t="n">
        <v>45187</v>
      </c>
      <c r="C448" s="1" t="n">
        <v>45973</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15789-2023</t>
        </is>
      </c>
      <c r="B449" s="1" t="n">
        <v>45021.71539351852</v>
      </c>
      <c r="C449" s="1" t="n">
        <v>45973</v>
      </c>
      <c r="D449" t="inlineStr">
        <is>
          <t>ÖREBRO LÄN</t>
        </is>
      </c>
      <c r="E449" t="inlineStr">
        <is>
          <t>ÖREBRO</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25519-2025</t>
        </is>
      </c>
      <c r="B450" s="1" t="n">
        <v>45803.38447916666</v>
      </c>
      <c r="C450" s="1" t="n">
        <v>45973</v>
      </c>
      <c r="D450" t="inlineStr">
        <is>
          <t>ÖREBRO LÄN</t>
        </is>
      </c>
      <c r="E450" t="inlineStr">
        <is>
          <t>ÖREBRO</t>
        </is>
      </c>
      <c r="G450" t="n">
        <v>7.4</v>
      </c>
      <c r="H450" t="n">
        <v>0</v>
      </c>
      <c r="I450" t="n">
        <v>0</v>
      </c>
      <c r="J450" t="n">
        <v>0</v>
      </c>
      <c r="K450" t="n">
        <v>0</v>
      </c>
      <c r="L450" t="n">
        <v>0</v>
      </c>
      <c r="M450" t="n">
        <v>0</v>
      </c>
      <c r="N450" t="n">
        <v>0</v>
      </c>
      <c r="O450" t="n">
        <v>0</v>
      </c>
      <c r="P450" t="n">
        <v>0</v>
      </c>
      <c r="Q450" t="n">
        <v>0</v>
      </c>
      <c r="R450" s="2" t="inlineStr"/>
    </row>
    <row r="451" ht="15" customHeight="1">
      <c r="A451" t="inlineStr">
        <is>
          <t>A 58539-2024</t>
        </is>
      </c>
      <c r="B451" s="1" t="n">
        <v>45635.45157407408</v>
      </c>
      <c r="C451" s="1" t="n">
        <v>45973</v>
      </c>
      <c r="D451" t="inlineStr">
        <is>
          <t>ÖREBRO LÄN</t>
        </is>
      </c>
      <c r="E451" t="inlineStr">
        <is>
          <t>ÖREBRO</t>
        </is>
      </c>
      <c r="F451" t="inlineStr">
        <is>
          <t>Sveaskog</t>
        </is>
      </c>
      <c r="G451" t="n">
        <v>4.1</v>
      </c>
      <c r="H451" t="n">
        <v>0</v>
      </c>
      <c r="I451" t="n">
        <v>0</v>
      </c>
      <c r="J451" t="n">
        <v>0</v>
      </c>
      <c r="K451" t="n">
        <v>0</v>
      </c>
      <c r="L451" t="n">
        <v>0</v>
      </c>
      <c r="M451" t="n">
        <v>0</v>
      </c>
      <c r="N451" t="n">
        <v>0</v>
      </c>
      <c r="O451" t="n">
        <v>0</v>
      </c>
      <c r="P451" t="n">
        <v>0</v>
      </c>
      <c r="Q451" t="n">
        <v>0</v>
      </c>
      <c r="R451" s="2" t="inlineStr"/>
    </row>
    <row r="452" ht="15" customHeight="1">
      <c r="A452" t="inlineStr">
        <is>
          <t>A 51925-2025</t>
        </is>
      </c>
      <c r="B452" s="1" t="n">
        <v>45952.49476851852</v>
      </c>
      <c r="C452" s="1" t="n">
        <v>45973</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59757-2023</t>
        </is>
      </c>
      <c r="B453" s="1" t="n">
        <v>45257.40833333333</v>
      </c>
      <c r="C453" s="1" t="n">
        <v>45973</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17869-2024</t>
        </is>
      </c>
      <c r="B454" s="1" t="n">
        <v>45419</v>
      </c>
      <c r="C454" s="1" t="n">
        <v>45973</v>
      </c>
      <c r="D454" t="inlineStr">
        <is>
          <t>ÖREBRO LÄN</t>
        </is>
      </c>
      <c r="E454" t="inlineStr">
        <is>
          <t>ÖREBRO</t>
        </is>
      </c>
      <c r="G454" t="n">
        <v>3.7</v>
      </c>
      <c r="H454" t="n">
        <v>0</v>
      </c>
      <c r="I454" t="n">
        <v>0</v>
      </c>
      <c r="J454" t="n">
        <v>0</v>
      </c>
      <c r="K454" t="n">
        <v>0</v>
      </c>
      <c r="L454" t="n">
        <v>0</v>
      </c>
      <c r="M454" t="n">
        <v>0</v>
      </c>
      <c r="N454" t="n">
        <v>0</v>
      </c>
      <c r="O454" t="n">
        <v>0</v>
      </c>
      <c r="P454" t="n">
        <v>0</v>
      </c>
      <c r="Q454" t="n">
        <v>0</v>
      </c>
      <c r="R454" s="2" t="inlineStr"/>
    </row>
    <row r="455" ht="15" customHeight="1">
      <c r="A455" t="inlineStr">
        <is>
          <t>A 46757-2021</t>
        </is>
      </c>
      <c r="B455" s="1" t="n">
        <v>44445</v>
      </c>
      <c r="C455" s="1" t="n">
        <v>45973</v>
      </c>
      <c r="D455" t="inlineStr">
        <is>
          <t>ÖREBRO LÄN</t>
        </is>
      </c>
      <c r="E455" t="inlineStr">
        <is>
          <t>ÖREBRO</t>
        </is>
      </c>
      <c r="G455" t="n">
        <v>5.6</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44539.61571759259</v>
      </c>
      <c r="C456" s="1" t="n">
        <v>45973</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4557-2023</t>
        </is>
      </c>
      <c r="B457" s="1" t="n">
        <v>44956.6655787037</v>
      </c>
      <c r="C457" s="1" t="n">
        <v>45973</v>
      </c>
      <c r="D457" t="inlineStr">
        <is>
          <t>ÖREBRO LÄN</t>
        </is>
      </c>
      <c r="E457" t="inlineStr">
        <is>
          <t>ÖREBRO</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60100-2022</t>
        </is>
      </c>
      <c r="B458" s="1" t="n">
        <v>44902</v>
      </c>
      <c r="C458" s="1" t="n">
        <v>45973</v>
      </c>
      <c r="D458" t="inlineStr">
        <is>
          <t>ÖREBRO LÄN</t>
        </is>
      </c>
      <c r="E458" t="inlineStr">
        <is>
          <t>ÖREBRO</t>
        </is>
      </c>
      <c r="G458" t="n">
        <v>1.4</v>
      </c>
      <c r="H458" t="n">
        <v>0</v>
      </c>
      <c r="I458" t="n">
        <v>0</v>
      </c>
      <c r="J458" t="n">
        <v>0</v>
      </c>
      <c r="K458" t="n">
        <v>0</v>
      </c>
      <c r="L458" t="n">
        <v>0</v>
      </c>
      <c r="M458" t="n">
        <v>0</v>
      </c>
      <c r="N458" t="n">
        <v>0</v>
      </c>
      <c r="O458" t="n">
        <v>0</v>
      </c>
      <c r="P458" t="n">
        <v>0</v>
      </c>
      <c r="Q458" t="n">
        <v>0</v>
      </c>
      <c r="R458" s="2" t="inlineStr"/>
    </row>
    <row r="459" ht="15" customHeight="1">
      <c r="A459" t="inlineStr">
        <is>
          <t>A 17465-2023</t>
        </is>
      </c>
      <c r="B459" s="1" t="n">
        <v>45036</v>
      </c>
      <c r="C459" s="1" t="n">
        <v>45973</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6213-2021</t>
        </is>
      </c>
      <c r="B460" s="1" t="n">
        <v>44232</v>
      </c>
      <c r="C460" s="1" t="n">
        <v>45973</v>
      </c>
      <c r="D460" t="inlineStr">
        <is>
          <t>ÖREBRO LÄN</t>
        </is>
      </c>
      <c r="E460" t="inlineStr">
        <is>
          <t>ÖREBRO</t>
        </is>
      </c>
      <c r="G460" t="n">
        <v>4</v>
      </c>
      <c r="H460" t="n">
        <v>0</v>
      </c>
      <c r="I460" t="n">
        <v>0</v>
      </c>
      <c r="J460" t="n">
        <v>0</v>
      </c>
      <c r="K460" t="n">
        <v>0</v>
      </c>
      <c r="L460" t="n">
        <v>0</v>
      </c>
      <c r="M460" t="n">
        <v>0</v>
      </c>
      <c r="N460" t="n">
        <v>0</v>
      </c>
      <c r="O460" t="n">
        <v>0</v>
      </c>
      <c r="P460" t="n">
        <v>0</v>
      </c>
      <c r="Q460" t="n">
        <v>0</v>
      </c>
      <c r="R460" s="2" t="inlineStr"/>
    </row>
    <row r="461" ht="15" customHeight="1">
      <c r="A461" t="inlineStr">
        <is>
          <t>A 52016-2024</t>
        </is>
      </c>
      <c r="B461" s="1" t="n">
        <v>45607.81917824074</v>
      </c>
      <c r="C461" s="1" t="n">
        <v>45973</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30374-2023</t>
        </is>
      </c>
      <c r="B462" s="1" t="n">
        <v>45111</v>
      </c>
      <c r="C462" s="1" t="n">
        <v>45973</v>
      </c>
      <c r="D462" t="inlineStr">
        <is>
          <t>ÖREBRO LÄN</t>
        </is>
      </c>
      <c r="E462" t="inlineStr">
        <is>
          <t>ÖREBRO</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52382-2025</t>
        </is>
      </c>
      <c r="B463" s="1" t="n">
        <v>45953.9559837963</v>
      </c>
      <c r="C463" s="1" t="n">
        <v>45973</v>
      </c>
      <c r="D463" t="inlineStr">
        <is>
          <t>ÖREBRO LÄN</t>
        </is>
      </c>
      <c r="E463" t="inlineStr">
        <is>
          <t>ÖREBRO</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52477-2024</t>
        </is>
      </c>
      <c r="B464" s="1" t="n">
        <v>45609</v>
      </c>
      <c r="C464" s="1" t="n">
        <v>45973</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53558-2023</t>
        </is>
      </c>
      <c r="B465" s="1" t="n">
        <v>45230.47266203703</v>
      </c>
      <c r="C465" s="1" t="n">
        <v>45973</v>
      </c>
      <c r="D465" t="inlineStr">
        <is>
          <t>ÖREBRO LÄN</t>
        </is>
      </c>
      <c r="E465" t="inlineStr">
        <is>
          <t>ÖREBRO</t>
        </is>
      </c>
      <c r="F465" t="inlineStr">
        <is>
          <t>Övriga Aktiebolag</t>
        </is>
      </c>
      <c r="G465" t="n">
        <v>4.7</v>
      </c>
      <c r="H465" t="n">
        <v>0</v>
      </c>
      <c r="I465" t="n">
        <v>0</v>
      </c>
      <c r="J465" t="n">
        <v>0</v>
      </c>
      <c r="K465" t="n">
        <v>0</v>
      </c>
      <c r="L465" t="n">
        <v>0</v>
      </c>
      <c r="M465" t="n">
        <v>0</v>
      </c>
      <c r="N465" t="n">
        <v>0</v>
      </c>
      <c r="O465" t="n">
        <v>0</v>
      </c>
      <c r="P465" t="n">
        <v>0</v>
      </c>
      <c r="Q465" t="n">
        <v>0</v>
      </c>
      <c r="R465" s="2" t="inlineStr"/>
    </row>
    <row r="466" ht="15" customHeight="1">
      <c r="A466" t="inlineStr">
        <is>
          <t>A 54678-2023</t>
        </is>
      </c>
      <c r="B466" s="1" t="n">
        <v>45235</v>
      </c>
      <c r="C466" s="1" t="n">
        <v>45973</v>
      </c>
      <c r="D466" t="inlineStr">
        <is>
          <t>ÖREBRO LÄN</t>
        </is>
      </c>
      <c r="E466" t="inlineStr">
        <is>
          <t>ÖREBRO</t>
        </is>
      </c>
      <c r="G466" t="n">
        <v>1.7</v>
      </c>
      <c r="H466" t="n">
        <v>0</v>
      </c>
      <c r="I466" t="n">
        <v>0</v>
      </c>
      <c r="J466" t="n">
        <v>0</v>
      </c>
      <c r="K466" t="n">
        <v>0</v>
      </c>
      <c r="L466" t="n">
        <v>0</v>
      </c>
      <c r="M466" t="n">
        <v>0</v>
      </c>
      <c r="N466" t="n">
        <v>0</v>
      </c>
      <c r="O466" t="n">
        <v>0</v>
      </c>
      <c r="P466" t="n">
        <v>0</v>
      </c>
      <c r="Q466" t="n">
        <v>0</v>
      </c>
      <c r="R466" s="2" t="inlineStr"/>
    </row>
    <row r="467" ht="15" customHeight="1">
      <c r="A467" t="inlineStr">
        <is>
          <t>A 35843-2022</t>
        </is>
      </c>
      <c r="B467" s="1" t="n">
        <v>44802</v>
      </c>
      <c r="C467" s="1" t="n">
        <v>45973</v>
      </c>
      <c r="D467" t="inlineStr">
        <is>
          <t>ÖREBRO LÄN</t>
        </is>
      </c>
      <c r="E467" t="inlineStr">
        <is>
          <t>ÖREBRO</t>
        </is>
      </c>
      <c r="G467" t="n">
        <v>2.4</v>
      </c>
      <c r="H467" t="n">
        <v>0</v>
      </c>
      <c r="I467" t="n">
        <v>0</v>
      </c>
      <c r="J467" t="n">
        <v>0</v>
      </c>
      <c r="K467" t="n">
        <v>0</v>
      </c>
      <c r="L467" t="n">
        <v>0</v>
      </c>
      <c r="M467" t="n">
        <v>0</v>
      </c>
      <c r="N467" t="n">
        <v>0</v>
      </c>
      <c r="O467" t="n">
        <v>0</v>
      </c>
      <c r="P467" t="n">
        <v>0</v>
      </c>
      <c r="Q467" t="n">
        <v>0</v>
      </c>
      <c r="R467" s="2" t="inlineStr"/>
    </row>
    <row r="468" ht="15" customHeight="1">
      <c r="A468" t="inlineStr">
        <is>
          <t>A 58219-2024</t>
        </is>
      </c>
      <c r="B468" s="1" t="n">
        <v>45632</v>
      </c>
      <c r="C468" s="1" t="n">
        <v>45973</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51373-2023</t>
        </is>
      </c>
      <c r="B469" s="1" t="n">
        <v>45213</v>
      </c>
      <c r="C469" s="1" t="n">
        <v>45973</v>
      </c>
      <c r="D469" t="inlineStr">
        <is>
          <t>ÖREBRO LÄN</t>
        </is>
      </c>
      <c r="E469" t="inlineStr">
        <is>
          <t>ÖREBRO</t>
        </is>
      </c>
      <c r="G469" t="n">
        <v>5.9</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45973</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40656-2023</t>
        </is>
      </c>
      <c r="B471" s="1" t="n">
        <v>45170</v>
      </c>
      <c r="C471" s="1" t="n">
        <v>45973</v>
      </c>
      <c r="D471" t="inlineStr">
        <is>
          <t>ÖREBRO LÄN</t>
        </is>
      </c>
      <c r="E471" t="inlineStr">
        <is>
          <t>ÖREBRO</t>
        </is>
      </c>
      <c r="F471" t="inlineStr">
        <is>
          <t>Övriga Aktiebolag</t>
        </is>
      </c>
      <c r="G471" t="n">
        <v>0.8</v>
      </c>
      <c r="H471" t="n">
        <v>0</v>
      </c>
      <c r="I471" t="n">
        <v>0</v>
      </c>
      <c r="J471" t="n">
        <v>0</v>
      </c>
      <c r="K471" t="n">
        <v>0</v>
      </c>
      <c r="L471" t="n">
        <v>0</v>
      </c>
      <c r="M471" t="n">
        <v>0</v>
      </c>
      <c r="N471" t="n">
        <v>0</v>
      </c>
      <c r="O471" t="n">
        <v>0</v>
      </c>
      <c r="P471" t="n">
        <v>0</v>
      </c>
      <c r="Q471" t="n">
        <v>0</v>
      </c>
      <c r="R471" s="2" t="inlineStr"/>
    </row>
    <row r="472" ht="15" customHeight="1">
      <c r="A472" t="inlineStr">
        <is>
          <t>A 42518-2021</t>
        </is>
      </c>
      <c r="B472" s="1" t="n">
        <v>44427.81496527778</v>
      </c>
      <c r="C472" s="1" t="n">
        <v>45973</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22677-2022</t>
        </is>
      </c>
      <c r="B473" s="1" t="n">
        <v>44714</v>
      </c>
      <c r="C473" s="1" t="n">
        <v>45973</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14545-2023</t>
        </is>
      </c>
      <c r="B474" s="1" t="n">
        <v>45013.34895833334</v>
      </c>
      <c r="C474" s="1" t="n">
        <v>45973</v>
      </c>
      <c r="D474" t="inlineStr">
        <is>
          <t>ÖREBRO LÄN</t>
        </is>
      </c>
      <c r="E474" t="inlineStr">
        <is>
          <t>ÖREBRO</t>
        </is>
      </c>
      <c r="G474" t="n">
        <v>2.5</v>
      </c>
      <c r="H474" t="n">
        <v>0</v>
      </c>
      <c r="I474" t="n">
        <v>0</v>
      </c>
      <c r="J474" t="n">
        <v>0</v>
      </c>
      <c r="K474" t="n">
        <v>0</v>
      </c>
      <c r="L474" t="n">
        <v>0</v>
      </c>
      <c r="M474" t="n">
        <v>0</v>
      </c>
      <c r="N474" t="n">
        <v>0</v>
      </c>
      <c r="O474" t="n">
        <v>0</v>
      </c>
      <c r="P474" t="n">
        <v>0</v>
      </c>
      <c r="Q474" t="n">
        <v>0</v>
      </c>
      <c r="R474" s="2" t="inlineStr"/>
    </row>
    <row r="475" ht="15" customHeight="1">
      <c r="A475" t="inlineStr">
        <is>
          <t>A 71288-2021</t>
        </is>
      </c>
      <c r="B475" s="1" t="n">
        <v>44539.62481481482</v>
      </c>
      <c r="C475" s="1" t="n">
        <v>45973</v>
      </c>
      <c r="D475" t="inlineStr">
        <is>
          <t>ÖREBRO LÄN</t>
        </is>
      </c>
      <c r="E475" t="inlineStr">
        <is>
          <t>ÖREBRO</t>
        </is>
      </c>
      <c r="G475" t="n">
        <v>3.9</v>
      </c>
      <c r="H475" t="n">
        <v>0</v>
      </c>
      <c r="I475" t="n">
        <v>0</v>
      </c>
      <c r="J475" t="n">
        <v>0</v>
      </c>
      <c r="K475" t="n">
        <v>0</v>
      </c>
      <c r="L475" t="n">
        <v>0</v>
      </c>
      <c r="M475" t="n">
        <v>0</v>
      </c>
      <c r="N475" t="n">
        <v>0</v>
      </c>
      <c r="O475" t="n">
        <v>0</v>
      </c>
      <c r="P475" t="n">
        <v>0</v>
      </c>
      <c r="Q475" t="n">
        <v>0</v>
      </c>
      <c r="R475" s="2" t="inlineStr"/>
    </row>
    <row r="476" ht="15" customHeight="1">
      <c r="A476" t="inlineStr">
        <is>
          <t>A 10830-2023</t>
        </is>
      </c>
      <c r="B476" s="1" t="n">
        <v>44990.89752314815</v>
      </c>
      <c r="C476" s="1" t="n">
        <v>45973</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27112-2023</t>
        </is>
      </c>
      <c r="B477" s="1" t="n">
        <v>45096</v>
      </c>
      <c r="C477" s="1" t="n">
        <v>45973</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7692-2023</t>
        </is>
      </c>
      <c r="B478" s="1" t="n">
        <v>44972.7762962963</v>
      </c>
      <c r="C478" s="1" t="n">
        <v>45973</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14524-2025</t>
        </is>
      </c>
      <c r="B479" s="1" t="n">
        <v>45741.64815972222</v>
      </c>
      <c r="C479" s="1" t="n">
        <v>45973</v>
      </c>
      <c r="D479" t="inlineStr">
        <is>
          <t>ÖREBRO LÄN</t>
        </is>
      </c>
      <c r="E479" t="inlineStr">
        <is>
          <t>ÖREBRO</t>
        </is>
      </c>
      <c r="G479" t="n">
        <v>2.8</v>
      </c>
      <c r="H479" t="n">
        <v>0</v>
      </c>
      <c r="I479" t="n">
        <v>0</v>
      </c>
      <c r="J479" t="n">
        <v>0</v>
      </c>
      <c r="K479" t="n">
        <v>0</v>
      </c>
      <c r="L479" t="n">
        <v>0</v>
      </c>
      <c r="M479" t="n">
        <v>0</v>
      </c>
      <c r="N479" t="n">
        <v>0</v>
      </c>
      <c r="O479" t="n">
        <v>0</v>
      </c>
      <c r="P479" t="n">
        <v>0</v>
      </c>
      <c r="Q479" t="n">
        <v>0</v>
      </c>
      <c r="R479" s="2" t="inlineStr"/>
    </row>
    <row r="480" ht="15" customHeight="1">
      <c r="A480" t="inlineStr">
        <is>
          <t>A 31240-2023</t>
        </is>
      </c>
      <c r="B480" s="1" t="n">
        <v>45114</v>
      </c>
      <c r="C480" s="1" t="n">
        <v>45973</v>
      </c>
      <c r="D480" t="inlineStr">
        <is>
          <t>ÖREBRO LÄN</t>
        </is>
      </c>
      <c r="E480" t="inlineStr">
        <is>
          <t>ÖREBRO</t>
        </is>
      </c>
      <c r="F480" t="inlineStr">
        <is>
          <t>Allmännings- och besparingsskogar</t>
        </is>
      </c>
      <c r="G480" t="n">
        <v>6.2</v>
      </c>
      <c r="H480" t="n">
        <v>0</v>
      </c>
      <c r="I480" t="n">
        <v>0</v>
      </c>
      <c r="J480" t="n">
        <v>0</v>
      </c>
      <c r="K480" t="n">
        <v>0</v>
      </c>
      <c r="L480" t="n">
        <v>0</v>
      </c>
      <c r="M480" t="n">
        <v>0</v>
      </c>
      <c r="N480" t="n">
        <v>0</v>
      </c>
      <c r="O480" t="n">
        <v>0</v>
      </c>
      <c r="P480" t="n">
        <v>0</v>
      </c>
      <c r="Q480" t="n">
        <v>0</v>
      </c>
      <c r="R480" s="2" t="inlineStr"/>
    </row>
    <row r="481" ht="15" customHeight="1">
      <c r="A481" t="inlineStr">
        <is>
          <t>A 46834-2022</t>
        </is>
      </c>
      <c r="B481" s="1" t="n">
        <v>44851</v>
      </c>
      <c r="C481" s="1" t="n">
        <v>45973</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30743-2025</t>
        </is>
      </c>
      <c r="B482" s="1" t="n">
        <v>45831</v>
      </c>
      <c r="C482" s="1" t="n">
        <v>45973</v>
      </c>
      <c r="D482" t="inlineStr">
        <is>
          <t>ÖREBRO LÄN</t>
        </is>
      </c>
      <c r="E482" t="inlineStr">
        <is>
          <t>ÖREBRO</t>
        </is>
      </c>
      <c r="G482" t="n">
        <v>2.9</v>
      </c>
      <c r="H482" t="n">
        <v>0</v>
      </c>
      <c r="I482" t="n">
        <v>0</v>
      </c>
      <c r="J482" t="n">
        <v>0</v>
      </c>
      <c r="K482" t="n">
        <v>0</v>
      </c>
      <c r="L482" t="n">
        <v>0</v>
      </c>
      <c r="M482" t="n">
        <v>0</v>
      </c>
      <c r="N482" t="n">
        <v>0</v>
      </c>
      <c r="O482" t="n">
        <v>0</v>
      </c>
      <c r="P482" t="n">
        <v>0</v>
      </c>
      <c r="Q482" t="n">
        <v>0</v>
      </c>
      <c r="R482" s="2" t="inlineStr"/>
    </row>
    <row r="483" ht="15" customHeight="1">
      <c r="A483" t="inlineStr">
        <is>
          <t>A 53443-2025</t>
        </is>
      </c>
      <c r="B483" s="1" t="n">
        <v>45959.6444675926</v>
      </c>
      <c r="C483" s="1" t="n">
        <v>45973</v>
      </c>
      <c r="D483" t="inlineStr">
        <is>
          <t>ÖREBRO LÄN</t>
        </is>
      </c>
      <c r="E483" t="inlineStr">
        <is>
          <t>ÖREBRO</t>
        </is>
      </c>
      <c r="G483" t="n">
        <v>2.8</v>
      </c>
      <c r="H483" t="n">
        <v>0</v>
      </c>
      <c r="I483" t="n">
        <v>0</v>
      </c>
      <c r="J483" t="n">
        <v>0</v>
      </c>
      <c r="K483" t="n">
        <v>0</v>
      </c>
      <c r="L483" t="n">
        <v>0</v>
      </c>
      <c r="M483" t="n">
        <v>0</v>
      </c>
      <c r="N483" t="n">
        <v>0</v>
      </c>
      <c r="O483" t="n">
        <v>0</v>
      </c>
      <c r="P483" t="n">
        <v>0</v>
      </c>
      <c r="Q483" t="n">
        <v>0</v>
      </c>
      <c r="R483" s="2" t="inlineStr"/>
    </row>
    <row r="484" ht="15" customHeight="1">
      <c r="A484" t="inlineStr">
        <is>
          <t>A 57638-2022</t>
        </is>
      </c>
      <c r="B484" s="1" t="n">
        <v>44897</v>
      </c>
      <c r="C484" s="1" t="n">
        <v>45973</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44875-2025</t>
        </is>
      </c>
      <c r="B485" s="1" t="n">
        <v>45918.47043981482</v>
      </c>
      <c r="C485" s="1" t="n">
        <v>45973</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53350-2025</t>
        </is>
      </c>
      <c r="B486" s="1" t="n">
        <v>45959.43827546296</v>
      </c>
      <c r="C486" s="1" t="n">
        <v>45973</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53715-2025</t>
        </is>
      </c>
      <c r="B487" s="1" t="n">
        <v>45960.61763888889</v>
      </c>
      <c r="C487" s="1" t="n">
        <v>45973</v>
      </c>
      <c r="D487" t="inlineStr">
        <is>
          <t>ÖREBRO LÄN</t>
        </is>
      </c>
      <c r="E487" t="inlineStr">
        <is>
          <t>ÖREBRO</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50026-2024</t>
        </is>
      </c>
      <c r="B488" s="1" t="n">
        <v>45599.60541666667</v>
      </c>
      <c r="C488" s="1" t="n">
        <v>45973</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2152-2023</t>
        </is>
      </c>
      <c r="B489" s="1" t="n">
        <v>44941.55056712963</v>
      </c>
      <c r="C489" s="1" t="n">
        <v>45973</v>
      </c>
      <c r="D489" t="inlineStr">
        <is>
          <t>ÖREBRO LÄN</t>
        </is>
      </c>
      <c r="E489" t="inlineStr">
        <is>
          <t>ÖREBRO</t>
        </is>
      </c>
      <c r="G489" t="n">
        <v>8</v>
      </c>
      <c r="H489" t="n">
        <v>0</v>
      </c>
      <c r="I489" t="n">
        <v>0</v>
      </c>
      <c r="J489" t="n">
        <v>0</v>
      </c>
      <c r="K489" t="n">
        <v>0</v>
      </c>
      <c r="L489" t="n">
        <v>0</v>
      </c>
      <c r="M489" t="n">
        <v>0</v>
      </c>
      <c r="N489" t="n">
        <v>0</v>
      </c>
      <c r="O489" t="n">
        <v>0</v>
      </c>
      <c r="P489" t="n">
        <v>0</v>
      </c>
      <c r="Q489" t="n">
        <v>0</v>
      </c>
      <c r="R489" s="2" t="inlineStr"/>
    </row>
    <row r="490" ht="15" customHeight="1">
      <c r="A490" t="inlineStr">
        <is>
          <t>A 18449-2023</t>
        </is>
      </c>
      <c r="B490" s="1" t="n">
        <v>45042.5203125</v>
      </c>
      <c r="C490" s="1" t="n">
        <v>45973</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27220-2025</t>
        </is>
      </c>
      <c r="B491" s="1" t="n">
        <v>45812.42293981482</v>
      </c>
      <c r="C491" s="1" t="n">
        <v>45973</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16936-2023</t>
        </is>
      </c>
      <c r="B492" s="1" t="n">
        <v>45033.63005787037</v>
      </c>
      <c r="C492" s="1" t="n">
        <v>45973</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53343-2025</t>
        </is>
      </c>
      <c r="B493" s="1" t="n">
        <v>45959.42025462963</v>
      </c>
      <c r="C493" s="1" t="n">
        <v>45973</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27180-2025</t>
        </is>
      </c>
      <c r="B494" s="1" t="n">
        <v>45812.35736111111</v>
      </c>
      <c r="C494" s="1" t="n">
        <v>45973</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27215-2025</t>
        </is>
      </c>
      <c r="B495" s="1" t="n">
        <v>45812.41869212963</v>
      </c>
      <c r="C495" s="1" t="n">
        <v>45973</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27225-2025</t>
        </is>
      </c>
      <c r="B496" s="1" t="n">
        <v>45812.42856481481</v>
      </c>
      <c r="C496" s="1" t="n">
        <v>45973</v>
      </c>
      <c r="D496" t="inlineStr">
        <is>
          <t>ÖREBRO LÄN</t>
        </is>
      </c>
      <c r="E496" t="inlineStr">
        <is>
          <t>ÖREBRO</t>
        </is>
      </c>
      <c r="G496" t="n">
        <v>4</v>
      </c>
      <c r="H496" t="n">
        <v>0</v>
      </c>
      <c r="I496" t="n">
        <v>0</v>
      </c>
      <c r="J496" t="n">
        <v>0</v>
      </c>
      <c r="K496" t="n">
        <v>0</v>
      </c>
      <c r="L496" t="n">
        <v>0</v>
      </c>
      <c r="M496" t="n">
        <v>0</v>
      </c>
      <c r="N496" t="n">
        <v>0</v>
      </c>
      <c r="O496" t="n">
        <v>0</v>
      </c>
      <c r="P496" t="n">
        <v>0</v>
      </c>
      <c r="Q496" t="n">
        <v>0</v>
      </c>
      <c r="R496" s="2" t="inlineStr"/>
    </row>
    <row r="497" ht="15" customHeight="1">
      <c r="A497" t="inlineStr">
        <is>
          <t>A 55745-2023</t>
        </is>
      </c>
      <c r="B497" s="1" t="n">
        <v>45239.44811342593</v>
      </c>
      <c r="C497" s="1" t="n">
        <v>45973</v>
      </c>
      <c r="D497" t="inlineStr">
        <is>
          <t>ÖREBRO LÄN</t>
        </is>
      </c>
      <c r="E497" t="inlineStr">
        <is>
          <t>ÖREBRO</t>
        </is>
      </c>
      <c r="G497" t="n">
        <v>13.3</v>
      </c>
      <c r="H497" t="n">
        <v>0</v>
      </c>
      <c r="I497" t="n">
        <v>0</v>
      </c>
      <c r="J497" t="n">
        <v>0</v>
      </c>
      <c r="K497" t="n">
        <v>0</v>
      </c>
      <c r="L497" t="n">
        <v>0</v>
      </c>
      <c r="M497" t="n">
        <v>0</v>
      </c>
      <c r="N497" t="n">
        <v>0</v>
      </c>
      <c r="O497" t="n">
        <v>0</v>
      </c>
      <c r="P497" t="n">
        <v>0</v>
      </c>
      <c r="Q497" t="n">
        <v>0</v>
      </c>
      <c r="R497" s="2" t="inlineStr"/>
    </row>
    <row r="498" ht="15" customHeight="1">
      <c r="A498" t="inlineStr">
        <is>
          <t>A 58145-2024</t>
        </is>
      </c>
      <c r="B498" s="1" t="n">
        <v>45632.43230324074</v>
      </c>
      <c r="C498" s="1" t="n">
        <v>45973</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45973</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64730-2023</t>
        </is>
      </c>
      <c r="B500" s="1" t="n">
        <v>45281</v>
      </c>
      <c r="C500" s="1" t="n">
        <v>45973</v>
      </c>
      <c r="D500" t="inlineStr">
        <is>
          <t>ÖREBRO LÄN</t>
        </is>
      </c>
      <c r="E500" t="inlineStr">
        <is>
          <t>ÖREBRO</t>
        </is>
      </c>
      <c r="G500" t="n">
        <v>1.3</v>
      </c>
      <c r="H500" t="n">
        <v>0</v>
      </c>
      <c r="I500" t="n">
        <v>0</v>
      </c>
      <c r="J500" t="n">
        <v>0</v>
      </c>
      <c r="K500" t="n">
        <v>0</v>
      </c>
      <c r="L500" t="n">
        <v>0</v>
      </c>
      <c r="M500" t="n">
        <v>0</v>
      </c>
      <c r="N500" t="n">
        <v>0</v>
      </c>
      <c r="O500" t="n">
        <v>0</v>
      </c>
      <c r="P500" t="n">
        <v>0</v>
      </c>
      <c r="Q500" t="n">
        <v>0</v>
      </c>
      <c r="R500" s="2" t="inlineStr"/>
    </row>
    <row r="501" ht="15" customHeight="1">
      <c r="A501" t="inlineStr">
        <is>
          <t>A 53719-2025</t>
        </is>
      </c>
      <c r="B501" s="1" t="n">
        <v>45960.62042824074</v>
      </c>
      <c r="C501" s="1" t="n">
        <v>45973</v>
      </c>
      <c r="D501" t="inlineStr">
        <is>
          <t>ÖREBRO LÄN</t>
        </is>
      </c>
      <c r="E501" t="inlineStr">
        <is>
          <t>ÖREBRO</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44960-2025</t>
        </is>
      </c>
      <c r="B502" s="1" t="n">
        <v>45918.61577546296</v>
      </c>
      <c r="C502" s="1" t="n">
        <v>45973</v>
      </c>
      <c r="D502" t="inlineStr">
        <is>
          <t>ÖREBRO LÄN</t>
        </is>
      </c>
      <c r="E502" t="inlineStr">
        <is>
          <t>ÖREBRO</t>
        </is>
      </c>
      <c r="G502" t="n">
        <v>1.5</v>
      </c>
      <c r="H502" t="n">
        <v>0</v>
      </c>
      <c r="I502" t="n">
        <v>0</v>
      </c>
      <c r="J502" t="n">
        <v>0</v>
      </c>
      <c r="K502" t="n">
        <v>0</v>
      </c>
      <c r="L502" t="n">
        <v>0</v>
      </c>
      <c r="M502" t="n">
        <v>0</v>
      </c>
      <c r="N502" t="n">
        <v>0</v>
      </c>
      <c r="O502" t="n">
        <v>0</v>
      </c>
      <c r="P502" t="n">
        <v>0</v>
      </c>
      <c r="Q502" t="n">
        <v>0</v>
      </c>
      <c r="R502" s="2" t="inlineStr"/>
    </row>
    <row r="503" ht="15" customHeight="1">
      <c r="A503" t="inlineStr">
        <is>
          <t>A 53342-2025</t>
        </is>
      </c>
      <c r="B503" s="1" t="n">
        <v>45959.41769675926</v>
      </c>
      <c r="C503" s="1" t="n">
        <v>45973</v>
      </c>
      <c r="D503" t="inlineStr">
        <is>
          <t>ÖREBRO LÄN</t>
        </is>
      </c>
      <c r="E503" t="inlineStr">
        <is>
          <t>ÖREBRO</t>
        </is>
      </c>
      <c r="G503" t="n">
        <v>4.1</v>
      </c>
      <c r="H503" t="n">
        <v>0</v>
      </c>
      <c r="I503" t="n">
        <v>0</v>
      </c>
      <c r="J503" t="n">
        <v>0</v>
      </c>
      <c r="K503" t="n">
        <v>0</v>
      </c>
      <c r="L503" t="n">
        <v>0</v>
      </c>
      <c r="M503" t="n">
        <v>0</v>
      </c>
      <c r="N503" t="n">
        <v>0</v>
      </c>
      <c r="O503" t="n">
        <v>0</v>
      </c>
      <c r="P503" t="n">
        <v>0</v>
      </c>
      <c r="Q503" t="n">
        <v>0</v>
      </c>
      <c r="R503" s="2" t="inlineStr"/>
    </row>
    <row r="504" ht="15" customHeight="1">
      <c r="A504" t="inlineStr">
        <is>
          <t>A 53437-2025</t>
        </is>
      </c>
      <c r="B504" s="1" t="n">
        <v>45959.63440972222</v>
      </c>
      <c r="C504" s="1" t="n">
        <v>45973</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60289-2023</t>
        </is>
      </c>
      <c r="B505" s="1" t="n">
        <v>45257</v>
      </c>
      <c r="C505" s="1" t="n">
        <v>45973</v>
      </c>
      <c r="D505" t="inlineStr">
        <is>
          <t>ÖREBRO LÄN</t>
        </is>
      </c>
      <c r="E505" t="inlineStr">
        <is>
          <t>ÖREBRO</t>
        </is>
      </c>
      <c r="G505" t="n">
        <v>10.9</v>
      </c>
      <c r="H505" t="n">
        <v>0</v>
      </c>
      <c r="I505" t="n">
        <v>0</v>
      </c>
      <c r="J505" t="n">
        <v>0</v>
      </c>
      <c r="K505" t="n">
        <v>0</v>
      </c>
      <c r="L505" t="n">
        <v>0</v>
      </c>
      <c r="M505" t="n">
        <v>0</v>
      </c>
      <c r="N505" t="n">
        <v>0</v>
      </c>
      <c r="O505" t="n">
        <v>0</v>
      </c>
      <c r="P505" t="n">
        <v>0</v>
      </c>
      <c r="Q505" t="n">
        <v>0</v>
      </c>
      <c r="R505" s="2" t="inlineStr"/>
    </row>
    <row r="506" ht="15" customHeight="1">
      <c r="A506" t="inlineStr">
        <is>
          <t>A 44284-2022</t>
        </is>
      </c>
      <c r="B506" s="1" t="n">
        <v>44839.59194444444</v>
      </c>
      <c r="C506" s="1" t="n">
        <v>45973</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12099-2023</t>
        </is>
      </c>
      <c r="B507" s="1" t="n">
        <v>44998.37043981482</v>
      </c>
      <c r="C507" s="1" t="n">
        <v>45973</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14544-2023</t>
        </is>
      </c>
      <c r="B508" s="1" t="n">
        <v>45013</v>
      </c>
      <c r="C508" s="1" t="n">
        <v>45973</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54205-2025</t>
        </is>
      </c>
      <c r="B509" s="1" t="n">
        <v>45964.58512731481</v>
      </c>
      <c r="C509" s="1" t="n">
        <v>45973</v>
      </c>
      <c r="D509" t="inlineStr">
        <is>
          <t>ÖREBRO LÄN</t>
        </is>
      </c>
      <c r="E509" t="inlineStr">
        <is>
          <t>ÖREBRO</t>
        </is>
      </c>
      <c r="G509" t="n">
        <v>24.3</v>
      </c>
      <c r="H509" t="n">
        <v>0</v>
      </c>
      <c r="I509" t="n">
        <v>0</v>
      </c>
      <c r="J509" t="n">
        <v>0</v>
      </c>
      <c r="K509" t="n">
        <v>0</v>
      </c>
      <c r="L509" t="n">
        <v>0</v>
      </c>
      <c r="M509" t="n">
        <v>0</v>
      </c>
      <c r="N509" t="n">
        <v>0</v>
      </c>
      <c r="O509" t="n">
        <v>0</v>
      </c>
      <c r="P509" t="n">
        <v>0</v>
      </c>
      <c r="Q509" t="n">
        <v>0</v>
      </c>
      <c r="R509" s="2" t="inlineStr"/>
    </row>
    <row r="510" ht="15" customHeight="1">
      <c r="A510" t="inlineStr">
        <is>
          <t>A 15682-2023</t>
        </is>
      </c>
      <c r="B510" s="1" t="n">
        <v>45021</v>
      </c>
      <c r="C510" s="1" t="n">
        <v>45973</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58277-2022</t>
        </is>
      </c>
      <c r="B511" s="1" t="n">
        <v>44901.48108796297</v>
      </c>
      <c r="C511" s="1" t="n">
        <v>45973</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4416-2023</t>
        </is>
      </c>
      <c r="B512" s="1" t="n">
        <v>44956</v>
      </c>
      <c r="C512" s="1" t="n">
        <v>45973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31906-2023</t>
        </is>
      </c>
      <c r="B513" s="1" t="n">
        <v>45118.8353125</v>
      </c>
      <c r="C513" s="1" t="n">
        <v>45973</v>
      </c>
      <c r="D513" t="inlineStr">
        <is>
          <t>ÖREBRO LÄN</t>
        </is>
      </c>
      <c r="E513" t="inlineStr">
        <is>
          <t>ÖREBRO</t>
        </is>
      </c>
      <c r="G513" t="n">
        <v>9</v>
      </c>
      <c r="H513" t="n">
        <v>0</v>
      </c>
      <c r="I513" t="n">
        <v>0</v>
      </c>
      <c r="J513" t="n">
        <v>0</v>
      </c>
      <c r="K513" t="n">
        <v>0</v>
      </c>
      <c r="L513" t="n">
        <v>0</v>
      </c>
      <c r="M513" t="n">
        <v>0</v>
      </c>
      <c r="N513" t="n">
        <v>0</v>
      </c>
      <c r="O513" t="n">
        <v>0</v>
      </c>
      <c r="P513" t="n">
        <v>0</v>
      </c>
      <c r="Q513" t="n">
        <v>0</v>
      </c>
      <c r="R513" s="2" t="inlineStr"/>
    </row>
    <row r="514" ht="15" customHeight="1">
      <c r="A514" t="inlineStr">
        <is>
          <t>A 49062-2023</t>
        </is>
      </c>
      <c r="B514" s="1" t="n">
        <v>45210.35119212963</v>
      </c>
      <c r="C514" s="1" t="n">
        <v>45973</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6387-2021</t>
        </is>
      </c>
      <c r="B515" s="1" t="n">
        <v>44235</v>
      </c>
      <c r="C515" s="1" t="n">
        <v>45973</v>
      </c>
      <c r="D515" t="inlineStr">
        <is>
          <t>ÖREBRO LÄN</t>
        </is>
      </c>
      <c r="E515" t="inlineStr">
        <is>
          <t>ÖREBRO</t>
        </is>
      </c>
      <c r="G515" t="n">
        <v>1.1</v>
      </c>
      <c r="H515" t="n">
        <v>0</v>
      </c>
      <c r="I515" t="n">
        <v>0</v>
      </c>
      <c r="J515" t="n">
        <v>0</v>
      </c>
      <c r="K515" t="n">
        <v>0</v>
      </c>
      <c r="L515" t="n">
        <v>0</v>
      </c>
      <c r="M515" t="n">
        <v>0</v>
      </c>
      <c r="N515" t="n">
        <v>0</v>
      </c>
      <c r="O515" t="n">
        <v>0</v>
      </c>
      <c r="P515" t="n">
        <v>0</v>
      </c>
      <c r="Q515" t="n">
        <v>0</v>
      </c>
      <c r="R515" s="2" t="inlineStr"/>
    </row>
    <row r="516" ht="15" customHeight="1">
      <c r="A516" t="inlineStr">
        <is>
          <t>A 32321-2023</t>
        </is>
      </c>
      <c r="B516" s="1" t="n">
        <v>45120</v>
      </c>
      <c r="C516" s="1" t="n">
        <v>45973</v>
      </c>
      <c r="D516" t="inlineStr">
        <is>
          <t>ÖREBRO LÄN</t>
        </is>
      </c>
      <c r="E516" t="inlineStr">
        <is>
          <t>ÖREBRO</t>
        </is>
      </c>
      <c r="G516" t="n">
        <v>3.4</v>
      </c>
      <c r="H516" t="n">
        <v>0</v>
      </c>
      <c r="I516" t="n">
        <v>0</v>
      </c>
      <c r="J516" t="n">
        <v>0</v>
      </c>
      <c r="K516" t="n">
        <v>0</v>
      </c>
      <c r="L516" t="n">
        <v>0</v>
      </c>
      <c r="M516" t="n">
        <v>0</v>
      </c>
      <c r="N516" t="n">
        <v>0</v>
      </c>
      <c r="O516" t="n">
        <v>0</v>
      </c>
      <c r="P516" t="n">
        <v>0</v>
      </c>
      <c r="Q516" t="n">
        <v>0</v>
      </c>
      <c r="R516" s="2" t="inlineStr"/>
    </row>
    <row r="517" ht="15" customHeight="1">
      <c r="A517" t="inlineStr">
        <is>
          <t>A 10937-2024</t>
        </is>
      </c>
      <c r="B517" s="1" t="n">
        <v>45370.44461805555</v>
      </c>
      <c r="C517" s="1" t="n">
        <v>45973</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22079-2023</t>
        </is>
      </c>
      <c r="B518" s="1" t="n">
        <v>45069</v>
      </c>
      <c r="C518" s="1" t="n">
        <v>45973</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52447-2024</t>
        </is>
      </c>
      <c r="B519" s="1" t="n">
        <v>45609.49157407408</v>
      </c>
      <c r="C519" s="1" t="n">
        <v>45973</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2095-2025</t>
        </is>
      </c>
      <c r="B520" s="1" t="n">
        <v>45672</v>
      </c>
      <c r="C520" s="1" t="n">
        <v>45973</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3841-2023</t>
        </is>
      </c>
      <c r="B521" s="1" t="n">
        <v>44951</v>
      </c>
      <c r="C521" s="1" t="n">
        <v>45973</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71275-2021</t>
        </is>
      </c>
      <c r="B522" s="1" t="n">
        <v>44539</v>
      </c>
      <c r="C522" s="1" t="n">
        <v>45973</v>
      </c>
      <c r="D522" t="inlineStr">
        <is>
          <t>ÖREBRO LÄN</t>
        </is>
      </c>
      <c r="E522" t="inlineStr">
        <is>
          <t>ÖREBRO</t>
        </is>
      </c>
      <c r="G522" t="n">
        <v>0.9</v>
      </c>
      <c r="H522" t="n">
        <v>0</v>
      </c>
      <c r="I522" t="n">
        <v>0</v>
      </c>
      <c r="J522" t="n">
        <v>0</v>
      </c>
      <c r="K522" t="n">
        <v>0</v>
      </c>
      <c r="L522" t="n">
        <v>0</v>
      </c>
      <c r="M522" t="n">
        <v>0</v>
      </c>
      <c r="N522" t="n">
        <v>0</v>
      </c>
      <c r="O522" t="n">
        <v>0</v>
      </c>
      <c r="P522" t="n">
        <v>0</v>
      </c>
      <c r="Q522" t="n">
        <v>0</v>
      </c>
      <c r="R522" s="2" t="inlineStr"/>
    </row>
    <row r="523" ht="15" customHeight="1">
      <c r="A523" t="inlineStr">
        <is>
          <t>A 58608-2024</t>
        </is>
      </c>
      <c r="B523" s="1" t="n">
        <v>45635.55185185185</v>
      </c>
      <c r="C523" s="1" t="n">
        <v>45973</v>
      </c>
      <c r="D523" t="inlineStr">
        <is>
          <t>ÖREBRO LÄN</t>
        </is>
      </c>
      <c r="E523" t="inlineStr">
        <is>
          <t>ÖREBRO</t>
        </is>
      </c>
      <c r="F523" t="inlineStr">
        <is>
          <t>Sveaskog</t>
        </is>
      </c>
      <c r="G523" t="n">
        <v>0.3</v>
      </c>
      <c r="H523" t="n">
        <v>0</v>
      </c>
      <c r="I523" t="n">
        <v>0</v>
      </c>
      <c r="J523" t="n">
        <v>0</v>
      </c>
      <c r="K523" t="n">
        <v>0</v>
      </c>
      <c r="L523" t="n">
        <v>0</v>
      </c>
      <c r="M523" t="n">
        <v>0</v>
      </c>
      <c r="N523" t="n">
        <v>0</v>
      </c>
      <c r="O523" t="n">
        <v>0</v>
      </c>
      <c r="P523" t="n">
        <v>0</v>
      </c>
      <c r="Q523" t="n">
        <v>0</v>
      </c>
      <c r="R523" s="2" t="inlineStr"/>
    </row>
    <row r="524" ht="15" customHeight="1">
      <c r="A524" t="inlineStr">
        <is>
          <t>A 2153-2023</t>
        </is>
      </c>
      <c r="B524" s="1" t="n">
        <v>44941</v>
      </c>
      <c r="C524" s="1" t="n">
        <v>45973</v>
      </c>
      <c r="D524" t="inlineStr">
        <is>
          <t>ÖREBRO LÄN</t>
        </is>
      </c>
      <c r="E524" t="inlineStr">
        <is>
          <t>ÖREBRO</t>
        </is>
      </c>
      <c r="G524" t="n">
        <v>6.3</v>
      </c>
      <c r="H524" t="n">
        <v>0</v>
      </c>
      <c r="I524" t="n">
        <v>0</v>
      </c>
      <c r="J524" t="n">
        <v>0</v>
      </c>
      <c r="K524" t="n">
        <v>0</v>
      </c>
      <c r="L524" t="n">
        <v>0</v>
      </c>
      <c r="M524" t="n">
        <v>0</v>
      </c>
      <c r="N524" t="n">
        <v>0</v>
      </c>
      <c r="O524" t="n">
        <v>0</v>
      </c>
      <c r="P524" t="n">
        <v>0</v>
      </c>
      <c r="Q524" t="n">
        <v>0</v>
      </c>
      <c r="R524" s="2" t="inlineStr"/>
    </row>
    <row r="525" ht="15" customHeight="1">
      <c r="A525" t="inlineStr">
        <is>
          <t>A 54485-2025</t>
        </is>
      </c>
      <c r="B525" s="1" t="n">
        <v>45965.59295138889</v>
      </c>
      <c r="C525" s="1" t="n">
        <v>45973</v>
      </c>
      <c r="D525" t="inlineStr">
        <is>
          <t>ÖREBRO LÄN</t>
        </is>
      </c>
      <c r="E525" t="inlineStr">
        <is>
          <t>ÖREBRO</t>
        </is>
      </c>
      <c r="F525" t="inlineStr">
        <is>
          <t>Allmännings- och besparingsskogar</t>
        </is>
      </c>
      <c r="G525" t="n">
        <v>1.7</v>
      </c>
      <c r="H525" t="n">
        <v>0</v>
      </c>
      <c r="I525" t="n">
        <v>0</v>
      </c>
      <c r="J525" t="n">
        <v>0</v>
      </c>
      <c r="K525" t="n">
        <v>0</v>
      </c>
      <c r="L525" t="n">
        <v>0</v>
      </c>
      <c r="M525" t="n">
        <v>0</v>
      </c>
      <c r="N525" t="n">
        <v>0</v>
      </c>
      <c r="O525" t="n">
        <v>0</v>
      </c>
      <c r="P525" t="n">
        <v>0</v>
      </c>
      <c r="Q525" t="n">
        <v>0</v>
      </c>
      <c r="R525" s="2" t="inlineStr"/>
    </row>
    <row r="526" ht="15" customHeight="1">
      <c r="A526" t="inlineStr">
        <is>
          <t>A 38489-2023</t>
        </is>
      </c>
      <c r="B526" s="1" t="n">
        <v>45162</v>
      </c>
      <c r="C526" s="1" t="n">
        <v>45973</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2069-2025</t>
        </is>
      </c>
      <c r="B527" s="1" t="n">
        <v>45672.56614583333</v>
      </c>
      <c r="C527" s="1" t="n">
        <v>45973</v>
      </c>
      <c r="D527" t="inlineStr">
        <is>
          <t>ÖREBRO LÄN</t>
        </is>
      </c>
      <c r="E527" t="inlineStr">
        <is>
          <t>ÖREBRO</t>
        </is>
      </c>
      <c r="G527" t="n">
        <v>3.8</v>
      </c>
      <c r="H527" t="n">
        <v>0</v>
      </c>
      <c r="I527" t="n">
        <v>0</v>
      </c>
      <c r="J527" t="n">
        <v>0</v>
      </c>
      <c r="K527" t="n">
        <v>0</v>
      </c>
      <c r="L527" t="n">
        <v>0</v>
      </c>
      <c r="M527" t="n">
        <v>0</v>
      </c>
      <c r="N527" t="n">
        <v>0</v>
      </c>
      <c r="O527" t="n">
        <v>0</v>
      </c>
      <c r="P527" t="n">
        <v>0</v>
      </c>
      <c r="Q527" t="n">
        <v>0</v>
      </c>
      <c r="R527" s="2" t="inlineStr"/>
    </row>
    <row r="528" ht="15" customHeight="1">
      <c r="A528" t="inlineStr">
        <is>
          <t>A 852-2025</t>
        </is>
      </c>
      <c r="B528" s="1" t="n">
        <v>45665.60148148148</v>
      </c>
      <c r="C528" s="1" t="n">
        <v>45973</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50398-2022</t>
        </is>
      </c>
      <c r="B529" s="1" t="n">
        <v>44861</v>
      </c>
      <c r="C529" s="1" t="n">
        <v>45973</v>
      </c>
      <c r="D529" t="inlineStr">
        <is>
          <t>ÖREBRO LÄN</t>
        </is>
      </c>
      <c r="E529" t="inlineStr">
        <is>
          <t>ÖREBRO</t>
        </is>
      </c>
      <c r="G529" t="n">
        <v>1.9</v>
      </c>
      <c r="H529" t="n">
        <v>0</v>
      </c>
      <c r="I529" t="n">
        <v>0</v>
      </c>
      <c r="J529" t="n">
        <v>0</v>
      </c>
      <c r="K529" t="n">
        <v>0</v>
      </c>
      <c r="L529" t="n">
        <v>0</v>
      </c>
      <c r="M529" t="n">
        <v>0</v>
      </c>
      <c r="N529" t="n">
        <v>0</v>
      </c>
      <c r="O529" t="n">
        <v>0</v>
      </c>
      <c r="P529" t="n">
        <v>0</v>
      </c>
      <c r="Q529" t="n">
        <v>0</v>
      </c>
      <c r="R529" s="2" t="inlineStr"/>
    </row>
    <row r="530" ht="15" customHeight="1">
      <c r="A530" t="inlineStr">
        <is>
          <t>A 52441-2024</t>
        </is>
      </c>
      <c r="B530" s="1" t="n">
        <v>45609.48451388889</v>
      </c>
      <c r="C530" s="1" t="n">
        <v>45973</v>
      </c>
      <c r="D530" t="inlineStr">
        <is>
          <t>ÖREBRO LÄN</t>
        </is>
      </c>
      <c r="E530" t="inlineStr">
        <is>
          <t>ÖREBRO</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52499-2024</t>
        </is>
      </c>
      <c r="B531" s="1" t="n">
        <v>45609.58422453704</v>
      </c>
      <c r="C531" s="1" t="n">
        <v>45973</v>
      </c>
      <c r="D531" t="inlineStr">
        <is>
          <t>ÖREBRO LÄN</t>
        </is>
      </c>
      <c r="E531" t="inlineStr">
        <is>
          <t>ÖREBRO</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70719-2021</t>
        </is>
      </c>
      <c r="B532" s="1" t="n">
        <v>44537</v>
      </c>
      <c r="C532" s="1" t="n">
        <v>45973</v>
      </c>
      <c r="D532" t="inlineStr">
        <is>
          <t>ÖREBRO LÄN</t>
        </is>
      </c>
      <c r="E532" t="inlineStr">
        <is>
          <t>ÖREBRO</t>
        </is>
      </c>
      <c r="G532" t="n">
        <v>4.3</v>
      </c>
      <c r="H532" t="n">
        <v>0</v>
      </c>
      <c r="I532" t="n">
        <v>0</v>
      </c>
      <c r="J532" t="n">
        <v>0</v>
      </c>
      <c r="K532" t="n">
        <v>0</v>
      </c>
      <c r="L532" t="n">
        <v>0</v>
      </c>
      <c r="M532" t="n">
        <v>0</v>
      </c>
      <c r="N532" t="n">
        <v>0</v>
      </c>
      <c r="O532" t="n">
        <v>0</v>
      </c>
      <c r="P532" t="n">
        <v>0</v>
      </c>
      <c r="Q532" t="n">
        <v>0</v>
      </c>
      <c r="R532" s="2" t="inlineStr"/>
    </row>
    <row r="533" ht="15" customHeight="1">
      <c r="A533" t="inlineStr">
        <is>
          <t>A 38573-2023</t>
        </is>
      </c>
      <c r="B533" s="1" t="n">
        <v>45162.61837962963</v>
      </c>
      <c r="C533" s="1" t="n">
        <v>45973</v>
      </c>
      <c r="D533" t="inlineStr">
        <is>
          <t>ÖREBRO LÄN</t>
        </is>
      </c>
      <c r="E533" t="inlineStr">
        <is>
          <t>ÖREBRO</t>
        </is>
      </c>
      <c r="G533" t="n">
        <v>2.2</v>
      </c>
      <c r="H533" t="n">
        <v>0</v>
      </c>
      <c r="I533" t="n">
        <v>0</v>
      </c>
      <c r="J533" t="n">
        <v>0</v>
      </c>
      <c r="K533" t="n">
        <v>0</v>
      </c>
      <c r="L533" t="n">
        <v>0</v>
      </c>
      <c r="M533" t="n">
        <v>0</v>
      </c>
      <c r="N533" t="n">
        <v>0</v>
      </c>
      <c r="O533" t="n">
        <v>0</v>
      </c>
      <c r="P533" t="n">
        <v>0</v>
      </c>
      <c r="Q533" t="n">
        <v>0</v>
      </c>
      <c r="R533" s="2" t="inlineStr"/>
    </row>
    <row r="534" ht="15" customHeight="1">
      <c r="A534" t="inlineStr">
        <is>
          <t>A 8008-2024</t>
        </is>
      </c>
      <c r="B534" s="1" t="n">
        <v>45350.6794212963</v>
      </c>
      <c r="C534" s="1" t="n">
        <v>45973</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18181-2024</t>
        </is>
      </c>
      <c r="B535" s="1" t="n">
        <v>45420.64561342593</v>
      </c>
      <c r="C535" s="1" t="n">
        <v>45973</v>
      </c>
      <c r="D535" t="inlineStr">
        <is>
          <t>ÖREBRO LÄN</t>
        </is>
      </c>
      <c r="E535" t="inlineStr">
        <is>
          <t>ÖREBRO</t>
        </is>
      </c>
      <c r="G535" t="n">
        <v>7.6</v>
      </c>
      <c r="H535" t="n">
        <v>0</v>
      </c>
      <c r="I535" t="n">
        <v>0</v>
      </c>
      <c r="J535" t="n">
        <v>0</v>
      </c>
      <c r="K535" t="n">
        <v>0</v>
      </c>
      <c r="L535" t="n">
        <v>0</v>
      </c>
      <c r="M535" t="n">
        <v>0</v>
      </c>
      <c r="N535" t="n">
        <v>0</v>
      </c>
      <c r="O535" t="n">
        <v>0</v>
      </c>
      <c r="P535" t="n">
        <v>0</v>
      </c>
      <c r="Q535" t="n">
        <v>0</v>
      </c>
      <c r="R535" s="2" t="inlineStr"/>
    </row>
    <row r="536" ht="15" customHeight="1">
      <c r="A536" t="inlineStr">
        <is>
          <t>A 4757-2024</t>
        </is>
      </c>
      <c r="B536" s="1" t="n">
        <v>45328</v>
      </c>
      <c r="C536" s="1" t="n">
        <v>45973</v>
      </c>
      <c r="D536" t="inlineStr">
        <is>
          <t>ÖREBRO LÄN</t>
        </is>
      </c>
      <c r="E536" t="inlineStr">
        <is>
          <t>ÖREBRO</t>
        </is>
      </c>
      <c r="G536" t="n">
        <v>1.9</v>
      </c>
      <c r="H536" t="n">
        <v>0</v>
      </c>
      <c r="I536" t="n">
        <v>0</v>
      </c>
      <c r="J536" t="n">
        <v>0</v>
      </c>
      <c r="K536" t="n">
        <v>0</v>
      </c>
      <c r="L536" t="n">
        <v>0</v>
      </c>
      <c r="M536" t="n">
        <v>0</v>
      </c>
      <c r="N536" t="n">
        <v>0</v>
      </c>
      <c r="O536" t="n">
        <v>0</v>
      </c>
      <c r="P536" t="n">
        <v>0</v>
      </c>
      <c r="Q536" t="n">
        <v>0</v>
      </c>
      <c r="R536" s="2" t="inlineStr"/>
    </row>
    <row r="537" ht="15" customHeight="1">
      <c r="A537" t="inlineStr">
        <is>
          <t>A 38415-2023</t>
        </is>
      </c>
      <c r="B537" s="1" t="n">
        <v>45162.35502314815</v>
      </c>
      <c r="C537" s="1" t="n">
        <v>45973</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48140-2024</t>
        </is>
      </c>
      <c r="B538" s="1" t="n">
        <v>45589.66474537037</v>
      </c>
      <c r="C538" s="1" t="n">
        <v>45973</v>
      </c>
      <c r="D538" t="inlineStr">
        <is>
          <t>ÖREBRO LÄN</t>
        </is>
      </c>
      <c r="E538" t="inlineStr">
        <is>
          <t>ÖREBRO</t>
        </is>
      </c>
      <c r="G538" t="n">
        <v>2.4</v>
      </c>
      <c r="H538" t="n">
        <v>0</v>
      </c>
      <c r="I538" t="n">
        <v>0</v>
      </c>
      <c r="J538" t="n">
        <v>0</v>
      </c>
      <c r="K538" t="n">
        <v>0</v>
      </c>
      <c r="L538" t="n">
        <v>0</v>
      </c>
      <c r="M538" t="n">
        <v>0</v>
      </c>
      <c r="N538" t="n">
        <v>0</v>
      </c>
      <c r="O538" t="n">
        <v>0</v>
      </c>
      <c r="P538" t="n">
        <v>0</v>
      </c>
      <c r="Q538" t="n">
        <v>0</v>
      </c>
      <c r="R538" s="2" t="inlineStr"/>
    </row>
    <row r="539" ht="15" customHeight="1">
      <c r="A539" t="inlineStr">
        <is>
          <t>A 2658-2023</t>
        </is>
      </c>
      <c r="B539" s="1" t="n">
        <v>44944</v>
      </c>
      <c r="C539" s="1" t="n">
        <v>45973</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16374-2022</t>
        </is>
      </c>
      <c r="B540" s="1" t="n">
        <v>44671</v>
      </c>
      <c r="C540" s="1" t="n">
        <v>45973</v>
      </c>
      <c r="D540" t="inlineStr">
        <is>
          <t>ÖREBRO LÄN</t>
        </is>
      </c>
      <c r="E540" t="inlineStr">
        <is>
          <t>ÖREBRO</t>
        </is>
      </c>
      <c r="F540" t="inlineStr">
        <is>
          <t>Övriga Aktiebolag</t>
        </is>
      </c>
      <c r="G540" t="n">
        <v>30.3</v>
      </c>
      <c r="H540" t="n">
        <v>0</v>
      </c>
      <c r="I540" t="n">
        <v>0</v>
      </c>
      <c r="J540" t="n">
        <v>0</v>
      </c>
      <c r="K540" t="n">
        <v>0</v>
      </c>
      <c r="L540" t="n">
        <v>0</v>
      </c>
      <c r="M540" t="n">
        <v>0</v>
      </c>
      <c r="N540" t="n">
        <v>0</v>
      </c>
      <c r="O540" t="n">
        <v>0</v>
      </c>
      <c r="P540" t="n">
        <v>0</v>
      </c>
      <c r="Q540" t="n">
        <v>0</v>
      </c>
      <c r="R540" s="2" t="inlineStr"/>
    </row>
    <row r="541" ht="15" customHeight="1">
      <c r="A541" t="inlineStr">
        <is>
          <t>A 11565-2023</t>
        </is>
      </c>
      <c r="B541" s="1" t="n">
        <v>44994</v>
      </c>
      <c r="C541" s="1" t="n">
        <v>45973</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16736-2023</t>
        </is>
      </c>
      <c r="B542" s="1" t="n">
        <v>45030.72328703704</v>
      </c>
      <c r="C542" s="1" t="n">
        <v>45973</v>
      </c>
      <c r="D542" t="inlineStr">
        <is>
          <t>ÖREBRO LÄN</t>
        </is>
      </c>
      <c r="E542" t="inlineStr">
        <is>
          <t>ÖREBRO</t>
        </is>
      </c>
      <c r="G542" t="n">
        <v>4</v>
      </c>
      <c r="H542" t="n">
        <v>0</v>
      </c>
      <c r="I542" t="n">
        <v>0</v>
      </c>
      <c r="J542" t="n">
        <v>0</v>
      </c>
      <c r="K542" t="n">
        <v>0</v>
      </c>
      <c r="L542" t="n">
        <v>0</v>
      </c>
      <c r="M542" t="n">
        <v>0</v>
      </c>
      <c r="N542" t="n">
        <v>0</v>
      </c>
      <c r="O542" t="n">
        <v>0</v>
      </c>
      <c r="P542" t="n">
        <v>0</v>
      </c>
      <c r="Q542" t="n">
        <v>0</v>
      </c>
      <c r="R542" s="2" t="inlineStr"/>
    </row>
    <row r="543" ht="15" customHeight="1">
      <c r="A543" t="inlineStr">
        <is>
          <t>A 2630-2023</t>
        </is>
      </c>
      <c r="B543" s="1" t="n">
        <v>44944.39105324074</v>
      </c>
      <c r="C543" s="1" t="n">
        <v>45973</v>
      </c>
      <c r="D543" t="inlineStr">
        <is>
          <t>ÖREBRO LÄN</t>
        </is>
      </c>
      <c r="E543" t="inlineStr">
        <is>
          <t>ÖREBRO</t>
        </is>
      </c>
      <c r="G543" t="n">
        <v>6.1</v>
      </c>
      <c r="H543" t="n">
        <v>0</v>
      </c>
      <c r="I543" t="n">
        <v>0</v>
      </c>
      <c r="J543" t="n">
        <v>0</v>
      </c>
      <c r="K543" t="n">
        <v>0</v>
      </c>
      <c r="L543" t="n">
        <v>0</v>
      </c>
      <c r="M543" t="n">
        <v>0</v>
      </c>
      <c r="N543" t="n">
        <v>0</v>
      </c>
      <c r="O543" t="n">
        <v>0</v>
      </c>
      <c r="P543" t="n">
        <v>0</v>
      </c>
      <c r="Q543" t="n">
        <v>0</v>
      </c>
      <c r="R543" s="2" t="inlineStr"/>
    </row>
    <row r="544" ht="15" customHeight="1">
      <c r="A544" t="inlineStr">
        <is>
          <t>A 55003-2025</t>
        </is>
      </c>
      <c r="B544" s="1" t="n">
        <v>45967</v>
      </c>
      <c r="C544" s="1" t="n">
        <v>45973</v>
      </c>
      <c r="D544" t="inlineStr">
        <is>
          <t>ÖREBRO LÄN</t>
        </is>
      </c>
      <c r="E544" t="inlineStr">
        <is>
          <t>ÖREBRO</t>
        </is>
      </c>
      <c r="F544" t="inlineStr">
        <is>
          <t>Övriga Aktiebolag</t>
        </is>
      </c>
      <c r="G544" t="n">
        <v>1.9</v>
      </c>
      <c r="H544" t="n">
        <v>0</v>
      </c>
      <c r="I544" t="n">
        <v>0</v>
      </c>
      <c r="J544" t="n">
        <v>0</v>
      </c>
      <c r="K544" t="n">
        <v>0</v>
      </c>
      <c r="L544" t="n">
        <v>0</v>
      </c>
      <c r="M544" t="n">
        <v>0</v>
      </c>
      <c r="N544" t="n">
        <v>0</v>
      </c>
      <c r="O544" t="n">
        <v>0</v>
      </c>
      <c r="P544" t="n">
        <v>0</v>
      </c>
      <c r="Q544" t="n">
        <v>0</v>
      </c>
      <c r="R544" s="2" t="inlineStr"/>
    </row>
    <row r="545" ht="15" customHeight="1">
      <c r="A545" t="inlineStr">
        <is>
          <t>A 9704-2023</t>
        </is>
      </c>
      <c r="B545" s="1" t="n">
        <v>44984</v>
      </c>
      <c r="C545" s="1" t="n">
        <v>45973</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19180-2025</t>
        </is>
      </c>
      <c r="B546" s="1" t="n">
        <v>45769.40133101852</v>
      </c>
      <c r="C546" s="1" t="n">
        <v>45973</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30015-2023</t>
        </is>
      </c>
      <c r="B547" s="1" t="n">
        <v>45109</v>
      </c>
      <c r="C547" s="1" t="n">
        <v>45973</v>
      </c>
      <c r="D547" t="inlineStr">
        <is>
          <t>ÖREBRO LÄN</t>
        </is>
      </c>
      <c r="E547" t="inlineStr">
        <is>
          <t>ÖREBRO</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46052-2024</t>
        </is>
      </c>
      <c r="B548" s="1" t="n">
        <v>45580.89116898148</v>
      </c>
      <c r="C548" s="1" t="n">
        <v>45973</v>
      </c>
      <c r="D548" t="inlineStr">
        <is>
          <t>ÖREBRO LÄN</t>
        </is>
      </c>
      <c r="E548" t="inlineStr">
        <is>
          <t>ÖREBRO</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58527-2024</t>
        </is>
      </c>
      <c r="B549" s="1" t="n">
        <v>45635.44388888889</v>
      </c>
      <c r="C549" s="1" t="n">
        <v>45973</v>
      </c>
      <c r="D549" t="inlineStr">
        <is>
          <t>ÖREBRO LÄN</t>
        </is>
      </c>
      <c r="E549" t="inlineStr">
        <is>
          <t>ÖREBRO</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28120-2025</t>
        </is>
      </c>
      <c r="B550" s="1" t="n">
        <v>45818.30459490741</v>
      </c>
      <c r="C550" s="1" t="n">
        <v>45973</v>
      </c>
      <c r="D550" t="inlineStr">
        <is>
          <t>ÖREBRO LÄN</t>
        </is>
      </c>
      <c r="E550" t="inlineStr">
        <is>
          <t>ÖREBRO</t>
        </is>
      </c>
      <c r="G550" t="n">
        <v>1.5</v>
      </c>
      <c r="H550" t="n">
        <v>0</v>
      </c>
      <c r="I550" t="n">
        <v>0</v>
      </c>
      <c r="J550" t="n">
        <v>0</v>
      </c>
      <c r="K550" t="n">
        <v>0</v>
      </c>
      <c r="L550" t="n">
        <v>0</v>
      </c>
      <c r="M550" t="n">
        <v>0</v>
      </c>
      <c r="N550" t="n">
        <v>0</v>
      </c>
      <c r="O550" t="n">
        <v>0</v>
      </c>
      <c r="P550" t="n">
        <v>0</v>
      </c>
      <c r="Q550" t="n">
        <v>0</v>
      </c>
      <c r="R550" s="2" t="inlineStr"/>
    </row>
    <row r="551" ht="15" customHeight="1">
      <c r="A551" t="inlineStr">
        <is>
          <t>A 37022-2024</t>
        </is>
      </c>
      <c r="B551" s="1" t="n">
        <v>45539.3822337963</v>
      </c>
      <c r="C551" s="1" t="n">
        <v>45973</v>
      </c>
      <c r="D551" t="inlineStr">
        <is>
          <t>ÖREBRO LÄN</t>
        </is>
      </c>
      <c r="E551" t="inlineStr">
        <is>
          <t>ÖREBRO</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37024-2024</t>
        </is>
      </c>
      <c r="B552" s="1" t="n">
        <v>45539.38329861111</v>
      </c>
      <c r="C552" s="1" t="n">
        <v>45973</v>
      </c>
      <c r="D552" t="inlineStr">
        <is>
          <t>ÖREBRO LÄN</t>
        </is>
      </c>
      <c r="E552" t="inlineStr">
        <is>
          <t>ÖREBRO</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45973</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11382-2023</t>
        </is>
      </c>
      <c r="B554" s="1" t="n">
        <v>44993.45635416666</v>
      </c>
      <c r="C554" s="1" t="n">
        <v>45973</v>
      </c>
      <c r="D554" t="inlineStr">
        <is>
          <t>ÖREBRO LÄN</t>
        </is>
      </c>
      <c r="E554" t="inlineStr">
        <is>
          <t>ÖREBRO</t>
        </is>
      </c>
      <c r="G554" t="n">
        <v>3.3</v>
      </c>
      <c r="H554" t="n">
        <v>0</v>
      </c>
      <c r="I554" t="n">
        <v>0</v>
      </c>
      <c r="J554" t="n">
        <v>0</v>
      </c>
      <c r="K554" t="n">
        <v>0</v>
      </c>
      <c r="L554" t="n">
        <v>0</v>
      </c>
      <c r="M554" t="n">
        <v>0</v>
      </c>
      <c r="N554" t="n">
        <v>0</v>
      </c>
      <c r="O554" t="n">
        <v>0</v>
      </c>
      <c r="P554" t="n">
        <v>0</v>
      </c>
      <c r="Q554" t="n">
        <v>0</v>
      </c>
      <c r="R554" s="2" t="inlineStr"/>
    </row>
    <row r="555" ht="15" customHeight="1">
      <c r="A555" t="inlineStr">
        <is>
          <t>A 20121-2024</t>
        </is>
      </c>
      <c r="B555" s="1" t="n">
        <v>45434</v>
      </c>
      <c r="C555" s="1" t="n">
        <v>45973</v>
      </c>
      <c r="D555" t="inlineStr">
        <is>
          <t>ÖREBRO LÄN</t>
        </is>
      </c>
      <c r="E555" t="inlineStr">
        <is>
          <t>ÖREBRO</t>
        </is>
      </c>
      <c r="G555" t="n">
        <v>1.8</v>
      </c>
      <c r="H555" t="n">
        <v>0</v>
      </c>
      <c r="I555" t="n">
        <v>0</v>
      </c>
      <c r="J555" t="n">
        <v>0</v>
      </c>
      <c r="K555" t="n">
        <v>0</v>
      </c>
      <c r="L555" t="n">
        <v>0</v>
      </c>
      <c r="M555" t="n">
        <v>0</v>
      </c>
      <c r="N555" t="n">
        <v>0</v>
      </c>
      <c r="O555" t="n">
        <v>0</v>
      </c>
      <c r="P555" t="n">
        <v>0</v>
      </c>
      <c r="Q555" t="n">
        <v>0</v>
      </c>
      <c r="R555" s="2" t="inlineStr"/>
    </row>
    <row r="556" ht="15" customHeight="1">
      <c r="A556" t="inlineStr">
        <is>
          <t>A 26117-2021</t>
        </is>
      </c>
      <c r="B556" s="1" t="n">
        <v>44345</v>
      </c>
      <c r="C556" s="1" t="n">
        <v>45973</v>
      </c>
      <c r="D556" t="inlineStr">
        <is>
          <t>ÖREBRO LÄN</t>
        </is>
      </c>
      <c r="E556" t="inlineStr">
        <is>
          <t>ÖREBRO</t>
        </is>
      </c>
      <c r="G556" t="n">
        <v>8.1</v>
      </c>
      <c r="H556" t="n">
        <v>0</v>
      </c>
      <c r="I556" t="n">
        <v>0</v>
      </c>
      <c r="J556" t="n">
        <v>0</v>
      </c>
      <c r="K556" t="n">
        <v>0</v>
      </c>
      <c r="L556" t="n">
        <v>0</v>
      </c>
      <c r="M556" t="n">
        <v>0</v>
      </c>
      <c r="N556" t="n">
        <v>0</v>
      </c>
      <c r="O556" t="n">
        <v>0</v>
      </c>
      <c r="P556" t="n">
        <v>0</v>
      </c>
      <c r="Q556" t="n">
        <v>0</v>
      </c>
      <c r="R556" s="2" t="inlineStr"/>
    </row>
    <row r="557" ht="15" customHeight="1">
      <c r="A557" t="inlineStr">
        <is>
          <t>A 55943-2024</t>
        </is>
      </c>
      <c r="B557" s="1" t="n">
        <v>45623.61278935185</v>
      </c>
      <c r="C557" s="1" t="n">
        <v>45973</v>
      </c>
      <c r="D557" t="inlineStr">
        <is>
          <t>ÖREBRO LÄN</t>
        </is>
      </c>
      <c r="E557" t="inlineStr">
        <is>
          <t>ÖREBRO</t>
        </is>
      </c>
      <c r="G557" t="n">
        <v>4.8</v>
      </c>
      <c r="H557" t="n">
        <v>0</v>
      </c>
      <c r="I557" t="n">
        <v>0</v>
      </c>
      <c r="J557" t="n">
        <v>0</v>
      </c>
      <c r="K557" t="n">
        <v>0</v>
      </c>
      <c r="L557" t="n">
        <v>0</v>
      </c>
      <c r="M557" t="n">
        <v>0</v>
      </c>
      <c r="N557" t="n">
        <v>0</v>
      </c>
      <c r="O557" t="n">
        <v>0</v>
      </c>
      <c r="P557" t="n">
        <v>0</v>
      </c>
      <c r="Q557" t="n">
        <v>0</v>
      </c>
      <c r="R557" s="2" t="inlineStr"/>
    </row>
    <row r="558" ht="15" customHeight="1">
      <c r="A558" t="inlineStr">
        <is>
          <t>A 1013-2024</t>
        </is>
      </c>
      <c r="B558" s="1" t="n">
        <v>45301</v>
      </c>
      <c r="C558" s="1" t="n">
        <v>45973</v>
      </c>
      <c r="D558" t="inlineStr">
        <is>
          <t>ÖREBRO LÄN</t>
        </is>
      </c>
      <c r="E558" t="inlineStr">
        <is>
          <t>ÖREBRO</t>
        </is>
      </c>
      <c r="G558" t="n">
        <v>2.6</v>
      </c>
      <c r="H558" t="n">
        <v>0</v>
      </c>
      <c r="I558" t="n">
        <v>0</v>
      </c>
      <c r="J558" t="n">
        <v>0</v>
      </c>
      <c r="K558" t="n">
        <v>0</v>
      </c>
      <c r="L558" t="n">
        <v>0</v>
      </c>
      <c r="M558" t="n">
        <v>0</v>
      </c>
      <c r="N558" t="n">
        <v>0</v>
      </c>
      <c r="O558" t="n">
        <v>0</v>
      </c>
      <c r="P558" t="n">
        <v>0</v>
      </c>
      <c r="Q558" t="n">
        <v>0</v>
      </c>
      <c r="R558" s="2" t="inlineStr"/>
    </row>
    <row r="559" ht="15" customHeight="1">
      <c r="A559" t="inlineStr">
        <is>
          <t>A 13623-2024</t>
        </is>
      </c>
      <c r="B559" s="1" t="n">
        <v>45390.38626157407</v>
      </c>
      <c r="C559" s="1" t="n">
        <v>45973</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55748-2025</t>
        </is>
      </c>
      <c r="B560" s="1" t="n">
        <v>45972.57893518519</v>
      </c>
      <c r="C560" s="1" t="n">
        <v>45973</v>
      </c>
      <c r="D560" t="inlineStr">
        <is>
          <t>ÖREBRO LÄN</t>
        </is>
      </c>
      <c r="E560" t="inlineStr">
        <is>
          <t>ÖREBRO</t>
        </is>
      </c>
      <c r="G560" t="n">
        <v>1.5</v>
      </c>
      <c r="H560" t="n">
        <v>0</v>
      </c>
      <c r="I560" t="n">
        <v>0</v>
      </c>
      <c r="J560" t="n">
        <v>0</v>
      </c>
      <c r="K560" t="n">
        <v>0</v>
      </c>
      <c r="L560" t="n">
        <v>0</v>
      </c>
      <c r="M560" t="n">
        <v>0</v>
      </c>
      <c r="N560" t="n">
        <v>0</v>
      </c>
      <c r="O560" t="n">
        <v>0</v>
      </c>
      <c r="P560" t="n">
        <v>0</v>
      </c>
      <c r="Q560" t="n">
        <v>0</v>
      </c>
      <c r="R560" s="2" t="inlineStr"/>
    </row>
    <row r="561" ht="15" customHeight="1">
      <c r="A561" t="inlineStr">
        <is>
          <t>A 55750-2025</t>
        </is>
      </c>
      <c r="B561" s="1" t="n">
        <v>45972.58171296296</v>
      </c>
      <c r="C561" s="1" t="n">
        <v>45973</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5330-2024</t>
        </is>
      </c>
      <c r="B562" s="1" t="n">
        <v>45331.4187962963</v>
      </c>
      <c r="C562" s="1" t="n">
        <v>45973</v>
      </c>
      <c r="D562" t="inlineStr">
        <is>
          <t>ÖREBRO LÄN</t>
        </is>
      </c>
      <c r="E562" t="inlineStr">
        <is>
          <t>ÖREBRO</t>
        </is>
      </c>
      <c r="G562" t="n">
        <v>1.4</v>
      </c>
      <c r="H562" t="n">
        <v>0</v>
      </c>
      <c r="I562" t="n">
        <v>0</v>
      </c>
      <c r="J562" t="n">
        <v>0</v>
      </c>
      <c r="K562" t="n">
        <v>0</v>
      </c>
      <c r="L562" t="n">
        <v>0</v>
      </c>
      <c r="M562" t="n">
        <v>0</v>
      </c>
      <c r="N562" t="n">
        <v>0</v>
      </c>
      <c r="O562" t="n">
        <v>0</v>
      </c>
      <c r="P562" t="n">
        <v>0</v>
      </c>
      <c r="Q562" t="n">
        <v>0</v>
      </c>
      <c r="R562" s="2" t="inlineStr"/>
    </row>
    <row r="563" ht="15" customHeight="1">
      <c r="A563" t="inlineStr">
        <is>
          <t>A 6794-2025</t>
        </is>
      </c>
      <c r="B563" s="1" t="n">
        <v>45700.66429398148</v>
      </c>
      <c r="C563" s="1" t="n">
        <v>45973</v>
      </c>
      <c r="D563" t="inlineStr">
        <is>
          <t>ÖREBRO LÄN</t>
        </is>
      </c>
      <c r="E563" t="inlineStr">
        <is>
          <t>ÖREBRO</t>
        </is>
      </c>
      <c r="G563" t="n">
        <v>1</v>
      </c>
      <c r="H563" t="n">
        <v>0</v>
      </c>
      <c r="I563" t="n">
        <v>0</v>
      </c>
      <c r="J563" t="n">
        <v>0</v>
      </c>
      <c r="K563" t="n">
        <v>0</v>
      </c>
      <c r="L563" t="n">
        <v>0</v>
      </c>
      <c r="M563" t="n">
        <v>0</v>
      </c>
      <c r="N563" t="n">
        <v>0</v>
      </c>
      <c r="O563" t="n">
        <v>0</v>
      </c>
      <c r="P563" t="n">
        <v>0</v>
      </c>
      <c r="Q563" t="n">
        <v>0</v>
      </c>
      <c r="R563" s="2" t="inlineStr"/>
    </row>
    <row r="564" ht="15" customHeight="1">
      <c r="A564" t="inlineStr">
        <is>
          <t>A 28938-2025</t>
        </is>
      </c>
      <c r="B564" s="1" t="n">
        <v>45820.70626157407</v>
      </c>
      <c r="C564" s="1" t="n">
        <v>45973</v>
      </c>
      <c r="D564" t="inlineStr">
        <is>
          <t>ÖREBRO LÄN</t>
        </is>
      </c>
      <c r="E564" t="inlineStr">
        <is>
          <t>ÖREBRO</t>
        </is>
      </c>
      <c r="G564" t="n">
        <v>1.9</v>
      </c>
      <c r="H564" t="n">
        <v>0</v>
      </c>
      <c r="I564" t="n">
        <v>0</v>
      </c>
      <c r="J564" t="n">
        <v>0</v>
      </c>
      <c r="K564" t="n">
        <v>0</v>
      </c>
      <c r="L564" t="n">
        <v>0</v>
      </c>
      <c r="M564" t="n">
        <v>0</v>
      </c>
      <c r="N564" t="n">
        <v>0</v>
      </c>
      <c r="O564" t="n">
        <v>0</v>
      </c>
      <c r="P564" t="n">
        <v>0</v>
      </c>
      <c r="Q564" t="n">
        <v>0</v>
      </c>
      <c r="R564" s="2" t="inlineStr"/>
    </row>
    <row r="565" ht="15" customHeight="1">
      <c r="A565" t="inlineStr">
        <is>
          <t>A 28920-2025</t>
        </is>
      </c>
      <c r="B565" s="1" t="n">
        <v>45820.66532407407</v>
      </c>
      <c r="C565" s="1" t="n">
        <v>45973</v>
      </c>
      <c r="D565" t="inlineStr">
        <is>
          <t>ÖREBRO LÄN</t>
        </is>
      </c>
      <c r="E565" t="inlineStr">
        <is>
          <t>ÖREBRO</t>
        </is>
      </c>
      <c r="G565" t="n">
        <v>3</v>
      </c>
      <c r="H565" t="n">
        <v>0</v>
      </c>
      <c r="I565" t="n">
        <v>0</v>
      </c>
      <c r="J565" t="n">
        <v>0</v>
      </c>
      <c r="K565" t="n">
        <v>0</v>
      </c>
      <c r="L565" t="n">
        <v>0</v>
      </c>
      <c r="M565" t="n">
        <v>0</v>
      </c>
      <c r="N565" t="n">
        <v>0</v>
      </c>
      <c r="O565" t="n">
        <v>0</v>
      </c>
      <c r="P565" t="n">
        <v>0</v>
      </c>
      <c r="Q565" t="n">
        <v>0</v>
      </c>
      <c r="R565" s="2" t="inlineStr"/>
    </row>
    <row r="566" ht="15" customHeight="1">
      <c r="A566" t="inlineStr">
        <is>
          <t>A 3-2024</t>
        </is>
      </c>
      <c r="B566" s="1" t="n">
        <v>45292</v>
      </c>
      <c r="C566" s="1" t="n">
        <v>45973</v>
      </c>
      <c r="D566" t="inlineStr">
        <is>
          <t>ÖREBRO LÄN</t>
        </is>
      </c>
      <c r="E566" t="inlineStr">
        <is>
          <t>ÖREBRO</t>
        </is>
      </c>
      <c r="G566" t="n">
        <v>2.7</v>
      </c>
      <c r="H566" t="n">
        <v>0</v>
      </c>
      <c r="I566" t="n">
        <v>0</v>
      </c>
      <c r="J566" t="n">
        <v>0</v>
      </c>
      <c r="K566" t="n">
        <v>0</v>
      </c>
      <c r="L566" t="n">
        <v>0</v>
      </c>
      <c r="M566" t="n">
        <v>0</v>
      </c>
      <c r="N566" t="n">
        <v>0</v>
      </c>
      <c r="O566" t="n">
        <v>0</v>
      </c>
      <c r="P566" t="n">
        <v>0</v>
      </c>
      <c r="Q566" t="n">
        <v>0</v>
      </c>
      <c r="R566" s="2" t="inlineStr"/>
    </row>
    <row r="567" ht="15" customHeight="1">
      <c r="A567" t="inlineStr">
        <is>
          <t>A 29286-2025</t>
        </is>
      </c>
      <c r="B567" s="1" t="n">
        <v>45824.43502314815</v>
      </c>
      <c r="C567" s="1" t="n">
        <v>45973</v>
      </c>
      <c r="D567" t="inlineStr">
        <is>
          <t>ÖREBRO LÄN</t>
        </is>
      </c>
      <c r="E567" t="inlineStr">
        <is>
          <t>ÖREBRO</t>
        </is>
      </c>
      <c r="G567" t="n">
        <v>1.2</v>
      </c>
      <c r="H567" t="n">
        <v>0</v>
      </c>
      <c r="I567" t="n">
        <v>0</v>
      </c>
      <c r="J567" t="n">
        <v>0</v>
      </c>
      <c r="K567" t="n">
        <v>0</v>
      </c>
      <c r="L567" t="n">
        <v>0</v>
      </c>
      <c r="M567" t="n">
        <v>0</v>
      </c>
      <c r="N567" t="n">
        <v>0</v>
      </c>
      <c r="O567" t="n">
        <v>0</v>
      </c>
      <c r="P567" t="n">
        <v>0</v>
      </c>
      <c r="Q567" t="n">
        <v>0</v>
      </c>
      <c r="R567" s="2" t="inlineStr"/>
    </row>
    <row r="568" ht="15" customHeight="1">
      <c r="A568" t="inlineStr">
        <is>
          <t>A 5619-2023</t>
        </is>
      </c>
      <c r="B568" s="1" t="n">
        <v>44958</v>
      </c>
      <c r="C568" s="1" t="n">
        <v>45973</v>
      </c>
      <c r="D568" t="inlineStr">
        <is>
          <t>ÖREBRO LÄN</t>
        </is>
      </c>
      <c r="E568" t="inlineStr">
        <is>
          <t>ÖREBRO</t>
        </is>
      </c>
      <c r="G568" t="n">
        <v>27</v>
      </c>
      <c r="H568" t="n">
        <v>0</v>
      </c>
      <c r="I568" t="n">
        <v>0</v>
      </c>
      <c r="J568" t="n">
        <v>0</v>
      </c>
      <c r="K568" t="n">
        <v>0</v>
      </c>
      <c r="L568" t="n">
        <v>0</v>
      </c>
      <c r="M568" t="n">
        <v>0</v>
      </c>
      <c r="N568" t="n">
        <v>0</v>
      </c>
      <c r="O568" t="n">
        <v>0</v>
      </c>
      <c r="P568" t="n">
        <v>0</v>
      </c>
      <c r="Q568" t="n">
        <v>0</v>
      </c>
      <c r="R568" s="2" t="inlineStr"/>
    </row>
    <row r="569" ht="15" customHeight="1">
      <c r="A569" t="inlineStr">
        <is>
          <t>A 29339-2025</t>
        </is>
      </c>
      <c r="B569" s="1" t="n">
        <v>45824.5044212963</v>
      </c>
      <c r="C569" s="1" t="n">
        <v>45973</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5578-2024</t>
        </is>
      </c>
      <c r="B570" s="1" t="n">
        <v>45334.49104166667</v>
      </c>
      <c r="C570" s="1" t="n">
        <v>45973</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60059-2023</t>
        </is>
      </c>
      <c r="B571" s="1" t="n">
        <v>45258.38157407408</v>
      </c>
      <c r="C571" s="1" t="n">
        <v>45973</v>
      </c>
      <c r="D571" t="inlineStr">
        <is>
          <t>ÖREBRO LÄN</t>
        </is>
      </c>
      <c r="E571" t="inlineStr">
        <is>
          <t>ÖREBRO</t>
        </is>
      </c>
      <c r="G571" t="n">
        <v>4</v>
      </c>
      <c r="H571" t="n">
        <v>0</v>
      </c>
      <c r="I571" t="n">
        <v>0</v>
      </c>
      <c r="J571" t="n">
        <v>0</v>
      </c>
      <c r="K571" t="n">
        <v>0</v>
      </c>
      <c r="L571" t="n">
        <v>0</v>
      </c>
      <c r="M571" t="n">
        <v>0</v>
      </c>
      <c r="N571" t="n">
        <v>0</v>
      </c>
      <c r="O571" t="n">
        <v>0</v>
      </c>
      <c r="P571" t="n">
        <v>0</v>
      </c>
      <c r="Q571" t="n">
        <v>0</v>
      </c>
      <c r="R571" s="2" t="inlineStr"/>
    </row>
    <row r="572" ht="15" customHeight="1">
      <c r="A572" t="inlineStr">
        <is>
          <t>A 26858-2024</t>
        </is>
      </c>
      <c r="B572" s="1" t="n">
        <v>45470</v>
      </c>
      <c r="C572" s="1" t="n">
        <v>45973</v>
      </c>
      <c r="D572" t="inlineStr">
        <is>
          <t>ÖREBRO LÄN</t>
        </is>
      </c>
      <c r="E572" t="inlineStr">
        <is>
          <t>ÖREBRO</t>
        </is>
      </c>
      <c r="G572" t="n">
        <v>2.3</v>
      </c>
      <c r="H572" t="n">
        <v>0</v>
      </c>
      <c r="I572" t="n">
        <v>0</v>
      </c>
      <c r="J572" t="n">
        <v>0</v>
      </c>
      <c r="K572" t="n">
        <v>0</v>
      </c>
      <c r="L572" t="n">
        <v>0</v>
      </c>
      <c r="M572" t="n">
        <v>0</v>
      </c>
      <c r="N572" t="n">
        <v>0</v>
      </c>
      <c r="O572" t="n">
        <v>0</v>
      </c>
      <c r="P572" t="n">
        <v>0</v>
      </c>
      <c r="Q572" t="n">
        <v>0</v>
      </c>
      <c r="R572" s="2" t="inlineStr"/>
    </row>
    <row r="573" ht="15" customHeight="1">
      <c r="A573" t="inlineStr">
        <is>
          <t>A 37786-2024</t>
        </is>
      </c>
      <c r="B573" s="1" t="n">
        <v>45542.82987268519</v>
      </c>
      <c r="C573" s="1" t="n">
        <v>45973</v>
      </c>
      <c r="D573" t="inlineStr">
        <is>
          <t>ÖREBRO LÄN</t>
        </is>
      </c>
      <c r="E573" t="inlineStr">
        <is>
          <t>ÖREBRO</t>
        </is>
      </c>
      <c r="G573" t="n">
        <v>3.1</v>
      </c>
      <c r="H573" t="n">
        <v>0</v>
      </c>
      <c r="I573" t="n">
        <v>0</v>
      </c>
      <c r="J573" t="n">
        <v>0</v>
      </c>
      <c r="K573" t="n">
        <v>0</v>
      </c>
      <c r="L573" t="n">
        <v>0</v>
      </c>
      <c r="M573" t="n">
        <v>0</v>
      </c>
      <c r="N573" t="n">
        <v>0</v>
      </c>
      <c r="O573" t="n">
        <v>0</v>
      </c>
      <c r="P573" t="n">
        <v>0</v>
      </c>
      <c r="Q573" t="n">
        <v>0</v>
      </c>
      <c r="R573" s="2" t="inlineStr"/>
    </row>
    <row r="574" ht="15" customHeight="1">
      <c r="A574" t="inlineStr">
        <is>
          <t>A 58615-2024</t>
        </is>
      </c>
      <c r="B574" s="1" t="n">
        <v>45635.5587037037</v>
      </c>
      <c r="C574" s="1" t="n">
        <v>45973</v>
      </c>
      <c r="D574" t="inlineStr">
        <is>
          <t>ÖREBRO LÄN</t>
        </is>
      </c>
      <c r="E574" t="inlineStr">
        <is>
          <t>ÖREBRO</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29701-2025</t>
        </is>
      </c>
      <c r="B575" s="1" t="n">
        <v>45825.55261574074</v>
      </c>
      <c r="C575" s="1" t="n">
        <v>45973</v>
      </c>
      <c r="D575" t="inlineStr">
        <is>
          <t>ÖREBRO LÄN</t>
        </is>
      </c>
      <c r="E575" t="inlineStr">
        <is>
          <t>ÖREBRO</t>
        </is>
      </c>
      <c r="G575" t="n">
        <v>5.8</v>
      </c>
      <c r="H575" t="n">
        <v>0</v>
      </c>
      <c r="I575" t="n">
        <v>0</v>
      </c>
      <c r="J575" t="n">
        <v>0</v>
      </c>
      <c r="K575" t="n">
        <v>0</v>
      </c>
      <c r="L575" t="n">
        <v>0</v>
      </c>
      <c r="M575" t="n">
        <v>0</v>
      </c>
      <c r="N575" t="n">
        <v>0</v>
      </c>
      <c r="O575" t="n">
        <v>0</v>
      </c>
      <c r="P575" t="n">
        <v>0</v>
      </c>
      <c r="Q575" t="n">
        <v>0</v>
      </c>
      <c r="R575" s="2" t="inlineStr"/>
    </row>
    <row r="576" ht="15" customHeight="1">
      <c r="A576" t="inlineStr">
        <is>
          <t>A 45517-2023</t>
        </is>
      </c>
      <c r="B576" s="1" t="n">
        <v>45194.49594907407</v>
      </c>
      <c r="C576" s="1" t="n">
        <v>45973</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3652-2022</t>
        </is>
      </c>
      <c r="B577" s="1" t="n">
        <v>44586.46921296296</v>
      </c>
      <c r="C577" s="1" t="n">
        <v>45973</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25407-2021</t>
        </is>
      </c>
      <c r="B578" s="1" t="n">
        <v>44342</v>
      </c>
      <c r="C578" s="1" t="n">
        <v>45973</v>
      </c>
      <c r="D578" t="inlineStr">
        <is>
          <t>ÖREBRO LÄN</t>
        </is>
      </c>
      <c r="E578" t="inlineStr">
        <is>
          <t>ÖREBRO</t>
        </is>
      </c>
      <c r="F578" t="inlineStr">
        <is>
          <t>Kommuner</t>
        </is>
      </c>
      <c r="G578" t="n">
        <v>7.2</v>
      </c>
      <c r="H578" t="n">
        <v>0</v>
      </c>
      <c r="I578" t="n">
        <v>0</v>
      </c>
      <c r="J578" t="n">
        <v>0</v>
      </c>
      <c r="K578" t="n">
        <v>0</v>
      </c>
      <c r="L578" t="n">
        <v>0</v>
      </c>
      <c r="M578" t="n">
        <v>0</v>
      </c>
      <c r="N578" t="n">
        <v>0</v>
      </c>
      <c r="O578" t="n">
        <v>0</v>
      </c>
      <c r="P578" t="n">
        <v>0</v>
      </c>
      <c r="Q578" t="n">
        <v>0</v>
      </c>
      <c r="R578" s="2" t="inlineStr"/>
    </row>
    <row r="579" ht="15" customHeight="1">
      <c r="A579" t="inlineStr">
        <is>
          <t>A 12245-2023</t>
        </is>
      </c>
      <c r="B579" s="1" t="n">
        <v>44998.64402777778</v>
      </c>
      <c r="C579" s="1" t="n">
        <v>45973</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7134-2025</t>
        </is>
      </c>
      <c r="B580" s="1" t="n">
        <v>45702</v>
      </c>
      <c r="C580" s="1" t="n">
        <v>45973</v>
      </c>
      <c r="D580" t="inlineStr">
        <is>
          <t>ÖREBRO LÄN</t>
        </is>
      </c>
      <c r="E580" t="inlineStr">
        <is>
          <t>ÖREBRO</t>
        </is>
      </c>
      <c r="F580" t="inlineStr">
        <is>
          <t>Övriga Aktiebolag</t>
        </is>
      </c>
      <c r="G580" t="n">
        <v>2.1</v>
      </c>
      <c r="H580" t="n">
        <v>0</v>
      </c>
      <c r="I580" t="n">
        <v>0</v>
      </c>
      <c r="J580" t="n">
        <v>0</v>
      </c>
      <c r="K580" t="n">
        <v>0</v>
      </c>
      <c r="L580" t="n">
        <v>0</v>
      </c>
      <c r="M580" t="n">
        <v>0</v>
      </c>
      <c r="N580" t="n">
        <v>0</v>
      </c>
      <c r="O580" t="n">
        <v>0</v>
      </c>
      <c r="P580" t="n">
        <v>0</v>
      </c>
      <c r="Q580" t="n">
        <v>0</v>
      </c>
      <c r="R580" s="2" t="inlineStr"/>
    </row>
    <row r="581" ht="15" customHeight="1">
      <c r="A581" t="inlineStr">
        <is>
          <t>A 60506-2024</t>
        </is>
      </c>
      <c r="B581" s="1" t="n">
        <v>45643.66630787037</v>
      </c>
      <c r="C581" s="1" t="n">
        <v>45973</v>
      </c>
      <c r="D581" t="inlineStr">
        <is>
          <t>ÖREBRO LÄN</t>
        </is>
      </c>
      <c r="E581" t="inlineStr">
        <is>
          <t>ÖREBRO</t>
        </is>
      </c>
      <c r="G581" t="n">
        <v>5.8</v>
      </c>
      <c r="H581" t="n">
        <v>0</v>
      </c>
      <c r="I581" t="n">
        <v>0</v>
      </c>
      <c r="J581" t="n">
        <v>0</v>
      </c>
      <c r="K581" t="n">
        <v>0</v>
      </c>
      <c r="L581" t="n">
        <v>0</v>
      </c>
      <c r="M581" t="n">
        <v>0</v>
      </c>
      <c r="N581" t="n">
        <v>0</v>
      </c>
      <c r="O581" t="n">
        <v>0</v>
      </c>
      <c r="P581" t="n">
        <v>0</v>
      </c>
      <c r="Q581" t="n">
        <v>0</v>
      </c>
      <c r="R581" s="2" t="inlineStr"/>
    </row>
    <row r="582" ht="15" customHeight="1">
      <c r="A582" t="inlineStr">
        <is>
          <t>A 30550-2025</t>
        </is>
      </c>
      <c r="B582" s="1" t="n">
        <v>45831.38224537037</v>
      </c>
      <c r="C582" s="1" t="n">
        <v>45973</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30731-2025</t>
        </is>
      </c>
      <c r="B583" s="1" t="n">
        <v>45831.57280092593</v>
      </c>
      <c r="C583" s="1" t="n">
        <v>45973</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29978-2024</t>
        </is>
      </c>
      <c r="B584" s="1" t="n">
        <v>45488.48340277778</v>
      </c>
      <c r="C584" s="1" t="n">
        <v>45973</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30951-2025</t>
        </is>
      </c>
      <c r="B585" s="1" t="n">
        <v>45832.43225694444</v>
      </c>
      <c r="C585" s="1" t="n">
        <v>45973</v>
      </c>
      <c r="D585" t="inlineStr">
        <is>
          <t>ÖREBRO LÄN</t>
        </is>
      </c>
      <c r="E585" t="inlineStr">
        <is>
          <t>ÖREBRO</t>
        </is>
      </c>
      <c r="F585" t="inlineStr">
        <is>
          <t>Övriga Aktiebolag</t>
        </is>
      </c>
      <c r="G585" t="n">
        <v>2.3</v>
      </c>
      <c r="H585" t="n">
        <v>0</v>
      </c>
      <c r="I585" t="n">
        <v>0</v>
      </c>
      <c r="J585" t="n">
        <v>0</v>
      </c>
      <c r="K585" t="n">
        <v>0</v>
      </c>
      <c r="L585" t="n">
        <v>0</v>
      </c>
      <c r="M585" t="n">
        <v>0</v>
      </c>
      <c r="N585" t="n">
        <v>0</v>
      </c>
      <c r="O585" t="n">
        <v>0</v>
      </c>
      <c r="P585" t="n">
        <v>0</v>
      </c>
      <c r="Q585" t="n">
        <v>0</v>
      </c>
      <c r="R585" s="2" t="inlineStr"/>
    </row>
    <row r="586" ht="15" customHeight="1">
      <c r="A586" t="inlineStr">
        <is>
          <t>A 31066-2025</t>
        </is>
      </c>
      <c r="B586" s="1" t="n">
        <v>45832</v>
      </c>
      <c r="C586" s="1" t="n">
        <v>45973</v>
      </c>
      <c r="D586" t="inlineStr">
        <is>
          <t>ÖREBRO LÄN</t>
        </is>
      </c>
      <c r="E586" t="inlineStr">
        <is>
          <t>ÖREBRO</t>
        </is>
      </c>
      <c r="G586" t="n">
        <v>11.1</v>
      </c>
      <c r="H586" t="n">
        <v>0</v>
      </c>
      <c r="I586" t="n">
        <v>0</v>
      </c>
      <c r="J586" t="n">
        <v>0</v>
      </c>
      <c r="K586" t="n">
        <v>0</v>
      </c>
      <c r="L586" t="n">
        <v>0</v>
      </c>
      <c r="M586" t="n">
        <v>0</v>
      </c>
      <c r="N586" t="n">
        <v>0</v>
      </c>
      <c r="O586" t="n">
        <v>0</v>
      </c>
      <c r="P586" t="n">
        <v>0</v>
      </c>
      <c r="Q586" t="n">
        <v>0</v>
      </c>
      <c r="R586" s="2" t="inlineStr"/>
    </row>
    <row r="587" ht="15" customHeight="1">
      <c r="A587" t="inlineStr">
        <is>
          <t>A 30903-2024</t>
        </is>
      </c>
      <c r="B587" s="1" t="n">
        <v>45498.49946759259</v>
      </c>
      <c r="C587" s="1" t="n">
        <v>45973</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58611-2024</t>
        </is>
      </c>
      <c r="B588" s="1" t="n">
        <v>45635.55555555555</v>
      </c>
      <c r="C588" s="1" t="n">
        <v>45973</v>
      </c>
      <c r="D588" t="inlineStr">
        <is>
          <t>ÖREBRO LÄN</t>
        </is>
      </c>
      <c r="E588" t="inlineStr">
        <is>
          <t>ÖREBRO</t>
        </is>
      </c>
      <c r="F588" t="inlineStr">
        <is>
          <t>Sveaskog</t>
        </is>
      </c>
      <c r="G588" t="n">
        <v>0.3</v>
      </c>
      <c r="H588" t="n">
        <v>0</v>
      </c>
      <c r="I588" t="n">
        <v>0</v>
      </c>
      <c r="J588" t="n">
        <v>0</v>
      </c>
      <c r="K588" t="n">
        <v>0</v>
      </c>
      <c r="L588" t="n">
        <v>0</v>
      </c>
      <c r="M588" t="n">
        <v>0</v>
      </c>
      <c r="N588" t="n">
        <v>0</v>
      </c>
      <c r="O588" t="n">
        <v>0</v>
      </c>
      <c r="P588" t="n">
        <v>0</v>
      </c>
      <c r="Q588" t="n">
        <v>0</v>
      </c>
      <c r="R588" s="2" t="inlineStr"/>
    </row>
    <row r="589" ht="15" customHeight="1">
      <c r="A589" t="inlineStr">
        <is>
          <t>A 20146-2024</t>
        </is>
      </c>
      <c r="B589" s="1" t="n">
        <v>45434.57641203704</v>
      </c>
      <c r="C589" s="1" t="n">
        <v>45973</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53143-2023</t>
        </is>
      </c>
      <c r="B590" s="1" t="n">
        <v>45229</v>
      </c>
      <c r="C590" s="1" t="n">
        <v>45973</v>
      </c>
      <c r="D590" t="inlineStr">
        <is>
          <t>ÖREBRO LÄN</t>
        </is>
      </c>
      <c r="E590" t="inlineStr">
        <is>
          <t>ÖREBRO</t>
        </is>
      </c>
      <c r="G590" t="n">
        <v>3.3</v>
      </c>
      <c r="H590" t="n">
        <v>0</v>
      </c>
      <c r="I590" t="n">
        <v>0</v>
      </c>
      <c r="J590" t="n">
        <v>0</v>
      </c>
      <c r="K590" t="n">
        <v>0</v>
      </c>
      <c r="L590" t="n">
        <v>0</v>
      </c>
      <c r="M590" t="n">
        <v>0</v>
      </c>
      <c r="N590" t="n">
        <v>0</v>
      </c>
      <c r="O590" t="n">
        <v>0</v>
      </c>
      <c r="P590" t="n">
        <v>0</v>
      </c>
      <c r="Q590" t="n">
        <v>0</v>
      </c>
      <c r="R590" s="2" t="inlineStr"/>
    </row>
    <row r="591" ht="15" customHeight="1">
      <c r="A591" t="inlineStr">
        <is>
          <t>A 8656-2025</t>
        </is>
      </c>
      <c r="B591" s="1" t="n">
        <v>45712.38268518518</v>
      </c>
      <c r="C591" s="1" t="n">
        <v>45973</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31233-2025</t>
        </is>
      </c>
      <c r="B592" s="1" t="n">
        <v>45832.83341435185</v>
      </c>
      <c r="C592" s="1" t="n">
        <v>45973</v>
      </c>
      <c r="D592" t="inlineStr">
        <is>
          <t>ÖREBRO LÄN</t>
        </is>
      </c>
      <c r="E592" t="inlineStr">
        <is>
          <t>ÖREBRO</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31232-2025</t>
        </is>
      </c>
      <c r="B593" s="1" t="n">
        <v>45832.8252199074</v>
      </c>
      <c r="C593" s="1" t="n">
        <v>45973</v>
      </c>
      <c r="D593" t="inlineStr">
        <is>
          <t>ÖREBRO LÄN</t>
        </is>
      </c>
      <c r="E593" t="inlineStr">
        <is>
          <t>ÖREBRO</t>
        </is>
      </c>
      <c r="F593" t="inlineStr">
        <is>
          <t>Övriga Aktiebolag</t>
        </is>
      </c>
      <c r="G593" t="n">
        <v>2.1</v>
      </c>
      <c r="H593" t="n">
        <v>0</v>
      </c>
      <c r="I593" t="n">
        <v>0</v>
      </c>
      <c r="J593" t="n">
        <v>0</v>
      </c>
      <c r="K593" t="n">
        <v>0</v>
      </c>
      <c r="L593" t="n">
        <v>0</v>
      </c>
      <c r="M593" t="n">
        <v>0</v>
      </c>
      <c r="N593" t="n">
        <v>0</v>
      </c>
      <c r="O593" t="n">
        <v>0</v>
      </c>
      <c r="P593" t="n">
        <v>0</v>
      </c>
      <c r="Q593" t="n">
        <v>0</v>
      </c>
      <c r="R593" s="2" t="inlineStr"/>
    </row>
    <row r="594" ht="15" customHeight="1">
      <c r="A594" t="inlineStr">
        <is>
          <t>A 31237-2025</t>
        </is>
      </c>
      <c r="B594" s="1" t="n">
        <v>45832.84313657408</v>
      </c>
      <c r="C594" s="1" t="n">
        <v>45973</v>
      </c>
      <c r="D594" t="inlineStr">
        <is>
          <t>ÖREBRO LÄN</t>
        </is>
      </c>
      <c r="E594" t="inlineStr">
        <is>
          <t>ÖREBRO</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32218-2025</t>
        </is>
      </c>
      <c r="B595" s="1" t="n">
        <v>45835.58880787037</v>
      </c>
      <c r="C595" s="1" t="n">
        <v>45973</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32188-2025</t>
        </is>
      </c>
      <c r="B596" s="1" t="n">
        <v>45835.56965277778</v>
      </c>
      <c r="C596" s="1" t="n">
        <v>45973</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32195-2025</t>
        </is>
      </c>
      <c r="B597" s="1" t="n">
        <v>45835.57407407407</v>
      </c>
      <c r="C597" s="1" t="n">
        <v>45973</v>
      </c>
      <c r="D597" t="inlineStr">
        <is>
          <t>ÖREBRO LÄN</t>
        </is>
      </c>
      <c r="E597" t="inlineStr">
        <is>
          <t>ÖREBRO</t>
        </is>
      </c>
      <c r="G597" t="n">
        <v>1.5</v>
      </c>
      <c r="H597" t="n">
        <v>0</v>
      </c>
      <c r="I597" t="n">
        <v>0</v>
      </c>
      <c r="J597" t="n">
        <v>0</v>
      </c>
      <c r="K597" t="n">
        <v>0</v>
      </c>
      <c r="L597" t="n">
        <v>0</v>
      </c>
      <c r="M597" t="n">
        <v>0</v>
      </c>
      <c r="N597" t="n">
        <v>0</v>
      </c>
      <c r="O597" t="n">
        <v>0</v>
      </c>
      <c r="P597" t="n">
        <v>0</v>
      </c>
      <c r="Q597" t="n">
        <v>0</v>
      </c>
      <c r="R597" s="2" t="inlineStr"/>
    </row>
    <row r="598" ht="15" customHeight="1">
      <c r="A598" t="inlineStr">
        <is>
          <t>A 33191-2025</t>
        </is>
      </c>
      <c r="B598" s="1" t="n">
        <v>45840.6003587963</v>
      </c>
      <c r="C598" s="1" t="n">
        <v>45973</v>
      </c>
      <c r="D598" t="inlineStr">
        <is>
          <t>ÖREBRO LÄN</t>
        </is>
      </c>
      <c r="E598" t="inlineStr">
        <is>
          <t>ÖREBRO</t>
        </is>
      </c>
      <c r="G598" t="n">
        <v>2.6</v>
      </c>
      <c r="H598" t="n">
        <v>0</v>
      </c>
      <c r="I598" t="n">
        <v>0</v>
      </c>
      <c r="J598" t="n">
        <v>0</v>
      </c>
      <c r="K598" t="n">
        <v>0</v>
      </c>
      <c r="L598" t="n">
        <v>0</v>
      </c>
      <c r="M598" t="n">
        <v>0</v>
      </c>
      <c r="N598" t="n">
        <v>0</v>
      </c>
      <c r="O598" t="n">
        <v>0</v>
      </c>
      <c r="P598" t="n">
        <v>0</v>
      </c>
      <c r="Q598" t="n">
        <v>0</v>
      </c>
      <c r="R598" s="2" t="inlineStr"/>
    </row>
    <row r="599" ht="15" customHeight="1">
      <c r="A599" t="inlineStr">
        <is>
          <t>A 32426-2025</t>
        </is>
      </c>
      <c r="B599" s="1" t="n">
        <v>45838.36179398148</v>
      </c>
      <c r="C599" s="1" t="n">
        <v>45973</v>
      </c>
      <c r="D599" t="inlineStr">
        <is>
          <t>ÖREBRO LÄN</t>
        </is>
      </c>
      <c r="E599" t="inlineStr">
        <is>
          <t>ÖREBRO</t>
        </is>
      </c>
      <c r="G599" t="n">
        <v>1.1</v>
      </c>
      <c r="H599" t="n">
        <v>0</v>
      </c>
      <c r="I599" t="n">
        <v>0</v>
      </c>
      <c r="J599" t="n">
        <v>0</v>
      </c>
      <c r="K599" t="n">
        <v>0</v>
      </c>
      <c r="L599" t="n">
        <v>0</v>
      </c>
      <c r="M599" t="n">
        <v>0</v>
      </c>
      <c r="N599" t="n">
        <v>0</v>
      </c>
      <c r="O599" t="n">
        <v>0</v>
      </c>
      <c r="P599" t="n">
        <v>0</v>
      </c>
      <c r="Q599" t="n">
        <v>0</v>
      </c>
      <c r="R599" s="2" t="inlineStr"/>
    </row>
    <row r="600" ht="15" customHeight="1">
      <c r="A600" t="inlineStr">
        <is>
          <t>A 32904-2025</t>
        </is>
      </c>
      <c r="B600" s="1" t="n">
        <v>45839</v>
      </c>
      <c r="C600" s="1" t="n">
        <v>45973</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48687-2024</t>
        </is>
      </c>
      <c r="B601" s="1" t="n">
        <v>45593.49899305555</v>
      </c>
      <c r="C601" s="1" t="n">
        <v>45973</v>
      </c>
      <c r="D601" t="inlineStr">
        <is>
          <t>ÖREBRO LÄN</t>
        </is>
      </c>
      <c r="E601" t="inlineStr">
        <is>
          <t>ÖREBRO</t>
        </is>
      </c>
      <c r="F601" t="inlineStr">
        <is>
          <t>Övriga Aktiebolag</t>
        </is>
      </c>
      <c r="G601" t="n">
        <v>3.8</v>
      </c>
      <c r="H601" t="n">
        <v>0</v>
      </c>
      <c r="I601" t="n">
        <v>0</v>
      </c>
      <c r="J601" t="n">
        <v>0</v>
      </c>
      <c r="K601" t="n">
        <v>0</v>
      </c>
      <c r="L601" t="n">
        <v>0</v>
      </c>
      <c r="M601" t="n">
        <v>0</v>
      </c>
      <c r="N601" t="n">
        <v>0</v>
      </c>
      <c r="O601" t="n">
        <v>0</v>
      </c>
      <c r="P601" t="n">
        <v>0</v>
      </c>
      <c r="Q601" t="n">
        <v>0</v>
      </c>
      <c r="R601" s="2" t="inlineStr"/>
    </row>
    <row r="602" ht="15" customHeight="1">
      <c r="A602" t="inlineStr">
        <is>
          <t>A 35062-2025</t>
        </is>
      </c>
      <c r="B602" s="1" t="n">
        <v>45852</v>
      </c>
      <c r="C602" s="1" t="n">
        <v>45973</v>
      </c>
      <c r="D602" t="inlineStr">
        <is>
          <t>ÖREBRO LÄN</t>
        </is>
      </c>
      <c r="E602" t="inlineStr">
        <is>
          <t>ÖREBRO</t>
        </is>
      </c>
      <c r="G602" t="n">
        <v>2.8</v>
      </c>
      <c r="H602" t="n">
        <v>0</v>
      </c>
      <c r="I602" t="n">
        <v>0</v>
      </c>
      <c r="J602" t="n">
        <v>0</v>
      </c>
      <c r="K602" t="n">
        <v>0</v>
      </c>
      <c r="L602" t="n">
        <v>0</v>
      </c>
      <c r="M602" t="n">
        <v>0</v>
      </c>
      <c r="N602" t="n">
        <v>0</v>
      </c>
      <c r="O602" t="n">
        <v>0</v>
      </c>
      <c r="P602" t="n">
        <v>0</v>
      </c>
      <c r="Q602" t="n">
        <v>0</v>
      </c>
      <c r="R602" s="2" t="inlineStr"/>
    </row>
    <row r="603" ht="15" customHeight="1">
      <c r="A603" t="inlineStr">
        <is>
          <t>A 28821-2025</t>
        </is>
      </c>
      <c r="B603" s="1" t="n">
        <v>45820</v>
      </c>
      <c r="C603" s="1" t="n">
        <v>45973</v>
      </c>
      <c r="D603" t="inlineStr">
        <is>
          <t>ÖREBRO LÄN</t>
        </is>
      </c>
      <c r="E603" t="inlineStr">
        <is>
          <t>ÖREBRO</t>
        </is>
      </c>
      <c r="G603" t="n">
        <v>12.6</v>
      </c>
      <c r="H603" t="n">
        <v>0</v>
      </c>
      <c r="I603" t="n">
        <v>0</v>
      </c>
      <c r="J603" t="n">
        <v>0</v>
      </c>
      <c r="K603" t="n">
        <v>0</v>
      </c>
      <c r="L603" t="n">
        <v>0</v>
      </c>
      <c r="M603" t="n">
        <v>0</v>
      </c>
      <c r="N603" t="n">
        <v>0</v>
      </c>
      <c r="O603" t="n">
        <v>0</v>
      </c>
      <c r="P603" t="n">
        <v>0</v>
      </c>
      <c r="Q603" t="n">
        <v>0</v>
      </c>
      <c r="R603" s="2" t="inlineStr"/>
    </row>
    <row r="604" ht="15" customHeight="1">
      <c r="A604" t="inlineStr">
        <is>
          <t>A 35637-2025</t>
        </is>
      </c>
      <c r="B604" s="1" t="n">
        <v>45859.46859953704</v>
      </c>
      <c r="C604" s="1" t="n">
        <v>45973</v>
      </c>
      <c r="D604" t="inlineStr">
        <is>
          <t>ÖREBRO LÄN</t>
        </is>
      </c>
      <c r="E604" t="inlineStr">
        <is>
          <t>ÖREBRO</t>
        </is>
      </c>
      <c r="G604" t="n">
        <v>2.1</v>
      </c>
      <c r="H604" t="n">
        <v>0</v>
      </c>
      <c r="I604" t="n">
        <v>0</v>
      </c>
      <c r="J604" t="n">
        <v>0</v>
      </c>
      <c r="K604" t="n">
        <v>0</v>
      </c>
      <c r="L604" t="n">
        <v>0</v>
      </c>
      <c r="M604" t="n">
        <v>0</v>
      </c>
      <c r="N604" t="n">
        <v>0</v>
      </c>
      <c r="O604" t="n">
        <v>0</v>
      </c>
      <c r="P604" t="n">
        <v>0</v>
      </c>
      <c r="Q604" t="n">
        <v>0</v>
      </c>
      <c r="R604" s="2" t="inlineStr"/>
    </row>
    <row r="605" ht="15" customHeight="1">
      <c r="A605" t="inlineStr">
        <is>
          <t>A 35928-2025</t>
        </is>
      </c>
      <c r="B605" s="1" t="n">
        <v>45862</v>
      </c>
      <c r="C605" s="1" t="n">
        <v>45973</v>
      </c>
      <c r="D605" t="inlineStr">
        <is>
          <t>ÖREBRO LÄN</t>
        </is>
      </c>
      <c r="E605" t="inlineStr">
        <is>
          <t>ÖREBRO</t>
        </is>
      </c>
      <c r="G605" t="n">
        <v>4.4</v>
      </c>
      <c r="H605" t="n">
        <v>0</v>
      </c>
      <c r="I605" t="n">
        <v>0</v>
      </c>
      <c r="J605" t="n">
        <v>0</v>
      </c>
      <c r="K605" t="n">
        <v>0</v>
      </c>
      <c r="L605" t="n">
        <v>0</v>
      </c>
      <c r="M605" t="n">
        <v>0</v>
      </c>
      <c r="N605" t="n">
        <v>0</v>
      </c>
      <c r="O605" t="n">
        <v>0</v>
      </c>
      <c r="P605" t="n">
        <v>0</v>
      </c>
      <c r="Q605" t="n">
        <v>0</v>
      </c>
      <c r="R605" s="2" t="inlineStr"/>
    </row>
    <row r="606" ht="15" customHeight="1">
      <c r="A606" t="inlineStr">
        <is>
          <t>A 55453-2024</t>
        </is>
      </c>
      <c r="B606" s="1" t="n">
        <v>45622.42097222222</v>
      </c>
      <c r="C606" s="1" t="n">
        <v>45973</v>
      </c>
      <c r="D606" t="inlineStr">
        <is>
          <t>ÖREBRO LÄN</t>
        </is>
      </c>
      <c r="E606" t="inlineStr">
        <is>
          <t>ÖREBRO</t>
        </is>
      </c>
      <c r="G606" t="n">
        <v>8.5</v>
      </c>
      <c r="H606" t="n">
        <v>0</v>
      </c>
      <c r="I606" t="n">
        <v>0</v>
      </c>
      <c r="J606" t="n">
        <v>0</v>
      </c>
      <c r="K606" t="n">
        <v>0</v>
      </c>
      <c r="L606" t="n">
        <v>0</v>
      </c>
      <c r="M606" t="n">
        <v>0</v>
      </c>
      <c r="N606" t="n">
        <v>0</v>
      </c>
      <c r="O606" t="n">
        <v>0</v>
      </c>
      <c r="P606" t="n">
        <v>0</v>
      </c>
      <c r="Q606" t="n">
        <v>0</v>
      </c>
      <c r="R606" s="2" t="inlineStr"/>
    </row>
    <row r="607" ht="15" customHeight="1">
      <c r="A607" t="inlineStr">
        <is>
          <t>A 32025-2024</t>
        </is>
      </c>
      <c r="B607" s="1" t="n">
        <v>45510.65754629629</v>
      </c>
      <c r="C607" s="1" t="n">
        <v>45973</v>
      </c>
      <c r="D607" t="inlineStr">
        <is>
          <t>ÖREBRO LÄN</t>
        </is>
      </c>
      <c r="E607" t="inlineStr">
        <is>
          <t>ÖREBRO</t>
        </is>
      </c>
      <c r="G607" t="n">
        <v>4</v>
      </c>
      <c r="H607" t="n">
        <v>0</v>
      </c>
      <c r="I607" t="n">
        <v>0</v>
      </c>
      <c r="J607" t="n">
        <v>0</v>
      </c>
      <c r="K607" t="n">
        <v>0</v>
      </c>
      <c r="L607" t="n">
        <v>0</v>
      </c>
      <c r="M607" t="n">
        <v>0</v>
      </c>
      <c r="N607" t="n">
        <v>0</v>
      </c>
      <c r="O607" t="n">
        <v>0</v>
      </c>
      <c r="P607" t="n">
        <v>0</v>
      </c>
      <c r="Q607" t="n">
        <v>0</v>
      </c>
      <c r="R607" s="2" t="inlineStr"/>
    </row>
    <row r="608" ht="15" customHeight="1">
      <c r="A608" t="inlineStr">
        <is>
          <t>A 36448-2025</t>
        </is>
      </c>
      <c r="B608" s="1" t="n">
        <v>45869.41929398148</v>
      </c>
      <c r="C608" s="1" t="n">
        <v>45973</v>
      </c>
      <c r="D608" t="inlineStr">
        <is>
          <t>ÖREBRO LÄN</t>
        </is>
      </c>
      <c r="E608" t="inlineStr">
        <is>
          <t>ÖREBRO</t>
        </is>
      </c>
      <c r="F608" t="inlineStr">
        <is>
          <t>Övriga Aktiebolag</t>
        </is>
      </c>
      <c r="G608" t="n">
        <v>4.3</v>
      </c>
      <c r="H608" t="n">
        <v>0</v>
      </c>
      <c r="I608" t="n">
        <v>0</v>
      </c>
      <c r="J608" t="n">
        <v>0</v>
      </c>
      <c r="K608" t="n">
        <v>0</v>
      </c>
      <c r="L608" t="n">
        <v>0</v>
      </c>
      <c r="M608" t="n">
        <v>0</v>
      </c>
      <c r="N608" t="n">
        <v>0</v>
      </c>
      <c r="O608" t="n">
        <v>0</v>
      </c>
      <c r="P608" t="n">
        <v>0</v>
      </c>
      <c r="Q608" t="n">
        <v>0</v>
      </c>
      <c r="R608" s="2" t="inlineStr"/>
    </row>
    <row r="609" ht="15" customHeight="1">
      <c r="A609" t="inlineStr">
        <is>
          <t>A 36447-2025</t>
        </is>
      </c>
      <c r="B609" s="1" t="n">
        <v>45869.41387731482</v>
      </c>
      <c r="C609" s="1" t="n">
        <v>45973</v>
      </c>
      <c r="D609" t="inlineStr">
        <is>
          <t>ÖREBRO LÄN</t>
        </is>
      </c>
      <c r="E609" t="inlineStr">
        <is>
          <t>ÖREBRO</t>
        </is>
      </c>
      <c r="F609" t="inlineStr">
        <is>
          <t>Övriga Aktiebolag</t>
        </is>
      </c>
      <c r="G609" t="n">
        <v>12.6</v>
      </c>
      <c r="H609" t="n">
        <v>0</v>
      </c>
      <c r="I609" t="n">
        <v>0</v>
      </c>
      <c r="J609" t="n">
        <v>0</v>
      </c>
      <c r="K609" t="n">
        <v>0</v>
      </c>
      <c r="L609" t="n">
        <v>0</v>
      </c>
      <c r="M609" t="n">
        <v>0</v>
      </c>
      <c r="N609" t="n">
        <v>0</v>
      </c>
      <c r="O609" t="n">
        <v>0</v>
      </c>
      <c r="P609" t="n">
        <v>0</v>
      </c>
      <c r="Q609" t="n">
        <v>0</v>
      </c>
      <c r="R609" s="2" t="inlineStr"/>
    </row>
    <row r="610">
      <c r="A610" t="inlineStr">
        <is>
          <t>A 29554-2025</t>
        </is>
      </c>
      <c r="B610" s="1" t="n">
        <v>45825</v>
      </c>
      <c r="C610" s="1" t="n">
        <v>45973</v>
      </c>
      <c r="D610" t="inlineStr">
        <is>
          <t>ÖREBRO LÄN</t>
        </is>
      </c>
      <c r="E610" t="inlineStr">
        <is>
          <t>ÖREBRO</t>
        </is>
      </c>
      <c r="F610" t="inlineStr">
        <is>
          <t>Övriga Aktiebolag</t>
        </is>
      </c>
      <c r="G610" t="n">
        <v>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2025-11-12T10:07:02Z</dcterms:created>
  <dcterms:modified xmlns:dcterms="http://purl.org/dc/terms/" xmlns:xsi="http://www.w3.org/2001/XMLSchema-instance" xsi:type="dcterms:W3CDTF">2025-11-12T10:07:03Z</dcterms:modified>
</cp:coreProperties>
</file>