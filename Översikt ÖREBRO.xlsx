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45884</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45884</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45884</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45884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45884</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57553-2023</t>
        </is>
      </c>
      <c r="B11" s="1" t="n">
        <v>45246</v>
      </c>
      <c r="C11" s="1" t="n">
        <v>45884</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45884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45884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45884</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45884</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45884</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45884</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45884</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12974-2022</t>
        </is>
      </c>
      <c r="B19" s="1" t="n">
        <v>44643.38490740741</v>
      </c>
      <c r="C19" s="1" t="n">
        <v>45884</v>
      </c>
      <c r="D19" t="inlineStr">
        <is>
          <t>ÖREBRO LÄN</t>
        </is>
      </c>
      <c r="E19" t="inlineStr">
        <is>
          <t>ÖREBRO</t>
        </is>
      </c>
      <c r="G19" t="n">
        <v>3.3</v>
      </c>
      <c r="H19" t="n">
        <v>3</v>
      </c>
      <c r="I19" t="n">
        <v>0</v>
      </c>
      <c r="J19" t="n">
        <v>2</v>
      </c>
      <c r="K19" t="n">
        <v>0</v>
      </c>
      <c r="L19" t="n">
        <v>0</v>
      </c>
      <c r="M19" t="n">
        <v>0</v>
      </c>
      <c r="N19" t="n">
        <v>0</v>
      </c>
      <c r="O19" t="n">
        <v>2</v>
      </c>
      <c r="P19" t="n">
        <v>0</v>
      </c>
      <c r="Q19" t="n">
        <v>3</v>
      </c>
      <c r="R19" s="2" t="inlineStr">
        <is>
          <t>Duvhök
Grönsångare
Kungsfågel</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50096-2023</t>
        </is>
      </c>
      <c r="B20" s="1" t="n">
        <v>45215</v>
      </c>
      <c r="C20" s="1" t="n">
        <v>45884</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45884</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45884</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45884</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45884</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2586-2021</t>
        </is>
      </c>
      <c r="B25" s="1" t="n">
        <v>44214</v>
      </c>
      <c r="C25" s="1" t="n">
        <v>45884</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32782-2022</t>
        </is>
      </c>
      <c r="B26" s="1" t="n">
        <v>44783</v>
      </c>
      <c r="C26" s="1" t="n">
        <v>45884</v>
      </c>
      <c r="D26" t="inlineStr">
        <is>
          <t>ÖREBRO LÄN</t>
        </is>
      </c>
      <c r="E26" t="inlineStr">
        <is>
          <t>ÖREBRO</t>
        </is>
      </c>
      <c r="G26" t="n">
        <v>2.8</v>
      </c>
      <c r="H26" t="n">
        <v>1</v>
      </c>
      <c r="I26" t="n">
        <v>0</v>
      </c>
      <c r="J26" t="n">
        <v>1</v>
      </c>
      <c r="K26" t="n">
        <v>0</v>
      </c>
      <c r="L26" t="n">
        <v>0</v>
      </c>
      <c r="M26" t="n">
        <v>0</v>
      </c>
      <c r="N26" t="n">
        <v>0</v>
      </c>
      <c r="O26" t="n">
        <v>1</v>
      </c>
      <c r="P26" t="n">
        <v>0</v>
      </c>
      <c r="Q26" t="n">
        <v>2</v>
      </c>
      <c r="R26" s="2" t="inlineStr">
        <is>
          <t>Loppstarr
Blåsippa</t>
        </is>
      </c>
      <c r="S26">
        <f>HYPERLINK("https://klasma.github.io/Logging_1880/artfynd/A 32782-2022 artfynd.xlsx", "A 32782-2022")</f>
        <v/>
      </c>
      <c r="T26">
        <f>HYPERLINK("https://klasma.github.io/Logging_1880/kartor/A 32782-2022 karta.png", "A 32782-2022")</f>
        <v/>
      </c>
      <c r="V26">
        <f>HYPERLINK("https://klasma.github.io/Logging_1880/klagomål/A 32782-2022 FSC-klagomål.docx", "A 32782-2022")</f>
        <v/>
      </c>
      <c r="W26">
        <f>HYPERLINK("https://klasma.github.io/Logging_1880/klagomålsmail/A 32782-2022 FSC-klagomål mail.docx", "A 32782-2022")</f>
        <v/>
      </c>
      <c r="X26">
        <f>HYPERLINK("https://klasma.github.io/Logging_1880/tillsyn/A 32782-2022 tillsynsbegäran.docx", "A 32782-2022")</f>
        <v/>
      </c>
      <c r="Y26">
        <f>HYPERLINK("https://klasma.github.io/Logging_1880/tillsynsmail/A 32782-2022 tillsynsbegäran mail.docx", "A 32782-2022")</f>
        <v/>
      </c>
    </row>
    <row r="27" ht="15" customHeight="1">
      <c r="A27" t="inlineStr">
        <is>
          <t>A 49552-2022</t>
        </is>
      </c>
      <c r="B27" s="1" t="n">
        <v>44862.31013888889</v>
      </c>
      <c r="C27" s="1" t="n">
        <v>45884</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13395-2024</t>
        </is>
      </c>
      <c r="B28" s="1" t="n">
        <v>45387.42296296296</v>
      </c>
      <c r="C28" s="1" t="n">
        <v>45884</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13458-2024</t>
        </is>
      </c>
      <c r="B29" s="1" t="n">
        <v>45387.54642361111</v>
      </c>
      <c r="C29" s="1" t="n">
        <v>45884</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14956-2025</t>
        </is>
      </c>
      <c r="B30" s="1" t="n">
        <v>45743.58409722222</v>
      </c>
      <c r="C30" s="1" t="n">
        <v>45884</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7608-2024</t>
        </is>
      </c>
      <c r="B31" s="1" t="n">
        <v>45348</v>
      </c>
      <c r="C31" s="1" t="n">
        <v>45884</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45884</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14173-2024</t>
        </is>
      </c>
      <c r="B33" s="1" t="n">
        <v>45393.2716087963</v>
      </c>
      <c r="C33" s="1" t="n">
        <v>45884</v>
      </c>
      <c r="D33" t="inlineStr">
        <is>
          <t>ÖREBRO LÄN</t>
        </is>
      </c>
      <c r="E33" t="inlineStr">
        <is>
          <t>ÖREBRO</t>
        </is>
      </c>
      <c r="G33" t="n">
        <v>0.9</v>
      </c>
      <c r="H33" t="n">
        <v>2</v>
      </c>
      <c r="I33" t="n">
        <v>0</v>
      </c>
      <c r="J33" t="n">
        <v>0</v>
      </c>
      <c r="K33" t="n">
        <v>0</v>
      </c>
      <c r="L33" t="n">
        <v>0</v>
      </c>
      <c r="M33" t="n">
        <v>0</v>
      </c>
      <c r="N33" t="n">
        <v>0</v>
      </c>
      <c r="O33" t="n">
        <v>0</v>
      </c>
      <c r="P33" t="n">
        <v>0</v>
      </c>
      <c r="Q33" t="n">
        <v>2</v>
      </c>
      <c r="R33" s="2" t="inlineStr">
        <is>
          <t>Grönsiska
Kungsfågel</t>
        </is>
      </c>
      <c r="S33">
        <f>HYPERLINK("https://klasma.github.io/Logging_1880/artfynd/A 14173-2024 artfynd.xlsx", "A 14173-2024")</f>
        <v/>
      </c>
      <c r="T33">
        <f>HYPERLINK("https://klasma.github.io/Logging_1880/kartor/A 14173-2024 karta.png", "A 14173-2024")</f>
        <v/>
      </c>
      <c r="V33">
        <f>HYPERLINK("https://klasma.github.io/Logging_1880/klagomål/A 14173-2024 FSC-klagomål.docx", "A 14173-2024")</f>
        <v/>
      </c>
      <c r="W33">
        <f>HYPERLINK("https://klasma.github.io/Logging_1880/klagomålsmail/A 14173-2024 FSC-klagomål mail.docx", "A 14173-2024")</f>
        <v/>
      </c>
      <c r="X33">
        <f>HYPERLINK("https://klasma.github.io/Logging_1880/tillsyn/A 14173-2024 tillsynsbegäran.docx", "A 14173-2024")</f>
        <v/>
      </c>
      <c r="Y33">
        <f>HYPERLINK("https://klasma.github.io/Logging_1880/tillsynsmail/A 14173-2024 tillsynsbegäran mail.docx", "A 14173-2024")</f>
        <v/>
      </c>
      <c r="Z33">
        <f>HYPERLINK("https://klasma.github.io/Logging_1880/fåglar/A 14173-2024 prioriterade fågelarter.docx", "A 14173-2024")</f>
        <v/>
      </c>
    </row>
    <row r="34" ht="15" customHeight="1">
      <c r="A34" t="inlineStr">
        <is>
          <t>A 22577-2024</t>
        </is>
      </c>
      <c r="B34" s="1" t="n">
        <v>45447</v>
      </c>
      <c r="C34" s="1" t="n">
        <v>45884</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37019-2024</t>
        </is>
      </c>
      <c r="B35" s="1" t="n">
        <v>45539.37905092593</v>
      </c>
      <c r="C35" s="1" t="n">
        <v>45884</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8267-2021</t>
        </is>
      </c>
      <c r="B36" s="1" t="n">
        <v>44244</v>
      </c>
      <c r="C36" s="1" t="n">
        <v>45884</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30409-2025</t>
        </is>
      </c>
      <c r="B37" s="1" t="n">
        <v>45827.59738425926</v>
      </c>
      <c r="C37" s="1" t="n">
        <v>45884</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29704-2022</t>
        </is>
      </c>
      <c r="B38" s="1" t="n">
        <v>44755</v>
      </c>
      <c r="C38" s="1" t="n">
        <v>45884</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45884</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45884</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4014-2021</t>
        </is>
      </c>
      <c r="B41" s="1" t="n">
        <v>44218</v>
      </c>
      <c r="C41" s="1" t="n">
        <v>45884</v>
      </c>
      <c r="D41" t="inlineStr">
        <is>
          <t>ÖREBRO LÄN</t>
        </is>
      </c>
      <c r="E41" t="inlineStr">
        <is>
          <t>ÖREBRO</t>
        </is>
      </c>
      <c r="G41" t="n">
        <v>10.5</v>
      </c>
      <c r="H41" t="n">
        <v>0</v>
      </c>
      <c r="I41" t="n">
        <v>1</v>
      </c>
      <c r="J41" t="n">
        <v>0</v>
      </c>
      <c r="K41" t="n">
        <v>0</v>
      </c>
      <c r="L41" t="n">
        <v>0</v>
      </c>
      <c r="M41" t="n">
        <v>0</v>
      </c>
      <c r="N41" t="n">
        <v>0</v>
      </c>
      <c r="O41" t="n">
        <v>0</v>
      </c>
      <c r="P41" t="n">
        <v>0</v>
      </c>
      <c r="Q41" t="n">
        <v>1</v>
      </c>
      <c r="R41" s="2" t="inlineStr">
        <is>
          <t>Springkorn</t>
        </is>
      </c>
      <c r="S41">
        <f>HYPERLINK("https://klasma.github.io/Logging_1880/artfynd/A 4014-2021 artfynd.xlsx", "A 4014-2021")</f>
        <v/>
      </c>
      <c r="T41">
        <f>HYPERLINK("https://klasma.github.io/Logging_1880/kartor/A 4014-2021 karta.png", "A 4014-2021")</f>
        <v/>
      </c>
      <c r="V41">
        <f>HYPERLINK("https://klasma.github.io/Logging_1880/klagomål/A 4014-2021 FSC-klagomål.docx", "A 4014-2021")</f>
        <v/>
      </c>
      <c r="W41">
        <f>HYPERLINK("https://klasma.github.io/Logging_1880/klagomålsmail/A 4014-2021 FSC-klagomål mail.docx", "A 4014-2021")</f>
        <v/>
      </c>
      <c r="X41">
        <f>HYPERLINK("https://klasma.github.io/Logging_1880/tillsyn/A 4014-2021 tillsynsbegäran.docx", "A 4014-2021")</f>
        <v/>
      </c>
      <c r="Y41">
        <f>HYPERLINK("https://klasma.github.io/Logging_1880/tillsynsmail/A 4014-2021 tillsynsbegäran mail.docx", "A 4014-2021")</f>
        <v/>
      </c>
    </row>
    <row r="42" ht="15" customHeight="1">
      <c r="A42" t="inlineStr">
        <is>
          <t>A 44744-2024</t>
        </is>
      </c>
      <c r="B42" s="1" t="n">
        <v>45574.59789351852</v>
      </c>
      <c r="C42" s="1" t="n">
        <v>45884</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20032-2023</t>
        </is>
      </c>
      <c r="B43" s="1" t="n">
        <v>45054</v>
      </c>
      <c r="C43" s="1" t="n">
        <v>45884</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31695-2024</t>
        </is>
      </c>
      <c r="B44" s="1" t="n">
        <v>45508</v>
      </c>
      <c r="C44" s="1" t="n">
        <v>45884</v>
      </c>
      <c r="D44" t="inlineStr">
        <is>
          <t>ÖREBRO LÄN</t>
        </is>
      </c>
      <c r="E44" t="inlineStr">
        <is>
          <t>ÖREBRO</t>
        </is>
      </c>
      <c r="G44" t="n">
        <v>1.3</v>
      </c>
      <c r="H44" t="n">
        <v>1</v>
      </c>
      <c r="I44" t="n">
        <v>1</v>
      </c>
      <c r="J44" t="n">
        <v>0</v>
      </c>
      <c r="K44" t="n">
        <v>0</v>
      </c>
      <c r="L44" t="n">
        <v>0</v>
      </c>
      <c r="M44" t="n">
        <v>0</v>
      </c>
      <c r="N44" t="n">
        <v>0</v>
      </c>
      <c r="O44" t="n">
        <v>0</v>
      </c>
      <c r="P44" t="n">
        <v>0</v>
      </c>
      <c r="Q44" t="n">
        <v>1</v>
      </c>
      <c r="R44" s="2" t="inlineStr">
        <is>
          <t>Skogsknipprot</t>
        </is>
      </c>
      <c r="S44">
        <f>HYPERLINK("https://klasma.github.io/Logging_1880/artfynd/A 31695-2024 artfynd.xlsx", "A 31695-2024")</f>
        <v/>
      </c>
      <c r="T44">
        <f>HYPERLINK("https://klasma.github.io/Logging_1880/kartor/A 31695-2024 karta.png", "A 31695-2024")</f>
        <v/>
      </c>
      <c r="V44">
        <f>HYPERLINK("https://klasma.github.io/Logging_1880/klagomål/A 31695-2024 FSC-klagomål.docx", "A 31695-2024")</f>
        <v/>
      </c>
      <c r="W44">
        <f>HYPERLINK("https://klasma.github.io/Logging_1880/klagomålsmail/A 31695-2024 FSC-klagomål mail.docx", "A 31695-2024")</f>
        <v/>
      </c>
      <c r="X44">
        <f>HYPERLINK("https://klasma.github.io/Logging_1880/tillsyn/A 31695-2024 tillsynsbegäran.docx", "A 31695-2024")</f>
        <v/>
      </c>
      <c r="Y44">
        <f>HYPERLINK("https://klasma.github.io/Logging_1880/tillsynsmail/A 31695-2024 tillsynsbegäran mail.docx", "A 31695-2024")</f>
        <v/>
      </c>
    </row>
    <row r="45" ht="15" customHeight="1">
      <c r="A45" t="inlineStr">
        <is>
          <t>A 5097-2023</t>
        </is>
      </c>
      <c r="B45" s="1" t="n">
        <v>44958</v>
      </c>
      <c r="C45" s="1" t="n">
        <v>45884</v>
      </c>
      <c r="D45" t="inlineStr">
        <is>
          <t>ÖREBRO LÄN</t>
        </is>
      </c>
      <c r="E45" t="inlineStr">
        <is>
          <t>ÖREBRO</t>
        </is>
      </c>
      <c r="G45" t="n">
        <v>3.6</v>
      </c>
      <c r="H45" t="n">
        <v>1</v>
      </c>
      <c r="I45" t="n">
        <v>0</v>
      </c>
      <c r="J45" t="n">
        <v>0</v>
      </c>
      <c r="K45" t="n">
        <v>0</v>
      </c>
      <c r="L45" t="n">
        <v>0</v>
      </c>
      <c r="M45" t="n">
        <v>0</v>
      </c>
      <c r="N45" t="n">
        <v>0</v>
      </c>
      <c r="O45" t="n">
        <v>0</v>
      </c>
      <c r="P45" t="n">
        <v>0</v>
      </c>
      <c r="Q45" t="n">
        <v>1</v>
      </c>
      <c r="R45" s="2" t="inlineStr">
        <is>
          <t>Grönvit nattviol</t>
        </is>
      </c>
      <c r="S45">
        <f>HYPERLINK("https://klasma.github.io/Logging_1880/artfynd/A 5097-2023 artfynd.xlsx", "A 5097-2023")</f>
        <v/>
      </c>
      <c r="T45">
        <f>HYPERLINK("https://klasma.github.io/Logging_1880/kartor/A 5097-2023 karta.png", "A 5097-2023")</f>
        <v/>
      </c>
      <c r="V45">
        <f>HYPERLINK("https://klasma.github.io/Logging_1880/klagomål/A 5097-2023 FSC-klagomål.docx", "A 5097-2023")</f>
        <v/>
      </c>
      <c r="W45">
        <f>HYPERLINK("https://klasma.github.io/Logging_1880/klagomålsmail/A 5097-2023 FSC-klagomål mail.docx", "A 5097-2023")</f>
        <v/>
      </c>
      <c r="X45">
        <f>HYPERLINK("https://klasma.github.io/Logging_1880/tillsyn/A 5097-2023 tillsynsbegäran.docx", "A 5097-2023")</f>
        <v/>
      </c>
      <c r="Y45">
        <f>HYPERLINK("https://klasma.github.io/Logging_1880/tillsynsmail/A 5097-2023 tillsynsbegäran mail.docx", "A 5097-2023")</f>
        <v/>
      </c>
    </row>
    <row r="46" ht="15" customHeight="1">
      <c r="A46" t="inlineStr">
        <is>
          <t>A 26890-2022</t>
        </is>
      </c>
      <c r="B46" s="1" t="n">
        <v>44740</v>
      </c>
      <c r="C46" s="1" t="n">
        <v>45884</v>
      </c>
      <c r="D46" t="inlineStr">
        <is>
          <t>ÖREBRO LÄN</t>
        </is>
      </c>
      <c r="E46" t="inlineStr">
        <is>
          <t>ÖREBRO</t>
        </is>
      </c>
      <c r="G46" t="n">
        <v>4.2</v>
      </c>
      <c r="H46" t="n">
        <v>1</v>
      </c>
      <c r="I46" t="n">
        <v>0</v>
      </c>
      <c r="J46" t="n">
        <v>0</v>
      </c>
      <c r="K46" t="n">
        <v>1</v>
      </c>
      <c r="L46" t="n">
        <v>0</v>
      </c>
      <c r="M46" t="n">
        <v>0</v>
      </c>
      <c r="N46" t="n">
        <v>0</v>
      </c>
      <c r="O46" t="n">
        <v>1</v>
      </c>
      <c r="P46" t="n">
        <v>1</v>
      </c>
      <c r="Q46" t="n">
        <v>1</v>
      </c>
      <c r="R46" s="2" t="inlineStr">
        <is>
          <t>Hällebräcka</t>
        </is>
      </c>
      <c r="S46">
        <f>HYPERLINK("https://klasma.github.io/Logging_1880/artfynd/A 26890-2022 artfynd.xlsx", "A 26890-2022")</f>
        <v/>
      </c>
      <c r="T46">
        <f>HYPERLINK("https://klasma.github.io/Logging_1880/kartor/A 26890-2022 karta.png", "A 26890-2022")</f>
        <v/>
      </c>
      <c r="V46">
        <f>HYPERLINK("https://klasma.github.io/Logging_1880/klagomål/A 26890-2022 FSC-klagomål.docx", "A 26890-2022")</f>
        <v/>
      </c>
      <c r="W46">
        <f>HYPERLINK("https://klasma.github.io/Logging_1880/klagomålsmail/A 26890-2022 FSC-klagomål mail.docx", "A 26890-2022")</f>
        <v/>
      </c>
      <c r="X46">
        <f>HYPERLINK("https://klasma.github.io/Logging_1880/tillsyn/A 26890-2022 tillsynsbegäran.docx", "A 26890-2022")</f>
        <v/>
      </c>
      <c r="Y46">
        <f>HYPERLINK("https://klasma.github.io/Logging_1880/tillsynsmail/A 26890-2022 tillsynsbegäran mail.docx", "A 26890-2022")</f>
        <v/>
      </c>
    </row>
    <row r="47" ht="15" customHeight="1">
      <c r="A47" t="inlineStr">
        <is>
          <t>A 43332-2022</t>
        </is>
      </c>
      <c r="B47" s="1" t="n">
        <v>44834</v>
      </c>
      <c r="C47" s="1" t="n">
        <v>45884</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32105-2023</t>
        </is>
      </c>
      <c r="B48" s="1" t="n">
        <v>45119</v>
      </c>
      <c r="C48" s="1" t="n">
        <v>45884</v>
      </c>
      <c r="D48" t="inlineStr">
        <is>
          <t>ÖREBRO LÄN</t>
        </is>
      </c>
      <c r="E48" t="inlineStr">
        <is>
          <t>ÖREBRO</t>
        </is>
      </c>
      <c r="G48" t="n">
        <v>1.3</v>
      </c>
      <c r="H48" t="n">
        <v>1</v>
      </c>
      <c r="I48" t="n">
        <v>0</v>
      </c>
      <c r="J48" t="n">
        <v>1</v>
      </c>
      <c r="K48" t="n">
        <v>0</v>
      </c>
      <c r="L48" t="n">
        <v>0</v>
      </c>
      <c r="M48" t="n">
        <v>0</v>
      </c>
      <c r="N48" t="n">
        <v>0</v>
      </c>
      <c r="O48" t="n">
        <v>1</v>
      </c>
      <c r="P48" t="n">
        <v>0</v>
      </c>
      <c r="Q48" t="n">
        <v>1</v>
      </c>
      <c r="R48" s="2" t="inlineStr">
        <is>
          <t>Rödvingetrast</t>
        </is>
      </c>
      <c r="S48">
        <f>HYPERLINK("https://klasma.github.io/Logging_1880/artfynd/A 32105-2023 artfynd.xlsx", "A 32105-2023")</f>
        <v/>
      </c>
      <c r="T48">
        <f>HYPERLINK("https://klasma.github.io/Logging_1880/kartor/A 32105-2023 karta.png", "A 32105-2023")</f>
        <v/>
      </c>
      <c r="V48">
        <f>HYPERLINK("https://klasma.github.io/Logging_1880/klagomål/A 32105-2023 FSC-klagomål.docx", "A 32105-2023")</f>
        <v/>
      </c>
      <c r="W48">
        <f>HYPERLINK("https://klasma.github.io/Logging_1880/klagomålsmail/A 32105-2023 FSC-klagomål mail.docx", "A 32105-2023")</f>
        <v/>
      </c>
      <c r="X48">
        <f>HYPERLINK("https://klasma.github.io/Logging_1880/tillsyn/A 32105-2023 tillsynsbegäran.docx", "A 32105-2023")</f>
        <v/>
      </c>
      <c r="Y48">
        <f>HYPERLINK("https://klasma.github.io/Logging_1880/tillsynsmail/A 32105-2023 tillsynsbegäran mail.docx", "A 32105-2023")</f>
        <v/>
      </c>
      <c r="Z48">
        <f>HYPERLINK("https://klasma.github.io/Logging_1880/fåglar/A 32105-2023 prioriterade fågelarter.docx", "A 32105-2023")</f>
        <v/>
      </c>
    </row>
    <row r="49" ht="15" customHeight="1">
      <c r="A49" t="inlineStr">
        <is>
          <t>A 20247-2023</t>
        </is>
      </c>
      <c r="B49" s="1" t="n">
        <v>45055</v>
      </c>
      <c r="C49" s="1" t="n">
        <v>45884</v>
      </c>
      <c r="D49" t="inlineStr">
        <is>
          <t>ÖREBRO LÄN</t>
        </is>
      </c>
      <c r="E49" t="inlineStr">
        <is>
          <t>ÖREBRO</t>
        </is>
      </c>
      <c r="G49" t="n">
        <v>3</v>
      </c>
      <c r="H49" t="n">
        <v>1</v>
      </c>
      <c r="I49" t="n">
        <v>0</v>
      </c>
      <c r="J49" t="n">
        <v>0</v>
      </c>
      <c r="K49" t="n">
        <v>0</v>
      </c>
      <c r="L49" t="n">
        <v>0</v>
      </c>
      <c r="M49" t="n">
        <v>0</v>
      </c>
      <c r="N49" t="n">
        <v>0</v>
      </c>
      <c r="O49" t="n">
        <v>0</v>
      </c>
      <c r="P49" t="n">
        <v>0</v>
      </c>
      <c r="Q49" t="n">
        <v>1</v>
      </c>
      <c r="R49" s="2" t="inlineStr">
        <is>
          <t>Större vattensalamander</t>
        </is>
      </c>
      <c r="S49">
        <f>HYPERLINK("https://klasma.github.io/Logging_1880/artfynd/A 20247-2023 artfynd.xlsx", "A 20247-2023")</f>
        <v/>
      </c>
      <c r="T49">
        <f>HYPERLINK("https://klasma.github.io/Logging_1880/kartor/A 20247-2023 karta.png", "A 20247-2023")</f>
        <v/>
      </c>
      <c r="V49">
        <f>HYPERLINK("https://klasma.github.io/Logging_1880/klagomål/A 20247-2023 FSC-klagomål.docx", "A 20247-2023")</f>
        <v/>
      </c>
      <c r="W49">
        <f>HYPERLINK("https://klasma.github.io/Logging_1880/klagomålsmail/A 20247-2023 FSC-klagomål mail.docx", "A 20247-2023")</f>
        <v/>
      </c>
      <c r="X49">
        <f>HYPERLINK("https://klasma.github.io/Logging_1880/tillsyn/A 20247-2023 tillsynsbegäran.docx", "A 20247-2023")</f>
        <v/>
      </c>
      <c r="Y49">
        <f>HYPERLINK("https://klasma.github.io/Logging_1880/tillsynsmail/A 20247-2023 tillsynsbegäran mail.docx", "A 20247-2023")</f>
        <v/>
      </c>
    </row>
    <row r="50" ht="15" customHeight="1">
      <c r="A50" t="inlineStr">
        <is>
          <t>A 22604-2024</t>
        </is>
      </c>
      <c r="B50" s="1" t="n">
        <v>45447</v>
      </c>
      <c r="C50" s="1" t="n">
        <v>45884</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11501-2025</t>
        </is>
      </c>
      <c r="B51" s="1" t="n">
        <v>45726</v>
      </c>
      <c r="C51" s="1" t="n">
        <v>45884</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58966-2020</t>
        </is>
      </c>
      <c r="B52" s="1" t="n">
        <v>44146</v>
      </c>
      <c r="C52" s="1" t="n">
        <v>45884</v>
      </c>
      <c r="D52" t="inlineStr">
        <is>
          <t>ÖREBRO LÄN</t>
        </is>
      </c>
      <c r="E52" t="inlineStr">
        <is>
          <t>ÖREBRO</t>
        </is>
      </c>
      <c r="F52" t="inlineStr">
        <is>
          <t>Övriga Aktiebolag</t>
        </is>
      </c>
      <c r="G52" t="n">
        <v>1.2</v>
      </c>
      <c r="H52" t="n">
        <v>1</v>
      </c>
      <c r="I52" t="n">
        <v>0</v>
      </c>
      <c r="J52" t="n">
        <v>1</v>
      </c>
      <c r="K52" t="n">
        <v>0</v>
      </c>
      <c r="L52" t="n">
        <v>0</v>
      </c>
      <c r="M52" t="n">
        <v>0</v>
      </c>
      <c r="N52" t="n">
        <v>0</v>
      </c>
      <c r="O52" t="n">
        <v>1</v>
      </c>
      <c r="P52" t="n">
        <v>0</v>
      </c>
      <c r="Q52" t="n">
        <v>1</v>
      </c>
      <c r="R52" s="2" t="inlineStr">
        <is>
          <t>Kråka</t>
        </is>
      </c>
      <c r="S52">
        <f>HYPERLINK("https://klasma.github.io/Logging_1880/artfynd/A 58966-2020 artfynd.xlsx", "A 58966-2020")</f>
        <v/>
      </c>
      <c r="T52">
        <f>HYPERLINK("https://klasma.github.io/Logging_1880/kartor/A 58966-2020 karta.png", "A 58966-2020")</f>
        <v/>
      </c>
      <c r="V52">
        <f>HYPERLINK("https://klasma.github.io/Logging_1880/klagomål/A 58966-2020 FSC-klagomål.docx", "A 58966-2020")</f>
        <v/>
      </c>
      <c r="W52">
        <f>HYPERLINK("https://klasma.github.io/Logging_1880/klagomålsmail/A 58966-2020 FSC-klagomål mail.docx", "A 58966-2020")</f>
        <v/>
      </c>
      <c r="X52">
        <f>HYPERLINK("https://klasma.github.io/Logging_1880/tillsyn/A 58966-2020 tillsynsbegäran.docx", "A 58966-2020")</f>
        <v/>
      </c>
      <c r="Y52">
        <f>HYPERLINK("https://klasma.github.io/Logging_1880/tillsynsmail/A 58966-2020 tillsynsbegäran mail.docx", "A 58966-2020")</f>
        <v/>
      </c>
      <c r="Z52">
        <f>HYPERLINK("https://klasma.github.io/Logging_1880/fåglar/A 58966-2020 prioriterade fågelarter.docx", "A 58966-2020")</f>
        <v/>
      </c>
    </row>
    <row r="53" ht="15" customHeight="1">
      <c r="A53" t="inlineStr">
        <is>
          <t>A 44389-2021</t>
        </is>
      </c>
      <c r="B53" s="1" t="n">
        <v>44435</v>
      </c>
      <c r="C53" s="1" t="n">
        <v>45884</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57920-2024</t>
        </is>
      </c>
      <c r="B54" s="1" t="n">
        <v>45631.50894675926</v>
      </c>
      <c r="C54" s="1" t="n">
        <v>45884</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55904-2024</t>
        </is>
      </c>
      <c r="B55" s="1" t="n">
        <v>45623.58190972222</v>
      </c>
      <c r="C55" s="1" t="n">
        <v>45884</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23998-2025</t>
        </is>
      </c>
      <c r="B56" s="1" t="n">
        <v>45796.42209490741</v>
      </c>
      <c r="C56" s="1" t="n">
        <v>45884</v>
      </c>
      <c r="D56" t="inlineStr">
        <is>
          <t>ÖREBRO LÄN</t>
        </is>
      </c>
      <c r="E56" t="inlineStr">
        <is>
          <t>ÖREBRO</t>
        </is>
      </c>
      <c r="G56" t="n">
        <v>4.7</v>
      </c>
      <c r="H56" t="n">
        <v>0</v>
      </c>
      <c r="I56" t="n">
        <v>1</v>
      </c>
      <c r="J56" t="n">
        <v>0</v>
      </c>
      <c r="K56" t="n">
        <v>0</v>
      </c>
      <c r="L56" t="n">
        <v>0</v>
      </c>
      <c r="M56" t="n">
        <v>0</v>
      </c>
      <c r="N56" t="n">
        <v>0</v>
      </c>
      <c r="O56" t="n">
        <v>0</v>
      </c>
      <c r="P56" t="n">
        <v>0</v>
      </c>
      <c r="Q56" t="n">
        <v>1</v>
      </c>
      <c r="R56" s="2" t="inlineStr">
        <is>
          <t>Kambräken</t>
        </is>
      </c>
      <c r="S56">
        <f>HYPERLINK("https://klasma.github.io/Logging_1880/artfynd/A 23998-2025 artfynd.xlsx", "A 23998-2025")</f>
        <v/>
      </c>
      <c r="T56">
        <f>HYPERLINK("https://klasma.github.io/Logging_1880/kartor/A 23998-2025 karta.png", "A 23998-2025")</f>
        <v/>
      </c>
      <c r="V56">
        <f>HYPERLINK("https://klasma.github.io/Logging_1880/klagomål/A 23998-2025 FSC-klagomål.docx", "A 23998-2025")</f>
        <v/>
      </c>
      <c r="W56">
        <f>HYPERLINK("https://klasma.github.io/Logging_1880/klagomålsmail/A 23998-2025 FSC-klagomål mail.docx", "A 23998-2025")</f>
        <v/>
      </c>
      <c r="X56">
        <f>HYPERLINK("https://klasma.github.io/Logging_1880/tillsyn/A 23998-2025 tillsynsbegäran.docx", "A 23998-2025")</f>
        <v/>
      </c>
      <c r="Y56">
        <f>HYPERLINK("https://klasma.github.io/Logging_1880/tillsynsmail/A 23998-2025 tillsynsbegäran mail.docx", "A 23998-2025")</f>
        <v/>
      </c>
    </row>
    <row r="57" ht="15" customHeight="1">
      <c r="A57" t="inlineStr">
        <is>
          <t>A 2077-2023</t>
        </is>
      </c>
      <c r="B57" s="1" t="n">
        <v>44939</v>
      </c>
      <c r="C57" s="1" t="n">
        <v>45884</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15621-2021</t>
        </is>
      </c>
      <c r="B58" s="1" t="n">
        <v>44285</v>
      </c>
      <c r="C58" s="1" t="n">
        <v>45884</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30725-2023</t>
        </is>
      </c>
      <c r="B59" s="1" t="n">
        <v>45112.61451388889</v>
      </c>
      <c r="C59" s="1" t="n">
        <v>45884</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28936-2025</t>
        </is>
      </c>
      <c r="B60" s="1" t="n">
        <v>45820.69287037037</v>
      </c>
      <c r="C60" s="1" t="n">
        <v>45884</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32204-2025</t>
        </is>
      </c>
      <c r="B61" s="1" t="n">
        <v>45835.58074074074</v>
      </c>
      <c r="C61" s="1" t="n">
        <v>45884</v>
      </c>
      <c r="D61" t="inlineStr">
        <is>
          <t>ÖREBRO LÄN</t>
        </is>
      </c>
      <c r="E61" t="inlineStr">
        <is>
          <t>ÖREBRO</t>
        </is>
      </c>
      <c r="G61" t="n">
        <v>3.4</v>
      </c>
      <c r="H61" t="n">
        <v>1</v>
      </c>
      <c r="I61" t="n">
        <v>0</v>
      </c>
      <c r="J61" t="n">
        <v>0</v>
      </c>
      <c r="K61" t="n">
        <v>0</v>
      </c>
      <c r="L61" t="n">
        <v>0</v>
      </c>
      <c r="M61" t="n">
        <v>0</v>
      </c>
      <c r="N61" t="n">
        <v>0</v>
      </c>
      <c r="O61" t="n">
        <v>0</v>
      </c>
      <c r="P61" t="n">
        <v>0</v>
      </c>
      <c r="Q61" t="n">
        <v>1</v>
      </c>
      <c r="R61" s="2" t="inlineStr">
        <is>
          <t>Tjäder</t>
        </is>
      </c>
      <c r="S61">
        <f>HYPERLINK("https://klasma.github.io/Logging_1880/artfynd/A 32204-2025 artfynd.xlsx", "A 32204-2025")</f>
        <v/>
      </c>
      <c r="T61">
        <f>HYPERLINK("https://klasma.github.io/Logging_1880/kartor/A 32204-2025 karta.png", "A 32204-2025")</f>
        <v/>
      </c>
      <c r="V61">
        <f>HYPERLINK("https://klasma.github.io/Logging_1880/klagomål/A 32204-2025 FSC-klagomål.docx", "A 32204-2025")</f>
        <v/>
      </c>
      <c r="W61">
        <f>HYPERLINK("https://klasma.github.io/Logging_1880/klagomålsmail/A 32204-2025 FSC-klagomål mail.docx", "A 32204-2025")</f>
        <v/>
      </c>
      <c r="X61">
        <f>HYPERLINK("https://klasma.github.io/Logging_1880/tillsyn/A 32204-2025 tillsynsbegäran.docx", "A 32204-2025")</f>
        <v/>
      </c>
      <c r="Y61">
        <f>HYPERLINK("https://klasma.github.io/Logging_1880/tillsynsmail/A 32204-2025 tillsynsbegäran mail.docx", "A 32204-2025")</f>
        <v/>
      </c>
      <c r="Z61">
        <f>HYPERLINK("https://klasma.github.io/Logging_1880/fåglar/A 32204-2025 prioriterade fågelarter.docx", "A 32204-2025")</f>
        <v/>
      </c>
    </row>
    <row r="62" ht="15" customHeight="1">
      <c r="A62" t="inlineStr">
        <is>
          <t>A 32226-2025</t>
        </is>
      </c>
      <c r="B62" s="1" t="n">
        <v>45835.59478009259</v>
      </c>
      <c r="C62" s="1" t="n">
        <v>45884</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9406-2021</t>
        </is>
      </c>
      <c r="B63" s="1" t="n">
        <v>44251</v>
      </c>
      <c r="C63" s="1" t="n">
        <v>45884</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45884</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45884</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45884</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45884</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45884</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45884</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45884</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45884</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45884</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45884</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45884</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45884</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45884</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45884</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45884</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45884</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45884</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45884</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45884</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45884</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45884</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45884</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45884</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45884</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45884</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45884</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45884</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45884</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45884</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45884</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45884</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45884</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45884</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45884</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45884</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45884</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45884</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45884</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45884</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45884</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45884</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45884</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45884</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45884</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45884</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45884</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45884</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45884</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45884</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45884</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45884</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25660-2021</t>
        </is>
      </c>
      <c r="B115" s="1" t="n">
        <v>44343.5619212963</v>
      </c>
      <c r="C115" s="1" t="n">
        <v>45884</v>
      </c>
      <c r="D115" t="inlineStr">
        <is>
          <t>ÖREBRO LÄN</t>
        </is>
      </c>
      <c r="E115" t="inlineStr">
        <is>
          <t>ÖREBRO</t>
        </is>
      </c>
      <c r="G115" t="n">
        <v>1.8</v>
      </c>
      <c r="H115" t="n">
        <v>0</v>
      </c>
      <c r="I115" t="n">
        <v>0</v>
      </c>
      <c r="J115" t="n">
        <v>0</v>
      </c>
      <c r="K115" t="n">
        <v>0</v>
      </c>
      <c r="L115" t="n">
        <v>0</v>
      </c>
      <c r="M115" t="n">
        <v>0</v>
      </c>
      <c r="N115" t="n">
        <v>0</v>
      </c>
      <c r="O115" t="n">
        <v>0</v>
      </c>
      <c r="P115" t="n">
        <v>0</v>
      </c>
      <c r="Q115" t="n">
        <v>0</v>
      </c>
      <c r="R115" s="2" t="inlineStr"/>
    </row>
    <row r="116" ht="15" customHeight="1">
      <c r="A116" t="inlineStr">
        <is>
          <t>A 70199-2021</t>
        </is>
      </c>
      <c r="B116" s="1" t="n">
        <v>44534.80712962963</v>
      </c>
      <c r="C116" s="1" t="n">
        <v>45884</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26153-2021</t>
        </is>
      </c>
      <c r="B117" s="1" t="n">
        <v>44347</v>
      </c>
      <c r="C117" s="1" t="n">
        <v>45884</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51429-2021</t>
        </is>
      </c>
      <c r="B118" s="1" t="n">
        <v>44461.92744212963</v>
      </c>
      <c r="C118" s="1" t="n">
        <v>45884</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24818-2021</t>
        </is>
      </c>
      <c r="B119" s="1" t="n">
        <v>44340</v>
      </c>
      <c r="C119" s="1" t="n">
        <v>45884</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797-2022</t>
        </is>
      </c>
      <c r="B120" s="1" t="n">
        <v>44566</v>
      </c>
      <c r="C120" s="1" t="n">
        <v>45884</v>
      </c>
      <c r="D120" t="inlineStr">
        <is>
          <t>ÖREBRO LÄN</t>
        </is>
      </c>
      <c r="E120" t="inlineStr">
        <is>
          <t>ÖREBRO</t>
        </is>
      </c>
      <c r="G120" t="n">
        <v>0.1</v>
      </c>
      <c r="H120" t="n">
        <v>0</v>
      </c>
      <c r="I120" t="n">
        <v>0</v>
      </c>
      <c r="J120" t="n">
        <v>0</v>
      </c>
      <c r="K120" t="n">
        <v>0</v>
      </c>
      <c r="L120" t="n">
        <v>0</v>
      </c>
      <c r="M120" t="n">
        <v>0</v>
      </c>
      <c r="N120" t="n">
        <v>0</v>
      </c>
      <c r="O120" t="n">
        <v>0</v>
      </c>
      <c r="P120" t="n">
        <v>0</v>
      </c>
      <c r="Q120" t="n">
        <v>0</v>
      </c>
      <c r="R120" s="2" t="inlineStr"/>
    </row>
    <row r="121" ht="15" customHeight="1">
      <c r="A121" t="inlineStr">
        <is>
          <t>A 42865-2020</t>
        </is>
      </c>
      <c r="B121" s="1" t="n">
        <v>44078</v>
      </c>
      <c r="C121" s="1" t="n">
        <v>45884</v>
      </c>
      <c r="D121" t="inlineStr">
        <is>
          <t>ÖREBRO LÄN</t>
        </is>
      </c>
      <c r="E121" t="inlineStr">
        <is>
          <t>ÖREBRO</t>
        </is>
      </c>
      <c r="G121" t="n">
        <v>5.2</v>
      </c>
      <c r="H121" t="n">
        <v>0</v>
      </c>
      <c r="I121" t="n">
        <v>0</v>
      </c>
      <c r="J121" t="n">
        <v>0</v>
      </c>
      <c r="K121" t="n">
        <v>0</v>
      </c>
      <c r="L121" t="n">
        <v>0</v>
      </c>
      <c r="M121" t="n">
        <v>0</v>
      </c>
      <c r="N121" t="n">
        <v>0</v>
      </c>
      <c r="O121" t="n">
        <v>0</v>
      </c>
      <c r="P121" t="n">
        <v>0</v>
      </c>
      <c r="Q121" t="n">
        <v>0</v>
      </c>
      <c r="R121" s="2" t="inlineStr"/>
    </row>
    <row r="122" ht="15" customHeight="1">
      <c r="A122" t="inlineStr">
        <is>
          <t>A 15571-2021</t>
        </is>
      </c>
      <c r="B122" s="1" t="n">
        <v>44285</v>
      </c>
      <c r="C122" s="1" t="n">
        <v>45884</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45884</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45884</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45884</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35836-2021</t>
        </is>
      </c>
      <c r="B126" s="1" t="n">
        <v>44386</v>
      </c>
      <c r="C126" s="1" t="n">
        <v>45884</v>
      </c>
      <c r="D126" t="inlineStr">
        <is>
          <t>ÖREBRO LÄN</t>
        </is>
      </c>
      <c r="E126" t="inlineStr">
        <is>
          <t>ÖREBRO</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45884</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45884</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45884</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13045-2022</t>
        </is>
      </c>
      <c r="B130" s="1" t="n">
        <v>44643</v>
      </c>
      <c r="C130" s="1" t="n">
        <v>45884</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30760-2022</t>
        </is>
      </c>
      <c r="B131" s="1" t="n">
        <v>44764.51827546296</v>
      </c>
      <c r="C131" s="1" t="n">
        <v>45884</v>
      </c>
      <c r="D131" t="inlineStr">
        <is>
          <t>ÖREBRO LÄN</t>
        </is>
      </c>
      <c r="E131" t="inlineStr">
        <is>
          <t>ÖREBRO</t>
        </is>
      </c>
      <c r="G131" t="n">
        <v>4</v>
      </c>
      <c r="H131" t="n">
        <v>0</v>
      </c>
      <c r="I131" t="n">
        <v>0</v>
      </c>
      <c r="J131" t="n">
        <v>0</v>
      </c>
      <c r="K131" t="n">
        <v>0</v>
      </c>
      <c r="L131" t="n">
        <v>0</v>
      </c>
      <c r="M131" t="n">
        <v>0</v>
      </c>
      <c r="N131" t="n">
        <v>0</v>
      </c>
      <c r="O131" t="n">
        <v>0</v>
      </c>
      <c r="P131" t="n">
        <v>0</v>
      </c>
      <c r="Q131" t="n">
        <v>0</v>
      </c>
      <c r="R131" s="2" t="inlineStr"/>
    </row>
    <row r="132" ht="15" customHeight="1">
      <c r="A132" t="inlineStr">
        <is>
          <t>A 29490-2022</t>
        </is>
      </c>
      <c r="B132" s="1" t="n">
        <v>44753</v>
      </c>
      <c r="C132" s="1" t="n">
        <v>45884</v>
      </c>
      <c r="D132" t="inlineStr">
        <is>
          <t>ÖREBRO LÄN</t>
        </is>
      </c>
      <c r="E132" t="inlineStr">
        <is>
          <t>ÖREBRO</t>
        </is>
      </c>
      <c r="F132" t="inlineStr">
        <is>
          <t>Kommuner</t>
        </is>
      </c>
      <c r="G132" t="n">
        <v>0.3</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45884</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37395-2021</t>
        </is>
      </c>
      <c r="B134" s="1" t="n">
        <v>44398</v>
      </c>
      <c r="C134" s="1" t="n">
        <v>45884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45884</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45884</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58633-2020</t>
        </is>
      </c>
      <c r="B137" s="1" t="n">
        <v>44145</v>
      </c>
      <c r="C137" s="1" t="n">
        <v>45884</v>
      </c>
      <c r="D137" t="inlineStr">
        <is>
          <t>ÖREBRO LÄN</t>
        </is>
      </c>
      <c r="E137" t="inlineStr">
        <is>
          <t>ÖREBRO</t>
        </is>
      </c>
      <c r="G137" t="n">
        <v>1.4</v>
      </c>
      <c r="H137" t="n">
        <v>0</v>
      </c>
      <c r="I137" t="n">
        <v>0</v>
      </c>
      <c r="J137" t="n">
        <v>0</v>
      </c>
      <c r="K137" t="n">
        <v>0</v>
      </c>
      <c r="L137" t="n">
        <v>0</v>
      </c>
      <c r="M137" t="n">
        <v>0</v>
      </c>
      <c r="N137" t="n">
        <v>0</v>
      </c>
      <c r="O137" t="n">
        <v>0</v>
      </c>
      <c r="P137" t="n">
        <v>0</v>
      </c>
      <c r="Q137" t="n">
        <v>0</v>
      </c>
      <c r="R137" s="2" t="inlineStr"/>
    </row>
    <row r="138" ht="15" customHeight="1">
      <c r="A138" t="inlineStr">
        <is>
          <t>A 18321-2022</t>
        </is>
      </c>
      <c r="B138" s="1" t="n">
        <v>44685</v>
      </c>
      <c r="C138" s="1" t="n">
        <v>45884</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64523-2021</t>
        </is>
      </c>
      <c r="B139" s="1" t="n">
        <v>44511</v>
      </c>
      <c r="C139" s="1" t="n">
        <v>45884</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45884</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60150-2020</t>
        </is>
      </c>
      <c r="B141" s="1" t="n">
        <v>44152</v>
      </c>
      <c r="C141" s="1" t="n">
        <v>45884</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16258-2022</t>
        </is>
      </c>
      <c r="B142" s="1" t="n">
        <v>44670</v>
      </c>
      <c r="C142" s="1" t="n">
        <v>45884</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45884</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15422-2022</t>
        </is>
      </c>
      <c r="B144" s="1" t="n">
        <v>44659.63753472222</v>
      </c>
      <c r="C144" s="1" t="n">
        <v>45884</v>
      </c>
      <c r="D144" t="inlineStr">
        <is>
          <t>ÖREBRO LÄN</t>
        </is>
      </c>
      <c r="E144" t="inlineStr">
        <is>
          <t>ÖREBRO</t>
        </is>
      </c>
      <c r="G144" t="n">
        <v>2</v>
      </c>
      <c r="H144" t="n">
        <v>0</v>
      </c>
      <c r="I144" t="n">
        <v>0</v>
      </c>
      <c r="J144" t="n">
        <v>0</v>
      </c>
      <c r="K144" t="n">
        <v>0</v>
      </c>
      <c r="L144" t="n">
        <v>0</v>
      </c>
      <c r="M144" t="n">
        <v>0</v>
      </c>
      <c r="N144" t="n">
        <v>0</v>
      </c>
      <c r="O144" t="n">
        <v>0</v>
      </c>
      <c r="P144" t="n">
        <v>0</v>
      </c>
      <c r="Q144" t="n">
        <v>0</v>
      </c>
      <c r="R144" s="2" t="inlineStr"/>
    </row>
    <row r="145" ht="15" customHeight="1">
      <c r="A145" t="inlineStr">
        <is>
          <t>A 28870-2021</t>
        </is>
      </c>
      <c r="B145" s="1" t="n">
        <v>44357.75265046296</v>
      </c>
      <c r="C145" s="1" t="n">
        <v>45884</v>
      </c>
      <c r="D145" t="inlineStr">
        <is>
          <t>ÖREBRO LÄN</t>
        </is>
      </c>
      <c r="E145" t="inlineStr">
        <is>
          <t>ÖREBRO</t>
        </is>
      </c>
      <c r="F145" t="inlineStr">
        <is>
          <t>Övriga Aktiebolag</t>
        </is>
      </c>
      <c r="G145" t="n">
        <v>2.4</v>
      </c>
      <c r="H145" t="n">
        <v>0</v>
      </c>
      <c r="I145" t="n">
        <v>0</v>
      </c>
      <c r="J145" t="n">
        <v>0</v>
      </c>
      <c r="K145" t="n">
        <v>0</v>
      </c>
      <c r="L145" t="n">
        <v>0</v>
      </c>
      <c r="M145" t="n">
        <v>0</v>
      </c>
      <c r="N145" t="n">
        <v>0</v>
      </c>
      <c r="O145" t="n">
        <v>0</v>
      </c>
      <c r="P145" t="n">
        <v>0</v>
      </c>
      <c r="Q145" t="n">
        <v>0</v>
      </c>
      <c r="R145" s="2" t="inlineStr"/>
    </row>
    <row r="146" ht="15" customHeight="1">
      <c r="A146" t="inlineStr">
        <is>
          <t>A 7117-2021</t>
        </is>
      </c>
      <c r="B146" s="1" t="n">
        <v>44238</v>
      </c>
      <c r="C146" s="1" t="n">
        <v>45884</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62651-2020</t>
        </is>
      </c>
      <c r="B147" s="1" t="n">
        <v>44161</v>
      </c>
      <c r="C147" s="1" t="n">
        <v>45884</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3087-2021</t>
        </is>
      </c>
      <c r="B148" s="1" t="n">
        <v>44216</v>
      </c>
      <c r="C148" s="1" t="n">
        <v>45884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10019-2022</t>
        </is>
      </c>
      <c r="B149" s="1" t="n">
        <v>44621</v>
      </c>
      <c r="C149" s="1" t="n">
        <v>45884</v>
      </c>
      <c r="D149" t="inlineStr">
        <is>
          <t>ÖREBRO LÄN</t>
        </is>
      </c>
      <c r="E149" t="inlineStr">
        <is>
          <t>ÖREBRO</t>
        </is>
      </c>
      <c r="G149" t="n">
        <v>1.1</v>
      </c>
      <c r="H149" t="n">
        <v>0</v>
      </c>
      <c r="I149" t="n">
        <v>0</v>
      </c>
      <c r="J149" t="n">
        <v>0</v>
      </c>
      <c r="K149" t="n">
        <v>0</v>
      </c>
      <c r="L149" t="n">
        <v>0</v>
      </c>
      <c r="M149" t="n">
        <v>0</v>
      </c>
      <c r="N149" t="n">
        <v>0</v>
      </c>
      <c r="O149" t="n">
        <v>0</v>
      </c>
      <c r="P149" t="n">
        <v>0</v>
      </c>
      <c r="Q149" t="n">
        <v>0</v>
      </c>
      <c r="R149" s="2" t="inlineStr"/>
    </row>
    <row r="150" ht="15" customHeight="1">
      <c r="A150" t="inlineStr">
        <is>
          <t>A 57343-2021</t>
        </is>
      </c>
      <c r="B150" s="1" t="n">
        <v>44482</v>
      </c>
      <c r="C150" s="1" t="n">
        <v>45884</v>
      </c>
      <c r="D150" t="inlineStr">
        <is>
          <t>ÖREBRO LÄN</t>
        </is>
      </c>
      <c r="E150" t="inlineStr">
        <is>
          <t>ÖREBRO</t>
        </is>
      </c>
      <c r="G150" t="n">
        <v>3.3</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45884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56138-2020</t>
        </is>
      </c>
      <c r="B152" s="1" t="n">
        <v>44133</v>
      </c>
      <c r="C152" s="1" t="n">
        <v>45884</v>
      </c>
      <c r="D152" t="inlineStr">
        <is>
          <t>ÖREBRO LÄN</t>
        </is>
      </c>
      <c r="E152" t="inlineStr">
        <is>
          <t>ÖREBRO</t>
        </is>
      </c>
      <c r="F152" t="inlineStr">
        <is>
          <t>Allmännings- och besparingsskogar</t>
        </is>
      </c>
      <c r="G152" t="n">
        <v>4.9</v>
      </c>
      <c r="H152" t="n">
        <v>0</v>
      </c>
      <c r="I152" t="n">
        <v>0</v>
      </c>
      <c r="J152" t="n">
        <v>0</v>
      </c>
      <c r="K152" t="n">
        <v>0</v>
      </c>
      <c r="L152" t="n">
        <v>0</v>
      </c>
      <c r="M152" t="n">
        <v>0</v>
      </c>
      <c r="N152" t="n">
        <v>0</v>
      </c>
      <c r="O152" t="n">
        <v>0</v>
      </c>
      <c r="P152" t="n">
        <v>0</v>
      </c>
      <c r="Q152" t="n">
        <v>0</v>
      </c>
      <c r="R152" s="2" t="inlineStr"/>
    </row>
    <row r="153" ht="15" customHeight="1">
      <c r="A153" t="inlineStr">
        <is>
          <t>A 44146-2021</t>
        </is>
      </c>
      <c r="B153" s="1" t="n">
        <v>44434</v>
      </c>
      <c r="C153" s="1" t="n">
        <v>45884</v>
      </c>
      <c r="D153" t="inlineStr">
        <is>
          <t>ÖREBRO LÄN</t>
        </is>
      </c>
      <c r="E153" t="inlineStr">
        <is>
          <t>ÖREBRO</t>
        </is>
      </c>
      <c r="G153" t="n">
        <v>1.7</v>
      </c>
      <c r="H153" t="n">
        <v>0</v>
      </c>
      <c r="I153" t="n">
        <v>0</v>
      </c>
      <c r="J153" t="n">
        <v>0</v>
      </c>
      <c r="K153" t="n">
        <v>0</v>
      </c>
      <c r="L153" t="n">
        <v>0</v>
      </c>
      <c r="M153" t="n">
        <v>0</v>
      </c>
      <c r="N153" t="n">
        <v>0</v>
      </c>
      <c r="O153" t="n">
        <v>0</v>
      </c>
      <c r="P153" t="n">
        <v>0</v>
      </c>
      <c r="Q153" t="n">
        <v>0</v>
      </c>
      <c r="R153" s="2" t="inlineStr"/>
    </row>
    <row r="154" ht="15" customHeight="1">
      <c r="A154" t="inlineStr">
        <is>
          <t>A 26118-2021</t>
        </is>
      </c>
      <c r="B154" s="1" t="n">
        <v>44345</v>
      </c>
      <c r="C154" s="1" t="n">
        <v>45884</v>
      </c>
      <c r="D154" t="inlineStr">
        <is>
          <t>ÖREBRO LÄN</t>
        </is>
      </c>
      <c r="E154" t="inlineStr">
        <is>
          <t>ÖREBRO</t>
        </is>
      </c>
      <c r="G154" t="n">
        <v>2.2</v>
      </c>
      <c r="H154" t="n">
        <v>0</v>
      </c>
      <c r="I154" t="n">
        <v>0</v>
      </c>
      <c r="J154" t="n">
        <v>0</v>
      </c>
      <c r="K154" t="n">
        <v>0</v>
      </c>
      <c r="L154" t="n">
        <v>0</v>
      </c>
      <c r="M154" t="n">
        <v>0</v>
      </c>
      <c r="N154" t="n">
        <v>0</v>
      </c>
      <c r="O154" t="n">
        <v>0</v>
      </c>
      <c r="P154" t="n">
        <v>0</v>
      </c>
      <c r="Q154" t="n">
        <v>0</v>
      </c>
      <c r="R154" s="2" t="inlineStr"/>
    </row>
    <row r="155" ht="15" customHeight="1">
      <c r="A155" t="inlineStr">
        <is>
          <t>A 26119-2021</t>
        </is>
      </c>
      <c r="B155" s="1" t="n">
        <v>44345.33282407407</v>
      </c>
      <c r="C155" s="1" t="n">
        <v>45884</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21567-2022</t>
        </is>
      </c>
      <c r="B156" s="1" t="n">
        <v>44706</v>
      </c>
      <c r="C156" s="1" t="n">
        <v>45884</v>
      </c>
      <c r="D156" t="inlineStr">
        <is>
          <t>ÖREBRO LÄN</t>
        </is>
      </c>
      <c r="E156" t="inlineStr">
        <is>
          <t>ÖREBRO</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18047-2022</t>
        </is>
      </c>
      <c r="B157" s="1" t="n">
        <v>44684</v>
      </c>
      <c r="C157" s="1" t="n">
        <v>45884</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58138-2021</t>
        </is>
      </c>
      <c r="B158" s="1" t="n">
        <v>44487</v>
      </c>
      <c r="C158" s="1" t="n">
        <v>45884</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69613-2020</t>
        </is>
      </c>
      <c r="B159" s="1" t="n">
        <v>44195</v>
      </c>
      <c r="C159" s="1" t="n">
        <v>45884</v>
      </c>
      <c r="D159" t="inlineStr">
        <is>
          <t>ÖREBRO LÄN</t>
        </is>
      </c>
      <c r="E159" t="inlineStr">
        <is>
          <t>ÖREBRO</t>
        </is>
      </c>
      <c r="G159" t="n">
        <v>4.7</v>
      </c>
      <c r="H159" t="n">
        <v>0</v>
      </c>
      <c r="I159" t="n">
        <v>0</v>
      </c>
      <c r="J159" t="n">
        <v>0</v>
      </c>
      <c r="K159" t="n">
        <v>0</v>
      </c>
      <c r="L159" t="n">
        <v>0</v>
      </c>
      <c r="M159" t="n">
        <v>0</v>
      </c>
      <c r="N159" t="n">
        <v>0</v>
      </c>
      <c r="O159" t="n">
        <v>0</v>
      </c>
      <c r="P159" t="n">
        <v>0</v>
      </c>
      <c r="Q159" t="n">
        <v>0</v>
      </c>
      <c r="R159" s="2" t="inlineStr"/>
    </row>
    <row r="160" ht="15" customHeight="1">
      <c r="A160" t="inlineStr">
        <is>
          <t>A 19468-2021</t>
        </is>
      </c>
      <c r="B160" s="1" t="n">
        <v>44311</v>
      </c>
      <c r="C160" s="1" t="n">
        <v>45884</v>
      </c>
      <c r="D160" t="inlineStr">
        <is>
          <t>ÖREBRO LÄN</t>
        </is>
      </c>
      <c r="E160" t="inlineStr">
        <is>
          <t>ÖREBRO</t>
        </is>
      </c>
      <c r="G160" t="n">
        <v>0.9</v>
      </c>
      <c r="H160" t="n">
        <v>0</v>
      </c>
      <c r="I160" t="n">
        <v>0</v>
      </c>
      <c r="J160" t="n">
        <v>0</v>
      </c>
      <c r="K160" t="n">
        <v>0</v>
      </c>
      <c r="L160" t="n">
        <v>0</v>
      </c>
      <c r="M160" t="n">
        <v>0</v>
      </c>
      <c r="N160" t="n">
        <v>0</v>
      </c>
      <c r="O160" t="n">
        <v>0</v>
      </c>
      <c r="P160" t="n">
        <v>0</v>
      </c>
      <c r="Q160" t="n">
        <v>0</v>
      </c>
      <c r="R160" s="2" t="inlineStr"/>
    </row>
    <row r="161" ht="15" customHeight="1">
      <c r="A161" t="inlineStr">
        <is>
          <t>A 51331-2023</t>
        </is>
      </c>
      <c r="B161" s="1" t="n">
        <v>45219</v>
      </c>
      <c r="C161" s="1" t="n">
        <v>45884</v>
      </c>
      <c r="D161" t="inlineStr">
        <is>
          <t>ÖREBRO LÄN</t>
        </is>
      </c>
      <c r="E161" t="inlineStr">
        <is>
          <t>ÖREBRO</t>
        </is>
      </c>
      <c r="F161" t="inlineStr">
        <is>
          <t>Kommuner</t>
        </is>
      </c>
      <c r="G161" t="n">
        <v>1.3</v>
      </c>
      <c r="H161" t="n">
        <v>0</v>
      </c>
      <c r="I161" t="n">
        <v>0</v>
      </c>
      <c r="J161" t="n">
        <v>0</v>
      </c>
      <c r="K161" t="n">
        <v>0</v>
      </c>
      <c r="L161" t="n">
        <v>0</v>
      </c>
      <c r="M161" t="n">
        <v>0</v>
      </c>
      <c r="N161" t="n">
        <v>0</v>
      </c>
      <c r="O161" t="n">
        <v>0</v>
      </c>
      <c r="P161" t="n">
        <v>0</v>
      </c>
      <c r="Q161" t="n">
        <v>0</v>
      </c>
      <c r="R161" s="2" t="inlineStr"/>
    </row>
    <row r="162" ht="15" customHeight="1">
      <c r="A162" t="inlineStr">
        <is>
          <t>A 9362-2022</t>
        </is>
      </c>
      <c r="B162" s="1" t="n">
        <v>44616.59946759259</v>
      </c>
      <c r="C162" s="1" t="n">
        <v>45884</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19553-2023</t>
        </is>
      </c>
      <c r="B163" s="1" t="n">
        <v>45050</v>
      </c>
      <c r="C163" s="1" t="n">
        <v>45884</v>
      </c>
      <c r="D163" t="inlineStr">
        <is>
          <t>ÖREBRO LÄN</t>
        </is>
      </c>
      <c r="E163" t="inlineStr">
        <is>
          <t>ÖREBRO</t>
        </is>
      </c>
      <c r="G163" t="n">
        <v>2.1</v>
      </c>
      <c r="H163" t="n">
        <v>0</v>
      </c>
      <c r="I163" t="n">
        <v>0</v>
      </c>
      <c r="J163" t="n">
        <v>0</v>
      </c>
      <c r="K163" t="n">
        <v>0</v>
      </c>
      <c r="L163" t="n">
        <v>0</v>
      </c>
      <c r="M163" t="n">
        <v>0</v>
      </c>
      <c r="N163" t="n">
        <v>0</v>
      </c>
      <c r="O163" t="n">
        <v>0</v>
      </c>
      <c r="P163" t="n">
        <v>0</v>
      </c>
      <c r="Q163" t="n">
        <v>0</v>
      </c>
      <c r="R163" s="2" t="inlineStr"/>
    </row>
    <row r="164" ht="15" customHeight="1">
      <c r="A164" t="inlineStr">
        <is>
          <t>A 34874-2022</t>
        </is>
      </c>
      <c r="B164" s="1" t="n">
        <v>44796</v>
      </c>
      <c r="C164" s="1" t="n">
        <v>45884</v>
      </c>
      <c r="D164" t="inlineStr">
        <is>
          <t>ÖREBRO LÄN</t>
        </is>
      </c>
      <c r="E164" t="inlineStr">
        <is>
          <t>ÖREBRO</t>
        </is>
      </c>
      <c r="F164" t="inlineStr">
        <is>
          <t>Övriga Aktiebolag</t>
        </is>
      </c>
      <c r="G164" t="n">
        <v>2.3</v>
      </c>
      <c r="H164" t="n">
        <v>0</v>
      </c>
      <c r="I164" t="n">
        <v>0</v>
      </c>
      <c r="J164" t="n">
        <v>0</v>
      </c>
      <c r="K164" t="n">
        <v>0</v>
      </c>
      <c r="L164" t="n">
        <v>0</v>
      </c>
      <c r="M164" t="n">
        <v>0</v>
      </c>
      <c r="N164" t="n">
        <v>0</v>
      </c>
      <c r="O164" t="n">
        <v>0</v>
      </c>
      <c r="P164" t="n">
        <v>0</v>
      </c>
      <c r="Q164" t="n">
        <v>0</v>
      </c>
      <c r="R164" s="2" t="inlineStr"/>
    </row>
    <row r="165" ht="15" customHeight="1">
      <c r="A165" t="inlineStr">
        <is>
          <t>A 16261-2022</t>
        </is>
      </c>
      <c r="B165" s="1" t="n">
        <v>44670</v>
      </c>
      <c r="C165" s="1" t="n">
        <v>45884</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46092-2020</t>
        </is>
      </c>
      <c r="B166" s="1" t="n">
        <v>44091</v>
      </c>
      <c r="C166" s="1" t="n">
        <v>45884</v>
      </c>
      <c r="D166" t="inlineStr">
        <is>
          <t>ÖREBRO LÄN</t>
        </is>
      </c>
      <c r="E166" t="inlineStr">
        <is>
          <t>ÖREBRO</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44165-2022</t>
        </is>
      </c>
      <c r="B167" s="1" t="n">
        <v>44839</v>
      </c>
      <c r="C167" s="1" t="n">
        <v>45884</v>
      </c>
      <c r="D167" t="inlineStr">
        <is>
          <t>ÖREBRO LÄN</t>
        </is>
      </c>
      <c r="E167" t="inlineStr">
        <is>
          <t>ÖREBRO</t>
        </is>
      </c>
      <c r="G167" t="n">
        <v>0.5</v>
      </c>
      <c r="H167" t="n">
        <v>0</v>
      </c>
      <c r="I167" t="n">
        <v>0</v>
      </c>
      <c r="J167" t="n">
        <v>0</v>
      </c>
      <c r="K167" t="n">
        <v>0</v>
      </c>
      <c r="L167" t="n">
        <v>0</v>
      </c>
      <c r="M167" t="n">
        <v>0</v>
      </c>
      <c r="N167" t="n">
        <v>0</v>
      </c>
      <c r="O167" t="n">
        <v>0</v>
      </c>
      <c r="P167" t="n">
        <v>0</v>
      </c>
      <c r="Q167" t="n">
        <v>0</v>
      </c>
      <c r="R167" s="2" t="inlineStr"/>
    </row>
    <row r="168" ht="15" customHeight="1">
      <c r="A168" t="inlineStr">
        <is>
          <t>A 852-2025</t>
        </is>
      </c>
      <c r="B168" s="1" t="n">
        <v>45665.60148148148</v>
      </c>
      <c r="C168" s="1" t="n">
        <v>45884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39307-2020</t>
        </is>
      </c>
      <c r="B169" s="1" t="n">
        <v>44063</v>
      </c>
      <c r="C169" s="1" t="n">
        <v>45884</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44514-2020</t>
        </is>
      </c>
      <c r="B170" s="1" t="n">
        <v>44085</v>
      </c>
      <c r="C170" s="1" t="n">
        <v>45884</v>
      </c>
      <c r="D170" t="inlineStr">
        <is>
          <t>ÖREBRO LÄN</t>
        </is>
      </c>
      <c r="E170" t="inlineStr">
        <is>
          <t>ÖREBRO</t>
        </is>
      </c>
      <c r="G170" t="n">
        <v>3</v>
      </c>
      <c r="H170" t="n">
        <v>0</v>
      </c>
      <c r="I170" t="n">
        <v>0</v>
      </c>
      <c r="J170" t="n">
        <v>0</v>
      </c>
      <c r="K170" t="n">
        <v>0</v>
      </c>
      <c r="L170" t="n">
        <v>0</v>
      </c>
      <c r="M170" t="n">
        <v>0</v>
      </c>
      <c r="N170" t="n">
        <v>0</v>
      </c>
      <c r="O170" t="n">
        <v>0</v>
      </c>
      <c r="P170" t="n">
        <v>0</v>
      </c>
      <c r="Q170" t="n">
        <v>0</v>
      </c>
      <c r="R170" s="2" t="inlineStr"/>
    </row>
    <row r="171" ht="15" customHeight="1">
      <c r="A171" t="inlineStr">
        <is>
          <t>A 14291-2023</t>
        </is>
      </c>
      <c r="B171" s="1" t="n">
        <v>45010</v>
      </c>
      <c r="C171" s="1" t="n">
        <v>45884</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58527-2024</t>
        </is>
      </c>
      <c r="B172" s="1" t="n">
        <v>45635.44388888889</v>
      </c>
      <c r="C172" s="1" t="n">
        <v>45884</v>
      </c>
      <c r="D172" t="inlineStr">
        <is>
          <t>ÖREBRO LÄN</t>
        </is>
      </c>
      <c r="E172" t="inlineStr">
        <is>
          <t>ÖREBRO</t>
        </is>
      </c>
      <c r="F172" t="inlineStr">
        <is>
          <t>Sveaskog</t>
        </is>
      </c>
      <c r="G172" t="n">
        <v>6.4</v>
      </c>
      <c r="H172" t="n">
        <v>0</v>
      </c>
      <c r="I172" t="n">
        <v>0</v>
      </c>
      <c r="J172" t="n">
        <v>0</v>
      </c>
      <c r="K172" t="n">
        <v>0</v>
      </c>
      <c r="L172" t="n">
        <v>0</v>
      </c>
      <c r="M172" t="n">
        <v>0</v>
      </c>
      <c r="N172" t="n">
        <v>0</v>
      </c>
      <c r="O172" t="n">
        <v>0</v>
      </c>
      <c r="P172" t="n">
        <v>0</v>
      </c>
      <c r="Q172" t="n">
        <v>0</v>
      </c>
      <c r="R172" s="2" t="inlineStr"/>
    </row>
    <row r="173" ht="15" customHeight="1">
      <c r="A173" t="inlineStr">
        <is>
          <t>A 61232-2021</t>
        </is>
      </c>
      <c r="B173" s="1" t="n">
        <v>44498</v>
      </c>
      <c r="C173" s="1" t="n">
        <v>45884</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55593-2022</t>
        </is>
      </c>
      <c r="B174" s="1" t="n">
        <v>44888</v>
      </c>
      <c r="C174" s="1" t="n">
        <v>45884</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26509-2021</t>
        </is>
      </c>
      <c r="B175" s="1" t="n">
        <v>44348.45107638889</v>
      </c>
      <c r="C175" s="1" t="n">
        <v>45884</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4766-2022</t>
        </is>
      </c>
      <c r="B176" s="1" t="n">
        <v>44592</v>
      </c>
      <c r="C176" s="1" t="n">
        <v>45884</v>
      </c>
      <c r="D176" t="inlineStr">
        <is>
          <t>ÖREBRO LÄN</t>
        </is>
      </c>
      <c r="E176" t="inlineStr">
        <is>
          <t>ÖREBRO</t>
        </is>
      </c>
      <c r="G176" t="n">
        <v>2.9</v>
      </c>
      <c r="H176" t="n">
        <v>0</v>
      </c>
      <c r="I176" t="n">
        <v>0</v>
      </c>
      <c r="J176" t="n">
        <v>0</v>
      </c>
      <c r="K176" t="n">
        <v>0</v>
      </c>
      <c r="L176" t="n">
        <v>0</v>
      </c>
      <c r="M176" t="n">
        <v>0</v>
      </c>
      <c r="N176" t="n">
        <v>0</v>
      </c>
      <c r="O176" t="n">
        <v>0</v>
      </c>
      <c r="P176" t="n">
        <v>0</v>
      </c>
      <c r="Q176" t="n">
        <v>0</v>
      </c>
      <c r="R176" s="2" t="inlineStr"/>
    </row>
    <row r="177" ht="15" customHeight="1">
      <c r="A177" t="inlineStr">
        <is>
          <t>A 38583-2023</t>
        </is>
      </c>
      <c r="B177" s="1" t="n">
        <v>45162.62861111111</v>
      </c>
      <c r="C177" s="1" t="n">
        <v>45884</v>
      </c>
      <c r="D177" t="inlineStr">
        <is>
          <t>ÖREBRO LÄN</t>
        </is>
      </c>
      <c r="E177" t="inlineStr">
        <is>
          <t>ÖREBRO</t>
        </is>
      </c>
      <c r="G177" t="n">
        <v>5.7</v>
      </c>
      <c r="H177" t="n">
        <v>0</v>
      </c>
      <c r="I177" t="n">
        <v>0</v>
      </c>
      <c r="J177" t="n">
        <v>0</v>
      </c>
      <c r="K177" t="n">
        <v>0</v>
      </c>
      <c r="L177" t="n">
        <v>0</v>
      </c>
      <c r="M177" t="n">
        <v>0</v>
      </c>
      <c r="N177" t="n">
        <v>0</v>
      </c>
      <c r="O177" t="n">
        <v>0</v>
      </c>
      <c r="P177" t="n">
        <v>0</v>
      </c>
      <c r="Q177" t="n">
        <v>0</v>
      </c>
      <c r="R177" s="2" t="inlineStr"/>
    </row>
    <row r="178" ht="15" customHeight="1">
      <c r="A178" t="inlineStr">
        <is>
          <t>A 57498-2021</t>
        </is>
      </c>
      <c r="B178" s="1" t="n">
        <v>44483</v>
      </c>
      <c r="C178" s="1" t="n">
        <v>45884</v>
      </c>
      <c r="D178" t="inlineStr">
        <is>
          <t>ÖREBRO LÄN</t>
        </is>
      </c>
      <c r="E178" t="inlineStr">
        <is>
          <t>ÖREBRO</t>
        </is>
      </c>
      <c r="F178" t="inlineStr">
        <is>
          <t>Övriga Aktiebolag</t>
        </is>
      </c>
      <c r="G178" t="n">
        <v>2.7</v>
      </c>
      <c r="H178" t="n">
        <v>0</v>
      </c>
      <c r="I178" t="n">
        <v>0</v>
      </c>
      <c r="J178" t="n">
        <v>0</v>
      </c>
      <c r="K178" t="n">
        <v>0</v>
      </c>
      <c r="L178" t="n">
        <v>0</v>
      </c>
      <c r="M178" t="n">
        <v>0</v>
      </c>
      <c r="N178" t="n">
        <v>0</v>
      </c>
      <c r="O178" t="n">
        <v>0</v>
      </c>
      <c r="P178" t="n">
        <v>0</v>
      </c>
      <c r="Q178" t="n">
        <v>0</v>
      </c>
      <c r="R178" s="2" t="inlineStr"/>
    </row>
    <row r="179" ht="15" customHeight="1">
      <c r="A179" t="inlineStr">
        <is>
          <t>A 55745-2023</t>
        </is>
      </c>
      <c r="B179" s="1" t="n">
        <v>45239.44811342593</v>
      </c>
      <c r="C179" s="1" t="n">
        <v>45884</v>
      </c>
      <c r="D179" t="inlineStr">
        <is>
          <t>ÖREBRO LÄN</t>
        </is>
      </c>
      <c r="E179" t="inlineStr">
        <is>
          <t>ÖREBRO</t>
        </is>
      </c>
      <c r="G179" t="n">
        <v>13.3</v>
      </c>
      <c r="H179" t="n">
        <v>0</v>
      </c>
      <c r="I179" t="n">
        <v>0</v>
      </c>
      <c r="J179" t="n">
        <v>0</v>
      </c>
      <c r="K179" t="n">
        <v>0</v>
      </c>
      <c r="L179" t="n">
        <v>0</v>
      </c>
      <c r="M179" t="n">
        <v>0</v>
      </c>
      <c r="N179" t="n">
        <v>0</v>
      </c>
      <c r="O179" t="n">
        <v>0</v>
      </c>
      <c r="P179" t="n">
        <v>0</v>
      </c>
      <c r="Q179" t="n">
        <v>0</v>
      </c>
      <c r="R179" s="2" t="inlineStr"/>
    </row>
    <row r="180" ht="15" customHeight="1">
      <c r="A180" t="inlineStr">
        <is>
          <t>A 40312-2021</t>
        </is>
      </c>
      <c r="B180" s="1" t="n">
        <v>44419</v>
      </c>
      <c r="C180" s="1" t="n">
        <v>45884</v>
      </c>
      <c r="D180" t="inlineStr">
        <is>
          <t>ÖREBRO LÄN</t>
        </is>
      </c>
      <c r="E180" t="inlineStr">
        <is>
          <t>ÖREBRO</t>
        </is>
      </c>
      <c r="F180" t="inlineStr">
        <is>
          <t>Övriga Aktiebolag</t>
        </is>
      </c>
      <c r="G180" t="n">
        <v>2.6</v>
      </c>
      <c r="H180" t="n">
        <v>0</v>
      </c>
      <c r="I180" t="n">
        <v>0</v>
      </c>
      <c r="J180" t="n">
        <v>0</v>
      </c>
      <c r="K180" t="n">
        <v>0</v>
      </c>
      <c r="L180" t="n">
        <v>0</v>
      </c>
      <c r="M180" t="n">
        <v>0</v>
      </c>
      <c r="N180" t="n">
        <v>0</v>
      </c>
      <c r="O180" t="n">
        <v>0</v>
      </c>
      <c r="P180" t="n">
        <v>0</v>
      </c>
      <c r="Q180" t="n">
        <v>0</v>
      </c>
      <c r="R180" s="2" t="inlineStr"/>
    </row>
    <row r="181" ht="15" customHeight="1">
      <c r="A181" t="inlineStr">
        <is>
          <t>A 38573-2023</t>
        </is>
      </c>
      <c r="B181" s="1" t="n">
        <v>45162.61837962963</v>
      </c>
      <c r="C181" s="1" t="n">
        <v>45884</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12478-2022</t>
        </is>
      </c>
      <c r="B182" s="1" t="n">
        <v>44638</v>
      </c>
      <c r="C182" s="1" t="n">
        <v>45884</v>
      </c>
      <c r="D182" t="inlineStr">
        <is>
          <t>ÖREBRO LÄN</t>
        </is>
      </c>
      <c r="E182" t="inlineStr">
        <is>
          <t>ÖREBRO</t>
        </is>
      </c>
      <c r="F182" t="inlineStr">
        <is>
          <t>Kyrkan</t>
        </is>
      </c>
      <c r="G182" t="n">
        <v>1.4</v>
      </c>
      <c r="H182" t="n">
        <v>0</v>
      </c>
      <c r="I182" t="n">
        <v>0</v>
      </c>
      <c r="J182" t="n">
        <v>0</v>
      </c>
      <c r="K182" t="n">
        <v>0</v>
      </c>
      <c r="L182" t="n">
        <v>0</v>
      </c>
      <c r="M182" t="n">
        <v>0</v>
      </c>
      <c r="N182" t="n">
        <v>0</v>
      </c>
      <c r="O182" t="n">
        <v>0</v>
      </c>
      <c r="P182" t="n">
        <v>0</v>
      </c>
      <c r="Q182" t="n">
        <v>0</v>
      </c>
      <c r="R182" s="2" t="inlineStr"/>
    </row>
    <row r="183" ht="15" customHeight="1">
      <c r="A183" t="inlineStr">
        <is>
          <t>A 63142-2023</t>
        </is>
      </c>
      <c r="B183" s="1" t="n">
        <v>45273</v>
      </c>
      <c r="C183" s="1" t="n">
        <v>45884</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5401-2022</t>
        </is>
      </c>
      <c r="B184" s="1" t="n">
        <v>44595</v>
      </c>
      <c r="C184" s="1" t="n">
        <v>45884</v>
      </c>
      <c r="D184" t="inlineStr">
        <is>
          <t>ÖREBRO LÄN</t>
        </is>
      </c>
      <c r="E184" t="inlineStr">
        <is>
          <t>ÖREBRO</t>
        </is>
      </c>
      <c r="G184" t="n">
        <v>2.3</v>
      </c>
      <c r="H184" t="n">
        <v>0</v>
      </c>
      <c r="I184" t="n">
        <v>0</v>
      </c>
      <c r="J184" t="n">
        <v>0</v>
      </c>
      <c r="K184" t="n">
        <v>0</v>
      </c>
      <c r="L184" t="n">
        <v>0</v>
      </c>
      <c r="M184" t="n">
        <v>0</v>
      </c>
      <c r="N184" t="n">
        <v>0</v>
      </c>
      <c r="O184" t="n">
        <v>0</v>
      </c>
      <c r="P184" t="n">
        <v>0</v>
      </c>
      <c r="Q184" t="n">
        <v>0</v>
      </c>
      <c r="R184" s="2" t="inlineStr"/>
    </row>
    <row r="185" ht="15" customHeight="1">
      <c r="A185" t="inlineStr">
        <is>
          <t>A 23741-2022</t>
        </is>
      </c>
      <c r="B185" s="1" t="n">
        <v>44722</v>
      </c>
      <c r="C185" s="1" t="n">
        <v>45884</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51268-2022</t>
        </is>
      </c>
      <c r="B186" s="1" t="n">
        <v>44868</v>
      </c>
      <c r="C186" s="1" t="n">
        <v>45884</v>
      </c>
      <c r="D186" t="inlineStr">
        <is>
          <t>ÖREBRO LÄN</t>
        </is>
      </c>
      <c r="E186" t="inlineStr">
        <is>
          <t>ÖREBRO</t>
        </is>
      </c>
      <c r="G186" t="n">
        <v>3.8</v>
      </c>
      <c r="H186" t="n">
        <v>0</v>
      </c>
      <c r="I186" t="n">
        <v>0</v>
      </c>
      <c r="J186" t="n">
        <v>0</v>
      </c>
      <c r="K186" t="n">
        <v>0</v>
      </c>
      <c r="L186" t="n">
        <v>0</v>
      </c>
      <c r="M186" t="n">
        <v>0</v>
      </c>
      <c r="N186" t="n">
        <v>0</v>
      </c>
      <c r="O186" t="n">
        <v>0</v>
      </c>
      <c r="P186" t="n">
        <v>0</v>
      </c>
      <c r="Q186" t="n">
        <v>0</v>
      </c>
      <c r="R186" s="2" t="inlineStr"/>
    </row>
    <row r="187" ht="15" customHeight="1">
      <c r="A187" t="inlineStr">
        <is>
          <t>A 60311-2020</t>
        </is>
      </c>
      <c r="B187" s="1" t="n">
        <v>44151</v>
      </c>
      <c r="C187" s="1" t="n">
        <v>45884</v>
      </c>
      <c r="D187" t="inlineStr">
        <is>
          <t>ÖREBRO LÄN</t>
        </is>
      </c>
      <c r="E187" t="inlineStr">
        <is>
          <t>ÖREBRO</t>
        </is>
      </c>
      <c r="F187" t="inlineStr">
        <is>
          <t>Kommuner</t>
        </is>
      </c>
      <c r="G187" t="n">
        <v>0.8</v>
      </c>
      <c r="H187" t="n">
        <v>0</v>
      </c>
      <c r="I187" t="n">
        <v>0</v>
      </c>
      <c r="J187" t="n">
        <v>0</v>
      </c>
      <c r="K187" t="n">
        <v>0</v>
      </c>
      <c r="L187" t="n">
        <v>0</v>
      </c>
      <c r="M187" t="n">
        <v>0</v>
      </c>
      <c r="N187" t="n">
        <v>0</v>
      </c>
      <c r="O187" t="n">
        <v>0</v>
      </c>
      <c r="P187" t="n">
        <v>0</v>
      </c>
      <c r="Q187" t="n">
        <v>0</v>
      </c>
      <c r="R187" s="2" t="inlineStr"/>
    </row>
    <row r="188" ht="15" customHeight="1">
      <c r="A188" t="inlineStr">
        <is>
          <t>A 59121-2024</t>
        </is>
      </c>
      <c r="B188" s="1" t="n">
        <v>45637.37755787037</v>
      </c>
      <c r="C188" s="1" t="n">
        <v>45884</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13856-2022</t>
        </is>
      </c>
      <c r="B189" s="1" t="n">
        <v>44649.6965162037</v>
      </c>
      <c r="C189" s="1" t="n">
        <v>45884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52256-2023</t>
        </is>
      </c>
      <c r="B190" s="1" t="n">
        <v>45224.51471064815</v>
      </c>
      <c r="C190" s="1" t="n">
        <v>45884</v>
      </c>
      <c r="D190" t="inlineStr">
        <is>
          <t>ÖREBRO LÄN</t>
        </is>
      </c>
      <c r="E190" t="inlineStr">
        <is>
          <t>ÖREBRO</t>
        </is>
      </c>
      <c r="G190" t="n">
        <v>2.8</v>
      </c>
      <c r="H190" t="n">
        <v>0</v>
      </c>
      <c r="I190" t="n">
        <v>0</v>
      </c>
      <c r="J190" t="n">
        <v>0</v>
      </c>
      <c r="K190" t="n">
        <v>0</v>
      </c>
      <c r="L190" t="n">
        <v>0</v>
      </c>
      <c r="M190" t="n">
        <v>0</v>
      </c>
      <c r="N190" t="n">
        <v>0</v>
      </c>
      <c r="O190" t="n">
        <v>0</v>
      </c>
      <c r="P190" t="n">
        <v>0</v>
      </c>
      <c r="Q190" t="n">
        <v>0</v>
      </c>
      <c r="R190" s="2" t="inlineStr"/>
    </row>
    <row r="191" ht="15" customHeight="1">
      <c r="A191" t="inlineStr">
        <is>
          <t>A 23863-2023</t>
        </is>
      </c>
      <c r="B191" s="1" t="n">
        <v>45078.48994212963</v>
      </c>
      <c r="C191" s="1" t="n">
        <v>45884</v>
      </c>
      <c r="D191" t="inlineStr">
        <is>
          <t>ÖREBRO LÄN</t>
        </is>
      </c>
      <c r="E191" t="inlineStr">
        <is>
          <t>ÖREBRO</t>
        </is>
      </c>
      <c r="F191" t="inlineStr">
        <is>
          <t>Övriga Aktiebolag</t>
        </is>
      </c>
      <c r="G191" t="n">
        <v>5.9</v>
      </c>
      <c r="H191" t="n">
        <v>0</v>
      </c>
      <c r="I191" t="n">
        <v>0</v>
      </c>
      <c r="J191" t="n">
        <v>0</v>
      </c>
      <c r="K191" t="n">
        <v>0</v>
      </c>
      <c r="L191" t="n">
        <v>0</v>
      </c>
      <c r="M191" t="n">
        <v>0</v>
      </c>
      <c r="N191" t="n">
        <v>0</v>
      </c>
      <c r="O191" t="n">
        <v>0</v>
      </c>
      <c r="P191" t="n">
        <v>0</v>
      </c>
      <c r="Q191" t="n">
        <v>0</v>
      </c>
      <c r="R191" s="2" t="inlineStr"/>
    </row>
    <row r="192" ht="15" customHeight="1">
      <c r="A192" t="inlineStr">
        <is>
          <t>A 14053-2025</t>
        </is>
      </c>
      <c r="B192" s="1" t="n">
        <v>45739</v>
      </c>
      <c r="C192" s="1" t="n">
        <v>45884</v>
      </c>
      <c r="D192" t="inlineStr">
        <is>
          <t>ÖREBRO LÄN</t>
        </is>
      </c>
      <c r="E192" t="inlineStr">
        <is>
          <t>ÖREBRO</t>
        </is>
      </c>
      <c r="G192" t="n">
        <v>3.5</v>
      </c>
      <c r="H192" t="n">
        <v>0</v>
      </c>
      <c r="I192" t="n">
        <v>0</v>
      </c>
      <c r="J192" t="n">
        <v>0</v>
      </c>
      <c r="K192" t="n">
        <v>0</v>
      </c>
      <c r="L192" t="n">
        <v>0</v>
      </c>
      <c r="M192" t="n">
        <v>0</v>
      </c>
      <c r="N192" t="n">
        <v>0</v>
      </c>
      <c r="O192" t="n">
        <v>0</v>
      </c>
      <c r="P192" t="n">
        <v>0</v>
      </c>
      <c r="Q192" t="n">
        <v>0</v>
      </c>
      <c r="R192" s="2" t="inlineStr"/>
    </row>
    <row r="193" ht="15" customHeight="1">
      <c r="A193" t="inlineStr">
        <is>
          <t>A 9704-2023</t>
        </is>
      </c>
      <c r="B193" s="1" t="n">
        <v>44984</v>
      </c>
      <c r="C193" s="1" t="n">
        <v>45884</v>
      </c>
      <c r="D193" t="inlineStr">
        <is>
          <t>ÖREBRO LÄN</t>
        </is>
      </c>
      <c r="E193" t="inlineStr">
        <is>
          <t>ÖREBRO</t>
        </is>
      </c>
      <c r="G193" t="n">
        <v>1</v>
      </c>
      <c r="H193" t="n">
        <v>0</v>
      </c>
      <c r="I193" t="n">
        <v>0</v>
      </c>
      <c r="J193" t="n">
        <v>0</v>
      </c>
      <c r="K193" t="n">
        <v>0</v>
      </c>
      <c r="L193" t="n">
        <v>0</v>
      </c>
      <c r="M193" t="n">
        <v>0</v>
      </c>
      <c r="N193" t="n">
        <v>0</v>
      </c>
      <c r="O193" t="n">
        <v>0</v>
      </c>
      <c r="P193" t="n">
        <v>0</v>
      </c>
      <c r="Q193" t="n">
        <v>0</v>
      </c>
      <c r="R193" s="2" t="inlineStr"/>
    </row>
    <row r="194" ht="15" customHeight="1">
      <c r="A194" t="inlineStr">
        <is>
          <t>A 10799-2024</t>
        </is>
      </c>
      <c r="B194" s="1" t="n">
        <v>45369</v>
      </c>
      <c r="C194" s="1" t="n">
        <v>45884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46757-2021</t>
        </is>
      </c>
      <c r="B195" s="1" t="n">
        <v>44445</v>
      </c>
      <c r="C195" s="1" t="n">
        <v>45884</v>
      </c>
      <c r="D195" t="inlineStr">
        <is>
          <t>ÖREBRO LÄN</t>
        </is>
      </c>
      <c r="E195" t="inlineStr">
        <is>
          <t>ÖREBRO</t>
        </is>
      </c>
      <c r="G195" t="n">
        <v>5.6</v>
      </c>
      <c r="H195" t="n">
        <v>0</v>
      </c>
      <c r="I195" t="n">
        <v>0</v>
      </c>
      <c r="J195" t="n">
        <v>0</v>
      </c>
      <c r="K195" t="n">
        <v>0</v>
      </c>
      <c r="L195" t="n">
        <v>0</v>
      </c>
      <c r="M195" t="n">
        <v>0</v>
      </c>
      <c r="N195" t="n">
        <v>0</v>
      </c>
      <c r="O195" t="n">
        <v>0</v>
      </c>
      <c r="P195" t="n">
        <v>0</v>
      </c>
      <c r="Q195" t="n">
        <v>0</v>
      </c>
      <c r="R195" s="2" t="inlineStr"/>
    </row>
    <row r="196" ht="15" customHeight="1">
      <c r="A196" t="inlineStr">
        <is>
          <t>A 60289-2023</t>
        </is>
      </c>
      <c r="B196" s="1" t="n">
        <v>45257</v>
      </c>
      <c r="C196" s="1" t="n">
        <v>45884</v>
      </c>
      <c r="D196" t="inlineStr">
        <is>
          <t>ÖREBRO LÄN</t>
        </is>
      </c>
      <c r="E196" t="inlineStr">
        <is>
          <t>ÖREBRO</t>
        </is>
      </c>
      <c r="G196" t="n">
        <v>10.9</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45884</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9609-2023</t>
        </is>
      </c>
      <c r="B198" s="1" t="n">
        <v>44983.93344907407</v>
      </c>
      <c r="C198" s="1" t="n">
        <v>45884</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54678-2023</t>
        </is>
      </c>
      <c r="B199" s="1" t="n">
        <v>45235</v>
      </c>
      <c r="C199" s="1" t="n">
        <v>45884</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190-2024</t>
        </is>
      </c>
      <c r="B200" s="1" t="n">
        <v>45294.61858796296</v>
      </c>
      <c r="C200" s="1" t="n">
        <v>45884</v>
      </c>
      <c r="D200" t="inlineStr">
        <is>
          <t>ÖREBRO LÄN</t>
        </is>
      </c>
      <c r="E200" t="inlineStr">
        <is>
          <t>ÖREBRO</t>
        </is>
      </c>
      <c r="G200" t="n">
        <v>2.4</v>
      </c>
      <c r="H200" t="n">
        <v>0</v>
      </c>
      <c r="I200" t="n">
        <v>0</v>
      </c>
      <c r="J200" t="n">
        <v>0</v>
      </c>
      <c r="K200" t="n">
        <v>0</v>
      </c>
      <c r="L200" t="n">
        <v>0</v>
      </c>
      <c r="M200" t="n">
        <v>0</v>
      </c>
      <c r="N200" t="n">
        <v>0</v>
      </c>
      <c r="O200" t="n">
        <v>0</v>
      </c>
      <c r="P200" t="n">
        <v>0</v>
      </c>
      <c r="Q200" t="n">
        <v>0</v>
      </c>
      <c r="R200" s="2" t="inlineStr"/>
    </row>
    <row r="201" ht="15" customHeight="1">
      <c r="A201" t="inlineStr">
        <is>
          <t>A 44511-2023</t>
        </is>
      </c>
      <c r="B201" s="1" t="n">
        <v>45189</v>
      </c>
      <c r="C201" s="1" t="n">
        <v>45884</v>
      </c>
      <c r="D201" t="inlineStr">
        <is>
          <t>ÖREBRO LÄN</t>
        </is>
      </c>
      <c r="E201" t="inlineStr">
        <is>
          <t>ÖREBRO</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12099-2023</t>
        </is>
      </c>
      <c r="B202" s="1" t="n">
        <v>44998.37043981482</v>
      </c>
      <c r="C202" s="1" t="n">
        <v>45884</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17869-2024</t>
        </is>
      </c>
      <c r="B203" s="1" t="n">
        <v>45419</v>
      </c>
      <c r="C203" s="1" t="n">
        <v>45884</v>
      </c>
      <c r="D203" t="inlineStr">
        <is>
          <t>ÖREBRO LÄN</t>
        </is>
      </c>
      <c r="E203" t="inlineStr">
        <is>
          <t>ÖREBRO</t>
        </is>
      </c>
      <c r="G203" t="n">
        <v>3.7</v>
      </c>
      <c r="H203" t="n">
        <v>0</v>
      </c>
      <c r="I203" t="n">
        <v>0</v>
      </c>
      <c r="J203" t="n">
        <v>0</v>
      </c>
      <c r="K203" t="n">
        <v>0</v>
      </c>
      <c r="L203" t="n">
        <v>0</v>
      </c>
      <c r="M203" t="n">
        <v>0</v>
      </c>
      <c r="N203" t="n">
        <v>0</v>
      </c>
      <c r="O203" t="n">
        <v>0</v>
      </c>
      <c r="P203" t="n">
        <v>0</v>
      </c>
      <c r="Q203" t="n">
        <v>0</v>
      </c>
      <c r="R203" s="2" t="inlineStr"/>
    </row>
    <row r="204" ht="15" customHeight="1">
      <c r="A204" t="inlineStr">
        <is>
          <t>A 5026-2022</t>
        </is>
      </c>
      <c r="B204" s="1" t="n">
        <v>44593.63974537037</v>
      </c>
      <c r="C204" s="1" t="n">
        <v>45884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10832-2023</t>
        </is>
      </c>
      <c r="B205" s="1" t="n">
        <v>44990.91711805556</v>
      </c>
      <c r="C205" s="1" t="n">
        <v>45884</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52447-2024</t>
        </is>
      </c>
      <c r="B206" s="1" t="n">
        <v>45609.49157407408</v>
      </c>
      <c r="C206" s="1" t="n">
        <v>45884</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43803-2023</t>
        </is>
      </c>
      <c r="B207" s="1" t="n">
        <v>45187</v>
      </c>
      <c r="C207" s="1" t="n">
        <v>45884</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55943-2024</t>
        </is>
      </c>
      <c r="B208" s="1" t="n">
        <v>45623.61278935185</v>
      </c>
      <c r="C208" s="1" t="n">
        <v>45884</v>
      </c>
      <c r="D208" t="inlineStr">
        <is>
          <t>ÖREBRO LÄN</t>
        </is>
      </c>
      <c r="E208" t="inlineStr">
        <is>
          <t>ÖREBRO</t>
        </is>
      </c>
      <c r="G208" t="n">
        <v>4.8</v>
      </c>
      <c r="H208" t="n">
        <v>0</v>
      </c>
      <c r="I208" t="n">
        <v>0</v>
      </c>
      <c r="J208" t="n">
        <v>0</v>
      </c>
      <c r="K208" t="n">
        <v>0</v>
      </c>
      <c r="L208" t="n">
        <v>0</v>
      </c>
      <c r="M208" t="n">
        <v>0</v>
      </c>
      <c r="N208" t="n">
        <v>0</v>
      </c>
      <c r="O208" t="n">
        <v>0</v>
      </c>
      <c r="P208" t="n">
        <v>0</v>
      </c>
      <c r="Q208" t="n">
        <v>0</v>
      </c>
      <c r="R208" s="2" t="inlineStr"/>
    </row>
    <row r="209" ht="15" customHeight="1">
      <c r="A209" t="inlineStr">
        <is>
          <t>A 5795-2024</t>
        </is>
      </c>
      <c r="B209" s="1" t="n">
        <v>45335.4531712963</v>
      </c>
      <c r="C209" s="1" t="n">
        <v>45884</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60028-2024</t>
        </is>
      </c>
      <c r="B210" s="1" t="n">
        <v>45642</v>
      </c>
      <c r="C210" s="1" t="n">
        <v>45884</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6794-2025</t>
        </is>
      </c>
      <c r="B211" s="1" t="n">
        <v>45700.66429398148</v>
      </c>
      <c r="C211" s="1" t="n">
        <v>45884</v>
      </c>
      <c r="D211" t="inlineStr">
        <is>
          <t>ÖREBRO LÄN</t>
        </is>
      </c>
      <c r="E211" t="inlineStr">
        <is>
          <t>ÖREBRO</t>
        </is>
      </c>
      <c r="G211" t="n">
        <v>1</v>
      </c>
      <c r="H211" t="n">
        <v>0</v>
      </c>
      <c r="I211" t="n">
        <v>0</v>
      </c>
      <c r="J211" t="n">
        <v>0</v>
      </c>
      <c r="K211" t="n">
        <v>0</v>
      </c>
      <c r="L211" t="n">
        <v>0</v>
      </c>
      <c r="M211" t="n">
        <v>0</v>
      </c>
      <c r="N211" t="n">
        <v>0</v>
      </c>
      <c r="O211" t="n">
        <v>0</v>
      </c>
      <c r="P211" t="n">
        <v>0</v>
      </c>
      <c r="Q211" t="n">
        <v>0</v>
      </c>
      <c r="R211" s="2" t="inlineStr"/>
    </row>
    <row r="212" ht="15" customHeight="1">
      <c r="A212" t="inlineStr">
        <is>
          <t>A 59736-2023</t>
        </is>
      </c>
      <c r="B212" s="1" t="n">
        <v>45257.374375</v>
      </c>
      <c r="C212" s="1" t="n">
        <v>45884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2153-2023</t>
        </is>
      </c>
      <c r="B213" s="1" t="n">
        <v>44941</v>
      </c>
      <c r="C213" s="1" t="n">
        <v>45884</v>
      </c>
      <c r="D213" t="inlineStr">
        <is>
          <t>ÖREBRO LÄN</t>
        </is>
      </c>
      <c r="E213" t="inlineStr">
        <is>
          <t>ÖREBRO</t>
        </is>
      </c>
      <c r="G213" t="n">
        <v>6.3</v>
      </c>
      <c r="H213" t="n">
        <v>0</v>
      </c>
      <c r="I213" t="n">
        <v>0</v>
      </c>
      <c r="J213" t="n">
        <v>0</v>
      </c>
      <c r="K213" t="n">
        <v>0</v>
      </c>
      <c r="L213" t="n">
        <v>0</v>
      </c>
      <c r="M213" t="n">
        <v>0</v>
      </c>
      <c r="N213" t="n">
        <v>0</v>
      </c>
      <c r="O213" t="n">
        <v>0</v>
      </c>
      <c r="P213" t="n">
        <v>0</v>
      </c>
      <c r="Q213" t="n">
        <v>0</v>
      </c>
      <c r="R213" s="2" t="inlineStr"/>
    </row>
    <row r="214" ht="15" customHeight="1">
      <c r="A214" t="inlineStr">
        <is>
          <t>A 2596-2022</t>
        </is>
      </c>
      <c r="B214" s="1" t="n">
        <v>44580</v>
      </c>
      <c r="C214" s="1" t="n">
        <v>45884</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10829-2023</t>
        </is>
      </c>
      <c r="B215" s="1" t="n">
        <v>44990.88512731482</v>
      </c>
      <c r="C215" s="1" t="n">
        <v>45884</v>
      </c>
      <c r="D215" t="inlineStr">
        <is>
          <t>ÖREBRO LÄN</t>
        </is>
      </c>
      <c r="E215" t="inlineStr">
        <is>
          <t>ÖREBRO</t>
        </is>
      </c>
      <c r="G215" t="n">
        <v>4.4</v>
      </c>
      <c r="H215" t="n">
        <v>0</v>
      </c>
      <c r="I215" t="n">
        <v>0</v>
      </c>
      <c r="J215" t="n">
        <v>0</v>
      </c>
      <c r="K215" t="n">
        <v>0</v>
      </c>
      <c r="L215" t="n">
        <v>0</v>
      </c>
      <c r="M215" t="n">
        <v>0</v>
      </c>
      <c r="N215" t="n">
        <v>0</v>
      </c>
      <c r="O215" t="n">
        <v>0</v>
      </c>
      <c r="P215" t="n">
        <v>0</v>
      </c>
      <c r="Q215" t="n">
        <v>0</v>
      </c>
      <c r="R215" s="2" t="inlineStr"/>
    </row>
    <row r="216" ht="15" customHeight="1">
      <c r="A216" t="inlineStr">
        <is>
          <t>A 48581-2024</t>
        </is>
      </c>
      <c r="B216" s="1" t="n">
        <v>45593.41642361111</v>
      </c>
      <c r="C216" s="1" t="n">
        <v>45884</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10831-2023</t>
        </is>
      </c>
      <c r="B217" s="1" t="n">
        <v>44990.90357638889</v>
      </c>
      <c r="C217" s="1" t="n">
        <v>45884</v>
      </c>
      <c r="D217" t="inlineStr">
        <is>
          <t>ÖREBRO LÄN</t>
        </is>
      </c>
      <c r="E217" t="inlineStr">
        <is>
          <t>ÖREBRO</t>
        </is>
      </c>
      <c r="G217" t="n">
        <v>1.9</v>
      </c>
      <c r="H217" t="n">
        <v>0</v>
      </c>
      <c r="I217" t="n">
        <v>0</v>
      </c>
      <c r="J217" t="n">
        <v>0</v>
      </c>
      <c r="K217" t="n">
        <v>0</v>
      </c>
      <c r="L217" t="n">
        <v>0</v>
      </c>
      <c r="M217" t="n">
        <v>0</v>
      </c>
      <c r="N217" t="n">
        <v>0</v>
      </c>
      <c r="O217" t="n">
        <v>0</v>
      </c>
      <c r="P217" t="n">
        <v>0</v>
      </c>
      <c r="Q217" t="n">
        <v>0</v>
      </c>
      <c r="R217" s="2" t="inlineStr"/>
    </row>
    <row r="218" ht="15" customHeight="1">
      <c r="A218" t="inlineStr">
        <is>
          <t>A 40231-2022</t>
        </is>
      </c>
      <c r="B218" s="1" t="n">
        <v>44820</v>
      </c>
      <c r="C218" s="1" t="n">
        <v>45884</v>
      </c>
      <c r="D218" t="inlineStr">
        <is>
          <t>ÖREBRO LÄN</t>
        </is>
      </c>
      <c r="E218" t="inlineStr">
        <is>
          <t>ÖREBRO</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13857-2022</t>
        </is>
      </c>
      <c r="B219" s="1" t="n">
        <v>44649</v>
      </c>
      <c r="C219" s="1" t="n">
        <v>45884</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55692-2023</t>
        </is>
      </c>
      <c r="B220" s="1" t="n">
        <v>45239</v>
      </c>
      <c r="C220" s="1" t="n">
        <v>45884</v>
      </c>
      <c r="D220" t="inlineStr">
        <is>
          <t>ÖREBRO LÄN</t>
        </is>
      </c>
      <c r="E220" t="inlineStr">
        <is>
          <t>ÖREBRO</t>
        </is>
      </c>
      <c r="F220" t="inlineStr">
        <is>
          <t>Övriga Aktiebolag</t>
        </is>
      </c>
      <c r="G220" t="n">
        <v>0.4</v>
      </c>
      <c r="H220" t="n">
        <v>0</v>
      </c>
      <c r="I220" t="n">
        <v>0</v>
      </c>
      <c r="J220" t="n">
        <v>0</v>
      </c>
      <c r="K220" t="n">
        <v>0</v>
      </c>
      <c r="L220" t="n">
        <v>0</v>
      </c>
      <c r="M220" t="n">
        <v>0</v>
      </c>
      <c r="N220" t="n">
        <v>0</v>
      </c>
      <c r="O220" t="n">
        <v>0</v>
      </c>
      <c r="P220" t="n">
        <v>0</v>
      </c>
      <c r="Q220" t="n">
        <v>0</v>
      </c>
      <c r="R220" s="2" t="inlineStr"/>
    </row>
    <row r="221" ht="15" customHeight="1">
      <c r="A221" t="inlineStr">
        <is>
          <t>A 14963-2025</t>
        </is>
      </c>
      <c r="B221" s="1" t="n">
        <v>45743.58699074074</v>
      </c>
      <c r="C221" s="1" t="n">
        <v>45884</v>
      </c>
      <c r="D221" t="inlineStr">
        <is>
          <t>ÖREBRO LÄN</t>
        </is>
      </c>
      <c r="E221" t="inlineStr">
        <is>
          <t>ÖREBRO</t>
        </is>
      </c>
      <c r="G221" t="n">
        <v>9.1</v>
      </c>
      <c r="H221" t="n">
        <v>0</v>
      </c>
      <c r="I221" t="n">
        <v>0</v>
      </c>
      <c r="J221" t="n">
        <v>0</v>
      </c>
      <c r="K221" t="n">
        <v>0</v>
      </c>
      <c r="L221" t="n">
        <v>0</v>
      </c>
      <c r="M221" t="n">
        <v>0</v>
      </c>
      <c r="N221" t="n">
        <v>0</v>
      </c>
      <c r="O221" t="n">
        <v>0</v>
      </c>
      <c r="P221" t="n">
        <v>0</v>
      </c>
      <c r="Q221" t="n">
        <v>0</v>
      </c>
      <c r="R221" s="2" t="inlineStr"/>
    </row>
    <row r="222" ht="15" customHeight="1">
      <c r="A222" t="inlineStr">
        <is>
          <t>A 48644-2024</t>
        </is>
      </c>
      <c r="B222" s="1" t="n">
        <v>45593.47466435185</v>
      </c>
      <c r="C222" s="1" t="n">
        <v>45884</v>
      </c>
      <c r="D222" t="inlineStr">
        <is>
          <t>ÖREBRO LÄN</t>
        </is>
      </c>
      <c r="E222" t="inlineStr">
        <is>
          <t>ÖREBRO</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58539-2024</t>
        </is>
      </c>
      <c r="B223" s="1" t="n">
        <v>45635.45157407408</v>
      </c>
      <c r="C223" s="1" t="n">
        <v>45884</v>
      </c>
      <c r="D223" t="inlineStr">
        <is>
          <t>ÖREBRO LÄN</t>
        </is>
      </c>
      <c r="E223" t="inlineStr">
        <is>
          <t>ÖREBRO</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58532-2024</t>
        </is>
      </c>
      <c r="B224" s="1" t="n">
        <v>45635.44899305556</v>
      </c>
      <c r="C224" s="1" t="n">
        <v>45884</v>
      </c>
      <c r="D224" t="inlineStr">
        <is>
          <t>ÖREBRO LÄN</t>
        </is>
      </c>
      <c r="E224" t="inlineStr">
        <is>
          <t>ÖREBRO</t>
        </is>
      </c>
      <c r="F224" t="inlineStr">
        <is>
          <t>Sveaskog</t>
        </is>
      </c>
      <c r="G224" t="n">
        <v>5.2</v>
      </c>
      <c r="H224" t="n">
        <v>0</v>
      </c>
      <c r="I224" t="n">
        <v>0</v>
      </c>
      <c r="J224" t="n">
        <v>0</v>
      </c>
      <c r="K224" t="n">
        <v>0</v>
      </c>
      <c r="L224" t="n">
        <v>0</v>
      </c>
      <c r="M224" t="n">
        <v>0</v>
      </c>
      <c r="N224" t="n">
        <v>0</v>
      </c>
      <c r="O224" t="n">
        <v>0</v>
      </c>
      <c r="P224" t="n">
        <v>0</v>
      </c>
      <c r="Q224" t="n">
        <v>0</v>
      </c>
      <c r="R224" s="2" t="inlineStr"/>
    </row>
    <row r="225" ht="15" customHeight="1">
      <c r="A225" t="inlineStr">
        <is>
          <t>A 15866-2022</t>
        </is>
      </c>
      <c r="B225" s="1" t="n">
        <v>44664</v>
      </c>
      <c r="C225" s="1" t="n">
        <v>45884</v>
      </c>
      <c r="D225" t="inlineStr">
        <is>
          <t>ÖREBRO LÄN</t>
        </is>
      </c>
      <c r="E225" t="inlineStr">
        <is>
          <t>ÖREBRO</t>
        </is>
      </c>
      <c r="G225" t="n">
        <v>4</v>
      </c>
      <c r="H225" t="n">
        <v>0</v>
      </c>
      <c r="I225" t="n">
        <v>0</v>
      </c>
      <c r="J225" t="n">
        <v>0</v>
      </c>
      <c r="K225" t="n">
        <v>0</v>
      </c>
      <c r="L225" t="n">
        <v>0</v>
      </c>
      <c r="M225" t="n">
        <v>0</v>
      </c>
      <c r="N225" t="n">
        <v>0</v>
      </c>
      <c r="O225" t="n">
        <v>0</v>
      </c>
      <c r="P225" t="n">
        <v>0</v>
      </c>
      <c r="Q225" t="n">
        <v>0</v>
      </c>
      <c r="R225" s="2" t="inlineStr"/>
    </row>
    <row r="226" ht="15" customHeight="1">
      <c r="A226" t="inlineStr">
        <is>
          <t>A 187-2024</t>
        </is>
      </c>
      <c r="B226" s="1" t="n">
        <v>45294</v>
      </c>
      <c r="C226" s="1" t="n">
        <v>45884</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33455-2023</t>
        </is>
      </c>
      <c r="B227" s="1" t="n">
        <v>45130.98962962963</v>
      </c>
      <c r="C227" s="1" t="n">
        <v>45884</v>
      </c>
      <c r="D227" t="inlineStr">
        <is>
          <t>ÖREBRO LÄN</t>
        </is>
      </c>
      <c r="E227" t="inlineStr">
        <is>
          <t>ÖREBRO</t>
        </is>
      </c>
      <c r="G227" t="n">
        <v>0.7</v>
      </c>
      <c r="H227" t="n">
        <v>0</v>
      </c>
      <c r="I227" t="n">
        <v>0</v>
      </c>
      <c r="J227" t="n">
        <v>0</v>
      </c>
      <c r="K227" t="n">
        <v>0</v>
      </c>
      <c r="L227" t="n">
        <v>0</v>
      </c>
      <c r="M227" t="n">
        <v>0</v>
      </c>
      <c r="N227" t="n">
        <v>0</v>
      </c>
      <c r="O227" t="n">
        <v>0</v>
      </c>
      <c r="P227" t="n">
        <v>0</v>
      </c>
      <c r="Q227" t="n">
        <v>0</v>
      </c>
      <c r="R227" s="2" t="inlineStr"/>
    </row>
    <row r="228" ht="15" customHeight="1">
      <c r="A228" t="inlineStr">
        <is>
          <t>A 13762-2023</t>
        </is>
      </c>
      <c r="B228" s="1" t="n">
        <v>45007.43729166667</v>
      </c>
      <c r="C228" s="1" t="n">
        <v>45884</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60022-2024</t>
        </is>
      </c>
      <c r="B229" s="1" t="n">
        <v>45642</v>
      </c>
      <c r="C229" s="1" t="n">
        <v>45884</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10470-2025</t>
        </is>
      </c>
      <c r="B230" s="1" t="n">
        <v>45720</v>
      </c>
      <c r="C230" s="1" t="n">
        <v>45884</v>
      </c>
      <c r="D230" t="inlineStr">
        <is>
          <t>ÖREBRO LÄN</t>
        </is>
      </c>
      <c r="E230" t="inlineStr">
        <is>
          <t>ÖREBRO</t>
        </is>
      </c>
      <c r="G230" t="n">
        <v>11.5</v>
      </c>
      <c r="H230" t="n">
        <v>0</v>
      </c>
      <c r="I230" t="n">
        <v>0</v>
      </c>
      <c r="J230" t="n">
        <v>0</v>
      </c>
      <c r="K230" t="n">
        <v>0</v>
      </c>
      <c r="L230" t="n">
        <v>0</v>
      </c>
      <c r="M230" t="n">
        <v>0</v>
      </c>
      <c r="N230" t="n">
        <v>0</v>
      </c>
      <c r="O230" t="n">
        <v>0</v>
      </c>
      <c r="P230" t="n">
        <v>0</v>
      </c>
      <c r="Q230" t="n">
        <v>0</v>
      </c>
      <c r="R230" s="2" t="inlineStr"/>
    </row>
    <row r="231" ht="15" customHeight="1">
      <c r="A231" t="inlineStr">
        <is>
          <t>A 52623-2024</t>
        </is>
      </c>
      <c r="B231" s="1" t="n">
        <v>45609</v>
      </c>
      <c r="C231" s="1" t="n">
        <v>45884</v>
      </c>
      <c r="D231" t="inlineStr">
        <is>
          <t>ÖREBRO LÄN</t>
        </is>
      </c>
      <c r="E231" t="inlineStr">
        <is>
          <t>ÖREBRO</t>
        </is>
      </c>
      <c r="F231" t="inlineStr">
        <is>
          <t>Kommuner</t>
        </is>
      </c>
      <c r="G231" t="n">
        <v>1.7</v>
      </c>
      <c r="H231" t="n">
        <v>0</v>
      </c>
      <c r="I231" t="n">
        <v>0</v>
      </c>
      <c r="J231" t="n">
        <v>0</v>
      </c>
      <c r="K231" t="n">
        <v>0</v>
      </c>
      <c r="L231" t="n">
        <v>0</v>
      </c>
      <c r="M231" t="n">
        <v>0</v>
      </c>
      <c r="N231" t="n">
        <v>0</v>
      </c>
      <c r="O231" t="n">
        <v>0</v>
      </c>
      <c r="P231" t="n">
        <v>0</v>
      </c>
      <c r="Q231" t="n">
        <v>0</v>
      </c>
      <c r="R231" s="2" t="inlineStr"/>
    </row>
    <row r="232" ht="15" customHeight="1">
      <c r="A232" t="inlineStr">
        <is>
          <t>A 2069-2025</t>
        </is>
      </c>
      <c r="B232" s="1" t="n">
        <v>45672.56614583333</v>
      </c>
      <c r="C232" s="1" t="n">
        <v>45884</v>
      </c>
      <c r="D232" t="inlineStr">
        <is>
          <t>ÖREBRO LÄN</t>
        </is>
      </c>
      <c r="E232" t="inlineStr">
        <is>
          <t>ÖREBRO</t>
        </is>
      </c>
      <c r="G232" t="n">
        <v>3.8</v>
      </c>
      <c r="H232" t="n">
        <v>0</v>
      </c>
      <c r="I232" t="n">
        <v>0</v>
      </c>
      <c r="J232" t="n">
        <v>0</v>
      </c>
      <c r="K232" t="n">
        <v>0</v>
      </c>
      <c r="L232" t="n">
        <v>0</v>
      </c>
      <c r="M232" t="n">
        <v>0</v>
      </c>
      <c r="N232" t="n">
        <v>0</v>
      </c>
      <c r="O232" t="n">
        <v>0</v>
      </c>
      <c r="P232" t="n">
        <v>0</v>
      </c>
      <c r="Q232" t="n">
        <v>0</v>
      </c>
      <c r="R232" s="2" t="inlineStr"/>
    </row>
    <row r="233" ht="15" customHeight="1">
      <c r="A233" t="inlineStr">
        <is>
          <t>A 50026-2024</t>
        </is>
      </c>
      <c r="B233" s="1" t="n">
        <v>45599.60541666667</v>
      </c>
      <c r="C233" s="1" t="n">
        <v>45884</v>
      </c>
      <c r="D233" t="inlineStr">
        <is>
          <t>ÖREBRO LÄN</t>
        </is>
      </c>
      <c r="E233" t="inlineStr">
        <is>
          <t>ÖREBRO</t>
        </is>
      </c>
      <c r="G233" t="n">
        <v>2.2</v>
      </c>
      <c r="H233" t="n">
        <v>0</v>
      </c>
      <c r="I233" t="n">
        <v>0</v>
      </c>
      <c r="J233" t="n">
        <v>0</v>
      </c>
      <c r="K233" t="n">
        <v>0</v>
      </c>
      <c r="L233" t="n">
        <v>0</v>
      </c>
      <c r="M233" t="n">
        <v>0</v>
      </c>
      <c r="N233" t="n">
        <v>0</v>
      </c>
      <c r="O233" t="n">
        <v>0</v>
      </c>
      <c r="P233" t="n">
        <v>0</v>
      </c>
      <c r="Q233" t="n">
        <v>0</v>
      </c>
      <c r="R233" s="2" t="inlineStr"/>
    </row>
    <row r="234" ht="15" customHeight="1">
      <c r="A234" t="inlineStr">
        <is>
          <t>A 28054-2022</t>
        </is>
      </c>
      <c r="B234" s="1" t="n">
        <v>44746.41938657407</v>
      </c>
      <c r="C234" s="1" t="n">
        <v>45884</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58277-2022</t>
        </is>
      </c>
      <c r="B235" s="1" t="n">
        <v>44901.48108796297</v>
      </c>
      <c r="C235" s="1" t="n">
        <v>45884</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62794-2021</t>
        </is>
      </c>
      <c r="B236" s="1" t="n">
        <v>44504</v>
      </c>
      <c r="C236" s="1" t="n">
        <v>45884</v>
      </c>
      <c r="D236" t="inlineStr">
        <is>
          <t>ÖREBRO LÄN</t>
        </is>
      </c>
      <c r="E236" t="inlineStr">
        <is>
          <t>ÖREBRO</t>
        </is>
      </c>
      <c r="G236" t="n">
        <v>3.3</v>
      </c>
      <c r="H236" t="n">
        <v>0</v>
      </c>
      <c r="I236" t="n">
        <v>0</v>
      </c>
      <c r="J236" t="n">
        <v>0</v>
      </c>
      <c r="K236" t="n">
        <v>0</v>
      </c>
      <c r="L236" t="n">
        <v>0</v>
      </c>
      <c r="M236" t="n">
        <v>0</v>
      </c>
      <c r="N236" t="n">
        <v>0</v>
      </c>
      <c r="O236" t="n">
        <v>0</v>
      </c>
      <c r="P236" t="n">
        <v>0</v>
      </c>
      <c r="Q236" t="n">
        <v>0</v>
      </c>
      <c r="R236" s="2" t="inlineStr"/>
    </row>
    <row r="237" ht="15" customHeight="1">
      <c r="A237" t="inlineStr">
        <is>
          <t>A 19180-2025</t>
        </is>
      </c>
      <c r="B237" s="1" t="n">
        <v>45769.40133101852</v>
      </c>
      <c r="C237" s="1" t="n">
        <v>45884</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58684-2023</t>
        </is>
      </c>
      <c r="B238" s="1" t="n">
        <v>45251</v>
      </c>
      <c r="C238" s="1" t="n">
        <v>45884</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37771-2024</t>
        </is>
      </c>
      <c r="B239" s="1" t="n">
        <v>45542.31359953704</v>
      </c>
      <c r="C239" s="1" t="n">
        <v>45884</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42518-2021</t>
        </is>
      </c>
      <c r="B240" s="1" t="n">
        <v>44427.81496527778</v>
      </c>
      <c r="C240" s="1" t="n">
        <v>45884</v>
      </c>
      <c r="D240" t="inlineStr">
        <is>
          <t>ÖREBRO LÄN</t>
        </is>
      </c>
      <c r="E240" t="inlineStr">
        <is>
          <t>ÖREBRO</t>
        </is>
      </c>
      <c r="G240" t="n">
        <v>4.5</v>
      </c>
      <c r="H240" t="n">
        <v>0</v>
      </c>
      <c r="I240" t="n">
        <v>0</v>
      </c>
      <c r="J240" t="n">
        <v>0</v>
      </c>
      <c r="K240" t="n">
        <v>0</v>
      </c>
      <c r="L240" t="n">
        <v>0</v>
      </c>
      <c r="M240" t="n">
        <v>0</v>
      </c>
      <c r="N240" t="n">
        <v>0</v>
      </c>
      <c r="O240" t="n">
        <v>0</v>
      </c>
      <c r="P240" t="n">
        <v>0</v>
      </c>
      <c r="Q240" t="n">
        <v>0</v>
      </c>
      <c r="R240" s="2" t="inlineStr"/>
    </row>
    <row r="241" ht="15" customHeight="1">
      <c r="A241" t="inlineStr">
        <is>
          <t>A 541-2025</t>
        </is>
      </c>
      <c r="B241" s="1" t="n">
        <v>45664.52034722222</v>
      </c>
      <c r="C241" s="1" t="n">
        <v>45884</v>
      </c>
      <c r="D241" t="inlineStr">
        <is>
          <t>ÖREBRO LÄN</t>
        </is>
      </c>
      <c r="E241" t="inlineStr">
        <is>
          <t>ÖREBRO</t>
        </is>
      </c>
      <c r="G241" t="n">
        <v>2.2</v>
      </c>
      <c r="H241" t="n">
        <v>0</v>
      </c>
      <c r="I241" t="n">
        <v>0</v>
      </c>
      <c r="J241" t="n">
        <v>0</v>
      </c>
      <c r="K241" t="n">
        <v>0</v>
      </c>
      <c r="L241" t="n">
        <v>0</v>
      </c>
      <c r="M241" t="n">
        <v>0</v>
      </c>
      <c r="N241" t="n">
        <v>0</v>
      </c>
      <c r="O241" t="n">
        <v>0</v>
      </c>
      <c r="P241" t="n">
        <v>0</v>
      </c>
      <c r="Q241" t="n">
        <v>0</v>
      </c>
      <c r="R241" s="2" t="inlineStr"/>
    </row>
    <row r="242" ht="15" customHeight="1">
      <c r="A242" t="inlineStr">
        <is>
          <t>A 14524-2025</t>
        </is>
      </c>
      <c r="B242" s="1" t="n">
        <v>45741.64815972222</v>
      </c>
      <c r="C242" s="1" t="n">
        <v>45884</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53143-2023</t>
        </is>
      </c>
      <c r="B243" s="1" t="n">
        <v>45229</v>
      </c>
      <c r="C243" s="1" t="n">
        <v>45884</v>
      </c>
      <c r="D243" t="inlineStr">
        <is>
          <t>ÖREBRO LÄN</t>
        </is>
      </c>
      <c r="E243" t="inlineStr">
        <is>
          <t>ÖREBRO</t>
        </is>
      </c>
      <c r="G243" t="n">
        <v>3.3</v>
      </c>
      <c r="H243" t="n">
        <v>0</v>
      </c>
      <c r="I243" t="n">
        <v>0</v>
      </c>
      <c r="J243" t="n">
        <v>0</v>
      </c>
      <c r="K243" t="n">
        <v>0</v>
      </c>
      <c r="L243" t="n">
        <v>0</v>
      </c>
      <c r="M243" t="n">
        <v>0</v>
      </c>
      <c r="N243" t="n">
        <v>0</v>
      </c>
      <c r="O243" t="n">
        <v>0</v>
      </c>
      <c r="P243" t="n">
        <v>0</v>
      </c>
      <c r="Q243" t="n">
        <v>0</v>
      </c>
      <c r="R243" s="2" t="inlineStr"/>
    </row>
    <row r="244" ht="15" customHeight="1">
      <c r="A244" t="inlineStr">
        <is>
          <t>A 25407-2021</t>
        </is>
      </c>
      <c r="B244" s="1" t="n">
        <v>44342</v>
      </c>
      <c r="C244" s="1" t="n">
        <v>45884</v>
      </c>
      <c r="D244" t="inlineStr">
        <is>
          <t>ÖREBRO LÄN</t>
        </is>
      </c>
      <c r="E244" t="inlineStr">
        <is>
          <t>ÖREBRO</t>
        </is>
      </c>
      <c r="F244" t="inlineStr">
        <is>
          <t>Kommuner</t>
        </is>
      </c>
      <c r="G244" t="n">
        <v>7.2</v>
      </c>
      <c r="H244" t="n">
        <v>0</v>
      </c>
      <c r="I244" t="n">
        <v>0</v>
      </c>
      <c r="J244" t="n">
        <v>0</v>
      </c>
      <c r="K244" t="n">
        <v>0</v>
      </c>
      <c r="L244" t="n">
        <v>0</v>
      </c>
      <c r="M244" t="n">
        <v>0</v>
      </c>
      <c r="N244" t="n">
        <v>0</v>
      </c>
      <c r="O244" t="n">
        <v>0</v>
      </c>
      <c r="P244" t="n">
        <v>0</v>
      </c>
      <c r="Q244" t="n">
        <v>0</v>
      </c>
      <c r="R244" s="2" t="inlineStr"/>
    </row>
    <row r="245" ht="15" customHeight="1">
      <c r="A245" t="inlineStr">
        <is>
          <t>A 15354-2024</t>
        </is>
      </c>
      <c r="B245" s="1" t="n">
        <v>45400.85319444445</v>
      </c>
      <c r="C245" s="1" t="n">
        <v>45884</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41543-2024</t>
        </is>
      </c>
      <c r="B246" s="1" t="n">
        <v>45560</v>
      </c>
      <c r="C246" s="1" t="n">
        <v>45884</v>
      </c>
      <c r="D246" t="inlineStr">
        <is>
          <t>ÖREBRO LÄN</t>
        </is>
      </c>
      <c r="E246" t="inlineStr">
        <is>
          <t>ÖREBRO</t>
        </is>
      </c>
      <c r="G246" t="n">
        <v>2.8</v>
      </c>
      <c r="H246" t="n">
        <v>0</v>
      </c>
      <c r="I246" t="n">
        <v>0</v>
      </c>
      <c r="J246" t="n">
        <v>0</v>
      </c>
      <c r="K246" t="n">
        <v>0</v>
      </c>
      <c r="L246" t="n">
        <v>0</v>
      </c>
      <c r="M246" t="n">
        <v>0</v>
      </c>
      <c r="N246" t="n">
        <v>0</v>
      </c>
      <c r="O246" t="n">
        <v>0</v>
      </c>
      <c r="P246" t="n">
        <v>0</v>
      </c>
      <c r="Q246" t="n">
        <v>0</v>
      </c>
      <c r="R246" s="2" t="inlineStr"/>
    </row>
    <row r="247" ht="15" customHeight="1">
      <c r="A247" t="inlineStr">
        <is>
          <t>A 71275-2021</t>
        </is>
      </c>
      <c r="B247" s="1" t="n">
        <v>44539</v>
      </c>
      <c r="C247" s="1" t="n">
        <v>45884</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71285-2021</t>
        </is>
      </c>
      <c r="B248" s="1" t="n">
        <v>44539.62236111111</v>
      </c>
      <c r="C248" s="1" t="n">
        <v>45884</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2658-2023</t>
        </is>
      </c>
      <c r="B249" s="1" t="n">
        <v>44944</v>
      </c>
      <c r="C249" s="1" t="n">
        <v>45884</v>
      </c>
      <c r="D249" t="inlineStr">
        <is>
          <t>ÖREBRO LÄN</t>
        </is>
      </c>
      <c r="E249" t="inlineStr">
        <is>
          <t>ÖREBRO</t>
        </is>
      </c>
      <c r="G249" t="n">
        <v>0.7</v>
      </c>
      <c r="H249" t="n">
        <v>0</v>
      </c>
      <c r="I249" t="n">
        <v>0</v>
      </c>
      <c r="J249" t="n">
        <v>0</v>
      </c>
      <c r="K249" t="n">
        <v>0</v>
      </c>
      <c r="L249" t="n">
        <v>0</v>
      </c>
      <c r="M249" t="n">
        <v>0</v>
      </c>
      <c r="N249" t="n">
        <v>0</v>
      </c>
      <c r="O249" t="n">
        <v>0</v>
      </c>
      <c r="P249" t="n">
        <v>0</v>
      </c>
      <c r="Q249" t="n">
        <v>0</v>
      </c>
      <c r="R249" s="2" t="inlineStr"/>
    </row>
    <row r="250" ht="15" customHeight="1">
      <c r="A250" t="inlineStr">
        <is>
          <t>A 55453-2024</t>
        </is>
      </c>
      <c r="B250" s="1" t="n">
        <v>45622.42097222222</v>
      </c>
      <c r="C250" s="1" t="n">
        <v>45884</v>
      </c>
      <c r="D250" t="inlineStr">
        <is>
          <t>ÖREBRO LÄN</t>
        </is>
      </c>
      <c r="E250" t="inlineStr">
        <is>
          <t>ÖREBRO</t>
        </is>
      </c>
      <c r="G250" t="n">
        <v>8.5</v>
      </c>
      <c r="H250" t="n">
        <v>0</v>
      </c>
      <c r="I250" t="n">
        <v>0</v>
      </c>
      <c r="J250" t="n">
        <v>0</v>
      </c>
      <c r="K250" t="n">
        <v>0</v>
      </c>
      <c r="L250" t="n">
        <v>0</v>
      </c>
      <c r="M250" t="n">
        <v>0</v>
      </c>
      <c r="N250" t="n">
        <v>0</v>
      </c>
      <c r="O250" t="n">
        <v>0</v>
      </c>
      <c r="P250" t="n">
        <v>0</v>
      </c>
      <c r="Q250" t="n">
        <v>0</v>
      </c>
      <c r="R250" s="2" t="inlineStr"/>
    </row>
    <row r="251" ht="15" customHeight="1">
      <c r="A251" t="inlineStr">
        <is>
          <t>A 32025-2024</t>
        </is>
      </c>
      <c r="B251" s="1" t="n">
        <v>45510.65754629629</v>
      </c>
      <c r="C251" s="1" t="n">
        <v>45884</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71288-2021</t>
        </is>
      </c>
      <c r="B252" s="1" t="n">
        <v>44539.62481481482</v>
      </c>
      <c r="C252" s="1" t="n">
        <v>45884</v>
      </c>
      <c r="D252" t="inlineStr">
        <is>
          <t>ÖREBRO LÄN</t>
        </is>
      </c>
      <c r="E252" t="inlineStr">
        <is>
          <t>ÖREBRO</t>
        </is>
      </c>
      <c r="G252" t="n">
        <v>3.9</v>
      </c>
      <c r="H252" t="n">
        <v>0</v>
      </c>
      <c r="I252" t="n">
        <v>0</v>
      </c>
      <c r="J252" t="n">
        <v>0</v>
      </c>
      <c r="K252" t="n">
        <v>0</v>
      </c>
      <c r="L252" t="n">
        <v>0</v>
      </c>
      <c r="M252" t="n">
        <v>0</v>
      </c>
      <c r="N252" t="n">
        <v>0</v>
      </c>
      <c r="O252" t="n">
        <v>0</v>
      </c>
      <c r="P252" t="n">
        <v>0</v>
      </c>
      <c r="Q252" t="n">
        <v>0</v>
      </c>
      <c r="R252" s="2" t="inlineStr"/>
    </row>
    <row r="253" ht="15" customHeight="1">
      <c r="A253" t="inlineStr">
        <is>
          <t>A 45027-2024</t>
        </is>
      </c>
      <c r="B253" s="1" t="n">
        <v>45575</v>
      </c>
      <c r="C253" s="1" t="n">
        <v>45884</v>
      </c>
      <c r="D253" t="inlineStr">
        <is>
          <t>ÖREBRO LÄN</t>
        </is>
      </c>
      <c r="E253" t="inlineStr">
        <is>
          <t>ÖREBRO</t>
        </is>
      </c>
      <c r="G253" t="n">
        <v>6.3</v>
      </c>
      <c r="H253" t="n">
        <v>0</v>
      </c>
      <c r="I253" t="n">
        <v>0</v>
      </c>
      <c r="J253" t="n">
        <v>0</v>
      </c>
      <c r="K253" t="n">
        <v>0</v>
      </c>
      <c r="L253" t="n">
        <v>0</v>
      </c>
      <c r="M253" t="n">
        <v>0</v>
      </c>
      <c r="N253" t="n">
        <v>0</v>
      </c>
      <c r="O253" t="n">
        <v>0</v>
      </c>
      <c r="P253" t="n">
        <v>0</v>
      </c>
      <c r="Q253" t="n">
        <v>0</v>
      </c>
      <c r="R253" s="2" t="inlineStr"/>
    </row>
    <row r="254" ht="15" customHeight="1">
      <c r="A254" t="inlineStr">
        <is>
          <t>A 45237-2023</t>
        </is>
      </c>
      <c r="B254" s="1" t="n">
        <v>45191</v>
      </c>
      <c r="C254" s="1" t="n">
        <v>45884</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16140-2023</t>
        </is>
      </c>
      <c r="B255" s="1" t="n">
        <v>45027.6433912037</v>
      </c>
      <c r="C255" s="1" t="n">
        <v>45884</v>
      </c>
      <c r="D255" t="inlineStr">
        <is>
          <t>ÖREBRO LÄN</t>
        </is>
      </c>
      <c r="E255" t="inlineStr">
        <is>
          <t>ÖREBRO</t>
        </is>
      </c>
      <c r="G255" t="n">
        <v>2</v>
      </c>
      <c r="H255" t="n">
        <v>0</v>
      </c>
      <c r="I255" t="n">
        <v>0</v>
      </c>
      <c r="J255" t="n">
        <v>0</v>
      </c>
      <c r="K255" t="n">
        <v>0</v>
      </c>
      <c r="L255" t="n">
        <v>0</v>
      </c>
      <c r="M255" t="n">
        <v>0</v>
      </c>
      <c r="N255" t="n">
        <v>0</v>
      </c>
      <c r="O255" t="n">
        <v>0</v>
      </c>
      <c r="P255" t="n">
        <v>0</v>
      </c>
      <c r="Q255" t="n">
        <v>0</v>
      </c>
      <c r="R255" s="2" t="inlineStr"/>
    </row>
    <row r="256" ht="15" customHeight="1">
      <c r="A256" t="inlineStr">
        <is>
          <t>A 52391-2024</t>
        </is>
      </c>
      <c r="B256" s="1" t="n">
        <v>45609.43180555556</v>
      </c>
      <c r="C256" s="1" t="n">
        <v>45884</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52401-2024</t>
        </is>
      </c>
      <c r="B257" s="1" t="n">
        <v>45609.44553240741</v>
      </c>
      <c r="C257" s="1" t="n">
        <v>45884</v>
      </c>
      <c r="D257" t="inlineStr">
        <is>
          <t>ÖREBRO LÄN</t>
        </is>
      </c>
      <c r="E257" t="inlineStr">
        <is>
          <t>ÖREBRO</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11382-2023</t>
        </is>
      </c>
      <c r="B258" s="1" t="n">
        <v>44993.45635416666</v>
      </c>
      <c r="C258" s="1" t="n">
        <v>45884</v>
      </c>
      <c r="D258" t="inlineStr">
        <is>
          <t>ÖREBRO LÄN</t>
        </is>
      </c>
      <c r="E258" t="inlineStr">
        <is>
          <t>ÖREBRO</t>
        </is>
      </c>
      <c r="G258" t="n">
        <v>3.3</v>
      </c>
      <c r="H258" t="n">
        <v>0</v>
      </c>
      <c r="I258" t="n">
        <v>0</v>
      </c>
      <c r="J258" t="n">
        <v>0</v>
      </c>
      <c r="K258" t="n">
        <v>0</v>
      </c>
      <c r="L258" t="n">
        <v>0</v>
      </c>
      <c r="M258" t="n">
        <v>0</v>
      </c>
      <c r="N258" t="n">
        <v>0</v>
      </c>
      <c r="O258" t="n">
        <v>0</v>
      </c>
      <c r="P258" t="n">
        <v>0</v>
      </c>
      <c r="Q258" t="n">
        <v>0</v>
      </c>
      <c r="R258" s="2" t="inlineStr"/>
    </row>
    <row r="259" ht="15" customHeight="1">
      <c r="A259" t="inlineStr">
        <is>
          <t>A 52016-2024</t>
        </is>
      </c>
      <c r="B259" s="1" t="n">
        <v>45607.81917824074</v>
      </c>
      <c r="C259" s="1" t="n">
        <v>45884</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27112-2023</t>
        </is>
      </c>
      <c r="B260" s="1" t="n">
        <v>45096</v>
      </c>
      <c r="C260" s="1" t="n">
        <v>45884</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16739-2022</t>
        </is>
      </c>
      <c r="B261" s="1" t="n">
        <v>44673</v>
      </c>
      <c r="C261" s="1" t="n">
        <v>45884</v>
      </c>
      <c r="D261" t="inlineStr">
        <is>
          <t>ÖREBRO LÄN</t>
        </is>
      </c>
      <c r="E261" t="inlineStr">
        <is>
          <t>ÖREBRO</t>
        </is>
      </c>
      <c r="G261" t="n">
        <v>4.7</v>
      </c>
      <c r="H261" t="n">
        <v>0</v>
      </c>
      <c r="I261" t="n">
        <v>0</v>
      </c>
      <c r="J261" t="n">
        <v>0</v>
      </c>
      <c r="K261" t="n">
        <v>0</v>
      </c>
      <c r="L261" t="n">
        <v>0</v>
      </c>
      <c r="M261" t="n">
        <v>0</v>
      </c>
      <c r="N261" t="n">
        <v>0</v>
      </c>
      <c r="O261" t="n">
        <v>0</v>
      </c>
      <c r="P261" t="n">
        <v>0</v>
      </c>
      <c r="Q261" t="n">
        <v>0</v>
      </c>
      <c r="R261" s="2" t="inlineStr"/>
    </row>
    <row r="262" ht="15" customHeight="1">
      <c r="A262" t="inlineStr">
        <is>
          <t>A 8331-2021</t>
        </is>
      </c>
      <c r="B262" s="1" t="n">
        <v>44244</v>
      </c>
      <c r="C262" s="1" t="n">
        <v>45884</v>
      </c>
      <c r="D262" t="inlineStr">
        <is>
          <t>ÖREBRO LÄN</t>
        </is>
      </c>
      <c r="E262" t="inlineStr">
        <is>
          <t>ÖREBRO</t>
        </is>
      </c>
      <c r="G262" t="n">
        <v>9.1</v>
      </c>
      <c r="H262" t="n">
        <v>0</v>
      </c>
      <c r="I262" t="n">
        <v>0</v>
      </c>
      <c r="J262" t="n">
        <v>0</v>
      </c>
      <c r="K262" t="n">
        <v>0</v>
      </c>
      <c r="L262" t="n">
        <v>0</v>
      </c>
      <c r="M262" t="n">
        <v>0</v>
      </c>
      <c r="N262" t="n">
        <v>0</v>
      </c>
      <c r="O262" t="n">
        <v>0</v>
      </c>
      <c r="P262" t="n">
        <v>0</v>
      </c>
      <c r="Q262" t="n">
        <v>0</v>
      </c>
      <c r="R262" s="2" t="inlineStr"/>
    </row>
    <row r="263" ht="15" customHeight="1">
      <c r="A263" t="inlineStr">
        <is>
          <t>A 13592-2023</t>
        </is>
      </c>
      <c r="B263" s="1" t="n">
        <v>45006.56870370371</v>
      </c>
      <c r="C263" s="1" t="n">
        <v>45884</v>
      </c>
      <c r="D263" t="inlineStr">
        <is>
          <t>ÖREBRO LÄN</t>
        </is>
      </c>
      <c r="E263" t="inlineStr">
        <is>
          <t>ÖREBRO</t>
        </is>
      </c>
      <c r="G263" t="n">
        <v>2</v>
      </c>
      <c r="H263" t="n">
        <v>0</v>
      </c>
      <c r="I263" t="n">
        <v>0</v>
      </c>
      <c r="J263" t="n">
        <v>0</v>
      </c>
      <c r="K263" t="n">
        <v>0</v>
      </c>
      <c r="L263" t="n">
        <v>0</v>
      </c>
      <c r="M263" t="n">
        <v>0</v>
      </c>
      <c r="N263" t="n">
        <v>0</v>
      </c>
      <c r="O263" t="n">
        <v>0</v>
      </c>
      <c r="P263" t="n">
        <v>0</v>
      </c>
      <c r="Q263" t="n">
        <v>0</v>
      </c>
      <c r="R263" s="2" t="inlineStr"/>
    </row>
    <row r="264" ht="15" customHeight="1">
      <c r="A264" t="inlineStr">
        <is>
          <t>A 40656-2023</t>
        </is>
      </c>
      <c r="B264" s="1" t="n">
        <v>45170</v>
      </c>
      <c r="C264" s="1" t="n">
        <v>45884</v>
      </c>
      <c r="D264" t="inlineStr">
        <is>
          <t>ÖREBRO LÄN</t>
        </is>
      </c>
      <c r="E264" t="inlineStr">
        <is>
          <t>ÖREBRO</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16739-2023</t>
        </is>
      </c>
      <c r="B265" s="1" t="n">
        <v>45030.72627314815</v>
      </c>
      <c r="C265" s="1" t="n">
        <v>45884</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26338-2021</t>
        </is>
      </c>
      <c r="B266" s="1" t="n">
        <v>44347</v>
      </c>
      <c r="C266" s="1" t="n">
        <v>45884</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12245-2023</t>
        </is>
      </c>
      <c r="B267" s="1" t="n">
        <v>44998.64402777778</v>
      </c>
      <c r="C267" s="1" t="n">
        <v>45884</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53234-2023</t>
        </is>
      </c>
      <c r="B268" s="1" t="n">
        <v>45229</v>
      </c>
      <c r="C268" s="1" t="n">
        <v>45884</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59757-2023</t>
        </is>
      </c>
      <c r="B269" s="1" t="n">
        <v>45257.40833333333</v>
      </c>
      <c r="C269" s="1" t="n">
        <v>45884</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11067-2025</t>
        </is>
      </c>
      <c r="B270" s="1" t="n">
        <v>45723</v>
      </c>
      <c r="C270" s="1" t="n">
        <v>45884</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3659-2025</t>
        </is>
      </c>
      <c r="B271" s="1" t="n">
        <v>45681</v>
      </c>
      <c r="C271" s="1" t="n">
        <v>45884</v>
      </c>
      <c r="D271" t="inlineStr">
        <is>
          <t>ÖREBRO LÄN</t>
        </is>
      </c>
      <c r="E271" t="inlineStr">
        <is>
          <t>ÖREBRO</t>
        </is>
      </c>
      <c r="G271" t="n">
        <v>15.8</v>
      </c>
      <c r="H271" t="n">
        <v>0</v>
      </c>
      <c r="I271" t="n">
        <v>0</v>
      </c>
      <c r="J271" t="n">
        <v>0</v>
      </c>
      <c r="K271" t="n">
        <v>0</v>
      </c>
      <c r="L271" t="n">
        <v>0</v>
      </c>
      <c r="M271" t="n">
        <v>0</v>
      </c>
      <c r="N271" t="n">
        <v>0</v>
      </c>
      <c r="O271" t="n">
        <v>0</v>
      </c>
      <c r="P271" t="n">
        <v>0</v>
      </c>
      <c r="Q271" t="n">
        <v>0</v>
      </c>
      <c r="R271" s="2" t="inlineStr"/>
    </row>
    <row r="272" ht="15" customHeight="1">
      <c r="A272" t="inlineStr">
        <is>
          <t>A 49465-2024</t>
        </is>
      </c>
      <c r="B272" s="1" t="n">
        <v>45596</v>
      </c>
      <c r="C272" s="1" t="n">
        <v>45884</v>
      </c>
      <c r="D272" t="inlineStr">
        <is>
          <t>ÖREBRO LÄN</t>
        </is>
      </c>
      <c r="E272" t="inlineStr">
        <is>
          <t>ÖREBRO</t>
        </is>
      </c>
      <c r="F272" t="inlineStr">
        <is>
          <t>Övriga Aktiebolag</t>
        </is>
      </c>
      <c r="G272" t="n">
        <v>21</v>
      </c>
      <c r="H272" t="n">
        <v>0</v>
      </c>
      <c r="I272" t="n">
        <v>0</v>
      </c>
      <c r="J272" t="n">
        <v>0</v>
      </c>
      <c r="K272" t="n">
        <v>0</v>
      </c>
      <c r="L272" t="n">
        <v>0</v>
      </c>
      <c r="M272" t="n">
        <v>0</v>
      </c>
      <c r="N272" t="n">
        <v>0</v>
      </c>
      <c r="O272" t="n">
        <v>0</v>
      </c>
      <c r="P272" t="n">
        <v>0</v>
      </c>
      <c r="Q272" t="n">
        <v>0</v>
      </c>
      <c r="R272" s="2" t="inlineStr"/>
    </row>
    <row r="273" ht="15" customHeight="1">
      <c r="A273" t="inlineStr">
        <is>
          <t>A 38842-2022</t>
        </is>
      </c>
      <c r="B273" s="1" t="n">
        <v>44814</v>
      </c>
      <c r="C273" s="1" t="n">
        <v>45884</v>
      </c>
      <c r="D273" t="inlineStr">
        <is>
          <t>ÖREBRO LÄN</t>
        </is>
      </c>
      <c r="E273" t="inlineStr">
        <is>
          <t>ÖREBRO</t>
        </is>
      </c>
      <c r="G273" t="n">
        <v>5</v>
      </c>
      <c r="H273" t="n">
        <v>0</v>
      </c>
      <c r="I273" t="n">
        <v>0</v>
      </c>
      <c r="J273" t="n">
        <v>0</v>
      </c>
      <c r="K273" t="n">
        <v>0</v>
      </c>
      <c r="L273" t="n">
        <v>0</v>
      </c>
      <c r="M273" t="n">
        <v>0</v>
      </c>
      <c r="N273" t="n">
        <v>0</v>
      </c>
      <c r="O273" t="n">
        <v>0</v>
      </c>
      <c r="P273" t="n">
        <v>0</v>
      </c>
      <c r="Q273" t="n">
        <v>0</v>
      </c>
      <c r="R273" s="2" t="inlineStr"/>
    </row>
    <row r="274" ht="15" customHeight="1">
      <c r="A274" t="inlineStr">
        <is>
          <t>A 13347-2023</t>
        </is>
      </c>
      <c r="B274" s="1" t="n">
        <v>45004</v>
      </c>
      <c r="C274" s="1" t="n">
        <v>45884</v>
      </c>
      <c r="D274" t="inlineStr">
        <is>
          <t>ÖREBRO LÄN</t>
        </is>
      </c>
      <c r="E274" t="inlineStr">
        <is>
          <t>ÖREBRO</t>
        </is>
      </c>
      <c r="G274" t="n">
        <v>1.3</v>
      </c>
      <c r="H274" t="n">
        <v>0</v>
      </c>
      <c r="I274" t="n">
        <v>0</v>
      </c>
      <c r="J274" t="n">
        <v>0</v>
      </c>
      <c r="K274" t="n">
        <v>0</v>
      </c>
      <c r="L274" t="n">
        <v>0</v>
      </c>
      <c r="M274" t="n">
        <v>0</v>
      </c>
      <c r="N274" t="n">
        <v>0</v>
      </c>
      <c r="O274" t="n">
        <v>0</v>
      </c>
      <c r="P274" t="n">
        <v>0</v>
      </c>
      <c r="Q274" t="n">
        <v>0</v>
      </c>
      <c r="R274" s="2" t="inlineStr"/>
    </row>
    <row r="275" ht="15" customHeight="1">
      <c r="A275" t="inlineStr">
        <is>
          <t>A 6752-2022</t>
        </is>
      </c>
      <c r="B275" s="1" t="n">
        <v>44602.48082175926</v>
      </c>
      <c r="C275" s="1" t="n">
        <v>45884</v>
      </c>
      <c r="D275" t="inlineStr">
        <is>
          <t>ÖREBRO LÄN</t>
        </is>
      </c>
      <c r="E275" t="inlineStr">
        <is>
          <t>ÖREBRO</t>
        </is>
      </c>
      <c r="G275" t="n">
        <v>3.1</v>
      </c>
      <c r="H275" t="n">
        <v>0</v>
      </c>
      <c r="I275" t="n">
        <v>0</v>
      </c>
      <c r="J275" t="n">
        <v>0</v>
      </c>
      <c r="K275" t="n">
        <v>0</v>
      </c>
      <c r="L275" t="n">
        <v>0</v>
      </c>
      <c r="M275" t="n">
        <v>0</v>
      </c>
      <c r="N275" t="n">
        <v>0</v>
      </c>
      <c r="O275" t="n">
        <v>0</v>
      </c>
      <c r="P275" t="n">
        <v>0</v>
      </c>
      <c r="Q275" t="n">
        <v>0</v>
      </c>
      <c r="R275" s="2" t="inlineStr"/>
    </row>
    <row r="276" ht="15" customHeight="1">
      <c r="A276" t="inlineStr">
        <is>
          <t>A 37022-2024</t>
        </is>
      </c>
      <c r="B276" s="1" t="n">
        <v>45539.3822337963</v>
      </c>
      <c r="C276" s="1" t="n">
        <v>45884</v>
      </c>
      <c r="D276" t="inlineStr">
        <is>
          <t>ÖREBRO LÄN</t>
        </is>
      </c>
      <c r="E276" t="inlineStr">
        <is>
          <t>ÖREBRO</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37024-2024</t>
        </is>
      </c>
      <c r="B277" s="1" t="n">
        <v>45539.38329861111</v>
      </c>
      <c r="C277" s="1" t="n">
        <v>45884</v>
      </c>
      <c r="D277" t="inlineStr">
        <is>
          <t>ÖREBRO LÄN</t>
        </is>
      </c>
      <c r="E277" t="inlineStr">
        <is>
          <t>ÖREBRO</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8008-2024</t>
        </is>
      </c>
      <c r="B278" s="1" t="n">
        <v>45350.6794212963</v>
      </c>
      <c r="C278" s="1" t="n">
        <v>45884</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57867-2024</t>
        </is>
      </c>
      <c r="B279" s="1" t="n">
        <v>45631.43864583333</v>
      </c>
      <c r="C279" s="1" t="n">
        <v>45884</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47047-2022</t>
        </is>
      </c>
      <c r="B280" s="1" t="n">
        <v>44852.39063657408</v>
      </c>
      <c r="C280" s="1" t="n">
        <v>45884</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46834-2022</t>
        </is>
      </c>
      <c r="B281" s="1" t="n">
        <v>44851</v>
      </c>
      <c r="C281" s="1" t="n">
        <v>45884</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13355-2023</t>
        </is>
      </c>
      <c r="B282" s="1" t="n">
        <v>45004</v>
      </c>
      <c r="C282" s="1" t="n">
        <v>45884</v>
      </c>
      <c r="D282" t="inlineStr">
        <is>
          <t>ÖREBRO LÄN</t>
        </is>
      </c>
      <c r="E282" t="inlineStr">
        <is>
          <t>ÖREBRO</t>
        </is>
      </c>
      <c r="G282" t="n">
        <v>2.3</v>
      </c>
      <c r="H282" t="n">
        <v>0</v>
      </c>
      <c r="I282" t="n">
        <v>0</v>
      </c>
      <c r="J282" t="n">
        <v>0</v>
      </c>
      <c r="K282" t="n">
        <v>0</v>
      </c>
      <c r="L282" t="n">
        <v>0</v>
      </c>
      <c r="M282" t="n">
        <v>0</v>
      </c>
      <c r="N282" t="n">
        <v>0</v>
      </c>
      <c r="O282" t="n">
        <v>0</v>
      </c>
      <c r="P282" t="n">
        <v>0</v>
      </c>
      <c r="Q282" t="n">
        <v>0</v>
      </c>
      <c r="R282" s="2" t="inlineStr"/>
    </row>
    <row r="283" ht="15" customHeight="1">
      <c r="A283" t="inlineStr">
        <is>
          <t>A 3789-2023</t>
        </is>
      </c>
      <c r="B283" s="1" t="n">
        <v>44951</v>
      </c>
      <c r="C283" s="1" t="n">
        <v>45884</v>
      </c>
      <c r="D283" t="inlineStr">
        <is>
          <t>ÖREBRO LÄN</t>
        </is>
      </c>
      <c r="E283" t="inlineStr">
        <is>
          <t>ÖREBRO</t>
        </is>
      </c>
      <c r="G283" t="n">
        <v>7.5</v>
      </c>
      <c r="H283" t="n">
        <v>0</v>
      </c>
      <c r="I283" t="n">
        <v>0</v>
      </c>
      <c r="J283" t="n">
        <v>0</v>
      </c>
      <c r="K283" t="n">
        <v>0</v>
      </c>
      <c r="L283" t="n">
        <v>0</v>
      </c>
      <c r="M283" t="n">
        <v>0</v>
      </c>
      <c r="N283" t="n">
        <v>0</v>
      </c>
      <c r="O283" t="n">
        <v>0</v>
      </c>
      <c r="P283" t="n">
        <v>0</v>
      </c>
      <c r="Q283" t="n">
        <v>0</v>
      </c>
      <c r="R283" s="2" t="inlineStr"/>
    </row>
    <row r="284" ht="15" customHeight="1">
      <c r="A284" t="inlineStr">
        <is>
          <t>A 14544-2023</t>
        </is>
      </c>
      <c r="B284" s="1" t="n">
        <v>45013</v>
      </c>
      <c r="C284" s="1" t="n">
        <v>45884</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71272-2021</t>
        </is>
      </c>
      <c r="B285" s="1" t="n">
        <v>44539.61571759259</v>
      </c>
      <c r="C285" s="1" t="n">
        <v>45884</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57869-2024</t>
        </is>
      </c>
      <c r="B286" s="1" t="n">
        <v>45631.44207175926</v>
      </c>
      <c r="C286" s="1" t="n">
        <v>45884</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11565-2023</t>
        </is>
      </c>
      <c r="B287" s="1" t="n">
        <v>44994</v>
      </c>
      <c r="C287" s="1" t="n">
        <v>45884</v>
      </c>
      <c r="D287" t="inlineStr">
        <is>
          <t>ÖREBRO LÄN</t>
        </is>
      </c>
      <c r="E287" t="inlineStr">
        <is>
          <t>ÖREBRO</t>
        </is>
      </c>
      <c r="G287" t="n">
        <v>4.7</v>
      </c>
      <c r="H287" t="n">
        <v>0</v>
      </c>
      <c r="I287" t="n">
        <v>0</v>
      </c>
      <c r="J287" t="n">
        <v>0</v>
      </c>
      <c r="K287" t="n">
        <v>0</v>
      </c>
      <c r="L287" t="n">
        <v>0</v>
      </c>
      <c r="M287" t="n">
        <v>0</v>
      </c>
      <c r="N287" t="n">
        <v>0</v>
      </c>
      <c r="O287" t="n">
        <v>0</v>
      </c>
      <c r="P287" t="n">
        <v>0</v>
      </c>
      <c r="Q287" t="n">
        <v>0</v>
      </c>
      <c r="R287" s="2" t="inlineStr"/>
    </row>
    <row r="288" ht="15" customHeight="1">
      <c r="A288" t="inlineStr">
        <is>
          <t>A 3120-2022</t>
        </is>
      </c>
      <c r="B288" s="1" t="n">
        <v>44582</v>
      </c>
      <c r="C288" s="1" t="n">
        <v>45884</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19388-2024</t>
        </is>
      </c>
      <c r="B289" s="1" t="n">
        <v>45429.37775462963</v>
      </c>
      <c r="C289" s="1" t="n">
        <v>45884</v>
      </c>
      <c r="D289" t="inlineStr">
        <is>
          <t>ÖREBRO LÄN</t>
        </is>
      </c>
      <c r="E289" t="inlineStr">
        <is>
          <t>ÖREBRO</t>
        </is>
      </c>
      <c r="G289" t="n">
        <v>4.3</v>
      </c>
      <c r="H289" t="n">
        <v>0</v>
      </c>
      <c r="I289" t="n">
        <v>0</v>
      </c>
      <c r="J289" t="n">
        <v>0</v>
      </c>
      <c r="K289" t="n">
        <v>0</v>
      </c>
      <c r="L289" t="n">
        <v>0</v>
      </c>
      <c r="M289" t="n">
        <v>0</v>
      </c>
      <c r="N289" t="n">
        <v>0</v>
      </c>
      <c r="O289" t="n">
        <v>0</v>
      </c>
      <c r="P289" t="n">
        <v>0</v>
      </c>
      <c r="Q289" t="n">
        <v>0</v>
      </c>
      <c r="R289" s="2" t="inlineStr"/>
    </row>
    <row r="290" ht="15" customHeight="1">
      <c r="A290" t="inlineStr">
        <is>
          <t>A 58598-2022</t>
        </is>
      </c>
      <c r="B290" s="1" t="n">
        <v>44902</v>
      </c>
      <c r="C290" s="1" t="n">
        <v>45884</v>
      </c>
      <c r="D290" t="inlineStr">
        <is>
          <t>ÖREBRO LÄN</t>
        </is>
      </c>
      <c r="E290" t="inlineStr">
        <is>
          <t>ÖREBRO</t>
        </is>
      </c>
      <c r="G290" t="n">
        <v>0.4</v>
      </c>
      <c r="H290" t="n">
        <v>0</v>
      </c>
      <c r="I290" t="n">
        <v>0</v>
      </c>
      <c r="J290" t="n">
        <v>0</v>
      </c>
      <c r="K290" t="n">
        <v>0</v>
      </c>
      <c r="L290" t="n">
        <v>0</v>
      </c>
      <c r="M290" t="n">
        <v>0</v>
      </c>
      <c r="N290" t="n">
        <v>0</v>
      </c>
      <c r="O290" t="n">
        <v>0</v>
      </c>
      <c r="P290" t="n">
        <v>0</v>
      </c>
      <c r="Q290" t="n">
        <v>0</v>
      </c>
      <c r="R290" s="2" t="inlineStr"/>
    </row>
    <row r="291" ht="15" customHeight="1">
      <c r="A291" t="inlineStr">
        <is>
          <t>A 65257-2023</t>
        </is>
      </c>
      <c r="B291" s="1" t="n">
        <v>45290</v>
      </c>
      <c r="C291" s="1" t="n">
        <v>45884</v>
      </c>
      <c r="D291" t="inlineStr">
        <is>
          <t>ÖREBRO LÄN</t>
        </is>
      </c>
      <c r="E291" t="inlineStr">
        <is>
          <t>ÖREBRO</t>
        </is>
      </c>
      <c r="F291" t="inlineStr">
        <is>
          <t>Övriga Aktiebolag</t>
        </is>
      </c>
      <c r="G291" t="n">
        <v>2.4</v>
      </c>
      <c r="H291" t="n">
        <v>0</v>
      </c>
      <c r="I291" t="n">
        <v>0</v>
      </c>
      <c r="J291" t="n">
        <v>0</v>
      </c>
      <c r="K291" t="n">
        <v>0</v>
      </c>
      <c r="L291" t="n">
        <v>0</v>
      </c>
      <c r="M291" t="n">
        <v>0</v>
      </c>
      <c r="N291" t="n">
        <v>0</v>
      </c>
      <c r="O291" t="n">
        <v>0</v>
      </c>
      <c r="P291" t="n">
        <v>0</v>
      </c>
      <c r="Q291" t="n">
        <v>0</v>
      </c>
      <c r="R291" s="2" t="inlineStr"/>
    </row>
    <row r="292" ht="15" customHeight="1">
      <c r="A292" t="inlineStr">
        <is>
          <t>A 13158-2024</t>
        </is>
      </c>
      <c r="B292" s="1" t="n">
        <v>45386.38728009259</v>
      </c>
      <c r="C292" s="1" t="n">
        <v>45884</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1647-2024</t>
        </is>
      </c>
      <c r="B293" s="1" t="n">
        <v>45306</v>
      </c>
      <c r="C293" s="1" t="n">
        <v>45884</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31906-2023</t>
        </is>
      </c>
      <c r="B294" s="1" t="n">
        <v>45118.8353125</v>
      </c>
      <c r="C294" s="1" t="n">
        <v>45884</v>
      </c>
      <c r="D294" t="inlineStr">
        <is>
          <t>ÖREBRO LÄN</t>
        </is>
      </c>
      <c r="E294" t="inlineStr">
        <is>
          <t>ÖREBRO</t>
        </is>
      </c>
      <c r="G294" t="n">
        <v>9</v>
      </c>
      <c r="H294" t="n">
        <v>0</v>
      </c>
      <c r="I294" t="n">
        <v>0</v>
      </c>
      <c r="J294" t="n">
        <v>0</v>
      </c>
      <c r="K294" t="n">
        <v>0</v>
      </c>
      <c r="L294" t="n">
        <v>0</v>
      </c>
      <c r="M294" t="n">
        <v>0</v>
      </c>
      <c r="N294" t="n">
        <v>0</v>
      </c>
      <c r="O294" t="n">
        <v>0</v>
      </c>
      <c r="P294" t="n">
        <v>0</v>
      </c>
      <c r="Q294" t="n">
        <v>0</v>
      </c>
      <c r="R294" s="2" t="inlineStr"/>
    </row>
    <row r="295" ht="15" customHeight="1">
      <c r="A295" t="inlineStr">
        <is>
          <t>A 22510-2024</t>
        </is>
      </c>
      <c r="B295" s="1" t="n">
        <v>45447.37440972222</v>
      </c>
      <c r="C295" s="1" t="n">
        <v>45884</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40597-2021</t>
        </is>
      </c>
      <c r="B296" s="1" t="n">
        <v>44420</v>
      </c>
      <c r="C296" s="1" t="n">
        <v>45884</v>
      </c>
      <c r="D296" t="inlineStr">
        <is>
          <t>ÖREBRO LÄN</t>
        </is>
      </c>
      <c r="E296" t="inlineStr">
        <is>
          <t>ÖREBRO</t>
        </is>
      </c>
      <c r="G296" t="n">
        <v>2.1</v>
      </c>
      <c r="H296" t="n">
        <v>0</v>
      </c>
      <c r="I296" t="n">
        <v>0</v>
      </c>
      <c r="J296" t="n">
        <v>0</v>
      </c>
      <c r="K296" t="n">
        <v>0</v>
      </c>
      <c r="L296" t="n">
        <v>0</v>
      </c>
      <c r="M296" t="n">
        <v>0</v>
      </c>
      <c r="N296" t="n">
        <v>0</v>
      </c>
      <c r="O296" t="n">
        <v>0</v>
      </c>
      <c r="P296" t="n">
        <v>0</v>
      </c>
      <c r="Q296" t="n">
        <v>0</v>
      </c>
      <c r="R296" s="2" t="inlineStr"/>
    </row>
    <row r="297" ht="15" customHeight="1">
      <c r="A297" t="inlineStr">
        <is>
          <t>A 31326-2024</t>
        </is>
      </c>
      <c r="B297" s="1" t="n">
        <v>45504.5934375</v>
      </c>
      <c r="C297" s="1" t="n">
        <v>45884</v>
      </c>
      <c r="D297" t="inlineStr">
        <is>
          <t>ÖREBRO LÄN</t>
        </is>
      </c>
      <c r="E297" t="inlineStr">
        <is>
          <t>ÖREBRO</t>
        </is>
      </c>
      <c r="G297" t="n">
        <v>6.4</v>
      </c>
      <c r="H297" t="n">
        <v>0</v>
      </c>
      <c r="I297" t="n">
        <v>0</v>
      </c>
      <c r="J297" t="n">
        <v>0</v>
      </c>
      <c r="K297" t="n">
        <v>0</v>
      </c>
      <c r="L297" t="n">
        <v>0</v>
      </c>
      <c r="M297" t="n">
        <v>0</v>
      </c>
      <c r="N297" t="n">
        <v>0</v>
      </c>
      <c r="O297" t="n">
        <v>0</v>
      </c>
      <c r="P297" t="n">
        <v>0</v>
      </c>
      <c r="Q297" t="n">
        <v>0</v>
      </c>
      <c r="R297" s="2" t="inlineStr"/>
    </row>
    <row r="298" ht="15" customHeight="1">
      <c r="A298" t="inlineStr">
        <is>
          <t>A 20589-2024</t>
        </is>
      </c>
      <c r="B298" s="1" t="n">
        <v>45436.42077546296</v>
      </c>
      <c r="C298" s="1" t="n">
        <v>45884</v>
      </c>
      <c r="D298" t="inlineStr">
        <is>
          <t>ÖREBRO LÄN</t>
        </is>
      </c>
      <c r="E298" t="inlineStr">
        <is>
          <t>ÖREBRO</t>
        </is>
      </c>
      <c r="G298" t="n">
        <v>3.7</v>
      </c>
      <c r="H298" t="n">
        <v>0</v>
      </c>
      <c r="I298" t="n">
        <v>0</v>
      </c>
      <c r="J298" t="n">
        <v>0</v>
      </c>
      <c r="K298" t="n">
        <v>0</v>
      </c>
      <c r="L298" t="n">
        <v>0</v>
      </c>
      <c r="M298" t="n">
        <v>0</v>
      </c>
      <c r="N298" t="n">
        <v>0</v>
      </c>
      <c r="O298" t="n">
        <v>0</v>
      </c>
      <c r="P298" t="n">
        <v>0</v>
      </c>
      <c r="Q298" t="n">
        <v>0</v>
      </c>
      <c r="R298" s="2" t="inlineStr"/>
    </row>
    <row r="299" ht="15" customHeight="1">
      <c r="A299" t="inlineStr">
        <is>
          <t>A 70719-2021</t>
        </is>
      </c>
      <c r="B299" s="1" t="n">
        <v>44537</v>
      </c>
      <c r="C299" s="1" t="n">
        <v>45884</v>
      </c>
      <c r="D299" t="inlineStr">
        <is>
          <t>ÖREBRO LÄN</t>
        </is>
      </c>
      <c r="E299" t="inlineStr">
        <is>
          <t>ÖREBRO</t>
        </is>
      </c>
      <c r="G299" t="n">
        <v>4.3</v>
      </c>
      <c r="H299" t="n">
        <v>0</v>
      </c>
      <c r="I299" t="n">
        <v>0</v>
      </c>
      <c r="J299" t="n">
        <v>0</v>
      </c>
      <c r="K299" t="n">
        <v>0</v>
      </c>
      <c r="L299" t="n">
        <v>0</v>
      </c>
      <c r="M299" t="n">
        <v>0</v>
      </c>
      <c r="N299" t="n">
        <v>0</v>
      </c>
      <c r="O299" t="n">
        <v>0</v>
      </c>
      <c r="P299" t="n">
        <v>0</v>
      </c>
      <c r="Q299" t="n">
        <v>0</v>
      </c>
      <c r="R299" s="2" t="inlineStr"/>
    </row>
    <row r="300" ht="15" customHeight="1">
      <c r="A300" t="inlineStr">
        <is>
          <t>A 2318-2023</t>
        </is>
      </c>
      <c r="B300" s="1" t="n">
        <v>44942</v>
      </c>
      <c r="C300" s="1" t="n">
        <v>45884</v>
      </c>
      <c r="D300" t="inlineStr">
        <is>
          <t>ÖREBRO LÄN</t>
        </is>
      </c>
      <c r="E300" t="inlineStr">
        <is>
          <t>ÖREBRO</t>
        </is>
      </c>
      <c r="G300" t="n">
        <v>1.9</v>
      </c>
      <c r="H300" t="n">
        <v>0</v>
      </c>
      <c r="I300" t="n">
        <v>0</v>
      </c>
      <c r="J300" t="n">
        <v>0</v>
      </c>
      <c r="K300" t="n">
        <v>0</v>
      </c>
      <c r="L300" t="n">
        <v>0</v>
      </c>
      <c r="M300" t="n">
        <v>0</v>
      </c>
      <c r="N300" t="n">
        <v>0</v>
      </c>
      <c r="O300" t="n">
        <v>0</v>
      </c>
      <c r="P300" t="n">
        <v>0</v>
      </c>
      <c r="Q300" t="n">
        <v>0</v>
      </c>
      <c r="R300" s="2" t="inlineStr"/>
    </row>
    <row r="301" ht="15" customHeight="1">
      <c r="A301" t="inlineStr">
        <is>
          <t>A 16694-2025</t>
        </is>
      </c>
      <c r="B301" s="1" t="n">
        <v>45754.46480324074</v>
      </c>
      <c r="C301" s="1" t="n">
        <v>45884</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30374-2023</t>
        </is>
      </c>
      <c r="B302" s="1" t="n">
        <v>45111</v>
      </c>
      <c r="C302" s="1" t="n">
        <v>45884</v>
      </c>
      <c r="D302" t="inlineStr">
        <is>
          <t>ÖREBRO LÄN</t>
        </is>
      </c>
      <c r="E302" t="inlineStr">
        <is>
          <t>ÖREBRO</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38898-2023</t>
        </is>
      </c>
      <c r="B303" s="1" t="n">
        <v>45163</v>
      </c>
      <c r="C303" s="1" t="n">
        <v>45884</v>
      </c>
      <c r="D303" t="inlineStr">
        <is>
          <t>ÖREBRO LÄN</t>
        </is>
      </c>
      <c r="E303" t="inlineStr">
        <is>
          <t>ÖREBRO</t>
        </is>
      </c>
      <c r="G303" t="n">
        <v>5.1</v>
      </c>
      <c r="H303" t="n">
        <v>0</v>
      </c>
      <c r="I303" t="n">
        <v>0</v>
      </c>
      <c r="J303" t="n">
        <v>0</v>
      </c>
      <c r="K303" t="n">
        <v>0</v>
      </c>
      <c r="L303" t="n">
        <v>0</v>
      </c>
      <c r="M303" t="n">
        <v>0</v>
      </c>
      <c r="N303" t="n">
        <v>0</v>
      </c>
      <c r="O303" t="n">
        <v>0</v>
      </c>
      <c r="P303" t="n">
        <v>0</v>
      </c>
      <c r="Q303" t="n">
        <v>0</v>
      </c>
      <c r="R303" s="2" t="inlineStr"/>
    </row>
    <row r="304" ht="15" customHeight="1">
      <c r="A304" t="inlineStr">
        <is>
          <t>A 5764-2022</t>
        </is>
      </c>
      <c r="B304" s="1" t="n">
        <v>44596</v>
      </c>
      <c r="C304" s="1" t="n">
        <v>45884</v>
      </c>
      <c r="D304" t="inlineStr">
        <is>
          <t>ÖREBRO LÄN</t>
        </is>
      </c>
      <c r="E304" t="inlineStr">
        <is>
          <t>ÖREBRO</t>
        </is>
      </c>
      <c r="G304" t="n">
        <v>3.5</v>
      </c>
      <c r="H304" t="n">
        <v>0</v>
      </c>
      <c r="I304" t="n">
        <v>0</v>
      </c>
      <c r="J304" t="n">
        <v>0</v>
      </c>
      <c r="K304" t="n">
        <v>0</v>
      </c>
      <c r="L304" t="n">
        <v>0</v>
      </c>
      <c r="M304" t="n">
        <v>0</v>
      </c>
      <c r="N304" t="n">
        <v>0</v>
      </c>
      <c r="O304" t="n">
        <v>0</v>
      </c>
      <c r="P304" t="n">
        <v>0</v>
      </c>
      <c r="Q304" t="n">
        <v>0</v>
      </c>
      <c r="R304" s="2" t="inlineStr"/>
    </row>
    <row r="305" ht="15" customHeight="1">
      <c r="A305" t="inlineStr">
        <is>
          <t>A 21036-2024</t>
        </is>
      </c>
      <c r="B305" s="1" t="n">
        <v>45439.65954861111</v>
      </c>
      <c r="C305" s="1" t="n">
        <v>45884</v>
      </c>
      <c r="D305" t="inlineStr">
        <is>
          <t>ÖREBRO LÄN</t>
        </is>
      </c>
      <c r="E305" t="inlineStr">
        <is>
          <t>ÖREBRO</t>
        </is>
      </c>
      <c r="F305" t="inlineStr">
        <is>
          <t>Övriga Aktiebolag</t>
        </is>
      </c>
      <c r="G305" t="n">
        <v>5.7</v>
      </c>
      <c r="H305" t="n">
        <v>0</v>
      </c>
      <c r="I305" t="n">
        <v>0</v>
      </c>
      <c r="J305" t="n">
        <v>0</v>
      </c>
      <c r="K305" t="n">
        <v>0</v>
      </c>
      <c r="L305" t="n">
        <v>0</v>
      </c>
      <c r="M305" t="n">
        <v>0</v>
      </c>
      <c r="N305" t="n">
        <v>0</v>
      </c>
      <c r="O305" t="n">
        <v>0</v>
      </c>
      <c r="P305" t="n">
        <v>0</v>
      </c>
      <c r="Q305" t="n">
        <v>0</v>
      </c>
      <c r="R305" s="2" t="inlineStr"/>
    </row>
    <row r="306" ht="15" customHeight="1">
      <c r="A306" t="inlineStr">
        <is>
          <t>A 20121-2024</t>
        </is>
      </c>
      <c r="B306" s="1" t="n">
        <v>45434</v>
      </c>
      <c r="C306" s="1" t="n">
        <v>45884</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20150-2024</t>
        </is>
      </c>
      <c r="B307" s="1" t="n">
        <v>45434.57969907407</v>
      </c>
      <c r="C307" s="1" t="n">
        <v>45884</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767-2024</t>
        </is>
      </c>
      <c r="B308" s="1" t="n">
        <v>45300.51892361111</v>
      </c>
      <c r="C308" s="1" t="n">
        <v>45884</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18661-2025</t>
        </is>
      </c>
      <c r="B309" s="1" t="n">
        <v>45763.58675925926</v>
      </c>
      <c r="C309" s="1" t="n">
        <v>45884</v>
      </c>
      <c r="D309" t="inlineStr">
        <is>
          <t>ÖREBRO LÄN</t>
        </is>
      </c>
      <c r="E309" t="inlineStr">
        <is>
          <t>ÖREBRO</t>
        </is>
      </c>
      <c r="G309" t="n">
        <v>3.7</v>
      </c>
      <c r="H309" t="n">
        <v>0</v>
      </c>
      <c r="I309" t="n">
        <v>0</v>
      </c>
      <c r="J309" t="n">
        <v>0</v>
      </c>
      <c r="K309" t="n">
        <v>0</v>
      </c>
      <c r="L309" t="n">
        <v>0</v>
      </c>
      <c r="M309" t="n">
        <v>0</v>
      </c>
      <c r="N309" t="n">
        <v>0</v>
      </c>
      <c r="O309" t="n">
        <v>0</v>
      </c>
      <c r="P309" t="n">
        <v>0</v>
      </c>
      <c r="Q309" t="n">
        <v>0</v>
      </c>
      <c r="R309" s="2" t="inlineStr"/>
    </row>
    <row r="310" ht="15" customHeight="1">
      <c r="A310" t="inlineStr">
        <is>
          <t>A 52441-2024</t>
        </is>
      </c>
      <c r="B310" s="1" t="n">
        <v>45609.48451388889</v>
      </c>
      <c r="C310" s="1" t="n">
        <v>45884</v>
      </c>
      <c r="D310" t="inlineStr">
        <is>
          <t>ÖREBRO LÄN</t>
        </is>
      </c>
      <c r="E310" t="inlineStr">
        <is>
          <t>ÖREBRO</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58611-2024</t>
        </is>
      </c>
      <c r="B311" s="1" t="n">
        <v>45635.55555555555</v>
      </c>
      <c r="C311" s="1" t="n">
        <v>45884</v>
      </c>
      <c r="D311" t="inlineStr">
        <is>
          <t>ÖREBRO LÄN</t>
        </is>
      </c>
      <c r="E311" t="inlineStr">
        <is>
          <t>ÖREBRO</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8332-2021</t>
        </is>
      </c>
      <c r="B312" s="1" t="n">
        <v>44244</v>
      </c>
      <c r="C312" s="1" t="n">
        <v>45884</v>
      </c>
      <c r="D312" t="inlineStr">
        <is>
          <t>ÖREBRO LÄN</t>
        </is>
      </c>
      <c r="E312" t="inlineStr">
        <is>
          <t>ÖREBRO</t>
        </is>
      </c>
      <c r="G312" t="n">
        <v>11</v>
      </c>
      <c r="H312" t="n">
        <v>0</v>
      </c>
      <c r="I312" t="n">
        <v>0</v>
      </c>
      <c r="J312" t="n">
        <v>0</v>
      </c>
      <c r="K312" t="n">
        <v>0</v>
      </c>
      <c r="L312" t="n">
        <v>0</v>
      </c>
      <c r="M312" t="n">
        <v>0</v>
      </c>
      <c r="N312" t="n">
        <v>0</v>
      </c>
      <c r="O312" t="n">
        <v>0</v>
      </c>
      <c r="P312" t="n">
        <v>0</v>
      </c>
      <c r="Q312" t="n">
        <v>0</v>
      </c>
      <c r="R312" s="2" t="inlineStr"/>
    </row>
    <row r="313" ht="15" customHeight="1">
      <c r="A313" t="inlineStr">
        <is>
          <t>A 1492-2022</t>
        </is>
      </c>
      <c r="B313" s="1" t="n">
        <v>44573</v>
      </c>
      <c r="C313" s="1" t="n">
        <v>45884</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38075-2022</t>
        </is>
      </c>
      <c r="B314" s="1" t="n">
        <v>44811</v>
      </c>
      <c r="C314" s="1" t="n">
        <v>45884</v>
      </c>
      <c r="D314" t="inlineStr">
        <is>
          <t>ÖREBRO LÄN</t>
        </is>
      </c>
      <c r="E314" t="inlineStr">
        <is>
          <t>ÖREBRO</t>
        </is>
      </c>
      <c r="G314" t="n">
        <v>0.2</v>
      </c>
      <c r="H314" t="n">
        <v>0</v>
      </c>
      <c r="I314" t="n">
        <v>0</v>
      </c>
      <c r="J314" t="n">
        <v>0</v>
      </c>
      <c r="K314" t="n">
        <v>0</v>
      </c>
      <c r="L314" t="n">
        <v>0</v>
      </c>
      <c r="M314" t="n">
        <v>0</v>
      </c>
      <c r="N314" t="n">
        <v>0</v>
      </c>
      <c r="O314" t="n">
        <v>0</v>
      </c>
      <c r="P314" t="n">
        <v>0</v>
      </c>
      <c r="Q314" t="n">
        <v>0</v>
      </c>
      <c r="R314" s="2" t="inlineStr"/>
    </row>
    <row r="315" ht="15" customHeight="1">
      <c r="A315" t="inlineStr">
        <is>
          <t>A 19831-2021</t>
        </is>
      </c>
      <c r="B315" s="1" t="n">
        <v>44313</v>
      </c>
      <c r="C315" s="1" t="n">
        <v>45884</v>
      </c>
      <c r="D315" t="inlineStr">
        <is>
          <t>ÖREBRO LÄN</t>
        </is>
      </c>
      <c r="E315" t="inlineStr">
        <is>
          <t>ÖREBRO</t>
        </is>
      </c>
      <c r="G315" t="n">
        <v>3.2</v>
      </c>
      <c r="H315" t="n">
        <v>0</v>
      </c>
      <c r="I315" t="n">
        <v>0</v>
      </c>
      <c r="J315" t="n">
        <v>0</v>
      </c>
      <c r="K315" t="n">
        <v>0</v>
      </c>
      <c r="L315" t="n">
        <v>0</v>
      </c>
      <c r="M315" t="n">
        <v>0</v>
      </c>
      <c r="N315" t="n">
        <v>0</v>
      </c>
      <c r="O315" t="n">
        <v>0</v>
      </c>
      <c r="P315" t="n">
        <v>0</v>
      </c>
      <c r="Q315" t="n">
        <v>0</v>
      </c>
      <c r="R315" s="2" t="inlineStr"/>
    </row>
    <row r="316" ht="15" customHeight="1">
      <c r="A316" t="inlineStr">
        <is>
          <t>A 5133-2024</t>
        </is>
      </c>
      <c r="B316" s="1" t="n">
        <v>45330</v>
      </c>
      <c r="C316" s="1" t="n">
        <v>45884</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58219-2024</t>
        </is>
      </c>
      <c r="B317" s="1" t="n">
        <v>45632</v>
      </c>
      <c r="C317" s="1" t="n">
        <v>45884</v>
      </c>
      <c r="D317" t="inlineStr">
        <is>
          <t>ÖREBRO LÄN</t>
        </is>
      </c>
      <c r="E317" t="inlineStr">
        <is>
          <t>ÖREBRO</t>
        </is>
      </c>
      <c r="G317" t="n">
        <v>1.1</v>
      </c>
      <c r="H317" t="n">
        <v>0</v>
      </c>
      <c r="I317" t="n">
        <v>0</v>
      </c>
      <c r="J317" t="n">
        <v>0</v>
      </c>
      <c r="K317" t="n">
        <v>0</v>
      </c>
      <c r="L317" t="n">
        <v>0</v>
      </c>
      <c r="M317" t="n">
        <v>0</v>
      </c>
      <c r="N317" t="n">
        <v>0</v>
      </c>
      <c r="O317" t="n">
        <v>0</v>
      </c>
      <c r="P317" t="n">
        <v>0</v>
      </c>
      <c r="Q317" t="n">
        <v>0</v>
      </c>
      <c r="R317" s="2" t="inlineStr"/>
    </row>
    <row r="318" ht="15" customHeight="1">
      <c r="A318" t="inlineStr">
        <is>
          <t>A 5946-2021</t>
        </is>
      </c>
      <c r="B318" s="1" t="n">
        <v>44230</v>
      </c>
      <c r="C318" s="1" t="n">
        <v>45884</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38691-2020</t>
        </is>
      </c>
      <c r="B319" s="1" t="n">
        <v>44061</v>
      </c>
      <c r="C319" s="1" t="n">
        <v>45884</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58615-2024</t>
        </is>
      </c>
      <c r="B320" s="1" t="n">
        <v>45635.5587037037</v>
      </c>
      <c r="C320" s="1" t="n">
        <v>45884</v>
      </c>
      <c r="D320" t="inlineStr">
        <is>
          <t>ÖREBRO LÄN</t>
        </is>
      </c>
      <c r="E320" t="inlineStr">
        <is>
          <t>ÖREBRO</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58620-2024</t>
        </is>
      </c>
      <c r="B321" s="1" t="n">
        <v>45635.56246527778</v>
      </c>
      <c r="C321" s="1" t="n">
        <v>45884</v>
      </c>
      <c r="D321" t="inlineStr">
        <is>
          <t>ÖREBRO LÄN</t>
        </is>
      </c>
      <c r="E321" t="inlineStr">
        <is>
          <t>ÖREBRO</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1014-2024</t>
        </is>
      </c>
      <c r="B322" s="1" t="n">
        <v>45301</v>
      </c>
      <c r="C322" s="1" t="n">
        <v>45884</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30472-2022</t>
        </is>
      </c>
      <c r="B323" s="1" t="n">
        <v>44761.70467592592</v>
      </c>
      <c r="C323" s="1" t="n">
        <v>45884</v>
      </c>
      <c r="D323" t="inlineStr">
        <is>
          <t>ÖREBRO LÄN</t>
        </is>
      </c>
      <c r="E323" t="inlineStr">
        <is>
          <t>ÖREBRO</t>
        </is>
      </c>
      <c r="F323" t="inlineStr">
        <is>
          <t>Övriga Aktiebolag</t>
        </is>
      </c>
      <c r="G323" t="n">
        <v>5.6</v>
      </c>
      <c r="H323" t="n">
        <v>0</v>
      </c>
      <c r="I323" t="n">
        <v>0</v>
      </c>
      <c r="J323" t="n">
        <v>0</v>
      </c>
      <c r="K323" t="n">
        <v>0</v>
      </c>
      <c r="L323" t="n">
        <v>0</v>
      </c>
      <c r="M323" t="n">
        <v>0</v>
      </c>
      <c r="N323" t="n">
        <v>0</v>
      </c>
      <c r="O323" t="n">
        <v>0</v>
      </c>
      <c r="P323" t="n">
        <v>0</v>
      </c>
      <c r="Q323" t="n">
        <v>0</v>
      </c>
      <c r="R323" s="2" t="inlineStr"/>
    </row>
    <row r="324" ht="15" customHeight="1">
      <c r="A324" t="inlineStr">
        <is>
          <t>A 34056-2023</t>
        </is>
      </c>
      <c r="B324" s="1" t="n">
        <v>45135</v>
      </c>
      <c r="C324" s="1" t="n">
        <v>45884</v>
      </c>
      <c r="D324" t="inlineStr">
        <is>
          <t>ÖREBRO LÄN</t>
        </is>
      </c>
      <c r="E324" t="inlineStr">
        <is>
          <t>ÖREBRO</t>
        </is>
      </c>
      <c r="F324" t="inlineStr">
        <is>
          <t>Övriga Aktiebolag</t>
        </is>
      </c>
      <c r="G324" t="n">
        <v>4.1</v>
      </c>
      <c r="H324" t="n">
        <v>0</v>
      </c>
      <c r="I324" t="n">
        <v>0</v>
      </c>
      <c r="J324" t="n">
        <v>0</v>
      </c>
      <c r="K324" t="n">
        <v>0</v>
      </c>
      <c r="L324" t="n">
        <v>0</v>
      </c>
      <c r="M324" t="n">
        <v>0</v>
      </c>
      <c r="N324" t="n">
        <v>0</v>
      </c>
      <c r="O324" t="n">
        <v>0</v>
      </c>
      <c r="P324" t="n">
        <v>0</v>
      </c>
      <c r="Q324" t="n">
        <v>0</v>
      </c>
      <c r="R324" s="2" t="inlineStr"/>
    </row>
    <row r="325" ht="15" customHeight="1">
      <c r="A325" t="inlineStr">
        <is>
          <t>A 43612-2022</t>
        </is>
      </c>
      <c r="B325" s="1" t="n">
        <v>44837</v>
      </c>
      <c r="C325" s="1" t="n">
        <v>45884</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51373-2023</t>
        </is>
      </c>
      <c r="B326" s="1" t="n">
        <v>45213</v>
      </c>
      <c r="C326" s="1" t="n">
        <v>45884</v>
      </c>
      <c r="D326" t="inlineStr">
        <is>
          <t>ÖREBRO LÄN</t>
        </is>
      </c>
      <c r="E326" t="inlineStr">
        <is>
          <t>ÖREBRO</t>
        </is>
      </c>
      <c r="G326" t="n">
        <v>5.9</v>
      </c>
      <c r="H326" t="n">
        <v>0</v>
      </c>
      <c r="I326" t="n">
        <v>0</v>
      </c>
      <c r="J326" t="n">
        <v>0</v>
      </c>
      <c r="K326" t="n">
        <v>0</v>
      </c>
      <c r="L326" t="n">
        <v>0</v>
      </c>
      <c r="M326" t="n">
        <v>0</v>
      </c>
      <c r="N326" t="n">
        <v>0</v>
      </c>
      <c r="O326" t="n">
        <v>0</v>
      </c>
      <c r="P326" t="n">
        <v>0</v>
      </c>
      <c r="Q326" t="n">
        <v>0</v>
      </c>
      <c r="R326" s="2" t="inlineStr"/>
    </row>
    <row r="327" ht="15" customHeight="1">
      <c r="A327" t="inlineStr">
        <is>
          <t>A 52477-2024</t>
        </is>
      </c>
      <c r="B327" s="1" t="n">
        <v>45609</v>
      </c>
      <c r="C327" s="1" t="n">
        <v>45884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10368-2021</t>
        </is>
      </c>
      <c r="B328" s="1" t="n">
        <v>44257</v>
      </c>
      <c r="C328" s="1" t="n">
        <v>45884</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4284-2025</t>
        </is>
      </c>
      <c r="B329" s="1" t="n">
        <v>45685</v>
      </c>
      <c r="C329" s="1" t="n">
        <v>45884</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35843-2022</t>
        </is>
      </c>
      <c r="B330" s="1" t="n">
        <v>44802</v>
      </c>
      <c r="C330" s="1" t="n">
        <v>45884</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13599-2025</t>
        </is>
      </c>
      <c r="B331" s="1" t="n">
        <v>45736.60597222222</v>
      </c>
      <c r="C331" s="1" t="n">
        <v>45884</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2771-2023</t>
        </is>
      </c>
      <c r="B332" s="1" t="n">
        <v>44944.64704861111</v>
      </c>
      <c r="C332" s="1" t="n">
        <v>45884</v>
      </c>
      <c r="D332" t="inlineStr">
        <is>
          <t>ÖREBRO LÄN</t>
        </is>
      </c>
      <c r="E332" t="inlineStr">
        <is>
          <t>ÖREBRO</t>
        </is>
      </c>
      <c r="G332" t="n">
        <v>15.4</v>
      </c>
      <c r="H332" t="n">
        <v>0</v>
      </c>
      <c r="I332" t="n">
        <v>0</v>
      </c>
      <c r="J332" t="n">
        <v>0</v>
      </c>
      <c r="K332" t="n">
        <v>0</v>
      </c>
      <c r="L332" t="n">
        <v>0</v>
      </c>
      <c r="M332" t="n">
        <v>0</v>
      </c>
      <c r="N332" t="n">
        <v>0</v>
      </c>
      <c r="O332" t="n">
        <v>0</v>
      </c>
      <c r="P332" t="n">
        <v>0</v>
      </c>
      <c r="Q332" t="n">
        <v>0</v>
      </c>
      <c r="R332" s="2" t="inlineStr"/>
    </row>
    <row r="333" ht="15" customHeight="1">
      <c r="A333" t="inlineStr">
        <is>
          <t>A 20146-2024</t>
        </is>
      </c>
      <c r="B333" s="1" t="n">
        <v>45434.57641203704</v>
      </c>
      <c r="C333" s="1" t="n">
        <v>45884</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2076-2025</t>
        </is>
      </c>
      <c r="B334" s="1" t="n">
        <v>45672</v>
      </c>
      <c r="C334" s="1" t="n">
        <v>45884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10937-2024</t>
        </is>
      </c>
      <c r="B335" s="1" t="n">
        <v>45370.44461805555</v>
      </c>
      <c r="C335" s="1" t="n">
        <v>45884</v>
      </c>
      <c r="D335" t="inlineStr">
        <is>
          <t>ÖREBRO LÄN</t>
        </is>
      </c>
      <c r="E335" t="inlineStr">
        <is>
          <t>ÖREBRO</t>
        </is>
      </c>
      <c r="G335" t="n">
        <v>4.3</v>
      </c>
      <c r="H335" t="n">
        <v>0</v>
      </c>
      <c r="I335" t="n">
        <v>0</v>
      </c>
      <c r="J335" t="n">
        <v>0</v>
      </c>
      <c r="K335" t="n">
        <v>0</v>
      </c>
      <c r="L335" t="n">
        <v>0</v>
      </c>
      <c r="M335" t="n">
        <v>0</v>
      </c>
      <c r="N335" t="n">
        <v>0</v>
      </c>
      <c r="O335" t="n">
        <v>0</v>
      </c>
      <c r="P335" t="n">
        <v>0</v>
      </c>
      <c r="Q335" t="n">
        <v>0</v>
      </c>
      <c r="R335" s="2" t="inlineStr"/>
    </row>
    <row r="336" ht="15" customHeight="1">
      <c r="A336" t="inlineStr">
        <is>
          <t>A 20115-2024</t>
        </is>
      </c>
      <c r="B336" s="1" t="n">
        <v>45434</v>
      </c>
      <c r="C336" s="1" t="n">
        <v>45884</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16936-2023</t>
        </is>
      </c>
      <c r="B337" s="1" t="n">
        <v>45033.63005787037</v>
      </c>
      <c r="C337" s="1" t="n">
        <v>45884</v>
      </c>
      <c r="D337" t="inlineStr">
        <is>
          <t>ÖREBRO LÄN</t>
        </is>
      </c>
      <c r="E337" t="inlineStr">
        <is>
          <t>ÖREBRO</t>
        </is>
      </c>
      <c r="G337" t="n">
        <v>2</v>
      </c>
      <c r="H337" t="n">
        <v>0</v>
      </c>
      <c r="I337" t="n">
        <v>0</v>
      </c>
      <c r="J337" t="n">
        <v>0</v>
      </c>
      <c r="K337" t="n">
        <v>0</v>
      </c>
      <c r="L337" t="n">
        <v>0</v>
      </c>
      <c r="M337" t="n">
        <v>0</v>
      </c>
      <c r="N337" t="n">
        <v>0</v>
      </c>
      <c r="O337" t="n">
        <v>0</v>
      </c>
      <c r="P337" t="n">
        <v>0</v>
      </c>
      <c r="Q337" t="n">
        <v>0</v>
      </c>
      <c r="R337" s="2" t="inlineStr"/>
    </row>
    <row r="338" ht="15" customHeight="1">
      <c r="A338" t="inlineStr">
        <is>
          <t>A 40588-2021</t>
        </is>
      </c>
      <c r="B338" s="1" t="n">
        <v>44420</v>
      </c>
      <c r="C338" s="1" t="n">
        <v>45884</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58216-2024</t>
        </is>
      </c>
      <c r="B339" s="1" t="n">
        <v>45632</v>
      </c>
      <c r="C339" s="1" t="n">
        <v>45884</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8565-2021</t>
        </is>
      </c>
      <c r="B340" s="1" t="n">
        <v>44245</v>
      </c>
      <c r="C340" s="1" t="n">
        <v>45884</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8575-2021</t>
        </is>
      </c>
      <c r="B341" s="1" t="n">
        <v>44245</v>
      </c>
      <c r="C341" s="1" t="n">
        <v>45884</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40442-2020</t>
        </is>
      </c>
      <c r="B342" s="1" t="n">
        <v>44069</v>
      </c>
      <c r="C342" s="1" t="n">
        <v>45884</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57485-2023</t>
        </is>
      </c>
      <c r="B343" s="1" t="n">
        <v>45246</v>
      </c>
      <c r="C343" s="1" t="n">
        <v>45884</v>
      </c>
      <c r="D343" t="inlineStr">
        <is>
          <t>ÖREBRO LÄN</t>
        </is>
      </c>
      <c r="E343" t="inlineStr">
        <is>
          <t>ÖREBRO</t>
        </is>
      </c>
      <c r="G343" t="n">
        <v>0.9</v>
      </c>
      <c r="H343" t="n">
        <v>0</v>
      </c>
      <c r="I343" t="n">
        <v>0</v>
      </c>
      <c r="J343" t="n">
        <v>0</v>
      </c>
      <c r="K343" t="n">
        <v>0</v>
      </c>
      <c r="L343" t="n">
        <v>0</v>
      </c>
      <c r="M343" t="n">
        <v>0</v>
      </c>
      <c r="N343" t="n">
        <v>0</v>
      </c>
      <c r="O343" t="n">
        <v>0</v>
      </c>
      <c r="P343" t="n">
        <v>0</v>
      </c>
      <c r="Q343" t="n">
        <v>0</v>
      </c>
      <c r="R343" s="2" t="inlineStr"/>
    </row>
    <row r="344" ht="15" customHeight="1">
      <c r="A344" t="inlineStr">
        <is>
          <t>A 3763-2025</t>
        </is>
      </c>
      <c r="B344" s="1" t="n">
        <v>45681</v>
      </c>
      <c r="C344" s="1" t="n">
        <v>45884</v>
      </c>
      <c r="D344" t="inlineStr">
        <is>
          <t>ÖREBRO LÄN</t>
        </is>
      </c>
      <c r="E344" t="inlineStr">
        <is>
          <t>ÖREBRO</t>
        </is>
      </c>
      <c r="G344" t="n">
        <v>10.1</v>
      </c>
      <c r="H344" t="n">
        <v>0</v>
      </c>
      <c r="I344" t="n">
        <v>0</v>
      </c>
      <c r="J344" t="n">
        <v>0</v>
      </c>
      <c r="K344" t="n">
        <v>0</v>
      </c>
      <c r="L344" t="n">
        <v>0</v>
      </c>
      <c r="M344" t="n">
        <v>0</v>
      </c>
      <c r="N344" t="n">
        <v>0</v>
      </c>
      <c r="O344" t="n">
        <v>0</v>
      </c>
      <c r="P344" t="n">
        <v>0</v>
      </c>
      <c r="Q344" t="n">
        <v>0</v>
      </c>
      <c r="R344" s="2" t="inlineStr"/>
    </row>
    <row r="345" ht="15" customHeight="1">
      <c r="A345" t="inlineStr">
        <is>
          <t>A 37025-2024</t>
        </is>
      </c>
      <c r="B345" s="1" t="n">
        <v>45539.3840162037</v>
      </c>
      <c r="C345" s="1" t="n">
        <v>45884</v>
      </c>
      <c r="D345" t="inlineStr">
        <is>
          <t>ÖREBRO LÄN</t>
        </is>
      </c>
      <c r="E345" t="inlineStr">
        <is>
          <t>ÖREBRO</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37027-2024</t>
        </is>
      </c>
      <c r="B346" s="1" t="n">
        <v>45539.38487268519</v>
      </c>
      <c r="C346" s="1" t="n">
        <v>45884</v>
      </c>
      <c r="D346" t="inlineStr">
        <is>
          <t>ÖREBRO LÄN</t>
        </is>
      </c>
      <c r="E346" t="inlineStr">
        <is>
          <t>ÖREBRO</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59265-2020</t>
        </is>
      </c>
      <c r="B347" s="1" t="n">
        <v>44147.67359953704</v>
      </c>
      <c r="C347" s="1" t="n">
        <v>45884</v>
      </c>
      <c r="D347" t="inlineStr">
        <is>
          <t>ÖREBRO LÄN</t>
        </is>
      </c>
      <c r="E347" t="inlineStr">
        <is>
          <t>ÖREBRO</t>
        </is>
      </c>
      <c r="G347" t="n">
        <v>2.4</v>
      </c>
      <c r="H347" t="n">
        <v>0</v>
      </c>
      <c r="I347" t="n">
        <v>0</v>
      </c>
      <c r="J347" t="n">
        <v>0</v>
      </c>
      <c r="K347" t="n">
        <v>0</v>
      </c>
      <c r="L347" t="n">
        <v>0</v>
      </c>
      <c r="M347" t="n">
        <v>0</v>
      </c>
      <c r="N347" t="n">
        <v>0</v>
      </c>
      <c r="O347" t="n">
        <v>0</v>
      </c>
      <c r="P347" t="n">
        <v>0</v>
      </c>
      <c r="Q347" t="n">
        <v>0</v>
      </c>
      <c r="R347" s="2" t="inlineStr"/>
    </row>
    <row r="348" ht="15" customHeight="1">
      <c r="A348" t="inlineStr">
        <is>
          <t>A 60506-2024</t>
        </is>
      </c>
      <c r="B348" s="1" t="n">
        <v>45643.66630787037</v>
      </c>
      <c r="C348" s="1" t="n">
        <v>45884</v>
      </c>
      <c r="D348" t="inlineStr">
        <is>
          <t>ÖREBRO LÄN</t>
        </is>
      </c>
      <c r="E348" t="inlineStr">
        <is>
          <t>ÖREBRO</t>
        </is>
      </c>
      <c r="G348" t="n">
        <v>5.8</v>
      </c>
      <c r="H348" t="n">
        <v>0</v>
      </c>
      <c r="I348" t="n">
        <v>0</v>
      </c>
      <c r="J348" t="n">
        <v>0</v>
      </c>
      <c r="K348" t="n">
        <v>0</v>
      </c>
      <c r="L348" t="n">
        <v>0</v>
      </c>
      <c r="M348" t="n">
        <v>0</v>
      </c>
      <c r="N348" t="n">
        <v>0</v>
      </c>
      <c r="O348" t="n">
        <v>0</v>
      </c>
      <c r="P348" t="n">
        <v>0</v>
      </c>
      <c r="Q348" t="n">
        <v>0</v>
      </c>
      <c r="R348" s="2" t="inlineStr"/>
    </row>
    <row r="349" ht="15" customHeight="1">
      <c r="A349" t="inlineStr">
        <is>
          <t>A 5324-2024</t>
        </is>
      </c>
      <c r="B349" s="1" t="n">
        <v>45331</v>
      </c>
      <c r="C349" s="1" t="n">
        <v>45884</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44284-2022</t>
        </is>
      </c>
      <c r="B350" s="1" t="n">
        <v>44839.59194444444</v>
      </c>
      <c r="C350" s="1" t="n">
        <v>45884</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35833-2024</t>
        </is>
      </c>
      <c r="B351" s="1" t="n">
        <v>45532.68699074074</v>
      </c>
      <c r="C351" s="1" t="n">
        <v>45884</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18360-2024</t>
        </is>
      </c>
      <c r="B352" s="1" t="n">
        <v>45422</v>
      </c>
      <c r="C352" s="1" t="n">
        <v>45884</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16676-2025</t>
        </is>
      </c>
      <c r="B353" s="1" t="n">
        <v>45754.44658564815</v>
      </c>
      <c r="C353" s="1" t="n">
        <v>45884</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5357-2024</t>
        </is>
      </c>
      <c r="B354" s="1" t="n">
        <v>45331</v>
      </c>
      <c r="C354" s="1" t="n">
        <v>45884</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57243-2022</t>
        </is>
      </c>
      <c r="B355" s="1" t="n">
        <v>44895.71835648148</v>
      </c>
      <c r="C355" s="1" t="n">
        <v>45884</v>
      </c>
      <c r="D355" t="inlineStr">
        <is>
          <t>ÖREBRO LÄN</t>
        </is>
      </c>
      <c r="E355" t="inlineStr">
        <is>
          <t>ÖREBRO</t>
        </is>
      </c>
      <c r="G355" t="n">
        <v>6</v>
      </c>
      <c r="H355" t="n">
        <v>0</v>
      </c>
      <c r="I355" t="n">
        <v>0</v>
      </c>
      <c r="J355" t="n">
        <v>0</v>
      </c>
      <c r="K355" t="n">
        <v>0</v>
      </c>
      <c r="L355" t="n">
        <v>0</v>
      </c>
      <c r="M355" t="n">
        <v>0</v>
      </c>
      <c r="N355" t="n">
        <v>0</v>
      </c>
      <c r="O355" t="n">
        <v>0</v>
      </c>
      <c r="P355" t="n">
        <v>0</v>
      </c>
      <c r="Q355" t="n">
        <v>0</v>
      </c>
      <c r="R355" s="2" t="inlineStr"/>
    </row>
    <row r="356" ht="15" customHeight="1">
      <c r="A356" t="inlineStr">
        <is>
          <t>A 40051-2024</t>
        </is>
      </c>
      <c r="B356" s="1" t="n">
        <v>45553</v>
      </c>
      <c r="C356" s="1" t="n">
        <v>45884</v>
      </c>
      <c r="D356" t="inlineStr">
        <is>
          <t>ÖREBRO LÄN</t>
        </is>
      </c>
      <c r="E356" t="inlineStr">
        <is>
          <t>ÖREBRO</t>
        </is>
      </c>
      <c r="G356" t="n">
        <v>3.5</v>
      </c>
      <c r="H356" t="n">
        <v>0</v>
      </c>
      <c r="I356" t="n">
        <v>0</v>
      </c>
      <c r="J356" t="n">
        <v>0</v>
      </c>
      <c r="K356" t="n">
        <v>0</v>
      </c>
      <c r="L356" t="n">
        <v>0</v>
      </c>
      <c r="M356" t="n">
        <v>0</v>
      </c>
      <c r="N356" t="n">
        <v>0</v>
      </c>
      <c r="O356" t="n">
        <v>0</v>
      </c>
      <c r="P356" t="n">
        <v>0</v>
      </c>
      <c r="Q356" t="n">
        <v>0</v>
      </c>
      <c r="R356" s="2" t="inlineStr"/>
    </row>
    <row r="357" ht="15" customHeight="1">
      <c r="A357" t="inlineStr">
        <is>
          <t>A 50446-2023</t>
        </is>
      </c>
      <c r="B357" s="1" t="n">
        <v>45216</v>
      </c>
      <c r="C357" s="1" t="n">
        <v>45884</v>
      </c>
      <c r="D357" t="inlineStr">
        <is>
          <t>ÖREBRO LÄN</t>
        </is>
      </c>
      <c r="E357" t="inlineStr">
        <is>
          <t>ÖREBRO</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50450-2023</t>
        </is>
      </c>
      <c r="B358" s="1" t="n">
        <v>45216.73533564815</v>
      </c>
      <c r="C358" s="1" t="n">
        <v>45884</v>
      </c>
      <c r="D358" t="inlineStr">
        <is>
          <t>ÖREBRO LÄN</t>
        </is>
      </c>
      <c r="E358" t="inlineStr">
        <is>
          <t>ÖREBRO</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26117-2021</t>
        </is>
      </c>
      <c r="B359" s="1" t="n">
        <v>44345</v>
      </c>
      <c r="C359" s="1" t="n">
        <v>45884</v>
      </c>
      <c r="D359" t="inlineStr">
        <is>
          <t>ÖREBRO LÄN</t>
        </is>
      </c>
      <c r="E359" t="inlineStr">
        <is>
          <t>ÖREBRO</t>
        </is>
      </c>
      <c r="G359" t="n">
        <v>8.1</v>
      </c>
      <c r="H359" t="n">
        <v>0</v>
      </c>
      <c r="I359" t="n">
        <v>0</v>
      </c>
      <c r="J359" t="n">
        <v>0</v>
      </c>
      <c r="K359" t="n">
        <v>0</v>
      </c>
      <c r="L359" t="n">
        <v>0</v>
      </c>
      <c r="M359" t="n">
        <v>0</v>
      </c>
      <c r="N359" t="n">
        <v>0</v>
      </c>
      <c r="O359" t="n">
        <v>0</v>
      </c>
      <c r="P359" t="n">
        <v>0</v>
      </c>
      <c r="Q359" t="n">
        <v>0</v>
      </c>
      <c r="R359" s="2" t="inlineStr"/>
    </row>
    <row r="360" ht="15" customHeight="1">
      <c r="A360" t="inlineStr">
        <is>
          <t>A 11663-2024</t>
        </is>
      </c>
      <c r="B360" s="1" t="n">
        <v>45373</v>
      </c>
      <c r="C360" s="1" t="n">
        <v>45884</v>
      </c>
      <c r="D360" t="inlineStr">
        <is>
          <t>ÖREBRO LÄN</t>
        </is>
      </c>
      <c r="E360" t="inlineStr">
        <is>
          <t>ÖREBRO</t>
        </is>
      </c>
      <c r="G360" t="n">
        <v>1</v>
      </c>
      <c r="H360" t="n">
        <v>0</v>
      </c>
      <c r="I360" t="n">
        <v>0</v>
      </c>
      <c r="J360" t="n">
        <v>0</v>
      </c>
      <c r="K360" t="n">
        <v>0</v>
      </c>
      <c r="L360" t="n">
        <v>0</v>
      </c>
      <c r="M360" t="n">
        <v>0</v>
      </c>
      <c r="N360" t="n">
        <v>0</v>
      </c>
      <c r="O360" t="n">
        <v>0</v>
      </c>
      <c r="P360" t="n">
        <v>0</v>
      </c>
      <c r="Q360" t="n">
        <v>0</v>
      </c>
      <c r="R360" s="2" t="inlineStr"/>
    </row>
    <row r="361" ht="15" customHeight="1">
      <c r="A361" t="inlineStr">
        <is>
          <t>A 58608-2024</t>
        </is>
      </c>
      <c r="B361" s="1" t="n">
        <v>45635.55185185185</v>
      </c>
      <c r="C361" s="1" t="n">
        <v>45884</v>
      </c>
      <c r="D361" t="inlineStr">
        <is>
          <t>ÖREBRO LÄN</t>
        </is>
      </c>
      <c r="E361" t="inlineStr">
        <is>
          <t>ÖREBRO</t>
        </is>
      </c>
      <c r="F361" t="inlineStr">
        <is>
          <t>Sveaskog</t>
        </is>
      </c>
      <c r="G361" t="n">
        <v>0.3</v>
      </c>
      <c r="H361" t="n">
        <v>0</v>
      </c>
      <c r="I361" t="n">
        <v>0</v>
      </c>
      <c r="J361" t="n">
        <v>0</v>
      </c>
      <c r="K361" t="n">
        <v>0</v>
      </c>
      <c r="L361" t="n">
        <v>0</v>
      </c>
      <c r="M361" t="n">
        <v>0</v>
      </c>
      <c r="N361" t="n">
        <v>0</v>
      </c>
      <c r="O361" t="n">
        <v>0</v>
      </c>
      <c r="P361" t="n">
        <v>0</v>
      </c>
      <c r="Q361" t="n">
        <v>0</v>
      </c>
      <c r="R361" s="2" t="inlineStr"/>
    </row>
    <row r="362" ht="15" customHeight="1">
      <c r="A362" t="inlineStr">
        <is>
          <t>A 41678-2024</t>
        </is>
      </c>
      <c r="B362" s="1" t="n">
        <v>45560</v>
      </c>
      <c r="C362" s="1" t="n">
        <v>45884</v>
      </c>
      <c r="D362" t="inlineStr">
        <is>
          <t>ÖREBRO LÄN</t>
        </is>
      </c>
      <c r="E362" t="inlineStr">
        <is>
          <t>ÖREBRO</t>
        </is>
      </c>
      <c r="G362" t="n">
        <v>11.3</v>
      </c>
      <c r="H362" t="n">
        <v>0</v>
      </c>
      <c r="I362" t="n">
        <v>0</v>
      </c>
      <c r="J362" t="n">
        <v>0</v>
      </c>
      <c r="K362" t="n">
        <v>0</v>
      </c>
      <c r="L362" t="n">
        <v>0</v>
      </c>
      <c r="M362" t="n">
        <v>0</v>
      </c>
      <c r="N362" t="n">
        <v>0</v>
      </c>
      <c r="O362" t="n">
        <v>0</v>
      </c>
      <c r="P362" t="n">
        <v>0</v>
      </c>
      <c r="Q362" t="n">
        <v>0</v>
      </c>
      <c r="R362" s="2" t="inlineStr"/>
    </row>
    <row r="363" ht="15" customHeight="1">
      <c r="A363" t="inlineStr">
        <is>
          <t>A 6879-2024</t>
        </is>
      </c>
      <c r="B363" s="1" t="n">
        <v>45342.85280092592</v>
      </c>
      <c r="C363" s="1" t="n">
        <v>45884</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58032-2023</t>
        </is>
      </c>
      <c r="B364" s="1" t="n">
        <v>45247</v>
      </c>
      <c r="C364" s="1" t="n">
        <v>45884</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58035-2023</t>
        </is>
      </c>
      <c r="B365" s="1" t="n">
        <v>45247</v>
      </c>
      <c r="C365" s="1" t="n">
        <v>45884</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38422-2023</t>
        </is>
      </c>
      <c r="B366" s="1" t="n">
        <v>45162.36422453704</v>
      </c>
      <c r="C366" s="1" t="n">
        <v>45884</v>
      </c>
      <c r="D366" t="inlineStr">
        <is>
          <t>ÖREBRO LÄN</t>
        </is>
      </c>
      <c r="E366" t="inlineStr">
        <is>
          <t>ÖREBRO</t>
        </is>
      </c>
      <c r="G366" t="n">
        <v>8</v>
      </c>
      <c r="H366" t="n">
        <v>0</v>
      </c>
      <c r="I366" t="n">
        <v>0</v>
      </c>
      <c r="J366" t="n">
        <v>0</v>
      </c>
      <c r="K366" t="n">
        <v>0</v>
      </c>
      <c r="L366" t="n">
        <v>0</v>
      </c>
      <c r="M366" t="n">
        <v>0</v>
      </c>
      <c r="N366" t="n">
        <v>0</v>
      </c>
      <c r="O366" t="n">
        <v>0</v>
      </c>
      <c r="P366" t="n">
        <v>0</v>
      </c>
      <c r="Q366" t="n">
        <v>0</v>
      </c>
      <c r="R366" s="2" t="inlineStr"/>
    </row>
    <row r="367" ht="15" customHeight="1">
      <c r="A367" t="inlineStr">
        <is>
          <t>A 6387-2021</t>
        </is>
      </c>
      <c r="B367" s="1" t="n">
        <v>44235</v>
      </c>
      <c r="C367" s="1" t="n">
        <v>45884</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56040-2024</t>
        </is>
      </c>
      <c r="B368" s="1" t="n">
        <v>45624.3344212963</v>
      </c>
      <c r="C368" s="1" t="n">
        <v>45884</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14487-2023</t>
        </is>
      </c>
      <c r="B369" s="1" t="n">
        <v>45012</v>
      </c>
      <c r="C369" s="1" t="n">
        <v>45884</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7506-2025</t>
        </is>
      </c>
      <c r="B370" s="1" t="n">
        <v>45705</v>
      </c>
      <c r="C370" s="1" t="n">
        <v>45884</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42285-2020</t>
        </is>
      </c>
      <c r="B371" s="1" t="n">
        <v>44076</v>
      </c>
      <c r="C371" s="1" t="n">
        <v>45884</v>
      </c>
      <c r="D371" t="inlineStr">
        <is>
          <t>ÖREBRO LÄN</t>
        </is>
      </c>
      <c r="E371" t="inlineStr">
        <is>
          <t>ÖREBRO</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31240-2023</t>
        </is>
      </c>
      <c r="B372" s="1" t="n">
        <v>45114</v>
      </c>
      <c r="C372" s="1" t="n">
        <v>45884</v>
      </c>
      <c r="D372" t="inlineStr">
        <is>
          <t>ÖREBRO LÄN</t>
        </is>
      </c>
      <c r="E372" t="inlineStr">
        <is>
          <t>ÖREBRO</t>
        </is>
      </c>
      <c r="F372" t="inlineStr">
        <is>
          <t>Allmännings- och besparingsskogar</t>
        </is>
      </c>
      <c r="G372" t="n">
        <v>6.2</v>
      </c>
      <c r="H372" t="n">
        <v>0</v>
      </c>
      <c r="I372" t="n">
        <v>0</v>
      </c>
      <c r="J372" t="n">
        <v>0</v>
      </c>
      <c r="K372" t="n">
        <v>0</v>
      </c>
      <c r="L372" t="n">
        <v>0</v>
      </c>
      <c r="M372" t="n">
        <v>0</v>
      </c>
      <c r="N372" t="n">
        <v>0</v>
      </c>
      <c r="O372" t="n">
        <v>0</v>
      </c>
      <c r="P372" t="n">
        <v>0</v>
      </c>
      <c r="Q372" t="n">
        <v>0</v>
      </c>
      <c r="R372" s="2" t="inlineStr"/>
    </row>
    <row r="373" ht="15" customHeight="1">
      <c r="A373" t="inlineStr">
        <is>
          <t>A 14717-2024</t>
        </is>
      </c>
      <c r="B373" s="1" t="n">
        <v>45397.55104166667</v>
      </c>
      <c r="C373" s="1" t="n">
        <v>45884</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37968-2024</t>
        </is>
      </c>
      <c r="B374" s="1" t="n">
        <v>45544</v>
      </c>
      <c r="C374" s="1" t="n">
        <v>45884</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25443-2021</t>
        </is>
      </c>
      <c r="B375" s="1" t="n">
        <v>44342</v>
      </c>
      <c r="C375" s="1" t="n">
        <v>45884</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40522-2024</t>
        </is>
      </c>
      <c r="B376" s="1" t="n">
        <v>45555.59717592593</v>
      </c>
      <c r="C376" s="1" t="n">
        <v>45884</v>
      </c>
      <c r="D376" t="inlineStr">
        <is>
          <t>ÖREBRO LÄN</t>
        </is>
      </c>
      <c r="E376" t="inlineStr">
        <is>
          <t>ÖREBRO</t>
        </is>
      </c>
      <c r="G376" t="n">
        <v>5.1</v>
      </c>
      <c r="H376" t="n">
        <v>0</v>
      </c>
      <c r="I376" t="n">
        <v>0</v>
      </c>
      <c r="J376" t="n">
        <v>0</v>
      </c>
      <c r="K376" t="n">
        <v>0</v>
      </c>
      <c r="L376" t="n">
        <v>0</v>
      </c>
      <c r="M376" t="n">
        <v>0</v>
      </c>
      <c r="N376" t="n">
        <v>0</v>
      </c>
      <c r="O376" t="n">
        <v>0</v>
      </c>
      <c r="P376" t="n">
        <v>0</v>
      </c>
      <c r="Q376" t="n">
        <v>0</v>
      </c>
      <c r="R376" s="2" t="inlineStr"/>
    </row>
    <row r="377" ht="15" customHeight="1">
      <c r="A377" t="inlineStr">
        <is>
          <t>A 13700-2024</t>
        </is>
      </c>
      <c r="B377" s="1" t="n">
        <v>45390.59277777778</v>
      </c>
      <c r="C377" s="1" t="n">
        <v>45884</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6213-2021</t>
        </is>
      </c>
      <c r="B378" s="1" t="n">
        <v>44232</v>
      </c>
      <c r="C378" s="1" t="n">
        <v>45884</v>
      </c>
      <c r="D378" t="inlineStr">
        <is>
          <t>ÖREBRO LÄN</t>
        </is>
      </c>
      <c r="E378" t="inlineStr">
        <is>
          <t>ÖREBRO</t>
        </is>
      </c>
      <c r="G378" t="n">
        <v>4</v>
      </c>
      <c r="H378" t="n">
        <v>0</v>
      </c>
      <c r="I378" t="n">
        <v>0</v>
      </c>
      <c r="J378" t="n">
        <v>0</v>
      </c>
      <c r="K378" t="n">
        <v>0</v>
      </c>
      <c r="L378" t="n">
        <v>0</v>
      </c>
      <c r="M378" t="n">
        <v>0</v>
      </c>
      <c r="N378" t="n">
        <v>0</v>
      </c>
      <c r="O378" t="n">
        <v>0</v>
      </c>
      <c r="P378" t="n">
        <v>0</v>
      </c>
      <c r="Q378" t="n">
        <v>0</v>
      </c>
      <c r="R378" s="2" t="inlineStr"/>
    </row>
    <row r="379" ht="15" customHeight="1">
      <c r="A379" t="inlineStr">
        <is>
          <t>A 49029-2024</t>
        </is>
      </c>
      <c r="B379" s="1" t="n">
        <v>45594</v>
      </c>
      <c r="C379" s="1" t="n">
        <v>45884</v>
      </c>
      <c r="D379" t="inlineStr">
        <is>
          <t>ÖREBRO LÄN</t>
        </is>
      </c>
      <c r="E379" t="inlineStr">
        <is>
          <t>ÖREBRO</t>
        </is>
      </c>
      <c r="G379" t="n">
        <v>3.7</v>
      </c>
      <c r="H379" t="n">
        <v>0</v>
      </c>
      <c r="I379" t="n">
        <v>0</v>
      </c>
      <c r="J379" t="n">
        <v>0</v>
      </c>
      <c r="K379" t="n">
        <v>0</v>
      </c>
      <c r="L379" t="n">
        <v>0</v>
      </c>
      <c r="M379" t="n">
        <v>0</v>
      </c>
      <c r="N379" t="n">
        <v>0</v>
      </c>
      <c r="O379" t="n">
        <v>0</v>
      </c>
      <c r="P379" t="n">
        <v>0</v>
      </c>
      <c r="Q379" t="n">
        <v>0</v>
      </c>
      <c r="R379" s="2" t="inlineStr"/>
    </row>
    <row r="380" ht="15" customHeight="1">
      <c r="A380" t="inlineStr">
        <is>
          <t>A 49062-2023</t>
        </is>
      </c>
      <c r="B380" s="1" t="n">
        <v>45210.35119212963</v>
      </c>
      <c r="C380" s="1" t="n">
        <v>45884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35829-2024</t>
        </is>
      </c>
      <c r="B381" s="1" t="n">
        <v>45532</v>
      </c>
      <c r="C381" s="1" t="n">
        <v>45884</v>
      </c>
      <c r="D381" t="inlineStr">
        <is>
          <t>ÖREBRO LÄN</t>
        </is>
      </c>
      <c r="E381" t="inlineStr">
        <is>
          <t>ÖREBRO</t>
        </is>
      </c>
      <c r="G381" t="n">
        <v>4.6</v>
      </c>
      <c r="H381" t="n">
        <v>0</v>
      </c>
      <c r="I381" t="n">
        <v>0</v>
      </c>
      <c r="J381" t="n">
        <v>0</v>
      </c>
      <c r="K381" t="n">
        <v>0</v>
      </c>
      <c r="L381" t="n">
        <v>0</v>
      </c>
      <c r="M381" t="n">
        <v>0</v>
      </c>
      <c r="N381" t="n">
        <v>0</v>
      </c>
      <c r="O381" t="n">
        <v>0</v>
      </c>
      <c r="P381" t="n">
        <v>0</v>
      </c>
      <c r="Q381" t="n">
        <v>0</v>
      </c>
      <c r="R381" s="2" t="inlineStr"/>
    </row>
    <row r="382" ht="15" customHeight="1">
      <c r="A382" t="inlineStr">
        <is>
          <t>A 5398-2022</t>
        </is>
      </c>
      <c r="B382" s="1" t="n">
        <v>44595.3353587963</v>
      </c>
      <c r="C382" s="1" t="n">
        <v>45884</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38415-2023</t>
        </is>
      </c>
      <c r="B383" s="1" t="n">
        <v>45162.35502314815</v>
      </c>
      <c r="C383" s="1" t="n">
        <v>45884</v>
      </c>
      <c r="D383" t="inlineStr">
        <is>
          <t>ÖREBRO LÄN</t>
        </is>
      </c>
      <c r="E383" t="inlineStr">
        <is>
          <t>ÖREBRO</t>
        </is>
      </c>
      <c r="G383" t="n">
        <v>2.6</v>
      </c>
      <c r="H383" t="n">
        <v>0</v>
      </c>
      <c r="I383" t="n">
        <v>0</v>
      </c>
      <c r="J383" t="n">
        <v>0</v>
      </c>
      <c r="K383" t="n">
        <v>0</v>
      </c>
      <c r="L383" t="n">
        <v>0</v>
      </c>
      <c r="M383" t="n">
        <v>0</v>
      </c>
      <c r="N383" t="n">
        <v>0</v>
      </c>
      <c r="O383" t="n">
        <v>0</v>
      </c>
      <c r="P383" t="n">
        <v>0</v>
      </c>
      <c r="Q383" t="n">
        <v>0</v>
      </c>
      <c r="R383" s="2" t="inlineStr"/>
    </row>
    <row r="384" ht="15" customHeight="1">
      <c r="A384" t="inlineStr">
        <is>
          <t>A 60128-2023</t>
        </is>
      </c>
      <c r="B384" s="1" t="n">
        <v>45258</v>
      </c>
      <c r="C384" s="1" t="n">
        <v>45884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18047-2023</t>
        </is>
      </c>
      <c r="B385" s="1" t="n">
        <v>45040</v>
      </c>
      <c r="C385" s="1" t="n">
        <v>45884</v>
      </c>
      <c r="D385" t="inlineStr">
        <is>
          <t>ÖREBRO LÄN</t>
        </is>
      </c>
      <c r="E385" t="inlineStr">
        <is>
          <t>ÖREBRO</t>
        </is>
      </c>
      <c r="G385" t="n">
        <v>3.9</v>
      </c>
      <c r="H385" t="n">
        <v>0</v>
      </c>
      <c r="I385" t="n">
        <v>0</v>
      </c>
      <c r="J385" t="n">
        <v>0</v>
      </c>
      <c r="K385" t="n">
        <v>0</v>
      </c>
      <c r="L385" t="n">
        <v>0</v>
      </c>
      <c r="M385" t="n">
        <v>0</v>
      </c>
      <c r="N385" t="n">
        <v>0</v>
      </c>
      <c r="O385" t="n">
        <v>0</v>
      </c>
      <c r="P385" t="n">
        <v>0</v>
      </c>
      <c r="Q385" t="n">
        <v>0</v>
      </c>
      <c r="R385" s="2" t="inlineStr"/>
    </row>
    <row r="386" ht="15" customHeight="1">
      <c r="A386" t="inlineStr">
        <is>
          <t>A 49797-2024</t>
        </is>
      </c>
      <c r="B386" s="1" t="n">
        <v>45597.37265046296</v>
      </c>
      <c r="C386" s="1" t="n">
        <v>45884</v>
      </c>
      <c r="D386" t="inlineStr">
        <is>
          <t>ÖREBRO LÄN</t>
        </is>
      </c>
      <c r="E386" t="inlineStr">
        <is>
          <t>ÖREBRO</t>
        </is>
      </c>
      <c r="G386" t="n">
        <v>11.6</v>
      </c>
      <c r="H386" t="n">
        <v>0</v>
      </c>
      <c r="I386" t="n">
        <v>0</v>
      </c>
      <c r="J386" t="n">
        <v>0</v>
      </c>
      <c r="K386" t="n">
        <v>0</v>
      </c>
      <c r="L386" t="n">
        <v>0</v>
      </c>
      <c r="M386" t="n">
        <v>0</v>
      </c>
      <c r="N386" t="n">
        <v>0</v>
      </c>
      <c r="O386" t="n">
        <v>0</v>
      </c>
      <c r="P386" t="n">
        <v>0</v>
      </c>
      <c r="Q386" t="n">
        <v>0</v>
      </c>
      <c r="R386" s="2" t="inlineStr"/>
    </row>
    <row r="387" ht="15" customHeight="1">
      <c r="A387" t="inlineStr">
        <is>
          <t>A 18662-2025</t>
        </is>
      </c>
      <c r="B387" s="1" t="n">
        <v>45763.5877662037</v>
      </c>
      <c r="C387" s="1" t="n">
        <v>45884</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13181-2023</t>
        </is>
      </c>
      <c r="B388" s="1" t="n">
        <v>45002.60659722222</v>
      </c>
      <c r="C388" s="1" t="n">
        <v>45884</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61078-2024</t>
        </is>
      </c>
      <c r="B389" s="1" t="n">
        <v>45645.51034722223</v>
      </c>
      <c r="C389" s="1" t="n">
        <v>45884</v>
      </c>
      <c r="D389" t="inlineStr">
        <is>
          <t>ÖREBRO LÄN</t>
        </is>
      </c>
      <c r="E389" t="inlineStr">
        <is>
          <t>ÖREBRO</t>
        </is>
      </c>
      <c r="G389" t="n">
        <v>4.1</v>
      </c>
      <c r="H389" t="n">
        <v>0</v>
      </c>
      <c r="I389" t="n">
        <v>0</v>
      </c>
      <c r="J389" t="n">
        <v>0</v>
      </c>
      <c r="K389" t="n">
        <v>0</v>
      </c>
      <c r="L389" t="n">
        <v>0</v>
      </c>
      <c r="M389" t="n">
        <v>0</v>
      </c>
      <c r="N389" t="n">
        <v>0</v>
      </c>
      <c r="O389" t="n">
        <v>0</v>
      </c>
      <c r="P389" t="n">
        <v>0</v>
      </c>
      <c r="Q389" t="n">
        <v>0</v>
      </c>
      <c r="R389" s="2" t="inlineStr"/>
    </row>
    <row r="390" ht="15" customHeight="1">
      <c r="A390" t="inlineStr">
        <is>
          <t>A 62511-2023</t>
        </is>
      </c>
      <c r="B390" s="1" t="n">
        <v>45268.61855324074</v>
      </c>
      <c r="C390" s="1" t="n">
        <v>45884</v>
      </c>
      <c r="D390" t="inlineStr">
        <is>
          <t>ÖREBRO LÄN</t>
        </is>
      </c>
      <c r="E390" t="inlineStr">
        <is>
          <t>ÖREBRO</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8022-2022</t>
        </is>
      </c>
      <c r="B391" s="1" t="n">
        <v>44609</v>
      </c>
      <c r="C391" s="1" t="n">
        <v>45884</v>
      </c>
      <c r="D391" t="inlineStr">
        <is>
          <t>ÖREBRO LÄN</t>
        </is>
      </c>
      <c r="E391" t="inlineStr">
        <is>
          <t>ÖREBRO</t>
        </is>
      </c>
      <c r="G391" t="n">
        <v>5.6</v>
      </c>
      <c r="H391" t="n">
        <v>0</v>
      </c>
      <c r="I391" t="n">
        <v>0</v>
      </c>
      <c r="J391" t="n">
        <v>0</v>
      </c>
      <c r="K391" t="n">
        <v>0</v>
      </c>
      <c r="L391" t="n">
        <v>0</v>
      </c>
      <c r="M391" t="n">
        <v>0</v>
      </c>
      <c r="N391" t="n">
        <v>0</v>
      </c>
      <c r="O391" t="n">
        <v>0</v>
      </c>
      <c r="P391" t="n">
        <v>0</v>
      </c>
      <c r="Q391" t="n">
        <v>0</v>
      </c>
      <c r="R391" s="2" t="inlineStr"/>
    </row>
    <row r="392" ht="15" customHeight="1">
      <c r="A392" t="inlineStr">
        <is>
          <t>A 29978-2024</t>
        </is>
      </c>
      <c r="B392" s="1" t="n">
        <v>45488.48340277778</v>
      </c>
      <c r="C392" s="1" t="n">
        <v>45884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19978-2025</t>
        </is>
      </c>
      <c r="B393" s="1" t="n">
        <v>45771.7062037037</v>
      </c>
      <c r="C393" s="1" t="n">
        <v>45884</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7134-2025</t>
        </is>
      </c>
      <c r="B394" s="1" t="n">
        <v>45702</v>
      </c>
      <c r="C394" s="1" t="n">
        <v>45884</v>
      </c>
      <c r="D394" t="inlineStr">
        <is>
          <t>ÖREBRO LÄN</t>
        </is>
      </c>
      <c r="E394" t="inlineStr">
        <is>
          <t>ÖREBRO</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55472-2023</t>
        </is>
      </c>
      <c r="B395" s="1" t="n">
        <v>45238</v>
      </c>
      <c r="C395" s="1" t="n">
        <v>45884</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19384-2024</t>
        </is>
      </c>
      <c r="B396" s="1" t="n">
        <v>45429</v>
      </c>
      <c r="C396" s="1" t="n">
        <v>45884</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5129-2024</t>
        </is>
      </c>
      <c r="B397" s="1" t="n">
        <v>45330</v>
      </c>
      <c r="C397" s="1" t="n">
        <v>45884</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58486-2024</t>
        </is>
      </c>
      <c r="B398" s="1" t="n">
        <v>45635</v>
      </c>
      <c r="C398" s="1" t="n">
        <v>45884</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16374-2022</t>
        </is>
      </c>
      <c r="B399" s="1" t="n">
        <v>44671</v>
      </c>
      <c r="C399" s="1" t="n">
        <v>45884</v>
      </c>
      <c r="D399" t="inlineStr">
        <is>
          <t>ÖREBRO LÄN</t>
        </is>
      </c>
      <c r="E399" t="inlineStr">
        <is>
          <t>ÖREBRO</t>
        </is>
      </c>
      <c r="F399" t="inlineStr">
        <is>
          <t>Övriga Aktiebolag</t>
        </is>
      </c>
      <c r="G399" t="n">
        <v>30.3</v>
      </c>
      <c r="H399" t="n">
        <v>0</v>
      </c>
      <c r="I399" t="n">
        <v>0</v>
      </c>
      <c r="J399" t="n">
        <v>0</v>
      </c>
      <c r="K399" t="n">
        <v>0</v>
      </c>
      <c r="L399" t="n">
        <v>0</v>
      </c>
      <c r="M399" t="n">
        <v>0</v>
      </c>
      <c r="N399" t="n">
        <v>0</v>
      </c>
      <c r="O399" t="n">
        <v>0</v>
      </c>
      <c r="P399" t="n">
        <v>0</v>
      </c>
      <c r="Q399" t="n">
        <v>0</v>
      </c>
      <c r="R399" s="2" t="inlineStr"/>
    </row>
    <row r="400" ht="15" customHeight="1">
      <c r="A400" t="inlineStr">
        <is>
          <t>A 30015-2023</t>
        </is>
      </c>
      <c r="B400" s="1" t="n">
        <v>45109</v>
      </c>
      <c r="C400" s="1" t="n">
        <v>45884</v>
      </c>
      <c r="D400" t="inlineStr">
        <is>
          <t>ÖREBRO LÄN</t>
        </is>
      </c>
      <c r="E400" t="inlineStr">
        <is>
          <t>ÖREBRO</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27956-2023</t>
        </is>
      </c>
      <c r="B401" s="1" t="n">
        <v>45098</v>
      </c>
      <c r="C401" s="1" t="n">
        <v>45884</v>
      </c>
      <c r="D401" t="inlineStr">
        <is>
          <t>ÖREBRO LÄN</t>
        </is>
      </c>
      <c r="E401" t="inlineStr">
        <is>
          <t>ÖREBRO</t>
        </is>
      </c>
      <c r="G401" t="n">
        <v>0.8</v>
      </c>
      <c r="H401" t="n">
        <v>0</v>
      </c>
      <c r="I401" t="n">
        <v>0</v>
      </c>
      <c r="J401" t="n">
        <v>0</v>
      </c>
      <c r="K401" t="n">
        <v>0</v>
      </c>
      <c r="L401" t="n">
        <v>0</v>
      </c>
      <c r="M401" t="n">
        <v>0</v>
      </c>
      <c r="N401" t="n">
        <v>0</v>
      </c>
      <c r="O401" t="n">
        <v>0</v>
      </c>
      <c r="P401" t="n">
        <v>0</v>
      </c>
      <c r="Q401" t="n">
        <v>0</v>
      </c>
      <c r="R401" s="2" t="inlineStr"/>
    </row>
    <row r="402" ht="15" customHeight="1">
      <c r="A402" t="inlineStr">
        <is>
          <t>A 13321-2024</t>
        </is>
      </c>
      <c r="B402" s="1" t="n">
        <v>45386.83142361111</v>
      </c>
      <c r="C402" s="1" t="n">
        <v>45884</v>
      </c>
      <c r="D402" t="inlineStr">
        <is>
          <t>ÖREBRO LÄN</t>
        </is>
      </c>
      <c r="E402" t="inlineStr">
        <is>
          <t>ÖREBRO</t>
        </is>
      </c>
      <c r="G402" t="n">
        <v>13.1</v>
      </c>
      <c r="H402" t="n">
        <v>0</v>
      </c>
      <c r="I402" t="n">
        <v>0</v>
      </c>
      <c r="J402" t="n">
        <v>0</v>
      </c>
      <c r="K402" t="n">
        <v>0</v>
      </c>
      <c r="L402" t="n">
        <v>0</v>
      </c>
      <c r="M402" t="n">
        <v>0</v>
      </c>
      <c r="N402" t="n">
        <v>0</v>
      </c>
      <c r="O402" t="n">
        <v>0</v>
      </c>
      <c r="P402" t="n">
        <v>0</v>
      </c>
      <c r="Q402" t="n">
        <v>0</v>
      </c>
      <c r="R402" s="2" t="inlineStr"/>
    </row>
    <row r="403" ht="15" customHeight="1">
      <c r="A403" t="inlineStr">
        <is>
          <t>A 1013-2024</t>
        </is>
      </c>
      <c r="B403" s="1" t="n">
        <v>45301</v>
      </c>
      <c r="C403" s="1" t="n">
        <v>45884</v>
      </c>
      <c r="D403" t="inlineStr">
        <is>
          <t>ÖREBRO LÄN</t>
        </is>
      </c>
      <c r="E403" t="inlineStr">
        <is>
          <t>ÖREBRO</t>
        </is>
      </c>
      <c r="G403" t="n">
        <v>2.6</v>
      </c>
      <c r="H403" t="n">
        <v>0</v>
      </c>
      <c r="I403" t="n">
        <v>0</v>
      </c>
      <c r="J403" t="n">
        <v>0</v>
      </c>
      <c r="K403" t="n">
        <v>0</v>
      </c>
      <c r="L403" t="n">
        <v>0</v>
      </c>
      <c r="M403" t="n">
        <v>0</v>
      </c>
      <c r="N403" t="n">
        <v>0</v>
      </c>
      <c r="O403" t="n">
        <v>0</v>
      </c>
      <c r="P403" t="n">
        <v>0</v>
      </c>
      <c r="Q403" t="n">
        <v>0</v>
      </c>
      <c r="R403" s="2" t="inlineStr"/>
    </row>
    <row r="404" ht="15" customHeight="1">
      <c r="A404" t="inlineStr">
        <is>
          <t>A 8512-2025</t>
        </is>
      </c>
      <c r="B404" s="1" t="n">
        <v>45709.54873842592</v>
      </c>
      <c r="C404" s="1" t="n">
        <v>45884</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15652-2025</t>
        </is>
      </c>
      <c r="B405" s="1" t="n">
        <v>45748</v>
      </c>
      <c r="C405" s="1" t="n">
        <v>45884</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14715-2024</t>
        </is>
      </c>
      <c r="B406" s="1" t="n">
        <v>45397.5500462963</v>
      </c>
      <c r="C406" s="1" t="n">
        <v>45884</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16737-2023</t>
        </is>
      </c>
      <c r="B407" s="1" t="n">
        <v>45030.72472222222</v>
      </c>
      <c r="C407" s="1" t="n">
        <v>45884</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58145-2024</t>
        </is>
      </c>
      <c r="B408" s="1" t="n">
        <v>45632.43230324074</v>
      </c>
      <c r="C408" s="1" t="n">
        <v>45884</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5762-2025</t>
        </is>
      </c>
      <c r="B409" s="1" t="n">
        <v>45694.57181712963</v>
      </c>
      <c r="C409" s="1" t="n">
        <v>45884</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51180-2023</t>
        </is>
      </c>
      <c r="B410" s="1" t="n">
        <v>45219</v>
      </c>
      <c r="C410" s="1" t="n">
        <v>45884</v>
      </c>
      <c r="D410" t="inlineStr">
        <is>
          <t>ÖREBRO LÄN</t>
        </is>
      </c>
      <c r="E410" t="inlineStr">
        <is>
          <t>ÖREBRO</t>
        </is>
      </c>
      <c r="G410" t="n">
        <v>6.5</v>
      </c>
      <c r="H410" t="n">
        <v>0</v>
      </c>
      <c r="I410" t="n">
        <v>0</v>
      </c>
      <c r="J410" t="n">
        <v>0</v>
      </c>
      <c r="K410" t="n">
        <v>0</v>
      </c>
      <c r="L410" t="n">
        <v>0</v>
      </c>
      <c r="M410" t="n">
        <v>0</v>
      </c>
      <c r="N410" t="n">
        <v>0</v>
      </c>
      <c r="O410" t="n">
        <v>0</v>
      </c>
      <c r="P410" t="n">
        <v>0</v>
      </c>
      <c r="Q410" t="n">
        <v>0</v>
      </c>
      <c r="R410" s="2" t="inlineStr"/>
    </row>
    <row r="411" ht="15" customHeight="1">
      <c r="A411" t="inlineStr">
        <is>
          <t>A 58621-2024</t>
        </is>
      </c>
      <c r="B411" s="1" t="n">
        <v>45635.56321759259</v>
      </c>
      <c r="C411" s="1" t="n">
        <v>45884</v>
      </c>
      <c r="D411" t="inlineStr">
        <is>
          <t>ÖREBRO LÄN</t>
        </is>
      </c>
      <c r="E411" t="inlineStr">
        <is>
          <t>ÖREBRO</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16300-2022</t>
        </is>
      </c>
      <c r="B412" s="1" t="n">
        <v>44670</v>
      </c>
      <c r="C412" s="1" t="n">
        <v>45884</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45029-2020</t>
        </is>
      </c>
      <c r="B413" s="1" t="n">
        <v>44088</v>
      </c>
      <c r="C413" s="1" t="n">
        <v>45884</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18181-2024</t>
        </is>
      </c>
      <c r="B414" s="1" t="n">
        <v>45420.64561342593</v>
      </c>
      <c r="C414" s="1" t="n">
        <v>45884</v>
      </c>
      <c r="D414" t="inlineStr">
        <is>
          <t>ÖREBRO LÄN</t>
        </is>
      </c>
      <c r="E414" t="inlineStr">
        <is>
          <t>ÖREBRO</t>
        </is>
      </c>
      <c r="G414" t="n">
        <v>7.6</v>
      </c>
      <c r="H414" t="n">
        <v>0</v>
      </c>
      <c r="I414" t="n">
        <v>0</v>
      </c>
      <c r="J414" t="n">
        <v>0</v>
      </c>
      <c r="K414" t="n">
        <v>0</v>
      </c>
      <c r="L414" t="n">
        <v>0</v>
      </c>
      <c r="M414" t="n">
        <v>0</v>
      </c>
      <c r="N414" t="n">
        <v>0</v>
      </c>
      <c r="O414" t="n">
        <v>0</v>
      </c>
      <c r="P414" t="n">
        <v>0</v>
      </c>
      <c r="Q414" t="n">
        <v>0</v>
      </c>
      <c r="R414" s="2" t="inlineStr"/>
    </row>
    <row r="415" ht="15" customHeight="1">
      <c r="A415" t="inlineStr">
        <is>
          <t>A 5578-2024</t>
        </is>
      </c>
      <c r="B415" s="1" t="n">
        <v>45334.49104166667</v>
      </c>
      <c r="C415" s="1" t="n">
        <v>45884</v>
      </c>
      <c r="D415" t="inlineStr">
        <is>
          <t>ÖREBRO LÄN</t>
        </is>
      </c>
      <c r="E415" t="inlineStr">
        <is>
          <t>ÖREBRO</t>
        </is>
      </c>
      <c r="G415" t="n">
        <v>2.4</v>
      </c>
      <c r="H415" t="n">
        <v>0</v>
      </c>
      <c r="I415" t="n">
        <v>0</v>
      </c>
      <c r="J415" t="n">
        <v>0</v>
      </c>
      <c r="K415" t="n">
        <v>0</v>
      </c>
      <c r="L415" t="n">
        <v>0</v>
      </c>
      <c r="M415" t="n">
        <v>0</v>
      </c>
      <c r="N415" t="n">
        <v>0</v>
      </c>
      <c r="O415" t="n">
        <v>0</v>
      </c>
      <c r="P415" t="n">
        <v>0</v>
      </c>
      <c r="Q415" t="n">
        <v>0</v>
      </c>
      <c r="R415" s="2" t="inlineStr"/>
    </row>
    <row r="416" ht="15" customHeight="1">
      <c r="A416" t="inlineStr">
        <is>
          <t>A 70707-2021</t>
        </is>
      </c>
      <c r="B416" s="1" t="n">
        <v>44537</v>
      </c>
      <c r="C416" s="1" t="n">
        <v>45884</v>
      </c>
      <c r="D416" t="inlineStr">
        <is>
          <t>ÖREBRO LÄN</t>
        </is>
      </c>
      <c r="E416" t="inlineStr">
        <is>
          <t>ÖREBRO</t>
        </is>
      </c>
      <c r="G416" t="n">
        <v>13.2</v>
      </c>
      <c r="H416" t="n">
        <v>0</v>
      </c>
      <c r="I416" t="n">
        <v>0</v>
      </c>
      <c r="J416" t="n">
        <v>0</v>
      </c>
      <c r="K416" t="n">
        <v>0</v>
      </c>
      <c r="L416" t="n">
        <v>0</v>
      </c>
      <c r="M416" t="n">
        <v>0</v>
      </c>
      <c r="N416" t="n">
        <v>0</v>
      </c>
      <c r="O416" t="n">
        <v>0</v>
      </c>
      <c r="P416" t="n">
        <v>0</v>
      </c>
      <c r="Q416" t="n">
        <v>0</v>
      </c>
      <c r="R416" s="2" t="inlineStr"/>
    </row>
    <row r="417" ht="15" customHeight="1">
      <c r="A417" t="inlineStr">
        <is>
          <t>A 60100-2022</t>
        </is>
      </c>
      <c r="B417" s="1" t="n">
        <v>44902</v>
      </c>
      <c r="C417" s="1" t="n">
        <v>45884</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32086-2023</t>
        </is>
      </c>
      <c r="B418" s="1" t="n">
        <v>45119.59789351852</v>
      </c>
      <c r="C418" s="1" t="n">
        <v>45884</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22079-2023</t>
        </is>
      </c>
      <c r="B419" s="1" t="n">
        <v>45069</v>
      </c>
      <c r="C419" s="1" t="n">
        <v>45884</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39642-2020</t>
        </is>
      </c>
      <c r="B420" s="1" t="n">
        <v>44064</v>
      </c>
      <c r="C420" s="1" t="n">
        <v>45884</v>
      </c>
      <c r="D420" t="inlineStr">
        <is>
          <t>ÖREBRO LÄN</t>
        </is>
      </c>
      <c r="E420" t="inlineStr">
        <is>
          <t>ÖREBRO</t>
        </is>
      </c>
      <c r="G420" t="n">
        <v>6.4</v>
      </c>
      <c r="H420" t="n">
        <v>0</v>
      </c>
      <c r="I420" t="n">
        <v>0</v>
      </c>
      <c r="J420" t="n">
        <v>0</v>
      </c>
      <c r="K420" t="n">
        <v>0</v>
      </c>
      <c r="L420" t="n">
        <v>0</v>
      </c>
      <c r="M420" t="n">
        <v>0</v>
      </c>
      <c r="N420" t="n">
        <v>0</v>
      </c>
      <c r="O420" t="n">
        <v>0</v>
      </c>
      <c r="P420" t="n">
        <v>0</v>
      </c>
      <c r="Q420" t="n">
        <v>0</v>
      </c>
      <c r="R420" s="2" t="inlineStr"/>
    </row>
    <row r="421" ht="15" customHeight="1">
      <c r="A421" t="inlineStr">
        <is>
          <t>A 2152-2023</t>
        </is>
      </c>
      <c r="B421" s="1" t="n">
        <v>44941.55056712963</v>
      </c>
      <c r="C421" s="1" t="n">
        <v>45884</v>
      </c>
      <c r="D421" t="inlineStr">
        <is>
          <t>ÖREBRO LÄN</t>
        </is>
      </c>
      <c r="E421" t="inlineStr">
        <is>
          <t>ÖREBRO</t>
        </is>
      </c>
      <c r="G421" t="n">
        <v>8</v>
      </c>
      <c r="H421" t="n">
        <v>0</v>
      </c>
      <c r="I421" t="n">
        <v>0</v>
      </c>
      <c r="J421" t="n">
        <v>0</v>
      </c>
      <c r="K421" t="n">
        <v>0</v>
      </c>
      <c r="L421" t="n">
        <v>0</v>
      </c>
      <c r="M421" t="n">
        <v>0</v>
      </c>
      <c r="N421" t="n">
        <v>0</v>
      </c>
      <c r="O421" t="n">
        <v>0</v>
      </c>
      <c r="P421" t="n">
        <v>0</v>
      </c>
      <c r="Q421" t="n">
        <v>0</v>
      </c>
      <c r="R421" s="2" t="inlineStr"/>
    </row>
    <row r="422" ht="15" customHeight="1">
      <c r="A422" t="inlineStr">
        <is>
          <t>A 2630-2023</t>
        </is>
      </c>
      <c r="B422" s="1" t="n">
        <v>44944.39105324074</v>
      </c>
      <c r="C422" s="1" t="n">
        <v>45884</v>
      </c>
      <c r="D422" t="inlineStr">
        <is>
          <t>ÖREBRO LÄN</t>
        </is>
      </c>
      <c r="E422" t="inlineStr">
        <is>
          <t>ÖREBRO</t>
        </is>
      </c>
      <c r="G422" t="n">
        <v>6.1</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45884</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5330-2024</t>
        </is>
      </c>
      <c r="B424" s="1" t="n">
        <v>45331.4187962963</v>
      </c>
      <c r="C424" s="1" t="n">
        <v>45884</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54925-2023</t>
        </is>
      </c>
      <c r="B425" s="1" t="n">
        <v>45229</v>
      </c>
      <c r="C425" s="1" t="n">
        <v>45884</v>
      </c>
      <c r="D425" t="inlineStr">
        <is>
          <t>ÖREBRO LÄN</t>
        </is>
      </c>
      <c r="E425" t="inlineStr">
        <is>
          <t>ÖREBRO</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10830-2023</t>
        </is>
      </c>
      <c r="B426" s="1" t="n">
        <v>44990.89752314815</v>
      </c>
      <c r="C426" s="1" t="n">
        <v>45884</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9585-2025</t>
        </is>
      </c>
      <c r="B427" s="1" t="n">
        <v>45715.63409722222</v>
      </c>
      <c r="C427" s="1" t="n">
        <v>45884</v>
      </c>
      <c r="D427" t="inlineStr">
        <is>
          <t>ÖREBRO LÄN</t>
        </is>
      </c>
      <c r="E427" t="inlineStr">
        <is>
          <t>ÖREBRO</t>
        </is>
      </c>
      <c r="G427" t="n">
        <v>3.4</v>
      </c>
      <c r="H427" t="n">
        <v>0</v>
      </c>
      <c r="I427" t="n">
        <v>0</v>
      </c>
      <c r="J427" t="n">
        <v>0</v>
      </c>
      <c r="K427" t="n">
        <v>0</v>
      </c>
      <c r="L427" t="n">
        <v>0</v>
      </c>
      <c r="M427" t="n">
        <v>0</v>
      </c>
      <c r="N427" t="n">
        <v>0</v>
      </c>
      <c r="O427" t="n">
        <v>0</v>
      </c>
      <c r="P427" t="n">
        <v>0</v>
      </c>
      <c r="Q427" t="n">
        <v>0</v>
      </c>
      <c r="R427" s="2" t="inlineStr"/>
    </row>
    <row r="428" ht="15" customHeight="1">
      <c r="A428" t="inlineStr">
        <is>
          <t>A 55353-2024</t>
        </is>
      </c>
      <c r="B428" s="1" t="n">
        <v>45621.79526620371</v>
      </c>
      <c r="C428" s="1" t="n">
        <v>45884</v>
      </c>
      <c r="D428" t="inlineStr">
        <is>
          <t>ÖREBRO LÄN</t>
        </is>
      </c>
      <c r="E428" t="inlineStr">
        <is>
          <t>ÖREBRO</t>
        </is>
      </c>
      <c r="G428" t="n">
        <v>0.5</v>
      </c>
      <c r="H428" t="n">
        <v>0</v>
      </c>
      <c r="I428" t="n">
        <v>0</v>
      </c>
      <c r="J428" t="n">
        <v>0</v>
      </c>
      <c r="K428" t="n">
        <v>0</v>
      </c>
      <c r="L428" t="n">
        <v>0</v>
      </c>
      <c r="M428" t="n">
        <v>0</v>
      </c>
      <c r="N428" t="n">
        <v>0</v>
      </c>
      <c r="O428" t="n">
        <v>0</v>
      </c>
      <c r="P428" t="n">
        <v>0</v>
      </c>
      <c r="Q428" t="n">
        <v>0</v>
      </c>
      <c r="R428" s="2" t="inlineStr"/>
    </row>
    <row r="429" ht="15" customHeight="1">
      <c r="A429" t="inlineStr">
        <is>
          <t>A 55357-2024</t>
        </is>
      </c>
      <c r="B429" s="1" t="n">
        <v>45621.81126157408</v>
      </c>
      <c r="C429" s="1" t="n">
        <v>45884</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5125-2024</t>
        </is>
      </c>
      <c r="B430" s="1" t="n">
        <v>45330</v>
      </c>
      <c r="C430" s="1" t="n">
        <v>45884</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42623-2022</t>
        </is>
      </c>
      <c r="B431" s="1" t="n">
        <v>44831</v>
      </c>
      <c r="C431" s="1" t="n">
        <v>45884</v>
      </c>
      <c r="D431" t="inlineStr">
        <is>
          <t>ÖREBRO LÄN</t>
        </is>
      </c>
      <c r="E431" t="inlineStr">
        <is>
          <t>ÖREBRO</t>
        </is>
      </c>
      <c r="G431" t="n">
        <v>3.6</v>
      </c>
      <c r="H431" t="n">
        <v>0</v>
      </c>
      <c r="I431" t="n">
        <v>0</v>
      </c>
      <c r="J431" t="n">
        <v>0</v>
      </c>
      <c r="K431" t="n">
        <v>0</v>
      </c>
      <c r="L431" t="n">
        <v>0</v>
      </c>
      <c r="M431" t="n">
        <v>0</v>
      </c>
      <c r="N431" t="n">
        <v>0</v>
      </c>
      <c r="O431" t="n">
        <v>0</v>
      </c>
      <c r="P431" t="n">
        <v>0</v>
      </c>
      <c r="Q431" t="n">
        <v>0</v>
      </c>
      <c r="R431" s="2" t="inlineStr"/>
    </row>
    <row r="432" ht="15" customHeight="1">
      <c r="A432" t="inlineStr">
        <is>
          <t>A 72329-2021</t>
        </is>
      </c>
      <c r="B432" s="1" t="n">
        <v>44545.46072916667</v>
      </c>
      <c r="C432" s="1" t="n">
        <v>45884</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42138-2024</t>
        </is>
      </c>
      <c r="B433" s="1" t="n">
        <v>45562.41854166667</v>
      </c>
      <c r="C433" s="1" t="n">
        <v>45884</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26101-2022</t>
        </is>
      </c>
      <c r="B434" s="1" t="n">
        <v>44734</v>
      </c>
      <c r="C434" s="1" t="n">
        <v>45884</v>
      </c>
      <c r="D434" t="inlineStr">
        <is>
          <t>ÖREBRO LÄN</t>
        </is>
      </c>
      <c r="E434" t="inlineStr">
        <is>
          <t>ÖREBRO</t>
        </is>
      </c>
      <c r="G434" t="n">
        <v>15.8</v>
      </c>
      <c r="H434" t="n">
        <v>0</v>
      </c>
      <c r="I434" t="n">
        <v>0</v>
      </c>
      <c r="J434" t="n">
        <v>0</v>
      </c>
      <c r="K434" t="n">
        <v>0</v>
      </c>
      <c r="L434" t="n">
        <v>0</v>
      </c>
      <c r="M434" t="n">
        <v>0</v>
      </c>
      <c r="N434" t="n">
        <v>0</v>
      </c>
      <c r="O434" t="n">
        <v>0</v>
      </c>
      <c r="P434" t="n">
        <v>0</v>
      </c>
      <c r="Q434" t="n">
        <v>0</v>
      </c>
      <c r="R434" s="2" t="inlineStr"/>
    </row>
    <row r="435" ht="15" customHeight="1">
      <c r="A435" t="inlineStr">
        <is>
          <t>A 2095-2025</t>
        </is>
      </c>
      <c r="B435" s="1" t="n">
        <v>45672</v>
      </c>
      <c r="C435" s="1" t="n">
        <v>45884</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38532-2020</t>
        </is>
      </c>
      <c r="B436" s="1" t="n">
        <v>44061</v>
      </c>
      <c r="C436" s="1" t="n">
        <v>45884</v>
      </c>
      <c r="D436" t="inlineStr">
        <is>
          <t>ÖREBRO LÄN</t>
        </is>
      </c>
      <c r="E436" t="inlineStr">
        <is>
          <t>ÖREBRO</t>
        </is>
      </c>
      <c r="G436" t="n">
        <v>3.8</v>
      </c>
      <c r="H436" t="n">
        <v>0</v>
      </c>
      <c r="I436" t="n">
        <v>0</v>
      </c>
      <c r="J436" t="n">
        <v>0</v>
      </c>
      <c r="K436" t="n">
        <v>0</v>
      </c>
      <c r="L436" t="n">
        <v>0</v>
      </c>
      <c r="M436" t="n">
        <v>0</v>
      </c>
      <c r="N436" t="n">
        <v>0</v>
      </c>
      <c r="O436" t="n">
        <v>0</v>
      </c>
      <c r="P436" t="n">
        <v>0</v>
      </c>
      <c r="Q436" t="n">
        <v>0</v>
      </c>
      <c r="R436" s="2" t="inlineStr"/>
    </row>
    <row r="437" ht="15" customHeight="1">
      <c r="A437" t="inlineStr">
        <is>
          <t>A 71206-2021</t>
        </is>
      </c>
      <c r="B437" s="1" t="n">
        <v>44539</v>
      </c>
      <c r="C437" s="1" t="n">
        <v>45884</v>
      </c>
      <c r="D437" t="inlineStr">
        <is>
          <t>ÖREBRO LÄN</t>
        </is>
      </c>
      <c r="E437" t="inlineStr">
        <is>
          <t>ÖREBRO</t>
        </is>
      </c>
      <c r="G437" t="n">
        <v>2.5</v>
      </c>
      <c r="H437" t="n">
        <v>0</v>
      </c>
      <c r="I437" t="n">
        <v>0</v>
      </c>
      <c r="J437" t="n">
        <v>0</v>
      </c>
      <c r="K437" t="n">
        <v>0</v>
      </c>
      <c r="L437" t="n">
        <v>0</v>
      </c>
      <c r="M437" t="n">
        <v>0</v>
      </c>
      <c r="N437" t="n">
        <v>0</v>
      </c>
      <c r="O437" t="n">
        <v>0</v>
      </c>
      <c r="P437" t="n">
        <v>0</v>
      </c>
      <c r="Q437" t="n">
        <v>0</v>
      </c>
      <c r="R437" s="2" t="inlineStr"/>
    </row>
    <row r="438" ht="15" customHeight="1">
      <c r="A438" t="inlineStr">
        <is>
          <t>A 48140-2024</t>
        </is>
      </c>
      <c r="B438" s="1" t="n">
        <v>45589.66474537037</v>
      </c>
      <c r="C438" s="1" t="n">
        <v>45884</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41703-2024</t>
        </is>
      </c>
      <c r="B439" s="1" t="n">
        <v>45560</v>
      </c>
      <c r="C439" s="1" t="n">
        <v>45884</v>
      </c>
      <c r="D439" t="inlineStr">
        <is>
          <t>ÖREBRO LÄN</t>
        </is>
      </c>
      <c r="E439" t="inlineStr">
        <is>
          <t>ÖREBRO</t>
        </is>
      </c>
      <c r="G439" t="n">
        <v>6.4</v>
      </c>
      <c r="H439" t="n">
        <v>0</v>
      </c>
      <c r="I439" t="n">
        <v>0</v>
      </c>
      <c r="J439" t="n">
        <v>0</v>
      </c>
      <c r="K439" t="n">
        <v>0</v>
      </c>
      <c r="L439" t="n">
        <v>0</v>
      </c>
      <c r="M439" t="n">
        <v>0</v>
      </c>
      <c r="N439" t="n">
        <v>0</v>
      </c>
      <c r="O439" t="n">
        <v>0</v>
      </c>
      <c r="P439" t="n">
        <v>0</v>
      </c>
      <c r="Q439" t="n">
        <v>0</v>
      </c>
      <c r="R439" s="2" t="inlineStr"/>
    </row>
    <row r="440" ht="15" customHeight="1">
      <c r="A440" t="inlineStr">
        <is>
          <t>A 4344-2025</t>
        </is>
      </c>
      <c r="B440" s="1" t="n">
        <v>45685</v>
      </c>
      <c r="C440" s="1" t="n">
        <v>45884</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46323-2024</t>
        </is>
      </c>
      <c r="B441" s="1" t="n">
        <v>45581.84538194445</v>
      </c>
      <c r="C441" s="1" t="n">
        <v>45884</v>
      </c>
      <c r="D441" t="inlineStr">
        <is>
          <t>ÖREBRO LÄN</t>
        </is>
      </c>
      <c r="E441" t="inlineStr">
        <is>
          <t>ÖREBRO</t>
        </is>
      </c>
      <c r="F441" t="inlineStr">
        <is>
          <t>Övriga Aktiebolag</t>
        </is>
      </c>
      <c r="G441" t="n">
        <v>1.4</v>
      </c>
      <c r="H441" t="n">
        <v>0</v>
      </c>
      <c r="I441" t="n">
        <v>0</v>
      </c>
      <c r="J441" t="n">
        <v>0</v>
      </c>
      <c r="K441" t="n">
        <v>0</v>
      </c>
      <c r="L441" t="n">
        <v>0</v>
      </c>
      <c r="M441" t="n">
        <v>0</v>
      </c>
      <c r="N441" t="n">
        <v>0</v>
      </c>
      <c r="O441" t="n">
        <v>0</v>
      </c>
      <c r="P441" t="n">
        <v>0</v>
      </c>
      <c r="Q441" t="n">
        <v>0</v>
      </c>
      <c r="R441" s="2" t="inlineStr"/>
    </row>
    <row r="442" ht="15" customHeight="1">
      <c r="A442" t="inlineStr">
        <is>
          <t>A 55355-2024</t>
        </is>
      </c>
      <c r="B442" s="1" t="n">
        <v>45621.80475694445</v>
      </c>
      <c r="C442" s="1" t="n">
        <v>45884</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56077-2022</t>
        </is>
      </c>
      <c r="B443" s="1" t="n">
        <v>44889.60872685185</v>
      </c>
      <c r="C443" s="1" t="n">
        <v>45884</v>
      </c>
      <c r="D443" t="inlineStr">
        <is>
          <t>ÖREBRO LÄN</t>
        </is>
      </c>
      <c r="E443" t="inlineStr">
        <is>
          <t>ÖREBRO</t>
        </is>
      </c>
      <c r="F443" t="inlineStr">
        <is>
          <t>Övriga Aktiebolag</t>
        </is>
      </c>
      <c r="G443" t="n">
        <v>2.5</v>
      </c>
      <c r="H443" t="n">
        <v>0</v>
      </c>
      <c r="I443" t="n">
        <v>0</v>
      </c>
      <c r="J443" t="n">
        <v>0</v>
      </c>
      <c r="K443" t="n">
        <v>0</v>
      </c>
      <c r="L443" t="n">
        <v>0</v>
      </c>
      <c r="M443" t="n">
        <v>0</v>
      </c>
      <c r="N443" t="n">
        <v>0</v>
      </c>
      <c r="O443" t="n">
        <v>0</v>
      </c>
      <c r="P443" t="n">
        <v>0</v>
      </c>
      <c r="Q443" t="n">
        <v>0</v>
      </c>
      <c r="R443" s="2" t="inlineStr"/>
    </row>
    <row r="444" ht="15" customHeight="1">
      <c r="A444" t="inlineStr">
        <is>
          <t>A 33577-2023</t>
        </is>
      </c>
      <c r="B444" s="1" t="n">
        <v>45131</v>
      </c>
      <c r="C444" s="1" t="n">
        <v>45884</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38489-2023</t>
        </is>
      </c>
      <c r="B445" s="1" t="n">
        <v>45162</v>
      </c>
      <c r="C445" s="1" t="n">
        <v>45884</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33457-2023</t>
        </is>
      </c>
      <c r="B446" s="1" t="n">
        <v>45131</v>
      </c>
      <c r="C446" s="1" t="n">
        <v>45884</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48687-2024</t>
        </is>
      </c>
      <c r="B447" s="1" t="n">
        <v>45593.49899305555</v>
      </c>
      <c r="C447" s="1" t="n">
        <v>45884</v>
      </c>
      <c r="D447" t="inlineStr">
        <is>
          <t>ÖREBRO LÄN</t>
        </is>
      </c>
      <c r="E447" t="inlineStr">
        <is>
          <t>ÖREBRO</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7141-2025</t>
        </is>
      </c>
      <c r="B448" s="1" t="n">
        <v>45702</v>
      </c>
      <c r="C448" s="1" t="n">
        <v>45884</v>
      </c>
      <c r="D448" t="inlineStr">
        <is>
          <t>ÖREBRO LÄN</t>
        </is>
      </c>
      <c r="E448" t="inlineStr">
        <is>
          <t>ÖREBRO</t>
        </is>
      </c>
      <c r="G448" t="n">
        <v>2.9</v>
      </c>
      <c r="H448" t="n">
        <v>0</v>
      </c>
      <c r="I448" t="n">
        <v>0</v>
      </c>
      <c r="J448" t="n">
        <v>0</v>
      </c>
      <c r="K448" t="n">
        <v>0</v>
      </c>
      <c r="L448" t="n">
        <v>0</v>
      </c>
      <c r="M448" t="n">
        <v>0</v>
      </c>
      <c r="N448" t="n">
        <v>0</v>
      </c>
      <c r="O448" t="n">
        <v>0</v>
      </c>
      <c r="P448" t="n">
        <v>0</v>
      </c>
      <c r="Q448" t="n">
        <v>0</v>
      </c>
      <c r="R448" s="2" t="inlineStr"/>
    </row>
    <row r="449" ht="15" customHeight="1">
      <c r="A449" t="inlineStr">
        <is>
          <t>A 19763-2024</t>
        </is>
      </c>
      <c r="B449" s="1" t="n">
        <v>45432</v>
      </c>
      <c r="C449" s="1" t="n">
        <v>45884</v>
      </c>
      <c r="D449" t="inlineStr">
        <is>
          <t>ÖREBRO LÄN</t>
        </is>
      </c>
      <c r="E449" t="inlineStr">
        <is>
          <t>ÖREBRO</t>
        </is>
      </c>
      <c r="G449" t="n">
        <v>1.9</v>
      </c>
      <c r="H449" t="n">
        <v>0</v>
      </c>
      <c r="I449" t="n">
        <v>0</v>
      </c>
      <c r="J449" t="n">
        <v>0</v>
      </c>
      <c r="K449" t="n">
        <v>0</v>
      </c>
      <c r="L449" t="n">
        <v>0</v>
      </c>
      <c r="M449" t="n">
        <v>0</v>
      </c>
      <c r="N449" t="n">
        <v>0</v>
      </c>
      <c r="O449" t="n">
        <v>0</v>
      </c>
      <c r="P449" t="n">
        <v>0</v>
      </c>
      <c r="Q449" t="n">
        <v>0</v>
      </c>
      <c r="R449" s="2" t="inlineStr"/>
    </row>
    <row r="450" ht="15" customHeight="1">
      <c r="A450" t="inlineStr">
        <is>
          <t>A 14545-2023</t>
        </is>
      </c>
      <c r="B450" s="1" t="n">
        <v>45013.34895833334</v>
      </c>
      <c r="C450" s="1" t="n">
        <v>45884</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54917-2023</t>
        </is>
      </c>
      <c r="B451" s="1" t="n">
        <v>45229</v>
      </c>
      <c r="C451" s="1" t="n">
        <v>45884</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14432-2023</t>
        </is>
      </c>
      <c r="B452" s="1" t="n">
        <v>45012</v>
      </c>
      <c r="C452" s="1" t="n">
        <v>45884</v>
      </c>
      <c r="D452" t="inlineStr">
        <is>
          <t>ÖREBRO LÄN</t>
        </is>
      </c>
      <c r="E452" t="inlineStr">
        <is>
          <t>ÖREBRO</t>
        </is>
      </c>
      <c r="G452" t="n">
        <v>3.3</v>
      </c>
      <c r="H452" t="n">
        <v>0</v>
      </c>
      <c r="I452" t="n">
        <v>0</v>
      </c>
      <c r="J452" t="n">
        <v>0</v>
      </c>
      <c r="K452" t="n">
        <v>0</v>
      </c>
      <c r="L452" t="n">
        <v>0</v>
      </c>
      <c r="M452" t="n">
        <v>0</v>
      </c>
      <c r="N452" t="n">
        <v>0</v>
      </c>
      <c r="O452" t="n">
        <v>0</v>
      </c>
      <c r="P452" t="n">
        <v>0</v>
      </c>
      <c r="Q452" t="n">
        <v>0</v>
      </c>
      <c r="R452" s="2" t="inlineStr"/>
    </row>
    <row r="453" ht="15" customHeight="1">
      <c r="A453" t="inlineStr">
        <is>
          <t>A 22677-2022</t>
        </is>
      </c>
      <c r="B453" s="1" t="n">
        <v>44714</v>
      </c>
      <c r="C453" s="1" t="n">
        <v>45884</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44586.46921296296</v>
      </c>
      <c r="C454" s="1" t="n">
        <v>45884</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37021-2024</t>
        </is>
      </c>
      <c r="B455" s="1" t="n">
        <v>45539.38146990741</v>
      </c>
      <c r="C455" s="1" t="n">
        <v>45884</v>
      </c>
      <c r="D455" t="inlineStr">
        <is>
          <t>ÖREBRO LÄN</t>
        </is>
      </c>
      <c r="E455" t="inlineStr">
        <is>
          <t>ÖREBRO</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13169-2024</t>
        </is>
      </c>
      <c r="B456" s="1" t="n">
        <v>45386.40489583334</v>
      </c>
      <c r="C456" s="1" t="n">
        <v>45884</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23710-2022</t>
        </is>
      </c>
      <c r="B457" s="1" t="n">
        <v>44722</v>
      </c>
      <c r="C457" s="1" t="n">
        <v>45884</v>
      </c>
      <c r="D457" t="inlineStr">
        <is>
          <t>ÖREBRO LÄN</t>
        </is>
      </c>
      <c r="E457" t="inlineStr">
        <is>
          <t>ÖREBRO</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4757-2024</t>
        </is>
      </c>
      <c r="B458" s="1" t="n">
        <v>45328</v>
      </c>
      <c r="C458" s="1" t="n">
        <v>45884</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30903-2024</t>
        </is>
      </c>
      <c r="B459" s="1" t="n">
        <v>45498.49946759259</v>
      </c>
      <c r="C459" s="1" t="n">
        <v>45884</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52499-2024</t>
        </is>
      </c>
      <c r="B460" s="1" t="n">
        <v>45609.58422453704</v>
      </c>
      <c r="C460" s="1" t="n">
        <v>45884</v>
      </c>
      <c r="D460" t="inlineStr">
        <is>
          <t>ÖREBRO LÄN</t>
        </is>
      </c>
      <c r="E460" t="inlineStr">
        <is>
          <t>ÖREBRO</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8374-2021</t>
        </is>
      </c>
      <c r="B461" s="1" t="n">
        <v>44244</v>
      </c>
      <c r="C461" s="1" t="n">
        <v>45884</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47193-2023</t>
        </is>
      </c>
      <c r="B462" s="1" t="n">
        <v>45202.3074537037</v>
      </c>
      <c r="C462" s="1" t="n">
        <v>45884</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59026-2024</t>
        </is>
      </c>
      <c r="B463" s="1" t="n">
        <v>45636.6875</v>
      </c>
      <c r="C463" s="1" t="n">
        <v>45884</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17465-2023</t>
        </is>
      </c>
      <c r="B464" s="1" t="n">
        <v>45036</v>
      </c>
      <c r="C464" s="1" t="n">
        <v>45884</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14960-2025</t>
        </is>
      </c>
      <c r="B465" s="1" t="n">
        <v>45743.5853125</v>
      </c>
      <c r="C465" s="1" t="n">
        <v>45884</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13623-2024</t>
        </is>
      </c>
      <c r="B466" s="1" t="n">
        <v>45390.38626157407</v>
      </c>
      <c r="C466" s="1" t="n">
        <v>45884</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36635-2023</t>
        </is>
      </c>
      <c r="B467" s="1" t="n">
        <v>45153</v>
      </c>
      <c r="C467" s="1" t="n">
        <v>45884</v>
      </c>
      <c r="D467" t="inlineStr">
        <is>
          <t>ÖREBRO LÄN</t>
        </is>
      </c>
      <c r="E467" t="inlineStr">
        <is>
          <t>ÖREBRO</t>
        </is>
      </c>
      <c r="G467" t="n">
        <v>1.9</v>
      </c>
      <c r="H467" t="n">
        <v>0</v>
      </c>
      <c r="I467" t="n">
        <v>0</v>
      </c>
      <c r="J467" t="n">
        <v>0</v>
      </c>
      <c r="K467" t="n">
        <v>0</v>
      </c>
      <c r="L467" t="n">
        <v>0</v>
      </c>
      <c r="M467" t="n">
        <v>0</v>
      </c>
      <c r="N467" t="n">
        <v>0</v>
      </c>
      <c r="O467" t="n">
        <v>0</v>
      </c>
      <c r="P467" t="n">
        <v>0</v>
      </c>
      <c r="Q467" t="n">
        <v>0</v>
      </c>
      <c r="R467" s="2" t="inlineStr"/>
    </row>
    <row r="468" ht="15" customHeight="1">
      <c r="A468" t="inlineStr">
        <is>
          <t>A 681-2024</t>
        </is>
      </c>
      <c r="B468" s="1" t="n">
        <v>45300</v>
      </c>
      <c r="C468" s="1" t="n">
        <v>45884</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5619-2023</t>
        </is>
      </c>
      <c r="B469" s="1" t="n">
        <v>44958</v>
      </c>
      <c r="C469" s="1" t="n">
        <v>45884</v>
      </c>
      <c r="D469" t="inlineStr">
        <is>
          <t>ÖREBRO LÄN</t>
        </is>
      </c>
      <c r="E469" t="inlineStr">
        <is>
          <t>ÖREBRO</t>
        </is>
      </c>
      <c r="G469" t="n">
        <v>27</v>
      </c>
      <c r="H469" t="n">
        <v>0</v>
      </c>
      <c r="I469" t="n">
        <v>0</v>
      </c>
      <c r="J469" t="n">
        <v>0</v>
      </c>
      <c r="K469" t="n">
        <v>0</v>
      </c>
      <c r="L469" t="n">
        <v>0</v>
      </c>
      <c r="M469" t="n">
        <v>0</v>
      </c>
      <c r="N469" t="n">
        <v>0</v>
      </c>
      <c r="O469" t="n">
        <v>0</v>
      </c>
      <c r="P469" t="n">
        <v>0</v>
      </c>
      <c r="Q469" t="n">
        <v>0</v>
      </c>
      <c r="R469" s="2" t="inlineStr"/>
    </row>
    <row r="470" ht="15" customHeight="1">
      <c r="A470" t="inlineStr">
        <is>
          <t>A 37277-2022</t>
        </is>
      </c>
      <c r="B470" s="1" t="n">
        <v>44807.49150462963</v>
      </c>
      <c r="C470" s="1" t="n">
        <v>45884</v>
      </c>
      <c r="D470" t="inlineStr">
        <is>
          <t>ÖREBRO LÄN</t>
        </is>
      </c>
      <c r="E470" t="inlineStr">
        <is>
          <t>ÖREBRO</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23573-2023</t>
        </is>
      </c>
      <c r="B471" s="1" t="n">
        <v>45077.41672453703</v>
      </c>
      <c r="C471" s="1" t="n">
        <v>45884</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21097-2025</t>
        </is>
      </c>
      <c r="B472" s="1" t="n">
        <v>45777.63863425926</v>
      </c>
      <c r="C472" s="1" t="n">
        <v>45884</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61593-2023</t>
        </is>
      </c>
      <c r="B473" s="1" t="n">
        <v>45265</v>
      </c>
      <c r="C473" s="1" t="n">
        <v>45884</v>
      </c>
      <c r="D473" t="inlineStr">
        <is>
          <t>ÖREBRO LÄN</t>
        </is>
      </c>
      <c r="E473" t="inlineStr">
        <is>
          <t>ÖREBRO</t>
        </is>
      </c>
      <c r="G473" t="n">
        <v>2.5</v>
      </c>
      <c r="H473" t="n">
        <v>0</v>
      </c>
      <c r="I473" t="n">
        <v>0</v>
      </c>
      <c r="J473" t="n">
        <v>0</v>
      </c>
      <c r="K473" t="n">
        <v>0</v>
      </c>
      <c r="L473" t="n">
        <v>0</v>
      </c>
      <c r="M473" t="n">
        <v>0</v>
      </c>
      <c r="N473" t="n">
        <v>0</v>
      </c>
      <c r="O473" t="n">
        <v>0</v>
      </c>
      <c r="P473" t="n">
        <v>0</v>
      </c>
      <c r="Q473" t="n">
        <v>0</v>
      </c>
      <c r="R473" s="2" t="inlineStr"/>
    </row>
    <row r="474" ht="15" customHeight="1">
      <c r="A474" t="inlineStr">
        <is>
          <t>A 21578-2025</t>
        </is>
      </c>
      <c r="B474" s="1" t="n">
        <v>45782.88587962963</v>
      </c>
      <c r="C474" s="1" t="n">
        <v>45884</v>
      </c>
      <c r="D474" t="inlineStr">
        <is>
          <t>ÖREBRO LÄN</t>
        </is>
      </c>
      <c r="E474" t="inlineStr">
        <is>
          <t>ÖREBRO</t>
        </is>
      </c>
      <c r="G474" t="n">
        <v>0.7</v>
      </c>
      <c r="H474" t="n">
        <v>0</v>
      </c>
      <c r="I474" t="n">
        <v>0</v>
      </c>
      <c r="J474" t="n">
        <v>0</v>
      </c>
      <c r="K474" t="n">
        <v>0</v>
      </c>
      <c r="L474" t="n">
        <v>0</v>
      </c>
      <c r="M474" t="n">
        <v>0</v>
      </c>
      <c r="N474" t="n">
        <v>0</v>
      </c>
      <c r="O474" t="n">
        <v>0</v>
      </c>
      <c r="P474" t="n">
        <v>0</v>
      </c>
      <c r="Q474" t="n">
        <v>0</v>
      </c>
      <c r="R474" s="2" t="inlineStr"/>
    </row>
    <row r="475" ht="15" customHeight="1">
      <c r="A475" t="inlineStr">
        <is>
          <t>A 59024-2024</t>
        </is>
      </c>
      <c r="B475" s="1" t="n">
        <v>45636.68505787037</v>
      </c>
      <c r="C475" s="1" t="n">
        <v>45884</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10339-2023</t>
        </is>
      </c>
      <c r="B476" s="1" t="n">
        <v>44987</v>
      </c>
      <c r="C476" s="1" t="n">
        <v>45884</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31247-2023</t>
        </is>
      </c>
      <c r="B477" s="1" t="n">
        <v>45114</v>
      </c>
      <c r="C477" s="1" t="n">
        <v>45884</v>
      </c>
      <c r="D477" t="inlineStr">
        <is>
          <t>ÖREBRO LÄN</t>
        </is>
      </c>
      <c r="E477" t="inlineStr">
        <is>
          <t>ÖREBRO</t>
        </is>
      </c>
      <c r="F477" t="inlineStr">
        <is>
          <t>Allmännings- och besparingsskogar</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16165-2023</t>
        </is>
      </c>
      <c r="B478" s="1" t="n">
        <v>45027</v>
      </c>
      <c r="C478" s="1" t="n">
        <v>45884</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35819-2024</t>
        </is>
      </c>
      <c r="B479" s="1" t="n">
        <v>45532</v>
      </c>
      <c r="C479" s="1" t="n">
        <v>45884</v>
      </c>
      <c r="D479" t="inlineStr">
        <is>
          <t>ÖREBRO LÄN</t>
        </is>
      </c>
      <c r="E479" t="inlineStr">
        <is>
          <t>ÖREBRO</t>
        </is>
      </c>
      <c r="G479" t="n">
        <v>6.4</v>
      </c>
      <c r="H479" t="n">
        <v>0</v>
      </c>
      <c r="I479" t="n">
        <v>0</v>
      </c>
      <c r="J479" t="n">
        <v>0</v>
      </c>
      <c r="K479" t="n">
        <v>0</v>
      </c>
      <c r="L479" t="n">
        <v>0</v>
      </c>
      <c r="M479" t="n">
        <v>0</v>
      </c>
      <c r="N479" t="n">
        <v>0</v>
      </c>
      <c r="O479" t="n">
        <v>0</v>
      </c>
      <c r="P479" t="n">
        <v>0</v>
      </c>
      <c r="Q479" t="n">
        <v>0</v>
      </c>
      <c r="R479" s="2" t="inlineStr"/>
    </row>
    <row r="480" ht="15" customHeight="1">
      <c r="A480" t="inlineStr">
        <is>
          <t>A 39130-2023</t>
        </is>
      </c>
      <c r="B480" s="1" t="n">
        <v>45165</v>
      </c>
      <c r="C480" s="1" t="n">
        <v>45884</v>
      </c>
      <c r="D480" t="inlineStr">
        <is>
          <t>ÖREBRO LÄN</t>
        </is>
      </c>
      <c r="E480" t="inlineStr">
        <is>
          <t>ÖREBRO</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50398-2022</t>
        </is>
      </c>
      <c r="B481" s="1" t="n">
        <v>44861</v>
      </c>
      <c r="C481" s="1" t="n">
        <v>45884</v>
      </c>
      <c r="D481" t="inlineStr">
        <is>
          <t>ÖREBRO LÄN</t>
        </is>
      </c>
      <c r="E481" t="inlineStr">
        <is>
          <t>ÖREBRO</t>
        </is>
      </c>
      <c r="G481" t="n">
        <v>1.9</v>
      </c>
      <c r="H481" t="n">
        <v>0</v>
      </c>
      <c r="I481" t="n">
        <v>0</v>
      </c>
      <c r="J481" t="n">
        <v>0</v>
      </c>
      <c r="K481" t="n">
        <v>0</v>
      </c>
      <c r="L481" t="n">
        <v>0</v>
      </c>
      <c r="M481" t="n">
        <v>0</v>
      </c>
      <c r="N481" t="n">
        <v>0</v>
      </c>
      <c r="O481" t="n">
        <v>0</v>
      </c>
      <c r="P481" t="n">
        <v>0</v>
      </c>
      <c r="Q481" t="n">
        <v>0</v>
      </c>
      <c r="R481" s="2" t="inlineStr"/>
    </row>
    <row r="482" ht="15" customHeight="1">
      <c r="A482" t="inlineStr">
        <is>
          <t>A 9379-2024</t>
        </is>
      </c>
      <c r="B482" s="1" t="n">
        <v>45359.37298611111</v>
      </c>
      <c r="C482" s="1" t="n">
        <v>45884</v>
      </c>
      <c r="D482" t="inlineStr">
        <is>
          <t>ÖREBRO LÄN</t>
        </is>
      </c>
      <c r="E482" t="inlineStr">
        <is>
          <t>ÖREBRO</t>
        </is>
      </c>
      <c r="G482" t="n">
        <v>2.4</v>
      </c>
      <c r="H482" t="n">
        <v>0</v>
      </c>
      <c r="I482" t="n">
        <v>0</v>
      </c>
      <c r="J482" t="n">
        <v>0</v>
      </c>
      <c r="K482" t="n">
        <v>0</v>
      </c>
      <c r="L482" t="n">
        <v>0</v>
      </c>
      <c r="M482" t="n">
        <v>0</v>
      </c>
      <c r="N482" t="n">
        <v>0</v>
      </c>
      <c r="O482" t="n">
        <v>0</v>
      </c>
      <c r="P482" t="n">
        <v>0</v>
      </c>
      <c r="Q482" t="n">
        <v>0</v>
      </c>
      <c r="R482" s="2" t="inlineStr"/>
    </row>
    <row r="483" ht="15" customHeight="1">
      <c r="A483" t="inlineStr">
        <is>
          <t>A 32076-2023</t>
        </is>
      </c>
      <c r="B483" s="1" t="n">
        <v>45119.58324074074</v>
      </c>
      <c r="C483" s="1" t="n">
        <v>45884</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42636-2023</t>
        </is>
      </c>
      <c r="B484" s="1" t="n">
        <v>45181.49559027778</v>
      </c>
      <c r="C484" s="1" t="n">
        <v>45884</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21338-2025</t>
        </is>
      </c>
      <c r="B485" s="1" t="n">
        <v>45780</v>
      </c>
      <c r="C485" s="1" t="n">
        <v>45884</v>
      </c>
      <c r="D485" t="inlineStr">
        <is>
          <t>ÖREBRO LÄN</t>
        </is>
      </c>
      <c r="E485" t="inlineStr">
        <is>
          <t>ÖREBRO</t>
        </is>
      </c>
      <c r="G485" t="n">
        <v>3.2</v>
      </c>
      <c r="H485" t="n">
        <v>0</v>
      </c>
      <c r="I485" t="n">
        <v>0</v>
      </c>
      <c r="J485" t="n">
        <v>0</v>
      </c>
      <c r="K485" t="n">
        <v>0</v>
      </c>
      <c r="L485" t="n">
        <v>0</v>
      </c>
      <c r="M485" t="n">
        <v>0</v>
      </c>
      <c r="N485" t="n">
        <v>0</v>
      </c>
      <c r="O485" t="n">
        <v>0</v>
      </c>
      <c r="P485" t="n">
        <v>0</v>
      </c>
      <c r="Q485" t="n">
        <v>0</v>
      </c>
      <c r="R485" s="2" t="inlineStr"/>
    </row>
    <row r="486" ht="15" customHeight="1">
      <c r="A486" t="inlineStr">
        <is>
          <t>A 35345-2024</t>
        </is>
      </c>
      <c r="B486" s="1" t="n">
        <v>45530</v>
      </c>
      <c r="C486" s="1" t="n">
        <v>45884</v>
      </c>
      <c r="D486" t="inlineStr">
        <is>
          <t>ÖREBRO LÄN</t>
        </is>
      </c>
      <c r="E486" t="inlineStr">
        <is>
          <t>ÖREBRO</t>
        </is>
      </c>
      <c r="G486" t="n">
        <v>0.9</v>
      </c>
      <c r="H486" t="n">
        <v>0</v>
      </c>
      <c r="I486" t="n">
        <v>0</v>
      </c>
      <c r="J486" t="n">
        <v>0</v>
      </c>
      <c r="K486" t="n">
        <v>0</v>
      </c>
      <c r="L486" t="n">
        <v>0</v>
      </c>
      <c r="M486" t="n">
        <v>0</v>
      </c>
      <c r="N486" t="n">
        <v>0</v>
      </c>
      <c r="O486" t="n">
        <v>0</v>
      </c>
      <c r="P486" t="n">
        <v>0</v>
      </c>
      <c r="Q486" t="n">
        <v>0</v>
      </c>
      <c r="R486" s="2" t="inlineStr"/>
    </row>
    <row r="487" ht="15" customHeight="1">
      <c r="A487" t="inlineStr">
        <is>
          <t>A 8568-2021</t>
        </is>
      </c>
      <c r="B487" s="1" t="n">
        <v>44245</v>
      </c>
      <c r="C487" s="1" t="n">
        <v>45884</v>
      </c>
      <c r="D487" t="inlineStr">
        <is>
          <t>ÖREBRO LÄN</t>
        </is>
      </c>
      <c r="E487" t="inlineStr">
        <is>
          <t>ÖREBRO</t>
        </is>
      </c>
      <c r="G487" t="n">
        <v>4.8</v>
      </c>
      <c r="H487" t="n">
        <v>0</v>
      </c>
      <c r="I487" t="n">
        <v>0</v>
      </c>
      <c r="J487" t="n">
        <v>0</v>
      </c>
      <c r="K487" t="n">
        <v>0</v>
      </c>
      <c r="L487" t="n">
        <v>0</v>
      </c>
      <c r="M487" t="n">
        <v>0</v>
      </c>
      <c r="N487" t="n">
        <v>0</v>
      </c>
      <c r="O487" t="n">
        <v>0</v>
      </c>
      <c r="P487" t="n">
        <v>0</v>
      </c>
      <c r="Q487" t="n">
        <v>0</v>
      </c>
      <c r="R487" s="2" t="inlineStr"/>
    </row>
    <row r="488" ht="15" customHeight="1">
      <c r="A488" t="inlineStr">
        <is>
          <t>A 45517-2023</t>
        </is>
      </c>
      <c r="B488" s="1" t="n">
        <v>45194.49594907407</v>
      </c>
      <c r="C488" s="1" t="n">
        <v>45884</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32321-2023</t>
        </is>
      </c>
      <c r="B489" s="1" t="n">
        <v>45120</v>
      </c>
      <c r="C489" s="1" t="n">
        <v>45884</v>
      </c>
      <c r="D489" t="inlineStr">
        <is>
          <t>ÖREBRO LÄN</t>
        </is>
      </c>
      <c r="E489" t="inlineStr">
        <is>
          <t>ÖREBRO</t>
        </is>
      </c>
      <c r="G489" t="n">
        <v>3.4</v>
      </c>
      <c r="H489" t="n">
        <v>0</v>
      </c>
      <c r="I489" t="n">
        <v>0</v>
      </c>
      <c r="J489" t="n">
        <v>0</v>
      </c>
      <c r="K489" t="n">
        <v>0</v>
      </c>
      <c r="L489" t="n">
        <v>0</v>
      </c>
      <c r="M489" t="n">
        <v>0</v>
      </c>
      <c r="N489" t="n">
        <v>0</v>
      </c>
      <c r="O489" t="n">
        <v>0</v>
      </c>
      <c r="P489" t="n">
        <v>0</v>
      </c>
      <c r="Q489" t="n">
        <v>0</v>
      </c>
      <c r="R489" s="2" t="inlineStr"/>
    </row>
    <row r="490" ht="15" customHeight="1">
      <c r="A490" t="inlineStr">
        <is>
          <t>A 29138-2022</t>
        </is>
      </c>
      <c r="B490" s="1" t="n">
        <v>44750</v>
      </c>
      <c r="C490" s="1" t="n">
        <v>45884</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29143-2022</t>
        </is>
      </c>
      <c r="B491" s="1" t="n">
        <v>44750</v>
      </c>
      <c r="C491" s="1" t="n">
        <v>45884</v>
      </c>
      <c r="D491" t="inlineStr">
        <is>
          <t>ÖREBRO LÄN</t>
        </is>
      </c>
      <c r="E491" t="inlineStr">
        <is>
          <t>ÖREBRO</t>
        </is>
      </c>
      <c r="G491" t="n">
        <v>5.6</v>
      </c>
      <c r="H491" t="n">
        <v>0</v>
      </c>
      <c r="I491" t="n">
        <v>0</v>
      </c>
      <c r="J491" t="n">
        <v>0</v>
      </c>
      <c r="K491" t="n">
        <v>0</v>
      </c>
      <c r="L491" t="n">
        <v>0</v>
      </c>
      <c r="M491" t="n">
        <v>0</v>
      </c>
      <c r="N491" t="n">
        <v>0</v>
      </c>
      <c r="O491" t="n">
        <v>0</v>
      </c>
      <c r="P491" t="n">
        <v>0</v>
      </c>
      <c r="Q491" t="n">
        <v>0</v>
      </c>
      <c r="R491" s="2" t="inlineStr"/>
    </row>
    <row r="492" ht="15" customHeight="1">
      <c r="A492" t="inlineStr">
        <is>
          <t>A 14234-2024</t>
        </is>
      </c>
      <c r="B492" s="1" t="n">
        <v>45393.46980324074</v>
      </c>
      <c r="C492" s="1" t="n">
        <v>45884</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4557-2023</t>
        </is>
      </c>
      <c r="B493" s="1" t="n">
        <v>44956.6655787037</v>
      </c>
      <c r="C493" s="1" t="n">
        <v>45884</v>
      </c>
      <c r="D493" t="inlineStr">
        <is>
          <t>ÖREBRO LÄN</t>
        </is>
      </c>
      <c r="E493" t="inlineStr">
        <is>
          <t>ÖREBRO</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53558-2023</t>
        </is>
      </c>
      <c r="B494" s="1" t="n">
        <v>45230.47266203703</v>
      </c>
      <c r="C494" s="1" t="n">
        <v>45884</v>
      </c>
      <c r="D494" t="inlineStr">
        <is>
          <t>ÖREBRO LÄN</t>
        </is>
      </c>
      <c r="E494" t="inlineStr">
        <is>
          <t>ÖREBRO</t>
        </is>
      </c>
      <c r="F494" t="inlineStr">
        <is>
          <t>Övriga Aktiebolag</t>
        </is>
      </c>
      <c r="G494" t="n">
        <v>4.7</v>
      </c>
      <c r="H494" t="n">
        <v>0</v>
      </c>
      <c r="I494" t="n">
        <v>0</v>
      </c>
      <c r="J494" t="n">
        <v>0</v>
      </c>
      <c r="K494" t="n">
        <v>0</v>
      </c>
      <c r="L494" t="n">
        <v>0</v>
      </c>
      <c r="M494" t="n">
        <v>0</v>
      </c>
      <c r="N494" t="n">
        <v>0</v>
      </c>
      <c r="O494" t="n">
        <v>0</v>
      </c>
      <c r="P494" t="n">
        <v>0</v>
      </c>
      <c r="Q494" t="n">
        <v>0</v>
      </c>
      <c r="R494" s="2" t="inlineStr"/>
    </row>
    <row r="495" ht="15" customHeight="1">
      <c r="A495" t="inlineStr">
        <is>
          <t>A 58644-2023</t>
        </is>
      </c>
      <c r="B495" s="1" t="n">
        <v>45251.58716435185</v>
      </c>
      <c r="C495" s="1" t="n">
        <v>45884</v>
      </c>
      <c r="D495" t="inlineStr">
        <is>
          <t>ÖREBRO LÄN</t>
        </is>
      </c>
      <c r="E495" t="inlineStr">
        <is>
          <t>ÖREBRO</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46518-2023</t>
        </is>
      </c>
      <c r="B496" s="1" t="n">
        <v>45197.72777777778</v>
      </c>
      <c r="C496" s="1" t="n">
        <v>45884</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7692-2023</t>
        </is>
      </c>
      <c r="B497" s="1" t="n">
        <v>44972.7762962963</v>
      </c>
      <c r="C497" s="1" t="n">
        <v>45884</v>
      </c>
      <c r="D497" t="inlineStr">
        <is>
          <t>ÖREBRO LÄN</t>
        </is>
      </c>
      <c r="E497" t="inlineStr">
        <is>
          <t>ÖREBRO</t>
        </is>
      </c>
      <c r="G497" t="n">
        <v>1.5</v>
      </c>
      <c r="H497" t="n">
        <v>0</v>
      </c>
      <c r="I497" t="n">
        <v>0</v>
      </c>
      <c r="J497" t="n">
        <v>0</v>
      </c>
      <c r="K497" t="n">
        <v>0</v>
      </c>
      <c r="L497" t="n">
        <v>0</v>
      </c>
      <c r="M497" t="n">
        <v>0</v>
      </c>
      <c r="N497" t="n">
        <v>0</v>
      </c>
      <c r="O497" t="n">
        <v>0</v>
      </c>
      <c r="P497" t="n">
        <v>0</v>
      </c>
      <c r="Q497" t="n">
        <v>0</v>
      </c>
      <c r="R497" s="2" t="inlineStr"/>
    </row>
    <row r="498" ht="15" customHeight="1">
      <c r="A498" t="inlineStr">
        <is>
          <t>A 22719-2025</t>
        </is>
      </c>
      <c r="B498" s="1" t="n">
        <v>45789</v>
      </c>
      <c r="C498" s="1" t="n">
        <v>45884</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46050-2024</t>
        </is>
      </c>
      <c r="B499" s="1" t="n">
        <v>45580.88078703704</v>
      </c>
      <c r="C499" s="1" t="n">
        <v>45884</v>
      </c>
      <c r="D499" t="inlineStr">
        <is>
          <t>ÖREBRO LÄN</t>
        </is>
      </c>
      <c r="E499" t="inlineStr">
        <is>
          <t>ÖREBRO</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46056-2024</t>
        </is>
      </c>
      <c r="B500" s="1" t="n">
        <v>45580.91502314815</v>
      </c>
      <c r="C500" s="1" t="n">
        <v>45884</v>
      </c>
      <c r="D500" t="inlineStr">
        <is>
          <t>ÖREBRO LÄN</t>
        </is>
      </c>
      <c r="E500" t="inlineStr">
        <is>
          <t>ÖREBRO</t>
        </is>
      </c>
      <c r="F500" t="inlineStr">
        <is>
          <t>Övriga Aktiebolag</t>
        </is>
      </c>
      <c r="G500" t="n">
        <v>4.5</v>
      </c>
      <c r="H500" t="n">
        <v>0</v>
      </c>
      <c r="I500" t="n">
        <v>0</v>
      </c>
      <c r="J500" t="n">
        <v>0</v>
      </c>
      <c r="K500" t="n">
        <v>0</v>
      </c>
      <c r="L500" t="n">
        <v>0</v>
      </c>
      <c r="M500" t="n">
        <v>0</v>
      </c>
      <c r="N500" t="n">
        <v>0</v>
      </c>
      <c r="O500" t="n">
        <v>0</v>
      </c>
      <c r="P500" t="n">
        <v>0</v>
      </c>
      <c r="Q500" t="n">
        <v>0</v>
      </c>
      <c r="R500" s="2" t="inlineStr"/>
    </row>
    <row r="501" ht="15" customHeight="1">
      <c r="A501" t="inlineStr">
        <is>
          <t>A 764-2024</t>
        </is>
      </c>
      <c r="B501" s="1" t="n">
        <v>45300.51512731481</v>
      </c>
      <c r="C501" s="1" t="n">
        <v>45884</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22755-2025</t>
        </is>
      </c>
      <c r="B502" s="1" t="n">
        <v>45789.61872685186</v>
      </c>
      <c r="C502" s="1" t="n">
        <v>45884</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57638-2022</t>
        </is>
      </c>
      <c r="B503" s="1" t="n">
        <v>44897</v>
      </c>
      <c r="C503" s="1" t="n">
        <v>45884</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8274-2025</t>
        </is>
      </c>
      <c r="B504" s="1" t="n">
        <v>45708</v>
      </c>
      <c r="C504" s="1" t="n">
        <v>45884</v>
      </c>
      <c r="D504" t="inlineStr">
        <is>
          <t>ÖREBRO LÄN</t>
        </is>
      </c>
      <c r="E504" t="inlineStr">
        <is>
          <t>ÖREBRO</t>
        </is>
      </c>
      <c r="G504" t="n">
        <v>5.8</v>
      </c>
      <c r="H504" t="n">
        <v>0</v>
      </c>
      <c r="I504" t="n">
        <v>0</v>
      </c>
      <c r="J504" t="n">
        <v>0</v>
      </c>
      <c r="K504" t="n">
        <v>0</v>
      </c>
      <c r="L504" t="n">
        <v>0</v>
      </c>
      <c r="M504" t="n">
        <v>0</v>
      </c>
      <c r="N504" t="n">
        <v>0</v>
      </c>
      <c r="O504" t="n">
        <v>0</v>
      </c>
      <c r="P504" t="n">
        <v>0</v>
      </c>
      <c r="Q504" t="n">
        <v>0</v>
      </c>
      <c r="R504" s="2" t="inlineStr"/>
    </row>
    <row r="505" ht="15" customHeight="1">
      <c r="A505" t="inlineStr">
        <is>
          <t>A 34336-2024</t>
        </is>
      </c>
      <c r="B505" s="1" t="n">
        <v>45524.94774305556</v>
      </c>
      <c r="C505" s="1" t="n">
        <v>45884</v>
      </c>
      <c r="D505" t="inlineStr">
        <is>
          <t>ÖREBRO LÄN</t>
        </is>
      </c>
      <c r="E505" t="inlineStr">
        <is>
          <t>ÖREBRO</t>
        </is>
      </c>
      <c r="G505" t="n">
        <v>1.3</v>
      </c>
      <c r="H505" t="n">
        <v>0</v>
      </c>
      <c r="I505" t="n">
        <v>0</v>
      </c>
      <c r="J505" t="n">
        <v>0</v>
      </c>
      <c r="K505" t="n">
        <v>0</v>
      </c>
      <c r="L505" t="n">
        <v>0</v>
      </c>
      <c r="M505" t="n">
        <v>0</v>
      </c>
      <c r="N505" t="n">
        <v>0</v>
      </c>
      <c r="O505" t="n">
        <v>0</v>
      </c>
      <c r="P505" t="n">
        <v>0</v>
      </c>
      <c r="Q505" t="n">
        <v>0</v>
      </c>
      <c r="R505" s="2" t="inlineStr"/>
    </row>
    <row r="506" ht="15" customHeight="1">
      <c r="A506" t="inlineStr">
        <is>
          <t>A 7634-2024</t>
        </is>
      </c>
      <c r="B506" s="1" t="n">
        <v>45348</v>
      </c>
      <c r="C506" s="1" t="n">
        <v>45884</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58208-2024</t>
        </is>
      </c>
      <c r="B507" s="1" t="n">
        <v>45632</v>
      </c>
      <c r="C507" s="1" t="n">
        <v>45884</v>
      </c>
      <c r="D507" t="inlineStr">
        <is>
          <t>ÖREBRO LÄN</t>
        </is>
      </c>
      <c r="E507" t="inlineStr">
        <is>
          <t>ÖREBRO</t>
        </is>
      </c>
      <c r="G507" t="n">
        <v>3.1</v>
      </c>
      <c r="H507" t="n">
        <v>0</v>
      </c>
      <c r="I507" t="n">
        <v>0</v>
      </c>
      <c r="J507" t="n">
        <v>0</v>
      </c>
      <c r="K507" t="n">
        <v>0</v>
      </c>
      <c r="L507" t="n">
        <v>0</v>
      </c>
      <c r="M507" t="n">
        <v>0</v>
      </c>
      <c r="N507" t="n">
        <v>0</v>
      </c>
      <c r="O507" t="n">
        <v>0</v>
      </c>
      <c r="P507" t="n">
        <v>0</v>
      </c>
      <c r="Q507" t="n">
        <v>0</v>
      </c>
      <c r="R507" s="2" t="inlineStr"/>
    </row>
    <row r="508" ht="15" customHeight="1">
      <c r="A508" t="inlineStr">
        <is>
          <t>A 15555-2025</t>
        </is>
      </c>
      <c r="B508" s="1" t="n">
        <v>45747.67768518518</v>
      </c>
      <c r="C508" s="1" t="n">
        <v>45884</v>
      </c>
      <c r="D508" t="inlineStr">
        <is>
          <t>ÖREBRO LÄN</t>
        </is>
      </c>
      <c r="E508" t="inlineStr">
        <is>
          <t>ÖREBRO</t>
        </is>
      </c>
      <c r="G508" t="n">
        <v>1.7</v>
      </c>
      <c r="H508" t="n">
        <v>0</v>
      </c>
      <c r="I508" t="n">
        <v>0</v>
      </c>
      <c r="J508" t="n">
        <v>0</v>
      </c>
      <c r="K508" t="n">
        <v>0</v>
      </c>
      <c r="L508" t="n">
        <v>0</v>
      </c>
      <c r="M508" t="n">
        <v>0</v>
      </c>
      <c r="N508" t="n">
        <v>0</v>
      </c>
      <c r="O508" t="n">
        <v>0</v>
      </c>
      <c r="P508" t="n">
        <v>0</v>
      </c>
      <c r="Q508" t="n">
        <v>0</v>
      </c>
      <c r="R508" s="2" t="inlineStr"/>
    </row>
    <row r="509" ht="15" customHeight="1">
      <c r="A509" t="inlineStr">
        <is>
          <t>A 61279-2024</t>
        </is>
      </c>
      <c r="B509" s="1" t="n">
        <v>45645</v>
      </c>
      <c r="C509" s="1" t="n">
        <v>45884</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38790-2024</t>
        </is>
      </c>
      <c r="B510" s="1" t="n">
        <v>45547.48450231482</v>
      </c>
      <c r="C510" s="1" t="n">
        <v>45884</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71269-2021</t>
        </is>
      </c>
      <c r="B511" s="1" t="n">
        <v>44539</v>
      </c>
      <c r="C511" s="1" t="n">
        <v>45884</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71266-2021</t>
        </is>
      </c>
      <c r="B512" s="1" t="n">
        <v>44539</v>
      </c>
      <c r="C512" s="1" t="n">
        <v>45884</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71267-2021</t>
        </is>
      </c>
      <c r="B513" s="1" t="n">
        <v>44539</v>
      </c>
      <c r="C513" s="1" t="n">
        <v>45884</v>
      </c>
      <c r="D513" t="inlineStr">
        <is>
          <t>ÖREBRO LÄN</t>
        </is>
      </c>
      <c r="E513" t="inlineStr">
        <is>
          <t>ÖREBRO</t>
        </is>
      </c>
      <c r="G513" t="n">
        <v>1.7</v>
      </c>
      <c r="H513" t="n">
        <v>0</v>
      </c>
      <c r="I513" t="n">
        <v>0</v>
      </c>
      <c r="J513" t="n">
        <v>0</v>
      </c>
      <c r="K513" t="n">
        <v>0</v>
      </c>
      <c r="L513" t="n">
        <v>0</v>
      </c>
      <c r="M513" t="n">
        <v>0</v>
      </c>
      <c r="N513" t="n">
        <v>0</v>
      </c>
      <c r="O513" t="n">
        <v>0</v>
      </c>
      <c r="P513" t="n">
        <v>0</v>
      </c>
      <c r="Q513" t="n">
        <v>0</v>
      </c>
      <c r="R513" s="2" t="inlineStr"/>
    </row>
    <row r="514" ht="15" customHeight="1">
      <c r="A514" t="inlineStr">
        <is>
          <t>A 71280-2021</t>
        </is>
      </c>
      <c r="B514" s="1" t="n">
        <v>44539</v>
      </c>
      <c r="C514" s="1" t="n">
        <v>45884</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30316-2024</t>
        </is>
      </c>
      <c r="B515" s="1" t="n">
        <v>45490</v>
      </c>
      <c r="C515" s="1" t="n">
        <v>45884</v>
      </c>
      <c r="D515" t="inlineStr">
        <is>
          <t>ÖREBRO LÄN</t>
        </is>
      </c>
      <c r="E515" t="inlineStr">
        <is>
          <t>ÖREBRO</t>
        </is>
      </c>
      <c r="G515" t="n">
        <v>5.5</v>
      </c>
      <c r="H515" t="n">
        <v>0</v>
      </c>
      <c r="I515" t="n">
        <v>0</v>
      </c>
      <c r="J515" t="n">
        <v>0</v>
      </c>
      <c r="K515" t="n">
        <v>0</v>
      </c>
      <c r="L515" t="n">
        <v>0</v>
      </c>
      <c r="M515" t="n">
        <v>0</v>
      </c>
      <c r="N515" t="n">
        <v>0</v>
      </c>
      <c r="O515" t="n">
        <v>0</v>
      </c>
      <c r="P515" t="n">
        <v>0</v>
      </c>
      <c r="Q515" t="n">
        <v>0</v>
      </c>
      <c r="R515" s="2" t="inlineStr"/>
    </row>
    <row r="516" ht="15" customHeight="1">
      <c r="A516" t="inlineStr">
        <is>
          <t>A 21983-2021</t>
        </is>
      </c>
      <c r="B516" s="1" t="n">
        <v>44323</v>
      </c>
      <c r="C516" s="1" t="n">
        <v>45884</v>
      </c>
      <c r="D516" t="inlineStr">
        <is>
          <t>ÖREBRO LÄN</t>
        </is>
      </c>
      <c r="E516" t="inlineStr">
        <is>
          <t>ÖREBRO</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62497-2023</t>
        </is>
      </c>
      <c r="B517" s="1" t="n">
        <v>45268.59935185185</v>
      </c>
      <c r="C517" s="1" t="n">
        <v>45884</v>
      </c>
      <c r="D517" t="inlineStr">
        <is>
          <t>ÖREBRO LÄN</t>
        </is>
      </c>
      <c r="E517" t="inlineStr">
        <is>
          <t>ÖREBRO</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33294-2023</t>
        </is>
      </c>
      <c r="B518" s="1" t="n">
        <v>45127</v>
      </c>
      <c r="C518" s="1" t="n">
        <v>45884</v>
      </c>
      <c r="D518" t="inlineStr">
        <is>
          <t>ÖREBRO LÄN</t>
        </is>
      </c>
      <c r="E518" t="inlineStr">
        <is>
          <t>ÖREBRO</t>
        </is>
      </c>
      <c r="F518" t="inlineStr">
        <is>
          <t>Övriga Aktiebolag</t>
        </is>
      </c>
      <c r="G518" t="n">
        <v>6.7</v>
      </c>
      <c r="H518" t="n">
        <v>0</v>
      </c>
      <c r="I518" t="n">
        <v>0</v>
      </c>
      <c r="J518" t="n">
        <v>0</v>
      </c>
      <c r="K518" t="n">
        <v>0</v>
      </c>
      <c r="L518" t="n">
        <v>0</v>
      </c>
      <c r="M518" t="n">
        <v>0</v>
      </c>
      <c r="N518" t="n">
        <v>0</v>
      </c>
      <c r="O518" t="n">
        <v>0</v>
      </c>
      <c r="P518" t="n">
        <v>0</v>
      </c>
      <c r="Q518" t="n">
        <v>0</v>
      </c>
      <c r="R518" s="2" t="inlineStr"/>
    </row>
    <row r="519" ht="15" customHeight="1">
      <c r="A519" t="inlineStr">
        <is>
          <t>A 44199-2024</t>
        </is>
      </c>
      <c r="B519" s="1" t="n">
        <v>45573</v>
      </c>
      <c r="C519" s="1" t="n">
        <v>45884</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4380-2025</t>
        </is>
      </c>
      <c r="B520" s="1" t="n">
        <v>45686.3959375</v>
      </c>
      <c r="C520" s="1" t="n">
        <v>45884</v>
      </c>
      <c r="D520" t="inlineStr">
        <is>
          <t>ÖREBRO LÄN</t>
        </is>
      </c>
      <c r="E520" t="inlineStr">
        <is>
          <t>ÖREBRO</t>
        </is>
      </c>
      <c r="G520" t="n">
        <v>3.2</v>
      </c>
      <c r="H520" t="n">
        <v>0</v>
      </c>
      <c r="I520" t="n">
        <v>0</v>
      </c>
      <c r="J520" t="n">
        <v>0</v>
      </c>
      <c r="K520" t="n">
        <v>0</v>
      </c>
      <c r="L520" t="n">
        <v>0</v>
      </c>
      <c r="M520" t="n">
        <v>0</v>
      </c>
      <c r="N520" t="n">
        <v>0</v>
      </c>
      <c r="O520" t="n">
        <v>0</v>
      </c>
      <c r="P520" t="n">
        <v>0</v>
      </c>
      <c r="Q520" t="n">
        <v>0</v>
      </c>
      <c r="R520" s="2" t="inlineStr"/>
    </row>
    <row r="521" ht="15" customHeight="1">
      <c r="A521" t="inlineStr">
        <is>
          <t>A 26443-2024</t>
        </is>
      </c>
      <c r="B521" s="1" t="n">
        <v>45469.49901620371</v>
      </c>
      <c r="C521" s="1" t="n">
        <v>45884</v>
      </c>
      <c r="D521" t="inlineStr">
        <is>
          <t>ÖREBRO LÄN</t>
        </is>
      </c>
      <c r="E521" t="inlineStr">
        <is>
          <t>ÖREBRO</t>
        </is>
      </c>
      <c r="G521" t="n">
        <v>5.7</v>
      </c>
      <c r="H521" t="n">
        <v>0</v>
      </c>
      <c r="I521" t="n">
        <v>0</v>
      </c>
      <c r="J521" t="n">
        <v>0</v>
      </c>
      <c r="K521" t="n">
        <v>0</v>
      </c>
      <c r="L521" t="n">
        <v>0</v>
      </c>
      <c r="M521" t="n">
        <v>0</v>
      </c>
      <c r="N521" t="n">
        <v>0</v>
      </c>
      <c r="O521" t="n">
        <v>0</v>
      </c>
      <c r="P521" t="n">
        <v>0</v>
      </c>
      <c r="Q521" t="n">
        <v>0</v>
      </c>
      <c r="R521" s="2" t="inlineStr"/>
    </row>
    <row r="522" ht="15" customHeight="1">
      <c r="A522" t="inlineStr">
        <is>
          <t>A 5136-2024</t>
        </is>
      </c>
      <c r="B522" s="1" t="n">
        <v>45330</v>
      </c>
      <c r="C522" s="1" t="n">
        <v>45884</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35477-2024</t>
        </is>
      </c>
      <c r="B523" s="1" t="n">
        <v>45531</v>
      </c>
      <c r="C523" s="1" t="n">
        <v>45884</v>
      </c>
      <c r="D523" t="inlineStr">
        <is>
          <t>ÖREBRO LÄN</t>
        </is>
      </c>
      <c r="E523" t="inlineStr">
        <is>
          <t>ÖREBRO</t>
        </is>
      </c>
      <c r="G523" t="n">
        <v>2.4</v>
      </c>
      <c r="H523" t="n">
        <v>0</v>
      </c>
      <c r="I523" t="n">
        <v>0</v>
      </c>
      <c r="J523" t="n">
        <v>0</v>
      </c>
      <c r="K523" t="n">
        <v>0</v>
      </c>
      <c r="L523" t="n">
        <v>0</v>
      </c>
      <c r="M523" t="n">
        <v>0</v>
      </c>
      <c r="N523" t="n">
        <v>0</v>
      </c>
      <c r="O523" t="n">
        <v>0</v>
      </c>
      <c r="P523" t="n">
        <v>0</v>
      </c>
      <c r="Q523" t="n">
        <v>0</v>
      </c>
      <c r="R523" s="2" t="inlineStr"/>
    </row>
    <row r="524" ht="15" customHeight="1">
      <c r="A524" t="inlineStr">
        <is>
          <t>A 46052-2024</t>
        </is>
      </c>
      <c r="B524" s="1" t="n">
        <v>45580.89116898148</v>
      </c>
      <c r="C524" s="1" t="n">
        <v>45884</v>
      </c>
      <c r="D524" t="inlineStr">
        <is>
          <t>ÖREBRO LÄN</t>
        </is>
      </c>
      <c r="E524" t="inlineStr">
        <is>
          <t>ÖREBRO</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5406-2025</t>
        </is>
      </c>
      <c r="B525" s="1" t="n">
        <v>45692.64821759259</v>
      </c>
      <c r="C525" s="1" t="n">
        <v>45884</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52018-2024</t>
        </is>
      </c>
      <c r="B526" s="1" t="n">
        <v>45607.82974537037</v>
      </c>
      <c r="C526" s="1" t="n">
        <v>45884</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54149-2024</t>
        </is>
      </c>
      <c r="B527" s="1" t="n">
        <v>45616</v>
      </c>
      <c r="C527" s="1" t="n">
        <v>45884</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34358-2022</t>
        </is>
      </c>
      <c r="B528" s="1" t="n">
        <v>44792.45494212963</v>
      </c>
      <c r="C528" s="1" t="n">
        <v>45884</v>
      </c>
      <c r="D528" t="inlineStr">
        <is>
          <t>ÖREBRO LÄN</t>
        </is>
      </c>
      <c r="E528" t="inlineStr">
        <is>
          <t>ÖREBRO</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12871-2021</t>
        </is>
      </c>
      <c r="B529" s="1" t="n">
        <v>44271.42121527778</v>
      </c>
      <c r="C529" s="1" t="n">
        <v>45884</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15424-2022</t>
        </is>
      </c>
      <c r="B530" s="1" t="n">
        <v>44659</v>
      </c>
      <c r="C530" s="1" t="n">
        <v>45884</v>
      </c>
      <c r="D530" t="inlineStr">
        <is>
          <t>ÖREBRO LÄN</t>
        </is>
      </c>
      <c r="E530" t="inlineStr">
        <is>
          <t>ÖREBRO</t>
        </is>
      </c>
      <c r="G530" t="n">
        <v>2.2</v>
      </c>
      <c r="H530" t="n">
        <v>0</v>
      </c>
      <c r="I530" t="n">
        <v>0</v>
      </c>
      <c r="J530" t="n">
        <v>0</v>
      </c>
      <c r="K530" t="n">
        <v>0</v>
      </c>
      <c r="L530" t="n">
        <v>0</v>
      </c>
      <c r="M530" t="n">
        <v>0</v>
      </c>
      <c r="N530" t="n">
        <v>0</v>
      </c>
      <c r="O530" t="n">
        <v>0</v>
      </c>
      <c r="P530" t="n">
        <v>0</v>
      </c>
      <c r="Q530" t="n">
        <v>0</v>
      </c>
      <c r="R530" s="2" t="inlineStr"/>
    </row>
    <row r="531" ht="15" customHeight="1">
      <c r="A531" t="inlineStr">
        <is>
          <t>A 15682-2023</t>
        </is>
      </c>
      <c r="B531" s="1" t="n">
        <v>45021</v>
      </c>
      <c r="C531" s="1" t="n">
        <v>45884</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12682-2023</t>
        </is>
      </c>
      <c r="B532" s="1" t="n">
        <v>45000.6115625</v>
      </c>
      <c r="C532" s="1" t="n">
        <v>45884</v>
      </c>
      <c r="D532" t="inlineStr">
        <is>
          <t>ÖREBRO LÄN</t>
        </is>
      </c>
      <c r="E532" t="inlineStr">
        <is>
          <t>ÖREBRO</t>
        </is>
      </c>
      <c r="F532" t="inlineStr">
        <is>
          <t>Övriga Aktiebolag</t>
        </is>
      </c>
      <c r="G532" t="n">
        <v>4.4</v>
      </c>
      <c r="H532" t="n">
        <v>0</v>
      </c>
      <c r="I532" t="n">
        <v>0</v>
      </c>
      <c r="J532" t="n">
        <v>0</v>
      </c>
      <c r="K532" t="n">
        <v>0</v>
      </c>
      <c r="L532" t="n">
        <v>0</v>
      </c>
      <c r="M532" t="n">
        <v>0</v>
      </c>
      <c r="N532" t="n">
        <v>0</v>
      </c>
      <c r="O532" t="n">
        <v>0</v>
      </c>
      <c r="P532" t="n">
        <v>0</v>
      </c>
      <c r="Q532" t="n">
        <v>0</v>
      </c>
      <c r="R532" s="2" t="inlineStr"/>
    </row>
    <row r="533" ht="15" customHeight="1">
      <c r="A533" t="inlineStr">
        <is>
          <t>A 57247-2022</t>
        </is>
      </c>
      <c r="B533" s="1" t="n">
        <v>44895.73065972222</v>
      </c>
      <c r="C533" s="1" t="n">
        <v>45884</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22348-2024</t>
        </is>
      </c>
      <c r="B534" s="1" t="n">
        <v>45446.61256944444</v>
      </c>
      <c r="C534" s="1" t="n">
        <v>45884</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24192-2025</t>
        </is>
      </c>
      <c r="B535" s="1" t="n">
        <v>45796.88609953703</v>
      </c>
      <c r="C535" s="1" t="n">
        <v>45884</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15695-2024</t>
        </is>
      </c>
      <c r="B536" s="1" t="n">
        <v>45404.45487268519</v>
      </c>
      <c r="C536" s="1" t="n">
        <v>45884</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30089-2024</t>
        </is>
      </c>
      <c r="B537" s="1" t="n">
        <v>45485</v>
      </c>
      <c r="C537" s="1" t="n">
        <v>45884</v>
      </c>
      <c r="D537" t="inlineStr">
        <is>
          <t>ÖREBRO LÄN</t>
        </is>
      </c>
      <c r="E537" t="inlineStr">
        <is>
          <t>ÖREBRO</t>
        </is>
      </c>
      <c r="G537" t="n">
        <v>2.2</v>
      </c>
      <c r="H537" t="n">
        <v>0</v>
      </c>
      <c r="I537" t="n">
        <v>0</v>
      </c>
      <c r="J537" t="n">
        <v>0</v>
      </c>
      <c r="K537" t="n">
        <v>0</v>
      </c>
      <c r="L537" t="n">
        <v>0</v>
      </c>
      <c r="M537" t="n">
        <v>0</v>
      </c>
      <c r="N537" t="n">
        <v>0</v>
      </c>
      <c r="O537" t="n">
        <v>0</v>
      </c>
      <c r="P537" t="n">
        <v>0</v>
      </c>
      <c r="Q537" t="n">
        <v>0</v>
      </c>
      <c r="R537" s="2" t="inlineStr"/>
    </row>
    <row r="538" ht="15" customHeight="1">
      <c r="A538" t="inlineStr">
        <is>
          <t>A 5643-2025</t>
        </is>
      </c>
      <c r="B538" s="1" t="n">
        <v>45693</v>
      </c>
      <c r="C538" s="1" t="n">
        <v>45884</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46030-2024</t>
        </is>
      </c>
      <c r="B539" s="1" t="n">
        <v>45580.70377314815</v>
      </c>
      <c r="C539" s="1" t="n">
        <v>45884</v>
      </c>
      <c r="D539" t="inlineStr">
        <is>
          <t>ÖREBRO LÄN</t>
        </is>
      </c>
      <c r="E539" t="inlineStr">
        <is>
          <t>ÖREBRO</t>
        </is>
      </c>
      <c r="G539" t="n">
        <v>3.9</v>
      </c>
      <c r="H539" t="n">
        <v>0</v>
      </c>
      <c r="I539" t="n">
        <v>0</v>
      </c>
      <c r="J539" t="n">
        <v>0</v>
      </c>
      <c r="K539" t="n">
        <v>0</v>
      </c>
      <c r="L539" t="n">
        <v>0</v>
      </c>
      <c r="M539" t="n">
        <v>0</v>
      </c>
      <c r="N539" t="n">
        <v>0</v>
      </c>
      <c r="O539" t="n">
        <v>0</v>
      </c>
      <c r="P539" t="n">
        <v>0</v>
      </c>
      <c r="Q539" t="n">
        <v>0</v>
      </c>
      <c r="R539" s="2" t="inlineStr"/>
    </row>
    <row r="540" ht="15" customHeight="1">
      <c r="A540" t="inlineStr">
        <is>
          <t>A 5342-2024</t>
        </is>
      </c>
      <c r="B540" s="1" t="n">
        <v>45331.44145833333</v>
      </c>
      <c r="C540" s="1" t="n">
        <v>45884</v>
      </c>
      <c r="D540" t="inlineStr">
        <is>
          <t>ÖREBRO LÄN</t>
        </is>
      </c>
      <c r="E540" t="inlineStr">
        <is>
          <t>ÖREBRO</t>
        </is>
      </c>
      <c r="G540" t="n">
        <v>2.5</v>
      </c>
      <c r="H540" t="n">
        <v>0</v>
      </c>
      <c r="I540" t="n">
        <v>0</v>
      </c>
      <c r="J540" t="n">
        <v>0</v>
      </c>
      <c r="K540" t="n">
        <v>0</v>
      </c>
      <c r="L540" t="n">
        <v>0</v>
      </c>
      <c r="M540" t="n">
        <v>0</v>
      </c>
      <c r="N540" t="n">
        <v>0</v>
      </c>
      <c r="O540" t="n">
        <v>0</v>
      </c>
      <c r="P540" t="n">
        <v>0</v>
      </c>
      <c r="Q540" t="n">
        <v>0</v>
      </c>
      <c r="R540" s="2" t="inlineStr"/>
    </row>
    <row r="541" ht="15" customHeight="1">
      <c r="A541" t="inlineStr">
        <is>
          <t>A 71295-2021</t>
        </is>
      </c>
      <c r="B541" s="1" t="n">
        <v>44539.63009259259</v>
      </c>
      <c r="C541" s="1" t="n">
        <v>45884</v>
      </c>
      <c r="D541" t="inlineStr">
        <is>
          <t>ÖREBRO LÄN</t>
        </is>
      </c>
      <c r="E541" t="inlineStr">
        <is>
          <t>ÖREBRO</t>
        </is>
      </c>
      <c r="G541" t="n">
        <v>2.3</v>
      </c>
      <c r="H541" t="n">
        <v>0</v>
      </c>
      <c r="I541" t="n">
        <v>0</v>
      </c>
      <c r="J541" t="n">
        <v>0</v>
      </c>
      <c r="K541" t="n">
        <v>0</v>
      </c>
      <c r="L541" t="n">
        <v>0</v>
      </c>
      <c r="M541" t="n">
        <v>0</v>
      </c>
      <c r="N541" t="n">
        <v>0</v>
      </c>
      <c r="O541" t="n">
        <v>0</v>
      </c>
      <c r="P541" t="n">
        <v>0</v>
      </c>
      <c r="Q541" t="n">
        <v>0</v>
      </c>
      <c r="R541" s="2" t="inlineStr"/>
    </row>
    <row r="542" ht="15" customHeight="1">
      <c r="A542" t="inlineStr">
        <is>
          <t>A 11516-2024</t>
        </is>
      </c>
      <c r="B542" s="1" t="n">
        <v>45372</v>
      </c>
      <c r="C542" s="1" t="n">
        <v>45884</v>
      </c>
      <c r="D542" t="inlineStr">
        <is>
          <t>ÖREBRO LÄN</t>
        </is>
      </c>
      <c r="E542" t="inlineStr">
        <is>
          <t>ÖREBRO</t>
        </is>
      </c>
      <c r="G542" t="n">
        <v>10.7</v>
      </c>
      <c r="H542" t="n">
        <v>0</v>
      </c>
      <c r="I542" t="n">
        <v>0</v>
      </c>
      <c r="J542" t="n">
        <v>0</v>
      </c>
      <c r="K542" t="n">
        <v>0</v>
      </c>
      <c r="L542" t="n">
        <v>0</v>
      </c>
      <c r="M542" t="n">
        <v>0</v>
      </c>
      <c r="N542" t="n">
        <v>0</v>
      </c>
      <c r="O542" t="n">
        <v>0</v>
      </c>
      <c r="P542" t="n">
        <v>0</v>
      </c>
      <c r="Q542" t="n">
        <v>0</v>
      </c>
      <c r="R542" s="2" t="inlineStr"/>
    </row>
    <row r="543" ht="15" customHeight="1">
      <c r="A543" t="inlineStr">
        <is>
          <t>A 58606-2024</t>
        </is>
      </c>
      <c r="B543" s="1" t="n">
        <v>45635.54747685185</v>
      </c>
      <c r="C543" s="1" t="n">
        <v>45884</v>
      </c>
      <c r="D543" t="inlineStr">
        <is>
          <t>ÖREBRO LÄN</t>
        </is>
      </c>
      <c r="E543" t="inlineStr">
        <is>
          <t>ÖREBRO</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123-2025</t>
        </is>
      </c>
      <c r="B544" s="1" t="n">
        <v>45659.54851851852</v>
      </c>
      <c r="C544" s="1" t="n">
        <v>45884</v>
      </c>
      <c r="D544" t="inlineStr">
        <is>
          <t>ÖREBRO LÄN</t>
        </is>
      </c>
      <c r="E544" t="inlineStr">
        <is>
          <t>ÖREBRO</t>
        </is>
      </c>
      <c r="G544" t="n">
        <v>1.6</v>
      </c>
      <c r="H544" t="n">
        <v>0</v>
      </c>
      <c r="I544" t="n">
        <v>0</v>
      </c>
      <c r="J544" t="n">
        <v>0</v>
      </c>
      <c r="K544" t="n">
        <v>0</v>
      </c>
      <c r="L544" t="n">
        <v>0</v>
      </c>
      <c r="M544" t="n">
        <v>0</v>
      </c>
      <c r="N544" t="n">
        <v>0</v>
      </c>
      <c r="O544" t="n">
        <v>0</v>
      </c>
      <c r="P544" t="n">
        <v>0</v>
      </c>
      <c r="Q544" t="n">
        <v>0</v>
      </c>
      <c r="R544" s="2" t="inlineStr"/>
    </row>
    <row r="545" ht="15" customHeight="1">
      <c r="A545" t="inlineStr">
        <is>
          <t>A 37012-2024</t>
        </is>
      </c>
      <c r="B545" s="1" t="n">
        <v>45539</v>
      </c>
      <c r="C545" s="1" t="n">
        <v>45884</v>
      </c>
      <c r="D545" t="inlineStr">
        <is>
          <t>ÖREBRO LÄN</t>
        </is>
      </c>
      <c r="E545" t="inlineStr">
        <is>
          <t>ÖREBRO</t>
        </is>
      </c>
      <c r="G545" t="n">
        <v>4.1</v>
      </c>
      <c r="H545" t="n">
        <v>0</v>
      </c>
      <c r="I545" t="n">
        <v>0</v>
      </c>
      <c r="J545" t="n">
        <v>0</v>
      </c>
      <c r="K545" t="n">
        <v>0</v>
      </c>
      <c r="L545" t="n">
        <v>0</v>
      </c>
      <c r="M545" t="n">
        <v>0</v>
      </c>
      <c r="N545" t="n">
        <v>0</v>
      </c>
      <c r="O545" t="n">
        <v>0</v>
      </c>
      <c r="P545" t="n">
        <v>0</v>
      </c>
      <c r="Q545" t="n">
        <v>0</v>
      </c>
      <c r="R545" s="2" t="inlineStr"/>
    </row>
    <row r="546" ht="15" customHeight="1">
      <c r="A546" t="inlineStr">
        <is>
          <t>A 37020-2024</t>
        </is>
      </c>
      <c r="B546" s="1" t="n">
        <v>45539.38059027777</v>
      </c>
      <c r="C546" s="1" t="n">
        <v>45884</v>
      </c>
      <c r="D546" t="inlineStr">
        <is>
          <t>ÖREBRO LÄN</t>
        </is>
      </c>
      <c r="E546" t="inlineStr">
        <is>
          <t>ÖREBRO</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16958-2022</t>
        </is>
      </c>
      <c r="B547" s="1" t="n">
        <v>44676.50481481481</v>
      </c>
      <c r="C547" s="1" t="n">
        <v>45884</v>
      </c>
      <c r="D547" t="inlineStr">
        <is>
          <t>ÖREBRO LÄN</t>
        </is>
      </c>
      <c r="E547" t="inlineStr">
        <is>
          <t>ÖREBRO</t>
        </is>
      </c>
      <c r="G547" t="n">
        <v>3.1</v>
      </c>
      <c r="H547" t="n">
        <v>0</v>
      </c>
      <c r="I547" t="n">
        <v>0</v>
      </c>
      <c r="J547" t="n">
        <v>0</v>
      </c>
      <c r="K547" t="n">
        <v>0</v>
      </c>
      <c r="L547" t="n">
        <v>0</v>
      </c>
      <c r="M547" t="n">
        <v>0</v>
      </c>
      <c r="N547" t="n">
        <v>0</v>
      </c>
      <c r="O547" t="n">
        <v>0</v>
      </c>
      <c r="P547" t="n">
        <v>0</v>
      </c>
      <c r="Q547" t="n">
        <v>0</v>
      </c>
      <c r="R547" s="2" t="inlineStr"/>
    </row>
    <row r="548" ht="15" customHeight="1">
      <c r="A548" t="inlineStr">
        <is>
          <t>A 5338-2024</t>
        </is>
      </c>
      <c r="B548" s="1" t="n">
        <v>45331</v>
      </c>
      <c r="C548" s="1" t="n">
        <v>45884</v>
      </c>
      <c r="D548" t="inlineStr">
        <is>
          <t>ÖREBRO LÄN</t>
        </is>
      </c>
      <c r="E548" t="inlineStr">
        <is>
          <t>ÖREBRO</t>
        </is>
      </c>
      <c r="G548" t="n">
        <v>0.6</v>
      </c>
      <c r="H548" t="n">
        <v>0</v>
      </c>
      <c r="I548" t="n">
        <v>0</v>
      </c>
      <c r="J548" t="n">
        <v>0</v>
      </c>
      <c r="K548" t="n">
        <v>0</v>
      </c>
      <c r="L548" t="n">
        <v>0</v>
      </c>
      <c r="M548" t="n">
        <v>0</v>
      </c>
      <c r="N548" t="n">
        <v>0</v>
      </c>
      <c r="O548" t="n">
        <v>0</v>
      </c>
      <c r="P548" t="n">
        <v>0</v>
      </c>
      <c r="Q548" t="n">
        <v>0</v>
      </c>
      <c r="R548" s="2" t="inlineStr"/>
    </row>
    <row r="549" ht="15" customHeight="1">
      <c r="A549" t="inlineStr">
        <is>
          <t>A 25578-2025</t>
        </is>
      </c>
      <c r="B549" s="1" t="n">
        <v>45803.47803240741</v>
      </c>
      <c r="C549" s="1" t="n">
        <v>45884</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4970-2022</t>
        </is>
      </c>
      <c r="B550" s="1" t="n">
        <v>44593.51175925926</v>
      </c>
      <c r="C550" s="1" t="n">
        <v>45884</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13657-2025</t>
        </is>
      </c>
      <c r="B551" s="1" t="n">
        <v>45736.7427662037</v>
      </c>
      <c r="C551" s="1" t="n">
        <v>45884</v>
      </c>
      <c r="D551" t="inlineStr">
        <is>
          <t>ÖREBRO LÄN</t>
        </is>
      </c>
      <c r="E551" t="inlineStr">
        <is>
          <t>ÖREBRO</t>
        </is>
      </c>
      <c r="G551" t="n">
        <v>3.8</v>
      </c>
      <c r="H551" t="n">
        <v>0</v>
      </c>
      <c r="I551" t="n">
        <v>0</v>
      </c>
      <c r="J551" t="n">
        <v>0</v>
      </c>
      <c r="K551" t="n">
        <v>0</v>
      </c>
      <c r="L551" t="n">
        <v>0</v>
      </c>
      <c r="M551" t="n">
        <v>0</v>
      </c>
      <c r="N551" t="n">
        <v>0</v>
      </c>
      <c r="O551" t="n">
        <v>0</v>
      </c>
      <c r="P551" t="n">
        <v>0</v>
      </c>
      <c r="Q551" t="n">
        <v>0</v>
      </c>
      <c r="R551" s="2" t="inlineStr"/>
    </row>
    <row r="552" ht="15" customHeight="1">
      <c r="A552" t="inlineStr">
        <is>
          <t>A 9314-2023</t>
        </is>
      </c>
      <c r="B552" s="1" t="n">
        <v>44980.67747685185</v>
      </c>
      <c r="C552" s="1" t="n">
        <v>45884</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25519-2025</t>
        </is>
      </c>
      <c r="B553" s="1" t="n">
        <v>45803.38447916666</v>
      </c>
      <c r="C553" s="1" t="n">
        <v>45884</v>
      </c>
      <c r="D553" t="inlineStr">
        <is>
          <t>ÖREBRO LÄN</t>
        </is>
      </c>
      <c r="E553" t="inlineStr">
        <is>
          <t>ÖREBRO</t>
        </is>
      </c>
      <c r="G553" t="n">
        <v>7.4</v>
      </c>
      <c r="H553" t="n">
        <v>0</v>
      </c>
      <c r="I553" t="n">
        <v>0</v>
      </c>
      <c r="J553" t="n">
        <v>0</v>
      </c>
      <c r="K553" t="n">
        <v>0</v>
      </c>
      <c r="L553" t="n">
        <v>0</v>
      </c>
      <c r="M553" t="n">
        <v>0</v>
      </c>
      <c r="N553" t="n">
        <v>0</v>
      </c>
      <c r="O553" t="n">
        <v>0</v>
      </c>
      <c r="P553" t="n">
        <v>0</v>
      </c>
      <c r="Q553" t="n">
        <v>0</v>
      </c>
      <c r="R553" s="2" t="inlineStr"/>
    </row>
    <row r="554" ht="15" customHeight="1">
      <c r="A554" t="inlineStr">
        <is>
          <t>A 6522-2023</t>
        </is>
      </c>
      <c r="B554" s="1" t="n">
        <v>44966</v>
      </c>
      <c r="C554" s="1" t="n">
        <v>45884</v>
      </c>
      <c r="D554" t="inlineStr">
        <is>
          <t>ÖREBRO LÄN</t>
        </is>
      </c>
      <c r="E554" t="inlineStr">
        <is>
          <t>ÖREBRO</t>
        </is>
      </c>
      <c r="G554" t="n">
        <v>4.4</v>
      </c>
      <c r="H554" t="n">
        <v>0</v>
      </c>
      <c r="I554" t="n">
        <v>0</v>
      </c>
      <c r="J554" t="n">
        <v>0</v>
      </c>
      <c r="K554" t="n">
        <v>0</v>
      </c>
      <c r="L554" t="n">
        <v>0</v>
      </c>
      <c r="M554" t="n">
        <v>0</v>
      </c>
      <c r="N554" t="n">
        <v>0</v>
      </c>
      <c r="O554" t="n">
        <v>0</v>
      </c>
      <c r="P554" t="n">
        <v>0</v>
      </c>
      <c r="Q554" t="n">
        <v>0</v>
      </c>
      <c r="R554" s="2" t="inlineStr"/>
    </row>
    <row r="555" ht="15" customHeight="1">
      <c r="A555" t="inlineStr">
        <is>
          <t>A 18449-2023</t>
        </is>
      </c>
      <c r="B555" s="1" t="n">
        <v>45042.5203125</v>
      </c>
      <c r="C555" s="1" t="n">
        <v>45884</v>
      </c>
      <c r="D555" t="inlineStr">
        <is>
          <t>ÖREBRO LÄN</t>
        </is>
      </c>
      <c r="E555" t="inlineStr">
        <is>
          <t>ÖREBRO</t>
        </is>
      </c>
      <c r="G555" t="n">
        <v>1.5</v>
      </c>
      <c r="H555" t="n">
        <v>0</v>
      </c>
      <c r="I555" t="n">
        <v>0</v>
      </c>
      <c r="J555" t="n">
        <v>0</v>
      </c>
      <c r="K555" t="n">
        <v>0</v>
      </c>
      <c r="L555" t="n">
        <v>0</v>
      </c>
      <c r="M555" t="n">
        <v>0</v>
      </c>
      <c r="N555" t="n">
        <v>0</v>
      </c>
      <c r="O555" t="n">
        <v>0</v>
      </c>
      <c r="P555" t="n">
        <v>0</v>
      </c>
      <c r="Q555" t="n">
        <v>0</v>
      </c>
      <c r="R555" s="2" t="inlineStr"/>
    </row>
    <row r="556" ht="15" customHeight="1">
      <c r="A556" t="inlineStr">
        <is>
          <t>A 16736-2023</t>
        </is>
      </c>
      <c r="B556" s="1" t="n">
        <v>45030.72328703704</v>
      </c>
      <c r="C556" s="1" t="n">
        <v>45884</v>
      </c>
      <c r="D556" t="inlineStr">
        <is>
          <t>ÖREBRO LÄN</t>
        </is>
      </c>
      <c r="E556" t="inlineStr">
        <is>
          <t>ÖREBRO</t>
        </is>
      </c>
      <c r="G556" t="n">
        <v>4</v>
      </c>
      <c r="H556" t="n">
        <v>0</v>
      </c>
      <c r="I556" t="n">
        <v>0</v>
      </c>
      <c r="J556" t="n">
        <v>0</v>
      </c>
      <c r="K556" t="n">
        <v>0</v>
      </c>
      <c r="L556" t="n">
        <v>0</v>
      </c>
      <c r="M556" t="n">
        <v>0</v>
      </c>
      <c r="N556" t="n">
        <v>0</v>
      </c>
      <c r="O556" t="n">
        <v>0</v>
      </c>
      <c r="P556" t="n">
        <v>0</v>
      </c>
      <c r="Q556" t="n">
        <v>0</v>
      </c>
      <c r="R556" s="2" t="inlineStr"/>
    </row>
    <row r="557" ht="15" customHeight="1">
      <c r="A557" t="inlineStr">
        <is>
          <t>A 50375-2024</t>
        </is>
      </c>
      <c r="B557" s="1" t="n">
        <v>45601.29311342593</v>
      </c>
      <c r="C557" s="1" t="n">
        <v>45884</v>
      </c>
      <c r="D557" t="inlineStr">
        <is>
          <t>ÖREBRO LÄN</t>
        </is>
      </c>
      <c r="E557" t="inlineStr">
        <is>
          <t>ÖREBRO</t>
        </is>
      </c>
      <c r="G557" t="n">
        <v>5</v>
      </c>
      <c r="H557" t="n">
        <v>0</v>
      </c>
      <c r="I557" t="n">
        <v>0</v>
      </c>
      <c r="J557" t="n">
        <v>0</v>
      </c>
      <c r="K557" t="n">
        <v>0</v>
      </c>
      <c r="L557" t="n">
        <v>0</v>
      </c>
      <c r="M557" t="n">
        <v>0</v>
      </c>
      <c r="N557" t="n">
        <v>0</v>
      </c>
      <c r="O557" t="n">
        <v>0</v>
      </c>
      <c r="P557" t="n">
        <v>0</v>
      </c>
      <c r="Q557" t="n">
        <v>0</v>
      </c>
      <c r="R557" s="2" t="inlineStr"/>
    </row>
    <row r="558" ht="15" customHeight="1">
      <c r="A558" t="inlineStr">
        <is>
          <t>A 22045-2024</t>
        </is>
      </c>
      <c r="B558" s="1" t="n">
        <v>45443.61171296296</v>
      </c>
      <c r="C558" s="1" t="n">
        <v>45884</v>
      </c>
      <c r="D558" t="inlineStr">
        <is>
          <t>ÖREBRO LÄN</t>
        </is>
      </c>
      <c r="E558" t="inlineStr">
        <is>
          <t>ÖREBRO</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3-2024</t>
        </is>
      </c>
      <c r="B559" s="1" t="n">
        <v>45292</v>
      </c>
      <c r="C559" s="1" t="n">
        <v>45884</v>
      </c>
      <c r="D559" t="inlineStr">
        <is>
          <t>ÖREBRO LÄN</t>
        </is>
      </c>
      <c r="E559" t="inlineStr">
        <is>
          <t>ÖREBRO</t>
        </is>
      </c>
      <c r="G559" t="n">
        <v>2.7</v>
      </c>
      <c r="H559" t="n">
        <v>0</v>
      </c>
      <c r="I559" t="n">
        <v>0</v>
      </c>
      <c r="J559" t="n">
        <v>0</v>
      </c>
      <c r="K559" t="n">
        <v>0</v>
      </c>
      <c r="L559" t="n">
        <v>0</v>
      </c>
      <c r="M559" t="n">
        <v>0</v>
      </c>
      <c r="N559" t="n">
        <v>0</v>
      </c>
      <c r="O559" t="n">
        <v>0</v>
      </c>
      <c r="P559" t="n">
        <v>0</v>
      </c>
      <c r="Q559" t="n">
        <v>0</v>
      </c>
      <c r="R559" s="2" t="inlineStr"/>
    </row>
    <row r="560" ht="15" customHeight="1">
      <c r="A560" t="inlineStr">
        <is>
          <t>A 21306-2024</t>
        </is>
      </c>
      <c r="B560" s="1" t="n">
        <v>45440.67883101852</v>
      </c>
      <c r="C560" s="1" t="n">
        <v>45884</v>
      </c>
      <c r="D560" t="inlineStr">
        <is>
          <t>ÖREBRO LÄN</t>
        </is>
      </c>
      <c r="E560" t="inlineStr">
        <is>
          <t>ÖREBRO</t>
        </is>
      </c>
      <c r="F560" t="inlineStr">
        <is>
          <t>Övriga Aktiebolag</t>
        </is>
      </c>
      <c r="G560" t="n">
        <v>2</v>
      </c>
      <c r="H560" t="n">
        <v>0</v>
      </c>
      <c r="I560" t="n">
        <v>0</v>
      </c>
      <c r="J560" t="n">
        <v>0</v>
      </c>
      <c r="K560" t="n">
        <v>0</v>
      </c>
      <c r="L560" t="n">
        <v>0</v>
      </c>
      <c r="M560" t="n">
        <v>0</v>
      </c>
      <c r="N560" t="n">
        <v>0</v>
      </c>
      <c r="O560" t="n">
        <v>0</v>
      </c>
      <c r="P560" t="n">
        <v>0</v>
      </c>
      <c r="Q560" t="n">
        <v>0</v>
      </c>
      <c r="R560" s="2" t="inlineStr"/>
    </row>
    <row r="561" ht="15" customHeight="1">
      <c r="A561" t="inlineStr">
        <is>
          <t>A 1257-2022</t>
        </is>
      </c>
      <c r="B561" s="1" t="n">
        <v>44572</v>
      </c>
      <c r="C561" s="1" t="n">
        <v>45884</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64730-2023</t>
        </is>
      </c>
      <c r="B562" s="1" t="n">
        <v>45281</v>
      </c>
      <c r="C562" s="1" t="n">
        <v>45884</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6869-2025</t>
        </is>
      </c>
      <c r="B563" s="1" t="n">
        <v>45700</v>
      </c>
      <c r="C563" s="1" t="n">
        <v>45884</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4416-2023</t>
        </is>
      </c>
      <c r="B564" s="1" t="n">
        <v>44956</v>
      </c>
      <c r="C564" s="1" t="n">
        <v>45884</v>
      </c>
      <c r="D564" t="inlineStr">
        <is>
          <t>ÖREBRO LÄN</t>
        </is>
      </c>
      <c r="E564" t="inlineStr">
        <is>
          <t>ÖREBRO</t>
        </is>
      </c>
      <c r="G564" t="n">
        <v>0.7</v>
      </c>
      <c r="H564" t="n">
        <v>0</v>
      </c>
      <c r="I564" t="n">
        <v>0</v>
      </c>
      <c r="J564" t="n">
        <v>0</v>
      </c>
      <c r="K564" t="n">
        <v>0</v>
      </c>
      <c r="L564" t="n">
        <v>0</v>
      </c>
      <c r="M564" t="n">
        <v>0</v>
      </c>
      <c r="N564" t="n">
        <v>0</v>
      </c>
      <c r="O564" t="n">
        <v>0</v>
      </c>
      <c r="P564" t="n">
        <v>0</v>
      </c>
      <c r="Q564" t="n">
        <v>0</v>
      </c>
      <c r="R564" s="2" t="inlineStr"/>
    </row>
    <row r="565" ht="15" customHeight="1">
      <c r="A565" t="inlineStr">
        <is>
          <t>A 16961-2022</t>
        </is>
      </c>
      <c r="B565" s="1" t="n">
        <v>44676</v>
      </c>
      <c r="C565" s="1" t="n">
        <v>45884</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17983-2025</t>
        </is>
      </c>
      <c r="B566" s="1" t="n">
        <v>45761.38829861111</v>
      </c>
      <c r="C566" s="1" t="n">
        <v>45884</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23594-2023</t>
        </is>
      </c>
      <c r="B567" s="1" t="n">
        <v>45077</v>
      </c>
      <c r="C567" s="1" t="n">
        <v>45884</v>
      </c>
      <c r="D567" t="inlineStr">
        <is>
          <t>ÖREBRO LÄN</t>
        </is>
      </c>
      <c r="E567" t="inlineStr">
        <is>
          <t>ÖREBRO</t>
        </is>
      </c>
      <c r="G567" t="n">
        <v>9.9</v>
      </c>
      <c r="H567" t="n">
        <v>0</v>
      </c>
      <c r="I567" t="n">
        <v>0</v>
      </c>
      <c r="J567" t="n">
        <v>0</v>
      </c>
      <c r="K567" t="n">
        <v>0</v>
      </c>
      <c r="L567" t="n">
        <v>0</v>
      </c>
      <c r="M567" t="n">
        <v>0</v>
      </c>
      <c r="N567" t="n">
        <v>0</v>
      </c>
      <c r="O567" t="n">
        <v>0</v>
      </c>
      <c r="P567" t="n">
        <v>0</v>
      </c>
      <c r="Q567" t="n">
        <v>0</v>
      </c>
      <c r="R567" s="2" t="inlineStr"/>
    </row>
    <row r="568" ht="15" customHeight="1">
      <c r="A568" t="inlineStr">
        <is>
          <t>A 35062-2025</t>
        </is>
      </c>
      <c r="B568" s="1" t="n">
        <v>45852</v>
      </c>
      <c r="C568" s="1" t="n">
        <v>45884</v>
      </c>
      <c r="D568" t="inlineStr">
        <is>
          <t>ÖREBRO LÄN</t>
        </is>
      </c>
      <c r="E568" t="inlineStr">
        <is>
          <t>ÖREBRO</t>
        </is>
      </c>
      <c r="G568" t="n">
        <v>2.8</v>
      </c>
      <c r="H568" t="n">
        <v>0</v>
      </c>
      <c r="I568" t="n">
        <v>0</v>
      </c>
      <c r="J568" t="n">
        <v>0</v>
      </c>
      <c r="K568" t="n">
        <v>0</v>
      </c>
      <c r="L568" t="n">
        <v>0</v>
      </c>
      <c r="M568" t="n">
        <v>0</v>
      </c>
      <c r="N568" t="n">
        <v>0</v>
      </c>
      <c r="O568" t="n">
        <v>0</v>
      </c>
      <c r="P568" t="n">
        <v>0</v>
      </c>
      <c r="Q568" t="n">
        <v>0</v>
      </c>
      <c r="R568" s="2" t="inlineStr"/>
    </row>
    <row r="569" ht="15" customHeight="1">
      <c r="A569" t="inlineStr">
        <is>
          <t>A 52444-2024</t>
        </is>
      </c>
      <c r="B569" s="1" t="n">
        <v>45609.48894675926</v>
      </c>
      <c r="C569" s="1" t="n">
        <v>45884</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41995-2024</t>
        </is>
      </c>
      <c r="B570" s="1" t="n">
        <v>45561.6475462963</v>
      </c>
      <c r="C570" s="1" t="n">
        <v>45884</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25996-2024</t>
        </is>
      </c>
      <c r="B571" s="1" t="n">
        <v>45467.89081018518</v>
      </c>
      <c r="C571" s="1" t="n">
        <v>45884</v>
      </c>
      <c r="D571" t="inlineStr">
        <is>
          <t>ÖREBRO LÄN</t>
        </is>
      </c>
      <c r="E571" t="inlineStr">
        <is>
          <t>ÖREBRO</t>
        </is>
      </c>
      <c r="G571" t="n">
        <v>4.7</v>
      </c>
      <c r="H571" t="n">
        <v>0</v>
      </c>
      <c r="I571" t="n">
        <v>0</v>
      </c>
      <c r="J571" t="n">
        <v>0</v>
      </c>
      <c r="K571" t="n">
        <v>0</v>
      </c>
      <c r="L571" t="n">
        <v>0</v>
      </c>
      <c r="M571" t="n">
        <v>0</v>
      </c>
      <c r="N571" t="n">
        <v>0</v>
      </c>
      <c r="O571" t="n">
        <v>0</v>
      </c>
      <c r="P571" t="n">
        <v>0</v>
      </c>
      <c r="Q571" t="n">
        <v>0</v>
      </c>
      <c r="R571" s="2" t="inlineStr"/>
    </row>
    <row r="572" ht="15" customHeight="1">
      <c r="A572" t="inlineStr">
        <is>
          <t>A 13418-2024</t>
        </is>
      </c>
      <c r="B572" s="1" t="n">
        <v>45387.46482638889</v>
      </c>
      <c r="C572" s="1" t="n">
        <v>45884</v>
      </c>
      <c r="D572" t="inlineStr">
        <is>
          <t>ÖREBRO LÄN</t>
        </is>
      </c>
      <c r="E572" t="inlineStr">
        <is>
          <t>ÖREBRO</t>
        </is>
      </c>
      <c r="G572" t="n">
        <v>4.2</v>
      </c>
      <c r="H572" t="n">
        <v>0</v>
      </c>
      <c r="I572" t="n">
        <v>0</v>
      </c>
      <c r="J572" t="n">
        <v>0</v>
      </c>
      <c r="K572" t="n">
        <v>0</v>
      </c>
      <c r="L572" t="n">
        <v>0</v>
      </c>
      <c r="M572" t="n">
        <v>0</v>
      </c>
      <c r="N572" t="n">
        <v>0</v>
      </c>
      <c r="O572" t="n">
        <v>0</v>
      </c>
      <c r="P572" t="n">
        <v>0</v>
      </c>
      <c r="Q572" t="n">
        <v>0</v>
      </c>
      <c r="R572" s="2" t="inlineStr"/>
    </row>
    <row r="573" ht="15" customHeight="1">
      <c r="A573" t="inlineStr">
        <is>
          <t>A 8571-2021</t>
        </is>
      </c>
      <c r="B573" s="1" t="n">
        <v>44245</v>
      </c>
      <c r="C573" s="1" t="n">
        <v>45884</v>
      </c>
      <c r="D573" t="inlineStr">
        <is>
          <t>ÖREBRO LÄN</t>
        </is>
      </c>
      <c r="E573" t="inlineStr">
        <is>
          <t>ÖREBRO</t>
        </is>
      </c>
      <c r="G573" t="n">
        <v>0.9</v>
      </c>
      <c r="H573" t="n">
        <v>0</v>
      </c>
      <c r="I573" t="n">
        <v>0</v>
      </c>
      <c r="J573" t="n">
        <v>0</v>
      </c>
      <c r="K573" t="n">
        <v>0</v>
      </c>
      <c r="L573" t="n">
        <v>0</v>
      </c>
      <c r="M573" t="n">
        <v>0</v>
      </c>
      <c r="N573" t="n">
        <v>0</v>
      </c>
      <c r="O573" t="n">
        <v>0</v>
      </c>
      <c r="P573" t="n">
        <v>0</v>
      </c>
      <c r="Q573" t="n">
        <v>0</v>
      </c>
      <c r="R573" s="2" t="inlineStr"/>
    </row>
    <row r="574" ht="15" customHeight="1">
      <c r="A574" t="inlineStr">
        <is>
          <t>A 7611-2024</t>
        </is>
      </c>
      <c r="B574" s="1" t="n">
        <v>45348.58864583333</v>
      </c>
      <c r="C574" s="1" t="n">
        <v>45884</v>
      </c>
      <c r="D574" t="inlineStr">
        <is>
          <t>ÖREBRO LÄN</t>
        </is>
      </c>
      <c r="E574" t="inlineStr">
        <is>
          <t>ÖREBRO</t>
        </is>
      </c>
      <c r="G574" t="n">
        <v>4.2</v>
      </c>
      <c r="H574" t="n">
        <v>0</v>
      </c>
      <c r="I574" t="n">
        <v>0</v>
      </c>
      <c r="J574" t="n">
        <v>0</v>
      </c>
      <c r="K574" t="n">
        <v>0</v>
      </c>
      <c r="L574" t="n">
        <v>0</v>
      </c>
      <c r="M574" t="n">
        <v>0</v>
      </c>
      <c r="N574" t="n">
        <v>0</v>
      </c>
      <c r="O574" t="n">
        <v>0</v>
      </c>
      <c r="P574" t="n">
        <v>0</v>
      </c>
      <c r="Q574" t="n">
        <v>0</v>
      </c>
      <c r="R574" s="2" t="inlineStr"/>
    </row>
    <row r="575" ht="15" customHeight="1">
      <c r="A575" t="inlineStr">
        <is>
          <t>A 15789-2023</t>
        </is>
      </c>
      <c r="B575" s="1" t="n">
        <v>45021.71539351852</v>
      </c>
      <c r="C575" s="1" t="n">
        <v>45884</v>
      </c>
      <c r="D575" t="inlineStr">
        <is>
          <t>ÖREBRO LÄN</t>
        </is>
      </c>
      <c r="E575" t="inlineStr">
        <is>
          <t>ÖREBRO</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52612-2024</t>
        </is>
      </c>
      <c r="B576" s="1" t="n">
        <v>45609</v>
      </c>
      <c r="C576" s="1" t="n">
        <v>45884</v>
      </c>
      <c r="D576" t="inlineStr">
        <is>
          <t>ÖREBRO LÄN</t>
        </is>
      </c>
      <c r="E576" t="inlineStr">
        <is>
          <t>ÖREBRO</t>
        </is>
      </c>
      <c r="F576" t="inlineStr">
        <is>
          <t>Kommuner</t>
        </is>
      </c>
      <c r="G576" t="n">
        <v>5.5</v>
      </c>
      <c r="H576" t="n">
        <v>0</v>
      </c>
      <c r="I576" t="n">
        <v>0</v>
      </c>
      <c r="J576" t="n">
        <v>0</v>
      </c>
      <c r="K576" t="n">
        <v>0</v>
      </c>
      <c r="L576" t="n">
        <v>0</v>
      </c>
      <c r="M576" t="n">
        <v>0</v>
      </c>
      <c r="N576" t="n">
        <v>0</v>
      </c>
      <c r="O576" t="n">
        <v>0</v>
      </c>
      <c r="P576" t="n">
        <v>0</v>
      </c>
      <c r="Q576" t="n">
        <v>0</v>
      </c>
      <c r="R576" s="2" t="inlineStr"/>
    </row>
    <row r="577" ht="15" customHeight="1">
      <c r="A577" t="inlineStr">
        <is>
          <t>A 37786-2024</t>
        </is>
      </c>
      <c r="B577" s="1" t="n">
        <v>45542.82987268519</v>
      </c>
      <c r="C577" s="1" t="n">
        <v>45884</v>
      </c>
      <c r="D577" t="inlineStr">
        <is>
          <t>ÖREBRO LÄN</t>
        </is>
      </c>
      <c r="E577" t="inlineStr">
        <is>
          <t>ÖREBRO</t>
        </is>
      </c>
      <c r="G577" t="n">
        <v>3.1</v>
      </c>
      <c r="H577" t="n">
        <v>0</v>
      </c>
      <c r="I577" t="n">
        <v>0</v>
      </c>
      <c r="J577" t="n">
        <v>0</v>
      </c>
      <c r="K577" t="n">
        <v>0</v>
      </c>
      <c r="L577" t="n">
        <v>0</v>
      </c>
      <c r="M577" t="n">
        <v>0</v>
      </c>
      <c r="N577" t="n">
        <v>0</v>
      </c>
      <c r="O577" t="n">
        <v>0</v>
      </c>
      <c r="P577" t="n">
        <v>0</v>
      </c>
      <c r="Q577" t="n">
        <v>0</v>
      </c>
      <c r="R577" s="2" t="inlineStr"/>
    </row>
    <row r="578" ht="15" customHeight="1">
      <c r="A578" t="inlineStr">
        <is>
          <t>A 55875-2024</t>
        </is>
      </c>
      <c r="B578" s="1" t="n">
        <v>45623.55375</v>
      </c>
      <c r="C578" s="1" t="n">
        <v>45884</v>
      </c>
      <c r="D578" t="inlineStr">
        <is>
          <t>ÖREBRO LÄN</t>
        </is>
      </c>
      <c r="E578" t="inlineStr">
        <is>
          <t>ÖREBRO</t>
        </is>
      </c>
      <c r="G578" t="n">
        <v>3.5</v>
      </c>
      <c r="H578" t="n">
        <v>0</v>
      </c>
      <c r="I578" t="n">
        <v>0</v>
      </c>
      <c r="J578" t="n">
        <v>0</v>
      </c>
      <c r="K578" t="n">
        <v>0</v>
      </c>
      <c r="L578" t="n">
        <v>0</v>
      </c>
      <c r="M578" t="n">
        <v>0</v>
      </c>
      <c r="N578" t="n">
        <v>0</v>
      </c>
      <c r="O578" t="n">
        <v>0</v>
      </c>
      <c r="P578" t="n">
        <v>0</v>
      </c>
      <c r="Q578" t="n">
        <v>0</v>
      </c>
      <c r="R578" s="2" t="inlineStr"/>
    </row>
    <row r="579" ht="15" customHeight="1">
      <c r="A579" t="inlineStr">
        <is>
          <t>A 27180-2025</t>
        </is>
      </c>
      <c r="B579" s="1" t="n">
        <v>45812.35736111111</v>
      </c>
      <c r="C579" s="1" t="n">
        <v>45884</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27215-2025</t>
        </is>
      </c>
      <c r="B580" s="1" t="n">
        <v>45812.41869212963</v>
      </c>
      <c r="C580" s="1" t="n">
        <v>45884</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27225-2025</t>
        </is>
      </c>
      <c r="B581" s="1" t="n">
        <v>45812.42856481481</v>
      </c>
      <c r="C581" s="1" t="n">
        <v>45884</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3841-2023</t>
        </is>
      </c>
      <c r="B582" s="1" t="n">
        <v>44951</v>
      </c>
      <c r="C582" s="1" t="n">
        <v>45884</v>
      </c>
      <c r="D582" t="inlineStr">
        <is>
          <t>ÖREBRO LÄN</t>
        </is>
      </c>
      <c r="E582" t="inlineStr">
        <is>
          <t>ÖREBRO</t>
        </is>
      </c>
      <c r="G582" t="n">
        <v>4.3</v>
      </c>
      <c r="H582" t="n">
        <v>0</v>
      </c>
      <c r="I582" t="n">
        <v>0</v>
      </c>
      <c r="J582" t="n">
        <v>0</v>
      </c>
      <c r="K582" t="n">
        <v>0</v>
      </c>
      <c r="L582" t="n">
        <v>0</v>
      </c>
      <c r="M582" t="n">
        <v>0</v>
      </c>
      <c r="N582" t="n">
        <v>0</v>
      </c>
      <c r="O582" t="n">
        <v>0</v>
      </c>
      <c r="P582" t="n">
        <v>0</v>
      </c>
      <c r="Q582" t="n">
        <v>0</v>
      </c>
      <c r="R582" s="2" t="inlineStr"/>
    </row>
    <row r="583" ht="15" customHeight="1">
      <c r="A583" t="inlineStr">
        <is>
          <t>A 27220-2025</t>
        </is>
      </c>
      <c r="B583" s="1" t="n">
        <v>45812.42293981482</v>
      </c>
      <c r="C583" s="1" t="n">
        <v>45884</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49215-2023</t>
        </is>
      </c>
      <c r="B584" s="1" t="n">
        <v>45210.61050925926</v>
      </c>
      <c r="C584" s="1" t="n">
        <v>45884</v>
      </c>
      <c r="D584" t="inlineStr">
        <is>
          <t>ÖREBRO LÄN</t>
        </is>
      </c>
      <c r="E584" t="inlineStr">
        <is>
          <t>ÖREBRO</t>
        </is>
      </c>
      <c r="F584" t="inlineStr">
        <is>
          <t>Övriga Aktiebolag</t>
        </is>
      </c>
      <c r="G584" t="n">
        <v>4.2</v>
      </c>
      <c r="H584" t="n">
        <v>0</v>
      </c>
      <c r="I584" t="n">
        <v>0</v>
      </c>
      <c r="J584" t="n">
        <v>0</v>
      </c>
      <c r="K584" t="n">
        <v>0</v>
      </c>
      <c r="L584" t="n">
        <v>0</v>
      </c>
      <c r="M584" t="n">
        <v>0</v>
      </c>
      <c r="N584" t="n">
        <v>0</v>
      </c>
      <c r="O584" t="n">
        <v>0</v>
      </c>
      <c r="P584" t="n">
        <v>0</v>
      </c>
      <c r="Q584" t="n">
        <v>0</v>
      </c>
      <c r="R584" s="2" t="inlineStr"/>
    </row>
    <row r="585" ht="15" customHeight="1">
      <c r="A585" t="inlineStr">
        <is>
          <t>A 35637-2025</t>
        </is>
      </c>
      <c r="B585" s="1" t="n">
        <v>45859.46859953704</v>
      </c>
      <c r="C585" s="1" t="n">
        <v>45884</v>
      </c>
      <c r="D585" t="inlineStr">
        <is>
          <t>ÖREBRO LÄN</t>
        </is>
      </c>
      <c r="E585" t="inlineStr">
        <is>
          <t>ÖREBRO</t>
        </is>
      </c>
      <c r="G585" t="n">
        <v>2.1</v>
      </c>
      <c r="H585" t="n">
        <v>0</v>
      </c>
      <c r="I585" t="n">
        <v>0</v>
      </c>
      <c r="J585" t="n">
        <v>0</v>
      </c>
      <c r="K585" t="n">
        <v>0</v>
      </c>
      <c r="L585" t="n">
        <v>0</v>
      </c>
      <c r="M585" t="n">
        <v>0</v>
      </c>
      <c r="N585" t="n">
        <v>0</v>
      </c>
      <c r="O585" t="n">
        <v>0</v>
      </c>
      <c r="P585" t="n">
        <v>0</v>
      </c>
      <c r="Q585" t="n">
        <v>0</v>
      </c>
      <c r="R585" s="2" t="inlineStr"/>
    </row>
    <row r="586" ht="15" customHeight="1">
      <c r="A586" t="inlineStr">
        <is>
          <t>A 43399-2022</t>
        </is>
      </c>
      <c r="B586" s="1" t="n">
        <v>44834</v>
      </c>
      <c r="C586" s="1" t="n">
        <v>45884</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28821-2025</t>
        </is>
      </c>
      <c r="B587" s="1" t="n">
        <v>45820</v>
      </c>
      <c r="C587" s="1" t="n">
        <v>45884</v>
      </c>
      <c r="D587" t="inlineStr">
        <is>
          <t>ÖREBRO LÄN</t>
        </is>
      </c>
      <c r="E587" t="inlineStr">
        <is>
          <t>ÖREBRO</t>
        </is>
      </c>
      <c r="G587" t="n">
        <v>12.6</v>
      </c>
      <c r="H587" t="n">
        <v>0</v>
      </c>
      <c r="I587" t="n">
        <v>0</v>
      </c>
      <c r="J587" t="n">
        <v>0</v>
      </c>
      <c r="K587" t="n">
        <v>0</v>
      </c>
      <c r="L587" t="n">
        <v>0</v>
      </c>
      <c r="M587" t="n">
        <v>0</v>
      </c>
      <c r="N587" t="n">
        <v>0</v>
      </c>
      <c r="O587" t="n">
        <v>0</v>
      </c>
      <c r="P587" t="n">
        <v>0</v>
      </c>
      <c r="Q587" t="n">
        <v>0</v>
      </c>
      <c r="R587" s="2" t="inlineStr"/>
    </row>
    <row r="588" ht="15" customHeight="1">
      <c r="A588" t="inlineStr">
        <is>
          <t>A 28120-2025</t>
        </is>
      </c>
      <c r="B588" s="1" t="n">
        <v>45818.30459490741</v>
      </c>
      <c r="C588" s="1" t="n">
        <v>45884</v>
      </c>
      <c r="D588" t="inlineStr">
        <is>
          <t>ÖREBRO LÄN</t>
        </is>
      </c>
      <c r="E588" t="inlineStr">
        <is>
          <t>ÖREBRO</t>
        </is>
      </c>
      <c r="G588" t="n">
        <v>1.5</v>
      </c>
      <c r="H588" t="n">
        <v>0</v>
      </c>
      <c r="I588" t="n">
        <v>0</v>
      </c>
      <c r="J588" t="n">
        <v>0</v>
      </c>
      <c r="K588" t="n">
        <v>0</v>
      </c>
      <c r="L588" t="n">
        <v>0</v>
      </c>
      <c r="M588" t="n">
        <v>0</v>
      </c>
      <c r="N588" t="n">
        <v>0</v>
      </c>
      <c r="O588" t="n">
        <v>0</v>
      </c>
      <c r="P588" t="n">
        <v>0</v>
      </c>
      <c r="Q588" t="n">
        <v>0</v>
      </c>
      <c r="R588" s="2" t="inlineStr"/>
    </row>
    <row r="589" ht="15" customHeight="1">
      <c r="A589" t="inlineStr">
        <is>
          <t>A 28824-2025</t>
        </is>
      </c>
      <c r="B589" s="1" t="n">
        <v>45820</v>
      </c>
      <c r="C589" s="1" t="n">
        <v>45884</v>
      </c>
      <c r="D589" t="inlineStr">
        <is>
          <t>ÖREBRO LÄN</t>
        </is>
      </c>
      <c r="E589" t="inlineStr">
        <is>
          <t>ÖREBRO</t>
        </is>
      </c>
      <c r="G589" t="n">
        <v>2.5</v>
      </c>
      <c r="H589" t="n">
        <v>0</v>
      </c>
      <c r="I589" t="n">
        <v>0</v>
      </c>
      <c r="J589" t="n">
        <v>0</v>
      </c>
      <c r="K589" t="n">
        <v>0</v>
      </c>
      <c r="L589" t="n">
        <v>0</v>
      </c>
      <c r="M589" t="n">
        <v>0</v>
      </c>
      <c r="N589" t="n">
        <v>0</v>
      </c>
      <c r="O589" t="n">
        <v>0</v>
      </c>
      <c r="P589" t="n">
        <v>0</v>
      </c>
      <c r="Q589" t="n">
        <v>0</v>
      </c>
      <c r="R589" s="2" t="inlineStr"/>
    </row>
    <row r="590" ht="15" customHeight="1">
      <c r="A590" t="inlineStr">
        <is>
          <t>A 28938-2025</t>
        </is>
      </c>
      <c r="B590" s="1" t="n">
        <v>45820.70626157407</v>
      </c>
      <c r="C590" s="1" t="n">
        <v>45884</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28920-2025</t>
        </is>
      </c>
      <c r="B591" s="1" t="n">
        <v>45820.66532407407</v>
      </c>
      <c r="C591" s="1" t="n">
        <v>45884</v>
      </c>
      <c r="D591" t="inlineStr">
        <is>
          <t>ÖREBRO LÄN</t>
        </is>
      </c>
      <c r="E591" t="inlineStr">
        <is>
          <t>ÖREBRO</t>
        </is>
      </c>
      <c r="G591" t="n">
        <v>3</v>
      </c>
      <c r="H591" t="n">
        <v>0</v>
      </c>
      <c r="I591" t="n">
        <v>0</v>
      </c>
      <c r="J591" t="n">
        <v>0</v>
      </c>
      <c r="K591" t="n">
        <v>0</v>
      </c>
      <c r="L591" t="n">
        <v>0</v>
      </c>
      <c r="M591" t="n">
        <v>0</v>
      </c>
      <c r="N591" t="n">
        <v>0</v>
      </c>
      <c r="O591" t="n">
        <v>0</v>
      </c>
      <c r="P591" t="n">
        <v>0</v>
      </c>
      <c r="Q591" t="n">
        <v>0</v>
      </c>
      <c r="R591" s="2" t="inlineStr"/>
    </row>
    <row r="592" ht="15" customHeight="1">
      <c r="A592" t="inlineStr">
        <is>
          <t>A 29339-2025</t>
        </is>
      </c>
      <c r="B592" s="1" t="n">
        <v>45824.5044212963</v>
      </c>
      <c r="C592" s="1" t="n">
        <v>45884</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60059-2023</t>
        </is>
      </c>
      <c r="B593" s="1" t="n">
        <v>45258.38157407408</v>
      </c>
      <c r="C593" s="1" t="n">
        <v>45884</v>
      </c>
      <c r="D593" t="inlineStr">
        <is>
          <t>ÖREBRO LÄN</t>
        </is>
      </c>
      <c r="E593" t="inlineStr">
        <is>
          <t>ÖREBRO</t>
        </is>
      </c>
      <c r="G593" t="n">
        <v>4</v>
      </c>
      <c r="H593" t="n">
        <v>0</v>
      </c>
      <c r="I593" t="n">
        <v>0</v>
      </c>
      <c r="J593" t="n">
        <v>0</v>
      </c>
      <c r="K593" t="n">
        <v>0</v>
      </c>
      <c r="L593" t="n">
        <v>0</v>
      </c>
      <c r="M593" t="n">
        <v>0</v>
      </c>
      <c r="N593" t="n">
        <v>0</v>
      </c>
      <c r="O593" t="n">
        <v>0</v>
      </c>
      <c r="P593" t="n">
        <v>0</v>
      </c>
      <c r="Q593" t="n">
        <v>0</v>
      </c>
      <c r="R593" s="2" t="inlineStr"/>
    </row>
    <row r="594" ht="15" customHeight="1">
      <c r="A594" t="inlineStr">
        <is>
          <t>A 26858-2024</t>
        </is>
      </c>
      <c r="B594" s="1" t="n">
        <v>45470</v>
      </c>
      <c r="C594" s="1" t="n">
        <v>45884</v>
      </c>
      <c r="D594" t="inlineStr">
        <is>
          <t>ÖREBRO LÄN</t>
        </is>
      </c>
      <c r="E594" t="inlineStr">
        <is>
          <t>ÖREBRO</t>
        </is>
      </c>
      <c r="G594" t="n">
        <v>2.3</v>
      </c>
      <c r="H594" t="n">
        <v>0</v>
      </c>
      <c r="I594" t="n">
        <v>0</v>
      </c>
      <c r="J594" t="n">
        <v>0</v>
      </c>
      <c r="K594" t="n">
        <v>0</v>
      </c>
      <c r="L594" t="n">
        <v>0</v>
      </c>
      <c r="M594" t="n">
        <v>0</v>
      </c>
      <c r="N594" t="n">
        <v>0</v>
      </c>
      <c r="O594" t="n">
        <v>0</v>
      </c>
      <c r="P594" t="n">
        <v>0</v>
      </c>
      <c r="Q594" t="n">
        <v>0</v>
      </c>
      <c r="R594" s="2" t="inlineStr"/>
    </row>
    <row r="595" ht="15" customHeight="1">
      <c r="A595" t="inlineStr">
        <is>
          <t>A 35928-2025</t>
        </is>
      </c>
      <c r="B595" s="1" t="n">
        <v>45862</v>
      </c>
      <c r="C595" s="1" t="n">
        <v>45884</v>
      </c>
      <c r="D595" t="inlineStr">
        <is>
          <t>ÖREBRO LÄN</t>
        </is>
      </c>
      <c r="E595" t="inlineStr">
        <is>
          <t>ÖREBRO</t>
        </is>
      </c>
      <c r="G595" t="n">
        <v>4.4</v>
      </c>
      <c r="H595" t="n">
        <v>0</v>
      </c>
      <c r="I595" t="n">
        <v>0</v>
      </c>
      <c r="J595" t="n">
        <v>0</v>
      </c>
      <c r="K595" t="n">
        <v>0</v>
      </c>
      <c r="L595" t="n">
        <v>0</v>
      </c>
      <c r="M595" t="n">
        <v>0</v>
      </c>
      <c r="N595" t="n">
        <v>0</v>
      </c>
      <c r="O595" t="n">
        <v>0</v>
      </c>
      <c r="P595" t="n">
        <v>0</v>
      </c>
      <c r="Q595" t="n">
        <v>0</v>
      </c>
      <c r="R595" s="2" t="inlineStr"/>
    </row>
    <row r="596" ht="15" customHeight="1">
      <c r="A596" t="inlineStr">
        <is>
          <t>A 29554-2025</t>
        </is>
      </c>
      <c r="B596" s="1" t="n">
        <v>45825</v>
      </c>
      <c r="C596" s="1" t="n">
        <v>45884</v>
      </c>
      <c r="D596" t="inlineStr">
        <is>
          <t>ÖREBRO LÄN</t>
        </is>
      </c>
      <c r="E596" t="inlineStr">
        <is>
          <t>ÖREBRO</t>
        </is>
      </c>
      <c r="F596" t="inlineStr">
        <is>
          <t>Övriga Aktiebolag</t>
        </is>
      </c>
      <c r="G596" t="n">
        <v>1</v>
      </c>
      <c r="H596" t="n">
        <v>0</v>
      </c>
      <c r="I596" t="n">
        <v>0</v>
      </c>
      <c r="J596" t="n">
        <v>0</v>
      </c>
      <c r="K596" t="n">
        <v>0</v>
      </c>
      <c r="L596" t="n">
        <v>0</v>
      </c>
      <c r="M596" t="n">
        <v>0</v>
      </c>
      <c r="N596" t="n">
        <v>0</v>
      </c>
      <c r="O596" t="n">
        <v>0</v>
      </c>
      <c r="P596" t="n">
        <v>0</v>
      </c>
      <c r="Q596" t="n">
        <v>0</v>
      </c>
      <c r="R596" s="2" t="inlineStr"/>
    </row>
    <row r="597" ht="15" customHeight="1">
      <c r="A597" t="inlineStr">
        <is>
          <t>A 29701-2025</t>
        </is>
      </c>
      <c r="B597" s="1" t="n">
        <v>45825.55261574074</v>
      </c>
      <c r="C597" s="1" t="n">
        <v>45884</v>
      </c>
      <c r="D597" t="inlineStr">
        <is>
          <t>ÖREBRO LÄN</t>
        </is>
      </c>
      <c r="E597" t="inlineStr">
        <is>
          <t>ÖREBRO</t>
        </is>
      </c>
      <c r="G597" t="n">
        <v>5.8</v>
      </c>
      <c r="H597" t="n">
        <v>0</v>
      </c>
      <c r="I597" t="n">
        <v>0</v>
      </c>
      <c r="J597" t="n">
        <v>0</v>
      </c>
      <c r="K597" t="n">
        <v>0</v>
      </c>
      <c r="L597" t="n">
        <v>0</v>
      </c>
      <c r="M597" t="n">
        <v>0</v>
      </c>
      <c r="N597" t="n">
        <v>0</v>
      </c>
      <c r="O597" t="n">
        <v>0</v>
      </c>
      <c r="P597" t="n">
        <v>0</v>
      </c>
      <c r="Q597" t="n">
        <v>0</v>
      </c>
      <c r="R597" s="2" t="inlineStr"/>
    </row>
    <row r="598" ht="15" customHeight="1">
      <c r="A598" t="inlineStr">
        <is>
          <t>A 29286-2025</t>
        </is>
      </c>
      <c r="B598" s="1" t="n">
        <v>45824.43502314815</v>
      </c>
      <c r="C598" s="1" t="n">
        <v>45884</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36447-2025</t>
        </is>
      </c>
      <c r="B599" s="1" t="n">
        <v>45869.41387731482</v>
      </c>
      <c r="C599" s="1" t="n">
        <v>45884</v>
      </c>
      <c r="D599" t="inlineStr">
        <is>
          <t>ÖREBRO LÄN</t>
        </is>
      </c>
      <c r="E599" t="inlineStr">
        <is>
          <t>ÖREBRO</t>
        </is>
      </c>
      <c r="F599" t="inlineStr">
        <is>
          <t>Övriga Aktiebolag</t>
        </is>
      </c>
      <c r="G599" t="n">
        <v>12.6</v>
      </c>
      <c r="H599" t="n">
        <v>0</v>
      </c>
      <c r="I599" t="n">
        <v>0</v>
      </c>
      <c r="J599" t="n">
        <v>0</v>
      </c>
      <c r="K599" t="n">
        <v>0</v>
      </c>
      <c r="L599" t="n">
        <v>0</v>
      </c>
      <c r="M599" t="n">
        <v>0</v>
      </c>
      <c r="N599" t="n">
        <v>0</v>
      </c>
      <c r="O599" t="n">
        <v>0</v>
      </c>
      <c r="P599" t="n">
        <v>0</v>
      </c>
      <c r="Q599" t="n">
        <v>0</v>
      </c>
      <c r="R599" s="2" t="inlineStr"/>
    </row>
    <row r="600" ht="15" customHeight="1">
      <c r="A600" t="inlineStr">
        <is>
          <t>A 36448-2025</t>
        </is>
      </c>
      <c r="B600" s="1" t="n">
        <v>45869.41929398148</v>
      </c>
      <c r="C600" s="1" t="n">
        <v>45884</v>
      </c>
      <c r="D600" t="inlineStr">
        <is>
          <t>ÖREBRO LÄN</t>
        </is>
      </c>
      <c r="E600" t="inlineStr">
        <is>
          <t>ÖREBRO</t>
        </is>
      </c>
      <c r="F600" t="inlineStr">
        <is>
          <t>Övriga Aktiebolag</t>
        </is>
      </c>
      <c r="G600" t="n">
        <v>4.3</v>
      </c>
      <c r="H600" t="n">
        <v>0</v>
      </c>
      <c r="I600" t="n">
        <v>0</v>
      </c>
      <c r="J600" t="n">
        <v>0</v>
      </c>
      <c r="K600" t="n">
        <v>0</v>
      </c>
      <c r="L600" t="n">
        <v>0</v>
      </c>
      <c r="M600" t="n">
        <v>0</v>
      </c>
      <c r="N600" t="n">
        <v>0</v>
      </c>
      <c r="O600" t="n">
        <v>0</v>
      </c>
      <c r="P600" t="n">
        <v>0</v>
      </c>
      <c r="Q600" t="n">
        <v>0</v>
      </c>
      <c r="R600" s="2" t="inlineStr"/>
    </row>
    <row r="601" ht="15" customHeight="1">
      <c r="A601" t="inlineStr">
        <is>
          <t>A 30550-2025</t>
        </is>
      </c>
      <c r="B601" s="1" t="n">
        <v>45831.38224537037</v>
      </c>
      <c r="C601" s="1" t="n">
        <v>45884</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18550-2025</t>
        </is>
      </c>
      <c r="B602" s="1" t="n">
        <v>45763.43422453704</v>
      </c>
      <c r="C602" s="1" t="n">
        <v>45884</v>
      </c>
      <c r="D602" t="inlineStr">
        <is>
          <t>ÖREBRO LÄN</t>
        </is>
      </c>
      <c r="E602" t="inlineStr">
        <is>
          <t>ÖREBRO</t>
        </is>
      </c>
      <c r="G602" t="n">
        <v>11.5</v>
      </c>
      <c r="H602" t="n">
        <v>0</v>
      </c>
      <c r="I602" t="n">
        <v>0</v>
      </c>
      <c r="J602" t="n">
        <v>0</v>
      </c>
      <c r="K602" t="n">
        <v>0</v>
      </c>
      <c r="L602" t="n">
        <v>0</v>
      </c>
      <c r="M602" t="n">
        <v>0</v>
      </c>
      <c r="N602" t="n">
        <v>0</v>
      </c>
      <c r="O602" t="n">
        <v>0</v>
      </c>
      <c r="P602" t="n">
        <v>0</v>
      </c>
      <c r="Q602" t="n">
        <v>0</v>
      </c>
      <c r="R602" s="2" t="inlineStr"/>
    </row>
    <row r="603" ht="15" customHeight="1">
      <c r="A603" t="inlineStr">
        <is>
          <t>A 30731-2025</t>
        </is>
      </c>
      <c r="B603" s="1" t="n">
        <v>45831.57280092593</v>
      </c>
      <c r="C603" s="1" t="n">
        <v>45884</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31232-2025</t>
        </is>
      </c>
      <c r="B604" s="1" t="n">
        <v>45832.8252199074</v>
      </c>
      <c r="C604" s="1" t="n">
        <v>45884</v>
      </c>
      <c r="D604" t="inlineStr">
        <is>
          <t>ÖREBRO LÄN</t>
        </is>
      </c>
      <c r="E604" t="inlineStr">
        <is>
          <t>ÖREBRO</t>
        </is>
      </c>
      <c r="F604" t="inlineStr">
        <is>
          <t>Övriga Aktiebolag</t>
        </is>
      </c>
      <c r="G604" t="n">
        <v>2.1</v>
      </c>
      <c r="H604" t="n">
        <v>0</v>
      </c>
      <c r="I604" t="n">
        <v>0</v>
      </c>
      <c r="J604" t="n">
        <v>0</v>
      </c>
      <c r="K604" t="n">
        <v>0</v>
      </c>
      <c r="L604" t="n">
        <v>0</v>
      </c>
      <c r="M604" t="n">
        <v>0</v>
      </c>
      <c r="N604" t="n">
        <v>0</v>
      </c>
      <c r="O604" t="n">
        <v>0</v>
      </c>
      <c r="P604" t="n">
        <v>0</v>
      </c>
      <c r="Q604" t="n">
        <v>0</v>
      </c>
      <c r="R604" s="2" t="inlineStr"/>
    </row>
    <row r="605" ht="15" customHeight="1">
      <c r="A605" t="inlineStr">
        <is>
          <t>A 30951-2025</t>
        </is>
      </c>
      <c r="B605" s="1" t="n">
        <v>45832.43225694444</v>
      </c>
      <c r="C605" s="1" t="n">
        <v>45884</v>
      </c>
      <c r="D605" t="inlineStr">
        <is>
          <t>ÖREBRO LÄN</t>
        </is>
      </c>
      <c r="E605" t="inlineStr">
        <is>
          <t>ÖREBRO</t>
        </is>
      </c>
      <c r="F605" t="inlineStr">
        <is>
          <t>Övriga Aktiebolag</t>
        </is>
      </c>
      <c r="G605" t="n">
        <v>2.3</v>
      </c>
      <c r="H605" t="n">
        <v>0</v>
      </c>
      <c r="I605" t="n">
        <v>0</v>
      </c>
      <c r="J605" t="n">
        <v>0</v>
      </c>
      <c r="K605" t="n">
        <v>0</v>
      </c>
      <c r="L605" t="n">
        <v>0</v>
      </c>
      <c r="M605" t="n">
        <v>0</v>
      </c>
      <c r="N605" t="n">
        <v>0</v>
      </c>
      <c r="O605" t="n">
        <v>0</v>
      </c>
      <c r="P605" t="n">
        <v>0</v>
      </c>
      <c r="Q605" t="n">
        <v>0</v>
      </c>
      <c r="R605" s="2" t="inlineStr"/>
    </row>
    <row r="606" ht="15" customHeight="1">
      <c r="A606" t="inlineStr">
        <is>
          <t>A 31233-2025</t>
        </is>
      </c>
      <c r="B606" s="1" t="n">
        <v>45832.83341435185</v>
      </c>
      <c r="C606" s="1" t="n">
        <v>45884</v>
      </c>
      <c r="D606" t="inlineStr">
        <is>
          <t>ÖREBRO LÄN</t>
        </is>
      </c>
      <c r="E606" t="inlineStr">
        <is>
          <t>ÖREBRO</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31237-2025</t>
        </is>
      </c>
      <c r="B607" s="1" t="n">
        <v>45832.84313657408</v>
      </c>
      <c r="C607" s="1" t="n">
        <v>45884</v>
      </c>
      <c r="D607" t="inlineStr">
        <is>
          <t>ÖREBRO LÄN</t>
        </is>
      </c>
      <c r="E607" t="inlineStr">
        <is>
          <t>ÖREBRO</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31066-2025</t>
        </is>
      </c>
      <c r="B608" s="1" t="n">
        <v>45832</v>
      </c>
      <c r="C608" s="1" t="n">
        <v>45884</v>
      </c>
      <c r="D608" t="inlineStr">
        <is>
          <t>ÖREBRO LÄN</t>
        </is>
      </c>
      <c r="E608" t="inlineStr">
        <is>
          <t>ÖREBRO</t>
        </is>
      </c>
      <c r="G608" t="n">
        <v>11.1</v>
      </c>
      <c r="H608" t="n">
        <v>0</v>
      </c>
      <c r="I608" t="n">
        <v>0</v>
      </c>
      <c r="J608" t="n">
        <v>0</v>
      </c>
      <c r="K608" t="n">
        <v>0</v>
      </c>
      <c r="L608" t="n">
        <v>0</v>
      </c>
      <c r="M608" t="n">
        <v>0</v>
      </c>
      <c r="N608" t="n">
        <v>0</v>
      </c>
      <c r="O608" t="n">
        <v>0</v>
      </c>
      <c r="P608" t="n">
        <v>0</v>
      </c>
      <c r="Q608" t="n">
        <v>0</v>
      </c>
      <c r="R608" s="2" t="inlineStr"/>
    </row>
    <row r="609" ht="15" customHeight="1">
      <c r="A609" t="inlineStr">
        <is>
          <t>A 32188-2025</t>
        </is>
      </c>
      <c r="B609" s="1" t="n">
        <v>45835.56965277778</v>
      </c>
      <c r="C609" s="1" t="n">
        <v>45884</v>
      </c>
      <c r="D609" t="inlineStr">
        <is>
          <t>ÖREBRO LÄN</t>
        </is>
      </c>
      <c r="E609" t="inlineStr">
        <is>
          <t>ÖREBRO</t>
        </is>
      </c>
      <c r="G609" t="n">
        <v>2.9</v>
      </c>
      <c r="H609" t="n">
        <v>0</v>
      </c>
      <c r="I609" t="n">
        <v>0</v>
      </c>
      <c r="J609" t="n">
        <v>0</v>
      </c>
      <c r="K609" t="n">
        <v>0</v>
      </c>
      <c r="L609" t="n">
        <v>0</v>
      </c>
      <c r="M609" t="n">
        <v>0</v>
      </c>
      <c r="N609" t="n">
        <v>0</v>
      </c>
      <c r="O609" t="n">
        <v>0</v>
      </c>
      <c r="P609" t="n">
        <v>0</v>
      </c>
      <c r="Q609" t="n">
        <v>0</v>
      </c>
      <c r="R609" s="2" t="inlineStr"/>
    </row>
    <row r="610" ht="15" customHeight="1">
      <c r="A610" t="inlineStr">
        <is>
          <t>A 32195-2025</t>
        </is>
      </c>
      <c r="B610" s="1" t="n">
        <v>45835.57407407407</v>
      </c>
      <c r="C610" s="1" t="n">
        <v>45884</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32218-2025</t>
        </is>
      </c>
      <c r="B611" s="1" t="n">
        <v>45835.58880787037</v>
      </c>
      <c r="C611" s="1" t="n">
        <v>45884</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32904-2025</t>
        </is>
      </c>
      <c r="B612" s="1" t="n">
        <v>45839</v>
      </c>
      <c r="C612" s="1" t="n">
        <v>45884</v>
      </c>
      <c r="D612" t="inlineStr">
        <is>
          <t>ÖREBRO LÄN</t>
        </is>
      </c>
      <c r="E612" t="inlineStr">
        <is>
          <t>ÖREBRO</t>
        </is>
      </c>
      <c r="G612" t="n">
        <v>0.6</v>
      </c>
      <c r="H612" t="n">
        <v>0</v>
      </c>
      <c r="I612" t="n">
        <v>0</v>
      </c>
      <c r="J612" t="n">
        <v>0</v>
      </c>
      <c r="K612" t="n">
        <v>0</v>
      </c>
      <c r="L612" t="n">
        <v>0</v>
      </c>
      <c r="M612" t="n">
        <v>0</v>
      </c>
      <c r="N612" t="n">
        <v>0</v>
      </c>
      <c r="O612" t="n">
        <v>0</v>
      </c>
      <c r="P612" t="n">
        <v>0</v>
      </c>
      <c r="Q612" t="n">
        <v>0</v>
      </c>
      <c r="R612" s="2" t="inlineStr"/>
    </row>
    <row r="613" ht="15" customHeight="1">
      <c r="A613" t="inlineStr">
        <is>
          <t>A 32426-2025</t>
        </is>
      </c>
      <c r="B613" s="1" t="n">
        <v>45838.36179398148</v>
      </c>
      <c r="C613" s="1" t="n">
        <v>45884</v>
      </c>
      <c r="D613" t="inlineStr">
        <is>
          <t>ÖREBRO LÄN</t>
        </is>
      </c>
      <c r="E613" t="inlineStr">
        <is>
          <t>ÖREBRO</t>
        </is>
      </c>
      <c r="G613" t="n">
        <v>1.1</v>
      </c>
      <c r="H613" t="n">
        <v>0</v>
      </c>
      <c r="I613" t="n">
        <v>0</v>
      </c>
      <c r="J613" t="n">
        <v>0</v>
      </c>
      <c r="K613" t="n">
        <v>0</v>
      </c>
      <c r="L613" t="n">
        <v>0</v>
      </c>
      <c r="M613" t="n">
        <v>0</v>
      </c>
      <c r="N613" t="n">
        <v>0</v>
      </c>
      <c r="O613" t="n">
        <v>0</v>
      </c>
      <c r="P613" t="n">
        <v>0</v>
      </c>
      <c r="Q613" t="n">
        <v>0</v>
      </c>
      <c r="R613" s="2" t="inlineStr"/>
    </row>
    <row r="614" ht="15" customHeight="1">
      <c r="A614" t="inlineStr">
        <is>
          <t>A 33191-2025</t>
        </is>
      </c>
      <c r="B614" s="1" t="n">
        <v>45840.6003587963</v>
      </c>
      <c r="C614" s="1" t="n">
        <v>45884</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33019-2025</t>
        </is>
      </c>
      <c r="B615" s="1" t="n">
        <v>45840</v>
      </c>
      <c r="C615" s="1" t="n">
        <v>45884</v>
      </c>
      <c r="D615" t="inlineStr">
        <is>
          <t>ÖREBRO LÄN</t>
        </is>
      </c>
      <c r="E615" t="inlineStr">
        <is>
          <t>ÖREBRO</t>
        </is>
      </c>
      <c r="G615" t="n">
        <v>4.2</v>
      </c>
      <c r="H615" t="n">
        <v>0</v>
      </c>
      <c r="I615" t="n">
        <v>0</v>
      </c>
      <c r="J615" t="n">
        <v>0</v>
      </c>
      <c r="K615" t="n">
        <v>0</v>
      </c>
      <c r="L615" t="n">
        <v>0</v>
      </c>
      <c r="M615" t="n">
        <v>0</v>
      </c>
      <c r="N615" t="n">
        <v>0</v>
      </c>
      <c r="O615" t="n">
        <v>0</v>
      </c>
      <c r="P615" t="n">
        <v>0</v>
      </c>
      <c r="Q615" t="n">
        <v>0</v>
      </c>
      <c r="R615" s="2" t="inlineStr"/>
    </row>
    <row r="616">
      <c r="A616" t="inlineStr">
        <is>
          <t>A 38057-2025</t>
        </is>
      </c>
      <c r="B616" s="1" t="n">
        <v>45882.42570601852</v>
      </c>
      <c r="C616" s="1" t="n">
        <v>45884</v>
      </c>
      <c r="D616" t="inlineStr">
        <is>
          <t>ÖREBRO LÄN</t>
        </is>
      </c>
      <c r="E616" t="inlineStr">
        <is>
          <t>ÖREBRO</t>
        </is>
      </c>
      <c r="G616" t="n">
        <v>3</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2025-08-15T08:29:53Z</dcterms:created>
  <dcterms:modified xmlns:dcterms="http://purl.org/dc/terms/" xmlns:xsi="http://www.w3.org/2001/XMLSchema-instance" xsi:type="dcterms:W3CDTF">2025-08-15T08:29:53Z</dcterms:modified>
</cp:coreProperties>
</file>