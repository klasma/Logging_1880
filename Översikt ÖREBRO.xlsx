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45989</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45989</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45989</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45989</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45989</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45989</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45989</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45989</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45989</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45989</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45989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45989</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45989</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45989</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45989</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35098-2025</t>
        </is>
      </c>
      <c r="B20" s="1" t="n">
        <v>45852.5469212963</v>
      </c>
      <c r="C20" s="1" t="n">
        <v>45989</v>
      </c>
      <c r="D20" t="inlineStr">
        <is>
          <t>ÖREBRO LÄN</t>
        </is>
      </c>
      <c r="E20" t="inlineStr">
        <is>
          <t>ÖREBRO</t>
        </is>
      </c>
      <c r="F20" t="inlineStr">
        <is>
          <t>Allmännings- och besparingsskogar</t>
        </is>
      </c>
      <c r="G20" t="n">
        <v>28.9</v>
      </c>
      <c r="H20" t="n">
        <v>2</v>
      </c>
      <c r="I20" t="n">
        <v>1</v>
      </c>
      <c r="J20" t="n">
        <v>1</v>
      </c>
      <c r="K20" t="n">
        <v>0</v>
      </c>
      <c r="L20" t="n">
        <v>0</v>
      </c>
      <c r="M20" t="n">
        <v>0</v>
      </c>
      <c r="N20" t="n">
        <v>0</v>
      </c>
      <c r="O20" t="n">
        <v>1</v>
      </c>
      <c r="P20" t="n">
        <v>0</v>
      </c>
      <c r="Q20" t="n">
        <v>3</v>
      </c>
      <c r="R20" s="2" t="inlineStr">
        <is>
          <t>Talltita
Grönpyrola
Revlummer</t>
        </is>
      </c>
      <c r="S20">
        <f>HYPERLINK("https://klasma.github.io/Logging_1880/artfynd/A 35098-2025 artfynd.xlsx", "A 35098-2025")</f>
        <v/>
      </c>
      <c r="T20">
        <f>HYPERLINK("https://klasma.github.io/Logging_1880/kartor/A 35098-2025 karta.png", "A 35098-2025")</f>
        <v/>
      </c>
      <c r="V20">
        <f>HYPERLINK("https://klasma.github.io/Logging_1880/klagomål/A 35098-2025 FSC-klagomål.docx", "A 35098-2025")</f>
        <v/>
      </c>
      <c r="W20">
        <f>HYPERLINK("https://klasma.github.io/Logging_1880/klagomålsmail/A 35098-2025 FSC-klagomål mail.docx", "A 35098-2025")</f>
        <v/>
      </c>
      <c r="X20">
        <f>HYPERLINK("https://klasma.github.io/Logging_1880/tillsyn/A 35098-2025 tillsynsbegäran.docx", "A 35098-2025")</f>
        <v/>
      </c>
      <c r="Y20">
        <f>HYPERLINK("https://klasma.github.io/Logging_1880/tillsynsmail/A 35098-2025 tillsynsbegäran mail.docx", "A 35098-2025")</f>
        <v/>
      </c>
      <c r="Z20">
        <f>HYPERLINK("https://klasma.github.io/Logging_1880/fåglar/A 35098-2025 prioriterade fågelarter.docx", "A 35098-2025")</f>
        <v/>
      </c>
    </row>
    <row r="21" ht="15" customHeight="1">
      <c r="A21" t="inlineStr">
        <is>
          <t>A 575-2024</t>
        </is>
      </c>
      <c r="B21" s="1" t="n">
        <v>45299</v>
      </c>
      <c r="C21" s="1" t="n">
        <v>45989</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50096-2023</t>
        </is>
      </c>
      <c r="B22" s="1" t="n">
        <v>45215</v>
      </c>
      <c r="C22" s="1" t="n">
        <v>45989</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17074-2024</t>
        </is>
      </c>
      <c r="B23" s="1" t="n">
        <v>45412</v>
      </c>
      <c r="C23" s="1" t="n">
        <v>45989</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29478-2022</t>
        </is>
      </c>
      <c r="B24" s="1" t="n">
        <v>44753</v>
      </c>
      <c r="C24" s="1" t="n">
        <v>45989</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45989</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45989</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45989</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45989</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45989</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30409-2025</t>
        </is>
      </c>
      <c r="B30" s="1" t="n">
        <v>45827.59738425926</v>
      </c>
      <c r="C30" s="1" t="n">
        <v>45989</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51550-2025</t>
        </is>
      </c>
      <c r="B31" s="1" t="n">
        <v>45950.83359953704</v>
      </c>
      <c r="C31" s="1" t="n">
        <v>45989</v>
      </c>
      <c r="D31" t="inlineStr">
        <is>
          <t>ÖREBRO LÄN</t>
        </is>
      </c>
      <c r="E31" t="inlineStr">
        <is>
          <t>ÖREBRO</t>
        </is>
      </c>
      <c r="F31" t="inlineStr">
        <is>
          <t>Övriga Aktiebolag</t>
        </is>
      </c>
      <c r="G31" t="n">
        <v>5.5</v>
      </c>
      <c r="H31" t="n">
        <v>0</v>
      </c>
      <c r="I31" t="n">
        <v>1</v>
      </c>
      <c r="J31" t="n">
        <v>1</v>
      </c>
      <c r="K31" t="n">
        <v>0</v>
      </c>
      <c r="L31" t="n">
        <v>0</v>
      </c>
      <c r="M31" t="n">
        <v>0</v>
      </c>
      <c r="N31" t="n">
        <v>0</v>
      </c>
      <c r="O31" t="n">
        <v>1</v>
      </c>
      <c r="P31" t="n">
        <v>0</v>
      </c>
      <c r="Q31" t="n">
        <v>2</v>
      </c>
      <c r="R31" s="2" t="inlineStr">
        <is>
          <t>Bryngökbi
Tibast</t>
        </is>
      </c>
      <c r="S31">
        <f>HYPERLINK("https://klasma.github.io/Logging_1880/artfynd/A 51550-2025 artfynd.xlsx", "A 51550-2025")</f>
        <v/>
      </c>
      <c r="T31">
        <f>HYPERLINK("https://klasma.github.io/Logging_1880/kartor/A 51550-2025 karta.png", "A 51550-2025")</f>
        <v/>
      </c>
      <c r="V31">
        <f>HYPERLINK("https://klasma.github.io/Logging_1880/klagomål/A 51550-2025 FSC-klagomål.docx", "A 51550-2025")</f>
        <v/>
      </c>
      <c r="W31">
        <f>HYPERLINK("https://klasma.github.io/Logging_1880/klagomålsmail/A 51550-2025 FSC-klagomål mail.docx", "A 51550-2025")</f>
        <v/>
      </c>
      <c r="X31">
        <f>HYPERLINK("https://klasma.github.io/Logging_1880/tillsyn/A 51550-2025 tillsynsbegäran.docx", "A 51550-2025")</f>
        <v/>
      </c>
      <c r="Y31">
        <f>HYPERLINK("https://klasma.github.io/Logging_1880/tillsynsmail/A 51550-2025 tillsynsbegäran mail.docx", "A 51550-2025")</f>
        <v/>
      </c>
    </row>
    <row r="32" ht="15" customHeight="1">
      <c r="A32" t="inlineStr">
        <is>
          <t>A 13395-2024</t>
        </is>
      </c>
      <c r="B32" s="1" t="n">
        <v>45387.42296296296</v>
      </c>
      <c r="C32" s="1" t="n">
        <v>45989</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8267-2021</t>
        </is>
      </c>
      <c r="B33" s="1" t="n">
        <v>44244</v>
      </c>
      <c r="C33" s="1" t="n">
        <v>45989</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37019-2024</t>
        </is>
      </c>
      <c r="B34" s="1" t="n">
        <v>45539.37905092593</v>
      </c>
      <c r="C34" s="1" t="n">
        <v>45989</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45989</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45989</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45989</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45989</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45989</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45989</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45989</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44744-2024</t>
        </is>
      </c>
      <c r="B42" s="1" t="n">
        <v>45574.59789351852</v>
      </c>
      <c r="C42" s="1" t="n">
        <v>45989</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15621-2021</t>
        </is>
      </c>
      <c r="B43" s="1" t="n">
        <v>44285</v>
      </c>
      <c r="C43" s="1" t="n">
        <v>45989</v>
      </c>
      <c r="D43" t="inlineStr">
        <is>
          <t>ÖREBRO LÄN</t>
        </is>
      </c>
      <c r="E43" t="inlineStr">
        <is>
          <t>ÖREBRO</t>
        </is>
      </c>
      <c r="G43" t="n">
        <v>2.8</v>
      </c>
      <c r="H43" t="n">
        <v>1</v>
      </c>
      <c r="I43" t="n">
        <v>0</v>
      </c>
      <c r="J43" t="n">
        <v>0</v>
      </c>
      <c r="K43" t="n">
        <v>0</v>
      </c>
      <c r="L43" t="n">
        <v>0</v>
      </c>
      <c r="M43" t="n">
        <v>0</v>
      </c>
      <c r="N43" t="n">
        <v>0</v>
      </c>
      <c r="O43" t="n">
        <v>0</v>
      </c>
      <c r="P43" t="n">
        <v>0</v>
      </c>
      <c r="Q43" t="n">
        <v>1</v>
      </c>
      <c r="R43" s="2" t="inlineStr">
        <is>
          <t>Fläcknycklar</t>
        </is>
      </c>
      <c r="S43">
        <f>HYPERLINK("https://klasma.github.io/Logging_1880/artfynd/A 15621-2021 artfynd.xlsx", "A 15621-2021")</f>
        <v/>
      </c>
      <c r="T43">
        <f>HYPERLINK("https://klasma.github.io/Logging_1880/kartor/A 15621-2021 karta.png", "A 15621-2021")</f>
        <v/>
      </c>
      <c r="V43">
        <f>HYPERLINK("https://klasma.github.io/Logging_1880/klagomål/A 15621-2021 FSC-klagomål.docx", "A 15621-2021")</f>
        <v/>
      </c>
      <c r="W43">
        <f>HYPERLINK("https://klasma.github.io/Logging_1880/klagomålsmail/A 15621-2021 FSC-klagomål mail.docx", "A 15621-2021")</f>
        <v/>
      </c>
      <c r="X43">
        <f>HYPERLINK("https://klasma.github.io/Logging_1880/tillsyn/A 15621-2021 tillsynsbegäran.docx", "A 15621-2021")</f>
        <v/>
      </c>
      <c r="Y43">
        <f>HYPERLINK("https://klasma.github.io/Logging_1880/tillsynsmail/A 15621-2021 tillsynsbegäran mail.docx", "A 15621-2021")</f>
        <v/>
      </c>
    </row>
    <row r="44" ht="15" customHeight="1">
      <c r="A44" t="inlineStr">
        <is>
          <t>A 11501-2025</t>
        </is>
      </c>
      <c r="B44" s="1" t="n">
        <v>45726</v>
      </c>
      <c r="C44" s="1" t="n">
        <v>45989</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23998-2025</t>
        </is>
      </c>
      <c r="B45" s="1" t="n">
        <v>45796.42209490741</v>
      </c>
      <c r="C45" s="1" t="n">
        <v>45989</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28936-2025</t>
        </is>
      </c>
      <c r="B46" s="1" t="n">
        <v>45820.69287037037</v>
      </c>
      <c r="C46" s="1" t="n">
        <v>45989</v>
      </c>
      <c r="D46" t="inlineStr">
        <is>
          <t>ÖREBRO LÄN</t>
        </is>
      </c>
      <c r="E46" t="inlineStr">
        <is>
          <t>ÖREBRO</t>
        </is>
      </c>
      <c r="G46" t="n">
        <v>0.9</v>
      </c>
      <c r="H46" t="n">
        <v>1</v>
      </c>
      <c r="I46" t="n">
        <v>0</v>
      </c>
      <c r="J46" t="n">
        <v>0</v>
      </c>
      <c r="K46" t="n">
        <v>0</v>
      </c>
      <c r="L46" t="n">
        <v>0</v>
      </c>
      <c r="M46" t="n">
        <v>0</v>
      </c>
      <c r="N46" t="n">
        <v>0</v>
      </c>
      <c r="O46" t="n">
        <v>0</v>
      </c>
      <c r="P46" t="n">
        <v>0</v>
      </c>
      <c r="Q46" t="n">
        <v>1</v>
      </c>
      <c r="R46" s="2" t="inlineStr">
        <is>
          <t>Kungsfågel</t>
        </is>
      </c>
      <c r="S46">
        <f>HYPERLINK("https://klasma.github.io/Logging_1880/artfynd/A 28936-2025 artfynd.xlsx", "A 28936-2025")</f>
        <v/>
      </c>
      <c r="T46">
        <f>HYPERLINK("https://klasma.github.io/Logging_1880/kartor/A 28936-2025 karta.png", "A 28936-2025")</f>
        <v/>
      </c>
      <c r="V46">
        <f>HYPERLINK("https://klasma.github.io/Logging_1880/klagomål/A 28936-2025 FSC-klagomål.docx", "A 28936-2025")</f>
        <v/>
      </c>
      <c r="W46">
        <f>HYPERLINK("https://klasma.github.io/Logging_1880/klagomålsmail/A 28936-2025 FSC-klagomål mail.docx", "A 28936-2025")</f>
        <v/>
      </c>
      <c r="X46">
        <f>HYPERLINK("https://klasma.github.io/Logging_1880/tillsyn/A 28936-2025 tillsynsbegäran.docx", "A 28936-2025")</f>
        <v/>
      </c>
      <c r="Y46">
        <f>HYPERLINK("https://klasma.github.io/Logging_1880/tillsynsmail/A 28936-2025 tillsynsbegäran mail.docx", "A 28936-2025")</f>
        <v/>
      </c>
      <c r="Z46">
        <f>HYPERLINK("https://klasma.github.io/Logging_1880/fåglar/A 28936-2025 prioriterade fågelarter.docx", "A 28936-2025")</f>
        <v/>
      </c>
    </row>
    <row r="47" ht="15" customHeight="1">
      <c r="A47" t="inlineStr">
        <is>
          <t>A 4014-2021</t>
        </is>
      </c>
      <c r="B47" s="1" t="n">
        <v>44218</v>
      </c>
      <c r="C47" s="1" t="n">
        <v>45989</v>
      </c>
      <c r="D47" t="inlineStr">
        <is>
          <t>ÖREBRO LÄN</t>
        </is>
      </c>
      <c r="E47" t="inlineStr">
        <is>
          <t>ÖREBRO</t>
        </is>
      </c>
      <c r="G47" t="n">
        <v>10.5</v>
      </c>
      <c r="H47" t="n">
        <v>0</v>
      </c>
      <c r="I47" t="n">
        <v>1</v>
      </c>
      <c r="J47" t="n">
        <v>0</v>
      </c>
      <c r="K47" t="n">
        <v>0</v>
      </c>
      <c r="L47" t="n">
        <v>0</v>
      </c>
      <c r="M47" t="n">
        <v>0</v>
      </c>
      <c r="N47" t="n">
        <v>0</v>
      </c>
      <c r="O47" t="n">
        <v>0</v>
      </c>
      <c r="P47" t="n">
        <v>0</v>
      </c>
      <c r="Q47" t="n">
        <v>1</v>
      </c>
      <c r="R47" s="2" t="inlineStr">
        <is>
          <t>Springkorn</t>
        </is>
      </c>
      <c r="S47">
        <f>HYPERLINK("https://klasma.github.io/Logging_1880/artfynd/A 4014-2021 artfynd.xlsx", "A 4014-2021")</f>
        <v/>
      </c>
      <c r="T47">
        <f>HYPERLINK("https://klasma.github.io/Logging_1880/kartor/A 4014-2021 karta.png", "A 4014-2021")</f>
        <v/>
      </c>
      <c r="V47">
        <f>HYPERLINK("https://klasma.github.io/Logging_1880/klagomål/A 4014-2021 FSC-klagomål.docx", "A 4014-2021")</f>
        <v/>
      </c>
      <c r="W47">
        <f>HYPERLINK("https://klasma.github.io/Logging_1880/klagomålsmail/A 4014-2021 FSC-klagomål mail.docx", "A 4014-2021")</f>
        <v/>
      </c>
      <c r="X47">
        <f>HYPERLINK("https://klasma.github.io/Logging_1880/tillsyn/A 4014-2021 tillsynsbegäran.docx", "A 4014-2021")</f>
        <v/>
      </c>
      <c r="Y47">
        <f>HYPERLINK("https://klasma.github.io/Logging_1880/tillsynsmail/A 4014-2021 tillsynsbegäran mail.docx", "A 4014-2021")</f>
        <v/>
      </c>
    </row>
    <row r="48" ht="15" customHeight="1">
      <c r="A48" t="inlineStr">
        <is>
          <t>A 32226-2025</t>
        </is>
      </c>
      <c r="B48" s="1" t="n">
        <v>45835.59478009259</v>
      </c>
      <c r="C48" s="1" t="n">
        <v>45989</v>
      </c>
      <c r="D48" t="inlineStr">
        <is>
          <t>ÖREBRO LÄN</t>
        </is>
      </c>
      <c r="E48" t="inlineStr">
        <is>
          <t>ÖREBRO</t>
        </is>
      </c>
      <c r="G48" t="n">
        <v>1.2</v>
      </c>
      <c r="H48" t="n">
        <v>0</v>
      </c>
      <c r="I48" t="n">
        <v>0</v>
      </c>
      <c r="J48" t="n">
        <v>1</v>
      </c>
      <c r="K48" t="n">
        <v>0</v>
      </c>
      <c r="L48" t="n">
        <v>0</v>
      </c>
      <c r="M48" t="n">
        <v>0</v>
      </c>
      <c r="N48" t="n">
        <v>0</v>
      </c>
      <c r="O48" t="n">
        <v>1</v>
      </c>
      <c r="P48" t="n">
        <v>0</v>
      </c>
      <c r="Q48" t="n">
        <v>1</v>
      </c>
      <c r="R48" s="2" t="inlineStr">
        <is>
          <t>Dofttaggsvamp</t>
        </is>
      </c>
      <c r="S48">
        <f>HYPERLINK("https://klasma.github.io/Logging_1880/artfynd/A 32226-2025 artfynd.xlsx", "A 32226-2025")</f>
        <v/>
      </c>
      <c r="T48">
        <f>HYPERLINK("https://klasma.github.io/Logging_1880/kartor/A 32226-2025 karta.png", "A 32226-2025")</f>
        <v/>
      </c>
      <c r="V48">
        <f>HYPERLINK("https://klasma.github.io/Logging_1880/klagomål/A 32226-2025 FSC-klagomål.docx", "A 32226-2025")</f>
        <v/>
      </c>
      <c r="W48">
        <f>HYPERLINK("https://klasma.github.io/Logging_1880/klagomålsmail/A 32226-2025 FSC-klagomål mail.docx", "A 32226-2025")</f>
        <v/>
      </c>
      <c r="X48">
        <f>HYPERLINK("https://klasma.github.io/Logging_1880/tillsyn/A 32226-2025 tillsynsbegäran.docx", "A 32226-2025")</f>
        <v/>
      </c>
      <c r="Y48">
        <f>HYPERLINK("https://klasma.github.io/Logging_1880/tillsynsmail/A 32226-2025 tillsynsbegäran mail.docx", "A 32226-2025")</f>
        <v/>
      </c>
    </row>
    <row r="49" ht="15" customHeight="1">
      <c r="A49" t="inlineStr">
        <is>
          <t>A 32204-2025</t>
        </is>
      </c>
      <c r="B49" s="1" t="n">
        <v>45835.58074074074</v>
      </c>
      <c r="C49" s="1" t="n">
        <v>45989</v>
      </c>
      <c r="D49" t="inlineStr">
        <is>
          <t>ÖREBRO LÄN</t>
        </is>
      </c>
      <c r="E49" t="inlineStr">
        <is>
          <t>ÖREBRO</t>
        </is>
      </c>
      <c r="G49" t="n">
        <v>3.4</v>
      </c>
      <c r="H49" t="n">
        <v>1</v>
      </c>
      <c r="I49" t="n">
        <v>0</v>
      </c>
      <c r="J49" t="n">
        <v>0</v>
      </c>
      <c r="K49" t="n">
        <v>0</v>
      </c>
      <c r="L49" t="n">
        <v>0</v>
      </c>
      <c r="M49" t="n">
        <v>0</v>
      </c>
      <c r="N49" t="n">
        <v>0</v>
      </c>
      <c r="O49" t="n">
        <v>0</v>
      </c>
      <c r="P49" t="n">
        <v>0</v>
      </c>
      <c r="Q49" t="n">
        <v>1</v>
      </c>
      <c r="R49" s="2" t="inlineStr">
        <is>
          <t>Tjäder</t>
        </is>
      </c>
      <c r="S49">
        <f>HYPERLINK("https://klasma.github.io/Logging_1880/artfynd/A 32204-2025 artfynd.xlsx", "A 32204-2025")</f>
        <v/>
      </c>
      <c r="T49">
        <f>HYPERLINK("https://klasma.github.io/Logging_1880/kartor/A 32204-2025 karta.png", "A 32204-2025")</f>
        <v/>
      </c>
      <c r="V49">
        <f>HYPERLINK("https://klasma.github.io/Logging_1880/klagomål/A 32204-2025 FSC-klagomål.docx", "A 32204-2025")</f>
        <v/>
      </c>
      <c r="W49">
        <f>HYPERLINK("https://klasma.github.io/Logging_1880/klagomålsmail/A 32204-2025 FSC-klagomål mail.docx", "A 32204-2025")</f>
        <v/>
      </c>
      <c r="X49">
        <f>HYPERLINK("https://klasma.github.io/Logging_1880/tillsyn/A 32204-2025 tillsynsbegäran.docx", "A 32204-2025")</f>
        <v/>
      </c>
      <c r="Y49">
        <f>HYPERLINK("https://klasma.github.io/Logging_1880/tillsynsmail/A 32204-2025 tillsynsbegäran mail.docx", "A 32204-2025")</f>
        <v/>
      </c>
      <c r="Z49">
        <f>HYPERLINK("https://klasma.github.io/Logging_1880/fåglar/A 32204-2025 prioriterade fågelarter.docx", "A 32204-2025")</f>
        <v/>
      </c>
    </row>
    <row r="50" ht="15" customHeight="1">
      <c r="A50" t="inlineStr">
        <is>
          <t>A 32105-2023</t>
        </is>
      </c>
      <c r="B50" s="1" t="n">
        <v>45119</v>
      </c>
      <c r="C50" s="1" t="n">
        <v>45989</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20032-2023</t>
        </is>
      </c>
      <c r="B51" s="1" t="n">
        <v>45054</v>
      </c>
      <c r="C51" s="1" t="n">
        <v>45989</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22604-2024</t>
        </is>
      </c>
      <c r="B52" s="1" t="n">
        <v>45447</v>
      </c>
      <c r="C52" s="1" t="n">
        <v>45989</v>
      </c>
      <c r="D52" t="inlineStr">
        <is>
          <t>ÖREBRO LÄN</t>
        </is>
      </c>
      <c r="E52" t="inlineStr">
        <is>
          <t>ÖREBRO</t>
        </is>
      </c>
      <c r="G52" t="n">
        <v>4.4</v>
      </c>
      <c r="H52" t="n">
        <v>0</v>
      </c>
      <c r="I52" t="n">
        <v>0</v>
      </c>
      <c r="J52" t="n">
        <v>1</v>
      </c>
      <c r="K52" t="n">
        <v>0</v>
      </c>
      <c r="L52" t="n">
        <v>0</v>
      </c>
      <c r="M52" t="n">
        <v>0</v>
      </c>
      <c r="N52" t="n">
        <v>0</v>
      </c>
      <c r="O52" t="n">
        <v>1</v>
      </c>
      <c r="P52" t="n">
        <v>0</v>
      </c>
      <c r="Q52" t="n">
        <v>1</v>
      </c>
      <c r="R52" s="2" t="inlineStr">
        <is>
          <t>Månlåsbräken</t>
        </is>
      </c>
      <c r="S52">
        <f>HYPERLINK("https://klasma.github.io/Logging_1880/artfynd/A 22604-2024 artfynd.xlsx", "A 22604-2024")</f>
        <v/>
      </c>
      <c r="T52">
        <f>HYPERLINK("https://klasma.github.io/Logging_1880/kartor/A 22604-2024 karta.png", "A 22604-2024")</f>
        <v/>
      </c>
      <c r="V52">
        <f>HYPERLINK("https://klasma.github.io/Logging_1880/klagomål/A 22604-2024 FSC-klagomål.docx", "A 22604-2024")</f>
        <v/>
      </c>
      <c r="W52">
        <f>HYPERLINK("https://klasma.github.io/Logging_1880/klagomålsmail/A 22604-2024 FSC-klagomål mail.docx", "A 22604-2024")</f>
        <v/>
      </c>
      <c r="X52">
        <f>HYPERLINK("https://klasma.github.io/Logging_1880/tillsyn/A 22604-2024 tillsynsbegäran.docx", "A 22604-2024")</f>
        <v/>
      </c>
      <c r="Y52">
        <f>HYPERLINK("https://klasma.github.io/Logging_1880/tillsynsmail/A 22604-2024 tillsynsbegäran mail.docx", "A 22604-2024")</f>
        <v/>
      </c>
    </row>
    <row r="53" ht="15" customHeight="1">
      <c r="A53" t="inlineStr">
        <is>
          <t>A 58832-2025</t>
        </is>
      </c>
      <c r="B53" s="1" t="n">
        <v>45987.35384259259</v>
      </c>
      <c r="C53" s="1" t="n">
        <v>45989</v>
      </c>
      <c r="D53" t="inlineStr">
        <is>
          <t>ÖREBRO LÄN</t>
        </is>
      </c>
      <c r="E53" t="inlineStr">
        <is>
          <t>ÖREBRO</t>
        </is>
      </c>
      <c r="G53" t="n">
        <v>0.9</v>
      </c>
      <c r="H53" t="n">
        <v>1</v>
      </c>
      <c r="I53" t="n">
        <v>0</v>
      </c>
      <c r="J53" t="n">
        <v>0</v>
      </c>
      <c r="K53" t="n">
        <v>0</v>
      </c>
      <c r="L53" t="n">
        <v>1</v>
      </c>
      <c r="M53" t="n">
        <v>0</v>
      </c>
      <c r="N53" t="n">
        <v>0</v>
      </c>
      <c r="O53" t="n">
        <v>1</v>
      </c>
      <c r="P53" t="n">
        <v>1</v>
      </c>
      <c r="Q53" t="n">
        <v>1</v>
      </c>
      <c r="R53" s="2" t="inlineStr">
        <is>
          <t>Mosippa</t>
        </is>
      </c>
      <c r="S53">
        <f>HYPERLINK("https://klasma.github.io/Logging_1880/artfynd/A 58832-2025 artfynd.xlsx", "A 58832-2025")</f>
        <v/>
      </c>
      <c r="T53">
        <f>HYPERLINK("https://klasma.github.io/Logging_1880/kartor/A 58832-2025 karta.png", "A 58832-2025")</f>
        <v/>
      </c>
      <c r="V53">
        <f>HYPERLINK("https://klasma.github.io/Logging_1880/klagomål/A 58832-2025 FSC-klagomål.docx", "A 58832-2025")</f>
        <v/>
      </c>
      <c r="W53">
        <f>HYPERLINK("https://klasma.github.io/Logging_1880/klagomålsmail/A 58832-2025 FSC-klagomål mail.docx", "A 58832-2025")</f>
        <v/>
      </c>
      <c r="X53">
        <f>HYPERLINK("https://klasma.github.io/Logging_1880/tillsyn/A 58832-2025 tillsynsbegäran.docx", "A 58832-2025")</f>
        <v/>
      </c>
      <c r="Y53">
        <f>HYPERLINK("https://klasma.github.io/Logging_1880/tillsynsmail/A 58832-2025 tillsynsbegäran mail.docx", "A 58832-2025")</f>
        <v/>
      </c>
    </row>
    <row r="54" ht="15" customHeight="1">
      <c r="A54" t="inlineStr">
        <is>
          <t>A 58837-2025</t>
        </is>
      </c>
      <c r="B54" s="1" t="n">
        <v>45987.35875</v>
      </c>
      <c r="C54" s="1" t="n">
        <v>45989</v>
      </c>
      <c r="D54" t="inlineStr">
        <is>
          <t>ÖREBRO LÄN</t>
        </is>
      </c>
      <c r="E54" t="inlineStr">
        <is>
          <t>ÖREBRO</t>
        </is>
      </c>
      <c r="G54" t="n">
        <v>3.8</v>
      </c>
      <c r="H54" t="n">
        <v>0</v>
      </c>
      <c r="I54" t="n">
        <v>0</v>
      </c>
      <c r="J54" t="n">
        <v>1</v>
      </c>
      <c r="K54" t="n">
        <v>0</v>
      </c>
      <c r="L54" t="n">
        <v>0</v>
      </c>
      <c r="M54" t="n">
        <v>0</v>
      </c>
      <c r="N54" t="n">
        <v>0</v>
      </c>
      <c r="O54" t="n">
        <v>1</v>
      </c>
      <c r="P54" t="n">
        <v>0</v>
      </c>
      <c r="Q54" t="n">
        <v>1</v>
      </c>
      <c r="R54" s="2" t="inlineStr">
        <is>
          <t>Svartöra</t>
        </is>
      </c>
      <c r="S54">
        <f>HYPERLINK("https://klasma.github.io/Logging_1880/artfynd/A 58837-2025 artfynd.xlsx", "A 58837-2025")</f>
        <v/>
      </c>
      <c r="T54">
        <f>HYPERLINK("https://klasma.github.io/Logging_1880/kartor/A 58837-2025 karta.png", "A 58837-2025")</f>
        <v/>
      </c>
      <c r="V54">
        <f>HYPERLINK("https://klasma.github.io/Logging_1880/klagomål/A 58837-2025 FSC-klagomål.docx", "A 58837-2025")</f>
        <v/>
      </c>
      <c r="W54">
        <f>HYPERLINK("https://klasma.github.io/Logging_1880/klagomålsmail/A 58837-2025 FSC-klagomål mail.docx", "A 58837-2025")</f>
        <v/>
      </c>
      <c r="X54">
        <f>HYPERLINK("https://klasma.github.io/Logging_1880/tillsyn/A 58837-2025 tillsynsbegäran.docx", "A 58837-2025")</f>
        <v/>
      </c>
      <c r="Y54">
        <f>HYPERLINK("https://klasma.github.io/Logging_1880/tillsynsmail/A 58837-2025 tillsynsbegäran mail.docx", "A 58837-2025")</f>
        <v/>
      </c>
    </row>
    <row r="55" ht="15" customHeight="1">
      <c r="A55" t="inlineStr">
        <is>
          <t>A 50499-2025</t>
        </is>
      </c>
      <c r="B55" s="1" t="n">
        <v>45945.41712962963</v>
      </c>
      <c r="C55" s="1" t="n">
        <v>45989</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30725-2023</t>
        </is>
      </c>
      <c r="B56" s="1" t="n">
        <v>45112.61451388889</v>
      </c>
      <c r="C56" s="1" t="n">
        <v>45989</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5097-2023</t>
        </is>
      </c>
      <c r="B57" s="1" t="n">
        <v>44958</v>
      </c>
      <c r="C57" s="1" t="n">
        <v>45989</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45989</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26890-2022</t>
        </is>
      </c>
      <c r="B59" s="1" t="n">
        <v>44740</v>
      </c>
      <c r="C59" s="1" t="n">
        <v>45989</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45989</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2077-2023</t>
        </is>
      </c>
      <c r="B61" s="1" t="n">
        <v>44939</v>
      </c>
      <c r="C61" s="1" t="n">
        <v>45989</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45989</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45989</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42636-2023</t>
        </is>
      </c>
      <c r="B64" s="1" t="n">
        <v>45181.49559027778</v>
      </c>
      <c r="C64" s="1" t="n">
        <v>45989</v>
      </c>
      <c r="D64" t="inlineStr">
        <is>
          <t>ÖREBRO LÄN</t>
        </is>
      </c>
      <c r="E64" t="inlineStr">
        <is>
          <t>ÖREBRO</t>
        </is>
      </c>
      <c r="G64" t="n">
        <v>1.7</v>
      </c>
      <c r="H64" t="n">
        <v>0</v>
      </c>
      <c r="I64" t="n">
        <v>0</v>
      </c>
      <c r="J64" t="n">
        <v>1</v>
      </c>
      <c r="K64" t="n">
        <v>0</v>
      </c>
      <c r="L64" t="n">
        <v>0</v>
      </c>
      <c r="M64" t="n">
        <v>0</v>
      </c>
      <c r="N64" t="n">
        <v>0</v>
      </c>
      <c r="O64" t="n">
        <v>1</v>
      </c>
      <c r="P64" t="n">
        <v>0</v>
      </c>
      <c r="Q64" t="n">
        <v>1</v>
      </c>
      <c r="R64" s="2" t="inlineStr">
        <is>
          <t>Igelkott</t>
        </is>
      </c>
      <c r="S64">
        <f>HYPERLINK("https://klasma.github.io/Logging_1880/artfynd/A 42636-2023 artfynd.xlsx", "A 42636-2023")</f>
        <v/>
      </c>
      <c r="T64">
        <f>HYPERLINK("https://klasma.github.io/Logging_1880/kartor/A 42636-2023 karta.png", "A 42636-2023")</f>
        <v/>
      </c>
      <c r="V64">
        <f>HYPERLINK("https://klasma.github.io/Logging_1880/klagomål/A 42636-2023 FSC-klagomål.docx", "A 42636-2023")</f>
        <v/>
      </c>
      <c r="W64">
        <f>HYPERLINK("https://klasma.github.io/Logging_1880/klagomålsmail/A 42636-2023 FSC-klagomål mail.docx", "A 42636-2023")</f>
        <v/>
      </c>
      <c r="X64">
        <f>HYPERLINK("https://klasma.github.io/Logging_1880/tillsyn/A 42636-2023 tillsynsbegäran.docx", "A 42636-2023")</f>
        <v/>
      </c>
      <c r="Y64">
        <f>HYPERLINK("https://klasma.github.io/Logging_1880/tillsynsmail/A 42636-2023 tillsynsbegäran mail.docx", "A 42636-2023")</f>
        <v/>
      </c>
    </row>
    <row r="65" ht="15" customHeight="1">
      <c r="A65" t="inlineStr">
        <is>
          <t>A 55904-2024</t>
        </is>
      </c>
      <c r="B65" s="1" t="n">
        <v>45623.58190972222</v>
      </c>
      <c r="C65" s="1" t="n">
        <v>45989</v>
      </c>
      <c r="D65" t="inlineStr">
        <is>
          <t>ÖREBRO LÄN</t>
        </is>
      </c>
      <c r="E65" t="inlineStr">
        <is>
          <t>ÖREBRO</t>
        </is>
      </c>
      <c r="G65" t="n">
        <v>1.2</v>
      </c>
      <c r="H65" t="n">
        <v>1</v>
      </c>
      <c r="I65" t="n">
        <v>0</v>
      </c>
      <c r="J65" t="n">
        <v>0</v>
      </c>
      <c r="K65" t="n">
        <v>0</v>
      </c>
      <c r="L65" t="n">
        <v>0</v>
      </c>
      <c r="M65" t="n">
        <v>0</v>
      </c>
      <c r="N65" t="n">
        <v>0</v>
      </c>
      <c r="O65" t="n">
        <v>0</v>
      </c>
      <c r="P65" t="n">
        <v>0</v>
      </c>
      <c r="Q65" t="n">
        <v>1</v>
      </c>
      <c r="R65" s="2" t="inlineStr">
        <is>
          <t>Trana</t>
        </is>
      </c>
      <c r="S65">
        <f>HYPERLINK("https://klasma.github.io/Logging_1880/artfynd/A 55904-2024 artfynd.xlsx", "A 55904-2024")</f>
        <v/>
      </c>
      <c r="T65">
        <f>HYPERLINK("https://klasma.github.io/Logging_1880/kartor/A 55904-2024 karta.png", "A 55904-2024")</f>
        <v/>
      </c>
      <c r="V65">
        <f>HYPERLINK("https://klasma.github.io/Logging_1880/klagomål/A 55904-2024 FSC-klagomål.docx", "A 55904-2024")</f>
        <v/>
      </c>
      <c r="W65">
        <f>HYPERLINK("https://klasma.github.io/Logging_1880/klagomålsmail/A 55904-2024 FSC-klagomål mail.docx", "A 55904-2024")</f>
        <v/>
      </c>
      <c r="X65">
        <f>HYPERLINK("https://klasma.github.io/Logging_1880/tillsyn/A 55904-2024 tillsynsbegäran.docx", "A 55904-2024")</f>
        <v/>
      </c>
      <c r="Y65">
        <f>HYPERLINK("https://klasma.github.io/Logging_1880/tillsynsmail/A 55904-2024 tillsynsbegäran mail.docx", "A 55904-2024")</f>
        <v/>
      </c>
      <c r="Z65">
        <f>HYPERLINK("https://klasma.github.io/Logging_1880/fåglar/A 55904-2024 prioriterade fågelarter.docx", "A 55904-2024")</f>
        <v/>
      </c>
    </row>
    <row r="66" ht="15" customHeight="1">
      <c r="A66" t="inlineStr">
        <is>
          <t>A 9406-2021</t>
        </is>
      </c>
      <c r="B66" s="1" t="n">
        <v>44251</v>
      </c>
      <c r="C66" s="1" t="n">
        <v>45989</v>
      </c>
      <c r="D66" t="inlineStr">
        <is>
          <t>ÖREBRO LÄN</t>
        </is>
      </c>
      <c r="E66" t="inlineStr">
        <is>
          <t>ÖREBRO</t>
        </is>
      </c>
      <c r="G66" t="n">
        <v>6.1</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45989</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33865-2021</t>
        </is>
      </c>
      <c r="B68" s="1" t="n">
        <v>44378.62756944444</v>
      </c>
      <c r="C68" s="1" t="n">
        <v>45989</v>
      </c>
      <c r="D68" t="inlineStr">
        <is>
          <t>ÖREBRO LÄN</t>
        </is>
      </c>
      <c r="E68" t="inlineStr">
        <is>
          <t>ÖREBRO</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45989</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45989</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45989</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12232-2021</t>
        </is>
      </c>
      <c r="B72" s="1" t="n">
        <v>44266.70232638889</v>
      </c>
      <c r="C72" s="1" t="n">
        <v>45989</v>
      </c>
      <c r="D72" t="inlineStr">
        <is>
          <t>ÖREBRO LÄN</t>
        </is>
      </c>
      <c r="E72" t="inlineStr">
        <is>
          <t>ÖREBRO</t>
        </is>
      </c>
      <c r="G72" t="n">
        <v>1.5</v>
      </c>
      <c r="H72" t="n">
        <v>0</v>
      </c>
      <c r="I72" t="n">
        <v>0</v>
      </c>
      <c r="J72" t="n">
        <v>0</v>
      </c>
      <c r="K72" t="n">
        <v>0</v>
      </c>
      <c r="L72" t="n">
        <v>0</v>
      </c>
      <c r="M72" t="n">
        <v>0</v>
      </c>
      <c r="N72" t="n">
        <v>0</v>
      </c>
      <c r="O72" t="n">
        <v>0</v>
      </c>
      <c r="P72" t="n">
        <v>0</v>
      </c>
      <c r="Q72" t="n">
        <v>0</v>
      </c>
      <c r="R72" s="2" t="inlineStr"/>
    </row>
    <row r="73" ht="15" customHeight="1">
      <c r="A73" t="inlineStr">
        <is>
          <t>A 13760-2021</t>
        </is>
      </c>
      <c r="B73" s="1" t="n">
        <v>44274</v>
      </c>
      <c r="C73" s="1" t="n">
        <v>45989</v>
      </c>
      <c r="D73" t="inlineStr">
        <is>
          <t>ÖREBRO LÄN</t>
        </is>
      </c>
      <c r="E73" t="inlineStr">
        <is>
          <t>ÖREBRO</t>
        </is>
      </c>
      <c r="G73" t="n">
        <v>2.1</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45989</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45989</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45989</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45989</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45989</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45989</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45989</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45989</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45989</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45989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45989</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45989</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45989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45989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45989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45989</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45989</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45989</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45989</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45989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45989</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45989</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45989</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45989</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45989</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45989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45989</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45989</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45989</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45989</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45989</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45989</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45989</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45989</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45989</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45989</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45989</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45989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45989</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45989</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45989</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45989</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45989</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45989</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45989</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7117-2021</t>
        </is>
      </c>
      <c r="B119" s="1" t="n">
        <v>44238</v>
      </c>
      <c r="C119" s="1" t="n">
        <v>45989</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45989</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6638-2022</t>
        </is>
      </c>
      <c r="B121" s="1" t="n">
        <v>44601</v>
      </c>
      <c r="C121" s="1" t="n">
        <v>45989</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29490-2022</t>
        </is>
      </c>
      <c r="B122" s="1" t="n">
        <v>44753</v>
      </c>
      <c r="C122" s="1" t="n">
        <v>45989</v>
      </c>
      <c r="D122" t="inlineStr">
        <is>
          <t>ÖREBRO LÄN</t>
        </is>
      </c>
      <c r="E122" t="inlineStr">
        <is>
          <t>ÖREBRO</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45989</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45989</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45989</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45989</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45989</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3087-2021</t>
        </is>
      </c>
      <c r="B128" s="1" t="n">
        <v>44216</v>
      </c>
      <c r="C128" s="1" t="n">
        <v>45989</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45989</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45989</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45989</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45989</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45989</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45989</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45989</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45989</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45989</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45989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69613-2020</t>
        </is>
      </c>
      <c r="B139" s="1" t="n">
        <v>44195</v>
      </c>
      <c r="C139" s="1" t="n">
        <v>45989</v>
      </c>
      <c r="D139" t="inlineStr">
        <is>
          <t>ÖREBRO LÄN</t>
        </is>
      </c>
      <c r="E139" t="inlineStr">
        <is>
          <t>ÖREBRO</t>
        </is>
      </c>
      <c r="G139" t="n">
        <v>4.7</v>
      </c>
      <c r="H139" t="n">
        <v>0</v>
      </c>
      <c r="I139" t="n">
        <v>0</v>
      </c>
      <c r="J139" t="n">
        <v>0</v>
      </c>
      <c r="K139" t="n">
        <v>0</v>
      </c>
      <c r="L139" t="n">
        <v>0</v>
      </c>
      <c r="M139" t="n">
        <v>0</v>
      </c>
      <c r="N139" t="n">
        <v>0</v>
      </c>
      <c r="O139" t="n">
        <v>0</v>
      </c>
      <c r="P139" t="n">
        <v>0</v>
      </c>
      <c r="Q139" t="n">
        <v>0</v>
      </c>
      <c r="R139" s="2" t="inlineStr"/>
    </row>
    <row r="140" ht="15" customHeight="1">
      <c r="A140" t="inlineStr">
        <is>
          <t>A 19468-2021</t>
        </is>
      </c>
      <c r="B140" s="1" t="n">
        <v>44311</v>
      </c>
      <c r="C140" s="1" t="n">
        <v>45989</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45989</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45989</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16261-2022</t>
        </is>
      </c>
      <c r="B143" s="1" t="n">
        <v>44670</v>
      </c>
      <c r="C143" s="1" t="n">
        <v>45989</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45989</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45989</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45989</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45989</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45989</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4766-2022</t>
        </is>
      </c>
      <c r="B149" s="1" t="n">
        <v>44592</v>
      </c>
      <c r="C149" s="1" t="n">
        <v>45989</v>
      </c>
      <c r="D149" t="inlineStr">
        <is>
          <t>ÖREBRO LÄN</t>
        </is>
      </c>
      <c r="E149" t="inlineStr">
        <is>
          <t>ÖREBRO</t>
        </is>
      </c>
      <c r="G149" t="n">
        <v>2.9</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45989</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12478-2022</t>
        </is>
      </c>
      <c r="B151" s="1" t="n">
        <v>44638</v>
      </c>
      <c r="C151" s="1" t="n">
        <v>45989</v>
      </c>
      <c r="D151" t="inlineStr">
        <is>
          <t>ÖREBRO LÄN</t>
        </is>
      </c>
      <c r="E151" t="inlineStr">
        <is>
          <t>ÖREBRO</t>
        </is>
      </c>
      <c r="F151" t="inlineStr">
        <is>
          <t>Kyrkan</t>
        </is>
      </c>
      <c r="G151" t="n">
        <v>1.4</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45989</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19978-2025</t>
        </is>
      </c>
      <c r="B153" s="1" t="n">
        <v>45771.7062037037</v>
      </c>
      <c r="C153" s="1" t="n">
        <v>45989</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13169-2024</t>
        </is>
      </c>
      <c r="B154" s="1" t="n">
        <v>45386.40489583334</v>
      </c>
      <c r="C154" s="1" t="n">
        <v>45989</v>
      </c>
      <c r="D154" t="inlineStr">
        <is>
          <t>ÖREBRO LÄN</t>
        </is>
      </c>
      <c r="E154" t="inlineStr">
        <is>
          <t>ÖREBRO</t>
        </is>
      </c>
      <c r="G154" t="n">
        <v>4.3</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45989</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19831-2021</t>
        </is>
      </c>
      <c r="B156" s="1" t="n">
        <v>44313</v>
      </c>
      <c r="C156" s="1" t="n">
        <v>45989</v>
      </c>
      <c r="D156" t="inlineStr">
        <is>
          <t>ÖREBRO LÄN</t>
        </is>
      </c>
      <c r="E156" t="inlineStr">
        <is>
          <t>ÖREBRO</t>
        </is>
      </c>
      <c r="G156" t="n">
        <v>3.2</v>
      </c>
      <c r="H156" t="n">
        <v>0</v>
      </c>
      <c r="I156" t="n">
        <v>0</v>
      </c>
      <c r="J156" t="n">
        <v>0</v>
      </c>
      <c r="K156" t="n">
        <v>0</v>
      </c>
      <c r="L156" t="n">
        <v>0</v>
      </c>
      <c r="M156" t="n">
        <v>0</v>
      </c>
      <c r="N156" t="n">
        <v>0</v>
      </c>
      <c r="O156" t="n">
        <v>0</v>
      </c>
      <c r="P156" t="n">
        <v>0</v>
      </c>
      <c r="Q156" t="n">
        <v>0</v>
      </c>
      <c r="R156" s="2" t="inlineStr"/>
    </row>
    <row r="157" ht="15" customHeight="1">
      <c r="A157" t="inlineStr">
        <is>
          <t>A 11067-2025</t>
        </is>
      </c>
      <c r="B157" s="1" t="n">
        <v>45723</v>
      </c>
      <c r="C157" s="1" t="n">
        <v>45989</v>
      </c>
      <c r="D157" t="inlineStr">
        <is>
          <t>ÖREBRO LÄN</t>
        </is>
      </c>
      <c r="E157" t="inlineStr">
        <is>
          <t>ÖREBRO</t>
        </is>
      </c>
      <c r="G157" t="n">
        <v>3.1</v>
      </c>
      <c r="H157" t="n">
        <v>0</v>
      </c>
      <c r="I157" t="n">
        <v>0</v>
      </c>
      <c r="J157" t="n">
        <v>0</v>
      </c>
      <c r="K157" t="n">
        <v>0</v>
      </c>
      <c r="L157" t="n">
        <v>0</v>
      </c>
      <c r="M157" t="n">
        <v>0</v>
      </c>
      <c r="N157" t="n">
        <v>0</v>
      </c>
      <c r="O157" t="n">
        <v>0</v>
      </c>
      <c r="P157" t="n">
        <v>0</v>
      </c>
      <c r="Q157" t="n">
        <v>0</v>
      </c>
      <c r="R157" s="2" t="inlineStr"/>
    </row>
    <row r="158" ht="15" customHeight="1">
      <c r="A158" t="inlineStr">
        <is>
          <t>A 9585-2025</t>
        </is>
      </c>
      <c r="B158" s="1" t="n">
        <v>45715.63409722222</v>
      </c>
      <c r="C158" s="1" t="n">
        <v>45989</v>
      </c>
      <c r="D158" t="inlineStr">
        <is>
          <t>ÖREBRO LÄN</t>
        </is>
      </c>
      <c r="E158" t="inlineStr">
        <is>
          <t>ÖREBRO</t>
        </is>
      </c>
      <c r="G158" t="n">
        <v>3.4</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45989</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5125-2024</t>
        </is>
      </c>
      <c r="B160" s="1" t="n">
        <v>45330</v>
      </c>
      <c r="C160" s="1" t="n">
        <v>45989</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6879-2024</t>
        </is>
      </c>
      <c r="B161" s="1" t="n">
        <v>45342.85280092592</v>
      </c>
      <c r="C161" s="1" t="n">
        <v>45989</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45989</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681-2024</t>
        </is>
      </c>
      <c r="B163" s="1" t="n">
        <v>45300</v>
      </c>
      <c r="C163" s="1" t="n">
        <v>45989</v>
      </c>
      <c r="D163" t="inlineStr">
        <is>
          <t>ÖREBRO LÄN</t>
        </is>
      </c>
      <c r="E163" t="inlineStr">
        <is>
          <t>ÖREBRO</t>
        </is>
      </c>
      <c r="G163" t="n">
        <v>3.3</v>
      </c>
      <c r="H163" t="n">
        <v>0</v>
      </c>
      <c r="I163" t="n">
        <v>0</v>
      </c>
      <c r="J163" t="n">
        <v>0</v>
      </c>
      <c r="K163" t="n">
        <v>0</v>
      </c>
      <c r="L163" t="n">
        <v>0</v>
      </c>
      <c r="M163" t="n">
        <v>0</v>
      </c>
      <c r="N163" t="n">
        <v>0</v>
      </c>
      <c r="O163" t="n">
        <v>0</v>
      </c>
      <c r="P163" t="n">
        <v>0</v>
      </c>
      <c r="Q163" t="n">
        <v>0</v>
      </c>
      <c r="R163" s="2" t="inlineStr"/>
    </row>
    <row r="164" ht="15" customHeight="1">
      <c r="A164" t="inlineStr">
        <is>
          <t>A 52256-2023</t>
        </is>
      </c>
      <c r="B164" s="1" t="n">
        <v>45224.51471064815</v>
      </c>
      <c r="C164" s="1" t="n">
        <v>45989</v>
      </c>
      <c r="D164" t="inlineStr">
        <is>
          <t>ÖREBRO LÄN</t>
        </is>
      </c>
      <c r="E164" t="inlineStr">
        <is>
          <t>ÖREBRO</t>
        </is>
      </c>
      <c r="G164" t="n">
        <v>2.8</v>
      </c>
      <c r="H164" t="n">
        <v>0</v>
      </c>
      <c r="I164" t="n">
        <v>0</v>
      </c>
      <c r="J164" t="n">
        <v>0</v>
      </c>
      <c r="K164" t="n">
        <v>0</v>
      </c>
      <c r="L164" t="n">
        <v>0</v>
      </c>
      <c r="M164" t="n">
        <v>0</v>
      </c>
      <c r="N164" t="n">
        <v>0</v>
      </c>
      <c r="O164" t="n">
        <v>0</v>
      </c>
      <c r="P164" t="n">
        <v>0</v>
      </c>
      <c r="Q164" t="n">
        <v>0</v>
      </c>
      <c r="R164" s="2" t="inlineStr"/>
    </row>
    <row r="165" ht="15" customHeight="1">
      <c r="A165" t="inlineStr">
        <is>
          <t>A 55593-2022</t>
        </is>
      </c>
      <c r="B165" s="1" t="n">
        <v>44888</v>
      </c>
      <c r="C165" s="1" t="n">
        <v>45989</v>
      </c>
      <c r="D165" t="inlineStr">
        <is>
          <t>ÖREBRO LÄN</t>
        </is>
      </c>
      <c r="E165" t="inlineStr">
        <is>
          <t>ÖREBRO</t>
        </is>
      </c>
      <c r="G165" t="n">
        <v>3.6</v>
      </c>
      <c r="H165" t="n">
        <v>0</v>
      </c>
      <c r="I165" t="n">
        <v>0</v>
      </c>
      <c r="J165" t="n">
        <v>0</v>
      </c>
      <c r="K165" t="n">
        <v>0</v>
      </c>
      <c r="L165" t="n">
        <v>0</v>
      </c>
      <c r="M165" t="n">
        <v>0</v>
      </c>
      <c r="N165" t="n">
        <v>0</v>
      </c>
      <c r="O165" t="n">
        <v>0</v>
      </c>
      <c r="P165" t="n">
        <v>0</v>
      </c>
      <c r="Q165" t="n">
        <v>0</v>
      </c>
      <c r="R165" s="2" t="inlineStr"/>
    </row>
    <row r="166" ht="15" customHeight="1">
      <c r="A166" t="inlineStr">
        <is>
          <t>A 43612-2022</t>
        </is>
      </c>
      <c r="B166" s="1" t="n">
        <v>44837</v>
      </c>
      <c r="C166" s="1" t="n">
        <v>45989</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50446-2023</t>
        </is>
      </c>
      <c r="B167" s="1" t="n">
        <v>45216</v>
      </c>
      <c r="C167" s="1" t="n">
        <v>45989</v>
      </c>
      <c r="D167" t="inlineStr">
        <is>
          <t>ÖREBRO LÄN</t>
        </is>
      </c>
      <c r="E167" t="inlineStr">
        <is>
          <t>ÖREBRO</t>
        </is>
      </c>
      <c r="F167" t="inlineStr">
        <is>
          <t>Övriga Aktiebolag</t>
        </is>
      </c>
      <c r="G167" t="n">
        <v>2.8</v>
      </c>
      <c r="H167" t="n">
        <v>0</v>
      </c>
      <c r="I167" t="n">
        <v>0</v>
      </c>
      <c r="J167" t="n">
        <v>0</v>
      </c>
      <c r="K167" t="n">
        <v>0</v>
      </c>
      <c r="L167" t="n">
        <v>0</v>
      </c>
      <c r="M167" t="n">
        <v>0</v>
      </c>
      <c r="N167" t="n">
        <v>0</v>
      </c>
      <c r="O167" t="n">
        <v>0</v>
      </c>
      <c r="P167" t="n">
        <v>0</v>
      </c>
      <c r="Q167" t="n">
        <v>0</v>
      </c>
      <c r="R167" s="2" t="inlineStr"/>
    </row>
    <row r="168" ht="15" customHeight="1">
      <c r="A168" t="inlineStr">
        <is>
          <t>A 50450-2023</t>
        </is>
      </c>
      <c r="B168" s="1" t="n">
        <v>45216.73533564815</v>
      </c>
      <c r="C168" s="1" t="n">
        <v>45989</v>
      </c>
      <c r="D168" t="inlineStr">
        <is>
          <t>ÖREBRO LÄN</t>
        </is>
      </c>
      <c r="E168" t="inlineStr">
        <is>
          <t>ÖREBRO</t>
        </is>
      </c>
      <c r="F168" t="inlineStr">
        <is>
          <t>Övriga Aktiebolag</t>
        </is>
      </c>
      <c r="G168" t="n">
        <v>0.8</v>
      </c>
      <c r="H168" t="n">
        <v>0</v>
      </c>
      <c r="I168" t="n">
        <v>0</v>
      </c>
      <c r="J168" t="n">
        <v>0</v>
      </c>
      <c r="K168" t="n">
        <v>0</v>
      </c>
      <c r="L168" t="n">
        <v>0</v>
      </c>
      <c r="M168" t="n">
        <v>0</v>
      </c>
      <c r="N168" t="n">
        <v>0</v>
      </c>
      <c r="O168" t="n">
        <v>0</v>
      </c>
      <c r="P168" t="n">
        <v>0</v>
      </c>
      <c r="Q168" t="n">
        <v>0</v>
      </c>
      <c r="R168" s="2" t="inlineStr"/>
    </row>
    <row r="169" ht="15" customHeight="1">
      <c r="A169" t="inlineStr">
        <is>
          <t>A 42138-2024</t>
        </is>
      </c>
      <c r="B169" s="1" t="n">
        <v>45562.41854166667</v>
      </c>
      <c r="C169" s="1" t="n">
        <v>45989</v>
      </c>
      <c r="D169" t="inlineStr">
        <is>
          <t>ÖREBRO LÄN</t>
        </is>
      </c>
      <c r="E169" t="inlineStr">
        <is>
          <t>ÖREBRO</t>
        </is>
      </c>
      <c r="G169" t="n">
        <v>1.4</v>
      </c>
      <c r="H169" t="n">
        <v>0</v>
      </c>
      <c r="I169" t="n">
        <v>0</v>
      </c>
      <c r="J169" t="n">
        <v>0</v>
      </c>
      <c r="K169" t="n">
        <v>0</v>
      </c>
      <c r="L169" t="n">
        <v>0</v>
      </c>
      <c r="M169" t="n">
        <v>0</v>
      </c>
      <c r="N169" t="n">
        <v>0</v>
      </c>
      <c r="O169" t="n">
        <v>0</v>
      </c>
      <c r="P169" t="n">
        <v>0</v>
      </c>
      <c r="Q169" t="n">
        <v>0</v>
      </c>
      <c r="R169" s="2" t="inlineStr"/>
    </row>
    <row r="170" ht="15" customHeight="1">
      <c r="A170" t="inlineStr">
        <is>
          <t>A 61593-2023</t>
        </is>
      </c>
      <c r="B170" s="1" t="n">
        <v>45265</v>
      </c>
      <c r="C170" s="1" t="n">
        <v>45989</v>
      </c>
      <c r="D170" t="inlineStr">
        <is>
          <t>ÖREBRO LÄN</t>
        </is>
      </c>
      <c r="E170" t="inlineStr">
        <is>
          <t>ÖREBRO</t>
        </is>
      </c>
      <c r="G170" t="n">
        <v>2.5</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45989</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38842-2022</t>
        </is>
      </c>
      <c r="B172" s="1" t="n">
        <v>44814</v>
      </c>
      <c r="C172" s="1" t="n">
        <v>45989</v>
      </c>
      <c r="D172" t="inlineStr">
        <is>
          <t>ÖREBRO LÄN</t>
        </is>
      </c>
      <c r="E172" t="inlineStr">
        <is>
          <t>ÖREBRO</t>
        </is>
      </c>
      <c r="G172" t="n">
        <v>5</v>
      </c>
      <c r="H172" t="n">
        <v>0</v>
      </c>
      <c r="I172" t="n">
        <v>0</v>
      </c>
      <c r="J172" t="n">
        <v>0</v>
      </c>
      <c r="K172" t="n">
        <v>0</v>
      </c>
      <c r="L172" t="n">
        <v>0</v>
      </c>
      <c r="M172" t="n">
        <v>0</v>
      </c>
      <c r="N172" t="n">
        <v>0</v>
      </c>
      <c r="O172" t="n">
        <v>0</v>
      </c>
      <c r="P172" t="n">
        <v>0</v>
      </c>
      <c r="Q172" t="n">
        <v>0</v>
      </c>
      <c r="R172" s="2" t="inlineStr"/>
    </row>
    <row r="173" ht="15" customHeight="1">
      <c r="A173" t="inlineStr">
        <is>
          <t>A 26338-2021</t>
        </is>
      </c>
      <c r="B173" s="1" t="n">
        <v>44347</v>
      </c>
      <c r="C173" s="1" t="n">
        <v>45989</v>
      </c>
      <c r="D173" t="inlineStr">
        <is>
          <t>ÖREBRO LÄN</t>
        </is>
      </c>
      <c r="E173" t="inlineStr">
        <is>
          <t>ÖREBRO</t>
        </is>
      </c>
      <c r="G173" t="n">
        <v>0.5</v>
      </c>
      <c r="H173" t="n">
        <v>0</v>
      </c>
      <c r="I173" t="n">
        <v>0</v>
      </c>
      <c r="J173" t="n">
        <v>0</v>
      </c>
      <c r="K173" t="n">
        <v>0</v>
      </c>
      <c r="L173" t="n">
        <v>0</v>
      </c>
      <c r="M173" t="n">
        <v>0</v>
      </c>
      <c r="N173" t="n">
        <v>0</v>
      </c>
      <c r="O173" t="n">
        <v>0</v>
      </c>
      <c r="P173" t="n">
        <v>0</v>
      </c>
      <c r="Q173" t="n">
        <v>0</v>
      </c>
      <c r="R173" s="2" t="inlineStr"/>
    </row>
    <row r="174" ht="15" customHeight="1">
      <c r="A174" t="inlineStr">
        <is>
          <t>A 8575-2021</t>
        </is>
      </c>
      <c r="B174" s="1" t="n">
        <v>44245</v>
      </c>
      <c r="C174" s="1" t="n">
        <v>45989</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40597-2021</t>
        </is>
      </c>
      <c r="B175" s="1" t="n">
        <v>44420</v>
      </c>
      <c r="C175" s="1" t="n">
        <v>45989</v>
      </c>
      <c r="D175" t="inlineStr">
        <is>
          <t>ÖREBRO LÄN</t>
        </is>
      </c>
      <c r="E175" t="inlineStr">
        <is>
          <t>ÖREBRO</t>
        </is>
      </c>
      <c r="G175" t="n">
        <v>2.1</v>
      </c>
      <c r="H175" t="n">
        <v>0</v>
      </c>
      <c r="I175" t="n">
        <v>0</v>
      </c>
      <c r="J175" t="n">
        <v>0</v>
      </c>
      <c r="K175" t="n">
        <v>0</v>
      </c>
      <c r="L175" t="n">
        <v>0</v>
      </c>
      <c r="M175" t="n">
        <v>0</v>
      </c>
      <c r="N175" t="n">
        <v>0</v>
      </c>
      <c r="O175" t="n">
        <v>0</v>
      </c>
      <c r="P175" t="n">
        <v>0</v>
      </c>
      <c r="Q175" t="n">
        <v>0</v>
      </c>
      <c r="R175" s="2" t="inlineStr"/>
    </row>
    <row r="176" ht="15" customHeight="1">
      <c r="A176" t="inlineStr">
        <is>
          <t>A 71266-2021</t>
        </is>
      </c>
      <c r="B176" s="1" t="n">
        <v>44539</v>
      </c>
      <c r="C176" s="1" t="n">
        <v>45989</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71267-2021</t>
        </is>
      </c>
      <c r="B177" s="1" t="n">
        <v>44539</v>
      </c>
      <c r="C177" s="1" t="n">
        <v>45989</v>
      </c>
      <c r="D177" t="inlineStr">
        <is>
          <t>ÖREBRO LÄN</t>
        </is>
      </c>
      <c r="E177" t="inlineStr">
        <is>
          <t>ÖREBRO</t>
        </is>
      </c>
      <c r="G177" t="n">
        <v>1.7</v>
      </c>
      <c r="H177" t="n">
        <v>0</v>
      </c>
      <c r="I177" t="n">
        <v>0</v>
      </c>
      <c r="J177" t="n">
        <v>0</v>
      </c>
      <c r="K177" t="n">
        <v>0</v>
      </c>
      <c r="L177" t="n">
        <v>0</v>
      </c>
      <c r="M177" t="n">
        <v>0</v>
      </c>
      <c r="N177" t="n">
        <v>0</v>
      </c>
      <c r="O177" t="n">
        <v>0</v>
      </c>
      <c r="P177" t="n">
        <v>0</v>
      </c>
      <c r="Q177" t="n">
        <v>0</v>
      </c>
      <c r="R177" s="2" t="inlineStr"/>
    </row>
    <row r="178" ht="15" customHeight="1">
      <c r="A178" t="inlineStr">
        <is>
          <t>A 71280-2021</t>
        </is>
      </c>
      <c r="B178" s="1" t="n">
        <v>44539</v>
      </c>
      <c r="C178" s="1" t="n">
        <v>45989</v>
      </c>
      <c r="D178" t="inlineStr">
        <is>
          <t>ÖREBRO LÄN</t>
        </is>
      </c>
      <c r="E178" t="inlineStr">
        <is>
          <t>ÖREBRO</t>
        </is>
      </c>
      <c r="G178" t="n">
        <v>0.6</v>
      </c>
      <c r="H178" t="n">
        <v>0</v>
      </c>
      <c r="I178" t="n">
        <v>0</v>
      </c>
      <c r="J178" t="n">
        <v>0</v>
      </c>
      <c r="K178" t="n">
        <v>0</v>
      </c>
      <c r="L178" t="n">
        <v>0</v>
      </c>
      <c r="M178" t="n">
        <v>0</v>
      </c>
      <c r="N178" t="n">
        <v>0</v>
      </c>
      <c r="O178" t="n">
        <v>0</v>
      </c>
      <c r="P178" t="n">
        <v>0</v>
      </c>
      <c r="Q178" t="n">
        <v>0</v>
      </c>
      <c r="R178" s="2" t="inlineStr"/>
    </row>
    <row r="179" ht="15" customHeight="1">
      <c r="A179" t="inlineStr">
        <is>
          <t>A 47047-2022</t>
        </is>
      </c>
      <c r="B179" s="1" t="n">
        <v>44852.39063657408</v>
      </c>
      <c r="C179" s="1" t="n">
        <v>45989</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21036-2024</t>
        </is>
      </c>
      <c r="B180" s="1" t="n">
        <v>45439.65954861111</v>
      </c>
      <c r="C180" s="1" t="n">
        <v>45989</v>
      </c>
      <c r="D180" t="inlineStr">
        <is>
          <t>ÖREBRO LÄN</t>
        </is>
      </c>
      <c r="E180" t="inlineStr">
        <is>
          <t>ÖREBRO</t>
        </is>
      </c>
      <c r="F180" t="inlineStr">
        <is>
          <t>Övriga Aktiebolag</t>
        </is>
      </c>
      <c r="G180" t="n">
        <v>5.7</v>
      </c>
      <c r="H180" t="n">
        <v>0</v>
      </c>
      <c r="I180" t="n">
        <v>0</v>
      </c>
      <c r="J180" t="n">
        <v>0</v>
      </c>
      <c r="K180" t="n">
        <v>0</v>
      </c>
      <c r="L180" t="n">
        <v>0</v>
      </c>
      <c r="M180" t="n">
        <v>0</v>
      </c>
      <c r="N180" t="n">
        <v>0</v>
      </c>
      <c r="O180" t="n">
        <v>0</v>
      </c>
      <c r="P180" t="n">
        <v>0</v>
      </c>
      <c r="Q180" t="n">
        <v>0</v>
      </c>
      <c r="R180" s="2" t="inlineStr"/>
    </row>
    <row r="181" ht="15" customHeight="1">
      <c r="A181" t="inlineStr">
        <is>
          <t>A 11516-2024</t>
        </is>
      </c>
      <c r="B181" s="1" t="n">
        <v>45372</v>
      </c>
      <c r="C181" s="1" t="n">
        <v>45989</v>
      </c>
      <c r="D181" t="inlineStr">
        <is>
          <t>ÖREBRO LÄN</t>
        </is>
      </c>
      <c r="E181" t="inlineStr">
        <is>
          <t>ÖREBRO</t>
        </is>
      </c>
      <c r="G181" t="n">
        <v>10.7</v>
      </c>
      <c r="H181" t="n">
        <v>0</v>
      </c>
      <c r="I181" t="n">
        <v>0</v>
      </c>
      <c r="J181" t="n">
        <v>0</v>
      </c>
      <c r="K181" t="n">
        <v>0</v>
      </c>
      <c r="L181" t="n">
        <v>0</v>
      </c>
      <c r="M181" t="n">
        <v>0</v>
      </c>
      <c r="N181" t="n">
        <v>0</v>
      </c>
      <c r="O181" t="n">
        <v>0</v>
      </c>
      <c r="P181" t="n">
        <v>0</v>
      </c>
      <c r="Q181" t="n">
        <v>0</v>
      </c>
      <c r="R181" s="2" t="inlineStr"/>
    </row>
    <row r="182" ht="15" customHeight="1">
      <c r="A182" t="inlineStr">
        <is>
          <t>A 48581-2024</t>
        </is>
      </c>
      <c r="B182" s="1" t="n">
        <v>45593.41642361111</v>
      </c>
      <c r="C182" s="1" t="n">
        <v>45989</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16739-2023</t>
        </is>
      </c>
      <c r="B183" s="1" t="n">
        <v>45030.72627314815</v>
      </c>
      <c r="C183" s="1" t="n">
        <v>45989</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5342-2024</t>
        </is>
      </c>
      <c r="B184" s="1" t="n">
        <v>45331.44145833333</v>
      </c>
      <c r="C184" s="1" t="n">
        <v>45989</v>
      </c>
      <c r="D184" t="inlineStr">
        <is>
          <t>ÖREBRO LÄN</t>
        </is>
      </c>
      <c r="E184" t="inlineStr">
        <is>
          <t>ÖREBRO</t>
        </is>
      </c>
      <c r="G184" t="n">
        <v>2.5</v>
      </c>
      <c r="H184" t="n">
        <v>0</v>
      </c>
      <c r="I184" t="n">
        <v>0</v>
      </c>
      <c r="J184" t="n">
        <v>0</v>
      </c>
      <c r="K184" t="n">
        <v>0</v>
      </c>
      <c r="L184" t="n">
        <v>0</v>
      </c>
      <c r="M184" t="n">
        <v>0</v>
      </c>
      <c r="N184" t="n">
        <v>0</v>
      </c>
      <c r="O184" t="n">
        <v>0</v>
      </c>
      <c r="P184" t="n">
        <v>0</v>
      </c>
      <c r="Q184" t="n">
        <v>0</v>
      </c>
      <c r="R184" s="2" t="inlineStr"/>
    </row>
    <row r="185" ht="15" customHeight="1">
      <c r="A185" t="inlineStr">
        <is>
          <t>A 2771-2023</t>
        </is>
      </c>
      <c r="B185" s="1" t="n">
        <v>44944.64704861111</v>
      </c>
      <c r="C185" s="1" t="n">
        <v>45989</v>
      </c>
      <c r="D185" t="inlineStr">
        <is>
          <t>ÖREBRO LÄN</t>
        </is>
      </c>
      <c r="E185" t="inlineStr">
        <is>
          <t>ÖREBRO</t>
        </is>
      </c>
      <c r="G185" t="n">
        <v>15.4</v>
      </c>
      <c r="H185" t="n">
        <v>0</v>
      </c>
      <c r="I185" t="n">
        <v>0</v>
      </c>
      <c r="J185" t="n">
        <v>0</v>
      </c>
      <c r="K185" t="n">
        <v>0</v>
      </c>
      <c r="L185" t="n">
        <v>0</v>
      </c>
      <c r="M185" t="n">
        <v>0</v>
      </c>
      <c r="N185" t="n">
        <v>0</v>
      </c>
      <c r="O185" t="n">
        <v>0</v>
      </c>
      <c r="P185" t="n">
        <v>0</v>
      </c>
      <c r="Q185" t="n">
        <v>0</v>
      </c>
      <c r="R185" s="2" t="inlineStr"/>
    </row>
    <row r="186" ht="15" customHeight="1">
      <c r="A186" t="inlineStr">
        <is>
          <t>A 12017-2024</t>
        </is>
      </c>
      <c r="B186" s="1" t="n">
        <v>45377</v>
      </c>
      <c r="C186" s="1" t="n">
        <v>45989</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56077-2022</t>
        </is>
      </c>
      <c r="B187" s="1" t="n">
        <v>44889.60872685185</v>
      </c>
      <c r="C187" s="1" t="n">
        <v>45989</v>
      </c>
      <c r="D187" t="inlineStr">
        <is>
          <t>ÖREBRO LÄN</t>
        </is>
      </c>
      <c r="E187" t="inlineStr">
        <is>
          <t>ÖREBRO</t>
        </is>
      </c>
      <c r="F187" t="inlineStr">
        <is>
          <t>Övriga Aktiebolag</t>
        </is>
      </c>
      <c r="G187" t="n">
        <v>2.5</v>
      </c>
      <c r="H187" t="n">
        <v>0</v>
      </c>
      <c r="I187" t="n">
        <v>0</v>
      </c>
      <c r="J187" t="n">
        <v>0</v>
      </c>
      <c r="K187" t="n">
        <v>0</v>
      </c>
      <c r="L187" t="n">
        <v>0</v>
      </c>
      <c r="M187" t="n">
        <v>0</v>
      </c>
      <c r="N187" t="n">
        <v>0</v>
      </c>
      <c r="O187" t="n">
        <v>0</v>
      </c>
      <c r="P187" t="n">
        <v>0</v>
      </c>
      <c r="Q187" t="n">
        <v>0</v>
      </c>
      <c r="R187" s="2" t="inlineStr"/>
    </row>
    <row r="188" ht="15" customHeight="1">
      <c r="A188" t="inlineStr">
        <is>
          <t>A 9609-2023</t>
        </is>
      </c>
      <c r="B188" s="1" t="n">
        <v>44983.93344907407</v>
      </c>
      <c r="C188" s="1" t="n">
        <v>45989</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70707-2021</t>
        </is>
      </c>
      <c r="B189" s="1" t="n">
        <v>44537</v>
      </c>
      <c r="C189" s="1" t="n">
        <v>45989</v>
      </c>
      <c r="D189" t="inlineStr">
        <is>
          <t>ÖREBRO LÄN</t>
        </is>
      </c>
      <c r="E189" t="inlineStr">
        <is>
          <t>ÖREBRO</t>
        </is>
      </c>
      <c r="G189" t="n">
        <v>13.2</v>
      </c>
      <c r="H189" t="n">
        <v>0</v>
      </c>
      <c r="I189" t="n">
        <v>0</v>
      </c>
      <c r="J189" t="n">
        <v>0</v>
      </c>
      <c r="K189" t="n">
        <v>0</v>
      </c>
      <c r="L189" t="n">
        <v>0</v>
      </c>
      <c r="M189" t="n">
        <v>0</v>
      </c>
      <c r="N189" t="n">
        <v>0</v>
      </c>
      <c r="O189" t="n">
        <v>0</v>
      </c>
      <c r="P189" t="n">
        <v>0</v>
      </c>
      <c r="Q189" t="n">
        <v>0</v>
      </c>
      <c r="R189" s="2" t="inlineStr"/>
    </row>
    <row r="190" ht="15" customHeight="1">
      <c r="A190" t="inlineStr">
        <is>
          <t>A 57243-2022</t>
        </is>
      </c>
      <c r="B190" s="1" t="n">
        <v>44895.71835648148</v>
      </c>
      <c r="C190" s="1" t="n">
        <v>45989</v>
      </c>
      <c r="D190" t="inlineStr">
        <is>
          <t>ÖREBRO LÄN</t>
        </is>
      </c>
      <c r="E190" t="inlineStr">
        <is>
          <t>ÖREBRO</t>
        </is>
      </c>
      <c r="G190" t="n">
        <v>6</v>
      </c>
      <c r="H190" t="n">
        <v>0</v>
      </c>
      <c r="I190" t="n">
        <v>0</v>
      </c>
      <c r="J190" t="n">
        <v>0</v>
      </c>
      <c r="K190" t="n">
        <v>0</v>
      </c>
      <c r="L190" t="n">
        <v>0</v>
      </c>
      <c r="M190" t="n">
        <v>0</v>
      </c>
      <c r="N190" t="n">
        <v>0</v>
      </c>
      <c r="O190" t="n">
        <v>0</v>
      </c>
      <c r="P190" t="n">
        <v>0</v>
      </c>
      <c r="Q190" t="n">
        <v>0</v>
      </c>
      <c r="R190" s="2" t="inlineStr"/>
    </row>
    <row r="191" ht="15" customHeight="1">
      <c r="A191" t="inlineStr">
        <is>
          <t>A 58621-2024</t>
        </is>
      </c>
      <c r="B191" s="1" t="n">
        <v>45635.56321759259</v>
      </c>
      <c r="C191" s="1" t="n">
        <v>45989</v>
      </c>
      <c r="D191" t="inlineStr">
        <is>
          <t>ÖREBRO LÄN</t>
        </is>
      </c>
      <c r="E191" t="inlineStr">
        <is>
          <t>ÖREBRO</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58216-2024</t>
        </is>
      </c>
      <c r="B192" s="1" t="n">
        <v>45632</v>
      </c>
      <c r="C192" s="1" t="n">
        <v>45989</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25578-2025</t>
        </is>
      </c>
      <c r="B193" s="1" t="n">
        <v>45803.47803240741</v>
      </c>
      <c r="C193" s="1" t="n">
        <v>45989</v>
      </c>
      <c r="D193" t="inlineStr">
        <is>
          <t>ÖREBRO LÄN</t>
        </is>
      </c>
      <c r="E193" t="inlineStr">
        <is>
          <t>ÖREBRO</t>
        </is>
      </c>
      <c r="G193" t="n">
        <v>0.9</v>
      </c>
      <c r="H193" t="n">
        <v>0</v>
      </c>
      <c r="I193" t="n">
        <v>0</v>
      </c>
      <c r="J193" t="n">
        <v>0</v>
      </c>
      <c r="K193" t="n">
        <v>0</v>
      </c>
      <c r="L193" t="n">
        <v>0</v>
      </c>
      <c r="M193" t="n">
        <v>0</v>
      </c>
      <c r="N193" t="n">
        <v>0</v>
      </c>
      <c r="O193" t="n">
        <v>0</v>
      </c>
      <c r="P193" t="n">
        <v>0</v>
      </c>
      <c r="Q193" t="n">
        <v>0</v>
      </c>
      <c r="R193" s="2" t="inlineStr"/>
    </row>
    <row r="194" ht="15" customHeight="1">
      <c r="A194" t="inlineStr">
        <is>
          <t>A 25519-2025</t>
        </is>
      </c>
      <c r="B194" s="1" t="n">
        <v>45803.38447916666</v>
      </c>
      <c r="C194" s="1" t="n">
        <v>45989</v>
      </c>
      <c r="D194" t="inlineStr">
        <is>
          <t>ÖREBRO LÄN</t>
        </is>
      </c>
      <c r="E194" t="inlineStr">
        <is>
          <t>ÖREBRO</t>
        </is>
      </c>
      <c r="G194" t="n">
        <v>7.4</v>
      </c>
      <c r="H194" t="n">
        <v>0</v>
      </c>
      <c r="I194" t="n">
        <v>0</v>
      </c>
      <c r="J194" t="n">
        <v>0</v>
      </c>
      <c r="K194" t="n">
        <v>0</v>
      </c>
      <c r="L194" t="n">
        <v>0</v>
      </c>
      <c r="M194" t="n">
        <v>0</v>
      </c>
      <c r="N194" t="n">
        <v>0</v>
      </c>
      <c r="O194" t="n">
        <v>0</v>
      </c>
      <c r="P194" t="n">
        <v>0</v>
      </c>
      <c r="Q194" t="n">
        <v>0</v>
      </c>
      <c r="R194" s="2" t="inlineStr"/>
    </row>
    <row r="195" ht="15" customHeight="1">
      <c r="A195" t="inlineStr">
        <is>
          <t>A 41678-2024</t>
        </is>
      </c>
      <c r="B195" s="1" t="n">
        <v>45560</v>
      </c>
      <c r="C195" s="1" t="n">
        <v>45989</v>
      </c>
      <c r="D195" t="inlineStr">
        <is>
          <t>ÖREBRO LÄN</t>
        </is>
      </c>
      <c r="E195" t="inlineStr">
        <is>
          <t>ÖREBRO</t>
        </is>
      </c>
      <c r="G195" t="n">
        <v>11.3</v>
      </c>
      <c r="H195" t="n">
        <v>0</v>
      </c>
      <c r="I195" t="n">
        <v>0</v>
      </c>
      <c r="J195" t="n">
        <v>0</v>
      </c>
      <c r="K195" t="n">
        <v>0</v>
      </c>
      <c r="L195" t="n">
        <v>0</v>
      </c>
      <c r="M195" t="n">
        <v>0</v>
      </c>
      <c r="N195" t="n">
        <v>0</v>
      </c>
      <c r="O195" t="n">
        <v>0</v>
      </c>
      <c r="P195" t="n">
        <v>0</v>
      </c>
      <c r="Q195" t="n">
        <v>0</v>
      </c>
      <c r="R195" s="2" t="inlineStr"/>
    </row>
    <row r="196" ht="15" customHeight="1">
      <c r="A196" t="inlineStr">
        <is>
          <t>A 18550-2025</t>
        </is>
      </c>
      <c r="B196" s="1" t="n">
        <v>45763.43422453704</v>
      </c>
      <c r="C196" s="1" t="n">
        <v>45989</v>
      </c>
      <c r="D196" t="inlineStr">
        <is>
          <t>ÖREBRO LÄN</t>
        </is>
      </c>
      <c r="E196" t="inlineStr">
        <is>
          <t>ÖREBRO</t>
        </is>
      </c>
      <c r="G196" t="n">
        <v>11.5</v>
      </c>
      <c r="H196" t="n">
        <v>0</v>
      </c>
      <c r="I196" t="n">
        <v>0</v>
      </c>
      <c r="J196" t="n">
        <v>0</v>
      </c>
      <c r="K196" t="n">
        <v>0</v>
      </c>
      <c r="L196" t="n">
        <v>0</v>
      </c>
      <c r="M196" t="n">
        <v>0</v>
      </c>
      <c r="N196" t="n">
        <v>0</v>
      </c>
      <c r="O196" t="n">
        <v>0</v>
      </c>
      <c r="P196" t="n">
        <v>0</v>
      </c>
      <c r="Q196" t="n">
        <v>0</v>
      </c>
      <c r="R196" s="2" t="inlineStr"/>
    </row>
    <row r="197" ht="15" customHeight="1">
      <c r="A197" t="inlineStr">
        <is>
          <t>A 37012-2024</t>
        </is>
      </c>
      <c r="B197" s="1" t="n">
        <v>45539</v>
      </c>
      <c r="C197" s="1" t="n">
        <v>45989</v>
      </c>
      <c r="D197" t="inlineStr">
        <is>
          <t>ÖREBRO LÄN</t>
        </is>
      </c>
      <c r="E197" t="inlineStr">
        <is>
          <t>ÖREBRO</t>
        </is>
      </c>
      <c r="G197" t="n">
        <v>4.1</v>
      </c>
      <c r="H197" t="n">
        <v>0</v>
      </c>
      <c r="I197" t="n">
        <v>0</v>
      </c>
      <c r="J197" t="n">
        <v>0</v>
      </c>
      <c r="K197" t="n">
        <v>0</v>
      </c>
      <c r="L197" t="n">
        <v>0</v>
      </c>
      <c r="M197" t="n">
        <v>0</v>
      </c>
      <c r="N197" t="n">
        <v>0</v>
      </c>
      <c r="O197" t="n">
        <v>0</v>
      </c>
      <c r="P197" t="n">
        <v>0</v>
      </c>
      <c r="Q197" t="n">
        <v>0</v>
      </c>
      <c r="R197" s="2" t="inlineStr"/>
    </row>
    <row r="198" ht="15" customHeight="1">
      <c r="A198" t="inlineStr">
        <is>
          <t>A 37020-2024</t>
        </is>
      </c>
      <c r="B198" s="1" t="n">
        <v>45539.38059027777</v>
      </c>
      <c r="C198" s="1" t="n">
        <v>45989</v>
      </c>
      <c r="D198" t="inlineStr">
        <is>
          <t>ÖREBRO LÄN</t>
        </is>
      </c>
      <c r="E198" t="inlineStr">
        <is>
          <t>ÖREBRO</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55353-2024</t>
        </is>
      </c>
      <c r="B199" s="1" t="n">
        <v>45621.79526620371</v>
      </c>
      <c r="C199" s="1" t="n">
        <v>45989</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39003-2025</t>
        </is>
      </c>
      <c r="B200" s="1" t="n">
        <v>45888.34467592592</v>
      </c>
      <c r="C200" s="1" t="n">
        <v>45989</v>
      </c>
      <c r="D200" t="inlineStr">
        <is>
          <t>ÖREBRO LÄN</t>
        </is>
      </c>
      <c r="E200" t="inlineStr">
        <is>
          <t>ÖREBRO</t>
        </is>
      </c>
      <c r="G200" t="n">
        <v>3.7</v>
      </c>
      <c r="H200" t="n">
        <v>0</v>
      </c>
      <c r="I200" t="n">
        <v>0</v>
      </c>
      <c r="J200" t="n">
        <v>0</v>
      </c>
      <c r="K200" t="n">
        <v>0</v>
      </c>
      <c r="L200" t="n">
        <v>0</v>
      </c>
      <c r="M200" t="n">
        <v>0</v>
      </c>
      <c r="N200" t="n">
        <v>0</v>
      </c>
      <c r="O200" t="n">
        <v>0</v>
      </c>
      <c r="P200" t="n">
        <v>0</v>
      </c>
      <c r="Q200" t="n">
        <v>0</v>
      </c>
      <c r="R200" s="2" t="inlineStr"/>
    </row>
    <row r="201" ht="15" customHeight="1">
      <c r="A201" t="inlineStr">
        <is>
          <t>A 15422-2022</t>
        </is>
      </c>
      <c r="B201" s="1" t="n">
        <v>44659.63753472222</v>
      </c>
      <c r="C201" s="1" t="n">
        <v>45989</v>
      </c>
      <c r="D201" t="inlineStr">
        <is>
          <t>ÖREBRO LÄN</t>
        </is>
      </c>
      <c r="E201" t="inlineStr">
        <is>
          <t>ÖREBRO</t>
        </is>
      </c>
      <c r="G201" t="n">
        <v>2</v>
      </c>
      <c r="H201" t="n">
        <v>0</v>
      </c>
      <c r="I201" t="n">
        <v>0</v>
      </c>
      <c r="J201" t="n">
        <v>0</v>
      </c>
      <c r="K201" t="n">
        <v>0</v>
      </c>
      <c r="L201" t="n">
        <v>0</v>
      </c>
      <c r="M201" t="n">
        <v>0</v>
      </c>
      <c r="N201" t="n">
        <v>0</v>
      </c>
      <c r="O201" t="n">
        <v>0</v>
      </c>
      <c r="P201" t="n">
        <v>0</v>
      </c>
      <c r="Q201" t="n">
        <v>0</v>
      </c>
      <c r="R201" s="2" t="inlineStr"/>
    </row>
    <row r="202" ht="15" customHeight="1">
      <c r="A202" t="inlineStr">
        <is>
          <t>A 13418-2024</t>
        </is>
      </c>
      <c r="B202" s="1" t="n">
        <v>45387.46482638889</v>
      </c>
      <c r="C202" s="1" t="n">
        <v>45989</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46323-2024</t>
        </is>
      </c>
      <c r="B203" s="1" t="n">
        <v>45581.84538194445</v>
      </c>
      <c r="C203" s="1" t="n">
        <v>45989</v>
      </c>
      <c r="D203" t="inlineStr">
        <is>
          <t>ÖREBRO LÄN</t>
        </is>
      </c>
      <c r="E203" t="inlineStr">
        <is>
          <t>ÖREBRO</t>
        </is>
      </c>
      <c r="F203" t="inlineStr">
        <is>
          <t>Övriga Aktiebolag</t>
        </is>
      </c>
      <c r="G203" t="n">
        <v>1.4</v>
      </c>
      <c r="H203" t="n">
        <v>0</v>
      </c>
      <c r="I203" t="n">
        <v>0</v>
      </c>
      <c r="J203" t="n">
        <v>0</v>
      </c>
      <c r="K203" t="n">
        <v>0</v>
      </c>
      <c r="L203" t="n">
        <v>0</v>
      </c>
      <c r="M203" t="n">
        <v>0</v>
      </c>
      <c r="N203" t="n">
        <v>0</v>
      </c>
      <c r="O203" t="n">
        <v>0</v>
      </c>
      <c r="P203" t="n">
        <v>0</v>
      </c>
      <c r="Q203" t="n">
        <v>0</v>
      </c>
      <c r="R203" s="2" t="inlineStr"/>
    </row>
    <row r="204" ht="15" customHeight="1">
      <c r="A204" t="inlineStr">
        <is>
          <t>A 541-2025</t>
        </is>
      </c>
      <c r="B204" s="1" t="n">
        <v>45664.52034722222</v>
      </c>
      <c r="C204" s="1" t="n">
        <v>45989</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39446-2025</t>
        </is>
      </c>
      <c r="B205" s="1" t="n">
        <v>45889.70388888889</v>
      </c>
      <c r="C205" s="1" t="n">
        <v>45989</v>
      </c>
      <c r="D205" t="inlineStr">
        <is>
          <t>ÖREBRO LÄN</t>
        </is>
      </c>
      <c r="E205" t="inlineStr">
        <is>
          <t>ÖREBRO</t>
        </is>
      </c>
      <c r="F205" t="inlineStr">
        <is>
          <t>Kyrkan</t>
        </is>
      </c>
      <c r="G205" t="n">
        <v>3.2</v>
      </c>
      <c r="H205" t="n">
        <v>0</v>
      </c>
      <c r="I205" t="n">
        <v>0</v>
      </c>
      <c r="J205" t="n">
        <v>0</v>
      </c>
      <c r="K205" t="n">
        <v>0</v>
      </c>
      <c r="L205" t="n">
        <v>0</v>
      </c>
      <c r="M205" t="n">
        <v>0</v>
      </c>
      <c r="N205" t="n">
        <v>0</v>
      </c>
      <c r="O205" t="n">
        <v>0</v>
      </c>
      <c r="P205" t="n">
        <v>0</v>
      </c>
      <c r="Q205" t="n">
        <v>0</v>
      </c>
      <c r="R205" s="2" t="inlineStr"/>
    </row>
    <row r="206" ht="15" customHeight="1">
      <c r="A206" t="inlineStr">
        <is>
          <t>A 39479-2025</t>
        </is>
      </c>
      <c r="B206" s="1" t="n">
        <v>45890.34752314815</v>
      </c>
      <c r="C206" s="1" t="n">
        <v>45989</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19553-2023</t>
        </is>
      </c>
      <c r="B207" s="1" t="n">
        <v>45050</v>
      </c>
      <c r="C207" s="1" t="n">
        <v>45989</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37025-2024</t>
        </is>
      </c>
      <c r="B208" s="1" t="n">
        <v>45539.3840162037</v>
      </c>
      <c r="C208" s="1" t="n">
        <v>45989</v>
      </c>
      <c r="D208" t="inlineStr">
        <is>
          <t>ÖREBRO LÄN</t>
        </is>
      </c>
      <c r="E208" t="inlineStr">
        <is>
          <t>ÖREBRO</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37027-2024</t>
        </is>
      </c>
      <c r="B209" s="1" t="n">
        <v>45539.38487268519</v>
      </c>
      <c r="C209" s="1" t="n">
        <v>45989</v>
      </c>
      <c r="D209" t="inlineStr">
        <is>
          <t>ÖREBRO LÄN</t>
        </is>
      </c>
      <c r="E209" t="inlineStr">
        <is>
          <t>ÖREBRO</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23594-2023</t>
        </is>
      </c>
      <c r="B210" s="1" t="n">
        <v>45077</v>
      </c>
      <c r="C210" s="1" t="n">
        <v>45989</v>
      </c>
      <c r="D210" t="inlineStr">
        <is>
          <t>ÖREBRO LÄN</t>
        </is>
      </c>
      <c r="E210" t="inlineStr">
        <is>
          <t>ÖREBRO</t>
        </is>
      </c>
      <c r="G210" t="n">
        <v>9.9</v>
      </c>
      <c r="H210" t="n">
        <v>0</v>
      </c>
      <c r="I210" t="n">
        <v>0</v>
      </c>
      <c r="J210" t="n">
        <v>0</v>
      </c>
      <c r="K210" t="n">
        <v>0</v>
      </c>
      <c r="L210" t="n">
        <v>0</v>
      </c>
      <c r="M210" t="n">
        <v>0</v>
      </c>
      <c r="N210" t="n">
        <v>0</v>
      </c>
      <c r="O210" t="n">
        <v>0</v>
      </c>
      <c r="P210" t="n">
        <v>0</v>
      </c>
      <c r="Q210" t="n">
        <v>0</v>
      </c>
      <c r="R210" s="2" t="inlineStr"/>
    </row>
    <row r="211" ht="15" customHeight="1">
      <c r="A211" t="inlineStr">
        <is>
          <t>A 8022-2022</t>
        </is>
      </c>
      <c r="B211" s="1" t="n">
        <v>44609</v>
      </c>
      <c r="C211" s="1" t="n">
        <v>45989</v>
      </c>
      <c r="D211" t="inlineStr">
        <is>
          <t>ÖREBRO LÄN</t>
        </is>
      </c>
      <c r="E211" t="inlineStr">
        <is>
          <t>ÖREBRO</t>
        </is>
      </c>
      <c r="G211" t="n">
        <v>5.6</v>
      </c>
      <c r="H211" t="n">
        <v>0</v>
      </c>
      <c r="I211" t="n">
        <v>0</v>
      </c>
      <c r="J211" t="n">
        <v>0</v>
      </c>
      <c r="K211" t="n">
        <v>0</v>
      </c>
      <c r="L211" t="n">
        <v>0</v>
      </c>
      <c r="M211" t="n">
        <v>0</v>
      </c>
      <c r="N211" t="n">
        <v>0</v>
      </c>
      <c r="O211" t="n">
        <v>0</v>
      </c>
      <c r="P211" t="n">
        <v>0</v>
      </c>
      <c r="Q211" t="n">
        <v>0</v>
      </c>
      <c r="R211" s="2" t="inlineStr"/>
    </row>
    <row r="212" ht="15" customHeight="1">
      <c r="A212" t="inlineStr">
        <is>
          <t>A 47193-2023</t>
        </is>
      </c>
      <c r="B212" s="1" t="n">
        <v>45202.3074537037</v>
      </c>
      <c r="C212" s="1" t="n">
        <v>45989</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48644-2024</t>
        </is>
      </c>
      <c r="B213" s="1" t="n">
        <v>45593.47466435185</v>
      </c>
      <c r="C213" s="1" t="n">
        <v>45989</v>
      </c>
      <c r="D213" t="inlineStr">
        <is>
          <t>ÖREBRO LÄN</t>
        </is>
      </c>
      <c r="E213" t="inlineStr">
        <is>
          <t>ÖREBRO</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58598-2022</t>
        </is>
      </c>
      <c r="B214" s="1" t="n">
        <v>44902</v>
      </c>
      <c r="C214" s="1" t="n">
        <v>45989</v>
      </c>
      <c r="D214" t="inlineStr">
        <is>
          <t>ÖREBRO LÄN</t>
        </is>
      </c>
      <c r="E214" t="inlineStr">
        <is>
          <t>ÖREBRO</t>
        </is>
      </c>
      <c r="G214" t="n">
        <v>0.4</v>
      </c>
      <c r="H214" t="n">
        <v>0</v>
      </c>
      <c r="I214" t="n">
        <v>0</v>
      </c>
      <c r="J214" t="n">
        <v>0</v>
      </c>
      <c r="K214" t="n">
        <v>0</v>
      </c>
      <c r="L214" t="n">
        <v>0</v>
      </c>
      <c r="M214" t="n">
        <v>0</v>
      </c>
      <c r="N214" t="n">
        <v>0</v>
      </c>
      <c r="O214" t="n">
        <v>0</v>
      </c>
      <c r="P214" t="n">
        <v>0</v>
      </c>
      <c r="Q214" t="n">
        <v>0</v>
      </c>
      <c r="R214" s="2" t="inlineStr"/>
    </row>
    <row r="215" ht="15" customHeight="1">
      <c r="A215" t="inlineStr">
        <is>
          <t>A 71206-2021</t>
        </is>
      </c>
      <c r="B215" s="1" t="n">
        <v>44539</v>
      </c>
      <c r="C215" s="1" t="n">
        <v>45989</v>
      </c>
      <c r="D215" t="inlineStr">
        <is>
          <t>ÖREBRO LÄN</t>
        </is>
      </c>
      <c r="E215" t="inlineStr">
        <is>
          <t>ÖREBRO</t>
        </is>
      </c>
      <c r="G215" t="n">
        <v>2.5</v>
      </c>
      <c r="H215" t="n">
        <v>0</v>
      </c>
      <c r="I215" t="n">
        <v>0</v>
      </c>
      <c r="J215" t="n">
        <v>0</v>
      </c>
      <c r="K215" t="n">
        <v>0</v>
      </c>
      <c r="L215" t="n">
        <v>0</v>
      </c>
      <c r="M215" t="n">
        <v>0</v>
      </c>
      <c r="N215" t="n">
        <v>0</v>
      </c>
      <c r="O215" t="n">
        <v>0</v>
      </c>
      <c r="P215" t="n">
        <v>0</v>
      </c>
      <c r="Q215" t="n">
        <v>0</v>
      </c>
      <c r="R215" s="2" t="inlineStr"/>
    </row>
    <row r="216" ht="15" customHeight="1">
      <c r="A216" t="inlineStr">
        <is>
          <t>A 27220-2025</t>
        </is>
      </c>
      <c r="B216" s="1" t="n">
        <v>45812.42293981482</v>
      </c>
      <c r="C216" s="1" t="n">
        <v>45989</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16739-2022</t>
        </is>
      </c>
      <c r="B217" s="1" t="n">
        <v>44673</v>
      </c>
      <c r="C217" s="1" t="n">
        <v>45989</v>
      </c>
      <c r="D217" t="inlineStr">
        <is>
          <t>ÖREBRO LÄN</t>
        </is>
      </c>
      <c r="E217" t="inlineStr">
        <is>
          <t>ÖREBRO</t>
        </is>
      </c>
      <c r="G217" t="n">
        <v>4.7</v>
      </c>
      <c r="H217" t="n">
        <v>0</v>
      </c>
      <c r="I217" t="n">
        <v>0</v>
      </c>
      <c r="J217" t="n">
        <v>0</v>
      </c>
      <c r="K217" t="n">
        <v>0</v>
      </c>
      <c r="L217" t="n">
        <v>0</v>
      </c>
      <c r="M217" t="n">
        <v>0</v>
      </c>
      <c r="N217" t="n">
        <v>0</v>
      </c>
      <c r="O217" t="n">
        <v>0</v>
      </c>
      <c r="P217" t="n">
        <v>0</v>
      </c>
      <c r="Q217" t="n">
        <v>0</v>
      </c>
      <c r="R217" s="2" t="inlineStr"/>
    </row>
    <row r="218" ht="15" customHeight="1">
      <c r="A218" t="inlineStr">
        <is>
          <t>A 40330-2025</t>
        </is>
      </c>
      <c r="B218" s="1" t="n">
        <v>45895.4531712963</v>
      </c>
      <c r="C218" s="1" t="n">
        <v>45989</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27180-2025</t>
        </is>
      </c>
      <c r="B219" s="1" t="n">
        <v>45812.35736111111</v>
      </c>
      <c r="C219" s="1" t="n">
        <v>45989</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27215-2025</t>
        </is>
      </c>
      <c r="B220" s="1" t="n">
        <v>45812.41869212963</v>
      </c>
      <c r="C220" s="1" t="n">
        <v>45989</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27225-2025</t>
        </is>
      </c>
      <c r="B221" s="1" t="n">
        <v>45812.42856481481</v>
      </c>
      <c r="C221" s="1" t="n">
        <v>45989</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40332-2025</t>
        </is>
      </c>
      <c r="B222" s="1" t="n">
        <v>45895.46060185185</v>
      </c>
      <c r="C222" s="1" t="n">
        <v>45989</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9379-2024</t>
        </is>
      </c>
      <c r="B223" s="1" t="n">
        <v>45359.37298611111</v>
      </c>
      <c r="C223" s="1" t="n">
        <v>45989</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5398-2022</t>
        </is>
      </c>
      <c r="B224" s="1" t="n">
        <v>44595.3353587963</v>
      </c>
      <c r="C224" s="1" t="n">
        <v>45989</v>
      </c>
      <c r="D224" t="inlineStr">
        <is>
          <t>ÖREBRO LÄN</t>
        </is>
      </c>
      <c r="E224" t="inlineStr">
        <is>
          <t>ÖREBRO</t>
        </is>
      </c>
      <c r="G224" t="n">
        <v>2.1</v>
      </c>
      <c r="H224" t="n">
        <v>0</v>
      </c>
      <c r="I224" t="n">
        <v>0</v>
      </c>
      <c r="J224" t="n">
        <v>0</v>
      </c>
      <c r="K224" t="n">
        <v>0</v>
      </c>
      <c r="L224" t="n">
        <v>0</v>
      </c>
      <c r="M224" t="n">
        <v>0</v>
      </c>
      <c r="N224" t="n">
        <v>0</v>
      </c>
      <c r="O224" t="n">
        <v>0</v>
      </c>
      <c r="P224" t="n">
        <v>0</v>
      </c>
      <c r="Q224" t="n">
        <v>0</v>
      </c>
      <c r="R224" s="2" t="inlineStr"/>
    </row>
    <row r="225" ht="15" customHeight="1">
      <c r="A225" t="inlineStr">
        <is>
          <t>A 28120-2025</t>
        </is>
      </c>
      <c r="B225" s="1" t="n">
        <v>45818.30459490741</v>
      </c>
      <c r="C225" s="1" t="n">
        <v>45989</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41995-2024</t>
        </is>
      </c>
      <c r="B226" s="1" t="n">
        <v>45561.6475462963</v>
      </c>
      <c r="C226" s="1" t="n">
        <v>45989</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16737-2023</t>
        </is>
      </c>
      <c r="B227" s="1" t="n">
        <v>45030.72472222222</v>
      </c>
      <c r="C227" s="1" t="n">
        <v>45989</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15866-2022</t>
        </is>
      </c>
      <c r="B228" s="1" t="n">
        <v>44664</v>
      </c>
      <c r="C228" s="1" t="n">
        <v>45989</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2318-2023</t>
        </is>
      </c>
      <c r="B229" s="1" t="n">
        <v>44942</v>
      </c>
      <c r="C229" s="1" t="n">
        <v>45989</v>
      </c>
      <c r="D229" t="inlineStr">
        <is>
          <t>ÖREBRO LÄN</t>
        </is>
      </c>
      <c r="E229" t="inlineStr">
        <is>
          <t>ÖREBRO</t>
        </is>
      </c>
      <c r="G229" t="n">
        <v>1.9</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45989</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41669-2025</t>
        </is>
      </c>
      <c r="B231" s="1" t="n">
        <v>45902.36149305556</v>
      </c>
      <c r="C231" s="1" t="n">
        <v>45989</v>
      </c>
      <c r="D231" t="inlineStr">
        <is>
          <t>ÖREBRO LÄN</t>
        </is>
      </c>
      <c r="E231" t="inlineStr">
        <is>
          <t>ÖREBRO</t>
        </is>
      </c>
      <c r="G231" t="n">
        <v>2.8</v>
      </c>
      <c r="H231" t="n">
        <v>0</v>
      </c>
      <c r="I231" t="n">
        <v>0</v>
      </c>
      <c r="J231" t="n">
        <v>0</v>
      </c>
      <c r="K231" t="n">
        <v>0</v>
      </c>
      <c r="L231" t="n">
        <v>0</v>
      </c>
      <c r="M231" t="n">
        <v>0</v>
      </c>
      <c r="N231" t="n">
        <v>0</v>
      </c>
      <c r="O231" t="n">
        <v>0</v>
      </c>
      <c r="P231" t="n">
        <v>0</v>
      </c>
      <c r="Q231" t="n">
        <v>0</v>
      </c>
      <c r="R231" s="2" t="inlineStr"/>
    </row>
    <row r="232" ht="15" customHeight="1">
      <c r="A232" t="inlineStr">
        <is>
          <t>A 41412-2025</t>
        </is>
      </c>
      <c r="B232" s="1" t="n">
        <v>45901.3549537037</v>
      </c>
      <c r="C232" s="1" t="n">
        <v>45989</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28920-2025</t>
        </is>
      </c>
      <c r="B233" s="1" t="n">
        <v>45820.66532407407</v>
      </c>
      <c r="C233" s="1" t="n">
        <v>45989</v>
      </c>
      <c r="D233" t="inlineStr">
        <is>
          <t>ÖREBRO LÄN</t>
        </is>
      </c>
      <c r="E233" t="inlineStr">
        <is>
          <t>ÖREBRO</t>
        </is>
      </c>
      <c r="G233" t="n">
        <v>3</v>
      </c>
      <c r="H233" t="n">
        <v>0</v>
      </c>
      <c r="I233" t="n">
        <v>0</v>
      </c>
      <c r="J233" t="n">
        <v>0</v>
      </c>
      <c r="K233" t="n">
        <v>0</v>
      </c>
      <c r="L233" t="n">
        <v>0</v>
      </c>
      <c r="M233" t="n">
        <v>0</v>
      </c>
      <c r="N233" t="n">
        <v>0</v>
      </c>
      <c r="O233" t="n">
        <v>0</v>
      </c>
      <c r="P233" t="n">
        <v>0</v>
      </c>
      <c r="Q233" t="n">
        <v>0</v>
      </c>
      <c r="R233" s="2" t="inlineStr"/>
    </row>
    <row r="234" ht="15" customHeight="1">
      <c r="A234" t="inlineStr">
        <is>
          <t>A 5764-2022</t>
        </is>
      </c>
      <c r="B234" s="1" t="n">
        <v>44596</v>
      </c>
      <c r="C234" s="1" t="n">
        <v>45989</v>
      </c>
      <c r="D234" t="inlineStr">
        <is>
          <t>ÖREBRO LÄN</t>
        </is>
      </c>
      <c r="E234" t="inlineStr">
        <is>
          <t>ÖREBRO</t>
        </is>
      </c>
      <c r="G234" t="n">
        <v>3.5</v>
      </c>
      <c r="H234" t="n">
        <v>0</v>
      </c>
      <c r="I234" t="n">
        <v>0</v>
      </c>
      <c r="J234" t="n">
        <v>0</v>
      </c>
      <c r="K234" t="n">
        <v>0</v>
      </c>
      <c r="L234" t="n">
        <v>0</v>
      </c>
      <c r="M234" t="n">
        <v>0</v>
      </c>
      <c r="N234" t="n">
        <v>0</v>
      </c>
      <c r="O234" t="n">
        <v>0</v>
      </c>
      <c r="P234" t="n">
        <v>0</v>
      </c>
      <c r="Q234" t="n">
        <v>0</v>
      </c>
      <c r="R234" s="2" t="inlineStr"/>
    </row>
    <row r="235" ht="15" customHeight="1">
      <c r="A235" t="inlineStr">
        <is>
          <t>A 45027-2024</t>
        </is>
      </c>
      <c r="B235" s="1" t="n">
        <v>45575</v>
      </c>
      <c r="C235" s="1" t="n">
        <v>45989</v>
      </c>
      <c r="D235" t="inlineStr">
        <is>
          <t>ÖREBRO LÄN</t>
        </is>
      </c>
      <c r="E235" t="inlineStr">
        <is>
          <t>ÖREBRO</t>
        </is>
      </c>
      <c r="G235" t="n">
        <v>6.3</v>
      </c>
      <c r="H235" t="n">
        <v>0</v>
      </c>
      <c r="I235" t="n">
        <v>0</v>
      </c>
      <c r="J235" t="n">
        <v>0</v>
      </c>
      <c r="K235" t="n">
        <v>0</v>
      </c>
      <c r="L235" t="n">
        <v>0</v>
      </c>
      <c r="M235" t="n">
        <v>0</v>
      </c>
      <c r="N235" t="n">
        <v>0</v>
      </c>
      <c r="O235" t="n">
        <v>0</v>
      </c>
      <c r="P235" t="n">
        <v>0</v>
      </c>
      <c r="Q235" t="n">
        <v>0</v>
      </c>
      <c r="R235" s="2" t="inlineStr"/>
    </row>
    <row r="236" ht="15" customHeight="1">
      <c r="A236" t="inlineStr">
        <is>
          <t>A 40051-2024</t>
        </is>
      </c>
      <c r="B236" s="1" t="n">
        <v>45553</v>
      </c>
      <c r="C236" s="1" t="n">
        <v>45989</v>
      </c>
      <c r="D236" t="inlineStr">
        <is>
          <t>ÖREBRO LÄN</t>
        </is>
      </c>
      <c r="E236" t="inlineStr">
        <is>
          <t>ÖREBRO</t>
        </is>
      </c>
      <c r="G236" t="n">
        <v>3.5</v>
      </c>
      <c r="H236" t="n">
        <v>0</v>
      </c>
      <c r="I236" t="n">
        <v>0</v>
      </c>
      <c r="J236" t="n">
        <v>0</v>
      </c>
      <c r="K236" t="n">
        <v>0</v>
      </c>
      <c r="L236" t="n">
        <v>0</v>
      </c>
      <c r="M236" t="n">
        <v>0</v>
      </c>
      <c r="N236" t="n">
        <v>0</v>
      </c>
      <c r="O236" t="n">
        <v>0</v>
      </c>
      <c r="P236" t="n">
        <v>0</v>
      </c>
      <c r="Q236" t="n">
        <v>0</v>
      </c>
      <c r="R236" s="2" t="inlineStr"/>
    </row>
    <row r="237" ht="15" customHeight="1">
      <c r="A237" t="inlineStr">
        <is>
          <t>A 29286-2025</t>
        </is>
      </c>
      <c r="B237" s="1" t="n">
        <v>45824.43502314815</v>
      </c>
      <c r="C237" s="1" t="n">
        <v>45989</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41543-2024</t>
        </is>
      </c>
      <c r="B238" s="1" t="n">
        <v>45560</v>
      </c>
      <c r="C238" s="1" t="n">
        <v>45989</v>
      </c>
      <c r="D238" t="inlineStr">
        <is>
          <t>ÖREBRO LÄN</t>
        </is>
      </c>
      <c r="E238" t="inlineStr">
        <is>
          <t>ÖREBRO</t>
        </is>
      </c>
      <c r="G238" t="n">
        <v>2.8</v>
      </c>
      <c r="H238" t="n">
        <v>0</v>
      </c>
      <c r="I238" t="n">
        <v>0</v>
      </c>
      <c r="J238" t="n">
        <v>0</v>
      </c>
      <c r="K238" t="n">
        <v>0</v>
      </c>
      <c r="L238" t="n">
        <v>0</v>
      </c>
      <c r="M238" t="n">
        <v>0</v>
      </c>
      <c r="N238" t="n">
        <v>0</v>
      </c>
      <c r="O238" t="n">
        <v>0</v>
      </c>
      <c r="P238" t="n">
        <v>0</v>
      </c>
      <c r="Q238" t="n">
        <v>0</v>
      </c>
      <c r="R238" s="2" t="inlineStr"/>
    </row>
    <row r="239" ht="15" customHeight="1">
      <c r="A239" t="inlineStr">
        <is>
          <t>A 10799-2024</t>
        </is>
      </c>
      <c r="B239" s="1" t="n">
        <v>45369</v>
      </c>
      <c r="C239" s="1" t="n">
        <v>45989</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29339-2025</t>
        </is>
      </c>
      <c r="B240" s="1" t="n">
        <v>45824.5044212963</v>
      </c>
      <c r="C240" s="1" t="n">
        <v>45989</v>
      </c>
      <c r="D240" t="inlineStr">
        <is>
          <t>ÖREBRO LÄN</t>
        </is>
      </c>
      <c r="E240" t="inlineStr">
        <is>
          <t>ÖREBRO</t>
        </is>
      </c>
      <c r="G240" t="n">
        <v>4.3</v>
      </c>
      <c r="H240" t="n">
        <v>0</v>
      </c>
      <c r="I240" t="n">
        <v>0</v>
      </c>
      <c r="J240" t="n">
        <v>0</v>
      </c>
      <c r="K240" t="n">
        <v>0</v>
      </c>
      <c r="L240" t="n">
        <v>0</v>
      </c>
      <c r="M240" t="n">
        <v>0</v>
      </c>
      <c r="N240" t="n">
        <v>0</v>
      </c>
      <c r="O240" t="n">
        <v>0</v>
      </c>
      <c r="P240" t="n">
        <v>0</v>
      </c>
      <c r="Q240" t="n">
        <v>0</v>
      </c>
      <c r="R240" s="2" t="inlineStr"/>
    </row>
    <row r="241" ht="15" customHeight="1">
      <c r="A241" t="inlineStr">
        <is>
          <t>A 16694-2025</t>
        </is>
      </c>
      <c r="B241" s="1" t="n">
        <v>45754.46480324074</v>
      </c>
      <c r="C241" s="1" t="n">
        <v>45989</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60059-2023</t>
        </is>
      </c>
      <c r="B242" s="1" t="n">
        <v>45258.38157407408</v>
      </c>
      <c r="C242" s="1" t="n">
        <v>45989</v>
      </c>
      <c r="D242" t="inlineStr">
        <is>
          <t>ÖREBRO LÄN</t>
        </is>
      </c>
      <c r="E242" t="inlineStr">
        <is>
          <t>ÖREBRO</t>
        </is>
      </c>
      <c r="G242" t="n">
        <v>4</v>
      </c>
      <c r="H242" t="n">
        <v>0</v>
      </c>
      <c r="I242" t="n">
        <v>0</v>
      </c>
      <c r="J242" t="n">
        <v>0</v>
      </c>
      <c r="K242" t="n">
        <v>0</v>
      </c>
      <c r="L242" t="n">
        <v>0</v>
      </c>
      <c r="M242" t="n">
        <v>0</v>
      </c>
      <c r="N242" t="n">
        <v>0</v>
      </c>
      <c r="O242" t="n">
        <v>0</v>
      </c>
      <c r="P242" t="n">
        <v>0</v>
      </c>
      <c r="Q242" t="n">
        <v>0</v>
      </c>
      <c r="R242" s="2" t="inlineStr"/>
    </row>
    <row r="243" ht="15" customHeight="1">
      <c r="A243" t="inlineStr">
        <is>
          <t>A 51248-2025</t>
        </is>
      </c>
      <c r="B243" s="1" t="n">
        <v>45948.450625</v>
      </c>
      <c r="C243" s="1" t="n">
        <v>45989</v>
      </c>
      <c r="D243" t="inlineStr">
        <is>
          <t>ÖREBRO LÄN</t>
        </is>
      </c>
      <c r="E243" t="inlineStr">
        <is>
          <t>ÖREBRO</t>
        </is>
      </c>
      <c r="G243" t="n">
        <v>4.4</v>
      </c>
      <c r="H243" t="n">
        <v>0</v>
      </c>
      <c r="I243" t="n">
        <v>0</v>
      </c>
      <c r="J243" t="n">
        <v>0</v>
      </c>
      <c r="K243" t="n">
        <v>0</v>
      </c>
      <c r="L243" t="n">
        <v>0</v>
      </c>
      <c r="M243" t="n">
        <v>0</v>
      </c>
      <c r="N243" t="n">
        <v>0</v>
      </c>
      <c r="O243" t="n">
        <v>0</v>
      </c>
      <c r="P243" t="n">
        <v>0</v>
      </c>
      <c r="Q243" t="n">
        <v>0</v>
      </c>
      <c r="R243" s="2" t="inlineStr"/>
    </row>
    <row r="244" ht="15" customHeight="1">
      <c r="A244" t="inlineStr">
        <is>
          <t>A 49465-2024</t>
        </is>
      </c>
      <c r="B244" s="1" t="n">
        <v>45596</v>
      </c>
      <c r="C244" s="1" t="n">
        <v>45989</v>
      </c>
      <c r="D244" t="inlineStr">
        <is>
          <t>ÖREBRO LÄN</t>
        </is>
      </c>
      <c r="E244" t="inlineStr">
        <is>
          <t>ÖREBRO</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26858-2024</t>
        </is>
      </c>
      <c r="B245" s="1" t="n">
        <v>45470</v>
      </c>
      <c r="C245" s="1" t="n">
        <v>45989</v>
      </c>
      <c r="D245" t="inlineStr">
        <is>
          <t>ÖREBRO LÄN</t>
        </is>
      </c>
      <c r="E245" t="inlineStr">
        <is>
          <t>ÖREBRO</t>
        </is>
      </c>
      <c r="G245" t="n">
        <v>2.3</v>
      </c>
      <c r="H245" t="n">
        <v>0</v>
      </c>
      <c r="I245" t="n">
        <v>0</v>
      </c>
      <c r="J245" t="n">
        <v>0</v>
      </c>
      <c r="K245" t="n">
        <v>0</v>
      </c>
      <c r="L245" t="n">
        <v>0</v>
      </c>
      <c r="M245" t="n">
        <v>0</v>
      </c>
      <c r="N245" t="n">
        <v>0</v>
      </c>
      <c r="O245" t="n">
        <v>0</v>
      </c>
      <c r="P245" t="n">
        <v>0</v>
      </c>
      <c r="Q245" t="n">
        <v>0</v>
      </c>
      <c r="R245" s="2" t="inlineStr"/>
    </row>
    <row r="246" ht="15" customHeight="1">
      <c r="A246" t="inlineStr">
        <is>
          <t>A 51249-2025</t>
        </is>
      </c>
      <c r="B246" s="1" t="n">
        <v>45948.45704861111</v>
      </c>
      <c r="C246" s="1" t="n">
        <v>45989</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29701-2025</t>
        </is>
      </c>
      <c r="B247" s="1" t="n">
        <v>45825.55261574074</v>
      </c>
      <c r="C247" s="1" t="n">
        <v>45989</v>
      </c>
      <c r="D247" t="inlineStr">
        <is>
          <t>ÖREBRO LÄN</t>
        </is>
      </c>
      <c r="E247" t="inlineStr">
        <is>
          <t>ÖREBRO</t>
        </is>
      </c>
      <c r="G247" t="n">
        <v>5.8</v>
      </c>
      <c r="H247" t="n">
        <v>0</v>
      </c>
      <c r="I247" t="n">
        <v>0</v>
      </c>
      <c r="J247" t="n">
        <v>0</v>
      </c>
      <c r="K247" t="n">
        <v>0</v>
      </c>
      <c r="L247" t="n">
        <v>0</v>
      </c>
      <c r="M247" t="n">
        <v>0</v>
      </c>
      <c r="N247" t="n">
        <v>0</v>
      </c>
      <c r="O247" t="n">
        <v>0</v>
      </c>
      <c r="P247" t="n">
        <v>0</v>
      </c>
      <c r="Q247" t="n">
        <v>0</v>
      </c>
      <c r="R247" s="2" t="inlineStr"/>
    </row>
    <row r="248" ht="15" customHeight="1">
      <c r="A248" t="inlineStr">
        <is>
          <t>A 59121-2024</t>
        </is>
      </c>
      <c r="B248" s="1" t="n">
        <v>45637.37755787037</v>
      </c>
      <c r="C248" s="1" t="n">
        <v>45989</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49215-2023</t>
        </is>
      </c>
      <c r="B249" s="1" t="n">
        <v>45210.61050925926</v>
      </c>
      <c r="C249" s="1" t="n">
        <v>45989</v>
      </c>
      <c r="D249" t="inlineStr">
        <is>
          <t>ÖREBRO LÄN</t>
        </is>
      </c>
      <c r="E249" t="inlineStr">
        <is>
          <t>ÖREBRO</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17983-2025</t>
        </is>
      </c>
      <c r="B250" s="1" t="n">
        <v>45761.38829861111</v>
      </c>
      <c r="C250" s="1" t="n">
        <v>45989</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30550-2025</t>
        </is>
      </c>
      <c r="B251" s="1" t="n">
        <v>45831.38224537037</v>
      </c>
      <c r="C251" s="1" t="n">
        <v>45989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30731-2025</t>
        </is>
      </c>
      <c r="B252" s="1" t="n">
        <v>45831.57280092593</v>
      </c>
      <c r="C252" s="1" t="n">
        <v>45989</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30951-2025</t>
        </is>
      </c>
      <c r="B253" s="1" t="n">
        <v>45832.43225694444</v>
      </c>
      <c r="C253" s="1" t="n">
        <v>45989</v>
      </c>
      <c r="D253" t="inlineStr">
        <is>
          <t>ÖREBRO LÄN</t>
        </is>
      </c>
      <c r="E253" t="inlineStr">
        <is>
          <t>ÖREBRO</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31066-2025</t>
        </is>
      </c>
      <c r="B254" s="1" t="n">
        <v>45832</v>
      </c>
      <c r="C254" s="1" t="n">
        <v>45989</v>
      </c>
      <c r="D254" t="inlineStr">
        <is>
          <t>ÖREBRO LÄN</t>
        </is>
      </c>
      <c r="E254" t="inlineStr">
        <is>
          <t>ÖREBRO</t>
        </is>
      </c>
      <c r="G254" t="n">
        <v>11.1</v>
      </c>
      <c r="H254" t="n">
        <v>0</v>
      </c>
      <c r="I254" t="n">
        <v>0</v>
      </c>
      <c r="J254" t="n">
        <v>0</v>
      </c>
      <c r="K254" t="n">
        <v>0</v>
      </c>
      <c r="L254" t="n">
        <v>0</v>
      </c>
      <c r="M254" t="n">
        <v>0</v>
      </c>
      <c r="N254" t="n">
        <v>0</v>
      </c>
      <c r="O254" t="n">
        <v>0</v>
      </c>
      <c r="P254" t="n">
        <v>0</v>
      </c>
      <c r="Q254" t="n">
        <v>0</v>
      </c>
      <c r="R254" s="2" t="inlineStr"/>
    </row>
    <row r="255" ht="15" customHeight="1">
      <c r="A255" t="inlineStr">
        <is>
          <t>A 51937-2025</t>
        </is>
      </c>
      <c r="B255" s="1" t="n">
        <v>45952.51270833334</v>
      </c>
      <c r="C255" s="1" t="n">
        <v>45989</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8571-2021</t>
        </is>
      </c>
      <c r="B256" s="1" t="n">
        <v>44245</v>
      </c>
      <c r="C256" s="1" t="n">
        <v>45989</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52135-2025</t>
        </is>
      </c>
      <c r="B257" s="1" t="n">
        <v>45952.84231481481</v>
      </c>
      <c r="C257" s="1" t="n">
        <v>45989</v>
      </c>
      <c r="D257" t="inlineStr">
        <is>
          <t>ÖREBRO LÄN</t>
        </is>
      </c>
      <c r="E257" t="inlineStr">
        <is>
          <t>ÖREBRO</t>
        </is>
      </c>
      <c r="G257" t="n">
        <v>4</v>
      </c>
      <c r="H257" t="n">
        <v>0</v>
      </c>
      <c r="I257" t="n">
        <v>0</v>
      </c>
      <c r="J257" t="n">
        <v>0</v>
      </c>
      <c r="K257" t="n">
        <v>0</v>
      </c>
      <c r="L257" t="n">
        <v>0</v>
      </c>
      <c r="M257" t="n">
        <v>0</v>
      </c>
      <c r="N257" t="n">
        <v>0</v>
      </c>
      <c r="O257" t="n">
        <v>0</v>
      </c>
      <c r="P257" t="n">
        <v>0</v>
      </c>
      <c r="Q257" t="n">
        <v>0</v>
      </c>
      <c r="R257" s="2" t="inlineStr"/>
    </row>
    <row r="258" ht="15" customHeight="1">
      <c r="A258" t="inlineStr">
        <is>
          <t>A 51923-2025</t>
        </is>
      </c>
      <c r="B258" s="1" t="n">
        <v>45952.49300925926</v>
      </c>
      <c r="C258" s="1" t="n">
        <v>45989</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55692-2023</t>
        </is>
      </c>
      <c r="B259" s="1" t="n">
        <v>45239</v>
      </c>
      <c r="C259" s="1" t="n">
        <v>45989</v>
      </c>
      <c r="D259" t="inlineStr">
        <is>
          <t>ÖREBRO LÄN</t>
        </is>
      </c>
      <c r="E259" t="inlineStr">
        <is>
          <t>ÖREBRO</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31233-2025</t>
        </is>
      </c>
      <c r="B260" s="1" t="n">
        <v>45832.83341435185</v>
      </c>
      <c r="C260" s="1" t="n">
        <v>45989</v>
      </c>
      <c r="D260" t="inlineStr">
        <is>
          <t>ÖREBRO LÄN</t>
        </is>
      </c>
      <c r="E260" t="inlineStr">
        <is>
          <t>ÖREBRO</t>
        </is>
      </c>
      <c r="F260" t="inlineStr">
        <is>
          <t>Övriga Aktiebolag</t>
        </is>
      </c>
      <c r="G260" t="n">
        <v>2</v>
      </c>
      <c r="H260" t="n">
        <v>0</v>
      </c>
      <c r="I260" t="n">
        <v>0</v>
      </c>
      <c r="J260" t="n">
        <v>0</v>
      </c>
      <c r="K260" t="n">
        <v>0</v>
      </c>
      <c r="L260" t="n">
        <v>0</v>
      </c>
      <c r="M260" t="n">
        <v>0</v>
      </c>
      <c r="N260" t="n">
        <v>0</v>
      </c>
      <c r="O260" t="n">
        <v>0</v>
      </c>
      <c r="P260" t="n">
        <v>0</v>
      </c>
      <c r="Q260" t="n">
        <v>0</v>
      </c>
      <c r="R260" s="2" t="inlineStr"/>
    </row>
    <row r="261" ht="15" customHeight="1">
      <c r="A261" t="inlineStr">
        <is>
          <t>A 31232-2025</t>
        </is>
      </c>
      <c r="B261" s="1" t="n">
        <v>45832.8252199074</v>
      </c>
      <c r="C261" s="1" t="n">
        <v>45989</v>
      </c>
      <c r="D261" t="inlineStr">
        <is>
          <t>ÖREBRO LÄN</t>
        </is>
      </c>
      <c r="E261" t="inlineStr">
        <is>
          <t>ÖREBRO</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14715-2024</t>
        </is>
      </c>
      <c r="B262" s="1" t="n">
        <v>45397.5500462963</v>
      </c>
      <c r="C262" s="1" t="n">
        <v>45989</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12682-2023</t>
        </is>
      </c>
      <c r="B263" s="1" t="n">
        <v>45000.6115625</v>
      </c>
      <c r="C263" s="1" t="n">
        <v>45989</v>
      </c>
      <c r="D263" t="inlineStr">
        <is>
          <t>ÖREBRO LÄN</t>
        </is>
      </c>
      <c r="E263" t="inlineStr">
        <is>
          <t>ÖREBRO</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13592-2023</t>
        </is>
      </c>
      <c r="B264" s="1" t="n">
        <v>45006.56870370371</v>
      </c>
      <c r="C264" s="1" t="n">
        <v>45989</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31237-2025</t>
        </is>
      </c>
      <c r="B265" s="1" t="n">
        <v>45832.84313657408</v>
      </c>
      <c r="C265" s="1" t="n">
        <v>45989</v>
      </c>
      <c r="D265" t="inlineStr">
        <is>
          <t>ÖREBRO LÄN</t>
        </is>
      </c>
      <c r="E265" t="inlineStr">
        <is>
          <t>ÖREBRO</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51925-2025</t>
        </is>
      </c>
      <c r="B266" s="1" t="n">
        <v>45952.49476851852</v>
      </c>
      <c r="C266" s="1" t="n">
        <v>45989</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10368-2021</t>
        </is>
      </c>
      <c r="B267" s="1" t="n">
        <v>44257</v>
      </c>
      <c r="C267" s="1" t="n">
        <v>45989</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59736-2023</t>
        </is>
      </c>
      <c r="B268" s="1" t="n">
        <v>45257.374375</v>
      </c>
      <c r="C268" s="1" t="n">
        <v>45989</v>
      </c>
      <c r="D268" t="inlineStr">
        <is>
          <t>ÖREBRO LÄN</t>
        </is>
      </c>
      <c r="E268" t="inlineStr">
        <is>
          <t>ÖREBRO</t>
        </is>
      </c>
      <c r="G268" t="n">
        <v>1.1</v>
      </c>
      <c r="H268" t="n">
        <v>0</v>
      </c>
      <c r="I268" t="n">
        <v>0</v>
      </c>
      <c r="J268" t="n">
        <v>0</v>
      </c>
      <c r="K268" t="n">
        <v>0</v>
      </c>
      <c r="L268" t="n">
        <v>0</v>
      </c>
      <c r="M268" t="n">
        <v>0</v>
      </c>
      <c r="N268" t="n">
        <v>0</v>
      </c>
      <c r="O268" t="n">
        <v>0</v>
      </c>
      <c r="P268" t="n">
        <v>0</v>
      </c>
      <c r="Q268" t="n">
        <v>0</v>
      </c>
      <c r="R268" s="2" t="inlineStr"/>
    </row>
    <row r="269" ht="15" customHeight="1">
      <c r="A269" t="inlineStr">
        <is>
          <t>A 52382-2025</t>
        </is>
      </c>
      <c r="B269" s="1" t="n">
        <v>45953.9559837963</v>
      </c>
      <c r="C269" s="1" t="n">
        <v>45989</v>
      </c>
      <c r="D269" t="inlineStr">
        <is>
          <t>ÖREBRO LÄN</t>
        </is>
      </c>
      <c r="E269" t="inlineStr">
        <is>
          <t>ÖREBRO</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55355-2024</t>
        </is>
      </c>
      <c r="B270" s="1" t="n">
        <v>45621.80475694445</v>
      </c>
      <c r="C270" s="1" t="n">
        <v>45989</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32218-2025</t>
        </is>
      </c>
      <c r="B271" s="1" t="n">
        <v>45835.58880787037</v>
      </c>
      <c r="C271" s="1" t="n">
        <v>45989</v>
      </c>
      <c r="D271" t="inlineStr">
        <is>
          <t>ÖREBRO LÄN</t>
        </is>
      </c>
      <c r="E271" t="inlineStr">
        <is>
          <t>ÖREBRO</t>
        </is>
      </c>
      <c r="G271" t="n">
        <v>0.7</v>
      </c>
      <c r="H271" t="n">
        <v>0</v>
      </c>
      <c r="I271" t="n">
        <v>0</v>
      </c>
      <c r="J271" t="n">
        <v>0</v>
      </c>
      <c r="K271" t="n">
        <v>0</v>
      </c>
      <c r="L271" t="n">
        <v>0</v>
      </c>
      <c r="M271" t="n">
        <v>0</v>
      </c>
      <c r="N271" t="n">
        <v>0</v>
      </c>
      <c r="O271" t="n">
        <v>0</v>
      </c>
      <c r="P271" t="n">
        <v>0</v>
      </c>
      <c r="Q271" t="n">
        <v>0</v>
      </c>
      <c r="R271" s="2" t="inlineStr"/>
    </row>
    <row r="272" ht="15" customHeight="1">
      <c r="A272" t="inlineStr">
        <is>
          <t>A 49029-2024</t>
        </is>
      </c>
      <c r="B272" s="1" t="n">
        <v>45594</v>
      </c>
      <c r="C272" s="1" t="n">
        <v>45989</v>
      </c>
      <c r="D272" t="inlineStr">
        <is>
          <t>ÖREBRO LÄN</t>
        </is>
      </c>
      <c r="E272" t="inlineStr">
        <is>
          <t>ÖREBRO</t>
        </is>
      </c>
      <c r="G272" t="n">
        <v>3.7</v>
      </c>
      <c r="H272" t="n">
        <v>0</v>
      </c>
      <c r="I272" t="n">
        <v>0</v>
      </c>
      <c r="J272" t="n">
        <v>0</v>
      </c>
      <c r="K272" t="n">
        <v>0</v>
      </c>
      <c r="L272" t="n">
        <v>0</v>
      </c>
      <c r="M272" t="n">
        <v>0</v>
      </c>
      <c r="N272" t="n">
        <v>0</v>
      </c>
      <c r="O272" t="n">
        <v>0</v>
      </c>
      <c r="P272" t="n">
        <v>0</v>
      </c>
      <c r="Q272" t="n">
        <v>0</v>
      </c>
      <c r="R272" s="2" t="inlineStr"/>
    </row>
    <row r="273" ht="15" customHeight="1">
      <c r="A273" t="inlineStr">
        <is>
          <t>A 20115-2024</t>
        </is>
      </c>
      <c r="B273" s="1" t="n">
        <v>45434</v>
      </c>
      <c r="C273" s="1" t="n">
        <v>45989</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32188-2025</t>
        </is>
      </c>
      <c r="B274" s="1" t="n">
        <v>45835.56965277778</v>
      </c>
      <c r="C274" s="1" t="n">
        <v>45989</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32195-2025</t>
        </is>
      </c>
      <c r="B275" s="1" t="n">
        <v>45835.57407407407</v>
      </c>
      <c r="C275" s="1" t="n">
        <v>45989</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55875-2024</t>
        </is>
      </c>
      <c r="B276" s="1" t="n">
        <v>45623.55375</v>
      </c>
      <c r="C276" s="1" t="n">
        <v>45989</v>
      </c>
      <c r="D276" t="inlineStr">
        <is>
          <t>ÖREBRO LÄN</t>
        </is>
      </c>
      <c r="E276" t="inlineStr">
        <is>
          <t>ÖREBRO</t>
        </is>
      </c>
      <c r="G276" t="n">
        <v>3.5</v>
      </c>
      <c r="H276" t="n">
        <v>0</v>
      </c>
      <c r="I276" t="n">
        <v>0</v>
      </c>
      <c r="J276" t="n">
        <v>0</v>
      </c>
      <c r="K276" t="n">
        <v>0</v>
      </c>
      <c r="L276" t="n">
        <v>0</v>
      </c>
      <c r="M276" t="n">
        <v>0</v>
      </c>
      <c r="N276" t="n">
        <v>0</v>
      </c>
      <c r="O276" t="n">
        <v>0</v>
      </c>
      <c r="P276" t="n">
        <v>0</v>
      </c>
      <c r="Q276" t="n">
        <v>0</v>
      </c>
      <c r="R276" s="2" t="inlineStr"/>
    </row>
    <row r="277" ht="15" customHeight="1">
      <c r="A277" t="inlineStr">
        <is>
          <t>A 33191-2025</t>
        </is>
      </c>
      <c r="B277" s="1" t="n">
        <v>45840.6003587963</v>
      </c>
      <c r="C277" s="1" t="n">
        <v>45989</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32426-2025</t>
        </is>
      </c>
      <c r="B278" s="1" t="n">
        <v>45838.36179398148</v>
      </c>
      <c r="C278" s="1" t="n">
        <v>45989</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23710-2022</t>
        </is>
      </c>
      <c r="B279" s="1" t="n">
        <v>44722</v>
      </c>
      <c r="C279" s="1" t="n">
        <v>45989</v>
      </c>
      <c r="D279" t="inlineStr">
        <is>
          <t>ÖREBRO LÄN</t>
        </is>
      </c>
      <c r="E279" t="inlineStr">
        <is>
          <t>ÖREBRO</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32904-2025</t>
        </is>
      </c>
      <c r="B280" s="1" t="n">
        <v>45839</v>
      </c>
      <c r="C280" s="1" t="n">
        <v>45989</v>
      </c>
      <c r="D280" t="inlineStr">
        <is>
          <t>ÖREBRO LÄN</t>
        </is>
      </c>
      <c r="E280" t="inlineStr">
        <is>
          <t>ÖREBRO</t>
        </is>
      </c>
      <c r="G280" t="n">
        <v>0.6</v>
      </c>
      <c r="H280" t="n">
        <v>0</v>
      </c>
      <c r="I280" t="n">
        <v>0</v>
      </c>
      <c r="J280" t="n">
        <v>0</v>
      </c>
      <c r="K280" t="n">
        <v>0</v>
      </c>
      <c r="L280" t="n">
        <v>0</v>
      </c>
      <c r="M280" t="n">
        <v>0</v>
      </c>
      <c r="N280" t="n">
        <v>0</v>
      </c>
      <c r="O280" t="n">
        <v>0</v>
      </c>
      <c r="P280" t="n">
        <v>0</v>
      </c>
      <c r="Q280" t="n">
        <v>0</v>
      </c>
      <c r="R280" s="2" t="inlineStr"/>
    </row>
    <row r="281" ht="15" customHeight="1">
      <c r="A281" t="inlineStr">
        <is>
          <t>A 10470-2025</t>
        </is>
      </c>
      <c r="B281" s="1" t="n">
        <v>45720</v>
      </c>
      <c r="C281" s="1" t="n">
        <v>45989</v>
      </c>
      <c r="D281" t="inlineStr">
        <is>
          <t>ÖREBRO LÄN</t>
        </is>
      </c>
      <c r="E281" t="inlineStr">
        <is>
          <t>ÖREBRO</t>
        </is>
      </c>
      <c r="G281" t="n">
        <v>11.5</v>
      </c>
      <c r="H281" t="n">
        <v>0</v>
      </c>
      <c r="I281" t="n">
        <v>0</v>
      </c>
      <c r="J281" t="n">
        <v>0</v>
      </c>
      <c r="K281" t="n">
        <v>0</v>
      </c>
      <c r="L281" t="n">
        <v>0</v>
      </c>
      <c r="M281" t="n">
        <v>0</v>
      </c>
      <c r="N281" t="n">
        <v>0</v>
      </c>
      <c r="O281" t="n">
        <v>0</v>
      </c>
      <c r="P281" t="n">
        <v>0</v>
      </c>
      <c r="Q281" t="n">
        <v>0</v>
      </c>
      <c r="R281" s="2" t="inlineStr"/>
    </row>
    <row r="282" ht="15" customHeight="1">
      <c r="A282" t="inlineStr">
        <is>
          <t>A 46056-2024</t>
        </is>
      </c>
      <c r="B282" s="1" t="n">
        <v>45580.91502314815</v>
      </c>
      <c r="C282" s="1" t="n">
        <v>45989</v>
      </c>
      <c r="D282" t="inlineStr">
        <is>
          <t>ÖREBRO LÄN</t>
        </is>
      </c>
      <c r="E282" t="inlineStr">
        <is>
          <t>ÖREBRO</t>
        </is>
      </c>
      <c r="F282" t="inlineStr">
        <is>
          <t>Övriga Aktiebolag</t>
        </is>
      </c>
      <c r="G282" t="n">
        <v>4.5</v>
      </c>
      <c r="H282" t="n">
        <v>0</v>
      </c>
      <c r="I282" t="n">
        <v>0</v>
      </c>
      <c r="J282" t="n">
        <v>0</v>
      </c>
      <c r="K282" t="n">
        <v>0</v>
      </c>
      <c r="L282" t="n">
        <v>0</v>
      </c>
      <c r="M282" t="n">
        <v>0</v>
      </c>
      <c r="N282" t="n">
        <v>0</v>
      </c>
      <c r="O282" t="n">
        <v>0</v>
      </c>
      <c r="P282" t="n">
        <v>0</v>
      </c>
      <c r="Q282" t="n">
        <v>0</v>
      </c>
      <c r="R282" s="2" t="inlineStr"/>
    </row>
    <row r="283" ht="15" customHeight="1">
      <c r="A283" t="inlineStr">
        <is>
          <t>A 13355-2023</t>
        </is>
      </c>
      <c r="B283" s="1" t="n">
        <v>45004</v>
      </c>
      <c r="C283" s="1" t="n">
        <v>45989</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6522-2023</t>
        </is>
      </c>
      <c r="B284" s="1" t="n">
        <v>44966</v>
      </c>
      <c r="C284" s="1" t="n">
        <v>45989</v>
      </c>
      <c r="D284" t="inlineStr">
        <is>
          <t>ÖREBRO LÄN</t>
        </is>
      </c>
      <c r="E284" t="inlineStr">
        <is>
          <t>ÖREBRO</t>
        </is>
      </c>
      <c r="G284" t="n">
        <v>4.4</v>
      </c>
      <c r="H284" t="n">
        <v>0</v>
      </c>
      <c r="I284" t="n">
        <v>0</v>
      </c>
      <c r="J284" t="n">
        <v>0</v>
      </c>
      <c r="K284" t="n">
        <v>0</v>
      </c>
      <c r="L284" t="n">
        <v>0</v>
      </c>
      <c r="M284" t="n">
        <v>0</v>
      </c>
      <c r="N284" t="n">
        <v>0</v>
      </c>
      <c r="O284" t="n">
        <v>0</v>
      </c>
      <c r="P284" t="n">
        <v>0</v>
      </c>
      <c r="Q284" t="n">
        <v>0</v>
      </c>
      <c r="R284" s="2" t="inlineStr"/>
    </row>
    <row r="285" ht="15" customHeight="1">
      <c r="A285" t="inlineStr">
        <is>
          <t>A 56040-2024</t>
        </is>
      </c>
      <c r="B285" s="1" t="n">
        <v>45624.3344212963</v>
      </c>
      <c r="C285" s="1" t="n">
        <v>45989</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52444-2024</t>
        </is>
      </c>
      <c r="B286" s="1" t="n">
        <v>45609.48894675926</v>
      </c>
      <c r="C286" s="1" t="n">
        <v>45989</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60128-2023</t>
        </is>
      </c>
      <c r="B287" s="1" t="n">
        <v>45258</v>
      </c>
      <c r="C287" s="1" t="n">
        <v>45989</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16140-2023</t>
        </is>
      </c>
      <c r="B288" s="1" t="n">
        <v>45027.6433912037</v>
      </c>
      <c r="C288" s="1" t="n">
        <v>45989</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30743-2025</t>
        </is>
      </c>
      <c r="B289" s="1" t="n">
        <v>45831</v>
      </c>
      <c r="C289" s="1" t="n">
        <v>45989</v>
      </c>
      <c r="D289" t="inlineStr">
        <is>
          <t>ÖREBRO LÄN</t>
        </is>
      </c>
      <c r="E289" t="inlineStr">
        <is>
          <t>ÖREBRO</t>
        </is>
      </c>
      <c r="G289" t="n">
        <v>2.9</v>
      </c>
      <c r="H289" t="n">
        <v>0</v>
      </c>
      <c r="I289" t="n">
        <v>0</v>
      </c>
      <c r="J289" t="n">
        <v>0</v>
      </c>
      <c r="K289" t="n">
        <v>0</v>
      </c>
      <c r="L289" t="n">
        <v>0</v>
      </c>
      <c r="M289" t="n">
        <v>0</v>
      </c>
      <c r="N289" t="n">
        <v>0</v>
      </c>
      <c r="O289" t="n">
        <v>0</v>
      </c>
      <c r="P289" t="n">
        <v>0</v>
      </c>
      <c r="Q289" t="n">
        <v>0</v>
      </c>
      <c r="R289" s="2" t="inlineStr"/>
    </row>
    <row r="290" ht="15" customHeight="1">
      <c r="A290" t="inlineStr">
        <is>
          <t>A 53443-2025</t>
        </is>
      </c>
      <c r="B290" s="1" t="n">
        <v>45959.6444675926</v>
      </c>
      <c r="C290" s="1" t="n">
        <v>45989</v>
      </c>
      <c r="D290" t="inlineStr">
        <is>
          <t>ÖREBRO LÄN</t>
        </is>
      </c>
      <c r="E290" t="inlineStr">
        <is>
          <t>ÖREBRO</t>
        </is>
      </c>
      <c r="G290" t="n">
        <v>2.8</v>
      </c>
      <c r="H290" t="n">
        <v>0</v>
      </c>
      <c r="I290" t="n">
        <v>0</v>
      </c>
      <c r="J290" t="n">
        <v>0</v>
      </c>
      <c r="K290" t="n">
        <v>0</v>
      </c>
      <c r="L290" t="n">
        <v>0</v>
      </c>
      <c r="M290" t="n">
        <v>0</v>
      </c>
      <c r="N290" t="n">
        <v>0</v>
      </c>
      <c r="O290" t="n">
        <v>0</v>
      </c>
      <c r="P290" t="n">
        <v>0</v>
      </c>
      <c r="Q290" t="n">
        <v>0</v>
      </c>
      <c r="R290" s="2" t="inlineStr"/>
    </row>
    <row r="291" ht="15" customHeight="1">
      <c r="A291" t="inlineStr">
        <is>
          <t>A 44875-2025</t>
        </is>
      </c>
      <c r="B291" s="1" t="n">
        <v>45918.47043981482</v>
      </c>
      <c r="C291" s="1" t="n">
        <v>45989</v>
      </c>
      <c r="D291" t="inlineStr">
        <is>
          <t>ÖREBRO LÄN</t>
        </is>
      </c>
      <c r="E291" t="inlineStr">
        <is>
          <t>ÖREBRO</t>
        </is>
      </c>
      <c r="G291" t="n">
        <v>1.4</v>
      </c>
      <c r="H291" t="n">
        <v>0</v>
      </c>
      <c r="I291" t="n">
        <v>0</v>
      </c>
      <c r="J291" t="n">
        <v>0</v>
      </c>
      <c r="K291" t="n">
        <v>0</v>
      </c>
      <c r="L291" t="n">
        <v>0</v>
      </c>
      <c r="M291" t="n">
        <v>0</v>
      </c>
      <c r="N291" t="n">
        <v>0</v>
      </c>
      <c r="O291" t="n">
        <v>0</v>
      </c>
      <c r="P291" t="n">
        <v>0</v>
      </c>
      <c r="Q291" t="n">
        <v>0</v>
      </c>
      <c r="R291" s="2" t="inlineStr"/>
    </row>
    <row r="292" ht="15" customHeight="1">
      <c r="A292" t="inlineStr">
        <is>
          <t>A 53350-2025</t>
        </is>
      </c>
      <c r="B292" s="1" t="n">
        <v>45959.43827546296</v>
      </c>
      <c r="C292" s="1" t="n">
        <v>45989</v>
      </c>
      <c r="D292" t="inlineStr">
        <is>
          <t>ÖREBRO LÄN</t>
        </is>
      </c>
      <c r="E292" t="inlineStr">
        <is>
          <t>ÖREBRO</t>
        </is>
      </c>
      <c r="G292" t="n">
        <v>4.1</v>
      </c>
      <c r="H292" t="n">
        <v>0</v>
      </c>
      <c r="I292" t="n">
        <v>0</v>
      </c>
      <c r="J292" t="n">
        <v>0</v>
      </c>
      <c r="K292" t="n">
        <v>0</v>
      </c>
      <c r="L292" t="n">
        <v>0</v>
      </c>
      <c r="M292" t="n">
        <v>0</v>
      </c>
      <c r="N292" t="n">
        <v>0</v>
      </c>
      <c r="O292" t="n">
        <v>0</v>
      </c>
      <c r="P292" t="n">
        <v>0</v>
      </c>
      <c r="Q292" t="n">
        <v>0</v>
      </c>
      <c r="R292" s="2" t="inlineStr"/>
    </row>
    <row r="293" ht="15" customHeight="1">
      <c r="A293" t="inlineStr">
        <is>
          <t>A 48687-2024</t>
        </is>
      </c>
      <c r="B293" s="1" t="n">
        <v>45593.49899305555</v>
      </c>
      <c r="C293" s="1" t="n">
        <v>45989</v>
      </c>
      <c r="D293" t="inlineStr">
        <is>
          <t>ÖREBRO LÄN</t>
        </is>
      </c>
      <c r="E293" t="inlineStr">
        <is>
          <t>ÖREBRO</t>
        </is>
      </c>
      <c r="F293" t="inlineStr">
        <is>
          <t>Övriga Aktiebolag</t>
        </is>
      </c>
      <c r="G293" t="n">
        <v>3.8</v>
      </c>
      <c r="H293" t="n">
        <v>0</v>
      </c>
      <c r="I293" t="n">
        <v>0</v>
      </c>
      <c r="J293" t="n">
        <v>0</v>
      </c>
      <c r="K293" t="n">
        <v>0</v>
      </c>
      <c r="L293" t="n">
        <v>0</v>
      </c>
      <c r="M293" t="n">
        <v>0</v>
      </c>
      <c r="N293" t="n">
        <v>0</v>
      </c>
      <c r="O293" t="n">
        <v>0</v>
      </c>
      <c r="P293" t="n">
        <v>0</v>
      </c>
      <c r="Q293" t="n">
        <v>0</v>
      </c>
      <c r="R293" s="2" t="inlineStr"/>
    </row>
    <row r="294" ht="15" customHeight="1">
      <c r="A294" t="inlineStr">
        <is>
          <t>A 53715-2025</t>
        </is>
      </c>
      <c r="B294" s="1" t="n">
        <v>45960.61763888889</v>
      </c>
      <c r="C294" s="1" t="n">
        <v>45989</v>
      </c>
      <c r="D294" t="inlineStr">
        <is>
          <t>ÖREBRO LÄN</t>
        </is>
      </c>
      <c r="E294" t="inlineStr">
        <is>
          <t>ÖREBRO</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53343-2025</t>
        </is>
      </c>
      <c r="B295" s="1" t="n">
        <v>45959.42025462963</v>
      </c>
      <c r="C295" s="1" t="n">
        <v>45989</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6752-2022</t>
        </is>
      </c>
      <c r="B296" s="1" t="n">
        <v>44602.48082175926</v>
      </c>
      <c r="C296" s="1" t="n">
        <v>45989</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35062-2025</t>
        </is>
      </c>
      <c r="B297" s="1" t="n">
        <v>45852</v>
      </c>
      <c r="C297" s="1" t="n">
        <v>45989</v>
      </c>
      <c r="D297" t="inlineStr">
        <is>
          <t>ÖREBRO LÄN</t>
        </is>
      </c>
      <c r="E297" t="inlineStr">
        <is>
          <t>ÖREBRO</t>
        </is>
      </c>
      <c r="G297" t="n">
        <v>2.8</v>
      </c>
      <c r="H297" t="n">
        <v>0</v>
      </c>
      <c r="I297" t="n">
        <v>0</v>
      </c>
      <c r="J297" t="n">
        <v>0</v>
      </c>
      <c r="K297" t="n">
        <v>0</v>
      </c>
      <c r="L297" t="n">
        <v>0</v>
      </c>
      <c r="M297" t="n">
        <v>0</v>
      </c>
      <c r="N297" t="n">
        <v>0</v>
      </c>
      <c r="O297" t="n">
        <v>0</v>
      </c>
      <c r="P297" t="n">
        <v>0</v>
      </c>
      <c r="Q297" t="n">
        <v>0</v>
      </c>
      <c r="R297" s="2" t="inlineStr"/>
    </row>
    <row r="298" ht="15" customHeight="1">
      <c r="A298" t="inlineStr">
        <is>
          <t>A 34056-2023</t>
        </is>
      </c>
      <c r="B298" s="1" t="n">
        <v>45135</v>
      </c>
      <c r="C298" s="1" t="n">
        <v>45989</v>
      </c>
      <c r="D298" t="inlineStr">
        <is>
          <t>ÖREBRO LÄN</t>
        </is>
      </c>
      <c r="E298" t="inlineStr">
        <is>
          <t>ÖREBRO</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33457-2023</t>
        </is>
      </c>
      <c r="B299" s="1" t="n">
        <v>45131</v>
      </c>
      <c r="C299" s="1" t="n">
        <v>45989</v>
      </c>
      <c r="D299" t="inlineStr">
        <is>
          <t>ÖREBRO LÄN</t>
        </is>
      </c>
      <c r="E299" t="inlineStr">
        <is>
          <t>ÖREBRO</t>
        </is>
      </c>
      <c r="G299" t="n">
        <v>0.5</v>
      </c>
      <c r="H299" t="n">
        <v>0</v>
      </c>
      <c r="I299" t="n">
        <v>0</v>
      </c>
      <c r="J299" t="n">
        <v>0</v>
      </c>
      <c r="K299" t="n">
        <v>0</v>
      </c>
      <c r="L299" t="n">
        <v>0</v>
      </c>
      <c r="M299" t="n">
        <v>0</v>
      </c>
      <c r="N299" t="n">
        <v>0</v>
      </c>
      <c r="O299" t="n">
        <v>0</v>
      </c>
      <c r="P299" t="n">
        <v>0</v>
      </c>
      <c r="Q299" t="n">
        <v>0</v>
      </c>
      <c r="R299" s="2" t="inlineStr"/>
    </row>
    <row r="300" ht="15" customHeight="1">
      <c r="A300" t="inlineStr">
        <is>
          <t>A 45237-2023</t>
        </is>
      </c>
      <c r="B300" s="1" t="n">
        <v>45191</v>
      </c>
      <c r="C300" s="1" t="n">
        <v>45989</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5946-2021</t>
        </is>
      </c>
      <c r="B301" s="1" t="n">
        <v>44230</v>
      </c>
      <c r="C301" s="1" t="n">
        <v>45989</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51180-2023</t>
        </is>
      </c>
      <c r="B302" s="1" t="n">
        <v>45219</v>
      </c>
      <c r="C302" s="1" t="n">
        <v>45989</v>
      </c>
      <c r="D302" t="inlineStr">
        <is>
          <t>ÖREBRO LÄN</t>
        </is>
      </c>
      <c r="E302" t="inlineStr">
        <is>
          <t>ÖREBRO</t>
        </is>
      </c>
      <c r="G302" t="n">
        <v>6.5</v>
      </c>
      <c r="H302" t="n">
        <v>0</v>
      </c>
      <c r="I302" t="n">
        <v>0</v>
      </c>
      <c r="J302" t="n">
        <v>0</v>
      </c>
      <c r="K302" t="n">
        <v>0</v>
      </c>
      <c r="L302" t="n">
        <v>0</v>
      </c>
      <c r="M302" t="n">
        <v>0</v>
      </c>
      <c r="N302" t="n">
        <v>0</v>
      </c>
      <c r="O302" t="n">
        <v>0</v>
      </c>
      <c r="P302" t="n">
        <v>0</v>
      </c>
      <c r="Q302" t="n">
        <v>0</v>
      </c>
      <c r="R302" s="2" t="inlineStr"/>
    </row>
    <row r="303" ht="15" customHeight="1">
      <c r="A303" t="inlineStr">
        <is>
          <t>A 53719-2025</t>
        </is>
      </c>
      <c r="B303" s="1" t="n">
        <v>45960.62042824074</v>
      </c>
      <c r="C303" s="1" t="n">
        <v>45989</v>
      </c>
      <c r="D303" t="inlineStr">
        <is>
          <t>ÖREBRO LÄN</t>
        </is>
      </c>
      <c r="E303" t="inlineStr">
        <is>
          <t>ÖREBRO</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60028-2024</t>
        </is>
      </c>
      <c r="B304" s="1" t="n">
        <v>45642</v>
      </c>
      <c r="C304" s="1" t="n">
        <v>45989</v>
      </c>
      <c r="D304" t="inlineStr">
        <is>
          <t>ÖREBRO LÄN</t>
        </is>
      </c>
      <c r="E304" t="inlineStr">
        <is>
          <t>ÖREBRO</t>
        </is>
      </c>
      <c r="G304" t="n">
        <v>1.7</v>
      </c>
      <c r="H304" t="n">
        <v>0</v>
      </c>
      <c r="I304" t="n">
        <v>0</v>
      </c>
      <c r="J304" t="n">
        <v>0</v>
      </c>
      <c r="K304" t="n">
        <v>0</v>
      </c>
      <c r="L304" t="n">
        <v>0</v>
      </c>
      <c r="M304" t="n">
        <v>0</v>
      </c>
      <c r="N304" t="n">
        <v>0</v>
      </c>
      <c r="O304" t="n">
        <v>0</v>
      </c>
      <c r="P304" t="n">
        <v>0</v>
      </c>
      <c r="Q304" t="n">
        <v>0</v>
      </c>
      <c r="R304" s="2" t="inlineStr"/>
    </row>
    <row r="305" ht="15" customHeight="1">
      <c r="A305" t="inlineStr">
        <is>
          <t>A 33294-2023</t>
        </is>
      </c>
      <c r="B305" s="1" t="n">
        <v>45127</v>
      </c>
      <c r="C305" s="1" t="n">
        <v>45989</v>
      </c>
      <c r="D305" t="inlineStr">
        <is>
          <t>ÖREBRO LÄN</t>
        </is>
      </c>
      <c r="E305" t="inlineStr">
        <is>
          <t>ÖREBRO</t>
        </is>
      </c>
      <c r="F305" t="inlineStr">
        <is>
          <t>Övriga Aktiebolag</t>
        </is>
      </c>
      <c r="G305" t="n">
        <v>6.7</v>
      </c>
      <c r="H305" t="n">
        <v>0</v>
      </c>
      <c r="I305" t="n">
        <v>0</v>
      </c>
      <c r="J305" t="n">
        <v>0</v>
      </c>
      <c r="K305" t="n">
        <v>0</v>
      </c>
      <c r="L305" t="n">
        <v>0</v>
      </c>
      <c r="M305" t="n">
        <v>0</v>
      </c>
      <c r="N305" t="n">
        <v>0</v>
      </c>
      <c r="O305" t="n">
        <v>0</v>
      </c>
      <c r="P305" t="n">
        <v>0</v>
      </c>
      <c r="Q305" t="n">
        <v>0</v>
      </c>
      <c r="R305" s="2" t="inlineStr"/>
    </row>
    <row r="306" ht="15" customHeight="1">
      <c r="A306" t="inlineStr">
        <is>
          <t>A 44960-2025</t>
        </is>
      </c>
      <c r="B306" s="1" t="n">
        <v>45918.61577546296</v>
      </c>
      <c r="C306" s="1" t="n">
        <v>45989</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53342-2025</t>
        </is>
      </c>
      <c r="B307" s="1" t="n">
        <v>45959.41769675926</v>
      </c>
      <c r="C307" s="1" t="n">
        <v>45989</v>
      </c>
      <c r="D307" t="inlineStr">
        <is>
          <t>ÖREBRO LÄN</t>
        </is>
      </c>
      <c r="E307" t="inlineStr">
        <is>
          <t>ÖREBRO</t>
        </is>
      </c>
      <c r="G307" t="n">
        <v>4.1</v>
      </c>
      <c r="H307" t="n">
        <v>0</v>
      </c>
      <c r="I307" t="n">
        <v>0</v>
      </c>
      <c r="J307" t="n">
        <v>0</v>
      </c>
      <c r="K307" t="n">
        <v>0</v>
      </c>
      <c r="L307" t="n">
        <v>0</v>
      </c>
      <c r="M307" t="n">
        <v>0</v>
      </c>
      <c r="N307" t="n">
        <v>0</v>
      </c>
      <c r="O307" t="n">
        <v>0</v>
      </c>
      <c r="P307" t="n">
        <v>0</v>
      </c>
      <c r="Q307" t="n">
        <v>0</v>
      </c>
      <c r="R307" s="2" t="inlineStr"/>
    </row>
    <row r="308" ht="15" customHeight="1">
      <c r="A308" t="inlineStr">
        <is>
          <t>A 53437-2025</t>
        </is>
      </c>
      <c r="B308" s="1" t="n">
        <v>45959.63440972222</v>
      </c>
      <c r="C308" s="1" t="n">
        <v>45989</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13857-2022</t>
        </is>
      </c>
      <c r="B309" s="1" t="n">
        <v>44649</v>
      </c>
      <c r="C309" s="1" t="n">
        <v>45989</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61078-2024</t>
        </is>
      </c>
      <c r="B310" s="1" t="n">
        <v>45645.51034722223</v>
      </c>
      <c r="C310" s="1" t="n">
        <v>45989</v>
      </c>
      <c r="D310" t="inlineStr">
        <is>
          <t>ÖREBRO LÄN</t>
        </is>
      </c>
      <c r="E310" t="inlineStr">
        <is>
          <t>ÖREBRO</t>
        </is>
      </c>
      <c r="G310" t="n">
        <v>4.1</v>
      </c>
      <c r="H310" t="n">
        <v>0</v>
      </c>
      <c r="I310" t="n">
        <v>0</v>
      </c>
      <c r="J310" t="n">
        <v>0</v>
      </c>
      <c r="K310" t="n">
        <v>0</v>
      </c>
      <c r="L310" t="n">
        <v>0</v>
      </c>
      <c r="M310" t="n">
        <v>0</v>
      </c>
      <c r="N310" t="n">
        <v>0</v>
      </c>
      <c r="O310" t="n">
        <v>0</v>
      </c>
      <c r="P310" t="n">
        <v>0</v>
      </c>
      <c r="Q310" t="n">
        <v>0</v>
      </c>
      <c r="R310" s="2" t="inlineStr"/>
    </row>
    <row r="311" ht="15" customHeight="1">
      <c r="A311" t="inlineStr">
        <is>
          <t>A 28821-2025</t>
        </is>
      </c>
      <c r="B311" s="1" t="n">
        <v>45820</v>
      </c>
      <c r="C311" s="1" t="n">
        <v>45989</v>
      </c>
      <c r="D311" t="inlineStr">
        <is>
          <t>ÖREBRO LÄN</t>
        </is>
      </c>
      <c r="E311" t="inlineStr">
        <is>
          <t>ÖREBRO</t>
        </is>
      </c>
      <c r="G311" t="n">
        <v>12.6</v>
      </c>
      <c r="H311" t="n">
        <v>0</v>
      </c>
      <c r="I311" t="n">
        <v>0</v>
      </c>
      <c r="J311" t="n">
        <v>0</v>
      </c>
      <c r="K311" t="n">
        <v>0</v>
      </c>
      <c r="L311" t="n">
        <v>0</v>
      </c>
      <c r="M311" t="n">
        <v>0</v>
      </c>
      <c r="N311" t="n">
        <v>0</v>
      </c>
      <c r="O311" t="n">
        <v>0</v>
      </c>
      <c r="P311" t="n">
        <v>0</v>
      </c>
      <c r="Q311" t="n">
        <v>0</v>
      </c>
      <c r="R311" s="2" t="inlineStr"/>
    </row>
    <row r="312" ht="15" customHeight="1">
      <c r="A312" t="inlineStr">
        <is>
          <t>A 12871-2021</t>
        </is>
      </c>
      <c r="B312" s="1" t="n">
        <v>44271.42121527778</v>
      </c>
      <c r="C312" s="1" t="n">
        <v>45989</v>
      </c>
      <c r="D312" t="inlineStr">
        <is>
          <t>ÖREBRO LÄN</t>
        </is>
      </c>
      <c r="E312" t="inlineStr">
        <is>
          <t>ÖREBRO</t>
        </is>
      </c>
      <c r="G312" t="n">
        <v>0.9</v>
      </c>
      <c r="H312" t="n">
        <v>0</v>
      </c>
      <c r="I312" t="n">
        <v>0</v>
      </c>
      <c r="J312" t="n">
        <v>0</v>
      </c>
      <c r="K312" t="n">
        <v>0</v>
      </c>
      <c r="L312" t="n">
        <v>0</v>
      </c>
      <c r="M312" t="n">
        <v>0</v>
      </c>
      <c r="N312" t="n">
        <v>0</v>
      </c>
      <c r="O312" t="n">
        <v>0</v>
      </c>
      <c r="P312" t="n">
        <v>0</v>
      </c>
      <c r="Q312" t="n">
        <v>0</v>
      </c>
      <c r="R312" s="2" t="inlineStr"/>
    </row>
    <row r="313" ht="15" customHeight="1">
      <c r="A313" t="inlineStr">
        <is>
          <t>A 35637-2025</t>
        </is>
      </c>
      <c r="B313" s="1" t="n">
        <v>45859.46859953704</v>
      </c>
      <c r="C313" s="1" t="n">
        <v>45989</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13158-2024</t>
        </is>
      </c>
      <c r="B314" s="1" t="n">
        <v>45386.38728009259</v>
      </c>
      <c r="C314" s="1" t="n">
        <v>45989</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54205-2025</t>
        </is>
      </c>
      <c r="B315" s="1" t="n">
        <v>45964.58512731481</v>
      </c>
      <c r="C315" s="1" t="n">
        <v>45989</v>
      </c>
      <c r="D315" t="inlineStr">
        <is>
          <t>ÖREBRO LÄN</t>
        </is>
      </c>
      <c r="E315" t="inlineStr">
        <is>
          <t>ÖREBRO</t>
        </is>
      </c>
      <c r="G315" t="n">
        <v>24.3</v>
      </c>
      <c r="H315" t="n">
        <v>0</v>
      </c>
      <c r="I315" t="n">
        <v>0</v>
      </c>
      <c r="J315" t="n">
        <v>0</v>
      </c>
      <c r="K315" t="n">
        <v>0</v>
      </c>
      <c r="L315" t="n">
        <v>0</v>
      </c>
      <c r="M315" t="n">
        <v>0</v>
      </c>
      <c r="N315" t="n">
        <v>0</v>
      </c>
      <c r="O315" t="n">
        <v>0</v>
      </c>
      <c r="P315" t="n">
        <v>0</v>
      </c>
      <c r="Q315" t="n">
        <v>0</v>
      </c>
      <c r="R315" s="2" t="inlineStr"/>
    </row>
    <row r="316" ht="15" customHeight="1">
      <c r="A316" t="inlineStr">
        <is>
          <t>A 13181-2023</t>
        </is>
      </c>
      <c r="B316" s="1" t="n">
        <v>45002.60659722222</v>
      </c>
      <c r="C316" s="1" t="n">
        <v>45989</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25996-2024</t>
        </is>
      </c>
      <c r="B317" s="1" t="n">
        <v>45467.89081018518</v>
      </c>
      <c r="C317" s="1" t="n">
        <v>45989</v>
      </c>
      <c r="D317" t="inlineStr">
        <is>
          <t>ÖREBRO LÄN</t>
        </is>
      </c>
      <c r="E317" t="inlineStr">
        <is>
          <t>ÖREBRO</t>
        </is>
      </c>
      <c r="G317" t="n">
        <v>4.7</v>
      </c>
      <c r="H317" t="n">
        <v>0</v>
      </c>
      <c r="I317" t="n">
        <v>0</v>
      </c>
      <c r="J317" t="n">
        <v>0</v>
      </c>
      <c r="K317" t="n">
        <v>0</v>
      </c>
      <c r="L317" t="n">
        <v>0</v>
      </c>
      <c r="M317" t="n">
        <v>0</v>
      </c>
      <c r="N317" t="n">
        <v>0</v>
      </c>
      <c r="O317" t="n">
        <v>0</v>
      </c>
      <c r="P317" t="n">
        <v>0</v>
      </c>
      <c r="Q317" t="n">
        <v>0</v>
      </c>
      <c r="R317" s="2" t="inlineStr"/>
    </row>
    <row r="318" ht="15" customHeight="1">
      <c r="A318" t="inlineStr">
        <is>
          <t>A 16676-2025</t>
        </is>
      </c>
      <c r="B318" s="1" t="n">
        <v>45754.44658564815</v>
      </c>
      <c r="C318" s="1" t="n">
        <v>45989</v>
      </c>
      <c r="D318" t="inlineStr">
        <is>
          <t>ÖREBRO LÄN</t>
        </is>
      </c>
      <c r="E318" t="inlineStr">
        <is>
          <t>ÖREBRO</t>
        </is>
      </c>
      <c r="G318" t="n">
        <v>5.8</v>
      </c>
      <c r="H318" t="n">
        <v>0</v>
      </c>
      <c r="I318" t="n">
        <v>0</v>
      </c>
      <c r="J318" t="n">
        <v>0</v>
      </c>
      <c r="K318" t="n">
        <v>0</v>
      </c>
      <c r="L318" t="n">
        <v>0</v>
      </c>
      <c r="M318" t="n">
        <v>0</v>
      </c>
      <c r="N318" t="n">
        <v>0</v>
      </c>
      <c r="O318" t="n">
        <v>0</v>
      </c>
      <c r="P318" t="n">
        <v>0</v>
      </c>
      <c r="Q318" t="n">
        <v>0</v>
      </c>
      <c r="R318" s="2" t="inlineStr"/>
    </row>
    <row r="319" ht="15" customHeight="1">
      <c r="A319" t="inlineStr">
        <is>
          <t>A 35928-2025</t>
        </is>
      </c>
      <c r="B319" s="1" t="n">
        <v>45862</v>
      </c>
      <c r="C319" s="1" t="n">
        <v>45989</v>
      </c>
      <c r="D319" t="inlineStr">
        <is>
          <t>ÖREBRO LÄN</t>
        </is>
      </c>
      <c r="E319" t="inlineStr">
        <is>
          <t>ÖREBRO</t>
        </is>
      </c>
      <c r="G319" t="n">
        <v>4.4</v>
      </c>
      <c r="H319" t="n">
        <v>0</v>
      </c>
      <c r="I319" t="n">
        <v>0</v>
      </c>
      <c r="J319" t="n">
        <v>0</v>
      </c>
      <c r="K319" t="n">
        <v>0</v>
      </c>
      <c r="L319" t="n">
        <v>0</v>
      </c>
      <c r="M319" t="n">
        <v>0</v>
      </c>
      <c r="N319" t="n">
        <v>0</v>
      </c>
      <c r="O319" t="n">
        <v>0</v>
      </c>
      <c r="P319" t="n">
        <v>0</v>
      </c>
      <c r="Q319" t="n">
        <v>0</v>
      </c>
      <c r="R319" s="2" t="inlineStr"/>
    </row>
    <row r="320" ht="15" customHeight="1">
      <c r="A320" t="inlineStr">
        <is>
          <t>A 23741-2022</t>
        </is>
      </c>
      <c r="B320" s="1" t="n">
        <v>44722</v>
      </c>
      <c r="C320" s="1" t="n">
        <v>45989</v>
      </c>
      <c r="D320" t="inlineStr">
        <is>
          <t>ÖREBRO LÄN</t>
        </is>
      </c>
      <c r="E320" t="inlineStr">
        <is>
          <t>ÖREBRO</t>
        </is>
      </c>
      <c r="G320" t="n">
        <v>1.3</v>
      </c>
      <c r="H320" t="n">
        <v>0</v>
      </c>
      <c r="I320" t="n">
        <v>0</v>
      </c>
      <c r="J320" t="n">
        <v>0</v>
      </c>
      <c r="K320" t="n">
        <v>0</v>
      </c>
      <c r="L320" t="n">
        <v>0</v>
      </c>
      <c r="M320" t="n">
        <v>0</v>
      </c>
      <c r="N320" t="n">
        <v>0</v>
      </c>
      <c r="O320" t="n">
        <v>0</v>
      </c>
      <c r="P320" t="n">
        <v>0</v>
      </c>
      <c r="Q320" t="n">
        <v>0</v>
      </c>
      <c r="R320" s="2" t="inlineStr"/>
    </row>
    <row r="321" ht="15" customHeight="1">
      <c r="A321" t="inlineStr">
        <is>
          <t>A 8274-2025</t>
        </is>
      </c>
      <c r="B321" s="1" t="n">
        <v>45708</v>
      </c>
      <c r="C321" s="1" t="n">
        <v>45989</v>
      </c>
      <c r="D321" t="inlineStr">
        <is>
          <t>ÖREBRO LÄN</t>
        </is>
      </c>
      <c r="E321" t="inlineStr">
        <is>
          <t>ÖREBRO</t>
        </is>
      </c>
      <c r="G321" t="n">
        <v>5.8</v>
      </c>
      <c r="H321" t="n">
        <v>0</v>
      </c>
      <c r="I321" t="n">
        <v>0</v>
      </c>
      <c r="J321" t="n">
        <v>0</v>
      </c>
      <c r="K321" t="n">
        <v>0</v>
      </c>
      <c r="L321" t="n">
        <v>0</v>
      </c>
      <c r="M321" t="n">
        <v>0</v>
      </c>
      <c r="N321" t="n">
        <v>0</v>
      </c>
      <c r="O321" t="n">
        <v>0</v>
      </c>
      <c r="P321" t="n">
        <v>0</v>
      </c>
      <c r="Q321" t="n">
        <v>0</v>
      </c>
      <c r="R321" s="2" t="inlineStr"/>
    </row>
    <row r="322" ht="15" customHeight="1">
      <c r="A322" t="inlineStr">
        <is>
          <t>A 55453-2024</t>
        </is>
      </c>
      <c r="B322" s="1" t="n">
        <v>45622.42097222222</v>
      </c>
      <c r="C322" s="1" t="n">
        <v>45989</v>
      </c>
      <c r="D322" t="inlineStr">
        <is>
          <t>ÖREBRO LÄN</t>
        </is>
      </c>
      <c r="E322" t="inlineStr">
        <is>
          <t>ÖREBRO</t>
        </is>
      </c>
      <c r="G322" t="n">
        <v>8.5</v>
      </c>
      <c r="H322" t="n">
        <v>0</v>
      </c>
      <c r="I322" t="n">
        <v>0</v>
      </c>
      <c r="J322" t="n">
        <v>0</v>
      </c>
      <c r="K322" t="n">
        <v>0</v>
      </c>
      <c r="L322" t="n">
        <v>0</v>
      </c>
      <c r="M322" t="n">
        <v>0</v>
      </c>
      <c r="N322" t="n">
        <v>0</v>
      </c>
      <c r="O322" t="n">
        <v>0</v>
      </c>
      <c r="P322" t="n">
        <v>0</v>
      </c>
      <c r="Q322" t="n">
        <v>0</v>
      </c>
      <c r="R322" s="2" t="inlineStr"/>
    </row>
    <row r="323" ht="15" customHeight="1">
      <c r="A323" t="inlineStr">
        <is>
          <t>A 58620-2024</t>
        </is>
      </c>
      <c r="B323" s="1" t="n">
        <v>45635.56246527778</v>
      </c>
      <c r="C323" s="1" t="n">
        <v>45989</v>
      </c>
      <c r="D323" t="inlineStr">
        <is>
          <t>ÖREBRO LÄN</t>
        </is>
      </c>
      <c r="E323" t="inlineStr">
        <is>
          <t>ÖREBRO</t>
        </is>
      </c>
      <c r="F323" t="inlineStr">
        <is>
          <t>Sveaskog</t>
        </is>
      </c>
      <c r="G323" t="n">
        <v>4.5</v>
      </c>
      <c r="H323" t="n">
        <v>0</v>
      </c>
      <c r="I323" t="n">
        <v>0</v>
      </c>
      <c r="J323" t="n">
        <v>0</v>
      </c>
      <c r="K323" t="n">
        <v>0</v>
      </c>
      <c r="L323" t="n">
        <v>0</v>
      </c>
      <c r="M323" t="n">
        <v>0</v>
      </c>
      <c r="N323" t="n">
        <v>0</v>
      </c>
      <c r="O323" t="n">
        <v>0</v>
      </c>
      <c r="P323" t="n">
        <v>0</v>
      </c>
      <c r="Q323" t="n">
        <v>0</v>
      </c>
      <c r="R323" s="2" t="inlineStr"/>
    </row>
    <row r="324" ht="15" customHeight="1">
      <c r="A324" t="inlineStr">
        <is>
          <t>A 32025-2024</t>
        </is>
      </c>
      <c r="B324" s="1" t="n">
        <v>45510.65754629629</v>
      </c>
      <c r="C324" s="1" t="n">
        <v>45989</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7141-2025</t>
        </is>
      </c>
      <c r="B325" s="1" t="n">
        <v>45702</v>
      </c>
      <c r="C325" s="1" t="n">
        <v>45989</v>
      </c>
      <c r="D325" t="inlineStr">
        <is>
          <t>ÖREBRO LÄN</t>
        </is>
      </c>
      <c r="E325" t="inlineStr">
        <is>
          <t>ÖREBRO</t>
        </is>
      </c>
      <c r="G325" t="n">
        <v>2.9</v>
      </c>
      <c r="H325" t="n">
        <v>0</v>
      </c>
      <c r="I325" t="n">
        <v>0</v>
      </c>
      <c r="J325" t="n">
        <v>0</v>
      </c>
      <c r="K325" t="n">
        <v>0</v>
      </c>
      <c r="L325" t="n">
        <v>0</v>
      </c>
      <c r="M325" t="n">
        <v>0</v>
      </c>
      <c r="N325" t="n">
        <v>0</v>
      </c>
      <c r="O325" t="n">
        <v>0</v>
      </c>
      <c r="P325" t="n">
        <v>0</v>
      </c>
      <c r="Q325" t="n">
        <v>0</v>
      </c>
      <c r="R325" s="2" t="inlineStr"/>
    </row>
    <row r="326" ht="15" customHeight="1">
      <c r="A326" t="inlineStr">
        <is>
          <t>A 59024-2024</t>
        </is>
      </c>
      <c r="B326" s="1" t="n">
        <v>45636.68505787037</v>
      </c>
      <c r="C326" s="1" t="n">
        <v>45989</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13657-2025</t>
        </is>
      </c>
      <c r="B327" s="1" t="n">
        <v>45736.7427662037</v>
      </c>
      <c r="C327" s="1" t="n">
        <v>45989</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57867-2024</t>
        </is>
      </c>
      <c r="B328" s="1" t="n">
        <v>45631.43864583333</v>
      </c>
      <c r="C328" s="1" t="n">
        <v>45989</v>
      </c>
      <c r="D328" t="inlineStr">
        <is>
          <t>ÖREBRO LÄN</t>
        </is>
      </c>
      <c r="E328" t="inlineStr">
        <is>
          <t>ÖREBRO</t>
        </is>
      </c>
      <c r="G328" t="n">
        <v>1.5</v>
      </c>
      <c r="H328" t="n">
        <v>0</v>
      </c>
      <c r="I328" t="n">
        <v>0</v>
      </c>
      <c r="J328" t="n">
        <v>0</v>
      </c>
      <c r="K328" t="n">
        <v>0</v>
      </c>
      <c r="L328" t="n">
        <v>0</v>
      </c>
      <c r="M328" t="n">
        <v>0</v>
      </c>
      <c r="N328" t="n">
        <v>0</v>
      </c>
      <c r="O328" t="n">
        <v>0</v>
      </c>
      <c r="P328" t="n">
        <v>0</v>
      </c>
      <c r="Q328" t="n">
        <v>0</v>
      </c>
      <c r="R328" s="2" t="inlineStr"/>
    </row>
    <row r="329" ht="15" customHeight="1">
      <c r="A329" t="inlineStr">
        <is>
          <t>A 29138-2022</t>
        </is>
      </c>
      <c r="B329" s="1" t="n">
        <v>44750</v>
      </c>
      <c r="C329" s="1" t="n">
        <v>45989</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29143-2022</t>
        </is>
      </c>
      <c r="B330" s="1" t="n">
        <v>44750</v>
      </c>
      <c r="C330" s="1" t="n">
        <v>45989</v>
      </c>
      <c r="D330" t="inlineStr">
        <is>
          <t>ÖREBRO LÄN</t>
        </is>
      </c>
      <c r="E330" t="inlineStr">
        <is>
          <t>ÖREBRO</t>
        </is>
      </c>
      <c r="G330" t="n">
        <v>5.6</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45989</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45989</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21983-2021</t>
        </is>
      </c>
      <c r="B333" s="1" t="n">
        <v>44323</v>
      </c>
      <c r="C333" s="1" t="n">
        <v>45989</v>
      </c>
      <c r="D333" t="inlineStr">
        <is>
          <t>ÖREBRO LÄN</t>
        </is>
      </c>
      <c r="E333" t="inlineStr">
        <is>
          <t>ÖREBRO</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54485-2025</t>
        </is>
      </c>
      <c r="B334" s="1" t="n">
        <v>45965.59295138889</v>
      </c>
      <c r="C334" s="1" t="n">
        <v>45989</v>
      </c>
      <c r="D334" t="inlineStr">
        <is>
          <t>ÖREBRO LÄN</t>
        </is>
      </c>
      <c r="E334" t="inlineStr">
        <is>
          <t>ÖREBRO</t>
        </is>
      </c>
      <c r="F334" t="inlineStr">
        <is>
          <t>Allmännings- och besparingsskogar</t>
        </is>
      </c>
      <c r="G334" t="n">
        <v>1.7</v>
      </c>
      <c r="H334" t="n">
        <v>0</v>
      </c>
      <c r="I334" t="n">
        <v>0</v>
      </c>
      <c r="J334" t="n">
        <v>0</v>
      </c>
      <c r="K334" t="n">
        <v>0</v>
      </c>
      <c r="L334" t="n">
        <v>0</v>
      </c>
      <c r="M334" t="n">
        <v>0</v>
      </c>
      <c r="N334" t="n">
        <v>0</v>
      </c>
      <c r="O334" t="n">
        <v>0</v>
      </c>
      <c r="P334" t="n">
        <v>0</v>
      </c>
      <c r="Q334" t="n">
        <v>0</v>
      </c>
      <c r="R334" s="2" t="inlineStr"/>
    </row>
    <row r="335" ht="15" customHeight="1">
      <c r="A335" t="inlineStr">
        <is>
          <t>A 3120-2022</t>
        </is>
      </c>
      <c r="B335" s="1" t="n">
        <v>44582</v>
      </c>
      <c r="C335" s="1" t="n">
        <v>45989</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58606-2024</t>
        </is>
      </c>
      <c r="B336" s="1" t="n">
        <v>45635.54747685185</v>
      </c>
      <c r="C336" s="1" t="n">
        <v>45989</v>
      </c>
      <c r="D336" t="inlineStr">
        <is>
          <t>ÖREBRO LÄN</t>
        </is>
      </c>
      <c r="E336" t="inlineStr">
        <is>
          <t>ÖREBRO</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26101-2022</t>
        </is>
      </c>
      <c r="B337" s="1" t="n">
        <v>44734</v>
      </c>
      <c r="C337" s="1" t="n">
        <v>45989</v>
      </c>
      <c r="D337" t="inlineStr">
        <is>
          <t>ÖREBRO LÄN</t>
        </is>
      </c>
      <c r="E337" t="inlineStr">
        <is>
          <t>ÖREBRO</t>
        </is>
      </c>
      <c r="G337" t="n">
        <v>15.8</v>
      </c>
      <c r="H337" t="n">
        <v>0</v>
      </c>
      <c r="I337" t="n">
        <v>0</v>
      </c>
      <c r="J337" t="n">
        <v>0</v>
      </c>
      <c r="K337" t="n">
        <v>0</v>
      </c>
      <c r="L337" t="n">
        <v>0</v>
      </c>
      <c r="M337" t="n">
        <v>0</v>
      </c>
      <c r="N337" t="n">
        <v>0</v>
      </c>
      <c r="O337" t="n">
        <v>0</v>
      </c>
      <c r="P337" t="n">
        <v>0</v>
      </c>
      <c r="Q337" t="n">
        <v>0</v>
      </c>
      <c r="R337" s="2" t="inlineStr"/>
    </row>
    <row r="338" ht="15" customHeight="1">
      <c r="A338" t="inlineStr">
        <is>
          <t>A 58486-2024</t>
        </is>
      </c>
      <c r="B338" s="1" t="n">
        <v>45635</v>
      </c>
      <c r="C338" s="1" t="n">
        <v>45989</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14053-2025</t>
        </is>
      </c>
      <c r="B339" s="1" t="n">
        <v>45739</v>
      </c>
      <c r="C339" s="1" t="n">
        <v>45989</v>
      </c>
      <c r="D339" t="inlineStr">
        <is>
          <t>ÖREBRO LÄN</t>
        </is>
      </c>
      <c r="E339" t="inlineStr">
        <is>
          <t>ÖREBRO</t>
        </is>
      </c>
      <c r="G339" t="n">
        <v>3.5</v>
      </c>
      <c r="H339" t="n">
        <v>0</v>
      </c>
      <c r="I339" t="n">
        <v>0</v>
      </c>
      <c r="J339" t="n">
        <v>0</v>
      </c>
      <c r="K339" t="n">
        <v>0</v>
      </c>
      <c r="L339" t="n">
        <v>0</v>
      </c>
      <c r="M339" t="n">
        <v>0</v>
      </c>
      <c r="N339" t="n">
        <v>0</v>
      </c>
      <c r="O339" t="n">
        <v>0</v>
      </c>
      <c r="P339" t="n">
        <v>0</v>
      </c>
      <c r="Q339" t="n">
        <v>0</v>
      </c>
      <c r="R339" s="2" t="inlineStr"/>
    </row>
    <row r="340" ht="15" customHeight="1">
      <c r="A340" t="inlineStr">
        <is>
          <t>A 35345-2024</t>
        </is>
      </c>
      <c r="B340" s="1" t="n">
        <v>45530</v>
      </c>
      <c r="C340" s="1" t="n">
        <v>45989</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55003-2025</t>
        </is>
      </c>
      <c r="B341" s="1" t="n">
        <v>45967</v>
      </c>
      <c r="C341" s="1" t="n">
        <v>45989</v>
      </c>
      <c r="D341" t="inlineStr">
        <is>
          <t>ÖREBRO LÄN</t>
        </is>
      </c>
      <c r="E341" t="inlineStr">
        <is>
          <t>ÖREBRO</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123-2025</t>
        </is>
      </c>
      <c r="B342" s="1" t="n">
        <v>45659.54851851852</v>
      </c>
      <c r="C342" s="1" t="n">
        <v>45989</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30472-2022</t>
        </is>
      </c>
      <c r="B343" s="1" t="n">
        <v>44761.70467592592</v>
      </c>
      <c r="C343" s="1" t="n">
        <v>45989</v>
      </c>
      <c r="D343" t="inlineStr">
        <is>
          <t>ÖREBRO LÄN</t>
        </is>
      </c>
      <c r="E343" t="inlineStr">
        <is>
          <t>ÖREBRO</t>
        </is>
      </c>
      <c r="F343" t="inlineStr">
        <is>
          <t>Övriga Aktiebolag</t>
        </is>
      </c>
      <c r="G343" t="n">
        <v>5.6</v>
      </c>
      <c r="H343" t="n">
        <v>0</v>
      </c>
      <c r="I343" t="n">
        <v>0</v>
      </c>
      <c r="J343" t="n">
        <v>0</v>
      </c>
      <c r="K343" t="n">
        <v>0</v>
      </c>
      <c r="L343" t="n">
        <v>0</v>
      </c>
      <c r="M343" t="n">
        <v>0</v>
      </c>
      <c r="N343" t="n">
        <v>0</v>
      </c>
      <c r="O343" t="n">
        <v>0</v>
      </c>
      <c r="P343" t="n">
        <v>0</v>
      </c>
      <c r="Q343" t="n">
        <v>0</v>
      </c>
      <c r="R343" s="2" t="inlineStr"/>
    </row>
    <row r="344" ht="15" customHeight="1">
      <c r="A344" t="inlineStr">
        <is>
          <t>A 6869-2025</t>
        </is>
      </c>
      <c r="B344" s="1" t="n">
        <v>45700</v>
      </c>
      <c r="C344" s="1" t="n">
        <v>45989</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57869-2024</t>
        </is>
      </c>
      <c r="B345" s="1" t="n">
        <v>45631.44207175926</v>
      </c>
      <c r="C345" s="1" t="n">
        <v>45989</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29554-2025</t>
        </is>
      </c>
      <c r="B346" s="1" t="n">
        <v>45825</v>
      </c>
      <c r="C346" s="1" t="n">
        <v>45989</v>
      </c>
      <c r="D346" t="inlineStr">
        <is>
          <t>ÖREBRO LÄN</t>
        </is>
      </c>
      <c r="E346" t="inlineStr">
        <is>
          <t>ÖREBRO</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37277-2022</t>
        </is>
      </c>
      <c r="B347" s="1" t="n">
        <v>44807.49150462963</v>
      </c>
      <c r="C347" s="1" t="n">
        <v>45989</v>
      </c>
      <c r="D347" t="inlineStr">
        <is>
          <t>ÖREBRO LÄN</t>
        </is>
      </c>
      <c r="E347" t="inlineStr">
        <is>
          <t>ÖREBRO</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27956-2023</t>
        </is>
      </c>
      <c r="B348" s="1" t="n">
        <v>45098</v>
      </c>
      <c r="C348" s="1" t="n">
        <v>45989</v>
      </c>
      <c r="D348" t="inlineStr">
        <is>
          <t>ÖREBRO LÄN</t>
        </is>
      </c>
      <c r="E348" t="inlineStr">
        <is>
          <t>ÖREBRO</t>
        </is>
      </c>
      <c r="G348" t="n">
        <v>0.8</v>
      </c>
      <c r="H348" t="n">
        <v>0</v>
      </c>
      <c r="I348" t="n">
        <v>0</v>
      </c>
      <c r="J348" t="n">
        <v>0</v>
      </c>
      <c r="K348" t="n">
        <v>0</v>
      </c>
      <c r="L348" t="n">
        <v>0</v>
      </c>
      <c r="M348" t="n">
        <v>0</v>
      </c>
      <c r="N348" t="n">
        <v>0</v>
      </c>
      <c r="O348" t="n">
        <v>0</v>
      </c>
      <c r="P348" t="n">
        <v>0</v>
      </c>
      <c r="Q348" t="n">
        <v>0</v>
      </c>
      <c r="R348" s="2" t="inlineStr"/>
    </row>
    <row r="349" ht="15" customHeight="1">
      <c r="A349" t="inlineStr">
        <is>
          <t>A 51331-2023</t>
        </is>
      </c>
      <c r="B349" s="1" t="n">
        <v>45219</v>
      </c>
      <c r="C349" s="1" t="n">
        <v>45989</v>
      </c>
      <c r="D349" t="inlineStr">
        <is>
          <t>ÖREBRO LÄN</t>
        </is>
      </c>
      <c r="E349" t="inlineStr">
        <is>
          <t>ÖREBRO</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55748-2025</t>
        </is>
      </c>
      <c r="B350" s="1" t="n">
        <v>45972.57893518519</v>
      </c>
      <c r="C350" s="1" t="n">
        <v>45989</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40588-2021</t>
        </is>
      </c>
      <c r="B351" s="1" t="n">
        <v>44420</v>
      </c>
      <c r="C351" s="1" t="n">
        <v>45989</v>
      </c>
      <c r="D351" t="inlineStr">
        <is>
          <t>ÖREBRO LÄN</t>
        </is>
      </c>
      <c r="E351" t="inlineStr">
        <is>
          <t>ÖREBRO</t>
        </is>
      </c>
      <c r="G351" t="n">
        <v>1.1</v>
      </c>
      <c r="H351" t="n">
        <v>0</v>
      </c>
      <c r="I351" t="n">
        <v>0</v>
      </c>
      <c r="J351" t="n">
        <v>0</v>
      </c>
      <c r="K351" t="n">
        <v>0</v>
      </c>
      <c r="L351" t="n">
        <v>0</v>
      </c>
      <c r="M351" t="n">
        <v>0</v>
      </c>
      <c r="N351" t="n">
        <v>0</v>
      </c>
      <c r="O351" t="n">
        <v>0</v>
      </c>
      <c r="P351" t="n">
        <v>0</v>
      </c>
      <c r="Q351" t="n">
        <v>0</v>
      </c>
      <c r="R351" s="2" t="inlineStr"/>
    </row>
    <row r="352" ht="15" customHeight="1">
      <c r="A352" t="inlineStr">
        <is>
          <t>A 55750-2025</t>
        </is>
      </c>
      <c r="B352" s="1" t="n">
        <v>45972.58171296296</v>
      </c>
      <c r="C352" s="1" t="n">
        <v>45989</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40231-2022</t>
        </is>
      </c>
      <c r="B353" s="1" t="n">
        <v>44820</v>
      </c>
      <c r="C353" s="1" t="n">
        <v>45989</v>
      </c>
      <c r="D353" t="inlineStr">
        <is>
          <t>ÖREBRO LÄN</t>
        </is>
      </c>
      <c r="E353" t="inlineStr">
        <is>
          <t>ÖREBRO</t>
        </is>
      </c>
      <c r="F353" t="inlineStr">
        <is>
          <t>Allmännings- och besparingsskogar</t>
        </is>
      </c>
      <c r="G353" t="n">
        <v>2.2</v>
      </c>
      <c r="H353" t="n">
        <v>0</v>
      </c>
      <c r="I353" t="n">
        <v>0</v>
      </c>
      <c r="J353" t="n">
        <v>0</v>
      </c>
      <c r="K353" t="n">
        <v>0</v>
      </c>
      <c r="L353" t="n">
        <v>0</v>
      </c>
      <c r="M353" t="n">
        <v>0</v>
      </c>
      <c r="N353" t="n">
        <v>0</v>
      </c>
      <c r="O353" t="n">
        <v>0</v>
      </c>
      <c r="P353" t="n">
        <v>0</v>
      </c>
      <c r="Q353" t="n">
        <v>0</v>
      </c>
      <c r="R353" s="2" t="inlineStr"/>
    </row>
    <row r="354" ht="15" customHeight="1">
      <c r="A354" t="inlineStr">
        <is>
          <t>A 4284-2025</t>
        </is>
      </c>
      <c r="B354" s="1" t="n">
        <v>45685</v>
      </c>
      <c r="C354" s="1" t="n">
        <v>45989</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8331-2021</t>
        </is>
      </c>
      <c r="B355" s="1" t="n">
        <v>44244</v>
      </c>
      <c r="C355" s="1" t="n">
        <v>45989</v>
      </c>
      <c r="D355" t="inlineStr">
        <is>
          <t>ÖREBRO LÄN</t>
        </is>
      </c>
      <c r="E355" t="inlineStr">
        <is>
          <t>ÖREBRO</t>
        </is>
      </c>
      <c r="G355" t="n">
        <v>9.1</v>
      </c>
      <c r="H355" t="n">
        <v>0</v>
      </c>
      <c r="I355" t="n">
        <v>0</v>
      </c>
      <c r="J355" t="n">
        <v>0</v>
      </c>
      <c r="K355" t="n">
        <v>0</v>
      </c>
      <c r="L355" t="n">
        <v>0</v>
      </c>
      <c r="M355" t="n">
        <v>0</v>
      </c>
      <c r="N355" t="n">
        <v>0</v>
      </c>
      <c r="O355" t="n">
        <v>0</v>
      </c>
      <c r="P355" t="n">
        <v>0</v>
      </c>
      <c r="Q355" t="n">
        <v>0</v>
      </c>
      <c r="R355" s="2" t="inlineStr"/>
    </row>
    <row r="356" ht="15" customHeight="1">
      <c r="A356" t="inlineStr">
        <is>
          <t>A 8332-2021</t>
        </is>
      </c>
      <c r="B356" s="1" t="n">
        <v>44244</v>
      </c>
      <c r="C356" s="1" t="n">
        <v>45989</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25443-2021</t>
        </is>
      </c>
      <c r="B357" s="1" t="n">
        <v>44342</v>
      </c>
      <c r="C357" s="1" t="n">
        <v>45989</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55879-2025</t>
        </is>
      </c>
      <c r="B358" s="1" t="n">
        <v>45973.36508101852</v>
      </c>
      <c r="C358" s="1" t="n">
        <v>45989</v>
      </c>
      <c r="D358" t="inlineStr">
        <is>
          <t>ÖREBRO LÄN</t>
        </is>
      </c>
      <c r="E358" t="inlineStr">
        <is>
          <t>ÖREBRO</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66799-2020</t>
        </is>
      </c>
      <c r="B359" s="1" t="n">
        <v>44179</v>
      </c>
      <c r="C359" s="1" t="n">
        <v>45989</v>
      </c>
      <c r="D359" t="inlineStr">
        <is>
          <t>ÖREBRO LÄN</t>
        </is>
      </c>
      <c r="E359" t="inlineStr">
        <is>
          <t>ÖREBRO</t>
        </is>
      </c>
      <c r="G359" t="n">
        <v>5.2</v>
      </c>
      <c r="H359" t="n">
        <v>0</v>
      </c>
      <c r="I359" t="n">
        <v>0</v>
      </c>
      <c r="J359" t="n">
        <v>0</v>
      </c>
      <c r="K359" t="n">
        <v>0</v>
      </c>
      <c r="L359" t="n">
        <v>0</v>
      </c>
      <c r="M359" t="n">
        <v>0</v>
      </c>
      <c r="N359" t="n">
        <v>0</v>
      </c>
      <c r="O359" t="n">
        <v>0</v>
      </c>
      <c r="P359" t="n">
        <v>0</v>
      </c>
      <c r="Q359" t="n">
        <v>0</v>
      </c>
      <c r="R359" s="2" t="inlineStr"/>
    </row>
    <row r="360" ht="15" customHeight="1">
      <c r="A360" t="inlineStr">
        <is>
          <t>A 42623-2022</t>
        </is>
      </c>
      <c r="B360" s="1" t="n">
        <v>44831</v>
      </c>
      <c r="C360" s="1" t="n">
        <v>45989</v>
      </c>
      <c r="D360" t="inlineStr">
        <is>
          <t>ÖREBRO LÄN</t>
        </is>
      </c>
      <c r="E360" t="inlineStr">
        <is>
          <t>ÖREBRO</t>
        </is>
      </c>
      <c r="G360" t="n">
        <v>3.6</v>
      </c>
      <c r="H360" t="n">
        <v>0</v>
      </c>
      <c r="I360" t="n">
        <v>0</v>
      </c>
      <c r="J360" t="n">
        <v>0</v>
      </c>
      <c r="K360" t="n">
        <v>0</v>
      </c>
      <c r="L360" t="n">
        <v>0</v>
      </c>
      <c r="M360" t="n">
        <v>0</v>
      </c>
      <c r="N360" t="n">
        <v>0</v>
      </c>
      <c r="O360" t="n">
        <v>0</v>
      </c>
      <c r="P360" t="n">
        <v>0</v>
      </c>
      <c r="Q360" t="n">
        <v>0</v>
      </c>
      <c r="R360" s="2" t="inlineStr"/>
    </row>
    <row r="361" ht="15" customHeight="1">
      <c r="A361" t="inlineStr">
        <is>
          <t>A 38057-2025</t>
        </is>
      </c>
      <c r="B361" s="1" t="n">
        <v>45882.42570601852</v>
      </c>
      <c r="C361" s="1" t="n">
        <v>45989</v>
      </c>
      <c r="D361" t="inlineStr">
        <is>
          <t>ÖREBRO LÄN</t>
        </is>
      </c>
      <c r="E361" t="inlineStr">
        <is>
          <t>ÖREBRO</t>
        </is>
      </c>
      <c r="G361" t="n">
        <v>3</v>
      </c>
      <c r="H361" t="n">
        <v>0</v>
      </c>
      <c r="I361" t="n">
        <v>0</v>
      </c>
      <c r="J361" t="n">
        <v>0</v>
      </c>
      <c r="K361" t="n">
        <v>0</v>
      </c>
      <c r="L361" t="n">
        <v>0</v>
      </c>
      <c r="M361" t="n">
        <v>0</v>
      </c>
      <c r="N361" t="n">
        <v>0</v>
      </c>
      <c r="O361" t="n">
        <v>0</v>
      </c>
      <c r="P361" t="n">
        <v>0</v>
      </c>
      <c r="Q361" t="n">
        <v>0</v>
      </c>
      <c r="R361" s="2" t="inlineStr"/>
    </row>
    <row r="362" ht="15" customHeight="1">
      <c r="A362" t="inlineStr">
        <is>
          <t>A 55888-2025</t>
        </is>
      </c>
      <c r="B362" s="1" t="n">
        <v>45973.37163194444</v>
      </c>
      <c r="C362" s="1" t="n">
        <v>45989</v>
      </c>
      <c r="D362" t="inlineStr">
        <is>
          <t>ÖREBRO LÄN</t>
        </is>
      </c>
      <c r="E362" t="inlineStr">
        <is>
          <t>ÖREBRO</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3763-2025</t>
        </is>
      </c>
      <c r="B363" s="1" t="n">
        <v>45681</v>
      </c>
      <c r="C363" s="1" t="n">
        <v>45989</v>
      </c>
      <c r="D363" t="inlineStr">
        <is>
          <t>ÖREBRO LÄN</t>
        </is>
      </c>
      <c r="E363" t="inlineStr">
        <is>
          <t>ÖREBRO</t>
        </is>
      </c>
      <c r="G363" t="n">
        <v>10.1</v>
      </c>
      <c r="H363" t="n">
        <v>0</v>
      </c>
      <c r="I363" t="n">
        <v>0</v>
      </c>
      <c r="J363" t="n">
        <v>0</v>
      </c>
      <c r="K363" t="n">
        <v>0</v>
      </c>
      <c r="L363" t="n">
        <v>0</v>
      </c>
      <c r="M363" t="n">
        <v>0</v>
      </c>
      <c r="N363" t="n">
        <v>0</v>
      </c>
      <c r="O363" t="n">
        <v>0</v>
      </c>
      <c r="P363" t="n">
        <v>0</v>
      </c>
      <c r="Q363" t="n">
        <v>0</v>
      </c>
      <c r="R363" s="2" t="inlineStr"/>
    </row>
    <row r="364" ht="15" customHeight="1">
      <c r="A364" t="inlineStr">
        <is>
          <t>A 11663-2024</t>
        </is>
      </c>
      <c r="B364" s="1" t="n">
        <v>45373</v>
      </c>
      <c r="C364" s="1" t="n">
        <v>45989</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10829-2023</t>
        </is>
      </c>
      <c r="B365" s="1" t="n">
        <v>44990.88512731482</v>
      </c>
      <c r="C365" s="1" t="n">
        <v>45989</v>
      </c>
      <c r="D365" t="inlineStr">
        <is>
          <t>ÖREBRO LÄN</t>
        </is>
      </c>
      <c r="E365" t="inlineStr">
        <is>
          <t>ÖREBRO</t>
        </is>
      </c>
      <c r="G365" t="n">
        <v>4.4</v>
      </c>
      <c r="H365" t="n">
        <v>0</v>
      </c>
      <c r="I365" t="n">
        <v>0</v>
      </c>
      <c r="J365" t="n">
        <v>0</v>
      </c>
      <c r="K365" t="n">
        <v>0</v>
      </c>
      <c r="L365" t="n">
        <v>0</v>
      </c>
      <c r="M365" t="n">
        <v>0</v>
      </c>
      <c r="N365" t="n">
        <v>0</v>
      </c>
      <c r="O365" t="n">
        <v>0</v>
      </c>
      <c r="P365" t="n">
        <v>0</v>
      </c>
      <c r="Q365" t="n">
        <v>0</v>
      </c>
      <c r="R365" s="2" t="inlineStr"/>
    </row>
    <row r="366" ht="15" customHeight="1">
      <c r="A366" t="inlineStr">
        <is>
          <t>A 10831-2023</t>
        </is>
      </c>
      <c r="B366" s="1" t="n">
        <v>44990.90357638889</v>
      </c>
      <c r="C366" s="1" t="n">
        <v>45989</v>
      </c>
      <c r="D366" t="inlineStr">
        <is>
          <t>ÖREBRO LÄN</t>
        </is>
      </c>
      <c r="E366" t="inlineStr">
        <is>
          <t>ÖREBRO</t>
        </is>
      </c>
      <c r="G366" t="n">
        <v>1.9</v>
      </c>
      <c r="H366" t="n">
        <v>0</v>
      </c>
      <c r="I366" t="n">
        <v>0</v>
      </c>
      <c r="J366" t="n">
        <v>0</v>
      </c>
      <c r="K366" t="n">
        <v>0</v>
      </c>
      <c r="L366" t="n">
        <v>0</v>
      </c>
      <c r="M366" t="n">
        <v>0</v>
      </c>
      <c r="N366" t="n">
        <v>0</v>
      </c>
      <c r="O366" t="n">
        <v>0</v>
      </c>
      <c r="P366" t="n">
        <v>0</v>
      </c>
      <c r="Q366" t="n">
        <v>0</v>
      </c>
      <c r="R366" s="2" t="inlineStr"/>
    </row>
    <row r="367" ht="15" customHeight="1">
      <c r="A367" t="inlineStr">
        <is>
          <t>A 16165-2023</t>
        </is>
      </c>
      <c r="B367" s="1" t="n">
        <v>45027</v>
      </c>
      <c r="C367" s="1" t="n">
        <v>45989</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57247-2022</t>
        </is>
      </c>
      <c r="B368" s="1" t="n">
        <v>44895.73065972222</v>
      </c>
      <c r="C368" s="1" t="n">
        <v>45989</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48454-2025</t>
        </is>
      </c>
      <c r="B369" s="1" t="n">
        <v>45935.80164351852</v>
      </c>
      <c r="C369" s="1" t="n">
        <v>45989</v>
      </c>
      <c r="D369" t="inlineStr">
        <is>
          <t>ÖREBRO LÄN</t>
        </is>
      </c>
      <c r="E369" t="inlineStr">
        <is>
          <t>ÖREBRO</t>
        </is>
      </c>
      <c r="F369" t="inlineStr">
        <is>
          <t>Övriga Aktiebolag</t>
        </is>
      </c>
      <c r="G369" t="n">
        <v>18.1</v>
      </c>
      <c r="H369" t="n">
        <v>0</v>
      </c>
      <c r="I369" t="n">
        <v>0</v>
      </c>
      <c r="J369" t="n">
        <v>0</v>
      </c>
      <c r="K369" t="n">
        <v>0</v>
      </c>
      <c r="L369" t="n">
        <v>0</v>
      </c>
      <c r="M369" t="n">
        <v>0</v>
      </c>
      <c r="N369" t="n">
        <v>0</v>
      </c>
      <c r="O369" t="n">
        <v>0</v>
      </c>
      <c r="P369" t="n">
        <v>0</v>
      </c>
      <c r="Q369" t="n">
        <v>0</v>
      </c>
      <c r="R369" s="2" t="inlineStr"/>
    </row>
    <row r="370" ht="15" customHeight="1">
      <c r="A370" t="inlineStr">
        <is>
          <t>A 46757-2021</t>
        </is>
      </c>
      <c r="B370" s="1" t="n">
        <v>44445</v>
      </c>
      <c r="C370" s="1" t="n">
        <v>45989</v>
      </c>
      <c r="D370" t="inlineStr">
        <is>
          <t>ÖREBRO LÄN</t>
        </is>
      </c>
      <c r="E370" t="inlineStr">
        <is>
          <t>ÖREBRO</t>
        </is>
      </c>
      <c r="G370" t="n">
        <v>5.6</v>
      </c>
      <c r="H370" t="n">
        <v>0</v>
      </c>
      <c r="I370" t="n">
        <v>0</v>
      </c>
      <c r="J370" t="n">
        <v>0</v>
      </c>
      <c r="K370" t="n">
        <v>0</v>
      </c>
      <c r="L370" t="n">
        <v>0</v>
      </c>
      <c r="M370" t="n">
        <v>0</v>
      </c>
      <c r="N370" t="n">
        <v>0</v>
      </c>
      <c r="O370" t="n">
        <v>0</v>
      </c>
      <c r="P370" t="n">
        <v>0</v>
      </c>
      <c r="Q370" t="n">
        <v>0</v>
      </c>
      <c r="R370" s="2" t="inlineStr"/>
    </row>
    <row r="371" ht="15" customHeight="1">
      <c r="A371" t="inlineStr">
        <is>
          <t>A 30374-2023</t>
        </is>
      </c>
      <c r="B371" s="1" t="n">
        <v>45111</v>
      </c>
      <c r="C371" s="1" t="n">
        <v>45989</v>
      </c>
      <c r="D371" t="inlineStr">
        <is>
          <t>ÖREBRO LÄN</t>
        </is>
      </c>
      <c r="E371" t="inlineStr">
        <is>
          <t>ÖREBRO</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54678-2023</t>
        </is>
      </c>
      <c r="B372" s="1" t="n">
        <v>45235</v>
      </c>
      <c r="C372" s="1" t="n">
        <v>45989</v>
      </c>
      <c r="D372" t="inlineStr">
        <is>
          <t>ÖREBRO LÄN</t>
        </is>
      </c>
      <c r="E372" t="inlineStr">
        <is>
          <t>ÖREBRO</t>
        </is>
      </c>
      <c r="G372" t="n">
        <v>1.7</v>
      </c>
      <c r="H372" t="n">
        <v>0</v>
      </c>
      <c r="I372" t="n">
        <v>0</v>
      </c>
      <c r="J372" t="n">
        <v>0</v>
      </c>
      <c r="K372" t="n">
        <v>0</v>
      </c>
      <c r="L372" t="n">
        <v>0</v>
      </c>
      <c r="M372" t="n">
        <v>0</v>
      </c>
      <c r="N372" t="n">
        <v>0</v>
      </c>
      <c r="O372" t="n">
        <v>0</v>
      </c>
      <c r="P372" t="n">
        <v>0</v>
      </c>
      <c r="Q372" t="n">
        <v>0</v>
      </c>
      <c r="R372" s="2" t="inlineStr"/>
    </row>
    <row r="373" ht="15" customHeight="1">
      <c r="A373" t="inlineStr">
        <is>
          <t>A 57537-2025</t>
        </is>
      </c>
      <c r="B373" s="1" t="n">
        <v>45980.6446875</v>
      </c>
      <c r="C373" s="1" t="n">
        <v>45989</v>
      </c>
      <c r="D373" t="inlineStr">
        <is>
          <t>ÖREBRO LÄN</t>
        </is>
      </c>
      <c r="E373" t="inlineStr">
        <is>
          <t>ÖREBRO</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58219-2024</t>
        </is>
      </c>
      <c r="B374" s="1" t="n">
        <v>45632</v>
      </c>
      <c r="C374" s="1" t="n">
        <v>45989</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42518-2021</t>
        </is>
      </c>
      <c r="B375" s="1" t="n">
        <v>44427.81496527778</v>
      </c>
      <c r="C375" s="1" t="n">
        <v>45989</v>
      </c>
      <c r="D375" t="inlineStr">
        <is>
          <t>ÖREBRO LÄN</t>
        </is>
      </c>
      <c r="E375" t="inlineStr">
        <is>
          <t>ÖREBRO</t>
        </is>
      </c>
      <c r="G375" t="n">
        <v>4.5</v>
      </c>
      <c r="H375" t="n">
        <v>0</v>
      </c>
      <c r="I375" t="n">
        <v>0</v>
      </c>
      <c r="J375" t="n">
        <v>0</v>
      </c>
      <c r="K375" t="n">
        <v>0</v>
      </c>
      <c r="L375" t="n">
        <v>0</v>
      </c>
      <c r="M375" t="n">
        <v>0</v>
      </c>
      <c r="N375" t="n">
        <v>0</v>
      </c>
      <c r="O375" t="n">
        <v>0</v>
      </c>
      <c r="P375" t="n">
        <v>0</v>
      </c>
      <c r="Q375" t="n">
        <v>0</v>
      </c>
      <c r="R375" s="2" t="inlineStr"/>
    </row>
    <row r="376" ht="15" customHeight="1">
      <c r="A376" t="inlineStr">
        <is>
          <t>A 14545-2023</t>
        </is>
      </c>
      <c r="B376" s="1" t="n">
        <v>45013.34895833334</v>
      </c>
      <c r="C376" s="1" t="n">
        <v>45989</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27112-2023</t>
        </is>
      </c>
      <c r="B377" s="1" t="n">
        <v>45096</v>
      </c>
      <c r="C377" s="1" t="n">
        <v>45989</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14524-2025</t>
        </is>
      </c>
      <c r="B378" s="1" t="n">
        <v>45741.64815972222</v>
      </c>
      <c r="C378" s="1" t="n">
        <v>45989</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46834-2022</t>
        </is>
      </c>
      <c r="B379" s="1" t="n">
        <v>44851</v>
      </c>
      <c r="C379" s="1" t="n">
        <v>45989</v>
      </c>
      <c r="D379" t="inlineStr">
        <is>
          <t>ÖREBRO LÄN</t>
        </is>
      </c>
      <c r="E379" t="inlineStr">
        <is>
          <t>ÖREBRO</t>
        </is>
      </c>
      <c r="G379" t="n">
        <v>1.6</v>
      </c>
      <c r="H379" t="n">
        <v>0</v>
      </c>
      <c r="I379" t="n">
        <v>0</v>
      </c>
      <c r="J379" t="n">
        <v>0</v>
      </c>
      <c r="K379" t="n">
        <v>0</v>
      </c>
      <c r="L379" t="n">
        <v>0</v>
      </c>
      <c r="M379" t="n">
        <v>0</v>
      </c>
      <c r="N379" t="n">
        <v>0</v>
      </c>
      <c r="O379" t="n">
        <v>0</v>
      </c>
      <c r="P379" t="n">
        <v>0</v>
      </c>
      <c r="Q379" t="n">
        <v>0</v>
      </c>
      <c r="R379" s="2" t="inlineStr"/>
    </row>
    <row r="380" ht="15" customHeight="1">
      <c r="A380" t="inlineStr">
        <is>
          <t>A 57638-2022</t>
        </is>
      </c>
      <c r="B380" s="1" t="n">
        <v>44897</v>
      </c>
      <c r="C380" s="1" t="n">
        <v>45989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2152-2023</t>
        </is>
      </c>
      <c r="B381" s="1" t="n">
        <v>44941.55056712963</v>
      </c>
      <c r="C381" s="1" t="n">
        <v>45989</v>
      </c>
      <c r="D381" t="inlineStr">
        <is>
          <t>ÖREBRO LÄN</t>
        </is>
      </c>
      <c r="E381" t="inlineStr">
        <is>
          <t>ÖREBRO</t>
        </is>
      </c>
      <c r="G381" t="n">
        <v>8</v>
      </c>
      <c r="H381" t="n">
        <v>0</v>
      </c>
      <c r="I381" t="n">
        <v>0</v>
      </c>
      <c r="J381" t="n">
        <v>0</v>
      </c>
      <c r="K381" t="n">
        <v>0</v>
      </c>
      <c r="L381" t="n">
        <v>0</v>
      </c>
      <c r="M381" t="n">
        <v>0</v>
      </c>
      <c r="N381" t="n">
        <v>0</v>
      </c>
      <c r="O381" t="n">
        <v>0</v>
      </c>
      <c r="P381" t="n">
        <v>0</v>
      </c>
      <c r="Q381" t="n">
        <v>0</v>
      </c>
      <c r="R381" s="2" t="inlineStr"/>
    </row>
    <row r="382" ht="15" customHeight="1">
      <c r="A382" t="inlineStr">
        <is>
          <t>A 55745-2023</t>
        </is>
      </c>
      <c r="B382" s="1" t="n">
        <v>45239.44811342593</v>
      </c>
      <c r="C382" s="1" t="n">
        <v>45989</v>
      </c>
      <c r="D382" t="inlineStr">
        <is>
          <t>ÖREBRO LÄN</t>
        </is>
      </c>
      <c r="E382" t="inlineStr">
        <is>
          <t>ÖREBRO</t>
        </is>
      </c>
      <c r="G382" t="n">
        <v>13.3</v>
      </c>
      <c r="H382" t="n">
        <v>0</v>
      </c>
      <c r="I382" t="n">
        <v>0</v>
      </c>
      <c r="J382" t="n">
        <v>0</v>
      </c>
      <c r="K382" t="n">
        <v>0</v>
      </c>
      <c r="L382" t="n">
        <v>0</v>
      </c>
      <c r="M382" t="n">
        <v>0</v>
      </c>
      <c r="N382" t="n">
        <v>0</v>
      </c>
      <c r="O382" t="n">
        <v>0</v>
      </c>
      <c r="P382" t="n">
        <v>0</v>
      </c>
      <c r="Q382" t="n">
        <v>0</v>
      </c>
      <c r="R382" s="2" t="inlineStr"/>
    </row>
    <row r="383" ht="15" customHeight="1">
      <c r="A383" t="inlineStr">
        <is>
          <t>A 58230-2025</t>
        </is>
      </c>
      <c r="B383" s="1" t="n">
        <v>45985.38037037037</v>
      </c>
      <c r="C383" s="1" t="n">
        <v>45989</v>
      </c>
      <c r="D383" t="inlineStr">
        <is>
          <t>ÖREBRO LÄN</t>
        </is>
      </c>
      <c r="E383" t="inlineStr">
        <is>
          <t>ÖREBRO</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71285-2021</t>
        </is>
      </c>
      <c r="B384" s="1" t="n">
        <v>44539.62236111111</v>
      </c>
      <c r="C384" s="1" t="n">
        <v>45989</v>
      </c>
      <c r="D384" t="inlineStr">
        <is>
          <t>ÖREBRO LÄN</t>
        </is>
      </c>
      <c r="E384" t="inlineStr">
        <is>
          <t>ÖREBRO</t>
        </is>
      </c>
      <c r="G384" t="n">
        <v>0.8</v>
      </c>
      <c r="H384" t="n">
        <v>0</v>
      </c>
      <c r="I384" t="n">
        <v>0</v>
      </c>
      <c r="J384" t="n">
        <v>0</v>
      </c>
      <c r="K384" t="n">
        <v>0</v>
      </c>
      <c r="L384" t="n">
        <v>0</v>
      </c>
      <c r="M384" t="n">
        <v>0</v>
      </c>
      <c r="N384" t="n">
        <v>0</v>
      </c>
      <c r="O384" t="n">
        <v>0</v>
      </c>
      <c r="P384" t="n">
        <v>0</v>
      </c>
      <c r="Q384" t="n">
        <v>0</v>
      </c>
      <c r="R384" s="2" t="inlineStr"/>
    </row>
    <row r="385" ht="15" customHeight="1">
      <c r="A385" t="inlineStr">
        <is>
          <t>A 58587-2025</t>
        </is>
      </c>
      <c r="B385" s="1" t="n">
        <v>45986.40208333333</v>
      </c>
      <c r="C385" s="1" t="n">
        <v>45989</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60289-2023</t>
        </is>
      </c>
      <c r="B386" s="1" t="n">
        <v>45257</v>
      </c>
      <c r="C386" s="1" t="n">
        <v>45989</v>
      </c>
      <c r="D386" t="inlineStr">
        <is>
          <t>ÖREBRO LÄN</t>
        </is>
      </c>
      <c r="E386" t="inlineStr">
        <is>
          <t>ÖREBRO</t>
        </is>
      </c>
      <c r="G386" t="n">
        <v>10.9</v>
      </c>
      <c r="H386" t="n">
        <v>0</v>
      </c>
      <c r="I386" t="n">
        <v>0</v>
      </c>
      <c r="J386" t="n">
        <v>0</v>
      </c>
      <c r="K386" t="n">
        <v>0</v>
      </c>
      <c r="L386" t="n">
        <v>0</v>
      </c>
      <c r="M386" t="n">
        <v>0</v>
      </c>
      <c r="N386" t="n">
        <v>0</v>
      </c>
      <c r="O386" t="n">
        <v>0</v>
      </c>
      <c r="P386" t="n">
        <v>0</v>
      </c>
      <c r="Q386" t="n">
        <v>0</v>
      </c>
      <c r="R386" s="2" t="inlineStr"/>
    </row>
    <row r="387" ht="15" customHeight="1">
      <c r="A387" t="inlineStr">
        <is>
          <t>A 50311-2025</t>
        </is>
      </c>
      <c r="B387" s="1" t="n">
        <v>45944</v>
      </c>
      <c r="C387" s="1" t="n">
        <v>45989</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12099-2023</t>
        </is>
      </c>
      <c r="B388" s="1" t="n">
        <v>44998.37043981482</v>
      </c>
      <c r="C388" s="1" t="n">
        <v>45989</v>
      </c>
      <c r="D388" t="inlineStr">
        <is>
          <t>ÖREBRO LÄN</t>
        </is>
      </c>
      <c r="E388" t="inlineStr">
        <is>
          <t>ÖREBRO</t>
        </is>
      </c>
      <c r="G388" t="n">
        <v>0.9</v>
      </c>
      <c r="H388" t="n">
        <v>0</v>
      </c>
      <c r="I388" t="n">
        <v>0</v>
      </c>
      <c r="J388" t="n">
        <v>0</v>
      </c>
      <c r="K388" t="n">
        <v>0</v>
      </c>
      <c r="L388" t="n">
        <v>0</v>
      </c>
      <c r="M388" t="n">
        <v>0</v>
      </c>
      <c r="N388" t="n">
        <v>0</v>
      </c>
      <c r="O388" t="n">
        <v>0</v>
      </c>
      <c r="P388" t="n">
        <v>0</v>
      </c>
      <c r="Q388" t="n">
        <v>0</v>
      </c>
      <c r="R388" s="2" t="inlineStr"/>
    </row>
    <row r="389" ht="15" customHeight="1">
      <c r="A389" t="inlineStr">
        <is>
          <t>A 58277-2022</t>
        </is>
      </c>
      <c r="B389" s="1" t="n">
        <v>44901.48108796297</v>
      </c>
      <c r="C389" s="1" t="n">
        <v>45989</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31906-2023</t>
        </is>
      </c>
      <c r="B390" s="1" t="n">
        <v>45118.8353125</v>
      </c>
      <c r="C390" s="1" t="n">
        <v>45989</v>
      </c>
      <c r="D390" t="inlineStr">
        <is>
          <t>ÖREBRO LÄN</t>
        </is>
      </c>
      <c r="E390" t="inlineStr">
        <is>
          <t>ÖREBRO</t>
        </is>
      </c>
      <c r="G390" t="n">
        <v>9</v>
      </c>
      <c r="H390" t="n">
        <v>0</v>
      </c>
      <c r="I390" t="n">
        <v>0</v>
      </c>
      <c r="J390" t="n">
        <v>0</v>
      </c>
      <c r="K390" t="n">
        <v>0</v>
      </c>
      <c r="L390" t="n">
        <v>0</v>
      </c>
      <c r="M390" t="n">
        <v>0</v>
      </c>
      <c r="N390" t="n">
        <v>0</v>
      </c>
      <c r="O390" t="n">
        <v>0</v>
      </c>
      <c r="P390" t="n">
        <v>0</v>
      </c>
      <c r="Q390" t="n">
        <v>0</v>
      </c>
      <c r="R390" s="2" t="inlineStr"/>
    </row>
    <row r="391" ht="15" customHeight="1">
      <c r="A391" t="inlineStr">
        <is>
          <t>A 59145-2025</t>
        </is>
      </c>
      <c r="B391" s="1" t="n">
        <v>45988.52015046297</v>
      </c>
      <c r="C391" s="1" t="n">
        <v>45989</v>
      </c>
      <c r="D391" t="inlineStr">
        <is>
          <t>ÖREBRO LÄN</t>
        </is>
      </c>
      <c r="E391" t="inlineStr">
        <is>
          <t>ÖREBRO</t>
        </is>
      </c>
      <c r="G391" t="n">
        <v>0.8</v>
      </c>
      <c r="H391" t="n">
        <v>0</v>
      </c>
      <c r="I391" t="n">
        <v>0</v>
      </c>
      <c r="J391" t="n">
        <v>0</v>
      </c>
      <c r="K391" t="n">
        <v>0</v>
      </c>
      <c r="L391" t="n">
        <v>0</v>
      </c>
      <c r="M391" t="n">
        <v>0</v>
      </c>
      <c r="N391" t="n">
        <v>0</v>
      </c>
      <c r="O391" t="n">
        <v>0</v>
      </c>
      <c r="P391" t="n">
        <v>0</v>
      </c>
      <c r="Q391" t="n">
        <v>0</v>
      </c>
      <c r="R391" s="2" t="inlineStr"/>
    </row>
    <row r="392" ht="15" customHeight="1">
      <c r="A392" t="inlineStr">
        <is>
          <t>A 58838-2025</t>
        </is>
      </c>
      <c r="B392" s="1" t="n">
        <v>45987.35973379629</v>
      </c>
      <c r="C392" s="1" t="n">
        <v>45989</v>
      </c>
      <c r="D392" t="inlineStr">
        <is>
          <t>ÖREBRO LÄN</t>
        </is>
      </c>
      <c r="E392" t="inlineStr">
        <is>
          <t>ÖREBRO</t>
        </is>
      </c>
      <c r="G392" t="n">
        <v>1.7</v>
      </c>
      <c r="H392" t="n">
        <v>0</v>
      </c>
      <c r="I392" t="n">
        <v>0</v>
      </c>
      <c r="J392" t="n">
        <v>0</v>
      </c>
      <c r="K392" t="n">
        <v>0</v>
      </c>
      <c r="L392" t="n">
        <v>0</v>
      </c>
      <c r="M392" t="n">
        <v>0</v>
      </c>
      <c r="N392" t="n">
        <v>0</v>
      </c>
      <c r="O392" t="n">
        <v>0</v>
      </c>
      <c r="P392" t="n">
        <v>0</v>
      </c>
      <c r="Q392" t="n">
        <v>0</v>
      </c>
      <c r="R392" s="2" t="inlineStr"/>
    </row>
    <row r="393" ht="15" customHeight="1">
      <c r="A393" t="inlineStr">
        <is>
          <t>A 6387-2021</t>
        </is>
      </c>
      <c r="B393" s="1" t="n">
        <v>44235</v>
      </c>
      <c r="C393" s="1" t="n">
        <v>45989</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10937-2024</t>
        </is>
      </c>
      <c r="B394" s="1" t="n">
        <v>45370.44461805555</v>
      </c>
      <c r="C394" s="1" t="n">
        <v>45989</v>
      </c>
      <c r="D394" t="inlineStr">
        <is>
          <t>ÖREBRO LÄN</t>
        </is>
      </c>
      <c r="E394" t="inlineStr">
        <is>
          <t>ÖREBRO</t>
        </is>
      </c>
      <c r="G394" t="n">
        <v>4.3</v>
      </c>
      <c r="H394" t="n">
        <v>0</v>
      </c>
      <c r="I394" t="n">
        <v>0</v>
      </c>
      <c r="J394" t="n">
        <v>0</v>
      </c>
      <c r="K394" t="n">
        <v>0</v>
      </c>
      <c r="L394" t="n">
        <v>0</v>
      </c>
      <c r="M394" t="n">
        <v>0</v>
      </c>
      <c r="N394" t="n">
        <v>0</v>
      </c>
      <c r="O394" t="n">
        <v>0</v>
      </c>
      <c r="P394" t="n">
        <v>0</v>
      </c>
      <c r="Q394" t="n">
        <v>0</v>
      </c>
      <c r="R394" s="2" t="inlineStr"/>
    </row>
    <row r="395" ht="15" customHeight="1">
      <c r="A395" t="inlineStr">
        <is>
          <t>A 22079-2023</t>
        </is>
      </c>
      <c r="B395" s="1" t="n">
        <v>45069</v>
      </c>
      <c r="C395" s="1" t="n">
        <v>45989</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52447-2024</t>
        </is>
      </c>
      <c r="B396" s="1" t="n">
        <v>45609.49157407408</v>
      </c>
      <c r="C396" s="1" t="n">
        <v>45989</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58835-2025</t>
        </is>
      </c>
      <c r="B397" s="1" t="n">
        <v>45987.35519675926</v>
      </c>
      <c r="C397" s="1" t="n">
        <v>45989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3841-2023</t>
        </is>
      </c>
      <c r="B398" s="1" t="n">
        <v>44951</v>
      </c>
      <c r="C398" s="1" t="n">
        <v>45989</v>
      </c>
      <c r="D398" t="inlineStr">
        <is>
          <t>ÖREBRO LÄN</t>
        </is>
      </c>
      <c r="E398" t="inlineStr">
        <is>
          <t>ÖREBRO</t>
        </is>
      </c>
      <c r="G398" t="n">
        <v>4.3</v>
      </c>
      <c r="H398" t="n">
        <v>0</v>
      </c>
      <c r="I398" t="n">
        <v>0</v>
      </c>
      <c r="J398" t="n">
        <v>0</v>
      </c>
      <c r="K398" t="n">
        <v>0</v>
      </c>
      <c r="L398" t="n">
        <v>0</v>
      </c>
      <c r="M398" t="n">
        <v>0</v>
      </c>
      <c r="N398" t="n">
        <v>0</v>
      </c>
      <c r="O398" t="n">
        <v>0</v>
      </c>
      <c r="P398" t="n">
        <v>0</v>
      </c>
      <c r="Q398" t="n">
        <v>0</v>
      </c>
      <c r="R398" s="2" t="inlineStr"/>
    </row>
    <row r="399" ht="15" customHeight="1">
      <c r="A399" t="inlineStr">
        <is>
          <t>A 38489-2023</t>
        </is>
      </c>
      <c r="B399" s="1" t="n">
        <v>45162</v>
      </c>
      <c r="C399" s="1" t="n">
        <v>45989</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70719-2021</t>
        </is>
      </c>
      <c r="B400" s="1" t="n">
        <v>44537</v>
      </c>
      <c r="C400" s="1" t="n">
        <v>45989</v>
      </c>
      <c r="D400" t="inlineStr">
        <is>
          <t>ÖREBRO LÄN</t>
        </is>
      </c>
      <c r="E400" t="inlineStr">
        <is>
          <t>ÖREBRO</t>
        </is>
      </c>
      <c r="G400" t="n">
        <v>4.3</v>
      </c>
      <c r="H400" t="n">
        <v>0</v>
      </c>
      <c r="I400" t="n">
        <v>0</v>
      </c>
      <c r="J400" t="n">
        <v>0</v>
      </c>
      <c r="K400" t="n">
        <v>0</v>
      </c>
      <c r="L400" t="n">
        <v>0</v>
      </c>
      <c r="M400" t="n">
        <v>0</v>
      </c>
      <c r="N400" t="n">
        <v>0</v>
      </c>
      <c r="O400" t="n">
        <v>0</v>
      </c>
      <c r="P400" t="n">
        <v>0</v>
      </c>
      <c r="Q400" t="n">
        <v>0</v>
      </c>
      <c r="R400" s="2" t="inlineStr"/>
    </row>
    <row r="401" ht="15" customHeight="1">
      <c r="A401" t="inlineStr">
        <is>
          <t>A 38573-2023</t>
        </is>
      </c>
      <c r="B401" s="1" t="n">
        <v>45162.61837962963</v>
      </c>
      <c r="C401" s="1" t="n">
        <v>45989</v>
      </c>
      <c r="D401" t="inlineStr">
        <is>
          <t>ÖREBRO LÄN</t>
        </is>
      </c>
      <c r="E401" t="inlineStr">
        <is>
          <t>ÖREBRO</t>
        </is>
      </c>
      <c r="G401" t="n">
        <v>2.2</v>
      </c>
      <c r="H401" t="n">
        <v>0</v>
      </c>
      <c r="I401" t="n">
        <v>0</v>
      </c>
      <c r="J401" t="n">
        <v>0</v>
      </c>
      <c r="K401" t="n">
        <v>0</v>
      </c>
      <c r="L401" t="n">
        <v>0</v>
      </c>
      <c r="M401" t="n">
        <v>0</v>
      </c>
      <c r="N401" t="n">
        <v>0</v>
      </c>
      <c r="O401" t="n">
        <v>0</v>
      </c>
      <c r="P401" t="n">
        <v>0</v>
      </c>
      <c r="Q401" t="n">
        <v>0</v>
      </c>
      <c r="R401" s="2" t="inlineStr"/>
    </row>
    <row r="402" ht="15" customHeight="1">
      <c r="A402" t="inlineStr">
        <is>
          <t>A 4757-2024</t>
        </is>
      </c>
      <c r="B402" s="1" t="n">
        <v>45328</v>
      </c>
      <c r="C402" s="1" t="n">
        <v>45989</v>
      </c>
      <c r="D402" t="inlineStr">
        <is>
          <t>ÖREBRO LÄN</t>
        </is>
      </c>
      <c r="E402" t="inlineStr">
        <is>
          <t>ÖREBRO</t>
        </is>
      </c>
      <c r="G402" t="n">
        <v>1.9</v>
      </c>
      <c r="H402" t="n">
        <v>0</v>
      </c>
      <c r="I402" t="n">
        <v>0</v>
      </c>
      <c r="J402" t="n">
        <v>0</v>
      </c>
      <c r="K402" t="n">
        <v>0</v>
      </c>
      <c r="L402" t="n">
        <v>0</v>
      </c>
      <c r="M402" t="n">
        <v>0</v>
      </c>
      <c r="N402" t="n">
        <v>0</v>
      </c>
      <c r="O402" t="n">
        <v>0</v>
      </c>
      <c r="P402" t="n">
        <v>0</v>
      </c>
      <c r="Q402" t="n">
        <v>0</v>
      </c>
      <c r="R402" s="2" t="inlineStr"/>
    </row>
    <row r="403" ht="15" customHeight="1">
      <c r="A403" t="inlineStr">
        <is>
          <t>A 48140-2024</t>
        </is>
      </c>
      <c r="B403" s="1" t="n">
        <v>45589.66474537037</v>
      </c>
      <c r="C403" s="1" t="n">
        <v>45989</v>
      </c>
      <c r="D403" t="inlineStr">
        <is>
          <t>ÖREBRO LÄN</t>
        </is>
      </c>
      <c r="E403" t="inlineStr">
        <is>
          <t>ÖREBRO</t>
        </is>
      </c>
      <c r="G403" t="n">
        <v>2.4</v>
      </c>
      <c r="H403" t="n">
        <v>0</v>
      </c>
      <c r="I403" t="n">
        <v>0</v>
      </c>
      <c r="J403" t="n">
        <v>0</v>
      </c>
      <c r="K403" t="n">
        <v>0</v>
      </c>
      <c r="L403" t="n">
        <v>0</v>
      </c>
      <c r="M403" t="n">
        <v>0</v>
      </c>
      <c r="N403" t="n">
        <v>0</v>
      </c>
      <c r="O403" t="n">
        <v>0</v>
      </c>
      <c r="P403" t="n">
        <v>0</v>
      </c>
      <c r="Q403" t="n">
        <v>0</v>
      </c>
      <c r="R403" s="2" t="inlineStr"/>
    </row>
    <row r="404" ht="15" customHeight="1">
      <c r="A404" t="inlineStr">
        <is>
          <t>A 2658-2023</t>
        </is>
      </c>
      <c r="B404" s="1" t="n">
        <v>44944</v>
      </c>
      <c r="C404" s="1" t="n">
        <v>45989</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11565-2023</t>
        </is>
      </c>
      <c r="B405" s="1" t="n">
        <v>44994</v>
      </c>
      <c r="C405" s="1" t="n">
        <v>45989</v>
      </c>
      <c r="D405" t="inlineStr">
        <is>
          <t>ÖREBRO LÄN</t>
        </is>
      </c>
      <c r="E405" t="inlineStr">
        <is>
          <t>ÖREBRO</t>
        </is>
      </c>
      <c r="G405" t="n">
        <v>4.7</v>
      </c>
      <c r="H405" t="n">
        <v>0</v>
      </c>
      <c r="I405" t="n">
        <v>0</v>
      </c>
      <c r="J405" t="n">
        <v>0</v>
      </c>
      <c r="K405" t="n">
        <v>0</v>
      </c>
      <c r="L405" t="n">
        <v>0</v>
      </c>
      <c r="M405" t="n">
        <v>0</v>
      </c>
      <c r="N405" t="n">
        <v>0</v>
      </c>
      <c r="O405" t="n">
        <v>0</v>
      </c>
      <c r="P405" t="n">
        <v>0</v>
      </c>
      <c r="Q405" t="n">
        <v>0</v>
      </c>
      <c r="R405" s="2" t="inlineStr"/>
    </row>
    <row r="406" ht="15" customHeight="1">
      <c r="A406" t="inlineStr">
        <is>
          <t>A 16736-2023</t>
        </is>
      </c>
      <c r="B406" s="1" t="n">
        <v>45030.72328703704</v>
      </c>
      <c r="C406" s="1" t="n">
        <v>45989</v>
      </c>
      <c r="D406" t="inlineStr">
        <is>
          <t>ÖREBRO LÄN</t>
        </is>
      </c>
      <c r="E406" t="inlineStr">
        <is>
          <t>ÖREBRO</t>
        </is>
      </c>
      <c r="G406" t="n">
        <v>4</v>
      </c>
      <c r="H406" t="n">
        <v>0</v>
      </c>
      <c r="I406" t="n">
        <v>0</v>
      </c>
      <c r="J406" t="n">
        <v>0</v>
      </c>
      <c r="K406" t="n">
        <v>0</v>
      </c>
      <c r="L406" t="n">
        <v>0</v>
      </c>
      <c r="M406" t="n">
        <v>0</v>
      </c>
      <c r="N406" t="n">
        <v>0</v>
      </c>
      <c r="O406" t="n">
        <v>0</v>
      </c>
      <c r="P406" t="n">
        <v>0</v>
      </c>
      <c r="Q406" t="n">
        <v>0</v>
      </c>
      <c r="R406" s="2" t="inlineStr"/>
    </row>
    <row r="407" ht="15" customHeight="1">
      <c r="A407" t="inlineStr">
        <is>
          <t>A 2630-2023</t>
        </is>
      </c>
      <c r="B407" s="1" t="n">
        <v>44944.39105324074</v>
      </c>
      <c r="C407" s="1" t="n">
        <v>45989</v>
      </c>
      <c r="D407" t="inlineStr">
        <is>
          <t>ÖREBRO LÄN</t>
        </is>
      </c>
      <c r="E407" t="inlineStr">
        <is>
          <t>ÖREBRO</t>
        </is>
      </c>
      <c r="G407" t="n">
        <v>6.1</v>
      </c>
      <c r="H407" t="n">
        <v>0</v>
      </c>
      <c r="I407" t="n">
        <v>0</v>
      </c>
      <c r="J407" t="n">
        <v>0</v>
      </c>
      <c r="K407" t="n">
        <v>0</v>
      </c>
      <c r="L407" t="n">
        <v>0</v>
      </c>
      <c r="M407" t="n">
        <v>0</v>
      </c>
      <c r="N407" t="n">
        <v>0</v>
      </c>
      <c r="O407" t="n">
        <v>0</v>
      </c>
      <c r="P407" t="n">
        <v>0</v>
      </c>
      <c r="Q407" t="n">
        <v>0</v>
      </c>
      <c r="R407" s="2" t="inlineStr"/>
    </row>
    <row r="408" ht="15" customHeight="1">
      <c r="A408" t="inlineStr">
        <is>
          <t>A 30015-2023</t>
        </is>
      </c>
      <c r="B408" s="1" t="n">
        <v>45109</v>
      </c>
      <c r="C408" s="1" t="n">
        <v>45989</v>
      </c>
      <c r="D408" t="inlineStr">
        <is>
          <t>ÖREBRO LÄN</t>
        </is>
      </c>
      <c r="E408" t="inlineStr">
        <is>
          <t>ÖREBRO</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37968-2024</t>
        </is>
      </c>
      <c r="B409" s="1" t="n">
        <v>45544</v>
      </c>
      <c r="C409" s="1" t="n">
        <v>45989</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31326-2024</t>
        </is>
      </c>
      <c r="B410" s="1" t="n">
        <v>45504.5934375</v>
      </c>
      <c r="C410" s="1" t="n">
        <v>45989</v>
      </c>
      <c r="D410" t="inlineStr">
        <is>
          <t>ÖREBRO LÄN</t>
        </is>
      </c>
      <c r="E410" t="inlineStr">
        <is>
          <t>ÖREBRO</t>
        </is>
      </c>
      <c r="G410" t="n">
        <v>6.4</v>
      </c>
      <c r="H410" t="n">
        <v>0</v>
      </c>
      <c r="I410" t="n">
        <v>0</v>
      </c>
      <c r="J410" t="n">
        <v>0</v>
      </c>
      <c r="K410" t="n">
        <v>0</v>
      </c>
      <c r="L410" t="n">
        <v>0</v>
      </c>
      <c r="M410" t="n">
        <v>0</v>
      </c>
      <c r="N410" t="n">
        <v>0</v>
      </c>
      <c r="O410" t="n">
        <v>0</v>
      </c>
      <c r="P410" t="n">
        <v>0</v>
      </c>
      <c r="Q410" t="n">
        <v>0</v>
      </c>
      <c r="R410" s="2" t="inlineStr"/>
    </row>
    <row r="411" ht="15" customHeight="1">
      <c r="A411" t="inlineStr">
        <is>
          <t>A 22045-2024</t>
        </is>
      </c>
      <c r="B411" s="1" t="n">
        <v>45443.61171296296</v>
      </c>
      <c r="C411" s="1" t="n">
        <v>45989</v>
      </c>
      <c r="D411" t="inlineStr">
        <is>
          <t>ÖREBRO LÄN</t>
        </is>
      </c>
      <c r="E411" t="inlineStr">
        <is>
          <t>ÖREBRO</t>
        </is>
      </c>
      <c r="F411" t="inlineStr">
        <is>
          <t>Övriga Aktiebolag</t>
        </is>
      </c>
      <c r="G411" t="n">
        <v>0.9</v>
      </c>
      <c r="H411" t="n">
        <v>0</v>
      </c>
      <c r="I411" t="n">
        <v>0</v>
      </c>
      <c r="J411" t="n">
        <v>0</v>
      </c>
      <c r="K411" t="n">
        <v>0</v>
      </c>
      <c r="L411" t="n">
        <v>0</v>
      </c>
      <c r="M411" t="n">
        <v>0</v>
      </c>
      <c r="N411" t="n">
        <v>0</v>
      </c>
      <c r="O411" t="n">
        <v>0</v>
      </c>
      <c r="P411" t="n">
        <v>0</v>
      </c>
      <c r="Q411" t="n">
        <v>0</v>
      </c>
      <c r="R411" s="2" t="inlineStr"/>
    </row>
    <row r="412" ht="15" customHeight="1">
      <c r="A412" t="inlineStr">
        <is>
          <t>A 58684-2023</t>
        </is>
      </c>
      <c r="B412" s="1" t="n">
        <v>45251</v>
      </c>
      <c r="C412" s="1" t="n">
        <v>45989</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38898-2023</t>
        </is>
      </c>
      <c r="B413" s="1" t="n">
        <v>45163</v>
      </c>
      <c r="C413" s="1" t="n">
        <v>45989</v>
      </c>
      <c r="D413" t="inlineStr">
        <is>
          <t>ÖREBRO LÄN</t>
        </is>
      </c>
      <c r="E413" t="inlineStr">
        <is>
          <t>ÖREBRO</t>
        </is>
      </c>
      <c r="G413" t="n">
        <v>5.1</v>
      </c>
      <c r="H413" t="n">
        <v>0</v>
      </c>
      <c r="I413" t="n">
        <v>0</v>
      </c>
      <c r="J413" t="n">
        <v>0</v>
      </c>
      <c r="K413" t="n">
        <v>0</v>
      </c>
      <c r="L413" t="n">
        <v>0</v>
      </c>
      <c r="M413" t="n">
        <v>0</v>
      </c>
      <c r="N413" t="n">
        <v>0</v>
      </c>
      <c r="O413" t="n">
        <v>0</v>
      </c>
      <c r="P413" t="n">
        <v>0</v>
      </c>
      <c r="Q413" t="n">
        <v>0</v>
      </c>
      <c r="R413" s="2" t="inlineStr"/>
    </row>
    <row r="414" ht="15" customHeight="1">
      <c r="A414" t="inlineStr">
        <is>
          <t>A 13321-2024</t>
        </is>
      </c>
      <c r="B414" s="1" t="n">
        <v>45386.83142361111</v>
      </c>
      <c r="C414" s="1" t="n">
        <v>45989</v>
      </c>
      <c r="D414" t="inlineStr">
        <is>
          <t>ÖREBRO LÄN</t>
        </is>
      </c>
      <c r="E414" t="inlineStr">
        <is>
          <t>ÖREBRO</t>
        </is>
      </c>
      <c r="G414" t="n">
        <v>13.1</v>
      </c>
      <c r="H414" t="n">
        <v>0</v>
      </c>
      <c r="I414" t="n">
        <v>0</v>
      </c>
      <c r="J414" t="n">
        <v>0</v>
      </c>
      <c r="K414" t="n">
        <v>0</v>
      </c>
      <c r="L414" t="n">
        <v>0</v>
      </c>
      <c r="M414" t="n">
        <v>0</v>
      </c>
      <c r="N414" t="n">
        <v>0</v>
      </c>
      <c r="O414" t="n">
        <v>0</v>
      </c>
      <c r="P414" t="n">
        <v>0</v>
      </c>
      <c r="Q414" t="n">
        <v>0</v>
      </c>
      <c r="R414" s="2" t="inlineStr"/>
    </row>
    <row r="415" ht="15" customHeight="1">
      <c r="A415" t="inlineStr">
        <is>
          <t>A 38583-2023</t>
        </is>
      </c>
      <c r="B415" s="1" t="n">
        <v>45162.62861111111</v>
      </c>
      <c r="C415" s="1" t="n">
        <v>45989</v>
      </c>
      <c r="D415" t="inlineStr">
        <is>
          <t>ÖREBRO LÄN</t>
        </is>
      </c>
      <c r="E415" t="inlineStr">
        <is>
          <t>ÖREBRO</t>
        </is>
      </c>
      <c r="G415" t="n">
        <v>5.7</v>
      </c>
      <c r="H415" t="n">
        <v>0</v>
      </c>
      <c r="I415" t="n">
        <v>0</v>
      </c>
      <c r="J415" t="n">
        <v>0</v>
      </c>
      <c r="K415" t="n">
        <v>0</v>
      </c>
      <c r="L415" t="n">
        <v>0</v>
      </c>
      <c r="M415" t="n">
        <v>0</v>
      </c>
      <c r="N415" t="n">
        <v>0</v>
      </c>
      <c r="O415" t="n">
        <v>0</v>
      </c>
      <c r="P415" t="n">
        <v>0</v>
      </c>
      <c r="Q415" t="n">
        <v>0</v>
      </c>
      <c r="R415" s="2" t="inlineStr"/>
    </row>
    <row r="416" ht="15" customHeight="1">
      <c r="A416" t="inlineStr">
        <is>
          <t>A 14291-2023</t>
        </is>
      </c>
      <c r="B416" s="1" t="n">
        <v>45010</v>
      </c>
      <c r="C416" s="1" t="n">
        <v>45989</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9314-2023</t>
        </is>
      </c>
      <c r="B417" s="1" t="n">
        <v>44980.67747685185</v>
      </c>
      <c r="C417" s="1" t="n">
        <v>45989</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33455-2023</t>
        </is>
      </c>
      <c r="B418" s="1" t="n">
        <v>45130.98962962963</v>
      </c>
      <c r="C418" s="1" t="n">
        <v>45989</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21306-2024</t>
        </is>
      </c>
      <c r="B419" s="1" t="n">
        <v>45440.67883101852</v>
      </c>
      <c r="C419" s="1" t="n">
        <v>45989</v>
      </c>
      <c r="D419" t="inlineStr">
        <is>
          <t>ÖREBRO LÄN</t>
        </is>
      </c>
      <c r="E419" t="inlineStr">
        <is>
          <t>ÖREBRO</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7634-2024</t>
        </is>
      </c>
      <c r="B420" s="1" t="n">
        <v>45348</v>
      </c>
      <c r="C420" s="1" t="n">
        <v>45989</v>
      </c>
      <c r="D420" t="inlineStr">
        <is>
          <t>ÖREBRO LÄN</t>
        </is>
      </c>
      <c r="E420" t="inlineStr">
        <is>
          <t>ÖREBRO</t>
        </is>
      </c>
      <c r="G420" t="n">
        <v>1.8</v>
      </c>
      <c r="H420" t="n">
        <v>0</v>
      </c>
      <c r="I420" t="n">
        <v>0</v>
      </c>
      <c r="J420" t="n">
        <v>0</v>
      </c>
      <c r="K420" t="n">
        <v>0</v>
      </c>
      <c r="L420" t="n">
        <v>0</v>
      </c>
      <c r="M420" t="n">
        <v>0</v>
      </c>
      <c r="N420" t="n">
        <v>0</v>
      </c>
      <c r="O420" t="n">
        <v>0</v>
      </c>
      <c r="P420" t="n">
        <v>0</v>
      </c>
      <c r="Q420" t="n">
        <v>0</v>
      </c>
      <c r="R420" s="2" t="inlineStr"/>
    </row>
    <row r="421" ht="15" customHeight="1">
      <c r="A421" t="inlineStr">
        <is>
          <t>A 5324-2024</t>
        </is>
      </c>
      <c r="B421" s="1" t="n">
        <v>45331</v>
      </c>
      <c r="C421" s="1" t="n">
        <v>45989</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52401-2024</t>
        </is>
      </c>
      <c r="B422" s="1" t="n">
        <v>45609.44553240741</v>
      </c>
      <c r="C422" s="1" t="n">
        <v>45989</v>
      </c>
      <c r="D422" t="inlineStr">
        <is>
          <t>ÖREBRO LÄN</t>
        </is>
      </c>
      <c r="E422" t="inlineStr">
        <is>
          <t>ÖREBRO</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14963-2025</t>
        </is>
      </c>
      <c r="B423" s="1" t="n">
        <v>45743.58699074074</v>
      </c>
      <c r="C423" s="1" t="n">
        <v>45989</v>
      </c>
      <c r="D423" t="inlineStr">
        <is>
          <t>ÖREBRO LÄN</t>
        </is>
      </c>
      <c r="E423" t="inlineStr">
        <is>
          <t>ÖREBRO</t>
        </is>
      </c>
      <c r="G423" t="n">
        <v>9.1</v>
      </c>
      <c r="H423" t="n">
        <v>0</v>
      </c>
      <c r="I423" t="n">
        <v>0</v>
      </c>
      <c r="J423" t="n">
        <v>0</v>
      </c>
      <c r="K423" t="n">
        <v>0</v>
      </c>
      <c r="L423" t="n">
        <v>0</v>
      </c>
      <c r="M423" t="n">
        <v>0</v>
      </c>
      <c r="N423" t="n">
        <v>0</v>
      </c>
      <c r="O423" t="n">
        <v>0</v>
      </c>
      <c r="P423" t="n">
        <v>0</v>
      </c>
      <c r="Q423" t="n">
        <v>0</v>
      </c>
      <c r="R423" s="2" t="inlineStr"/>
    </row>
    <row r="424" ht="15" customHeight="1">
      <c r="A424" t="inlineStr">
        <is>
          <t>A 55357-2024</t>
        </is>
      </c>
      <c r="B424" s="1" t="n">
        <v>45621.81126157408</v>
      </c>
      <c r="C424" s="1" t="n">
        <v>45989</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38422-2023</t>
        </is>
      </c>
      <c r="B425" s="1" t="n">
        <v>45162.36422453704</v>
      </c>
      <c r="C425" s="1" t="n">
        <v>45989</v>
      </c>
      <c r="D425" t="inlineStr">
        <is>
          <t>ÖREBRO LÄN</t>
        </is>
      </c>
      <c r="E425" t="inlineStr">
        <is>
          <t>ÖREBRO</t>
        </is>
      </c>
      <c r="G425" t="n">
        <v>8</v>
      </c>
      <c r="H425" t="n">
        <v>0</v>
      </c>
      <c r="I425" t="n">
        <v>0</v>
      </c>
      <c r="J425" t="n">
        <v>0</v>
      </c>
      <c r="K425" t="n">
        <v>0</v>
      </c>
      <c r="L425" t="n">
        <v>0</v>
      </c>
      <c r="M425" t="n">
        <v>0</v>
      </c>
      <c r="N425" t="n">
        <v>0</v>
      </c>
      <c r="O425" t="n">
        <v>0</v>
      </c>
      <c r="P425" t="n">
        <v>0</v>
      </c>
      <c r="Q425" t="n">
        <v>0</v>
      </c>
      <c r="R425" s="2" t="inlineStr"/>
    </row>
    <row r="426" ht="15" customHeight="1">
      <c r="A426" t="inlineStr">
        <is>
          <t>A 46518-2023</t>
        </is>
      </c>
      <c r="B426" s="1" t="n">
        <v>45197.72777777778</v>
      </c>
      <c r="C426" s="1" t="n">
        <v>45989</v>
      </c>
      <c r="D426" t="inlineStr">
        <is>
          <t>ÖREBRO LÄN</t>
        </is>
      </c>
      <c r="E426" t="inlineStr">
        <is>
          <t>ÖREBRO</t>
        </is>
      </c>
      <c r="G426" t="n">
        <v>2.2</v>
      </c>
      <c r="H426" t="n">
        <v>0</v>
      </c>
      <c r="I426" t="n">
        <v>0</v>
      </c>
      <c r="J426" t="n">
        <v>0</v>
      </c>
      <c r="K426" t="n">
        <v>0</v>
      </c>
      <c r="L426" t="n">
        <v>0</v>
      </c>
      <c r="M426" t="n">
        <v>0</v>
      </c>
      <c r="N426" t="n">
        <v>0</v>
      </c>
      <c r="O426" t="n">
        <v>0</v>
      </c>
      <c r="P426" t="n">
        <v>0</v>
      </c>
      <c r="Q426" t="n">
        <v>0</v>
      </c>
      <c r="R426" s="2" t="inlineStr"/>
    </row>
    <row r="427" ht="15" customHeight="1">
      <c r="A427" t="inlineStr">
        <is>
          <t>A 41703-2024</t>
        </is>
      </c>
      <c r="B427" s="1" t="n">
        <v>45560</v>
      </c>
      <c r="C427" s="1" t="n">
        <v>45989</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19763-2024</t>
        </is>
      </c>
      <c r="B428" s="1" t="n">
        <v>45432</v>
      </c>
      <c r="C428" s="1" t="n">
        <v>45989</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31247-2023</t>
        </is>
      </c>
      <c r="B429" s="1" t="n">
        <v>45114</v>
      </c>
      <c r="C429" s="1" t="n">
        <v>45989</v>
      </c>
      <c r="D429" t="inlineStr">
        <is>
          <t>ÖREBRO LÄN</t>
        </is>
      </c>
      <c r="E429" t="inlineStr">
        <is>
          <t>ÖREBRO</t>
        </is>
      </c>
      <c r="F429" t="inlineStr">
        <is>
          <t>Allmännings- och besparingsskogar</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36635-2023</t>
        </is>
      </c>
      <c r="B430" s="1" t="n">
        <v>45153</v>
      </c>
      <c r="C430" s="1" t="n">
        <v>45989</v>
      </c>
      <c r="D430" t="inlineStr">
        <is>
          <t>ÖREBRO LÄN</t>
        </is>
      </c>
      <c r="E430" t="inlineStr">
        <is>
          <t>ÖREBRO</t>
        </is>
      </c>
      <c r="G430" t="n">
        <v>1.9</v>
      </c>
      <c r="H430" t="n">
        <v>0</v>
      </c>
      <c r="I430" t="n">
        <v>0</v>
      </c>
      <c r="J430" t="n">
        <v>0</v>
      </c>
      <c r="K430" t="n">
        <v>0</v>
      </c>
      <c r="L430" t="n">
        <v>0</v>
      </c>
      <c r="M430" t="n">
        <v>0</v>
      </c>
      <c r="N430" t="n">
        <v>0</v>
      </c>
      <c r="O430" t="n">
        <v>0</v>
      </c>
      <c r="P430" t="n">
        <v>0</v>
      </c>
      <c r="Q430" t="n">
        <v>0</v>
      </c>
      <c r="R430" s="2" t="inlineStr"/>
    </row>
    <row r="431" ht="15" customHeight="1">
      <c r="A431" t="inlineStr">
        <is>
          <t>A 54149-2024</t>
        </is>
      </c>
      <c r="B431" s="1" t="n">
        <v>45616</v>
      </c>
      <c r="C431" s="1" t="n">
        <v>45989</v>
      </c>
      <c r="D431" t="inlineStr">
        <is>
          <t>ÖREBRO LÄN</t>
        </is>
      </c>
      <c r="E431" t="inlineStr">
        <is>
          <t>ÖREBRO</t>
        </is>
      </c>
      <c r="G431" t="n">
        <v>2.7</v>
      </c>
      <c r="H431" t="n">
        <v>0</v>
      </c>
      <c r="I431" t="n">
        <v>0</v>
      </c>
      <c r="J431" t="n">
        <v>0</v>
      </c>
      <c r="K431" t="n">
        <v>0</v>
      </c>
      <c r="L431" t="n">
        <v>0</v>
      </c>
      <c r="M431" t="n">
        <v>0</v>
      </c>
      <c r="N431" t="n">
        <v>0</v>
      </c>
      <c r="O431" t="n">
        <v>0</v>
      </c>
      <c r="P431" t="n">
        <v>0</v>
      </c>
      <c r="Q431" t="n">
        <v>0</v>
      </c>
      <c r="R431" s="2" t="inlineStr"/>
    </row>
    <row r="432" ht="15" customHeight="1">
      <c r="A432" t="inlineStr">
        <is>
          <t>A 49797-2024</t>
        </is>
      </c>
      <c r="B432" s="1" t="n">
        <v>45597.37265046296</v>
      </c>
      <c r="C432" s="1" t="n">
        <v>45989</v>
      </c>
      <c r="D432" t="inlineStr">
        <is>
          <t>ÖREBRO LÄN</t>
        </is>
      </c>
      <c r="E432" t="inlineStr">
        <is>
          <t>ÖREBRO</t>
        </is>
      </c>
      <c r="G432" t="n">
        <v>11.6</v>
      </c>
      <c r="H432" t="n">
        <v>0</v>
      </c>
      <c r="I432" t="n">
        <v>0</v>
      </c>
      <c r="J432" t="n">
        <v>0</v>
      </c>
      <c r="K432" t="n">
        <v>0</v>
      </c>
      <c r="L432" t="n">
        <v>0</v>
      </c>
      <c r="M432" t="n">
        <v>0</v>
      </c>
      <c r="N432" t="n">
        <v>0</v>
      </c>
      <c r="O432" t="n">
        <v>0</v>
      </c>
      <c r="P432" t="n">
        <v>0</v>
      </c>
      <c r="Q432" t="n">
        <v>0</v>
      </c>
      <c r="R432" s="2" t="inlineStr"/>
    </row>
    <row r="433" ht="15" customHeight="1">
      <c r="A433" t="inlineStr">
        <is>
          <t>A 32086-2023</t>
        </is>
      </c>
      <c r="B433" s="1" t="n">
        <v>45119.59789351852</v>
      </c>
      <c r="C433" s="1" t="n">
        <v>45989</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13856-2022</t>
        </is>
      </c>
      <c r="B434" s="1" t="n">
        <v>44649.6965162037</v>
      </c>
      <c r="C434" s="1" t="n">
        <v>45989</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23863-2023</t>
        </is>
      </c>
      <c r="B435" s="1" t="n">
        <v>45078.48994212963</v>
      </c>
      <c r="C435" s="1" t="n">
        <v>45989</v>
      </c>
      <c r="D435" t="inlineStr">
        <is>
          <t>ÖREBRO LÄN</t>
        </is>
      </c>
      <c r="E435" t="inlineStr">
        <is>
          <t>ÖREBRO</t>
        </is>
      </c>
      <c r="F435" t="inlineStr">
        <is>
          <t>Övriga Aktiebolag</t>
        </is>
      </c>
      <c r="G435" t="n">
        <v>5.9</v>
      </c>
      <c r="H435" t="n">
        <v>0</v>
      </c>
      <c r="I435" t="n">
        <v>0</v>
      </c>
      <c r="J435" t="n">
        <v>0</v>
      </c>
      <c r="K435" t="n">
        <v>0</v>
      </c>
      <c r="L435" t="n">
        <v>0</v>
      </c>
      <c r="M435" t="n">
        <v>0</v>
      </c>
      <c r="N435" t="n">
        <v>0</v>
      </c>
      <c r="O435" t="n">
        <v>0</v>
      </c>
      <c r="P435" t="n">
        <v>0</v>
      </c>
      <c r="Q435" t="n">
        <v>0</v>
      </c>
      <c r="R435" s="2" t="inlineStr"/>
    </row>
    <row r="436" ht="15" customHeight="1">
      <c r="A436" t="inlineStr">
        <is>
          <t>A 39130-2023</t>
        </is>
      </c>
      <c r="B436" s="1" t="n">
        <v>45165</v>
      </c>
      <c r="C436" s="1" t="n">
        <v>45989</v>
      </c>
      <c r="D436" t="inlineStr">
        <is>
          <t>ÖREBRO LÄN</t>
        </is>
      </c>
      <c r="E436" t="inlineStr">
        <is>
          <t>ÖREBRO</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13599-2025</t>
        </is>
      </c>
      <c r="B437" s="1" t="n">
        <v>45736.60597222222</v>
      </c>
      <c r="C437" s="1" t="n">
        <v>45989</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50375-2024</t>
        </is>
      </c>
      <c r="B438" s="1" t="n">
        <v>45601.29311342593</v>
      </c>
      <c r="C438" s="1" t="n">
        <v>45989</v>
      </c>
      <c r="D438" t="inlineStr">
        <is>
          <t>ÖREBRO LÄN</t>
        </is>
      </c>
      <c r="E438" t="inlineStr">
        <is>
          <t>ÖREBRO</t>
        </is>
      </c>
      <c r="G438" t="n">
        <v>5</v>
      </c>
      <c r="H438" t="n">
        <v>0</v>
      </c>
      <c r="I438" t="n">
        <v>0</v>
      </c>
      <c r="J438" t="n">
        <v>0</v>
      </c>
      <c r="K438" t="n">
        <v>0</v>
      </c>
      <c r="L438" t="n">
        <v>0</v>
      </c>
      <c r="M438" t="n">
        <v>0</v>
      </c>
      <c r="N438" t="n">
        <v>0</v>
      </c>
      <c r="O438" t="n">
        <v>0</v>
      </c>
      <c r="P438" t="n">
        <v>0</v>
      </c>
      <c r="Q438" t="n">
        <v>0</v>
      </c>
      <c r="R438" s="2" t="inlineStr"/>
    </row>
    <row r="439" ht="15" customHeight="1">
      <c r="A439" t="inlineStr">
        <is>
          <t>A 52391-2024</t>
        </is>
      </c>
      <c r="B439" s="1" t="n">
        <v>45609.43180555556</v>
      </c>
      <c r="C439" s="1" t="n">
        <v>45989</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58532-2024</t>
        </is>
      </c>
      <c r="B440" s="1" t="n">
        <v>45635.44899305556</v>
      </c>
      <c r="C440" s="1" t="n">
        <v>45989</v>
      </c>
      <c r="D440" t="inlineStr">
        <is>
          <t>ÖREBRO LÄN</t>
        </is>
      </c>
      <c r="E440" t="inlineStr">
        <is>
          <t>ÖREBRO</t>
        </is>
      </c>
      <c r="F440" t="inlineStr">
        <is>
          <t>Sveaskog</t>
        </is>
      </c>
      <c r="G440" t="n">
        <v>5.2</v>
      </c>
      <c r="H440" t="n">
        <v>0</v>
      </c>
      <c r="I440" t="n">
        <v>0</v>
      </c>
      <c r="J440" t="n">
        <v>0</v>
      </c>
      <c r="K440" t="n">
        <v>0</v>
      </c>
      <c r="L440" t="n">
        <v>0</v>
      </c>
      <c r="M440" t="n">
        <v>0</v>
      </c>
      <c r="N440" t="n">
        <v>0</v>
      </c>
      <c r="O440" t="n">
        <v>0</v>
      </c>
      <c r="P440" t="n">
        <v>0</v>
      </c>
      <c r="Q440" t="n">
        <v>0</v>
      </c>
      <c r="R440" s="2" t="inlineStr"/>
    </row>
    <row r="441" ht="15" customHeight="1">
      <c r="A441" t="inlineStr">
        <is>
          <t>A 20150-2024</t>
        </is>
      </c>
      <c r="B441" s="1" t="n">
        <v>45434.57969907407</v>
      </c>
      <c r="C441" s="1" t="n">
        <v>45989</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58208-2024</t>
        </is>
      </c>
      <c r="B442" s="1" t="n">
        <v>45632</v>
      </c>
      <c r="C442" s="1" t="n">
        <v>45989</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19388-2024</t>
        </is>
      </c>
      <c r="B443" s="1" t="n">
        <v>45429.37775462963</v>
      </c>
      <c r="C443" s="1" t="n">
        <v>45989</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7506-2025</t>
        </is>
      </c>
      <c r="B444" s="1" t="n">
        <v>45705</v>
      </c>
      <c r="C444" s="1" t="n">
        <v>45989</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4344-2025</t>
        </is>
      </c>
      <c r="B445" s="1" t="n">
        <v>45685</v>
      </c>
      <c r="C445" s="1" t="n">
        <v>45989</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16300-2022</t>
        </is>
      </c>
      <c r="B446" s="1" t="n">
        <v>44670</v>
      </c>
      <c r="C446" s="1" t="n">
        <v>45989</v>
      </c>
      <c r="D446" t="inlineStr">
        <is>
          <t>ÖREBRO LÄN</t>
        </is>
      </c>
      <c r="E446" t="inlineStr">
        <is>
          <t>ÖREBRO</t>
        </is>
      </c>
      <c r="G446" t="n">
        <v>0.8</v>
      </c>
      <c r="H446" t="n">
        <v>0</v>
      </c>
      <c r="I446" t="n">
        <v>0</v>
      </c>
      <c r="J446" t="n">
        <v>0</v>
      </c>
      <c r="K446" t="n">
        <v>0</v>
      </c>
      <c r="L446" t="n">
        <v>0</v>
      </c>
      <c r="M446" t="n">
        <v>0</v>
      </c>
      <c r="N446" t="n">
        <v>0</v>
      </c>
      <c r="O446" t="n">
        <v>0</v>
      </c>
      <c r="P446" t="n">
        <v>0</v>
      </c>
      <c r="Q446" t="n">
        <v>0</v>
      </c>
      <c r="R446" s="2" t="inlineStr"/>
    </row>
    <row r="447" ht="15" customHeight="1">
      <c r="A447" t="inlineStr">
        <is>
          <t>A 16958-2022</t>
        </is>
      </c>
      <c r="B447" s="1" t="n">
        <v>44676.50481481481</v>
      </c>
      <c r="C447" s="1" t="n">
        <v>45989</v>
      </c>
      <c r="D447" t="inlineStr">
        <is>
          <t>ÖREBRO LÄN</t>
        </is>
      </c>
      <c r="E447" t="inlineStr">
        <is>
          <t>ÖREBRO</t>
        </is>
      </c>
      <c r="G447" t="n">
        <v>3.1</v>
      </c>
      <c r="H447" t="n">
        <v>0</v>
      </c>
      <c r="I447" t="n">
        <v>0</v>
      </c>
      <c r="J447" t="n">
        <v>0</v>
      </c>
      <c r="K447" t="n">
        <v>0</v>
      </c>
      <c r="L447" t="n">
        <v>0</v>
      </c>
      <c r="M447" t="n">
        <v>0</v>
      </c>
      <c r="N447" t="n">
        <v>0</v>
      </c>
      <c r="O447" t="n">
        <v>0</v>
      </c>
      <c r="P447" t="n">
        <v>0</v>
      </c>
      <c r="Q447" t="n">
        <v>0</v>
      </c>
      <c r="R447" s="2" t="inlineStr"/>
    </row>
    <row r="448" ht="15" customHeight="1">
      <c r="A448" t="inlineStr">
        <is>
          <t>A 55472-2023</t>
        </is>
      </c>
      <c r="B448" s="1" t="n">
        <v>45238</v>
      </c>
      <c r="C448" s="1" t="n">
        <v>45989</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54925-2023</t>
        </is>
      </c>
      <c r="B449" s="1" t="n">
        <v>45229</v>
      </c>
      <c r="C449" s="1" t="n">
        <v>45989</v>
      </c>
      <c r="D449" t="inlineStr">
        <is>
          <t>ÖREBRO LÄN</t>
        </is>
      </c>
      <c r="E449" t="inlineStr">
        <is>
          <t>ÖREBRO</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8568-2021</t>
        </is>
      </c>
      <c r="B450" s="1" t="n">
        <v>44245</v>
      </c>
      <c r="C450" s="1" t="n">
        <v>45989</v>
      </c>
      <c r="D450" t="inlineStr">
        <is>
          <t>ÖREBRO LÄN</t>
        </is>
      </c>
      <c r="E450" t="inlineStr">
        <is>
          <t>ÖREBRO</t>
        </is>
      </c>
      <c r="G450" t="n">
        <v>4.8</v>
      </c>
      <c r="H450" t="n">
        <v>0</v>
      </c>
      <c r="I450" t="n">
        <v>0</v>
      </c>
      <c r="J450" t="n">
        <v>0</v>
      </c>
      <c r="K450" t="n">
        <v>0</v>
      </c>
      <c r="L450" t="n">
        <v>0</v>
      </c>
      <c r="M450" t="n">
        <v>0</v>
      </c>
      <c r="N450" t="n">
        <v>0</v>
      </c>
      <c r="O450" t="n">
        <v>0</v>
      </c>
      <c r="P450" t="n">
        <v>0</v>
      </c>
      <c r="Q450" t="n">
        <v>0</v>
      </c>
      <c r="R450" s="2" t="inlineStr"/>
    </row>
    <row r="451" ht="15" customHeight="1">
      <c r="A451" t="inlineStr">
        <is>
          <t>A 16961-2022</t>
        </is>
      </c>
      <c r="B451" s="1" t="n">
        <v>44676</v>
      </c>
      <c r="C451" s="1" t="n">
        <v>45989</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15424-2022</t>
        </is>
      </c>
      <c r="B452" s="1" t="n">
        <v>44659</v>
      </c>
      <c r="C452" s="1" t="n">
        <v>45989</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13700-2024</t>
        </is>
      </c>
      <c r="B453" s="1" t="n">
        <v>45390.59277777778</v>
      </c>
      <c r="C453" s="1" t="n">
        <v>45989</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3659-2025</t>
        </is>
      </c>
      <c r="B454" s="1" t="n">
        <v>45681</v>
      </c>
      <c r="C454" s="1" t="n">
        <v>45989</v>
      </c>
      <c r="D454" t="inlineStr">
        <is>
          <t>ÖREBRO LÄN</t>
        </is>
      </c>
      <c r="E454" t="inlineStr">
        <is>
          <t>ÖREBRO</t>
        </is>
      </c>
      <c r="G454" t="n">
        <v>15.8</v>
      </c>
      <c r="H454" t="n">
        <v>0</v>
      </c>
      <c r="I454" t="n">
        <v>0</v>
      </c>
      <c r="J454" t="n">
        <v>0</v>
      </c>
      <c r="K454" t="n">
        <v>0</v>
      </c>
      <c r="L454" t="n">
        <v>0</v>
      </c>
      <c r="M454" t="n">
        <v>0</v>
      </c>
      <c r="N454" t="n">
        <v>0</v>
      </c>
      <c r="O454" t="n">
        <v>0</v>
      </c>
      <c r="P454" t="n">
        <v>0</v>
      </c>
      <c r="Q454" t="n">
        <v>0</v>
      </c>
      <c r="R454" s="2" t="inlineStr"/>
    </row>
    <row r="455" ht="15" customHeight="1">
      <c r="A455" t="inlineStr">
        <is>
          <t>A 1014-2024</t>
        </is>
      </c>
      <c r="B455" s="1" t="n">
        <v>45301</v>
      </c>
      <c r="C455" s="1" t="n">
        <v>45989</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8374-2021</t>
        </is>
      </c>
      <c r="B456" s="1" t="n">
        <v>44244</v>
      </c>
      <c r="C456" s="1" t="n">
        <v>45989</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767-2024</t>
        </is>
      </c>
      <c r="B457" s="1" t="n">
        <v>45300.51892361111</v>
      </c>
      <c r="C457" s="1" t="n">
        <v>45989</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44511-2023</t>
        </is>
      </c>
      <c r="B458" s="1" t="n">
        <v>45189</v>
      </c>
      <c r="C458" s="1" t="n">
        <v>45989</v>
      </c>
      <c r="D458" t="inlineStr">
        <is>
          <t>ÖREBRO LÄN</t>
        </is>
      </c>
      <c r="E458" t="inlineStr">
        <is>
          <t>ÖREBRO</t>
        </is>
      </c>
      <c r="F458" t="inlineStr">
        <is>
          <t>Allmännings- och besparingsskogar</t>
        </is>
      </c>
      <c r="G458" t="n">
        <v>2.7</v>
      </c>
      <c r="H458" t="n">
        <v>0</v>
      </c>
      <c r="I458" t="n">
        <v>0</v>
      </c>
      <c r="J458" t="n">
        <v>0</v>
      </c>
      <c r="K458" t="n">
        <v>0</v>
      </c>
      <c r="L458" t="n">
        <v>0</v>
      </c>
      <c r="M458" t="n">
        <v>0</v>
      </c>
      <c r="N458" t="n">
        <v>0</v>
      </c>
      <c r="O458" t="n">
        <v>0</v>
      </c>
      <c r="P458" t="n">
        <v>0</v>
      </c>
      <c r="Q458" t="n">
        <v>0</v>
      </c>
      <c r="R458" s="2" t="inlineStr"/>
    </row>
    <row r="459" ht="15" customHeight="1">
      <c r="A459" t="inlineStr">
        <is>
          <t>A 53234-2023</t>
        </is>
      </c>
      <c r="B459" s="1" t="n">
        <v>45229</v>
      </c>
      <c r="C459" s="1" t="n">
        <v>45989</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8512-2025</t>
        </is>
      </c>
      <c r="B460" s="1" t="n">
        <v>45709.54873842592</v>
      </c>
      <c r="C460" s="1" t="n">
        <v>45989</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28054-2022</t>
        </is>
      </c>
      <c r="B461" s="1" t="n">
        <v>44746.41938657407</v>
      </c>
      <c r="C461" s="1" t="n">
        <v>45989</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1647-2024</t>
        </is>
      </c>
      <c r="B462" s="1" t="n">
        <v>45306</v>
      </c>
      <c r="C462" s="1" t="n">
        <v>45989</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57485-2023</t>
        </is>
      </c>
      <c r="B463" s="1" t="n">
        <v>45246</v>
      </c>
      <c r="C463" s="1" t="n">
        <v>45989</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58032-2023</t>
        </is>
      </c>
      <c r="B464" s="1" t="n">
        <v>45247</v>
      </c>
      <c r="C464" s="1" t="n">
        <v>45989</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58035-2023</t>
        </is>
      </c>
      <c r="B465" s="1" t="n">
        <v>45247</v>
      </c>
      <c r="C465" s="1" t="n">
        <v>45989</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35829-2024</t>
        </is>
      </c>
      <c r="B466" s="1" t="n">
        <v>45532</v>
      </c>
      <c r="C466" s="1" t="n">
        <v>45989</v>
      </c>
      <c r="D466" t="inlineStr">
        <is>
          <t>ÖREBRO LÄN</t>
        </is>
      </c>
      <c r="E466" t="inlineStr">
        <is>
          <t>ÖREBRO</t>
        </is>
      </c>
      <c r="G466" t="n">
        <v>4.6</v>
      </c>
      <c r="H466" t="n">
        <v>0</v>
      </c>
      <c r="I466" t="n">
        <v>0</v>
      </c>
      <c r="J466" t="n">
        <v>0</v>
      </c>
      <c r="K466" t="n">
        <v>0</v>
      </c>
      <c r="L466" t="n">
        <v>0</v>
      </c>
      <c r="M466" t="n">
        <v>0</v>
      </c>
      <c r="N466" t="n">
        <v>0</v>
      </c>
      <c r="O466" t="n">
        <v>0</v>
      </c>
      <c r="P466" t="n">
        <v>0</v>
      </c>
      <c r="Q466" t="n">
        <v>0</v>
      </c>
      <c r="R466" s="2" t="inlineStr"/>
    </row>
    <row r="467" ht="15" customHeight="1">
      <c r="A467" t="inlineStr">
        <is>
          <t>A 35833-2024</t>
        </is>
      </c>
      <c r="B467" s="1" t="n">
        <v>45532.68699074074</v>
      </c>
      <c r="C467" s="1" t="n">
        <v>45989</v>
      </c>
      <c r="D467" t="inlineStr">
        <is>
          <t>ÖREBRO LÄN</t>
        </is>
      </c>
      <c r="E467" t="inlineStr">
        <is>
          <t>ÖREBRO</t>
        </is>
      </c>
      <c r="G467" t="n">
        <v>1.8</v>
      </c>
      <c r="H467" t="n">
        <v>0</v>
      </c>
      <c r="I467" t="n">
        <v>0</v>
      </c>
      <c r="J467" t="n">
        <v>0</v>
      </c>
      <c r="K467" t="n">
        <v>0</v>
      </c>
      <c r="L467" t="n">
        <v>0</v>
      </c>
      <c r="M467" t="n">
        <v>0</v>
      </c>
      <c r="N467" t="n">
        <v>0</v>
      </c>
      <c r="O467" t="n">
        <v>0</v>
      </c>
      <c r="P467" t="n">
        <v>0</v>
      </c>
      <c r="Q467" t="n">
        <v>0</v>
      </c>
      <c r="R467" s="2" t="inlineStr"/>
    </row>
    <row r="468" ht="15" customHeight="1">
      <c r="A468" t="inlineStr">
        <is>
          <t>A 14717-2024</t>
        </is>
      </c>
      <c r="B468" s="1" t="n">
        <v>45397.55104166667</v>
      </c>
      <c r="C468" s="1" t="n">
        <v>45989</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5133-2024</t>
        </is>
      </c>
      <c r="B469" s="1" t="n">
        <v>45330</v>
      </c>
      <c r="C469" s="1" t="n">
        <v>45989</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14432-2023</t>
        </is>
      </c>
      <c r="B470" s="1" t="n">
        <v>45012</v>
      </c>
      <c r="C470" s="1" t="n">
        <v>45989</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10339-2023</t>
        </is>
      </c>
      <c r="B471" s="1" t="n">
        <v>44987</v>
      </c>
      <c r="C471" s="1" t="n">
        <v>45989</v>
      </c>
      <c r="D471" t="inlineStr">
        <is>
          <t>ÖREBRO LÄN</t>
        </is>
      </c>
      <c r="E471" t="inlineStr">
        <is>
          <t>ÖREBRO</t>
        </is>
      </c>
      <c r="G471" t="n">
        <v>1</v>
      </c>
      <c r="H471" t="n">
        <v>0</v>
      </c>
      <c r="I471" t="n">
        <v>0</v>
      </c>
      <c r="J471" t="n">
        <v>0</v>
      </c>
      <c r="K471" t="n">
        <v>0</v>
      </c>
      <c r="L471" t="n">
        <v>0</v>
      </c>
      <c r="M471" t="n">
        <v>0</v>
      </c>
      <c r="N471" t="n">
        <v>0</v>
      </c>
      <c r="O471" t="n">
        <v>0</v>
      </c>
      <c r="P471" t="n">
        <v>0</v>
      </c>
      <c r="Q471" t="n">
        <v>0</v>
      </c>
      <c r="R471" s="2" t="inlineStr"/>
    </row>
    <row r="472" ht="15" customHeight="1">
      <c r="A472" t="inlineStr">
        <is>
          <t>A 190-2024</t>
        </is>
      </c>
      <c r="B472" s="1" t="n">
        <v>45294.61858796296</v>
      </c>
      <c r="C472" s="1" t="n">
        <v>45989</v>
      </c>
      <c r="D472" t="inlineStr">
        <is>
          <t>ÖREBRO LÄN</t>
        </is>
      </c>
      <c r="E472" t="inlineStr">
        <is>
          <t>ÖREBRO</t>
        </is>
      </c>
      <c r="G472" t="n">
        <v>2.4</v>
      </c>
      <c r="H472" t="n">
        <v>0</v>
      </c>
      <c r="I472" t="n">
        <v>0</v>
      </c>
      <c r="J472" t="n">
        <v>0</v>
      </c>
      <c r="K472" t="n">
        <v>0</v>
      </c>
      <c r="L472" t="n">
        <v>0</v>
      </c>
      <c r="M472" t="n">
        <v>0</v>
      </c>
      <c r="N472" t="n">
        <v>0</v>
      </c>
      <c r="O472" t="n">
        <v>0</v>
      </c>
      <c r="P472" t="n">
        <v>0</v>
      </c>
      <c r="Q472" t="n">
        <v>0</v>
      </c>
      <c r="R472" s="2" t="inlineStr"/>
    </row>
    <row r="473" ht="15" customHeight="1">
      <c r="A473" t="inlineStr">
        <is>
          <t>A 62497-2023</t>
        </is>
      </c>
      <c r="B473" s="1" t="n">
        <v>45268.59935185185</v>
      </c>
      <c r="C473" s="1" t="n">
        <v>45989</v>
      </c>
      <c r="D473" t="inlineStr">
        <is>
          <t>ÖREBRO LÄN</t>
        </is>
      </c>
      <c r="E473" t="inlineStr">
        <is>
          <t>ÖREBRO</t>
        </is>
      </c>
      <c r="F473" t="inlineStr">
        <is>
          <t>Övriga Aktiebolag</t>
        </is>
      </c>
      <c r="G473" t="n">
        <v>3.2</v>
      </c>
      <c r="H473" t="n">
        <v>0</v>
      </c>
      <c r="I473" t="n">
        <v>0</v>
      </c>
      <c r="J473" t="n">
        <v>0</v>
      </c>
      <c r="K473" t="n">
        <v>0</v>
      </c>
      <c r="L473" t="n">
        <v>0</v>
      </c>
      <c r="M473" t="n">
        <v>0</v>
      </c>
      <c r="N473" t="n">
        <v>0</v>
      </c>
      <c r="O473" t="n">
        <v>0</v>
      </c>
      <c r="P473" t="n">
        <v>0</v>
      </c>
      <c r="Q473" t="n">
        <v>0</v>
      </c>
      <c r="R473" s="2" t="inlineStr"/>
    </row>
    <row r="474" ht="15" customHeight="1">
      <c r="A474" t="inlineStr">
        <is>
          <t>A 43399-2022</t>
        </is>
      </c>
      <c r="B474" s="1" t="n">
        <v>44834</v>
      </c>
      <c r="C474" s="1" t="n">
        <v>45989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63142-2023</t>
        </is>
      </c>
      <c r="B475" s="1" t="n">
        <v>45273</v>
      </c>
      <c r="C475" s="1" t="n">
        <v>45989</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37021-2024</t>
        </is>
      </c>
      <c r="B476" s="1" t="n">
        <v>45539.38146990741</v>
      </c>
      <c r="C476" s="1" t="n">
        <v>45989</v>
      </c>
      <c r="D476" t="inlineStr">
        <is>
          <t>ÖREBRO LÄN</t>
        </is>
      </c>
      <c r="E476" t="inlineStr">
        <is>
          <t>ÖREBRO</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23573-2023</t>
        </is>
      </c>
      <c r="B477" s="1" t="n">
        <v>45077.41672453703</v>
      </c>
      <c r="C477" s="1" t="n">
        <v>45989</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13762-2023</t>
        </is>
      </c>
      <c r="B478" s="1" t="n">
        <v>45007.43729166667</v>
      </c>
      <c r="C478" s="1" t="n">
        <v>45989</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5129-2024</t>
        </is>
      </c>
      <c r="B479" s="1" t="n">
        <v>45330</v>
      </c>
      <c r="C479" s="1" t="n">
        <v>45989</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1492-2022</t>
        </is>
      </c>
      <c r="B480" s="1" t="n">
        <v>44573</v>
      </c>
      <c r="C480" s="1" t="n">
        <v>45989</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59026-2024</t>
        </is>
      </c>
      <c r="B481" s="1" t="n">
        <v>45636.6875</v>
      </c>
      <c r="C481" s="1" t="n">
        <v>45989</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52623-2024</t>
        </is>
      </c>
      <c r="B482" s="1" t="n">
        <v>45609</v>
      </c>
      <c r="C482" s="1" t="n">
        <v>45989</v>
      </c>
      <c r="D482" t="inlineStr">
        <is>
          <t>ÖREBRO LÄN</t>
        </is>
      </c>
      <c r="E482" t="inlineStr">
        <is>
          <t>ÖREBRO</t>
        </is>
      </c>
      <c r="F482" t="inlineStr">
        <is>
          <t>Kommuner</t>
        </is>
      </c>
      <c r="G482" t="n">
        <v>1.7</v>
      </c>
      <c r="H482" t="n">
        <v>0</v>
      </c>
      <c r="I482" t="n">
        <v>0</v>
      </c>
      <c r="J482" t="n">
        <v>0</v>
      </c>
      <c r="K482" t="n">
        <v>0</v>
      </c>
      <c r="L482" t="n">
        <v>0</v>
      </c>
      <c r="M482" t="n">
        <v>0</v>
      </c>
      <c r="N482" t="n">
        <v>0</v>
      </c>
      <c r="O482" t="n">
        <v>0</v>
      </c>
      <c r="P482" t="n">
        <v>0</v>
      </c>
      <c r="Q482" t="n">
        <v>0</v>
      </c>
      <c r="R482" s="2" t="inlineStr"/>
    </row>
    <row r="483" ht="15" customHeight="1">
      <c r="A483" t="inlineStr">
        <is>
          <t>A 62511-2023</t>
        </is>
      </c>
      <c r="B483" s="1" t="n">
        <v>45268.61855324074</v>
      </c>
      <c r="C483" s="1" t="n">
        <v>45989</v>
      </c>
      <c r="D483" t="inlineStr">
        <is>
          <t>ÖREBRO LÄN</t>
        </is>
      </c>
      <c r="E483" t="inlineStr">
        <is>
          <t>ÖREBRO</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40522-2024</t>
        </is>
      </c>
      <c r="B484" s="1" t="n">
        <v>45555.59717592593</v>
      </c>
      <c r="C484" s="1" t="n">
        <v>45989</v>
      </c>
      <c r="D484" t="inlineStr">
        <is>
          <t>ÖREBRO LÄN</t>
        </is>
      </c>
      <c r="E484" t="inlineStr">
        <is>
          <t>ÖREBRO</t>
        </is>
      </c>
      <c r="G484" t="n">
        <v>5.1</v>
      </c>
      <c r="H484" t="n">
        <v>0</v>
      </c>
      <c r="I484" t="n">
        <v>0</v>
      </c>
      <c r="J484" t="n">
        <v>0</v>
      </c>
      <c r="K484" t="n">
        <v>0</v>
      </c>
      <c r="L484" t="n">
        <v>0</v>
      </c>
      <c r="M484" t="n">
        <v>0</v>
      </c>
      <c r="N484" t="n">
        <v>0</v>
      </c>
      <c r="O484" t="n">
        <v>0</v>
      </c>
      <c r="P484" t="n">
        <v>0</v>
      </c>
      <c r="Q484" t="n">
        <v>0</v>
      </c>
      <c r="R484" s="2" t="inlineStr"/>
    </row>
    <row r="485" ht="15" customHeight="1">
      <c r="A485" t="inlineStr">
        <is>
          <t>A 33577-2023</t>
        </is>
      </c>
      <c r="B485" s="1" t="n">
        <v>45131</v>
      </c>
      <c r="C485" s="1" t="n">
        <v>45989</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18360-2024</t>
        </is>
      </c>
      <c r="B486" s="1" t="n">
        <v>45422</v>
      </c>
      <c r="C486" s="1" t="n">
        <v>45989</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7611-2024</t>
        </is>
      </c>
      <c r="B487" s="1" t="n">
        <v>45348.58864583333</v>
      </c>
      <c r="C487" s="1" t="n">
        <v>45989</v>
      </c>
      <c r="D487" t="inlineStr">
        <is>
          <t>ÖREBRO LÄN</t>
        </is>
      </c>
      <c r="E487" t="inlineStr">
        <is>
          <t>ÖREBRO</t>
        </is>
      </c>
      <c r="G487" t="n">
        <v>4.2</v>
      </c>
      <c r="H487" t="n">
        <v>0</v>
      </c>
      <c r="I487" t="n">
        <v>0</v>
      </c>
      <c r="J487" t="n">
        <v>0</v>
      </c>
      <c r="K487" t="n">
        <v>0</v>
      </c>
      <c r="L487" t="n">
        <v>0</v>
      </c>
      <c r="M487" t="n">
        <v>0</v>
      </c>
      <c r="N487" t="n">
        <v>0</v>
      </c>
      <c r="O487" t="n">
        <v>0</v>
      </c>
      <c r="P487" t="n">
        <v>0</v>
      </c>
      <c r="Q487" t="n">
        <v>0</v>
      </c>
      <c r="R487" s="2" t="inlineStr"/>
    </row>
    <row r="488" ht="15" customHeight="1">
      <c r="A488" t="inlineStr">
        <is>
          <t>A 13347-2023</t>
        </is>
      </c>
      <c r="B488" s="1" t="n">
        <v>45004</v>
      </c>
      <c r="C488" s="1" t="n">
        <v>45989</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187-2024</t>
        </is>
      </c>
      <c r="B489" s="1" t="n">
        <v>45294</v>
      </c>
      <c r="C489" s="1" t="n">
        <v>45989</v>
      </c>
      <c r="D489" t="inlineStr">
        <is>
          <t>ÖREBRO LÄN</t>
        </is>
      </c>
      <c r="E489" t="inlineStr">
        <is>
          <t>ÖREBRO</t>
        </is>
      </c>
      <c r="G489" t="n">
        <v>5.9</v>
      </c>
      <c r="H489" t="n">
        <v>0</v>
      </c>
      <c r="I489" t="n">
        <v>0</v>
      </c>
      <c r="J489" t="n">
        <v>0</v>
      </c>
      <c r="K489" t="n">
        <v>0</v>
      </c>
      <c r="L489" t="n">
        <v>0</v>
      </c>
      <c r="M489" t="n">
        <v>0</v>
      </c>
      <c r="N489" t="n">
        <v>0</v>
      </c>
      <c r="O489" t="n">
        <v>0</v>
      </c>
      <c r="P489" t="n">
        <v>0</v>
      </c>
      <c r="Q489" t="n">
        <v>0</v>
      </c>
      <c r="R489" s="2" t="inlineStr"/>
    </row>
    <row r="490" ht="15" customHeight="1">
      <c r="A490" t="inlineStr">
        <is>
          <t>A 10832-2023</t>
        </is>
      </c>
      <c r="B490" s="1" t="n">
        <v>44990.91711805556</v>
      </c>
      <c r="C490" s="1" t="n">
        <v>45989</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2596-2022</t>
        </is>
      </c>
      <c r="B491" s="1" t="n">
        <v>44580</v>
      </c>
      <c r="C491" s="1" t="n">
        <v>45989</v>
      </c>
      <c r="D491" t="inlineStr">
        <is>
          <t>ÖREBRO LÄN</t>
        </is>
      </c>
      <c r="E491" t="inlineStr">
        <is>
          <t>ÖREBRO</t>
        </is>
      </c>
      <c r="G491" t="n">
        <v>4.3</v>
      </c>
      <c r="H491" t="n">
        <v>0</v>
      </c>
      <c r="I491" t="n">
        <v>0</v>
      </c>
      <c r="J491" t="n">
        <v>0</v>
      </c>
      <c r="K491" t="n">
        <v>0</v>
      </c>
      <c r="L491" t="n">
        <v>0</v>
      </c>
      <c r="M491" t="n">
        <v>0</v>
      </c>
      <c r="N491" t="n">
        <v>0</v>
      </c>
      <c r="O491" t="n">
        <v>0</v>
      </c>
      <c r="P491" t="n">
        <v>0</v>
      </c>
      <c r="Q491" t="n">
        <v>0</v>
      </c>
      <c r="R491" s="2" t="inlineStr"/>
    </row>
    <row r="492" ht="15" customHeight="1">
      <c r="A492" t="inlineStr">
        <is>
          <t>A 5338-2024</t>
        </is>
      </c>
      <c r="B492" s="1" t="n">
        <v>45331</v>
      </c>
      <c r="C492" s="1" t="n">
        <v>45989</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14487-2023</t>
        </is>
      </c>
      <c r="B493" s="1" t="n">
        <v>45012</v>
      </c>
      <c r="C493" s="1" t="n">
        <v>45989</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8565-2021</t>
        </is>
      </c>
      <c r="B494" s="1" t="n">
        <v>44245</v>
      </c>
      <c r="C494" s="1" t="n">
        <v>45989</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4970-2022</t>
        </is>
      </c>
      <c r="B495" s="1" t="n">
        <v>44593.51175925926</v>
      </c>
      <c r="C495" s="1" t="n">
        <v>45989</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18047-2023</t>
        </is>
      </c>
      <c r="B496" s="1" t="n">
        <v>45040</v>
      </c>
      <c r="C496" s="1" t="n">
        <v>45989</v>
      </c>
      <c r="D496" t="inlineStr">
        <is>
          <t>ÖREBRO LÄN</t>
        </is>
      </c>
      <c r="E496" t="inlineStr">
        <is>
          <t>ÖREBRO</t>
        </is>
      </c>
      <c r="G496" t="n">
        <v>3.9</v>
      </c>
      <c r="H496" t="n">
        <v>0</v>
      </c>
      <c r="I496" t="n">
        <v>0</v>
      </c>
      <c r="J496" t="n">
        <v>0</v>
      </c>
      <c r="K496" t="n">
        <v>0</v>
      </c>
      <c r="L496" t="n">
        <v>0</v>
      </c>
      <c r="M496" t="n">
        <v>0</v>
      </c>
      <c r="N496" t="n">
        <v>0</v>
      </c>
      <c r="O496" t="n">
        <v>0</v>
      </c>
      <c r="P496" t="n">
        <v>0</v>
      </c>
      <c r="Q496" t="n">
        <v>0</v>
      </c>
      <c r="R496" s="2" t="inlineStr"/>
    </row>
    <row r="497" ht="15" customHeight="1">
      <c r="A497" t="inlineStr">
        <is>
          <t>A 3789-2023</t>
        </is>
      </c>
      <c r="B497" s="1" t="n">
        <v>44951</v>
      </c>
      <c r="C497" s="1" t="n">
        <v>45989</v>
      </c>
      <c r="D497" t="inlineStr">
        <is>
          <t>ÖREBRO LÄN</t>
        </is>
      </c>
      <c r="E497" t="inlineStr">
        <is>
          <t>ÖREBRO</t>
        </is>
      </c>
      <c r="G497" t="n">
        <v>7.5</v>
      </c>
      <c r="H497" t="n">
        <v>0</v>
      </c>
      <c r="I497" t="n">
        <v>0</v>
      </c>
      <c r="J497" t="n">
        <v>0</v>
      </c>
      <c r="K497" t="n">
        <v>0</v>
      </c>
      <c r="L497" t="n">
        <v>0</v>
      </c>
      <c r="M497" t="n">
        <v>0</v>
      </c>
      <c r="N497" t="n">
        <v>0</v>
      </c>
      <c r="O497" t="n">
        <v>0</v>
      </c>
      <c r="P497" t="n">
        <v>0</v>
      </c>
      <c r="Q497" t="n">
        <v>0</v>
      </c>
      <c r="R497" s="2" t="inlineStr"/>
    </row>
    <row r="498" ht="15" customHeight="1">
      <c r="A498" t="inlineStr">
        <is>
          <t>A 5026-2022</t>
        </is>
      </c>
      <c r="B498" s="1" t="n">
        <v>44593.63974537037</v>
      </c>
      <c r="C498" s="1" t="n">
        <v>45989</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54917-2023</t>
        </is>
      </c>
      <c r="B499" s="1" t="n">
        <v>45229</v>
      </c>
      <c r="C499" s="1" t="n">
        <v>45989</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72329-2021</t>
        </is>
      </c>
      <c r="B500" s="1" t="n">
        <v>44545.46072916667</v>
      </c>
      <c r="C500" s="1" t="n">
        <v>45989</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43803-2023</t>
        </is>
      </c>
      <c r="B501" s="1" t="n">
        <v>45187</v>
      </c>
      <c r="C501" s="1" t="n">
        <v>45989</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15789-2023</t>
        </is>
      </c>
      <c r="B502" s="1" t="n">
        <v>45021.71539351852</v>
      </c>
      <c r="C502" s="1" t="n">
        <v>45989</v>
      </c>
      <c r="D502" t="inlineStr">
        <is>
          <t>ÖREBRO LÄN</t>
        </is>
      </c>
      <c r="E502" t="inlineStr">
        <is>
          <t>ÖREBRO</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58539-2024</t>
        </is>
      </c>
      <c r="B503" s="1" t="n">
        <v>45635.45157407408</v>
      </c>
      <c r="C503" s="1" t="n">
        <v>45989</v>
      </c>
      <c r="D503" t="inlineStr">
        <is>
          <t>ÖREBRO LÄN</t>
        </is>
      </c>
      <c r="E503" t="inlineStr">
        <is>
          <t>ÖREBRO</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59757-2023</t>
        </is>
      </c>
      <c r="B504" s="1" t="n">
        <v>45257.40833333333</v>
      </c>
      <c r="C504" s="1" t="n">
        <v>45989</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17869-2024</t>
        </is>
      </c>
      <c r="B505" s="1" t="n">
        <v>45419</v>
      </c>
      <c r="C505" s="1" t="n">
        <v>45989</v>
      </c>
      <c r="D505" t="inlineStr">
        <is>
          <t>ÖREBRO LÄN</t>
        </is>
      </c>
      <c r="E505" t="inlineStr">
        <is>
          <t>ÖREBRO</t>
        </is>
      </c>
      <c r="G505" t="n">
        <v>3.7</v>
      </c>
      <c r="H505" t="n">
        <v>0</v>
      </c>
      <c r="I505" t="n">
        <v>0</v>
      </c>
      <c r="J505" t="n">
        <v>0</v>
      </c>
      <c r="K505" t="n">
        <v>0</v>
      </c>
      <c r="L505" t="n">
        <v>0</v>
      </c>
      <c r="M505" t="n">
        <v>0</v>
      </c>
      <c r="N505" t="n">
        <v>0</v>
      </c>
      <c r="O505" t="n">
        <v>0</v>
      </c>
      <c r="P505" t="n">
        <v>0</v>
      </c>
      <c r="Q505" t="n">
        <v>0</v>
      </c>
      <c r="R505" s="2" t="inlineStr"/>
    </row>
    <row r="506" ht="15" customHeight="1">
      <c r="A506" t="inlineStr">
        <is>
          <t>A 71272-2021</t>
        </is>
      </c>
      <c r="B506" s="1" t="n">
        <v>44539.61571759259</v>
      </c>
      <c r="C506" s="1" t="n">
        <v>45989</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4557-2023</t>
        </is>
      </c>
      <c r="B507" s="1" t="n">
        <v>44956.6655787037</v>
      </c>
      <c r="C507" s="1" t="n">
        <v>45989</v>
      </c>
      <c r="D507" t="inlineStr">
        <is>
          <t>ÖREBRO LÄN</t>
        </is>
      </c>
      <c r="E507" t="inlineStr">
        <is>
          <t>ÖREBRO</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60100-2022</t>
        </is>
      </c>
      <c r="B508" s="1" t="n">
        <v>44902</v>
      </c>
      <c r="C508" s="1" t="n">
        <v>45989</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17465-2023</t>
        </is>
      </c>
      <c r="B509" s="1" t="n">
        <v>45036</v>
      </c>
      <c r="C509" s="1" t="n">
        <v>45989</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6213-2021</t>
        </is>
      </c>
      <c r="B510" s="1" t="n">
        <v>44232</v>
      </c>
      <c r="C510" s="1" t="n">
        <v>45989</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52016-2024</t>
        </is>
      </c>
      <c r="B511" s="1" t="n">
        <v>45607.81917824074</v>
      </c>
      <c r="C511" s="1" t="n">
        <v>45989</v>
      </c>
      <c r="D511" t="inlineStr">
        <is>
          <t>ÖREBRO LÄN</t>
        </is>
      </c>
      <c r="E511" t="inlineStr">
        <is>
          <t>ÖREBRO</t>
        </is>
      </c>
      <c r="G511" t="n">
        <v>1.9</v>
      </c>
      <c r="H511" t="n">
        <v>0</v>
      </c>
      <c r="I511" t="n">
        <v>0</v>
      </c>
      <c r="J511" t="n">
        <v>0</v>
      </c>
      <c r="K511" t="n">
        <v>0</v>
      </c>
      <c r="L511" t="n">
        <v>0</v>
      </c>
      <c r="M511" t="n">
        <v>0</v>
      </c>
      <c r="N511" t="n">
        <v>0</v>
      </c>
      <c r="O511" t="n">
        <v>0</v>
      </c>
      <c r="P511" t="n">
        <v>0</v>
      </c>
      <c r="Q511" t="n">
        <v>0</v>
      </c>
      <c r="R511" s="2" t="inlineStr"/>
    </row>
    <row r="512" ht="15" customHeight="1">
      <c r="A512" t="inlineStr">
        <is>
          <t>A 52477-2024</t>
        </is>
      </c>
      <c r="B512" s="1" t="n">
        <v>45609</v>
      </c>
      <c r="C512" s="1" t="n">
        <v>45989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53558-2023</t>
        </is>
      </c>
      <c r="B513" s="1" t="n">
        <v>45230.47266203703</v>
      </c>
      <c r="C513" s="1" t="n">
        <v>45989</v>
      </c>
      <c r="D513" t="inlineStr">
        <is>
          <t>ÖREBRO LÄN</t>
        </is>
      </c>
      <c r="E513" t="inlineStr">
        <is>
          <t>ÖREBRO</t>
        </is>
      </c>
      <c r="F513" t="inlineStr">
        <is>
          <t>Övriga Aktiebolag</t>
        </is>
      </c>
      <c r="G513" t="n">
        <v>4.7</v>
      </c>
      <c r="H513" t="n">
        <v>0</v>
      </c>
      <c r="I513" t="n">
        <v>0</v>
      </c>
      <c r="J513" t="n">
        <v>0</v>
      </c>
      <c r="K513" t="n">
        <v>0</v>
      </c>
      <c r="L513" t="n">
        <v>0</v>
      </c>
      <c r="M513" t="n">
        <v>0</v>
      </c>
      <c r="N513" t="n">
        <v>0</v>
      </c>
      <c r="O513" t="n">
        <v>0</v>
      </c>
      <c r="P513" t="n">
        <v>0</v>
      </c>
      <c r="Q513" t="n">
        <v>0</v>
      </c>
      <c r="R513" s="2" t="inlineStr"/>
    </row>
    <row r="514" ht="15" customHeight="1">
      <c r="A514" t="inlineStr">
        <is>
          <t>A 35843-2022</t>
        </is>
      </c>
      <c r="B514" s="1" t="n">
        <v>44802</v>
      </c>
      <c r="C514" s="1" t="n">
        <v>45989</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51373-2023</t>
        </is>
      </c>
      <c r="B515" s="1" t="n">
        <v>45213</v>
      </c>
      <c r="C515" s="1" t="n">
        <v>45989</v>
      </c>
      <c r="D515" t="inlineStr">
        <is>
          <t>ÖREBRO LÄN</t>
        </is>
      </c>
      <c r="E515" t="inlineStr">
        <is>
          <t>ÖREBRO</t>
        </is>
      </c>
      <c r="G515" t="n">
        <v>5.9</v>
      </c>
      <c r="H515" t="n">
        <v>0</v>
      </c>
      <c r="I515" t="n">
        <v>0</v>
      </c>
      <c r="J515" t="n">
        <v>0</v>
      </c>
      <c r="K515" t="n">
        <v>0</v>
      </c>
      <c r="L515" t="n">
        <v>0</v>
      </c>
      <c r="M515" t="n">
        <v>0</v>
      </c>
      <c r="N515" t="n">
        <v>0</v>
      </c>
      <c r="O515" t="n">
        <v>0</v>
      </c>
      <c r="P515" t="n">
        <v>0</v>
      </c>
      <c r="Q515" t="n">
        <v>0</v>
      </c>
      <c r="R515" s="2" t="inlineStr"/>
    </row>
    <row r="516" ht="15" customHeight="1">
      <c r="A516" t="inlineStr">
        <is>
          <t>A 1257-2022</t>
        </is>
      </c>
      <c r="B516" s="1" t="n">
        <v>44572</v>
      </c>
      <c r="C516" s="1" t="n">
        <v>45989</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40656-2023</t>
        </is>
      </c>
      <c r="B517" s="1" t="n">
        <v>45170</v>
      </c>
      <c r="C517" s="1" t="n">
        <v>45989</v>
      </c>
      <c r="D517" t="inlineStr">
        <is>
          <t>ÖREBRO LÄN</t>
        </is>
      </c>
      <c r="E517" t="inlineStr">
        <is>
          <t>ÖREBRO</t>
        </is>
      </c>
      <c r="F517" t="inlineStr">
        <is>
          <t>Övriga Aktiebolag</t>
        </is>
      </c>
      <c r="G517" t="n">
        <v>0.8</v>
      </c>
      <c r="H517" t="n">
        <v>0</v>
      </c>
      <c r="I517" t="n">
        <v>0</v>
      </c>
      <c r="J517" t="n">
        <v>0</v>
      </c>
      <c r="K517" t="n">
        <v>0</v>
      </c>
      <c r="L517" t="n">
        <v>0</v>
      </c>
      <c r="M517" t="n">
        <v>0</v>
      </c>
      <c r="N517" t="n">
        <v>0</v>
      </c>
      <c r="O517" t="n">
        <v>0</v>
      </c>
      <c r="P517" t="n">
        <v>0</v>
      </c>
      <c r="Q517" t="n">
        <v>0</v>
      </c>
      <c r="R517" s="2" t="inlineStr"/>
    </row>
    <row r="518" ht="15" customHeight="1">
      <c r="A518" t="inlineStr">
        <is>
          <t>A 22677-2022</t>
        </is>
      </c>
      <c r="B518" s="1" t="n">
        <v>44714</v>
      </c>
      <c r="C518" s="1" t="n">
        <v>45989</v>
      </c>
      <c r="D518" t="inlineStr">
        <is>
          <t>ÖREBRO LÄN</t>
        </is>
      </c>
      <c r="E518" t="inlineStr">
        <is>
          <t>ÖREBRO</t>
        </is>
      </c>
      <c r="G518" t="n">
        <v>2.3</v>
      </c>
      <c r="H518" t="n">
        <v>0</v>
      </c>
      <c r="I518" t="n">
        <v>0</v>
      </c>
      <c r="J518" t="n">
        <v>0</v>
      </c>
      <c r="K518" t="n">
        <v>0</v>
      </c>
      <c r="L518" t="n">
        <v>0</v>
      </c>
      <c r="M518" t="n">
        <v>0</v>
      </c>
      <c r="N518" t="n">
        <v>0</v>
      </c>
      <c r="O518" t="n">
        <v>0</v>
      </c>
      <c r="P518" t="n">
        <v>0</v>
      </c>
      <c r="Q518" t="n">
        <v>0</v>
      </c>
      <c r="R518" s="2" t="inlineStr"/>
    </row>
    <row r="519" ht="15" customHeight="1">
      <c r="A519" t="inlineStr">
        <is>
          <t>A 71288-2021</t>
        </is>
      </c>
      <c r="B519" s="1" t="n">
        <v>44539.62481481482</v>
      </c>
      <c r="C519" s="1" t="n">
        <v>45989</v>
      </c>
      <c r="D519" t="inlineStr">
        <is>
          <t>ÖREBRO LÄN</t>
        </is>
      </c>
      <c r="E519" t="inlineStr">
        <is>
          <t>ÖREBRO</t>
        </is>
      </c>
      <c r="G519" t="n">
        <v>3.9</v>
      </c>
      <c r="H519" t="n">
        <v>0</v>
      </c>
      <c r="I519" t="n">
        <v>0</v>
      </c>
      <c r="J519" t="n">
        <v>0</v>
      </c>
      <c r="K519" t="n">
        <v>0</v>
      </c>
      <c r="L519" t="n">
        <v>0</v>
      </c>
      <c r="M519" t="n">
        <v>0</v>
      </c>
      <c r="N519" t="n">
        <v>0</v>
      </c>
      <c r="O519" t="n">
        <v>0</v>
      </c>
      <c r="P519" t="n">
        <v>0</v>
      </c>
      <c r="Q519" t="n">
        <v>0</v>
      </c>
      <c r="R519" s="2" t="inlineStr"/>
    </row>
    <row r="520" ht="15" customHeight="1">
      <c r="A520" t="inlineStr">
        <is>
          <t>A 10830-2023</t>
        </is>
      </c>
      <c r="B520" s="1" t="n">
        <v>44990.89752314815</v>
      </c>
      <c r="C520" s="1" t="n">
        <v>45989</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7692-2023</t>
        </is>
      </c>
      <c r="B521" s="1" t="n">
        <v>44972.7762962963</v>
      </c>
      <c r="C521" s="1" t="n">
        <v>45989</v>
      </c>
      <c r="D521" t="inlineStr">
        <is>
          <t>ÖREBRO LÄN</t>
        </is>
      </c>
      <c r="E521" t="inlineStr">
        <is>
          <t>ÖREBRO</t>
        </is>
      </c>
      <c r="G521" t="n">
        <v>1.5</v>
      </c>
      <c r="H521" t="n">
        <v>0</v>
      </c>
      <c r="I521" t="n">
        <v>0</v>
      </c>
      <c r="J521" t="n">
        <v>0</v>
      </c>
      <c r="K521" t="n">
        <v>0</v>
      </c>
      <c r="L521" t="n">
        <v>0</v>
      </c>
      <c r="M521" t="n">
        <v>0</v>
      </c>
      <c r="N521" t="n">
        <v>0</v>
      </c>
      <c r="O521" t="n">
        <v>0</v>
      </c>
      <c r="P521" t="n">
        <v>0</v>
      </c>
      <c r="Q521" t="n">
        <v>0</v>
      </c>
      <c r="R521" s="2" t="inlineStr"/>
    </row>
    <row r="522" ht="15" customHeight="1">
      <c r="A522" t="inlineStr">
        <is>
          <t>A 31240-2023</t>
        </is>
      </c>
      <c r="B522" s="1" t="n">
        <v>45114</v>
      </c>
      <c r="C522" s="1" t="n">
        <v>45989</v>
      </c>
      <c r="D522" t="inlineStr">
        <is>
          <t>ÖREBRO LÄN</t>
        </is>
      </c>
      <c r="E522" t="inlineStr">
        <is>
          <t>ÖREBRO</t>
        </is>
      </c>
      <c r="F522" t="inlineStr">
        <is>
          <t>Allmännings- och besparingsskogar</t>
        </is>
      </c>
      <c r="G522" t="n">
        <v>6.2</v>
      </c>
      <c r="H522" t="n">
        <v>0</v>
      </c>
      <c r="I522" t="n">
        <v>0</v>
      </c>
      <c r="J522" t="n">
        <v>0</v>
      </c>
      <c r="K522" t="n">
        <v>0</v>
      </c>
      <c r="L522" t="n">
        <v>0</v>
      </c>
      <c r="M522" t="n">
        <v>0</v>
      </c>
      <c r="N522" t="n">
        <v>0</v>
      </c>
      <c r="O522" t="n">
        <v>0</v>
      </c>
      <c r="P522" t="n">
        <v>0</v>
      </c>
      <c r="Q522" t="n">
        <v>0</v>
      </c>
      <c r="R522" s="2" t="inlineStr"/>
    </row>
    <row r="523" ht="15" customHeight="1">
      <c r="A523" t="inlineStr">
        <is>
          <t>A 50026-2024</t>
        </is>
      </c>
      <c r="B523" s="1" t="n">
        <v>45599.60541666667</v>
      </c>
      <c r="C523" s="1" t="n">
        <v>45989</v>
      </c>
      <c r="D523" t="inlineStr">
        <is>
          <t>ÖREBRO LÄN</t>
        </is>
      </c>
      <c r="E523" t="inlineStr">
        <is>
          <t>ÖREBRO</t>
        </is>
      </c>
      <c r="G523" t="n">
        <v>2.2</v>
      </c>
      <c r="H523" t="n">
        <v>0</v>
      </c>
      <c r="I523" t="n">
        <v>0</v>
      </c>
      <c r="J523" t="n">
        <v>0</v>
      </c>
      <c r="K523" t="n">
        <v>0</v>
      </c>
      <c r="L523" t="n">
        <v>0</v>
      </c>
      <c r="M523" t="n">
        <v>0</v>
      </c>
      <c r="N523" t="n">
        <v>0</v>
      </c>
      <c r="O523" t="n">
        <v>0</v>
      </c>
      <c r="P523" t="n">
        <v>0</v>
      </c>
      <c r="Q523" t="n">
        <v>0</v>
      </c>
      <c r="R523" s="2" t="inlineStr"/>
    </row>
    <row r="524" ht="15" customHeight="1">
      <c r="A524" t="inlineStr">
        <is>
          <t>A 18449-2023</t>
        </is>
      </c>
      <c r="B524" s="1" t="n">
        <v>45042.5203125</v>
      </c>
      <c r="C524" s="1" t="n">
        <v>45989</v>
      </c>
      <c r="D524" t="inlineStr">
        <is>
          <t>ÖREBRO LÄN</t>
        </is>
      </c>
      <c r="E524" t="inlineStr">
        <is>
          <t>ÖREBRO</t>
        </is>
      </c>
      <c r="G524" t="n">
        <v>1.5</v>
      </c>
      <c r="H524" t="n">
        <v>0</v>
      </c>
      <c r="I524" t="n">
        <v>0</v>
      </c>
      <c r="J524" t="n">
        <v>0</v>
      </c>
      <c r="K524" t="n">
        <v>0</v>
      </c>
      <c r="L524" t="n">
        <v>0</v>
      </c>
      <c r="M524" t="n">
        <v>0</v>
      </c>
      <c r="N524" t="n">
        <v>0</v>
      </c>
      <c r="O524" t="n">
        <v>0</v>
      </c>
      <c r="P524" t="n">
        <v>0</v>
      </c>
      <c r="Q524" t="n">
        <v>0</v>
      </c>
      <c r="R524" s="2" t="inlineStr"/>
    </row>
    <row r="525" ht="15" customHeight="1">
      <c r="A525" t="inlineStr">
        <is>
          <t>A 16936-2023</t>
        </is>
      </c>
      <c r="B525" s="1" t="n">
        <v>45033.63005787037</v>
      </c>
      <c r="C525" s="1" t="n">
        <v>45989</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58145-2024</t>
        </is>
      </c>
      <c r="B526" s="1" t="n">
        <v>45632.43230324074</v>
      </c>
      <c r="C526" s="1" t="n">
        <v>45989</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64730-2023</t>
        </is>
      </c>
      <c r="B527" s="1" t="n">
        <v>45281</v>
      </c>
      <c r="C527" s="1" t="n">
        <v>45989</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44284-2022</t>
        </is>
      </c>
      <c r="B528" s="1" t="n">
        <v>44839.59194444444</v>
      </c>
      <c r="C528" s="1" t="n">
        <v>45989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14544-2023</t>
        </is>
      </c>
      <c r="B529" s="1" t="n">
        <v>45013</v>
      </c>
      <c r="C529" s="1" t="n">
        <v>45989</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15682-2023</t>
        </is>
      </c>
      <c r="B530" s="1" t="n">
        <v>45021</v>
      </c>
      <c r="C530" s="1" t="n">
        <v>45989</v>
      </c>
      <c r="D530" t="inlineStr">
        <is>
          <t>ÖREBRO LÄN</t>
        </is>
      </c>
      <c r="E530" t="inlineStr">
        <is>
          <t>ÖREBRO</t>
        </is>
      </c>
      <c r="G530" t="n">
        <v>1.3</v>
      </c>
      <c r="H530" t="n">
        <v>0</v>
      </c>
      <c r="I530" t="n">
        <v>0</v>
      </c>
      <c r="J530" t="n">
        <v>0</v>
      </c>
      <c r="K530" t="n">
        <v>0</v>
      </c>
      <c r="L530" t="n">
        <v>0</v>
      </c>
      <c r="M530" t="n">
        <v>0</v>
      </c>
      <c r="N530" t="n">
        <v>0</v>
      </c>
      <c r="O530" t="n">
        <v>0</v>
      </c>
      <c r="P530" t="n">
        <v>0</v>
      </c>
      <c r="Q530" t="n">
        <v>0</v>
      </c>
      <c r="R530" s="2" t="inlineStr"/>
    </row>
    <row r="531" ht="15" customHeight="1">
      <c r="A531" t="inlineStr">
        <is>
          <t>A 4416-2023</t>
        </is>
      </c>
      <c r="B531" s="1" t="n">
        <v>44956</v>
      </c>
      <c r="C531" s="1" t="n">
        <v>45989</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49062-2023</t>
        </is>
      </c>
      <c r="B532" s="1" t="n">
        <v>45210.35119212963</v>
      </c>
      <c r="C532" s="1" t="n">
        <v>45989</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32321-2023</t>
        </is>
      </c>
      <c r="B533" s="1" t="n">
        <v>45120</v>
      </c>
      <c r="C533" s="1" t="n">
        <v>45989</v>
      </c>
      <c r="D533" t="inlineStr">
        <is>
          <t>ÖREBRO LÄN</t>
        </is>
      </c>
      <c r="E533" t="inlineStr">
        <is>
          <t>ÖREBRO</t>
        </is>
      </c>
      <c r="G533" t="n">
        <v>3.4</v>
      </c>
      <c r="H533" t="n">
        <v>0</v>
      </c>
      <c r="I533" t="n">
        <v>0</v>
      </c>
      <c r="J533" t="n">
        <v>0</v>
      </c>
      <c r="K533" t="n">
        <v>0</v>
      </c>
      <c r="L533" t="n">
        <v>0</v>
      </c>
      <c r="M533" t="n">
        <v>0</v>
      </c>
      <c r="N533" t="n">
        <v>0</v>
      </c>
      <c r="O533" t="n">
        <v>0</v>
      </c>
      <c r="P533" t="n">
        <v>0</v>
      </c>
      <c r="Q533" t="n">
        <v>0</v>
      </c>
      <c r="R533" s="2" t="inlineStr"/>
    </row>
    <row r="534" ht="15" customHeight="1">
      <c r="A534" t="inlineStr">
        <is>
          <t>A 2095-2025</t>
        </is>
      </c>
      <c r="B534" s="1" t="n">
        <v>45672</v>
      </c>
      <c r="C534" s="1" t="n">
        <v>45989</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71275-2021</t>
        </is>
      </c>
      <c r="B535" s="1" t="n">
        <v>44539</v>
      </c>
      <c r="C535" s="1" t="n">
        <v>45989</v>
      </c>
      <c r="D535" t="inlineStr">
        <is>
          <t>ÖREBRO LÄN</t>
        </is>
      </c>
      <c r="E535" t="inlineStr">
        <is>
          <t>ÖREBRO</t>
        </is>
      </c>
      <c r="G535" t="n">
        <v>0.9</v>
      </c>
      <c r="H535" t="n">
        <v>0</v>
      </c>
      <c r="I535" t="n">
        <v>0</v>
      </c>
      <c r="J535" t="n">
        <v>0</v>
      </c>
      <c r="K535" t="n">
        <v>0</v>
      </c>
      <c r="L535" t="n">
        <v>0</v>
      </c>
      <c r="M535" t="n">
        <v>0</v>
      </c>
      <c r="N535" t="n">
        <v>0</v>
      </c>
      <c r="O535" t="n">
        <v>0</v>
      </c>
      <c r="P535" t="n">
        <v>0</v>
      </c>
      <c r="Q535" t="n">
        <v>0</v>
      </c>
      <c r="R535" s="2" t="inlineStr"/>
    </row>
    <row r="536" ht="15" customHeight="1">
      <c r="A536" t="inlineStr">
        <is>
          <t>A 58608-2024</t>
        </is>
      </c>
      <c r="B536" s="1" t="n">
        <v>45635.55185185185</v>
      </c>
      <c r="C536" s="1" t="n">
        <v>45989</v>
      </c>
      <c r="D536" t="inlineStr">
        <is>
          <t>ÖREBRO LÄN</t>
        </is>
      </c>
      <c r="E536" t="inlineStr">
        <is>
          <t>ÖREBRO</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2153-2023</t>
        </is>
      </c>
      <c r="B537" s="1" t="n">
        <v>44941</v>
      </c>
      <c r="C537" s="1" t="n">
        <v>45989</v>
      </c>
      <c r="D537" t="inlineStr">
        <is>
          <t>ÖREBRO LÄN</t>
        </is>
      </c>
      <c r="E537" t="inlineStr">
        <is>
          <t>ÖREBRO</t>
        </is>
      </c>
      <c r="G537" t="n">
        <v>6.3</v>
      </c>
      <c r="H537" t="n">
        <v>0</v>
      </c>
      <c r="I537" t="n">
        <v>0</v>
      </c>
      <c r="J537" t="n">
        <v>0</v>
      </c>
      <c r="K537" t="n">
        <v>0</v>
      </c>
      <c r="L537" t="n">
        <v>0</v>
      </c>
      <c r="M537" t="n">
        <v>0</v>
      </c>
      <c r="N537" t="n">
        <v>0</v>
      </c>
      <c r="O537" t="n">
        <v>0</v>
      </c>
      <c r="P537" t="n">
        <v>0</v>
      </c>
      <c r="Q537" t="n">
        <v>0</v>
      </c>
      <c r="R537" s="2" t="inlineStr"/>
    </row>
    <row r="538" ht="15" customHeight="1">
      <c r="A538" t="inlineStr">
        <is>
          <t>A 2069-2025</t>
        </is>
      </c>
      <c r="B538" s="1" t="n">
        <v>45672.56614583333</v>
      </c>
      <c r="C538" s="1" t="n">
        <v>45989</v>
      </c>
      <c r="D538" t="inlineStr">
        <is>
          <t>ÖREBRO LÄN</t>
        </is>
      </c>
      <c r="E538" t="inlineStr">
        <is>
          <t>ÖREBRO</t>
        </is>
      </c>
      <c r="G538" t="n">
        <v>3.8</v>
      </c>
      <c r="H538" t="n">
        <v>0</v>
      </c>
      <c r="I538" t="n">
        <v>0</v>
      </c>
      <c r="J538" t="n">
        <v>0</v>
      </c>
      <c r="K538" t="n">
        <v>0</v>
      </c>
      <c r="L538" t="n">
        <v>0</v>
      </c>
      <c r="M538" t="n">
        <v>0</v>
      </c>
      <c r="N538" t="n">
        <v>0</v>
      </c>
      <c r="O538" t="n">
        <v>0</v>
      </c>
      <c r="P538" t="n">
        <v>0</v>
      </c>
      <c r="Q538" t="n">
        <v>0</v>
      </c>
      <c r="R538" s="2" t="inlineStr"/>
    </row>
    <row r="539" ht="15" customHeight="1">
      <c r="A539" t="inlineStr">
        <is>
          <t>A 852-2025</t>
        </is>
      </c>
      <c r="B539" s="1" t="n">
        <v>45665.60148148148</v>
      </c>
      <c r="C539" s="1" t="n">
        <v>45989</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50398-2022</t>
        </is>
      </c>
      <c r="B540" s="1" t="n">
        <v>44861</v>
      </c>
      <c r="C540" s="1" t="n">
        <v>45989</v>
      </c>
      <c r="D540" t="inlineStr">
        <is>
          <t>ÖREBRO LÄN</t>
        </is>
      </c>
      <c r="E540" t="inlineStr">
        <is>
          <t>ÖREBRO</t>
        </is>
      </c>
      <c r="G540" t="n">
        <v>1.9</v>
      </c>
      <c r="H540" t="n">
        <v>0</v>
      </c>
      <c r="I540" t="n">
        <v>0</v>
      </c>
      <c r="J540" t="n">
        <v>0</v>
      </c>
      <c r="K540" t="n">
        <v>0</v>
      </c>
      <c r="L540" t="n">
        <v>0</v>
      </c>
      <c r="M540" t="n">
        <v>0</v>
      </c>
      <c r="N540" t="n">
        <v>0</v>
      </c>
      <c r="O540" t="n">
        <v>0</v>
      </c>
      <c r="P540" t="n">
        <v>0</v>
      </c>
      <c r="Q540" t="n">
        <v>0</v>
      </c>
      <c r="R540" s="2" t="inlineStr"/>
    </row>
    <row r="541" ht="15" customHeight="1">
      <c r="A541" t="inlineStr">
        <is>
          <t>A 52441-2024</t>
        </is>
      </c>
      <c r="B541" s="1" t="n">
        <v>45609.48451388889</v>
      </c>
      <c r="C541" s="1" t="n">
        <v>45989</v>
      </c>
      <c r="D541" t="inlineStr">
        <is>
          <t>ÖREBRO LÄN</t>
        </is>
      </c>
      <c r="E541" t="inlineStr">
        <is>
          <t>ÖREBRO</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52499-2024</t>
        </is>
      </c>
      <c r="B542" s="1" t="n">
        <v>45609.58422453704</v>
      </c>
      <c r="C542" s="1" t="n">
        <v>45989</v>
      </c>
      <c r="D542" t="inlineStr">
        <is>
          <t>ÖREBRO LÄN</t>
        </is>
      </c>
      <c r="E542" t="inlineStr">
        <is>
          <t>ÖREBRO</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8008-2024</t>
        </is>
      </c>
      <c r="B543" s="1" t="n">
        <v>45350.6794212963</v>
      </c>
      <c r="C543" s="1" t="n">
        <v>45989</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18181-2024</t>
        </is>
      </c>
      <c r="B544" s="1" t="n">
        <v>45420.64561342593</v>
      </c>
      <c r="C544" s="1" t="n">
        <v>45989</v>
      </c>
      <c r="D544" t="inlineStr">
        <is>
          <t>ÖREBRO LÄN</t>
        </is>
      </c>
      <c r="E544" t="inlineStr">
        <is>
          <t>ÖREBRO</t>
        </is>
      </c>
      <c r="G544" t="n">
        <v>7.6</v>
      </c>
      <c r="H544" t="n">
        <v>0</v>
      </c>
      <c r="I544" t="n">
        <v>0</v>
      </c>
      <c r="J544" t="n">
        <v>0</v>
      </c>
      <c r="K544" t="n">
        <v>0</v>
      </c>
      <c r="L544" t="n">
        <v>0</v>
      </c>
      <c r="M544" t="n">
        <v>0</v>
      </c>
      <c r="N544" t="n">
        <v>0</v>
      </c>
      <c r="O544" t="n">
        <v>0</v>
      </c>
      <c r="P544" t="n">
        <v>0</v>
      </c>
      <c r="Q544" t="n">
        <v>0</v>
      </c>
      <c r="R544" s="2" t="inlineStr"/>
    </row>
    <row r="545" ht="15" customHeight="1">
      <c r="A545" t="inlineStr">
        <is>
          <t>A 38415-2023</t>
        </is>
      </c>
      <c r="B545" s="1" t="n">
        <v>45162.35502314815</v>
      </c>
      <c r="C545" s="1" t="n">
        <v>45989</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16374-2022</t>
        </is>
      </c>
      <c r="B546" s="1" t="n">
        <v>44671</v>
      </c>
      <c r="C546" s="1" t="n">
        <v>45989</v>
      </c>
      <c r="D546" t="inlineStr">
        <is>
          <t>ÖREBRO LÄN</t>
        </is>
      </c>
      <c r="E546" t="inlineStr">
        <is>
          <t>ÖREBRO</t>
        </is>
      </c>
      <c r="F546" t="inlineStr">
        <is>
          <t>Övriga Aktiebolag</t>
        </is>
      </c>
      <c r="G546" t="n">
        <v>30.3</v>
      </c>
      <c r="H546" t="n">
        <v>0</v>
      </c>
      <c r="I546" t="n">
        <v>0</v>
      </c>
      <c r="J546" t="n">
        <v>0</v>
      </c>
      <c r="K546" t="n">
        <v>0</v>
      </c>
      <c r="L546" t="n">
        <v>0</v>
      </c>
      <c r="M546" t="n">
        <v>0</v>
      </c>
      <c r="N546" t="n">
        <v>0</v>
      </c>
      <c r="O546" t="n">
        <v>0</v>
      </c>
      <c r="P546" t="n">
        <v>0</v>
      </c>
      <c r="Q546" t="n">
        <v>0</v>
      </c>
      <c r="R546" s="2" t="inlineStr"/>
    </row>
    <row r="547" ht="15" customHeight="1">
      <c r="A547" t="inlineStr">
        <is>
          <t>A 9704-2023</t>
        </is>
      </c>
      <c r="B547" s="1" t="n">
        <v>44984</v>
      </c>
      <c r="C547" s="1" t="n">
        <v>45989</v>
      </c>
      <c r="D547" t="inlineStr">
        <is>
          <t>ÖREBRO LÄN</t>
        </is>
      </c>
      <c r="E547" t="inlineStr">
        <is>
          <t>ÖREBRO</t>
        </is>
      </c>
      <c r="G547" t="n">
        <v>1</v>
      </c>
      <c r="H547" t="n">
        <v>0</v>
      </c>
      <c r="I547" t="n">
        <v>0</v>
      </c>
      <c r="J547" t="n">
        <v>0</v>
      </c>
      <c r="K547" t="n">
        <v>0</v>
      </c>
      <c r="L547" t="n">
        <v>0</v>
      </c>
      <c r="M547" t="n">
        <v>0</v>
      </c>
      <c r="N547" t="n">
        <v>0</v>
      </c>
      <c r="O547" t="n">
        <v>0</v>
      </c>
      <c r="P547" t="n">
        <v>0</v>
      </c>
      <c r="Q547" t="n">
        <v>0</v>
      </c>
      <c r="R547" s="2" t="inlineStr"/>
    </row>
    <row r="548" ht="15" customHeight="1">
      <c r="A548" t="inlineStr">
        <is>
          <t>A 19180-2025</t>
        </is>
      </c>
      <c r="B548" s="1" t="n">
        <v>45769.40133101852</v>
      </c>
      <c r="C548" s="1" t="n">
        <v>45989</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46052-2024</t>
        </is>
      </c>
      <c r="B549" s="1" t="n">
        <v>45580.89116898148</v>
      </c>
      <c r="C549" s="1" t="n">
        <v>45989</v>
      </c>
      <c r="D549" t="inlineStr">
        <is>
          <t>ÖREBRO LÄN</t>
        </is>
      </c>
      <c r="E549" t="inlineStr">
        <is>
          <t>ÖREBRO</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58527-2024</t>
        </is>
      </c>
      <c r="B550" s="1" t="n">
        <v>45635.44388888889</v>
      </c>
      <c r="C550" s="1" t="n">
        <v>45989</v>
      </c>
      <c r="D550" t="inlineStr">
        <is>
          <t>ÖREBRO LÄN</t>
        </is>
      </c>
      <c r="E550" t="inlineStr">
        <is>
          <t>ÖREBRO</t>
        </is>
      </c>
      <c r="F550" t="inlineStr">
        <is>
          <t>Sveaskog</t>
        </is>
      </c>
      <c r="G550" t="n">
        <v>6.4</v>
      </c>
      <c r="H550" t="n">
        <v>0</v>
      </c>
      <c r="I550" t="n">
        <v>0</v>
      </c>
      <c r="J550" t="n">
        <v>0</v>
      </c>
      <c r="K550" t="n">
        <v>0</v>
      </c>
      <c r="L550" t="n">
        <v>0</v>
      </c>
      <c r="M550" t="n">
        <v>0</v>
      </c>
      <c r="N550" t="n">
        <v>0</v>
      </c>
      <c r="O550" t="n">
        <v>0</v>
      </c>
      <c r="P550" t="n">
        <v>0</v>
      </c>
      <c r="Q550" t="n">
        <v>0</v>
      </c>
      <c r="R550" s="2" t="inlineStr"/>
    </row>
    <row r="551" ht="15" customHeight="1">
      <c r="A551" t="inlineStr">
        <is>
          <t>A 37022-2024</t>
        </is>
      </c>
      <c r="B551" s="1" t="n">
        <v>45539.3822337963</v>
      </c>
      <c r="C551" s="1" t="n">
        <v>45989</v>
      </c>
      <c r="D551" t="inlineStr">
        <is>
          <t>ÖREBRO LÄN</t>
        </is>
      </c>
      <c r="E551" t="inlineStr">
        <is>
          <t>ÖREBRO</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37024-2024</t>
        </is>
      </c>
      <c r="B552" s="1" t="n">
        <v>45539.38329861111</v>
      </c>
      <c r="C552" s="1" t="n">
        <v>45989</v>
      </c>
      <c r="D552" t="inlineStr">
        <is>
          <t>ÖREBRO LÄN</t>
        </is>
      </c>
      <c r="E552" t="inlineStr">
        <is>
          <t>ÖREBRO</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45989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11382-2023</t>
        </is>
      </c>
      <c r="B554" s="1" t="n">
        <v>44993.45635416666</v>
      </c>
      <c r="C554" s="1" t="n">
        <v>45989</v>
      </c>
      <c r="D554" t="inlineStr">
        <is>
          <t>ÖREBRO LÄN</t>
        </is>
      </c>
      <c r="E554" t="inlineStr">
        <is>
          <t>ÖREBRO</t>
        </is>
      </c>
      <c r="G554" t="n">
        <v>3.3</v>
      </c>
      <c r="H554" t="n">
        <v>0</v>
      </c>
      <c r="I554" t="n">
        <v>0</v>
      </c>
      <c r="J554" t="n">
        <v>0</v>
      </c>
      <c r="K554" t="n">
        <v>0</v>
      </c>
      <c r="L554" t="n">
        <v>0</v>
      </c>
      <c r="M554" t="n">
        <v>0</v>
      </c>
      <c r="N554" t="n">
        <v>0</v>
      </c>
      <c r="O554" t="n">
        <v>0</v>
      </c>
      <c r="P554" t="n">
        <v>0</v>
      </c>
      <c r="Q554" t="n">
        <v>0</v>
      </c>
      <c r="R554" s="2" t="inlineStr"/>
    </row>
    <row r="555" ht="15" customHeight="1">
      <c r="A555" t="inlineStr">
        <is>
          <t>A 20121-2024</t>
        </is>
      </c>
      <c r="B555" s="1" t="n">
        <v>45434</v>
      </c>
      <c r="C555" s="1" t="n">
        <v>45989</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26117-2021</t>
        </is>
      </c>
      <c r="B556" s="1" t="n">
        <v>44345</v>
      </c>
      <c r="C556" s="1" t="n">
        <v>45989</v>
      </c>
      <c r="D556" t="inlineStr">
        <is>
          <t>ÖREBRO LÄN</t>
        </is>
      </c>
      <c r="E556" t="inlineStr">
        <is>
          <t>ÖREBRO</t>
        </is>
      </c>
      <c r="G556" t="n">
        <v>8.1</v>
      </c>
      <c r="H556" t="n">
        <v>0</v>
      </c>
      <c r="I556" t="n">
        <v>0</v>
      </c>
      <c r="J556" t="n">
        <v>0</v>
      </c>
      <c r="K556" t="n">
        <v>0</v>
      </c>
      <c r="L556" t="n">
        <v>0</v>
      </c>
      <c r="M556" t="n">
        <v>0</v>
      </c>
      <c r="N556" t="n">
        <v>0</v>
      </c>
      <c r="O556" t="n">
        <v>0</v>
      </c>
      <c r="P556" t="n">
        <v>0</v>
      </c>
      <c r="Q556" t="n">
        <v>0</v>
      </c>
      <c r="R556" s="2" t="inlineStr"/>
    </row>
    <row r="557" ht="15" customHeight="1">
      <c r="A557" t="inlineStr">
        <is>
          <t>A 55943-2024</t>
        </is>
      </c>
      <c r="B557" s="1" t="n">
        <v>45623.61278935185</v>
      </c>
      <c r="C557" s="1" t="n">
        <v>45989</v>
      </c>
      <c r="D557" t="inlineStr">
        <is>
          <t>ÖREBRO LÄN</t>
        </is>
      </c>
      <c r="E557" t="inlineStr">
        <is>
          <t>ÖREBRO</t>
        </is>
      </c>
      <c r="G557" t="n">
        <v>4.8</v>
      </c>
      <c r="H557" t="n">
        <v>0</v>
      </c>
      <c r="I557" t="n">
        <v>0</v>
      </c>
      <c r="J557" t="n">
        <v>0</v>
      </c>
      <c r="K557" t="n">
        <v>0</v>
      </c>
      <c r="L557" t="n">
        <v>0</v>
      </c>
      <c r="M557" t="n">
        <v>0</v>
      </c>
      <c r="N557" t="n">
        <v>0</v>
      </c>
      <c r="O557" t="n">
        <v>0</v>
      </c>
      <c r="P557" t="n">
        <v>0</v>
      </c>
      <c r="Q557" t="n">
        <v>0</v>
      </c>
      <c r="R557" s="2" t="inlineStr"/>
    </row>
    <row r="558" ht="15" customHeight="1">
      <c r="A558" t="inlineStr">
        <is>
          <t>A 1013-2024</t>
        </is>
      </c>
      <c r="B558" s="1" t="n">
        <v>45301</v>
      </c>
      <c r="C558" s="1" t="n">
        <v>45989</v>
      </c>
      <c r="D558" t="inlineStr">
        <is>
          <t>ÖREBRO LÄN</t>
        </is>
      </c>
      <c r="E558" t="inlineStr">
        <is>
          <t>ÖREBRO</t>
        </is>
      </c>
      <c r="G558" t="n">
        <v>2.6</v>
      </c>
      <c r="H558" t="n">
        <v>0</v>
      </c>
      <c r="I558" t="n">
        <v>0</v>
      </c>
      <c r="J558" t="n">
        <v>0</v>
      </c>
      <c r="K558" t="n">
        <v>0</v>
      </c>
      <c r="L558" t="n">
        <v>0</v>
      </c>
      <c r="M558" t="n">
        <v>0</v>
      </c>
      <c r="N558" t="n">
        <v>0</v>
      </c>
      <c r="O558" t="n">
        <v>0</v>
      </c>
      <c r="P558" t="n">
        <v>0</v>
      </c>
      <c r="Q558" t="n">
        <v>0</v>
      </c>
      <c r="R558" s="2" t="inlineStr"/>
    </row>
    <row r="559" ht="15" customHeight="1">
      <c r="A559" t="inlineStr">
        <is>
          <t>A 13623-2024</t>
        </is>
      </c>
      <c r="B559" s="1" t="n">
        <v>45390.38626157407</v>
      </c>
      <c r="C559" s="1" t="n">
        <v>45989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5330-2024</t>
        </is>
      </c>
      <c r="B560" s="1" t="n">
        <v>45331.4187962963</v>
      </c>
      <c r="C560" s="1" t="n">
        <v>45989</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6794-2025</t>
        </is>
      </c>
      <c r="B561" s="1" t="n">
        <v>45700.66429398148</v>
      </c>
      <c r="C561" s="1" t="n">
        <v>45989</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3-2024</t>
        </is>
      </c>
      <c r="B562" s="1" t="n">
        <v>45292</v>
      </c>
      <c r="C562" s="1" t="n">
        <v>45989</v>
      </c>
      <c r="D562" t="inlineStr">
        <is>
          <t>ÖREBRO LÄN</t>
        </is>
      </c>
      <c r="E562" t="inlineStr">
        <is>
          <t>ÖREBRO</t>
        </is>
      </c>
      <c r="G562" t="n">
        <v>2.7</v>
      </c>
      <c r="H562" t="n">
        <v>0</v>
      </c>
      <c r="I562" t="n">
        <v>0</v>
      </c>
      <c r="J562" t="n">
        <v>0</v>
      </c>
      <c r="K562" t="n">
        <v>0</v>
      </c>
      <c r="L562" t="n">
        <v>0</v>
      </c>
      <c r="M562" t="n">
        <v>0</v>
      </c>
      <c r="N562" t="n">
        <v>0</v>
      </c>
      <c r="O562" t="n">
        <v>0</v>
      </c>
      <c r="P562" t="n">
        <v>0</v>
      </c>
      <c r="Q562" t="n">
        <v>0</v>
      </c>
      <c r="R562" s="2" t="inlineStr"/>
    </row>
    <row r="563" ht="15" customHeight="1">
      <c r="A563" t="inlineStr">
        <is>
          <t>A 5619-2023</t>
        </is>
      </c>
      <c r="B563" s="1" t="n">
        <v>44958</v>
      </c>
      <c r="C563" s="1" t="n">
        <v>45989</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5578-2024</t>
        </is>
      </c>
      <c r="B564" s="1" t="n">
        <v>45334.49104166667</v>
      </c>
      <c r="C564" s="1" t="n">
        <v>45989</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37786-2024</t>
        </is>
      </c>
      <c r="B565" s="1" t="n">
        <v>45542.82987268519</v>
      </c>
      <c r="C565" s="1" t="n">
        <v>45989</v>
      </c>
      <c r="D565" t="inlineStr">
        <is>
          <t>ÖREBRO LÄN</t>
        </is>
      </c>
      <c r="E565" t="inlineStr">
        <is>
          <t>ÖREBRO</t>
        </is>
      </c>
      <c r="G565" t="n">
        <v>3.1</v>
      </c>
      <c r="H565" t="n">
        <v>0</v>
      </c>
      <c r="I565" t="n">
        <v>0</v>
      </c>
      <c r="J565" t="n">
        <v>0</v>
      </c>
      <c r="K565" t="n">
        <v>0</v>
      </c>
      <c r="L565" t="n">
        <v>0</v>
      </c>
      <c r="M565" t="n">
        <v>0</v>
      </c>
      <c r="N565" t="n">
        <v>0</v>
      </c>
      <c r="O565" t="n">
        <v>0</v>
      </c>
      <c r="P565" t="n">
        <v>0</v>
      </c>
      <c r="Q565" t="n">
        <v>0</v>
      </c>
      <c r="R565" s="2" t="inlineStr"/>
    </row>
    <row r="566" ht="15" customHeight="1">
      <c r="A566" t="inlineStr">
        <is>
          <t>A 58615-2024</t>
        </is>
      </c>
      <c r="B566" s="1" t="n">
        <v>45635.5587037037</v>
      </c>
      <c r="C566" s="1" t="n">
        <v>45989</v>
      </c>
      <c r="D566" t="inlineStr">
        <is>
          <t>ÖREBRO LÄN</t>
        </is>
      </c>
      <c r="E566" t="inlineStr">
        <is>
          <t>ÖREBRO</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45517-2023</t>
        </is>
      </c>
      <c r="B567" s="1" t="n">
        <v>45194.49594907407</v>
      </c>
      <c r="C567" s="1" t="n">
        <v>45989</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3652-2022</t>
        </is>
      </c>
      <c r="B568" s="1" t="n">
        <v>44586.46921296296</v>
      </c>
      <c r="C568" s="1" t="n">
        <v>45989</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25407-2021</t>
        </is>
      </c>
      <c r="B569" s="1" t="n">
        <v>44342</v>
      </c>
      <c r="C569" s="1" t="n">
        <v>45989</v>
      </c>
      <c r="D569" t="inlineStr">
        <is>
          <t>ÖREBRO LÄN</t>
        </is>
      </c>
      <c r="E569" t="inlineStr">
        <is>
          <t>ÖREBRO</t>
        </is>
      </c>
      <c r="F569" t="inlineStr">
        <is>
          <t>Kommuner</t>
        </is>
      </c>
      <c r="G569" t="n">
        <v>7.2</v>
      </c>
      <c r="H569" t="n">
        <v>0</v>
      </c>
      <c r="I569" t="n">
        <v>0</v>
      </c>
      <c r="J569" t="n">
        <v>0</v>
      </c>
      <c r="K569" t="n">
        <v>0</v>
      </c>
      <c r="L569" t="n">
        <v>0</v>
      </c>
      <c r="M569" t="n">
        <v>0</v>
      </c>
      <c r="N569" t="n">
        <v>0</v>
      </c>
      <c r="O569" t="n">
        <v>0</v>
      </c>
      <c r="P569" t="n">
        <v>0</v>
      </c>
      <c r="Q569" t="n">
        <v>0</v>
      </c>
      <c r="R569" s="2" t="inlineStr"/>
    </row>
    <row r="570" ht="15" customHeight="1">
      <c r="A570" t="inlineStr">
        <is>
          <t>A 12245-2023</t>
        </is>
      </c>
      <c r="B570" s="1" t="n">
        <v>44998.64402777778</v>
      </c>
      <c r="C570" s="1" t="n">
        <v>45989</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7134-2025</t>
        </is>
      </c>
      <c r="B571" s="1" t="n">
        <v>45702</v>
      </c>
      <c r="C571" s="1" t="n">
        <v>45989</v>
      </c>
      <c r="D571" t="inlineStr">
        <is>
          <t>ÖREBRO LÄN</t>
        </is>
      </c>
      <c r="E571" t="inlineStr">
        <is>
          <t>ÖREBRO</t>
        </is>
      </c>
      <c r="F571" t="inlineStr">
        <is>
          <t>Övriga Aktiebolag</t>
        </is>
      </c>
      <c r="G571" t="n">
        <v>2.1</v>
      </c>
      <c r="H571" t="n">
        <v>0</v>
      </c>
      <c r="I571" t="n">
        <v>0</v>
      </c>
      <c r="J571" t="n">
        <v>0</v>
      </c>
      <c r="K571" t="n">
        <v>0</v>
      </c>
      <c r="L571" t="n">
        <v>0</v>
      </c>
      <c r="M571" t="n">
        <v>0</v>
      </c>
      <c r="N571" t="n">
        <v>0</v>
      </c>
      <c r="O571" t="n">
        <v>0</v>
      </c>
      <c r="P571" t="n">
        <v>0</v>
      </c>
      <c r="Q571" t="n">
        <v>0</v>
      </c>
      <c r="R571" s="2" t="inlineStr"/>
    </row>
    <row r="572" ht="15" customHeight="1">
      <c r="A572" t="inlineStr">
        <is>
          <t>A 60506-2024</t>
        </is>
      </c>
      <c r="B572" s="1" t="n">
        <v>45643.66630787037</v>
      </c>
      <c r="C572" s="1" t="n">
        <v>45989</v>
      </c>
      <c r="D572" t="inlineStr">
        <is>
          <t>ÖREBRO LÄN</t>
        </is>
      </c>
      <c r="E572" t="inlineStr">
        <is>
          <t>ÖREBRO</t>
        </is>
      </c>
      <c r="G572" t="n">
        <v>5.8</v>
      </c>
      <c r="H572" t="n">
        <v>0</v>
      </c>
      <c r="I572" t="n">
        <v>0</v>
      </c>
      <c r="J572" t="n">
        <v>0</v>
      </c>
      <c r="K572" t="n">
        <v>0</v>
      </c>
      <c r="L572" t="n">
        <v>0</v>
      </c>
      <c r="M572" t="n">
        <v>0</v>
      </c>
      <c r="N572" t="n">
        <v>0</v>
      </c>
      <c r="O572" t="n">
        <v>0</v>
      </c>
      <c r="P572" t="n">
        <v>0</v>
      </c>
      <c r="Q572" t="n">
        <v>0</v>
      </c>
      <c r="R572" s="2" t="inlineStr"/>
    </row>
    <row r="573" ht="15" customHeight="1">
      <c r="A573" t="inlineStr">
        <is>
          <t>A 29978-2024</t>
        </is>
      </c>
      <c r="B573" s="1" t="n">
        <v>45488.48340277778</v>
      </c>
      <c r="C573" s="1" t="n">
        <v>45989</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30903-2024</t>
        </is>
      </c>
      <c r="B574" s="1" t="n">
        <v>45498.49946759259</v>
      </c>
      <c r="C574" s="1" t="n">
        <v>45989</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58611-2024</t>
        </is>
      </c>
      <c r="B575" s="1" t="n">
        <v>45635.55555555555</v>
      </c>
      <c r="C575" s="1" t="n">
        <v>45989</v>
      </c>
      <c r="D575" t="inlineStr">
        <is>
          <t>ÖREBRO LÄN</t>
        </is>
      </c>
      <c r="E575" t="inlineStr">
        <is>
          <t>ÖREBRO</t>
        </is>
      </c>
      <c r="F575" t="inlineStr">
        <is>
          <t>Sveaskog</t>
        </is>
      </c>
      <c r="G575" t="n">
        <v>0.3</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45989</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53143-2023</t>
        </is>
      </c>
      <c r="B577" s="1" t="n">
        <v>45229</v>
      </c>
      <c r="C577" s="1" t="n">
        <v>45989</v>
      </c>
      <c r="D577" t="inlineStr">
        <is>
          <t>ÖREBRO LÄN</t>
        </is>
      </c>
      <c r="E577" t="inlineStr">
        <is>
          <t>ÖREBRO</t>
        </is>
      </c>
      <c r="G577" t="n">
        <v>3.3</v>
      </c>
      <c r="H577" t="n">
        <v>0</v>
      </c>
      <c r="I577" t="n">
        <v>0</v>
      </c>
      <c r="J577" t="n">
        <v>0</v>
      </c>
      <c r="K577" t="n">
        <v>0</v>
      </c>
      <c r="L577" t="n">
        <v>0</v>
      </c>
      <c r="M577" t="n">
        <v>0</v>
      </c>
      <c r="N577" t="n">
        <v>0</v>
      </c>
      <c r="O577" t="n">
        <v>0</v>
      </c>
      <c r="P577" t="n">
        <v>0</v>
      </c>
      <c r="Q577" t="n">
        <v>0</v>
      </c>
      <c r="R577" s="2" t="inlineStr"/>
    </row>
    <row r="578" ht="15" customHeight="1">
      <c r="A578" t="inlineStr">
        <is>
          <t>A 8656-2025</t>
        </is>
      </c>
      <c r="B578" s="1" t="n">
        <v>45712.38268518518</v>
      </c>
      <c r="C578" s="1" t="n">
        <v>45989</v>
      </c>
      <c r="D578" t="inlineStr">
        <is>
          <t>ÖREBRO LÄN</t>
        </is>
      </c>
      <c r="E578" t="inlineStr">
        <is>
          <t>ÖREBRO</t>
        </is>
      </c>
      <c r="G578" t="n">
        <v>2.7</v>
      </c>
      <c r="H578" t="n">
        <v>0</v>
      </c>
      <c r="I578" t="n">
        <v>0</v>
      </c>
      <c r="J578" t="n">
        <v>0</v>
      </c>
      <c r="K578" t="n">
        <v>0</v>
      </c>
      <c r="L578" t="n">
        <v>0</v>
      </c>
      <c r="M578" t="n">
        <v>0</v>
      </c>
      <c r="N578" t="n">
        <v>0</v>
      </c>
      <c r="O578" t="n">
        <v>0</v>
      </c>
      <c r="P578" t="n">
        <v>0</v>
      </c>
      <c r="Q578" t="n">
        <v>0</v>
      </c>
      <c r="R578" s="2" t="inlineStr"/>
    </row>
    <row r="579" ht="15" customHeight="1">
      <c r="A579" t="inlineStr">
        <is>
          <t>A 5762-2025</t>
        </is>
      </c>
      <c r="B579" s="1" t="n">
        <v>45694.57181712963</v>
      </c>
      <c r="C579" s="1" t="n">
        <v>45989</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62794-2021</t>
        </is>
      </c>
      <c r="B580" s="1" t="n">
        <v>44504</v>
      </c>
      <c r="C580" s="1" t="n">
        <v>45989</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52612-2024</t>
        </is>
      </c>
      <c r="B581" s="1" t="n">
        <v>45609</v>
      </c>
      <c r="C581" s="1" t="n">
        <v>45989</v>
      </c>
      <c r="D581" t="inlineStr">
        <is>
          <t>ÖREBRO LÄN</t>
        </is>
      </c>
      <c r="E581" t="inlineStr">
        <is>
          <t>ÖREBRO</t>
        </is>
      </c>
      <c r="F581" t="inlineStr">
        <is>
          <t>Kommuner</t>
        </is>
      </c>
      <c r="G581" t="n">
        <v>5.5</v>
      </c>
      <c r="H581" t="n">
        <v>0</v>
      </c>
      <c r="I581" t="n">
        <v>0</v>
      </c>
      <c r="J581" t="n">
        <v>0</v>
      </c>
      <c r="K581" t="n">
        <v>0</v>
      </c>
      <c r="L581" t="n">
        <v>0</v>
      </c>
      <c r="M581" t="n">
        <v>0</v>
      </c>
      <c r="N581" t="n">
        <v>0</v>
      </c>
      <c r="O581" t="n">
        <v>0</v>
      </c>
      <c r="P581" t="n">
        <v>0</v>
      </c>
      <c r="Q581" t="n">
        <v>0</v>
      </c>
      <c r="R581" s="2" t="inlineStr"/>
    </row>
    <row r="582" ht="15" customHeight="1">
      <c r="A582" t="inlineStr">
        <is>
          <t>A 5795-2024</t>
        </is>
      </c>
      <c r="B582" s="1" t="n">
        <v>45335.4531712963</v>
      </c>
      <c r="C582" s="1" t="n">
        <v>45989</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37771-2024</t>
        </is>
      </c>
      <c r="B583" s="1" t="n">
        <v>45542.31359953704</v>
      </c>
      <c r="C583" s="1" t="n">
        <v>45989</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15652-2025</t>
        </is>
      </c>
      <c r="B584" s="1" t="n">
        <v>45748</v>
      </c>
      <c r="C584" s="1" t="n">
        <v>45989</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2076-2025</t>
        </is>
      </c>
      <c r="B585" s="1" t="n">
        <v>45672</v>
      </c>
      <c r="C585" s="1" t="n">
        <v>45989</v>
      </c>
      <c r="D585" t="inlineStr">
        <is>
          <t>ÖREBRO LÄN</t>
        </is>
      </c>
      <c r="E585" t="inlineStr">
        <is>
          <t>ÖREBRO</t>
        </is>
      </c>
      <c r="G585" t="n">
        <v>1</v>
      </c>
      <c r="H585" t="n">
        <v>0</v>
      </c>
      <c r="I585" t="n">
        <v>0</v>
      </c>
      <c r="J585" t="n">
        <v>0</v>
      </c>
      <c r="K585" t="n">
        <v>0</v>
      </c>
      <c r="L585" t="n">
        <v>0</v>
      </c>
      <c r="M585" t="n">
        <v>0</v>
      </c>
      <c r="N585" t="n">
        <v>0</v>
      </c>
      <c r="O585" t="n">
        <v>0</v>
      </c>
      <c r="P585" t="n">
        <v>0</v>
      </c>
      <c r="Q585" t="n">
        <v>0</v>
      </c>
      <c r="R585" s="2" t="inlineStr"/>
    </row>
    <row r="586" ht="15" customHeight="1">
      <c r="A586" t="inlineStr">
        <is>
          <t>A 14960-2025</t>
        </is>
      </c>
      <c r="B586" s="1" t="n">
        <v>45743.5853125</v>
      </c>
      <c r="C586" s="1" t="n">
        <v>45989</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60022-2024</t>
        </is>
      </c>
      <c r="B587" s="1" t="n">
        <v>45642</v>
      </c>
      <c r="C587" s="1" t="n">
        <v>45989</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21097-2025</t>
        </is>
      </c>
      <c r="B588" s="1" t="n">
        <v>45777.63863425926</v>
      </c>
      <c r="C588" s="1" t="n">
        <v>45989</v>
      </c>
      <c r="D588" t="inlineStr">
        <is>
          <t>ÖREBRO LÄN</t>
        </is>
      </c>
      <c r="E588" t="inlineStr">
        <is>
          <t>ÖREBRO</t>
        </is>
      </c>
      <c r="G588" t="n">
        <v>2.1</v>
      </c>
      <c r="H588" t="n">
        <v>0</v>
      </c>
      <c r="I588" t="n">
        <v>0</v>
      </c>
      <c r="J588" t="n">
        <v>0</v>
      </c>
      <c r="K588" t="n">
        <v>0</v>
      </c>
      <c r="L588" t="n">
        <v>0</v>
      </c>
      <c r="M588" t="n">
        <v>0</v>
      </c>
      <c r="N588" t="n">
        <v>0</v>
      </c>
      <c r="O588" t="n">
        <v>0</v>
      </c>
      <c r="P588" t="n">
        <v>0</v>
      </c>
      <c r="Q588" t="n">
        <v>0</v>
      </c>
      <c r="R588" s="2" t="inlineStr"/>
    </row>
    <row r="589" ht="15" customHeight="1">
      <c r="A589" t="inlineStr">
        <is>
          <t>A 35819-2024</t>
        </is>
      </c>
      <c r="B589" s="1" t="n">
        <v>45532</v>
      </c>
      <c r="C589" s="1" t="n">
        <v>45989</v>
      </c>
      <c r="D589" t="inlineStr">
        <is>
          <t>ÖREBRO LÄN</t>
        </is>
      </c>
      <c r="E589" t="inlineStr">
        <is>
          <t>ÖREBRO</t>
        </is>
      </c>
      <c r="G589" t="n">
        <v>6.4</v>
      </c>
      <c r="H589" t="n">
        <v>0</v>
      </c>
      <c r="I589" t="n">
        <v>0</v>
      </c>
      <c r="J589" t="n">
        <v>0</v>
      </c>
      <c r="K589" t="n">
        <v>0</v>
      </c>
      <c r="L589" t="n">
        <v>0</v>
      </c>
      <c r="M589" t="n">
        <v>0</v>
      </c>
      <c r="N589" t="n">
        <v>0</v>
      </c>
      <c r="O589" t="n">
        <v>0</v>
      </c>
      <c r="P589" t="n">
        <v>0</v>
      </c>
      <c r="Q589" t="n">
        <v>0</v>
      </c>
      <c r="R589" s="2" t="inlineStr"/>
    </row>
    <row r="590" ht="15" customHeight="1">
      <c r="A590" t="inlineStr">
        <is>
          <t>A 32076-2023</t>
        </is>
      </c>
      <c r="B590" s="1" t="n">
        <v>45119.58324074074</v>
      </c>
      <c r="C590" s="1" t="n">
        <v>45989</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764-2024</t>
        </is>
      </c>
      <c r="B591" s="1" t="n">
        <v>45300.51512731481</v>
      </c>
      <c r="C591" s="1" t="n">
        <v>45989</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58644-2023</t>
        </is>
      </c>
      <c r="B592" s="1" t="n">
        <v>45251.58716435185</v>
      </c>
      <c r="C592" s="1" t="n">
        <v>45989</v>
      </c>
      <c r="D592" t="inlineStr">
        <is>
          <t>ÖREBRO LÄN</t>
        </is>
      </c>
      <c r="E592" t="inlineStr">
        <is>
          <t>ÖREBRO</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21338-2025</t>
        </is>
      </c>
      <c r="B593" s="1" t="n">
        <v>45780</v>
      </c>
      <c r="C593" s="1" t="n">
        <v>45989</v>
      </c>
      <c r="D593" t="inlineStr">
        <is>
          <t>ÖREBRO LÄN</t>
        </is>
      </c>
      <c r="E593" t="inlineStr">
        <is>
          <t>ÖREBRO</t>
        </is>
      </c>
      <c r="G593" t="n">
        <v>3.2</v>
      </c>
      <c r="H593" t="n">
        <v>0</v>
      </c>
      <c r="I593" t="n">
        <v>0</v>
      </c>
      <c r="J593" t="n">
        <v>0</v>
      </c>
      <c r="K593" t="n">
        <v>0</v>
      </c>
      <c r="L593" t="n">
        <v>0</v>
      </c>
      <c r="M593" t="n">
        <v>0</v>
      </c>
      <c r="N593" t="n">
        <v>0</v>
      </c>
      <c r="O593" t="n">
        <v>0</v>
      </c>
      <c r="P593" t="n">
        <v>0</v>
      </c>
      <c r="Q593" t="n">
        <v>0</v>
      </c>
      <c r="R593" s="2" t="inlineStr"/>
    </row>
    <row r="594" ht="15" customHeight="1">
      <c r="A594" t="inlineStr">
        <is>
          <t>A 22755-2025</t>
        </is>
      </c>
      <c r="B594" s="1" t="n">
        <v>45789.61872685186</v>
      </c>
      <c r="C594" s="1" t="n">
        <v>45989</v>
      </c>
      <c r="D594" t="inlineStr">
        <is>
          <t>ÖREBRO LÄN</t>
        </is>
      </c>
      <c r="E594" t="inlineStr">
        <is>
          <t>ÖREBRO</t>
        </is>
      </c>
      <c r="G594" t="n">
        <v>1.2</v>
      </c>
      <c r="H594" t="n">
        <v>0</v>
      </c>
      <c r="I594" t="n">
        <v>0</v>
      </c>
      <c r="J594" t="n">
        <v>0</v>
      </c>
      <c r="K594" t="n">
        <v>0</v>
      </c>
      <c r="L594" t="n">
        <v>0</v>
      </c>
      <c r="M594" t="n">
        <v>0</v>
      </c>
      <c r="N594" t="n">
        <v>0</v>
      </c>
      <c r="O594" t="n">
        <v>0</v>
      </c>
      <c r="P594" t="n">
        <v>0</v>
      </c>
      <c r="Q594" t="n">
        <v>0</v>
      </c>
      <c r="R594" s="2" t="inlineStr"/>
    </row>
    <row r="595" ht="15" customHeight="1">
      <c r="A595" t="inlineStr">
        <is>
          <t>A 44199-2024</t>
        </is>
      </c>
      <c r="B595" s="1" t="n">
        <v>45573</v>
      </c>
      <c r="C595" s="1" t="n">
        <v>45989</v>
      </c>
      <c r="D595" t="inlineStr">
        <is>
          <t>ÖREBRO LÄN</t>
        </is>
      </c>
      <c r="E595" t="inlineStr">
        <is>
          <t>ÖREBRO</t>
        </is>
      </c>
      <c r="G595" t="n">
        <v>4.3</v>
      </c>
      <c r="H595" t="n">
        <v>0</v>
      </c>
      <c r="I595" t="n">
        <v>0</v>
      </c>
      <c r="J595" t="n">
        <v>0</v>
      </c>
      <c r="K595" t="n">
        <v>0</v>
      </c>
      <c r="L595" t="n">
        <v>0</v>
      </c>
      <c r="M595" t="n">
        <v>0</v>
      </c>
      <c r="N595" t="n">
        <v>0</v>
      </c>
      <c r="O595" t="n">
        <v>0</v>
      </c>
      <c r="P595" t="n">
        <v>0</v>
      </c>
      <c r="Q595" t="n">
        <v>0</v>
      </c>
      <c r="R595" s="2" t="inlineStr"/>
    </row>
    <row r="596" ht="15" customHeight="1">
      <c r="A596" t="inlineStr">
        <is>
          <t>A 34336-2024</t>
        </is>
      </c>
      <c r="B596" s="1" t="n">
        <v>45524.94774305556</v>
      </c>
      <c r="C596" s="1" t="n">
        <v>45989</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26443-2024</t>
        </is>
      </c>
      <c r="B597" s="1" t="n">
        <v>45469.49901620371</v>
      </c>
      <c r="C597" s="1" t="n">
        <v>45989</v>
      </c>
      <c r="D597" t="inlineStr">
        <is>
          <t>ÖREBRO LÄN</t>
        </is>
      </c>
      <c r="E597" t="inlineStr">
        <is>
          <t>ÖREBRO</t>
        </is>
      </c>
      <c r="G597" t="n">
        <v>5.7</v>
      </c>
      <c r="H597" t="n">
        <v>0</v>
      </c>
      <c r="I597" t="n">
        <v>0</v>
      </c>
      <c r="J597" t="n">
        <v>0</v>
      </c>
      <c r="K597" t="n">
        <v>0</v>
      </c>
      <c r="L597" t="n">
        <v>0</v>
      </c>
      <c r="M597" t="n">
        <v>0</v>
      </c>
      <c r="N597" t="n">
        <v>0</v>
      </c>
      <c r="O597" t="n">
        <v>0</v>
      </c>
      <c r="P597" t="n">
        <v>0</v>
      </c>
      <c r="Q597" t="n">
        <v>0</v>
      </c>
      <c r="R597" s="2" t="inlineStr"/>
    </row>
    <row r="598" ht="15" customHeight="1">
      <c r="A598" t="inlineStr">
        <is>
          <t>A 35477-2024</t>
        </is>
      </c>
      <c r="B598" s="1" t="n">
        <v>45531</v>
      </c>
      <c r="C598" s="1" t="n">
        <v>45989</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22719-2025</t>
        </is>
      </c>
      <c r="B599" s="1" t="n">
        <v>45789</v>
      </c>
      <c r="C599" s="1" t="n">
        <v>45989</v>
      </c>
      <c r="D599" t="inlineStr">
        <is>
          <t>ÖREBRO LÄN</t>
        </is>
      </c>
      <c r="E599" t="inlineStr">
        <is>
          <t>ÖREBRO</t>
        </is>
      </c>
      <c r="G599" t="n">
        <v>1.5</v>
      </c>
      <c r="H599" t="n">
        <v>0</v>
      </c>
      <c r="I599" t="n">
        <v>0</v>
      </c>
      <c r="J599" t="n">
        <v>0</v>
      </c>
      <c r="K599" t="n">
        <v>0</v>
      </c>
      <c r="L599" t="n">
        <v>0</v>
      </c>
      <c r="M599" t="n">
        <v>0</v>
      </c>
      <c r="N599" t="n">
        <v>0</v>
      </c>
      <c r="O599" t="n">
        <v>0</v>
      </c>
      <c r="P599" t="n">
        <v>0</v>
      </c>
      <c r="Q599" t="n">
        <v>0</v>
      </c>
      <c r="R599" s="2" t="inlineStr"/>
    </row>
    <row r="600" ht="15" customHeight="1">
      <c r="A600" t="inlineStr">
        <is>
          <t>A 30316-2024</t>
        </is>
      </c>
      <c r="B600" s="1" t="n">
        <v>45490</v>
      </c>
      <c r="C600" s="1" t="n">
        <v>45989</v>
      </c>
      <c r="D600" t="inlineStr">
        <is>
          <t>ÖREBRO LÄN</t>
        </is>
      </c>
      <c r="E600" t="inlineStr">
        <is>
          <t>ÖREBRO</t>
        </is>
      </c>
      <c r="G600" t="n">
        <v>5.5</v>
      </c>
      <c r="H600" t="n">
        <v>0</v>
      </c>
      <c r="I600" t="n">
        <v>0</v>
      </c>
      <c r="J600" t="n">
        <v>0</v>
      </c>
      <c r="K600" t="n">
        <v>0</v>
      </c>
      <c r="L600" t="n">
        <v>0</v>
      </c>
      <c r="M600" t="n">
        <v>0</v>
      </c>
      <c r="N600" t="n">
        <v>0</v>
      </c>
      <c r="O600" t="n">
        <v>0</v>
      </c>
      <c r="P600" t="n">
        <v>0</v>
      </c>
      <c r="Q600" t="n">
        <v>0</v>
      </c>
      <c r="R600" s="2" t="inlineStr"/>
    </row>
    <row r="601" ht="15" customHeight="1">
      <c r="A601" t="inlineStr">
        <is>
          <t>A 38790-2024</t>
        </is>
      </c>
      <c r="B601" s="1" t="n">
        <v>45547.48450231482</v>
      </c>
      <c r="C601" s="1" t="n">
        <v>45989</v>
      </c>
      <c r="D601" t="inlineStr">
        <is>
          <t>ÖREBRO LÄN</t>
        </is>
      </c>
      <c r="E601" t="inlineStr">
        <is>
          <t>ÖREBRO</t>
        </is>
      </c>
      <c r="G601" t="n">
        <v>2</v>
      </c>
      <c r="H601" t="n">
        <v>0</v>
      </c>
      <c r="I601" t="n">
        <v>0</v>
      </c>
      <c r="J601" t="n">
        <v>0</v>
      </c>
      <c r="K601" t="n">
        <v>0</v>
      </c>
      <c r="L601" t="n">
        <v>0</v>
      </c>
      <c r="M601" t="n">
        <v>0</v>
      </c>
      <c r="N601" t="n">
        <v>0</v>
      </c>
      <c r="O601" t="n">
        <v>0</v>
      </c>
      <c r="P601" t="n">
        <v>0</v>
      </c>
      <c r="Q601" t="n">
        <v>0</v>
      </c>
      <c r="R601" s="2" t="inlineStr"/>
    </row>
    <row r="602" ht="15" customHeight="1">
      <c r="A602" t="inlineStr">
        <is>
          <t>A 61279-2024</t>
        </is>
      </c>
      <c r="B602" s="1" t="n">
        <v>45645</v>
      </c>
      <c r="C602" s="1" t="n">
        <v>45989</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71269-2021</t>
        </is>
      </c>
      <c r="B603" s="1" t="n">
        <v>44539</v>
      </c>
      <c r="C603" s="1" t="n">
        <v>45989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15555-2025</t>
        </is>
      </c>
      <c r="B604" s="1" t="n">
        <v>45747.67768518518</v>
      </c>
      <c r="C604" s="1" t="n">
        <v>45989</v>
      </c>
      <c r="D604" t="inlineStr">
        <is>
          <t>ÖREBRO LÄN</t>
        </is>
      </c>
      <c r="E604" t="inlineStr">
        <is>
          <t>ÖREBRO</t>
        </is>
      </c>
      <c r="G604" t="n">
        <v>1.7</v>
      </c>
      <c r="H604" t="n">
        <v>0</v>
      </c>
      <c r="I604" t="n">
        <v>0</v>
      </c>
      <c r="J604" t="n">
        <v>0</v>
      </c>
      <c r="K604" t="n">
        <v>0</v>
      </c>
      <c r="L604" t="n">
        <v>0</v>
      </c>
      <c r="M604" t="n">
        <v>0</v>
      </c>
      <c r="N604" t="n">
        <v>0</v>
      </c>
      <c r="O604" t="n">
        <v>0</v>
      </c>
      <c r="P604" t="n">
        <v>0</v>
      </c>
      <c r="Q604" t="n">
        <v>0</v>
      </c>
      <c r="R604" s="2" t="inlineStr"/>
    </row>
    <row r="605" ht="15" customHeight="1">
      <c r="A605" t="inlineStr">
        <is>
          <t>A 5136-2024</t>
        </is>
      </c>
      <c r="B605" s="1" t="n">
        <v>45330</v>
      </c>
      <c r="C605" s="1" t="n">
        <v>45989</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4380-2025</t>
        </is>
      </c>
      <c r="B606" s="1" t="n">
        <v>45686.3959375</v>
      </c>
      <c r="C606" s="1" t="n">
        <v>45989</v>
      </c>
      <c r="D606" t="inlineStr">
        <is>
          <t>ÖREBRO LÄN</t>
        </is>
      </c>
      <c r="E606" t="inlineStr">
        <is>
          <t>ÖREBRO</t>
        </is>
      </c>
      <c r="G606" t="n">
        <v>3.2</v>
      </c>
      <c r="H606" t="n">
        <v>0</v>
      </c>
      <c r="I606" t="n">
        <v>0</v>
      </c>
      <c r="J606" t="n">
        <v>0</v>
      </c>
      <c r="K606" t="n">
        <v>0</v>
      </c>
      <c r="L606" t="n">
        <v>0</v>
      </c>
      <c r="M606" t="n">
        <v>0</v>
      </c>
      <c r="N606" t="n">
        <v>0</v>
      </c>
      <c r="O606" t="n">
        <v>0</v>
      </c>
      <c r="P606" t="n">
        <v>0</v>
      </c>
      <c r="Q606" t="n">
        <v>0</v>
      </c>
      <c r="R606" s="2" t="inlineStr"/>
    </row>
    <row r="607" ht="15" customHeight="1">
      <c r="A607" t="inlineStr">
        <is>
          <t>A 34358-2022</t>
        </is>
      </c>
      <c r="B607" s="1" t="n">
        <v>44792.45494212963</v>
      </c>
      <c r="C607" s="1" t="n">
        <v>45989</v>
      </c>
      <c r="D607" t="inlineStr">
        <is>
          <t>ÖREBRO LÄN</t>
        </is>
      </c>
      <c r="E607" t="inlineStr">
        <is>
          <t>ÖREBRO</t>
        </is>
      </c>
      <c r="F607" t="inlineStr">
        <is>
          <t>Övriga Aktiebolag</t>
        </is>
      </c>
      <c r="G607" t="n">
        <v>3.4</v>
      </c>
      <c r="H607" t="n">
        <v>0</v>
      </c>
      <c r="I607" t="n">
        <v>0</v>
      </c>
      <c r="J607" t="n">
        <v>0</v>
      </c>
      <c r="K607" t="n">
        <v>0</v>
      </c>
      <c r="L607" t="n">
        <v>0</v>
      </c>
      <c r="M607" t="n">
        <v>0</v>
      </c>
      <c r="N607" t="n">
        <v>0</v>
      </c>
      <c r="O607" t="n">
        <v>0</v>
      </c>
      <c r="P607" t="n">
        <v>0</v>
      </c>
      <c r="Q607" t="n">
        <v>0</v>
      </c>
      <c r="R607" s="2" t="inlineStr"/>
    </row>
    <row r="608" ht="15" customHeight="1">
      <c r="A608" t="inlineStr">
        <is>
          <t>A 15695-2024</t>
        </is>
      </c>
      <c r="B608" s="1" t="n">
        <v>45404.45487268519</v>
      </c>
      <c r="C608" s="1" t="n">
        <v>45989</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5406-2025</t>
        </is>
      </c>
      <c r="B609" s="1" t="n">
        <v>45692.64821759259</v>
      </c>
      <c r="C609" s="1" t="n">
        <v>45989</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22348-2024</t>
        </is>
      </c>
      <c r="B610" s="1" t="n">
        <v>45446.61256944444</v>
      </c>
      <c r="C610" s="1" t="n">
        <v>45989</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52018-2024</t>
        </is>
      </c>
      <c r="B611" s="1" t="n">
        <v>45607.82974537037</v>
      </c>
      <c r="C611" s="1" t="n">
        <v>45989</v>
      </c>
      <c r="D611" t="inlineStr">
        <is>
          <t>ÖREBRO LÄN</t>
        </is>
      </c>
      <c r="E611" t="inlineStr">
        <is>
          <t>ÖREBRO</t>
        </is>
      </c>
      <c r="G611" t="n">
        <v>4.3</v>
      </c>
      <c r="H611" t="n">
        <v>0</v>
      </c>
      <c r="I611" t="n">
        <v>0</v>
      </c>
      <c r="J611" t="n">
        <v>0</v>
      </c>
      <c r="K611" t="n">
        <v>0</v>
      </c>
      <c r="L611" t="n">
        <v>0</v>
      </c>
      <c r="M611" t="n">
        <v>0</v>
      </c>
      <c r="N611" t="n">
        <v>0</v>
      </c>
      <c r="O611" t="n">
        <v>0</v>
      </c>
      <c r="P611" t="n">
        <v>0</v>
      </c>
      <c r="Q611" t="n">
        <v>0</v>
      </c>
      <c r="R611" s="2" t="inlineStr"/>
    </row>
    <row r="612" ht="15" customHeight="1">
      <c r="A612" t="inlineStr">
        <is>
          <t>A 30089-2024</t>
        </is>
      </c>
      <c r="B612" s="1" t="n">
        <v>45485</v>
      </c>
      <c r="C612" s="1" t="n">
        <v>45989</v>
      </c>
      <c r="D612" t="inlineStr">
        <is>
          <t>ÖREBRO LÄN</t>
        </is>
      </c>
      <c r="E612" t="inlineStr">
        <is>
          <t>ÖREBRO</t>
        </is>
      </c>
      <c r="G612" t="n">
        <v>2.2</v>
      </c>
      <c r="H612" t="n">
        <v>0</v>
      </c>
      <c r="I612" t="n">
        <v>0</v>
      </c>
      <c r="J612" t="n">
        <v>0</v>
      </c>
      <c r="K612" t="n">
        <v>0</v>
      </c>
      <c r="L612" t="n">
        <v>0</v>
      </c>
      <c r="M612" t="n">
        <v>0</v>
      </c>
      <c r="N612" t="n">
        <v>0</v>
      </c>
      <c r="O612" t="n">
        <v>0</v>
      </c>
      <c r="P612" t="n">
        <v>0</v>
      </c>
      <c r="Q612" t="n">
        <v>0</v>
      </c>
      <c r="R612" s="2" t="inlineStr"/>
    </row>
    <row r="613" ht="15" customHeight="1">
      <c r="A613" t="inlineStr">
        <is>
          <t>A 71295-2021</t>
        </is>
      </c>
      <c r="B613" s="1" t="n">
        <v>44539.63009259259</v>
      </c>
      <c r="C613" s="1" t="n">
        <v>45989</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46030-2024</t>
        </is>
      </c>
      <c r="B614" s="1" t="n">
        <v>45580.70377314815</v>
      </c>
      <c r="C614" s="1" t="n">
        <v>45989</v>
      </c>
      <c r="D614" t="inlineStr">
        <is>
          <t>ÖREBRO LÄN</t>
        </is>
      </c>
      <c r="E614" t="inlineStr">
        <is>
          <t>ÖREBRO</t>
        </is>
      </c>
      <c r="G614" t="n">
        <v>3.9</v>
      </c>
      <c r="H614" t="n">
        <v>0</v>
      </c>
      <c r="I614" t="n">
        <v>0</v>
      </c>
      <c r="J614" t="n">
        <v>0</v>
      </c>
      <c r="K614" t="n">
        <v>0</v>
      </c>
      <c r="L614" t="n">
        <v>0</v>
      </c>
      <c r="M614" t="n">
        <v>0</v>
      </c>
      <c r="N614" t="n">
        <v>0</v>
      </c>
      <c r="O614" t="n">
        <v>0</v>
      </c>
      <c r="P614" t="n">
        <v>0</v>
      </c>
      <c r="Q614" t="n">
        <v>0</v>
      </c>
      <c r="R614" s="2" t="inlineStr"/>
    </row>
    <row r="615">
      <c r="A615" t="inlineStr">
        <is>
          <t>A 5643-2025</t>
        </is>
      </c>
      <c r="B615" s="1" t="n">
        <v>45693</v>
      </c>
      <c r="C615" s="1" t="n">
        <v>45989</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2025-11-28T10:24:14Z</dcterms:created>
  <dcterms:modified xmlns:dcterms="http://purl.org/dc/terms/" xmlns:xsi="http://www.w3.org/2001/XMLSchema-instance" xsi:type="dcterms:W3CDTF">2025-11-28T10:24:14Z</dcterms:modified>
</cp:coreProperties>
</file>