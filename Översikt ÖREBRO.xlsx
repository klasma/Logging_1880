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46136</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46136</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46136</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46136</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46136</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46136</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55197-2023</t>
        </is>
      </c>
      <c r="B12" s="1" t="n">
        <v>45237</v>
      </c>
      <c r="C12" s="1" t="n">
        <v>46136</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46136</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58832-2025</t>
        </is>
      </c>
      <c r="B14" s="1" t="n">
        <v>45987</v>
      </c>
      <c r="C14" s="1" t="n">
        <v>46136</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12974-2022</t>
        </is>
      </c>
      <c r="B15" s="1" t="n">
        <v>44643.38490740741</v>
      </c>
      <c r="C15" s="1" t="n">
        <v>46136</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33069-2025</t>
        </is>
      </c>
      <c r="B16" s="1" t="n">
        <v>45840</v>
      </c>
      <c r="C16" s="1" t="n">
        <v>46136</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5354-2024</t>
        </is>
      </c>
      <c r="B17" s="1" t="n">
        <v>45331</v>
      </c>
      <c r="C17" s="1" t="n">
        <v>46136</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46136</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46136</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46136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46136</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46136</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59519-2025</t>
        </is>
      </c>
      <c r="B23" s="1" t="n">
        <v>45989</v>
      </c>
      <c r="C23" s="1" t="n">
        <v>46136</v>
      </c>
      <c r="D23" t="inlineStr">
        <is>
          <t>ÖREBRO LÄN</t>
        </is>
      </c>
      <c r="E23" t="inlineStr">
        <is>
          <t>ÖREBRO</t>
        </is>
      </c>
      <c r="F23" t="inlineStr">
        <is>
          <t>Sveaskog</t>
        </is>
      </c>
      <c r="G23" t="n">
        <v>2.5</v>
      </c>
      <c r="H23" t="n">
        <v>3</v>
      </c>
      <c r="I23" t="n">
        <v>0</v>
      </c>
      <c r="J23" t="n">
        <v>0</v>
      </c>
      <c r="K23" t="n">
        <v>0</v>
      </c>
      <c r="L23" t="n">
        <v>0</v>
      </c>
      <c r="M23" t="n">
        <v>0</v>
      </c>
      <c r="N23" t="n">
        <v>0</v>
      </c>
      <c r="O23" t="n">
        <v>0</v>
      </c>
      <c r="P23" t="n">
        <v>0</v>
      </c>
      <c r="Q23" t="n">
        <v>3</v>
      </c>
      <c r="R23" s="2" t="inlineStr">
        <is>
          <t>Hasselmus
Nattviol
Blåsippa</t>
        </is>
      </c>
      <c r="S23">
        <f>HYPERLINK("https://klasma.github.io/Logging_1880/artfynd/A 59519-2025 artfynd.xlsx", "A 59519-2025")</f>
        <v/>
      </c>
      <c r="T23">
        <f>HYPERLINK("https://klasma.github.io/Logging_1880/kartor/A 59519-2025 karta.png", "A 59519-2025")</f>
        <v/>
      </c>
      <c r="V23">
        <f>HYPERLINK("https://klasma.github.io/Logging_1880/klagomål/A 59519-2025 FSC-klagomål.docx", "A 59519-2025")</f>
        <v/>
      </c>
      <c r="W23">
        <f>HYPERLINK("https://klasma.github.io/Logging_1880/klagomålsmail/A 59519-2025 FSC-klagomål mail.docx", "A 59519-2025")</f>
        <v/>
      </c>
      <c r="X23">
        <f>HYPERLINK("https://klasma.github.io/Logging_1880/tillsyn/A 59519-2025 tillsynsbegäran.docx", "A 59519-2025")</f>
        <v/>
      </c>
      <c r="Y23">
        <f>HYPERLINK("https://klasma.github.io/Logging_1880/tillsynsmail/A 59519-2025 tillsynsbegäran mail.docx", "A 59519-2025")</f>
        <v/>
      </c>
    </row>
    <row r="24" ht="15" customHeight="1">
      <c r="A24" t="inlineStr">
        <is>
          <t>A 59517-2025</t>
        </is>
      </c>
      <c r="B24" s="1" t="n">
        <v>45989.65462962963</v>
      </c>
      <c r="C24" s="1" t="n">
        <v>46136</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13627-2025</t>
        </is>
      </c>
      <c r="B25" s="1" t="n">
        <v>45736</v>
      </c>
      <c r="C25" s="1" t="n">
        <v>46136</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46136</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46136</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575-2024</t>
        </is>
      </c>
      <c r="B28" s="1" t="n">
        <v>45299</v>
      </c>
      <c r="C28" s="1" t="n">
        <v>46136</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46136</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17074-2024</t>
        </is>
      </c>
      <c r="B30" s="1" t="n">
        <v>45412</v>
      </c>
      <c r="C30" s="1" t="n">
        <v>46136</v>
      </c>
      <c r="D30" t="inlineStr">
        <is>
          <t>ÖREBRO LÄN</t>
        </is>
      </c>
      <c r="E30" t="inlineStr">
        <is>
          <t>ÖREBRO</t>
        </is>
      </c>
      <c r="F30" t="inlineStr">
        <is>
          <t>Sveaskog</t>
        </is>
      </c>
      <c r="G30" t="n">
        <v>7.2</v>
      </c>
      <c r="H30" t="n">
        <v>1</v>
      </c>
      <c r="I30" t="n">
        <v>2</v>
      </c>
      <c r="J30" t="n">
        <v>0</v>
      </c>
      <c r="K30" t="n">
        <v>0</v>
      </c>
      <c r="L30" t="n">
        <v>1</v>
      </c>
      <c r="M30" t="n">
        <v>0</v>
      </c>
      <c r="N30" t="n">
        <v>0</v>
      </c>
      <c r="O30" t="n">
        <v>1</v>
      </c>
      <c r="P30" t="n">
        <v>1</v>
      </c>
      <c r="Q30" t="n">
        <v>3</v>
      </c>
      <c r="R30" s="2" t="inlineStr">
        <is>
          <t>Ask
Hässleklocka
Skogsknipprot</t>
        </is>
      </c>
      <c r="S30">
        <f>HYPERLINK("https://klasma.github.io/Logging_1880/artfynd/A 17074-2024 artfynd.xlsx", "A 17074-2024")</f>
        <v/>
      </c>
      <c r="T30">
        <f>HYPERLINK("https://klasma.github.io/Logging_1880/kartor/A 17074-2024 karta.png", "A 17074-2024")</f>
        <v/>
      </c>
      <c r="V30">
        <f>HYPERLINK("https://klasma.github.io/Logging_1880/klagomål/A 17074-2024 FSC-klagomål.docx", "A 17074-2024")</f>
        <v/>
      </c>
      <c r="W30">
        <f>HYPERLINK("https://klasma.github.io/Logging_1880/klagomålsmail/A 17074-2024 FSC-klagomål mail.docx", "A 17074-2024")</f>
        <v/>
      </c>
      <c r="X30">
        <f>HYPERLINK("https://klasma.github.io/Logging_1880/tillsyn/A 17074-2024 tillsynsbegäran.docx", "A 17074-2024")</f>
        <v/>
      </c>
      <c r="Y30">
        <f>HYPERLINK("https://klasma.github.io/Logging_1880/tillsynsmail/A 17074-2024 tillsynsbegäran mail.docx", "A 17074-2024")</f>
        <v/>
      </c>
    </row>
    <row r="31" ht="15" customHeight="1">
      <c r="A31" t="inlineStr">
        <is>
          <t>A 29478-2022</t>
        </is>
      </c>
      <c r="B31" s="1" t="n">
        <v>44753</v>
      </c>
      <c r="C31" s="1" t="n">
        <v>46136</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46136</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46136</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46136</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2998-2026</t>
        </is>
      </c>
      <c r="B36" s="1" t="n">
        <v>46038.64835648148</v>
      </c>
      <c r="C36" s="1" t="n">
        <v>46136</v>
      </c>
      <c r="D36" t="inlineStr">
        <is>
          <t>ÖREBRO LÄN</t>
        </is>
      </c>
      <c r="E36" t="inlineStr">
        <is>
          <t>ÖREBRO</t>
        </is>
      </c>
      <c r="F36" t="inlineStr">
        <is>
          <t>Övriga Aktiebolag</t>
        </is>
      </c>
      <c r="G36" t="n">
        <v>6.4</v>
      </c>
      <c r="H36" t="n">
        <v>2</v>
      </c>
      <c r="I36" t="n">
        <v>0</v>
      </c>
      <c r="J36" t="n">
        <v>1</v>
      </c>
      <c r="K36" t="n">
        <v>0</v>
      </c>
      <c r="L36" t="n">
        <v>0</v>
      </c>
      <c r="M36" t="n">
        <v>0</v>
      </c>
      <c r="N36" t="n">
        <v>0</v>
      </c>
      <c r="O36" t="n">
        <v>1</v>
      </c>
      <c r="P36" t="n">
        <v>0</v>
      </c>
      <c r="Q36" t="n">
        <v>2</v>
      </c>
      <c r="R36" s="2" t="inlineStr">
        <is>
          <t>Grönsångare
Kungsfågel</t>
        </is>
      </c>
      <c r="S36">
        <f>HYPERLINK("https://klasma.github.io/Logging_1880/artfynd/A 2998-2026 artfynd.xlsx", "A 2998-2026")</f>
        <v/>
      </c>
      <c r="T36">
        <f>HYPERLINK("https://klasma.github.io/Logging_1880/kartor/A 2998-2026 karta.png", "A 2998-2026")</f>
        <v/>
      </c>
      <c r="V36">
        <f>HYPERLINK("https://klasma.github.io/Logging_1880/klagomål/A 2998-2026 FSC-klagomål.docx", "A 2998-2026")</f>
        <v/>
      </c>
      <c r="W36">
        <f>HYPERLINK("https://klasma.github.io/Logging_1880/klagomålsmail/A 2998-2026 FSC-klagomål mail.docx", "A 2998-2026")</f>
        <v/>
      </c>
      <c r="X36">
        <f>HYPERLINK("https://klasma.github.io/Logging_1880/tillsyn/A 2998-2026 tillsynsbegäran.docx", "A 2998-2026")</f>
        <v/>
      </c>
      <c r="Y36">
        <f>HYPERLINK("https://klasma.github.io/Logging_1880/tillsynsmail/A 2998-2026 tillsynsbegäran mail.docx", "A 2998-2026")</f>
        <v/>
      </c>
      <c r="Z36">
        <f>HYPERLINK("https://klasma.github.io/Logging_1880/fåglar/A 2998-2026 prioriterade fågelarter.docx", "A 2998-2026")</f>
        <v/>
      </c>
    </row>
    <row r="37" ht="15" customHeight="1">
      <c r="A37" t="inlineStr">
        <is>
          <t>A 30409-2025</t>
        </is>
      </c>
      <c r="B37" s="1" t="n">
        <v>45827.59738425926</v>
      </c>
      <c r="C37" s="1" t="n">
        <v>46136</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13395-2024</t>
        </is>
      </c>
      <c r="B38" s="1" t="n">
        <v>45387.42296296296</v>
      </c>
      <c r="C38" s="1" t="n">
        <v>46136</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51550-2025</t>
        </is>
      </c>
      <c r="B39" s="1" t="n">
        <v>45950.83359953704</v>
      </c>
      <c r="C39" s="1" t="n">
        <v>46136</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60557-2025</t>
        </is>
      </c>
      <c r="B40" s="1" t="n">
        <v>45995.74444444444</v>
      </c>
      <c r="C40" s="1" t="n">
        <v>46136</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63196-2025</t>
        </is>
      </c>
      <c r="B41" s="1" t="n">
        <v>46010.45872685185</v>
      </c>
      <c r="C41" s="1" t="n">
        <v>46136</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37019-2024</t>
        </is>
      </c>
      <c r="B42" s="1" t="n">
        <v>45539.37905092593</v>
      </c>
      <c r="C42" s="1" t="n">
        <v>46136</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46136</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46136</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46136</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46136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46136</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46136</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46136</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59516-2025</t>
        </is>
      </c>
      <c r="B50" s="1" t="n">
        <v>45989.65396990741</v>
      </c>
      <c r="C50" s="1" t="n">
        <v>46136</v>
      </c>
      <c r="D50" t="inlineStr">
        <is>
          <t>ÖREBRO LÄN</t>
        </is>
      </c>
      <c r="E50" t="inlineStr">
        <is>
          <t>ÖREBRO</t>
        </is>
      </c>
      <c r="F50" t="inlineStr">
        <is>
          <t>Sveaskog</t>
        </is>
      </c>
      <c r="G50" t="n">
        <v>1.9</v>
      </c>
      <c r="H50" t="n">
        <v>0</v>
      </c>
      <c r="I50" t="n">
        <v>1</v>
      </c>
      <c r="J50" t="n">
        <v>0</v>
      </c>
      <c r="K50" t="n">
        <v>0</v>
      </c>
      <c r="L50" t="n">
        <v>0</v>
      </c>
      <c r="M50" t="n">
        <v>0</v>
      </c>
      <c r="N50" t="n">
        <v>0</v>
      </c>
      <c r="O50" t="n">
        <v>0</v>
      </c>
      <c r="P50" t="n">
        <v>0</v>
      </c>
      <c r="Q50" t="n">
        <v>1</v>
      </c>
      <c r="R50" s="2" t="inlineStr">
        <is>
          <t>Tibast</t>
        </is>
      </c>
      <c r="S50">
        <f>HYPERLINK("https://klasma.github.io/Logging_1880/artfynd/A 59516-2025 artfynd.xlsx", "A 59516-2025")</f>
        <v/>
      </c>
      <c r="T50">
        <f>HYPERLINK("https://klasma.github.io/Logging_1880/kartor/A 59516-2025 karta.png", "A 59516-2025")</f>
        <v/>
      </c>
      <c r="V50">
        <f>HYPERLINK("https://klasma.github.io/Logging_1880/klagomål/A 59516-2025 FSC-klagomål.docx", "A 59516-2025")</f>
        <v/>
      </c>
      <c r="W50">
        <f>HYPERLINK("https://klasma.github.io/Logging_1880/klagomålsmail/A 59516-2025 FSC-klagomål mail.docx", "A 59516-2025")</f>
        <v/>
      </c>
      <c r="X50">
        <f>HYPERLINK("https://klasma.github.io/Logging_1880/tillsyn/A 59516-2025 tillsynsbegäran.docx", "A 59516-2025")</f>
        <v/>
      </c>
      <c r="Y50">
        <f>HYPERLINK("https://klasma.github.io/Logging_1880/tillsynsmail/A 59516-2025 tillsynsbegäran mail.docx", "A 59516-2025")</f>
        <v/>
      </c>
    </row>
    <row r="51" ht="15" customHeight="1">
      <c r="A51" t="inlineStr">
        <is>
          <t>A 3006-2026</t>
        </is>
      </c>
      <c r="B51" s="1" t="n">
        <v>46038.65719907408</v>
      </c>
      <c r="C51" s="1" t="n">
        <v>46136</v>
      </c>
      <c r="D51" t="inlineStr">
        <is>
          <t>ÖREBRO LÄN</t>
        </is>
      </c>
      <c r="E51" t="inlineStr">
        <is>
          <t>ÖREBRO</t>
        </is>
      </c>
      <c r="F51" t="inlineStr">
        <is>
          <t>Övriga Aktiebolag</t>
        </is>
      </c>
      <c r="G51" t="n">
        <v>1</v>
      </c>
      <c r="H51" t="n">
        <v>1</v>
      </c>
      <c r="I51" t="n">
        <v>0</v>
      </c>
      <c r="J51" t="n">
        <v>1</v>
      </c>
      <c r="K51" t="n">
        <v>0</v>
      </c>
      <c r="L51" t="n">
        <v>0</v>
      </c>
      <c r="M51" t="n">
        <v>0</v>
      </c>
      <c r="N51" t="n">
        <v>0</v>
      </c>
      <c r="O51" t="n">
        <v>1</v>
      </c>
      <c r="P51" t="n">
        <v>0</v>
      </c>
      <c r="Q51" t="n">
        <v>1</v>
      </c>
      <c r="R51" s="2" t="inlineStr">
        <is>
          <t>Gulsparv</t>
        </is>
      </c>
      <c r="S51">
        <f>HYPERLINK("https://klasma.github.io/Logging_1880/artfynd/A 3006-2026 artfynd.xlsx", "A 3006-2026")</f>
        <v/>
      </c>
      <c r="T51">
        <f>HYPERLINK("https://klasma.github.io/Logging_1880/kartor/A 3006-2026 karta.png", "A 3006-2026")</f>
        <v/>
      </c>
      <c r="V51">
        <f>HYPERLINK("https://klasma.github.io/Logging_1880/klagomål/A 3006-2026 FSC-klagomål.docx", "A 3006-2026")</f>
        <v/>
      </c>
      <c r="W51">
        <f>HYPERLINK("https://klasma.github.io/Logging_1880/klagomålsmail/A 3006-2026 FSC-klagomål mail.docx", "A 3006-2026")</f>
        <v/>
      </c>
      <c r="X51">
        <f>HYPERLINK("https://klasma.github.io/Logging_1880/tillsyn/A 3006-2026 tillsynsbegäran.docx", "A 3006-2026")</f>
        <v/>
      </c>
      <c r="Y51">
        <f>HYPERLINK("https://klasma.github.io/Logging_1880/tillsynsmail/A 3006-2026 tillsynsbegäran mail.docx", "A 3006-2026")</f>
        <v/>
      </c>
      <c r="Z51">
        <f>HYPERLINK("https://klasma.github.io/Logging_1880/fåglar/A 3006-2026 prioriterade fågelarter.docx", "A 3006-2026")</f>
        <v/>
      </c>
    </row>
    <row r="52" ht="15" customHeight="1">
      <c r="A52" t="inlineStr">
        <is>
          <t>A 28936-2025</t>
        </is>
      </c>
      <c r="B52" s="1" t="n">
        <v>45820.69287037037</v>
      </c>
      <c r="C52" s="1" t="n">
        <v>46136</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23998-2025</t>
        </is>
      </c>
      <c r="B53" s="1" t="n">
        <v>45796.42209490741</v>
      </c>
      <c r="C53" s="1" t="n">
        <v>46136</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32226-2025</t>
        </is>
      </c>
      <c r="B54" s="1" t="n">
        <v>45835.59478009259</v>
      </c>
      <c r="C54" s="1" t="n">
        <v>46136</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46136</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32105-2023</t>
        </is>
      </c>
      <c r="B56" s="1" t="n">
        <v>45119</v>
      </c>
      <c r="C56" s="1" t="n">
        <v>46136</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20032-2023</t>
        </is>
      </c>
      <c r="B57" s="1" t="n">
        <v>45054</v>
      </c>
      <c r="C57" s="1" t="n">
        <v>46136</v>
      </c>
      <c r="D57" t="inlineStr">
        <is>
          <t>ÖREBRO LÄN</t>
        </is>
      </c>
      <c r="E57" t="inlineStr">
        <is>
          <t>ÖREBRO</t>
        </is>
      </c>
      <c r="G57" t="n">
        <v>2.6</v>
      </c>
      <c r="H57" t="n">
        <v>1</v>
      </c>
      <c r="I57" t="n">
        <v>0</v>
      </c>
      <c r="J57" t="n">
        <v>0</v>
      </c>
      <c r="K57" t="n">
        <v>0</v>
      </c>
      <c r="L57" t="n">
        <v>0</v>
      </c>
      <c r="M57" t="n">
        <v>0</v>
      </c>
      <c r="N57" t="n">
        <v>0</v>
      </c>
      <c r="O57" t="n">
        <v>0</v>
      </c>
      <c r="P57" t="n">
        <v>0</v>
      </c>
      <c r="Q57" t="n">
        <v>1</v>
      </c>
      <c r="R57" s="2" t="inlineStr">
        <is>
          <t>Fiskgjuse</t>
        </is>
      </c>
      <c r="S57">
        <f>HYPERLINK("https://klasma.github.io/Logging_1880/artfynd/A 20032-2023 artfynd.xlsx", "A 20032-2023")</f>
        <v/>
      </c>
      <c r="T57">
        <f>HYPERLINK("https://klasma.github.io/Logging_1880/kartor/A 20032-2023 karta.png", "A 20032-2023")</f>
        <v/>
      </c>
      <c r="V57">
        <f>HYPERLINK("https://klasma.github.io/Logging_1880/klagomål/A 20032-2023 FSC-klagomål.docx", "A 20032-2023")</f>
        <v/>
      </c>
      <c r="W57">
        <f>HYPERLINK("https://klasma.github.io/Logging_1880/klagomålsmail/A 20032-2023 FSC-klagomål mail.docx", "A 20032-2023")</f>
        <v/>
      </c>
      <c r="X57">
        <f>HYPERLINK("https://klasma.github.io/Logging_1880/tillsyn/A 20032-2023 tillsynsbegäran.docx", "A 20032-2023")</f>
        <v/>
      </c>
      <c r="Y57">
        <f>HYPERLINK("https://klasma.github.io/Logging_1880/tillsynsmail/A 20032-2023 tillsynsbegäran mail.docx", "A 20032-2023")</f>
        <v/>
      </c>
      <c r="Z57">
        <f>HYPERLINK("https://klasma.github.io/Logging_1880/fåglar/A 20032-2023 prioriterade fågelarter.docx", "A 20032-2023")</f>
        <v/>
      </c>
    </row>
    <row r="58" ht="15" customHeight="1">
      <c r="A58" t="inlineStr">
        <is>
          <t>A 22604-2024</t>
        </is>
      </c>
      <c r="B58" s="1" t="n">
        <v>45447</v>
      </c>
      <c r="C58" s="1" t="n">
        <v>46136</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50499-2025</t>
        </is>
      </c>
      <c r="B59" s="1" t="n">
        <v>45945.41712962963</v>
      </c>
      <c r="C59" s="1" t="n">
        <v>46136</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30725-2023</t>
        </is>
      </c>
      <c r="B60" s="1" t="n">
        <v>45112.61451388889</v>
      </c>
      <c r="C60" s="1" t="n">
        <v>46136</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5097-2023</t>
        </is>
      </c>
      <c r="B61" s="1" t="n">
        <v>44958</v>
      </c>
      <c r="C61" s="1" t="n">
        <v>46136</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20247-2023</t>
        </is>
      </c>
      <c r="B62" s="1" t="n">
        <v>45055</v>
      </c>
      <c r="C62" s="1" t="n">
        <v>46136</v>
      </c>
      <c r="D62" t="inlineStr">
        <is>
          <t>ÖREBRO LÄN</t>
        </is>
      </c>
      <c r="E62" t="inlineStr">
        <is>
          <t>ÖREBRO</t>
        </is>
      </c>
      <c r="G62" t="n">
        <v>3</v>
      </c>
      <c r="H62" t="n">
        <v>1</v>
      </c>
      <c r="I62" t="n">
        <v>0</v>
      </c>
      <c r="J62" t="n">
        <v>0</v>
      </c>
      <c r="K62" t="n">
        <v>0</v>
      </c>
      <c r="L62" t="n">
        <v>0</v>
      </c>
      <c r="M62" t="n">
        <v>0</v>
      </c>
      <c r="N62" t="n">
        <v>0</v>
      </c>
      <c r="O62" t="n">
        <v>0</v>
      </c>
      <c r="P62" t="n">
        <v>0</v>
      </c>
      <c r="Q62" t="n">
        <v>1</v>
      </c>
      <c r="R62" s="2" t="inlineStr">
        <is>
          <t>Större vattensalamander</t>
        </is>
      </c>
      <c r="S62">
        <f>HYPERLINK("https://klasma.github.io/Logging_1880/artfynd/A 20247-2023 artfynd.xlsx", "A 20247-2023")</f>
        <v/>
      </c>
      <c r="T62">
        <f>HYPERLINK("https://klasma.github.io/Logging_1880/kartor/A 20247-2023 karta.png", "A 20247-2023")</f>
        <v/>
      </c>
      <c r="V62">
        <f>HYPERLINK("https://klasma.github.io/Logging_1880/klagomål/A 20247-2023 FSC-klagomål.docx", "A 20247-2023")</f>
        <v/>
      </c>
      <c r="W62">
        <f>HYPERLINK("https://klasma.github.io/Logging_1880/klagomålsmail/A 20247-2023 FSC-klagomål mail.docx", "A 20247-2023")</f>
        <v/>
      </c>
      <c r="X62">
        <f>HYPERLINK("https://klasma.github.io/Logging_1880/tillsyn/A 20247-2023 tillsynsbegäran.docx", "A 20247-2023")</f>
        <v/>
      </c>
      <c r="Y62">
        <f>HYPERLINK("https://klasma.github.io/Logging_1880/tillsynsmail/A 20247-2023 tillsynsbegäran mail.docx", "A 20247-2023")</f>
        <v/>
      </c>
    </row>
    <row r="63" ht="15" customHeight="1">
      <c r="A63" t="inlineStr">
        <is>
          <t>A 52382-2025</t>
        </is>
      </c>
      <c r="B63" s="1" t="n">
        <v>45953.9559837963</v>
      </c>
      <c r="C63" s="1" t="n">
        <v>46136</v>
      </c>
      <c r="D63" t="inlineStr">
        <is>
          <t>ÖREBRO LÄN</t>
        </is>
      </c>
      <c r="E63" t="inlineStr">
        <is>
          <t>ÖREBRO</t>
        </is>
      </c>
      <c r="F63" t="inlineStr">
        <is>
          <t>Sveaskog</t>
        </is>
      </c>
      <c r="G63" t="n">
        <v>3.4</v>
      </c>
      <c r="H63" t="n">
        <v>0</v>
      </c>
      <c r="I63" t="n">
        <v>0</v>
      </c>
      <c r="J63" t="n">
        <v>1</v>
      </c>
      <c r="K63" t="n">
        <v>0</v>
      </c>
      <c r="L63" t="n">
        <v>0</v>
      </c>
      <c r="M63" t="n">
        <v>0</v>
      </c>
      <c r="N63" t="n">
        <v>0</v>
      </c>
      <c r="O63" t="n">
        <v>1</v>
      </c>
      <c r="P63" t="n">
        <v>0</v>
      </c>
      <c r="Q63" t="n">
        <v>1</v>
      </c>
      <c r="R63" s="2" t="inlineStr">
        <is>
          <t>Grantaggsvamp</t>
        </is>
      </c>
      <c r="S63">
        <f>HYPERLINK("https://klasma.github.io/Logging_1880/artfynd/A 52382-2025 artfynd.xlsx", "A 52382-2025")</f>
        <v/>
      </c>
      <c r="T63">
        <f>HYPERLINK("https://klasma.github.io/Logging_1880/kartor/A 52382-2025 karta.png", "A 52382-2025")</f>
        <v/>
      </c>
      <c r="V63">
        <f>HYPERLINK("https://klasma.github.io/Logging_1880/klagomål/A 52382-2025 FSC-klagomål.docx", "A 52382-2025")</f>
        <v/>
      </c>
      <c r="W63">
        <f>HYPERLINK("https://klasma.github.io/Logging_1880/klagomålsmail/A 52382-2025 FSC-klagomål mail.docx", "A 52382-2025")</f>
        <v/>
      </c>
      <c r="X63">
        <f>HYPERLINK("https://klasma.github.io/Logging_1880/tillsyn/A 52382-2025 tillsynsbegäran.docx", "A 52382-2025")</f>
        <v/>
      </c>
      <c r="Y63">
        <f>HYPERLINK("https://klasma.github.io/Logging_1880/tillsynsmail/A 52382-2025 tillsynsbegäran mail.docx", "A 52382-2025")</f>
        <v/>
      </c>
    </row>
    <row r="64" ht="15" customHeight="1">
      <c r="A64" t="inlineStr">
        <is>
          <t>A 58838-2025</t>
        </is>
      </c>
      <c r="B64" s="1" t="n">
        <v>45987.35973379629</v>
      </c>
      <c r="C64" s="1" t="n">
        <v>46136</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26890-2022</t>
        </is>
      </c>
      <c r="B65" s="1" t="n">
        <v>44740</v>
      </c>
      <c r="C65" s="1" t="n">
        <v>46136</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57920-2024</t>
        </is>
      </c>
      <c r="B66" s="1" t="n">
        <v>45631.50894675926</v>
      </c>
      <c r="C66" s="1" t="n">
        <v>46136</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63199-2025</t>
        </is>
      </c>
      <c r="B67" s="1" t="n">
        <v>46010.46091435185</v>
      </c>
      <c r="C67" s="1" t="n">
        <v>46136</v>
      </c>
      <c r="D67" t="inlineStr">
        <is>
          <t>ÖREBRO LÄN</t>
        </is>
      </c>
      <c r="E67" t="inlineStr">
        <is>
          <t>ÖREBRO</t>
        </is>
      </c>
      <c r="F67" t="inlineStr">
        <is>
          <t>Sveaskog</t>
        </is>
      </c>
      <c r="G67" t="n">
        <v>0.9</v>
      </c>
      <c r="H67" t="n">
        <v>1</v>
      </c>
      <c r="I67" t="n">
        <v>0</v>
      </c>
      <c r="J67" t="n">
        <v>0</v>
      </c>
      <c r="K67" t="n">
        <v>0</v>
      </c>
      <c r="L67" t="n">
        <v>0</v>
      </c>
      <c r="M67" t="n">
        <v>0</v>
      </c>
      <c r="N67" t="n">
        <v>0</v>
      </c>
      <c r="O67" t="n">
        <v>0</v>
      </c>
      <c r="P67" t="n">
        <v>0</v>
      </c>
      <c r="Q67" t="n">
        <v>1</v>
      </c>
      <c r="R67" s="2" t="inlineStr">
        <is>
          <t>Gullviva</t>
        </is>
      </c>
      <c r="S67">
        <f>HYPERLINK("https://klasma.github.io/Logging_1880/artfynd/A 63199-2025 artfynd.xlsx", "A 63199-2025")</f>
        <v/>
      </c>
      <c r="T67">
        <f>HYPERLINK("https://klasma.github.io/Logging_1880/kartor/A 63199-2025 karta.png", "A 63199-2025")</f>
        <v/>
      </c>
      <c r="V67">
        <f>HYPERLINK("https://klasma.github.io/Logging_1880/klagomål/A 63199-2025 FSC-klagomål.docx", "A 63199-2025")</f>
        <v/>
      </c>
      <c r="W67">
        <f>HYPERLINK("https://klasma.github.io/Logging_1880/klagomålsmail/A 63199-2025 FSC-klagomål mail.docx", "A 63199-2025")</f>
        <v/>
      </c>
      <c r="X67">
        <f>HYPERLINK("https://klasma.github.io/Logging_1880/tillsyn/A 63199-2025 tillsynsbegäran.docx", "A 63199-2025")</f>
        <v/>
      </c>
      <c r="Y67">
        <f>HYPERLINK("https://klasma.github.io/Logging_1880/tillsynsmail/A 63199-2025 tillsynsbegäran mail.docx", "A 63199-2025")</f>
        <v/>
      </c>
    </row>
    <row r="68" ht="15" customHeight="1">
      <c r="A68" t="inlineStr">
        <is>
          <t>A 2077-2023</t>
        </is>
      </c>
      <c r="B68" s="1" t="n">
        <v>44939</v>
      </c>
      <c r="C68" s="1" t="n">
        <v>46136</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46136</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46136</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46136</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46136</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23606-2021</t>
        </is>
      </c>
      <c r="B73" s="1" t="n">
        <v>44334</v>
      </c>
      <c r="C73" s="1" t="n">
        <v>46136</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46136</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46136</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46136</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46136</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46136</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46136</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46136</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46136</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46136</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46136</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46136</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46136</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46136</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46136</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46136</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46136</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46136</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46136</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46136</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46136</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46136</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46136</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46136</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46136</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46136</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46136</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46136</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46136</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46136</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46136</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46136</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46136</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46136</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46136</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46136</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46136</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46136</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46136</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46136</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46136</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46136</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46136</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46136</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46136</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46136</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46136</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46136</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46136</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46136</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13631-2022</t>
        </is>
      </c>
      <c r="B123" s="1" t="n">
        <v>44648</v>
      </c>
      <c r="C123" s="1" t="n">
        <v>46136</v>
      </c>
      <c r="D123" t="inlineStr">
        <is>
          <t>ÖREBRO LÄN</t>
        </is>
      </c>
      <c r="E123" t="inlineStr">
        <is>
          <t>ÖREBRO</t>
        </is>
      </c>
      <c r="G123" t="n">
        <v>10.4</v>
      </c>
      <c r="H123" t="n">
        <v>0</v>
      </c>
      <c r="I123" t="n">
        <v>0</v>
      </c>
      <c r="J123" t="n">
        <v>0</v>
      </c>
      <c r="K123" t="n">
        <v>0</v>
      </c>
      <c r="L123" t="n">
        <v>0</v>
      </c>
      <c r="M123" t="n">
        <v>0</v>
      </c>
      <c r="N123" t="n">
        <v>0</v>
      </c>
      <c r="O123" t="n">
        <v>0</v>
      </c>
      <c r="P123" t="n">
        <v>0</v>
      </c>
      <c r="Q123" t="n">
        <v>0</v>
      </c>
      <c r="R123" s="2" t="inlineStr"/>
    </row>
    <row r="124" ht="15" customHeight="1">
      <c r="A124" t="inlineStr">
        <is>
          <t>A 33814-2021</t>
        </is>
      </c>
      <c r="B124" s="1" t="n">
        <v>44378</v>
      </c>
      <c r="C124" s="1" t="n">
        <v>46136</v>
      </c>
      <c r="D124" t="inlineStr">
        <is>
          <t>ÖREBRO LÄN</t>
        </is>
      </c>
      <c r="E124" t="inlineStr">
        <is>
          <t>ÖREBRO</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46136</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46136</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46136</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46136</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46136</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44165-2022</t>
        </is>
      </c>
      <c r="B130" s="1" t="n">
        <v>44839</v>
      </c>
      <c r="C130" s="1" t="n">
        <v>46136</v>
      </c>
      <c r="D130" t="inlineStr">
        <is>
          <t>ÖREBRO LÄN</t>
        </is>
      </c>
      <c r="E130" t="inlineStr">
        <is>
          <t>ÖREBRO</t>
        </is>
      </c>
      <c r="G130" t="n">
        <v>0.5</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46136</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61232-2021</t>
        </is>
      </c>
      <c r="B132" s="1" t="n">
        <v>44498</v>
      </c>
      <c r="C132" s="1" t="n">
        <v>46136</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46136</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46136</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46136</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46136</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46136</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40312-2021</t>
        </is>
      </c>
      <c r="B138" s="1" t="n">
        <v>44419</v>
      </c>
      <c r="C138" s="1" t="n">
        <v>46136</v>
      </c>
      <c r="D138" t="inlineStr">
        <is>
          <t>ÖREBRO LÄN</t>
        </is>
      </c>
      <c r="E138" t="inlineStr">
        <is>
          <t>ÖREBRO</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12478-2022</t>
        </is>
      </c>
      <c r="B139" s="1" t="n">
        <v>44638</v>
      </c>
      <c r="C139" s="1" t="n">
        <v>46136</v>
      </c>
      <c r="D139" t="inlineStr">
        <is>
          <t>ÖREBRO LÄN</t>
        </is>
      </c>
      <c r="E139" t="inlineStr">
        <is>
          <t>ÖREBRO</t>
        </is>
      </c>
      <c r="F139" t="inlineStr">
        <is>
          <t>Kyrkan</t>
        </is>
      </c>
      <c r="G139" t="n">
        <v>1.4</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46136</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19978-2025</t>
        </is>
      </c>
      <c r="B141" s="1" t="n">
        <v>45771.7062037037</v>
      </c>
      <c r="C141" s="1" t="n">
        <v>46136</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15354-2024</t>
        </is>
      </c>
      <c r="B142" s="1" t="n">
        <v>45400.85319444445</v>
      </c>
      <c r="C142" s="1" t="n">
        <v>46136</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19831-2021</t>
        </is>
      </c>
      <c r="B143" s="1" t="n">
        <v>44313</v>
      </c>
      <c r="C143" s="1" t="n">
        <v>46136</v>
      </c>
      <c r="D143" t="inlineStr">
        <is>
          <t>ÖREBRO LÄN</t>
        </is>
      </c>
      <c r="E143" t="inlineStr">
        <is>
          <t>ÖREBRO</t>
        </is>
      </c>
      <c r="G143" t="n">
        <v>3.2</v>
      </c>
      <c r="H143" t="n">
        <v>0</v>
      </c>
      <c r="I143" t="n">
        <v>0</v>
      </c>
      <c r="J143" t="n">
        <v>0</v>
      </c>
      <c r="K143" t="n">
        <v>0</v>
      </c>
      <c r="L143" t="n">
        <v>0</v>
      </c>
      <c r="M143" t="n">
        <v>0</v>
      </c>
      <c r="N143" t="n">
        <v>0</v>
      </c>
      <c r="O143" t="n">
        <v>0</v>
      </c>
      <c r="P143" t="n">
        <v>0</v>
      </c>
      <c r="Q143" t="n">
        <v>0</v>
      </c>
      <c r="R143" s="2" t="inlineStr"/>
    </row>
    <row r="144" ht="15" customHeight="1">
      <c r="A144" t="inlineStr">
        <is>
          <t>A 11067-2025</t>
        </is>
      </c>
      <c r="B144" s="1" t="n">
        <v>45723</v>
      </c>
      <c r="C144" s="1" t="n">
        <v>46136</v>
      </c>
      <c r="D144" t="inlineStr">
        <is>
          <t>ÖREBRO LÄN</t>
        </is>
      </c>
      <c r="E144" t="inlineStr">
        <is>
          <t>ÖREBRO</t>
        </is>
      </c>
      <c r="G144" t="n">
        <v>3.1</v>
      </c>
      <c r="H144" t="n">
        <v>0</v>
      </c>
      <c r="I144" t="n">
        <v>0</v>
      </c>
      <c r="J144" t="n">
        <v>0</v>
      </c>
      <c r="K144" t="n">
        <v>0</v>
      </c>
      <c r="L144" t="n">
        <v>0</v>
      </c>
      <c r="M144" t="n">
        <v>0</v>
      </c>
      <c r="N144" t="n">
        <v>0</v>
      </c>
      <c r="O144" t="n">
        <v>0</v>
      </c>
      <c r="P144" t="n">
        <v>0</v>
      </c>
      <c r="Q144" t="n">
        <v>0</v>
      </c>
      <c r="R144" s="2" t="inlineStr"/>
    </row>
    <row r="145" ht="15" customHeight="1">
      <c r="A145" t="inlineStr">
        <is>
          <t>A 13169-2024</t>
        </is>
      </c>
      <c r="B145" s="1" t="n">
        <v>45386.40489583334</v>
      </c>
      <c r="C145" s="1" t="n">
        <v>46136</v>
      </c>
      <c r="D145" t="inlineStr">
        <is>
          <t>ÖREBRO LÄN</t>
        </is>
      </c>
      <c r="E145" t="inlineStr">
        <is>
          <t>ÖREBRO</t>
        </is>
      </c>
      <c r="G145" t="n">
        <v>4.3</v>
      </c>
      <c r="H145" t="n">
        <v>0</v>
      </c>
      <c r="I145" t="n">
        <v>0</v>
      </c>
      <c r="J145" t="n">
        <v>0</v>
      </c>
      <c r="K145" t="n">
        <v>0</v>
      </c>
      <c r="L145" t="n">
        <v>0</v>
      </c>
      <c r="M145" t="n">
        <v>0</v>
      </c>
      <c r="N145" t="n">
        <v>0</v>
      </c>
      <c r="O145" t="n">
        <v>0</v>
      </c>
      <c r="P145" t="n">
        <v>0</v>
      </c>
      <c r="Q145" t="n">
        <v>0</v>
      </c>
      <c r="R145" s="2" t="inlineStr"/>
    </row>
    <row r="146" ht="15" customHeight="1">
      <c r="A146" t="inlineStr">
        <is>
          <t>A 5357-2024</t>
        </is>
      </c>
      <c r="B146" s="1" t="n">
        <v>45331</v>
      </c>
      <c r="C146" s="1" t="n">
        <v>46136</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9585-2025</t>
        </is>
      </c>
      <c r="B147" s="1" t="n">
        <v>45715.63409722222</v>
      </c>
      <c r="C147" s="1" t="n">
        <v>46136</v>
      </c>
      <c r="D147" t="inlineStr">
        <is>
          <t>ÖREBRO LÄN</t>
        </is>
      </c>
      <c r="E147" t="inlineStr">
        <is>
          <t>ÖREBRO</t>
        </is>
      </c>
      <c r="G147" t="n">
        <v>3.4</v>
      </c>
      <c r="H147" t="n">
        <v>0</v>
      </c>
      <c r="I147" t="n">
        <v>0</v>
      </c>
      <c r="J147" t="n">
        <v>0</v>
      </c>
      <c r="K147" t="n">
        <v>0</v>
      </c>
      <c r="L147" t="n">
        <v>0</v>
      </c>
      <c r="M147" t="n">
        <v>0</v>
      </c>
      <c r="N147" t="n">
        <v>0</v>
      </c>
      <c r="O147" t="n">
        <v>0</v>
      </c>
      <c r="P147" t="n">
        <v>0</v>
      </c>
      <c r="Q147" t="n">
        <v>0</v>
      </c>
      <c r="R147" s="2" t="inlineStr"/>
    </row>
    <row r="148" ht="15" customHeight="1">
      <c r="A148" t="inlineStr">
        <is>
          <t>A 6879-2024</t>
        </is>
      </c>
      <c r="B148" s="1" t="n">
        <v>45342.85280092592</v>
      </c>
      <c r="C148" s="1" t="n">
        <v>46136</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681-2024</t>
        </is>
      </c>
      <c r="B149" s="1" t="n">
        <v>45300</v>
      </c>
      <c r="C149" s="1" t="n">
        <v>46136</v>
      </c>
      <c r="D149" t="inlineStr">
        <is>
          <t>ÖREBRO LÄN</t>
        </is>
      </c>
      <c r="E149" t="inlineStr">
        <is>
          <t>ÖREBRO</t>
        </is>
      </c>
      <c r="G149" t="n">
        <v>3.3</v>
      </c>
      <c r="H149" t="n">
        <v>0</v>
      </c>
      <c r="I149" t="n">
        <v>0</v>
      </c>
      <c r="J149" t="n">
        <v>0</v>
      </c>
      <c r="K149" t="n">
        <v>0</v>
      </c>
      <c r="L149" t="n">
        <v>0</v>
      </c>
      <c r="M149" t="n">
        <v>0</v>
      </c>
      <c r="N149" t="n">
        <v>0</v>
      </c>
      <c r="O149" t="n">
        <v>0</v>
      </c>
      <c r="P149" t="n">
        <v>0</v>
      </c>
      <c r="Q149" t="n">
        <v>0</v>
      </c>
      <c r="R149" s="2" t="inlineStr"/>
    </row>
    <row r="150" ht="15" customHeight="1">
      <c r="A150" t="inlineStr">
        <is>
          <t>A 5125-2024</t>
        </is>
      </c>
      <c r="B150" s="1" t="n">
        <v>45330</v>
      </c>
      <c r="C150" s="1" t="n">
        <v>46136</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14234-2024</t>
        </is>
      </c>
      <c r="B151" s="1" t="n">
        <v>45393.46980324074</v>
      </c>
      <c r="C151" s="1" t="n">
        <v>46136</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52256-2023</t>
        </is>
      </c>
      <c r="B152" s="1" t="n">
        <v>45224.51471064815</v>
      </c>
      <c r="C152" s="1" t="n">
        <v>46136</v>
      </c>
      <c r="D152" t="inlineStr">
        <is>
          <t>ÖREBRO LÄN</t>
        </is>
      </c>
      <c r="E152" t="inlineStr">
        <is>
          <t>ÖREBRO</t>
        </is>
      </c>
      <c r="G152" t="n">
        <v>2.8</v>
      </c>
      <c r="H152" t="n">
        <v>0</v>
      </c>
      <c r="I152" t="n">
        <v>0</v>
      </c>
      <c r="J152" t="n">
        <v>0</v>
      </c>
      <c r="K152" t="n">
        <v>0</v>
      </c>
      <c r="L152" t="n">
        <v>0</v>
      </c>
      <c r="M152" t="n">
        <v>0</v>
      </c>
      <c r="N152" t="n">
        <v>0</v>
      </c>
      <c r="O152" t="n">
        <v>0</v>
      </c>
      <c r="P152" t="n">
        <v>0</v>
      </c>
      <c r="Q152" t="n">
        <v>0</v>
      </c>
      <c r="R152" s="2" t="inlineStr"/>
    </row>
    <row r="153" ht="15" customHeight="1">
      <c r="A153" t="inlineStr">
        <is>
          <t>A 55593-2022</t>
        </is>
      </c>
      <c r="B153" s="1" t="n">
        <v>44888</v>
      </c>
      <c r="C153" s="1" t="n">
        <v>46136</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50446-2023</t>
        </is>
      </c>
      <c r="B154" s="1" t="n">
        <v>45216</v>
      </c>
      <c r="C154" s="1" t="n">
        <v>46136</v>
      </c>
      <c r="D154" t="inlineStr">
        <is>
          <t>ÖREBRO LÄN</t>
        </is>
      </c>
      <c r="E154" t="inlineStr">
        <is>
          <t>ÖREBRO</t>
        </is>
      </c>
      <c r="F154" t="inlineStr">
        <is>
          <t>Övriga Aktiebolag</t>
        </is>
      </c>
      <c r="G154" t="n">
        <v>2.8</v>
      </c>
      <c r="H154" t="n">
        <v>0</v>
      </c>
      <c r="I154" t="n">
        <v>0</v>
      </c>
      <c r="J154" t="n">
        <v>0</v>
      </c>
      <c r="K154" t="n">
        <v>0</v>
      </c>
      <c r="L154" t="n">
        <v>0</v>
      </c>
      <c r="M154" t="n">
        <v>0</v>
      </c>
      <c r="N154" t="n">
        <v>0</v>
      </c>
      <c r="O154" t="n">
        <v>0</v>
      </c>
      <c r="P154" t="n">
        <v>0</v>
      </c>
      <c r="Q154" t="n">
        <v>0</v>
      </c>
      <c r="R154" s="2" t="inlineStr"/>
    </row>
    <row r="155" ht="15" customHeight="1">
      <c r="A155" t="inlineStr">
        <is>
          <t>A 50450-2023</t>
        </is>
      </c>
      <c r="B155" s="1" t="n">
        <v>45216.73533564815</v>
      </c>
      <c r="C155" s="1" t="n">
        <v>46136</v>
      </c>
      <c r="D155" t="inlineStr">
        <is>
          <t>ÖREBRO LÄN</t>
        </is>
      </c>
      <c r="E155" t="inlineStr">
        <is>
          <t>ÖREBRO</t>
        </is>
      </c>
      <c r="F155" t="inlineStr">
        <is>
          <t>Övriga Aktiebolag</t>
        </is>
      </c>
      <c r="G155" t="n">
        <v>0.8</v>
      </c>
      <c r="H155" t="n">
        <v>0</v>
      </c>
      <c r="I155" t="n">
        <v>0</v>
      </c>
      <c r="J155" t="n">
        <v>0</v>
      </c>
      <c r="K155" t="n">
        <v>0</v>
      </c>
      <c r="L155" t="n">
        <v>0</v>
      </c>
      <c r="M155" t="n">
        <v>0</v>
      </c>
      <c r="N155" t="n">
        <v>0</v>
      </c>
      <c r="O155" t="n">
        <v>0</v>
      </c>
      <c r="P155" t="n">
        <v>0</v>
      </c>
      <c r="Q155" t="n">
        <v>0</v>
      </c>
      <c r="R155" s="2" t="inlineStr"/>
    </row>
    <row r="156" ht="15" customHeight="1">
      <c r="A156" t="inlineStr">
        <is>
          <t>A 43612-2022</t>
        </is>
      </c>
      <c r="B156" s="1" t="n">
        <v>44837</v>
      </c>
      <c r="C156" s="1" t="n">
        <v>46136</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42138-2024</t>
        </is>
      </c>
      <c r="B157" s="1" t="n">
        <v>45562.41854166667</v>
      </c>
      <c r="C157" s="1" t="n">
        <v>46136</v>
      </c>
      <c r="D157" t="inlineStr">
        <is>
          <t>ÖREBRO LÄN</t>
        </is>
      </c>
      <c r="E157" t="inlineStr">
        <is>
          <t>ÖREBRO</t>
        </is>
      </c>
      <c r="G157" t="n">
        <v>1.4</v>
      </c>
      <c r="H157" t="n">
        <v>0</v>
      </c>
      <c r="I157" t="n">
        <v>0</v>
      </c>
      <c r="J157" t="n">
        <v>0</v>
      </c>
      <c r="K157" t="n">
        <v>0</v>
      </c>
      <c r="L157" t="n">
        <v>0</v>
      </c>
      <c r="M157" t="n">
        <v>0</v>
      </c>
      <c r="N157" t="n">
        <v>0</v>
      </c>
      <c r="O157" t="n">
        <v>0</v>
      </c>
      <c r="P157" t="n">
        <v>0</v>
      </c>
      <c r="Q157" t="n">
        <v>0</v>
      </c>
      <c r="R157" s="2" t="inlineStr"/>
    </row>
    <row r="158" ht="15" customHeight="1">
      <c r="A158" t="inlineStr">
        <is>
          <t>A 61593-2023</t>
        </is>
      </c>
      <c r="B158" s="1" t="n">
        <v>45265</v>
      </c>
      <c r="C158" s="1" t="n">
        <v>46136</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34874-2022</t>
        </is>
      </c>
      <c r="B159" s="1" t="n">
        <v>44796</v>
      </c>
      <c r="C159" s="1" t="n">
        <v>46136</v>
      </c>
      <c r="D159" t="inlineStr">
        <is>
          <t>ÖREBRO LÄN</t>
        </is>
      </c>
      <c r="E159" t="inlineStr">
        <is>
          <t>ÖREBRO</t>
        </is>
      </c>
      <c r="F159" t="inlineStr">
        <is>
          <t>Övriga Aktiebolag</t>
        </is>
      </c>
      <c r="G159" t="n">
        <v>2.3</v>
      </c>
      <c r="H159" t="n">
        <v>0</v>
      </c>
      <c r="I159" t="n">
        <v>0</v>
      </c>
      <c r="J159" t="n">
        <v>0</v>
      </c>
      <c r="K159" t="n">
        <v>0</v>
      </c>
      <c r="L159" t="n">
        <v>0</v>
      </c>
      <c r="M159" t="n">
        <v>0</v>
      </c>
      <c r="N159" t="n">
        <v>0</v>
      </c>
      <c r="O159" t="n">
        <v>0</v>
      </c>
      <c r="P159" t="n">
        <v>0</v>
      </c>
      <c r="Q159" t="n">
        <v>0</v>
      </c>
      <c r="R159" s="2" t="inlineStr"/>
    </row>
    <row r="160" ht="15" customHeight="1">
      <c r="A160" t="inlineStr">
        <is>
          <t>A 38842-2022</t>
        </is>
      </c>
      <c r="B160" s="1" t="n">
        <v>44814</v>
      </c>
      <c r="C160" s="1" t="n">
        <v>46136</v>
      </c>
      <c r="D160" t="inlineStr">
        <is>
          <t>ÖREBRO LÄN</t>
        </is>
      </c>
      <c r="E160" t="inlineStr">
        <is>
          <t>ÖREBRO</t>
        </is>
      </c>
      <c r="G160" t="n">
        <v>5</v>
      </c>
      <c r="H160" t="n">
        <v>0</v>
      </c>
      <c r="I160" t="n">
        <v>0</v>
      </c>
      <c r="J160" t="n">
        <v>0</v>
      </c>
      <c r="K160" t="n">
        <v>0</v>
      </c>
      <c r="L160" t="n">
        <v>0</v>
      </c>
      <c r="M160" t="n">
        <v>0</v>
      </c>
      <c r="N160" t="n">
        <v>0</v>
      </c>
      <c r="O160" t="n">
        <v>0</v>
      </c>
      <c r="P160" t="n">
        <v>0</v>
      </c>
      <c r="Q160" t="n">
        <v>0</v>
      </c>
      <c r="R160" s="2" t="inlineStr"/>
    </row>
    <row r="161" ht="15" customHeight="1">
      <c r="A161" t="inlineStr">
        <is>
          <t>A 26338-2021</t>
        </is>
      </c>
      <c r="B161" s="1" t="n">
        <v>44347</v>
      </c>
      <c r="C161" s="1" t="n">
        <v>46136</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40597-2021</t>
        </is>
      </c>
      <c r="B162" s="1" t="n">
        <v>44420</v>
      </c>
      <c r="C162" s="1" t="n">
        <v>46136</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71266-2021</t>
        </is>
      </c>
      <c r="B163" s="1" t="n">
        <v>44539</v>
      </c>
      <c r="C163" s="1" t="n">
        <v>46136</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71267-2021</t>
        </is>
      </c>
      <c r="B164" s="1" t="n">
        <v>44539</v>
      </c>
      <c r="C164" s="1" t="n">
        <v>46136</v>
      </c>
      <c r="D164" t="inlineStr">
        <is>
          <t>ÖREBRO LÄN</t>
        </is>
      </c>
      <c r="E164" t="inlineStr">
        <is>
          <t>ÖREBRO</t>
        </is>
      </c>
      <c r="G164" t="n">
        <v>1.7</v>
      </c>
      <c r="H164" t="n">
        <v>0</v>
      </c>
      <c r="I164" t="n">
        <v>0</v>
      </c>
      <c r="J164" t="n">
        <v>0</v>
      </c>
      <c r="K164" t="n">
        <v>0</v>
      </c>
      <c r="L164" t="n">
        <v>0</v>
      </c>
      <c r="M164" t="n">
        <v>0</v>
      </c>
      <c r="N164" t="n">
        <v>0</v>
      </c>
      <c r="O164" t="n">
        <v>0</v>
      </c>
      <c r="P164" t="n">
        <v>0</v>
      </c>
      <c r="Q164" t="n">
        <v>0</v>
      </c>
      <c r="R164" s="2" t="inlineStr"/>
    </row>
    <row r="165" ht="15" customHeight="1">
      <c r="A165" t="inlineStr">
        <is>
          <t>A 71280-2021</t>
        </is>
      </c>
      <c r="B165" s="1" t="n">
        <v>44539</v>
      </c>
      <c r="C165" s="1" t="n">
        <v>46136</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48581-2024</t>
        </is>
      </c>
      <c r="B166" s="1" t="n">
        <v>45593.41642361111</v>
      </c>
      <c r="C166" s="1" t="n">
        <v>46136</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47047-2022</t>
        </is>
      </c>
      <c r="B167" s="1" t="n">
        <v>44852.39063657408</v>
      </c>
      <c r="C167" s="1" t="n">
        <v>46136</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21036-2024</t>
        </is>
      </c>
      <c r="B168" s="1" t="n">
        <v>45439.65954861111</v>
      </c>
      <c r="C168" s="1" t="n">
        <v>46136</v>
      </c>
      <c r="D168" t="inlineStr">
        <is>
          <t>ÖREBRO LÄN</t>
        </is>
      </c>
      <c r="E168" t="inlineStr">
        <is>
          <t>ÖREBRO</t>
        </is>
      </c>
      <c r="F168" t="inlineStr">
        <is>
          <t>Övriga Aktiebolag</t>
        </is>
      </c>
      <c r="G168" t="n">
        <v>5.7</v>
      </c>
      <c r="H168" t="n">
        <v>0</v>
      </c>
      <c r="I168" t="n">
        <v>0</v>
      </c>
      <c r="J168" t="n">
        <v>0</v>
      </c>
      <c r="K168" t="n">
        <v>0</v>
      </c>
      <c r="L168" t="n">
        <v>0</v>
      </c>
      <c r="M168" t="n">
        <v>0</v>
      </c>
      <c r="N168" t="n">
        <v>0</v>
      </c>
      <c r="O168" t="n">
        <v>0</v>
      </c>
      <c r="P168" t="n">
        <v>0</v>
      </c>
      <c r="Q168" t="n">
        <v>0</v>
      </c>
      <c r="R168" s="2" t="inlineStr"/>
    </row>
    <row r="169" ht="15" customHeight="1">
      <c r="A169" t="inlineStr">
        <is>
          <t>A 16739-2023</t>
        </is>
      </c>
      <c r="B169" s="1" t="n">
        <v>45030.72627314815</v>
      </c>
      <c r="C169" s="1" t="n">
        <v>46136</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2771-2023</t>
        </is>
      </c>
      <c r="B170" s="1" t="n">
        <v>44944.64704861111</v>
      </c>
      <c r="C170" s="1" t="n">
        <v>46136</v>
      </c>
      <c r="D170" t="inlineStr">
        <is>
          <t>ÖREBRO LÄN</t>
        </is>
      </c>
      <c r="E170" t="inlineStr">
        <is>
          <t>ÖREBRO</t>
        </is>
      </c>
      <c r="G170" t="n">
        <v>15.4</v>
      </c>
      <c r="H170" t="n">
        <v>0</v>
      </c>
      <c r="I170" t="n">
        <v>0</v>
      </c>
      <c r="J170" t="n">
        <v>0</v>
      </c>
      <c r="K170" t="n">
        <v>0</v>
      </c>
      <c r="L170" t="n">
        <v>0</v>
      </c>
      <c r="M170" t="n">
        <v>0</v>
      </c>
      <c r="N170" t="n">
        <v>0</v>
      </c>
      <c r="O170" t="n">
        <v>0</v>
      </c>
      <c r="P170" t="n">
        <v>0</v>
      </c>
      <c r="Q170" t="n">
        <v>0</v>
      </c>
      <c r="R170" s="2" t="inlineStr"/>
    </row>
    <row r="171" ht="15" customHeight="1">
      <c r="A171" t="inlineStr">
        <is>
          <t>A 12017-2024</t>
        </is>
      </c>
      <c r="B171" s="1" t="n">
        <v>45377</v>
      </c>
      <c r="C171" s="1" t="n">
        <v>46136</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56077-2022</t>
        </is>
      </c>
      <c r="B172" s="1" t="n">
        <v>44889.60872685185</v>
      </c>
      <c r="C172" s="1" t="n">
        <v>46136</v>
      </c>
      <c r="D172" t="inlineStr">
        <is>
          <t>ÖREBRO LÄN</t>
        </is>
      </c>
      <c r="E172" t="inlineStr">
        <is>
          <t>ÖREBRO</t>
        </is>
      </c>
      <c r="F172" t="inlineStr">
        <is>
          <t>Övriga Aktiebolag</t>
        </is>
      </c>
      <c r="G172" t="n">
        <v>2.5</v>
      </c>
      <c r="H172" t="n">
        <v>0</v>
      </c>
      <c r="I172" t="n">
        <v>0</v>
      </c>
      <c r="J172" t="n">
        <v>0</v>
      </c>
      <c r="K172" t="n">
        <v>0</v>
      </c>
      <c r="L172" t="n">
        <v>0</v>
      </c>
      <c r="M172" t="n">
        <v>0</v>
      </c>
      <c r="N172" t="n">
        <v>0</v>
      </c>
      <c r="O172" t="n">
        <v>0</v>
      </c>
      <c r="P172" t="n">
        <v>0</v>
      </c>
      <c r="Q172" t="n">
        <v>0</v>
      </c>
      <c r="R172" s="2" t="inlineStr"/>
    </row>
    <row r="173" ht="15" customHeight="1">
      <c r="A173" t="inlineStr">
        <is>
          <t>A 9609-2023</t>
        </is>
      </c>
      <c r="B173" s="1" t="n">
        <v>44983.93344907407</v>
      </c>
      <c r="C173" s="1" t="n">
        <v>46136</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70707-2021</t>
        </is>
      </c>
      <c r="B174" s="1" t="n">
        <v>44537</v>
      </c>
      <c r="C174" s="1" t="n">
        <v>46136</v>
      </c>
      <c r="D174" t="inlineStr">
        <is>
          <t>ÖREBRO LÄN</t>
        </is>
      </c>
      <c r="E174" t="inlineStr">
        <is>
          <t>ÖREBRO</t>
        </is>
      </c>
      <c r="G174" t="n">
        <v>13.2</v>
      </c>
      <c r="H174" t="n">
        <v>0</v>
      </c>
      <c r="I174" t="n">
        <v>0</v>
      </c>
      <c r="J174" t="n">
        <v>0</v>
      </c>
      <c r="K174" t="n">
        <v>0</v>
      </c>
      <c r="L174" t="n">
        <v>0</v>
      </c>
      <c r="M174" t="n">
        <v>0</v>
      </c>
      <c r="N174" t="n">
        <v>0</v>
      </c>
      <c r="O174" t="n">
        <v>0</v>
      </c>
      <c r="P174" t="n">
        <v>0</v>
      </c>
      <c r="Q174" t="n">
        <v>0</v>
      </c>
      <c r="R174" s="2" t="inlineStr"/>
    </row>
    <row r="175" ht="15" customHeight="1">
      <c r="A175" t="inlineStr">
        <is>
          <t>A 57243-2022</t>
        </is>
      </c>
      <c r="B175" s="1" t="n">
        <v>44895.71835648148</v>
      </c>
      <c r="C175" s="1" t="n">
        <v>46136</v>
      </c>
      <c r="D175" t="inlineStr">
        <is>
          <t>ÖREBRO LÄN</t>
        </is>
      </c>
      <c r="E175" t="inlineStr">
        <is>
          <t>ÖREBRO</t>
        </is>
      </c>
      <c r="G175" t="n">
        <v>6</v>
      </c>
      <c r="H175" t="n">
        <v>0</v>
      </c>
      <c r="I175" t="n">
        <v>0</v>
      </c>
      <c r="J175" t="n">
        <v>0</v>
      </c>
      <c r="K175" t="n">
        <v>0</v>
      </c>
      <c r="L175" t="n">
        <v>0</v>
      </c>
      <c r="M175" t="n">
        <v>0</v>
      </c>
      <c r="N175" t="n">
        <v>0</v>
      </c>
      <c r="O175" t="n">
        <v>0</v>
      </c>
      <c r="P175" t="n">
        <v>0</v>
      </c>
      <c r="Q175" t="n">
        <v>0</v>
      </c>
      <c r="R175" s="2" t="inlineStr"/>
    </row>
    <row r="176" ht="15" customHeight="1">
      <c r="A176" t="inlineStr">
        <is>
          <t>A 58621-2024</t>
        </is>
      </c>
      <c r="B176" s="1" t="n">
        <v>45635.56321759259</v>
      </c>
      <c r="C176" s="1" t="n">
        <v>46136</v>
      </c>
      <c r="D176" t="inlineStr">
        <is>
          <t>ÖREBRO LÄN</t>
        </is>
      </c>
      <c r="E176" t="inlineStr">
        <is>
          <t>ÖREBRO</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25578-2025</t>
        </is>
      </c>
      <c r="B177" s="1" t="n">
        <v>45803.47803240741</v>
      </c>
      <c r="C177" s="1" t="n">
        <v>46136</v>
      </c>
      <c r="D177" t="inlineStr">
        <is>
          <t>ÖREBRO LÄN</t>
        </is>
      </c>
      <c r="E177" t="inlineStr">
        <is>
          <t>ÖREBRO</t>
        </is>
      </c>
      <c r="G177" t="n">
        <v>0.9</v>
      </c>
      <c r="H177" t="n">
        <v>0</v>
      </c>
      <c r="I177" t="n">
        <v>0</v>
      </c>
      <c r="J177" t="n">
        <v>0</v>
      </c>
      <c r="K177" t="n">
        <v>0</v>
      </c>
      <c r="L177" t="n">
        <v>0</v>
      </c>
      <c r="M177" t="n">
        <v>0</v>
      </c>
      <c r="N177" t="n">
        <v>0</v>
      </c>
      <c r="O177" t="n">
        <v>0</v>
      </c>
      <c r="P177" t="n">
        <v>0</v>
      </c>
      <c r="Q177" t="n">
        <v>0</v>
      </c>
      <c r="R177" s="2" t="inlineStr"/>
    </row>
    <row r="178" ht="15" customHeight="1">
      <c r="A178" t="inlineStr">
        <is>
          <t>A 58216-2024</t>
        </is>
      </c>
      <c r="B178" s="1" t="n">
        <v>45632</v>
      </c>
      <c r="C178" s="1" t="n">
        <v>46136</v>
      </c>
      <c r="D178" t="inlineStr">
        <is>
          <t>ÖREBRO LÄN</t>
        </is>
      </c>
      <c r="E178" t="inlineStr">
        <is>
          <t>ÖREBRO</t>
        </is>
      </c>
      <c r="G178" t="n">
        <v>1.9</v>
      </c>
      <c r="H178" t="n">
        <v>0</v>
      </c>
      <c r="I178" t="n">
        <v>0</v>
      </c>
      <c r="J178" t="n">
        <v>0</v>
      </c>
      <c r="K178" t="n">
        <v>0</v>
      </c>
      <c r="L178" t="n">
        <v>0</v>
      </c>
      <c r="M178" t="n">
        <v>0</v>
      </c>
      <c r="N178" t="n">
        <v>0</v>
      </c>
      <c r="O178" t="n">
        <v>0</v>
      </c>
      <c r="P178" t="n">
        <v>0</v>
      </c>
      <c r="Q178" t="n">
        <v>0</v>
      </c>
      <c r="R178" s="2" t="inlineStr"/>
    </row>
    <row r="179" ht="15" customHeight="1">
      <c r="A179" t="inlineStr">
        <is>
          <t>A 25519-2025</t>
        </is>
      </c>
      <c r="B179" s="1" t="n">
        <v>45803.38447916666</v>
      </c>
      <c r="C179" s="1" t="n">
        <v>46136</v>
      </c>
      <c r="D179" t="inlineStr">
        <is>
          <t>ÖREBRO LÄN</t>
        </is>
      </c>
      <c r="E179" t="inlineStr">
        <is>
          <t>ÖREBRO</t>
        </is>
      </c>
      <c r="G179" t="n">
        <v>7.4</v>
      </c>
      <c r="H179" t="n">
        <v>0</v>
      </c>
      <c r="I179" t="n">
        <v>0</v>
      </c>
      <c r="J179" t="n">
        <v>0</v>
      </c>
      <c r="K179" t="n">
        <v>0</v>
      </c>
      <c r="L179" t="n">
        <v>0</v>
      </c>
      <c r="M179" t="n">
        <v>0</v>
      </c>
      <c r="N179" t="n">
        <v>0</v>
      </c>
      <c r="O179" t="n">
        <v>0</v>
      </c>
      <c r="P179" t="n">
        <v>0</v>
      </c>
      <c r="Q179" t="n">
        <v>0</v>
      </c>
      <c r="R179" s="2" t="inlineStr"/>
    </row>
    <row r="180" ht="15" customHeight="1">
      <c r="A180" t="inlineStr">
        <is>
          <t>A 18550-2025</t>
        </is>
      </c>
      <c r="B180" s="1" t="n">
        <v>45763</v>
      </c>
      <c r="C180" s="1" t="n">
        <v>46136</v>
      </c>
      <c r="D180" t="inlineStr">
        <is>
          <t>ÖREBRO LÄN</t>
        </is>
      </c>
      <c r="E180" t="inlineStr">
        <is>
          <t>ÖREBRO</t>
        </is>
      </c>
      <c r="G180" t="n">
        <v>11.5</v>
      </c>
      <c r="H180" t="n">
        <v>0</v>
      </c>
      <c r="I180" t="n">
        <v>0</v>
      </c>
      <c r="J180" t="n">
        <v>0</v>
      </c>
      <c r="K180" t="n">
        <v>0</v>
      </c>
      <c r="L180" t="n">
        <v>0</v>
      </c>
      <c r="M180" t="n">
        <v>0</v>
      </c>
      <c r="N180" t="n">
        <v>0</v>
      </c>
      <c r="O180" t="n">
        <v>0</v>
      </c>
      <c r="P180" t="n">
        <v>0</v>
      </c>
      <c r="Q180" t="n">
        <v>0</v>
      </c>
      <c r="R180" s="2" t="inlineStr"/>
    </row>
    <row r="181" ht="15" customHeight="1">
      <c r="A181" t="inlineStr">
        <is>
          <t>A 37012-2024</t>
        </is>
      </c>
      <c r="B181" s="1" t="n">
        <v>45539</v>
      </c>
      <c r="C181" s="1" t="n">
        <v>46136</v>
      </c>
      <c r="D181" t="inlineStr">
        <is>
          <t>ÖREBRO LÄN</t>
        </is>
      </c>
      <c r="E181" t="inlineStr">
        <is>
          <t>ÖREBRO</t>
        </is>
      </c>
      <c r="G181" t="n">
        <v>4.1</v>
      </c>
      <c r="H181" t="n">
        <v>0</v>
      </c>
      <c r="I181" t="n">
        <v>0</v>
      </c>
      <c r="J181" t="n">
        <v>0</v>
      </c>
      <c r="K181" t="n">
        <v>0</v>
      </c>
      <c r="L181" t="n">
        <v>0</v>
      </c>
      <c r="M181" t="n">
        <v>0</v>
      </c>
      <c r="N181" t="n">
        <v>0</v>
      </c>
      <c r="O181" t="n">
        <v>0</v>
      </c>
      <c r="P181" t="n">
        <v>0</v>
      </c>
      <c r="Q181" t="n">
        <v>0</v>
      </c>
      <c r="R181" s="2" t="inlineStr"/>
    </row>
    <row r="182" ht="15" customHeight="1">
      <c r="A182" t="inlineStr">
        <is>
          <t>A 37020-2024</t>
        </is>
      </c>
      <c r="B182" s="1" t="n">
        <v>45539.38059027777</v>
      </c>
      <c r="C182" s="1" t="n">
        <v>46136</v>
      </c>
      <c r="D182" t="inlineStr">
        <is>
          <t>ÖREBRO LÄN</t>
        </is>
      </c>
      <c r="E182" t="inlineStr">
        <is>
          <t>ÖREBRO</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55353-2024</t>
        </is>
      </c>
      <c r="B183" s="1" t="n">
        <v>45621.79526620371</v>
      </c>
      <c r="C183" s="1" t="n">
        <v>46136</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1153-2026</t>
        </is>
      </c>
      <c r="B184" s="1" t="n">
        <v>46031.30899305556</v>
      </c>
      <c r="C184" s="1" t="n">
        <v>46136</v>
      </c>
      <c r="D184" t="inlineStr">
        <is>
          <t>ÖREBRO LÄN</t>
        </is>
      </c>
      <c r="E184" t="inlineStr">
        <is>
          <t>ÖREBRO</t>
        </is>
      </c>
      <c r="G184" t="n">
        <v>3.3</v>
      </c>
      <c r="H184" t="n">
        <v>0</v>
      </c>
      <c r="I184" t="n">
        <v>0</v>
      </c>
      <c r="J184" t="n">
        <v>0</v>
      </c>
      <c r="K184" t="n">
        <v>0</v>
      </c>
      <c r="L184" t="n">
        <v>0</v>
      </c>
      <c r="M184" t="n">
        <v>0</v>
      </c>
      <c r="N184" t="n">
        <v>0</v>
      </c>
      <c r="O184" t="n">
        <v>0</v>
      </c>
      <c r="P184" t="n">
        <v>0</v>
      </c>
      <c r="Q184" t="n">
        <v>0</v>
      </c>
      <c r="R184" s="2" t="inlineStr"/>
    </row>
    <row r="185" ht="15" customHeight="1">
      <c r="A185" t="inlineStr">
        <is>
          <t>A 541-2025</t>
        </is>
      </c>
      <c r="B185" s="1" t="n">
        <v>45664.52034722222</v>
      </c>
      <c r="C185" s="1" t="n">
        <v>46136</v>
      </c>
      <c r="D185" t="inlineStr">
        <is>
          <t>ÖREBRO LÄN</t>
        </is>
      </c>
      <c r="E185" t="inlineStr">
        <is>
          <t>ÖREBRO</t>
        </is>
      </c>
      <c r="G185" t="n">
        <v>2.2</v>
      </c>
      <c r="H185" t="n">
        <v>0</v>
      </c>
      <c r="I185" t="n">
        <v>0</v>
      </c>
      <c r="J185" t="n">
        <v>0</v>
      </c>
      <c r="K185" t="n">
        <v>0</v>
      </c>
      <c r="L185" t="n">
        <v>0</v>
      </c>
      <c r="M185" t="n">
        <v>0</v>
      </c>
      <c r="N185" t="n">
        <v>0</v>
      </c>
      <c r="O185" t="n">
        <v>0</v>
      </c>
      <c r="P185" t="n">
        <v>0</v>
      </c>
      <c r="Q185" t="n">
        <v>0</v>
      </c>
      <c r="R185" s="2" t="inlineStr"/>
    </row>
    <row r="186" ht="15" customHeight="1">
      <c r="A186" t="inlineStr">
        <is>
          <t>A 19553-2023</t>
        </is>
      </c>
      <c r="B186" s="1" t="n">
        <v>45050</v>
      </c>
      <c r="C186" s="1" t="n">
        <v>46136</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37025-2024</t>
        </is>
      </c>
      <c r="B187" s="1" t="n">
        <v>45539.3840162037</v>
      </c>
      <c r="C187" s="1" t="n">
        <v>46136</v>
      </c>
      <c r="D187" t="inlineStr">
        <is>
          <t>ÖREBRO LÄN</t>
        </is>
      </c>
      <c r="E187" t="inlineStr">
        <is>
          <t>ÖREBRO</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37027-2024</t>
        </is>
      </c>
      <c r="B188" s="1" t="n">
        <v>45539.38487268519</v>
      </c>
      <c r="C188" s="1" t="n">
        <v>46136</v>
      </c>
      <c r="D188" t="inlineStr">
        <is>
          <t>ÖREBRO LÄN</t>
        </is>
      </c>
      <c r="E188" t="inlineStr">
        <is>
          <t>ÖREBRO</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2162-2026</t>
        </is>
      </c>
      <c r="B189" s="1" t="n">
        <v>46036.43479166667</v>
      </c>
      <c r="C189" s="1" t="n">
        <v>46136</v>
      </c>
      <c r="D189" t="inlineStr">
        <is>
          <t>ÖREBRO LÄN</t>
        </is>
      </c>
      <c r="E189" t="inlineStr">
        <is>
          <t>ÖREBRO</t>
        </is>
      </c>
      <c r="G189" t="n">
        <v>0.5</v>
      </c>
      <c r="H189" t="n">
        <v>0</v>
      </c>
      <c r="I189" t="n">
        <v>0</v>
      </c>
      <c r="J189" t="n">
        <v>0</v>
      </c>
      <c r="K189" t="n">
        <v>0</v>
      </c>
      <c r="L189" t="n">
        <v>0</v>
      </c>
      <c r="M189" t="n">
        <v>0</v>
      </c>
      <c r="N189" t="n">
        <v>0</v>
      </c>
      <c r="O189" t="n">
        <v>0</v>
      </c>
      <c r="P189" t="n">
        <v>0</v>
      </c>
      <c r="Q189" t="n">
        <v>0</v>
      </c>
      <c r="R189" s="2" t="inlineStr"/>
    </row>
    <row r="190" ht="15" customHeight="1">
      <c r="A190" t="inlineStr">
        <is>
          <t>A 23594-2023</t>
        </is>
      </c>
      <c r="B190" s="1" t="n">
        <v>45077</v>
      </c>
      <c r="C190" s="1" t="n">
        <v>46136</v>
      </c>
      <c r="D190" t="inlineStr">
        <is>
          <t>ÖREBRO LÄN</t>
        </is>
      </c>
      <c r="E190" t="inlineStr">
        <is>
          <t>ÖREBRO</t>
        </is>
      </c>
      <c r="G190" t="n">
        <v>9.9</v>
      </c>
      <c r="H190" t="n">
        <v>0</v>
      </c>
      <c r="I190" t="n">
        <v>0</v>
      </c>
      <c r="J190" t="n">
        <v>0</v>
      </c>
      <c r="K190" t="n">
        <v>0</v>
      </c>
      <c r="L190" t="n">
        <v>0</v>
      </c>
      <c r="M190" t="n">
        <v>0</v>
      </c>
      <c r="N190" t="n">
        <v>0</v>
      </c>
      <c r="O190" t="n">
        <v>0</v>
      </c>
      <c r="P190" t="n">
        <v>0</v>
      </c>
      <c r="Q190" t="n">
        <v>0</v>
      </c>
      <c r="R190" s="2" t="inlineStr"/>
    </row>
    <row r="191" ht="15" customHeight="1">
      <c r="A191" t="inlineStr">
        <is>
          <t>A 8022-2022</t>
        </is>
      </c>
      <c r="B191" s="1" t="n">
        <v>44609</v>
      </c>
      <c r="C191" s="1" t="n">
        <v>46136</v>
      </c>
      <c r="D191" t="inlineStr">
        <is>
          <t>ÖREBRO LÄN</t>
        </is>
      </c>
      <c r="E191" t="inlineStr">
        <is>
          <t>ÖREBRO</t>
        </is>
      </c>
      <c r="G191" t="n">
        <v>5.6</v>
      </c>
      <c r="H191" t="n">
        <v>0</v>
      </c>
      <c r="I191" t="n">
        <v>0</v>
      </c>
      <c r="J191" t="n">
        <v>0</v>
      </c>
      <c r="K191" t="n">
        <v>0</v>
      </c>
      <c r="L191" t="n">
        <v>0</v>
      </c>
      <c r="M191" t="n">
        <v>0</v>
      </c>
      <c r="N191" t="n">
        <v>0</v>
      </c>
      <c r="O191" t="n">
        <v>0</v>
      </c>
      <c r="P191" t="n">
        <v>0</v>
      </c>
      <c r="Q191" t="n">
        <v>0</v>
      </c>
      <c r="R191" s="2" t="inlineStr"/>
    </row>
    <row r="192" ht="15" customHeight="1">
      <c r="A192" t="inlineStr">
        <is>
          <t>A 47193-2023</t>
        </is>
      </c>
      <c r="B192" s="1" t="n">
        <v>45202.3074537037</v>
      </c>
      <c r="C192" s="1" t="n">
        <v>46136</v>
      </c>
      <c r="D192" t="inlineStr">
        <is>
          <t>ÖREBRO LÄN</t>
        </is>
      </c>
      <c r="E192" t="inlineStr">
        <is>
          <t>ÖREBRO</t>
        </is>
      </c>
      <c r="G192" t="n">
        <v>2.4</v>
      </c>
      <c r="H192" t="n">
        <v>0</v>
      </c>
      <c r="I192" t="n">
        <v>0</v>
      </c>
      <c r="J192" t="n">
        <v>0</v>
      </c>
      <c r="K192" t="n">
        <v>0</v>
      </c>
      <c r="L192" t="n">
        <v>0</v>
      </c>
      <c r="M192" t="n">
        <v>0</v>
      </c>
      <c r="N192" t="n">
        <v>0</v>
      </c>
      <c r="O192" t="n">
        <v>0</v>
      </c>
      <c r="P192" t="n">
        <v>0</v>
      </c>
      <c r="Q192" t="n">
        <v>0</v>
      </c>
      <c r="R192" s="2" t="inlineStr"/>
    </row>
    <row r="193" ht="15" customHeight="1">
      <c r="A193" t="inlineStr">
        <is>
          <t>A 59515-2025</t>
        </is>
      </c>
      <c r="B193" s="1" t="n">
        <v>45989.65238425926</v>
      </c>
      <c r="C193" s="1" t="n">
        <v>46136</v>
      </c>
      <c r="D193" t="inlineStr">
        <is>
          <t>ÖREBRO LÄN</t>
        </is>
      </c>
      <c r="E193" t="inlineStr">
        <is>
          <t>ÖREBRO</t>
        </is>
      </c>
      <c r="F193" t="inlineStr">
        <is>
          <t>Sveaskog</t>
        </is>
      </c>
      <c r="G193" t="n">
        <v>0.5</v>
      </c>
      <c r="H193" t="n">
        <v>0</v>
      </c>
      <c r="I193" t="n">
        <v>0</v>
      </c>
      <c r="J193" t="n">
        <v>0</v>
      </c>
      <c r="K193" t="n">
        <v>0</v>
      </c>
      <c r="L193" t="n">
        <v>0</v>
      </c>
      <c r="M193" t="n">
        <v>0</v>
      </c>
      <c r="N193" t="n">
        <v>0</v>
      </c>
      <c r="O193" t="n">
        <v>0</v>
      </c>
      <c r="P193" t="n">
        <v>0</v>
      </c>
      <c r="Q193" t="n">
        <v>0</v>
      </c>
      <c r="R193" s="2" t="inlineStr"/>
    </row>
    <row r="194" ht="15" customHeight="1">
      <c r="A194" t="inlineStr">
        <is>
          <t>A 2970-2026</t>
        </is>
      </c>
      <c r="B194" s="1" t="n">
        <v>46038.6202662037</v>
      </c>
      <c r="C194" s="1" t="n">
        <v>46136</v>
      </c>
      <c r="D194" t="inlineStr">
        <is>
          <t>ÖREBRO LÄN</t>
        </is>
      </c>
      <c r="E194" t="inlineStr">
        <is>
          <t>ÖREBRO</t>
        </is>
      </c>
      <c r="F194" t="inlineStr">
        <is>
          <t>Övriga Aktiebolag</t>
        </is>
      </c>
      <c r="G194" t="n">
        <v>0.6</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46136</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27220-2025</t>
        </is>
      </c>
      <c r="B196" s="1" t="n">
        <v>45812.42293981482</v>
      </c>
      <c r="C196" s="1" t="n">
        <v>46136</v>
      </c>
      <c r="D196" t="inlineStr">
        <is>
          <t>ÖREBRO LÄN</t>
        </is>
      </c>
      <c r="E196" t="inlineStr">
        <is>
          <t>ÖREBRO</t>
        </is>
      </c>
      <c r="G196" t="n">
        <v>0.6</v>
      </c>
      <c r="H196" t="n">
        <v>0</v>
      </c>
      <c r="I196" t="n">
        <v>0</v>
      </c>
      <c r="J196" t="n">
        <v>0</v>
      </c>
      <c r="K196" t="n">
        <v>0</v>
      </c>
      <c r="L196" t="n">
        <v>0</v>
      </c>
      <c r="M196" t="n">
        <v>0</v>
      </c>
      <c r="N196" t="n">
        <v>0</v>
      </c>
      <c r="O196" t="n">
        <v>0</v>
      </c>
      <c r="P196" t="n">
        <v>0</v>
      </c>
      <c r="Q196" t="n">
        <v>0</v>
      </c>
      <c r="R196" s="2" t="inlineStr"/>
    </row>
    <row r="197" ht="15" customHeight="1">
      <c r="A197" t="inlineStr">
        <is>
          <t>A 3031-2026</t>
        </is>
      </c>
      <c r="B197" s="1" t="n">
        <v>46038.71271990741</v>
      </c>
      <c r="C197" s="1" t="n">
        <v>46136</v>
      </c>
      <c r="D197" t="inlineStr">
        <is>
          <t>ÖREBRO LÄN</t>
        </is>
      </c>
      <c r="E197" t="inlineStr">
        <is>
          <t>ÖREBRO</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3033-2026</t>
        </is>
      </c>
      <c r="B198" s="1" t="n">
        <v>46038.71920138889</v>
      </c>
      <c r="C198" s="1" t="n">
        <v>46136</v>
      </c>
      <c r="D198" t="inlineStr">
        <is>
          <t>ÖREBRO LÄN</t>
        </is>
      </c>
      <c r="E198" t="inlineStr">
        <is>
          <t>ÖREBRO</t>
        </is>
      </c>
      <c r="F198" t="inlineStr">
        <is>
          <t>Övriga Aktiebolag</t>
        </is>
      </c>
      <c r="G198" t="n">
        <v>3.4</v>
      </c>
      <c r="H198" t="n">
        <v>0</v>
      </c>
      <c r="I198" t="n">
        <v>0</v>
      </c>
      <c r="J198" t="n">
        <v>0</v>
      </c>
      <c r="K198" t="n">
        <v>0</v>
      </c>
      <c r="L198" t="n">
        <v>0</v>
      </c>
      <c r="M198" t="n">
        <v>0</v>
      </c>
      <c r="N198" t="n">
        <v>0</v>
      </c>
      <c r="O198" t="n">
        <v>0</v>
      </c>
      <c r="P198" t="n">
        <v>0</v>
      </c>
      <c r="Q198" t="n">
        <v>0</v>
      </c>
      <c r="R198" s="2" t="inlineStr"/>
    </row>
    <row r="199" ht="15" customHeight="1">
      <c r="A199" t="inlineStr">
        <is>
          <t>A 3042-2026</t>
        </is>
      </c>
      <c r="B199" s="1" t="n">
        <v>46038.73467592592</v>
      </c>
      <c r="C199" s="1" t="n">
        <v>46136</v>
      </c>
      <c r="D199" t="inlineStr">
        <is>
          <t>ÖREBRO LÄN</t>
        </is>
      </c>
      <c r="E199" t="inlineStr">
        <is>
          <t>ÖREBRO</t>
        </is>
      </c>
      <c r="F199" t="inlineStr">
        <is>
          <t>Övriga Aktiebolag</t>
        </is>
      </c>
      <c r="G199" t="n">
        <v>1</v>
      </c>
      <c r="H199" t="n">
        <v>0</v>
      </c>
      <c r="I199" t="n">
        <v>0</v>
      </c>
      <c r="J199" t="n">
        <v>0</v>
      </c>
      <c r="K199" t="n">
        <v>0</v>
      </c>
      <c r="L199" t="n">
        <v>0</v>
      </c>
      <c r="M199" t="n">
        <v>0</v>
      </c>
      <c r="N199" t="n">
        <v>0</v>
      </c>
      <c r="O199" t="n">
        <v>0</v>
      </c>
      <c r="P199" t="n">
        <v>0</v>
      </c>
      <c r="Q199" t="n">
        <v>0</v>
      </c>
      <c r="R199" s="2" t="inlineStr"/>
    </row>
    <row r="200" ht="15" customHeight="1">
      <c r="A200" t="inlineStr">
        <is>
          <t>A 71206-2021</t>
        </is>
      </c>
      <c r="B200" s="1" t="n">
        <v>44539</v>
      </c>
      <c r="C200" s="1" t="n">
        <v>46136</v>
      </c>
      <c r="D200" t="inlineStr">
        <is>
          <t>ÖREBRO LÄN</t>
        </is>
      </c>
      <c r="E200" t="inlineStr">
        <is>
          <t>ÖREBRO</t>
        </is>
      </c>
      <c r="G200" t="n">
        <v>2.5</v>
      </c>
      <c r="H200" t="n">
        <v>0</v>
      </c>
      <c r="I200" t="n">
        <v>0</v>
      </c>
      <c r="J200" t="n">
        <v>0</v>
      </c>
      <c r="K200" t="n">
        <v>0</v>
      </c>
      <c r="L200" t="n">
        <v>0</v>
      </c>
      <c r="M200" t="n">
        <v>0</v>
      </c>
      <c r="N200" t="n">
        <v>0</v>
      </c>
      <c r="O200" t="n">
        <v>0</v>
      </c>
      <c r="P200" t="n">
        <v>0</v>
      </c>
      <c r="Q200" t="n">
        <v>0</v>
      </c>
      <c r="R200" s="2" t="inlineStr"/>
    </row>
    <row r="201" ht="15" customHeight="1">
      <c r="A201" t="inlineStr">
        <is>
          <t>A 27180-2025</t>
        </is>
      </c>
      <c r="B201" s="1" t="n">
        <v>45812.35736111111</v>
      </c>
      <c r="C201" s="1" t="n">
        <v>46136</v>
      </c>
      <c r="D201" t="inlineStr">
        <is>
          <t>ÖREBRO LÄN</t>
        </is>
      </c>
      <c r="E201" t="inlineStr">
        <is>
          <t>ÖREBRO</t>
        </is>
      </c>
      <c r="G201" t="n">
        <v>1.3</v>
      </c>
      <c r="H201" t="n">
        <v>0</v>
      </c>
      <c r="I201" t="n">
        <v>0</v>
      </c>
      <c r="J201" t="n">
        <v>0</v>
      </c>
      <c r="K201" t="n">
        <v>0</v>
      </c>
      <c r="L201" t="n">
        <v>0</v>
      </c>
      <c r="M201" t="n">
        <v>0</v>
      </c>
      <c r="N201" t="n">
        <v>0</v>
      </c>
      <c r="O201" t="n">
        <v>0</v>
      </c>
      <c r="P201" t="n">
        <v>0</v>
      </c>
      <c r="Q201" t="n">
        <v>0</v>
      </c>
      <c r="R201" s="2" t="inlineStr"/>
    </row>
    <row r="202" ht="15" customHeight="1">
      <c r="A202" t="inlineStr">
        <is>
          <t>A 27215-2025</t>
        </is>
      </c>
      <c r="B202" s="1" t="n">
        <v>45812.41869212963</v>
      </c>
      <c r="C202" s="1" t="n">
        <v>46136</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27225-2025</t>
        </is>
      </c>
      <c r="B203" s="1" t="n">
        <v>45812.42856481481</v>
      </c>
      <c r="C203" s="1" t="n">
        <v>46136</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3111-2026</t>
        </is>
      </c>
      <c r="B204" s="1" t="n">
        <v>46041.36004629629</v>
      </c>
      <c r="C204" s="1" t="n">
        <v>46136</v>
      </c>
      <c r="D204" t="inlineStr">
        <is>
          <t>ÖREBRO LÄN</t>
        </is>
      </c>
      <c r="E204" t="inlineStr">
        <is>
          <t>ÖREBRO</t>
        </is>
      </c>
      <c r="F204" t="inlineStr">
        <is>
          <t>Övriga Aktiebolag</t>
        </is>
      </c>
      <c r="G204" t="n">
        <v>8.6</v>
      </c>
      <c r="H204" t="n">
        <v>0</v>
      </c>
      <c r="I204" t="n">
        <v>0</v>
      </c>
      <c r="J204" t="n">
        <v>0</v>
      </c>
      <c r="K204" t="n">
        <v>0</v>
      </c>
      <c r="L204" t="n">
        <v>0</v>
      </c>
      <c r="M204" t="n">
        <v>0</v>
      </c>
      <c r="N204" t="n">
        <v>0</v>
      </c>
      <c r="O204" t="n">
        <v>0</v>
      </c>
      <c r="P204" t="n">
        <v>0</v>
      </c>
      <c r="Q204" t="n">
        <v>0</v>
      </c>
      <c r="R204" s="2" t="inlineStr"/>
    </row>
    <row r="205" ht="15" customHeight="1">
      <c r="A205" t="inlineStr">
        <is>
          <t>A 16739-2022</t>
        </is>
      </c>
      <c r="B205" s="1" t="n">
        <v>44673</v>
      </c>
      <c r="C205" s="1" t="n">
        <v>46136</v>
      </c>
      <c r="D205" t="inlineStr">
        <is>
          <t>ÖREBRO LÄN</t>
        </is>
      </c>
      <c r="E205" t="inlineStr">
        <is>
          <t>ÖREBRO</t>
        </is>
      </c>
      <c r="G205" t="n">
        <v>4.7</v>
      </c>
      <c r="H205" t="n">
        <v>0</v>
      </c>
      <c r="I205" t="n">
        <v>0</v>
      </c>
      <c r="J205" t="n">
        <v>0</v>
      </c>
      <c r="K205" t="n">
        <v>0</v>
      </c>
      <c r="L205" t="n">
        <v>0</v>
      </c>
      <c r="M205" t="n">
        <v>0</v>
      </c>
      <c r="N205" t="n">
        <v>0</v>
      </c>
      <c r="O205" t="n">
        <v>0</v>
      </c>
      <c r="P205" t="n">
        <v>0</v>
      </c>
      <c r="Q205" t="n">
        <v>0</v>
      </c>
      <c r="R205" s="2" t="inlineStr"/>
    </row>
    <row r="206" ht="15" customHeight="1">
      <c r="A206" t="inlineStr">
        <is>
          <t>A 3252-2026</t>
        </is>
      </c>
      <c r="B206" s="1" t="n">
        <v>46041.58626157408</v>
      </c>
      <c r="C206" s="1" t="n">
        <v>46136</v>
      </c>
      <c r="D206" t="inlineStr">
        <is>
          <t>ÖREBRO LÄN</t>
        </is>
      </c>
      <c r="E206" t="inlineStr">
        <is>
          <t>ÖREBRO</t>
        </is>
      </c>
      <c r="F206" t="inlineStr">
        <is>
          <t>Övriga Aktiebolag</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9379-2024</t>
        </is>
      </c>
      <c r="B207" s="1" t="n">
        <v>45359.37298611111</v>
      </c>
      <c r="C207" s="1" t="n">
        <v>46136</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5398-2022</t>
        </is>
      </c>
      <c r="B208" s="1" t="n">
        <v>44595.3353587963</v>
      </c>
      <c r="C208" s="1" t="n">
        <v>46136</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28120-2025</t>
        </is>
      </c>
      <c r="B209" s="1" t="n">
        <v>45818.30459490741</v>
      </c>
      <c r="C209" s="1" t="n">
        <v>46136</v>
      </c>
      <c r="D209" t="inlineStr">
        <is>
          <t>ÖREBRO LÄN</t>
        </is>
      </c>
      <c r="E209" t="inlineStr">
        <is>
          <t>ÖREBRO</t>
        </is>
      </c>
      <c r="G209" t="n">
        <v>1.5</v>
      </c>
      <c r="H209" t="n">
        <v>0</v>
      </c>
      <c r="I209" t="n">
        <v>0</v>
      </c>
      <c r="J209" t="n">
        <v>0</v>
      </c>
      <c r="K209" t="n">
        <v>0</v>
      </c>
      <c r="L209" t="n">
        <v>0</v>
      </c>
      <c r="M209" t="n">
        <v>0</v>
      </c>
      <c r="N209" t="n">
        <v>0</v>
      </c>
      <c r="O209" t="n">
        <v>0</v>
      </c>
      <c r="P209" t="n">
        <v>0</v>
      </c>
      <c r="Q209" t="n">
        <v>0</v>
      </c>
      <c r="R209" s="2" t="inlineStr"/>
    </row>
    <row r="210" ht="15" customHeight="1">
      <c r="A210" t="inlineStr">
        <is>
          <t>A 3944-2026</t>
        </is>
      </c>
      <c r="B210" s="1" t="n">
        <v>46043.93358796297</v>
      </c>
      <c r="C210" s="1" t="n">
        <v>46136</v>
      </c>
      <c r="D210" t="inlineStr">
        <is>
          <t>ÖREBRO LÄN</t>
        </is>
      </c>
      <c r="E210" t="inlineStr">
        <is>
          <t>ÖREBRO</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41995-2024</t>
        </is>
      </c>
      <c r="B211" s="1" t="n">
        <v>45561.6475462963</v>
      </c>
      <c r="C211" s="1" t="n">
        <v>46136</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41678-2024</t>
        </is>
      </c>
      <c r="B212" s="1" t="n">
        <v>45560</v>
      </c>
      <c r="C212" s="1" t="n">
        <v>46136</v>
      </c>
      <c r="D212" t="inlineStr">
        <is>
          <t>ÖREBRO LÄN</t>
        </is>
      </c>
      <c r="E212" t="inlineStr">
        <is>
          <t>ÖREBRO</t>
        </is>
      </c>
      <c r="G212" t="n">
        <v>11.3</v>
      </c>
      <c r="H212" t="n">
        <v>0</v>
      </c>
      <c r="I212" t="n">
        <v>0</v>
      </c>
      <c r="J212" t="n">
        <v>0</v>
      </c>
      <c r="K212" t="n">
        <v>0</v>
      </c>
      <c r="L212" t="n">
        <v>0</v>
      </c>
      <c r="M212" t="n">
        <v>0</v>
      </c>
      <c r="N212" t="n">
        <v>0</v>
      </c>
      <c r="O212" t="n">
        <v>0</v>
      </c>
      <c r="P212" t="n">
        <v>0</v>
      </c>
      <c r="Q212" t="n">
        <v>0</v>
      </c>
      <c r="R212" s="2" t="inlineStr"/>
    </row>
    <row r="213" ht="15" customHeight="1">
      <c r="A213" t="inlineStr">
        <is>
          <t>A 16737-2023</t>
        </is>
      </c>
      <c r="B213" s="1" t="n">
        <v>45030.72472222222</v>
      </c>
      <c r="C213" s="1" t="n">
        <v>46136</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15866-2022</t>
        </is>
      </c>
      <c r="B214" s="1" t="n">
        <v>44664</v>
      </c>
      <c r="C214" s="1" t="n">
        <v>46136</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2318-2023</t>
        </is>
      </c>
      <c r="B215" s="1" t="n">
        <v>44942</v>
      </c>
      <c r="C215" s="1" t="n">
        <v>46136</v>
      </c>
      <c r="D215" t="inlineStr">
        <is>
          <t>ÖREBRO LÄN</t>
        </is>
      </c>
      <c r="E215" t="inlineStr">
        <is>
          <t>ÖREBRO</t>
        </is>
      </c>
      <c r="G215" t="n">
        <v>1.9</v>
      </c>
      <c r="H215" t="n">
        <v>0</v>
      </c>
      <c r="I215" t="n">
        <v>0</v>
      </c>
      <c r="J215" t="n">
        <v>0</v>
      </c>
      <c r="K215" t="n">
        <v>0</v>
      </c>
      <c r="L215" t="n">
        <v>0</v>
      </c>
      <c r="M215" t="n">
        <v>0</v>
      </c>
      <c r="N215" t="n">
        <v>0</v>
      </c>
      <c r="O215" t="n">
        <v>0</v>
      </c>
      <c r="P215" t="n">
        <v>0</v>
      </c>
      <c r="Q215" t="n">
        <v>0</v>
      </c>
      <c r="R215" s="2" t="inlineStr"/>
    </row>
    <row r="216" ht="15" customHeight="1">
      <c r="A216" t="inlineStr">
        <is>
          <t>A 5764-2022</t>
        </is>
      </c>
      <c r="B216" s="1" t="n">
        <v>44596</v>
      </c>
      <c r="C216" s="1" t="n">
        <v>46136</v>
      </c>
      <c r="D216" t="inlineStr">
        <is>
          <t>ÖREBRO LÄN</t>
        </is>
      </c>
      <c r="E216" t="inlineStr">
        <is>
          <t>ÖREBRO</t>
        </is>
      </c>
      <c r="G216" t="n">
        <v>3.5</v>
      </c>
      <c r="H216" t="n">
        <v>0</v>
      </c>
      <c r="I216" t="n">
        <v>0</v>
      </c>
      <c r="J216" t="n">
        <v>0</v>
      </c>
      <c r="K216" t="n">
        <v>0</v>
      </c>
      <c r="L216" t="n">
        <v>0</v>
      </c>
      <c r="M216" t="n">
        <v>0</v>
      </c>
      <c r="N216" t="n">
        <v>0</v>
      </c>
      <c r="O216" t="n">
        <v>0</v>
      </c>
      <c r="P216" t="n">
        <v>0</v>
      </c>
      <c r="Q216" t="n">
        <v>0</v>
      </c>
      <c r="R216" s="2" t="inlineStr"/>
    </row>
    <row r="217" ht="15" customHeight="1">
      <c r="A217" t="inlineStr">
        <is>
          <t>A 28938-2025</t>
        </is>
      </c>
      <c r="B217" s="1" t="n">
        <v>45820.70626157407</v>
      </c>
      <c r="C217" s="1" t="n">
        <v>46136</v>
      </c>
      <c r="D217" t="inlineStr">
        <is>
          <t>ÖREBRO LÄN</t>
        </is>
      </c>
      <c r="E217" t="inlineStr">
        <is>
          <t>ÖREBRO</t>
        </is>
      </c>
      <c r="G217" t="n">
        <v>1.9</v>
      </c>
      <c r="H217" t="n">
        <v>0</v>
      </c>
      <c r="I217" t="n">
        <v>0</v>
      </c>
      <c r="J217" t="n">
        <v>0</v>
      </c>
      <c r="K217" t="n">
        <v>0</v>
      </c>
      <c r="L217" t="n">
        <v>0</v>
      </c>
      <c r="M217" t="n">
        <v>0</v>
      </c>
      <c r="N217" t="n">
        <v>0</v>
      </c>
      <c r="O217" t="n">
        <v>0</v>
      </c>
      <c r="P217" t="n">
        <v>0</v>
      </c>
      <c r="Q217" t="n">
        <v>0</v>
      </c>
      <c r="R217" s="2" t="inlineStr"/>
    </row>
    <row r="218" ht="15" customHeight="1">
      <c r="A218" t="inlineStr">
        <is>
          <t>A 45027-2024</t>
        </is>
      </c>
      <c r="B218" s="1" t="n">
        <v>45575</v>
      </c>
      <c r="C218" s="1" t="n">
        <v>46136</v>
      </c>
      <c r="D218" t="inlineStr">
        <is>
          <t>ÖREBRO LÄN</t>
        </is>
      </c>
      <c r="E218" t="inlineStr">
        <is>
          <t>ÖREBRO</t>
        </is>
      </c>
      <c r="G218" t="n">
        <v>6.3</v>
      </c>
      <c r="H218" t="n">
        <v>0</v>
      </c>
      <c r="I218" t="n">
        <v>0</v>
      </c>
      <c r="J218" t="n">
        <v>0</v>
      </c>
      <c r="K218" t="n">
        <v>0</v>
      </c>
      <c r="L218" t="n">
        <v>0</v>
      </c>
      <c r="M218" t="n">
        <v>0</v>
      </c>
      <c r="N218" t="n">
        <v>0</v>
      </c>
      <c r="O218" t="n">
        <v>0</v>
      </c>
      <c r="P218" t="n">
        <v>0</v>
      </c>
      <c r="Q218" t="n">
        <v>0</v>
      </c>
      <c r="R218" s="2" t="inlineStr"/>
    </row>
    <row r="219" ht="15" customHeight="1">
      <c r="A219" t="inlineStr">
        <is>
          <t>A 40051-2024</t>
        </is>
      </c>
      <c r="B219" s="1" t="n">
        <v>45553</v>
      </c>
      <c r="C219" s="1" t="n">
        <v>46136</v>
      </c>
      <c r="D219" t="inlineStr">
        <is>
          <t>ÖREBRO LÄN</t>
        </is>
      </c>
      <c r="E219" t="inlineStr">
        <is>
          <t>ÖREBRO</t>
        </is>
      </c>
      <c r="G219" t="n">
        <v>3.5</v>
      </c>
      <c r="H219" t="n">
        <v>0</v>
      </c>
      <c r="I219" t="n">
        <v>0</v>
      </c>
      <c r="J219" t="n">
        <v>0</v>
      </c>
      <c r="K219" t="n">
        <v>0</v>
      </c>
      <c r="L219" t="n">
        <v>0</v>
      </c>
      <c r="M219" t="n">
        <v>0</v>
      </c>
      <c r="N219" t="n">
        <v>0</v>
      </c>
      <c r="O219" t="n">
        <v>0</v>
      </c>
      <c r="P219" t="n">
        <v>0</v>
      </c>
      <c r="Q219" t="n">
        <v>0</v>
      </c>
      <c r="R219" s="2" t="inlineStr"/>
    </row>
    <row r="220" ht="15" customHeight="1">
      <c r="A220" t="inlineStr">
        <is>
          <t>A 28920-2025</t>
        </is>
      </c>
      <c r="B220" s="1" t="n">
        <v>45820.66532407407</v>
      </c>
      <c r="C220" s="1" t="n">
        <v>46136</v>
      </c>
      <c r="D220" t="inlineStr">
        <is>
          <t>ÖREBRO LÄN</t>
        </is>
      </c>
      <c r="E220" t="inlineStr">
        <is>
          <t>ÖREBRO</t>
        </is>
      </c>
      <c r="G220" t="n">
        <v>3</v>
      </c>
      <c r="H220" t="n">
        <v>0</v>
      </c>
      <c r="I220" t="n">
        <v>0</v>
      </c>
      <c r="J220" t="n">
        <v>0</v>
      </c>
      <c r="K220" t="n">
        <v>0</v>
      </c>
      <c r="L220" t="n">
        <v>0</v>
      </c>
      <c r="M220" t="n">
        <v>0</v>
      </c>
      <c r="N220" t="n">
        <v>0</v>
      </c>
      <c r="O220" t="n">
        <v>0</v>
      </c>
      <c r="P220" t="n">
        <v>0</v>
      </c>
      <c r="Q220" t="n">
        <v>0</v>
      </c>
      <c r="R220" s="2" t="inlineStr"/>
    </row>
    <row r="221" ht="15" customHeight="1">
      <c r="A221" t="inlineStr">
        <is>
          <t>A 41543-2024</t>
        </is>
      </c>
      <c r="B221" s="1" t="n">
        <v>45560</v>
      </c>
      <c r="C221" s="1" t="n">
        <v>46136</v>
      </c>
      <c r="D221" t="inlineStr">
        <is>
          <t>ÖREBRO LÄN</t>
        </is>
      </c>
      <c r="E221" t="inlineStr">
        <is>
          <t>ÖREBRO</t>
        </is>
      </c>
      <c r="G221" t="n">
        <v>2.8</v>
      </c>
      <c r="H221" t="n">
        <v>0</v>
      </c>
      <c r="I221" t="n">
        <v>0</v>
      </c>
      <c r="J221" t="n">
        <v>0</v>
      </c>
      <c r="K221" t="n">
        <v>0</v>
      </c>
      <c r="L221" t="n">
        <v>0</v>
      </c>
      <c r="M221" t="n">
        <v>0</v>
      </c>
      <c r="N221" t="n">
        <v>0</v>
      </c>
      <c r="O221" t="n">
        <v>0</v>
      </c>
      <c r="P221" t="n">
        <v>0</v>
      </c>
      <c r="Q221" t="n">
        <v>0</v>
      </c>
      <c r="R221" s="2" t="inlineStr"/>
    </row>
    <row r="222" ht="15" customHeight="1">
      <c r="A222" t="inlineStr">
        <is>
          <t>A 10799-2024</t>
        </is>
      </c>
      <c r="B222" s="1" t="n">
        <v>45369</v>
      </c>
      <c r="C222" s="1" t="n">
        <v>46136</v>
      </c>
      <c r="D222" t="inlineStr">
        <is>
          <t>ÖREBRO LÄN</t>
        </is>
      </c>
      <c r="E222" t="inlineStr">
        <is>
          <t>ÖREBRO</t>
        </is>
      </c>
      <c r="G222" t="n">
        <v>5.8</v>
      </c>
      <c r="H222" t="n">
        <v>0</v>
      </c>
      <c r="I222" t="n">
        <v>0</v>
      </c>
      <c r="J222" t="n">
        <v>0</v>
      </c>
      <c r="K222" t="n">
        <v>0</v>
      </c>
      <c r="L222" t="n">
        <v>0</v>
      </c>
      <c r="M222" t="n">
        <v>0</v>
      </c>
      <c r="N222" t="n">
        <v>0</v>
      </c>
      <c r="O222" t="n">
        <v>0</v>
      </c>
      <c r="P222" t="n">
        <v>0</v>
      </c>
      <c r="Q222" t="n">
        <v>0</v>
      </c>
      <c r="R222" s="2" t="inlineStr"/>
    </row>
    <row r="223" ht="15" customHeight="1">
      <c r="A223" t="inlineStr">
        <is>
          <t>A 29286-2025</t>
        </is>
      </c>
      <c r="B223" s="1" t="n">
        <v>45824.43502314815</v>
      </c>
      <c r="C223" s="1" t="n">
        <v>46136</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16694-2025</t>
        </is>
      </c>
      <c r="B224" s="1" t="n">
        <v>45754.46480324074</v>
      </c>
      <c r="C224" s="1" t="n">
        <v>46136</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29339-2025</t>
        </is>
      </c>
      <c r="B225" s="1" t="n">
        <v>45824.5044212963</v>
      </c>
      <c r="C225" s="1" t="n">
        <v>46136</v>
      </c>
      <c r="D225" t="inlineStr">
        <is>
          <t>ÖREBRO LÄN</t>
        </is>
      </c>
      <c r="E225" t="inlineStr">
        <is>
          <t>ÖREBRO</t>
        </is>
      </c>
      <c r="G225" t="n">
        <v>4.3</v>
      </c>
      <c r="H225" t="n">
        <v>0</v>
      </c>
      <c r="I225" t="n">
        <v>0</v>
      </c>
      <c r="J225" t="n">
        <v>0</v>
      </c>
      <c r="K225" t="n">
        <v>0</v>
      </c>
      <c r="L225" t="n">
        <v>0</v>
      </c>
      <c r="M225" t="n">
        <v>0</v>
      </c>
      <c r="N225" t="n">
        <v>0</v>
      </c>
      <c r="O225" t="n">
        <v>0</v>
      </c>
      <c r="P225" t="n">
        <v>0</v>
      </c>
      <c r="Q225" t="n">
        <v>0</v>
      </c>
      <c r="R225" s="2" t="inlineStr"/>
    </row>
    <row r="226" ht="15" customHeight="1">
      <c r="A226" t="inlineStr">
        <is>
          <t>A 39003-2025</t>
        </is>
      </c>
      <c r="B226" s="1" t="n">
        <v>45888.34467592592</v>
      </c>
      <c r="C226" s="1" t="n">
        <v>46136</v>
      </c>
      <c r="D226" t="inlineStr">
        <is>
          <t>ÖREBRO LÄN</t>
        </is>
      </c>
      <c r="E226" t="inlineStr">
        <is>
          <t>ÖREBRO</t>
        </is>
      </c>
      <c r="G226" t="n">
        <v>3.7</v>
      </c>
      <c r="H226" t="n">
        <v>0</v>
      </c>
      <c r="I226" t="n">
        <v>0</v>
      </c>
      <c r="J226" t="n">
        <v>0</v>
      </c>
      <c r="K226" t="n">
        <v>0</v>
      </c>
      <c r="L226" t="n">
        <v>0</v>
      </c>
      <c r="M226" t="n">
        <v>0</v>
      </c>
      <c r="N226" t="n">
        <v>0</v>
      </c>
      <c r="O226" t="n">
        <v>0</v>
      </c>
      <c r="P226" t="n">
        <v>0</v>
      </c>
      <c r="Q226" t="n">
        <v>0</v>
      </c>
      <c r="R226" s="2" t="inlineStr"/>
    </row>
    <row r="227" ht="15" customHeight="1">
      <c r="A227" t="inlineStr">
        <is>
          <t>A 15422-2022</t>
        </is>
      </c>
      <c r="B227" s="1" t="n">
        <v>44659.63753472222</v>
      </c>
      <c r="C227" s="1" t="n">
        <v>46136</v>
      </c>
      <c r="D227" t="inlineStr">
        <is>
          <t>ÖREBRO LÄN</t>
        </is>
      </c>
      <c r="E227" t="inlineStr">
        <is>
          <t>ÖREBRO</t>
        </is>
      </c>
      <c r="G227" t="n">
        <v>2</v>
      </c>
      <c r="H227" t="n">
        <v>0</v>
      </c>
      <c r="I227" t="n">
        <v>0</v>
      </c>
      <c r="J227" t="n">
        <v>0</v>
      </c>
      <c r="K227" t="n">
        <v>0</v>
      </c>
      <c r="L227" t="n">
        <v>0</v>
      </c>
      <c r="M227" t="n">
        <v>0</v>
      </c>
      <c r="N227" t="n">
        <v>0</v>
      </c>
      <c r="O227" t="n">
        <v>0</v>
      </c>
      <c r="P227" t="n">
        <v>0</v>
      </c>
      <c r="Q227" t="n">
        <v>0</v>
      </c>
      <c r="R227" s="2" t="inlineStr"/>
    </row>
    <row r="228" ht="15" customHeight="1">
      <c r="A228" t="inlineStr">
        <is>
          <t>A 49465-2024</t>
        </is>
      </c>
      <c r="B228" s="1" t="n">
        <v>45596</v>
      </c>
      <c r="C228" s="1" t="n">
        <v>46136</v>
      </c>
      <c r="D228" t="inlineStr">
        <is>
          <t>ÖREBRO LÄN</t>
        </is>
      </c>
      <c r="E228" t="inlineStr">
        <is>
          <t>ÖREBRO</t>
        </is>
      </c>
      <c r="F228" t="inlineStr">
        <is>
          <t>Övriga Aktiebolag</t>
        </is>
      </c>
      <c r="G228" t="n">
        <v>21</v>
      </c>
      <c r="H228" t="n">
        <v>0</v>
      </c>
      <c r="I228" t="n">
        <v>0</v>
      </c>
      <c r="J228" t="n">
        <v>0</v>
      </c>
      <c r="K228" t="n">
        <v>0</v>
      </c>
      <c r="L228" t="n">
        <v>0</v>
      </c>
      <c r="M228" t="n">
        <v>0</v>
      </c>
      <c r="N228" t="n">
        <v>0</v>
      </c>
      <c r="O228" t="n">
        <v>0</v>
      </c>
      <c r="P228" t="n">
        <v>0</v>
      </c>
      <c r="Q228" t="n">
        <v>0</v>
      </c>
      <c r="R228" s="2" t="inlineStr"/>
    </row>
    <row r="229" ht="15" customHeight="1">
      <c r="A229" t="inlineStr">
        <is>
          <t>A 60059-2023</t>
        </is>
      </c>
      <c r="B229" s="1" t="n">
        <v>45258.38157407408</v>
      </c>
      <c r="C229" s="1" t="n">
        <v>46136</v>
      </c>
      <c r="D229" t="inlineStr">
        <is>
          <t>ÖREBRO LÄN</t>
        </is>
      </c>
      <c r="E229" t="inlineStr">
        <is>
          <t>ÖREBRO</t>
        </is>
      </c>
      <c r="G229" t="n">
        <v>4</v>
      </c>
      <c r="H229" t="n">
        <v>0</v>
      </c>
      <c r="I229" t="n">
        <v>0</v>
      </c>
      <c r="J229" t="n">
        <v>0</v>
      </c>
      <c r="K229" t="n">
        <v>0</v>
      </c>
      <c r="L229" t="n">
        <v>0</v>
      </c>
      <c r="M229" t="n">
        <v>0</v>
      </c>
      <c r="N229" t="n">
        <v>0</v>
      </c>
      <c r="O229" t="n">
        <v>0</v>
      </c>
      <c r="P229" t="n">
        <v>0</v>
      </c>
      <c r="Q229" t="n">
        <v>0</v>
      </c>
      <c r="R229" s="2" t="inlineStr"/>
    </row>
    <row r="230" ht="15" customHeight="1">
      <c r="A230" t="inlineStr">
        <is>
          <t>A 13418-2024</t>
        </is>
      </c>
      <c r="B230" s="1" t="n">
        <v>45387.46482638889</v>
      </c>
      <c r="C230" s="1" t="n">
        <v>46136</v>
      </c>
      <c r="D230" t="inlineStr">
        <is>
          <t>ÖREBRO LÄN</t>
        </is>
      </c>
      <c r="E230" t="inlineStr">
        <is>
          <t>ÖREBRO</t>
        </is>
      </c>
      <c r="G230" t="n">
        <v>4.2</v>
      </c>
      <c r="H230" t="n">
        <v>0</v>
      </c>
      <c r="I230" t="n">
        <v>0</v>
      </c>
      <c r="J230" t="n">
        <v>0</v>
      </c>
      <c r="K230" t="n">
        <v>0</v>
      </c>
      <c r="L230" t="n">
        <v>0</v>
      </c>
      <c r="M230" t="n">
        <v>0</v>
      </c>
      <c r="N230" t="n">
        <v>0</v>
      </c>
      <c r="O230" t="n">
        <v>0</v>
      </c>
      <c r="P230" t="n">
        <v>0</v>
      </c>
      <c r="Q230" t="n">
        <v>0</v>
      </c>
      <c r="R230" s="2" t="inlineStr"/>
    </row>
    <row r="231" ht="15" customHeight="1">
      <c r="A231" t="inlineStr">
        <is>
          <t>A 26858-2024</t>
        </is>
      </c>
      <c r="B231" s="1" t="n">
        <v>45470</v>
      </c>
      <c r="C231" s="1" t="n">
        <v>46136</v>
      </c>
      <c r="D231" t="inlineStr">
        <is>
          <t>ÖREBRO LÄN</t>
        </is>
      </c>
      <c r="E231" t="inlineStr">
        <is>
          <t>ÖREBRO</t>
        </is>
      </c>
      <c r="G231" t="n">
        <v>2.3</v>
      </c>
      <c r="H231" t="n">
        <v>0</v>
      </c>
      <c r="I231" t="n">
        <v>0</v>
      </c>
      <c r="J231" t="n">
        <v>0</v>
      </c>
      <c r="K231" t="n">
        <v>0</v>
      </c>
      <c r="L231" t="n">
        <v>0</v>
      </c>
      <c r="M231" t="n">
        <v>0</v>
      </c>
      <c r="N231" t="n">
        <v>0</v>
      </c>
      <c r="O231" t="n">
        <v>0</v>
      </c>
      <c r="P231" t="n">
        <v>0</v>
      </c>
      <c r="Q231" t="n">
        <v>0</v>
      </c>
      <c r="R231" s="2" t="inlineStr"/>
    </row>
    <row r="232" ht="15" customHeight="1">
      <c r="A232" t="inlineStr">
        <is>
          <t>A 46323-2024</t>
        </is>
      </c>
      <c r="B232" s="1" t="n">
        <v>45581.84538194445</v>
      </c>
      <c r="C232" s="1" t="n">
        <v>46136</v>
      </c>
      <c r="D232" t="inlineStr">
        <is>
          <t>ÖREBRO LÄN</t>
        </is>
      </c>
      <c r="E232" t="inlineStr">
        <is>
          <t>ÖREBRO</t>
        </is>
      </c>
      <c r="F232" t="inlineStr">
        <is>
          <t>Övriga Aktiebolag</t>
        </is>
      </c>
      <c r="G232" t="n">
        <v>1.4</v>
      </c>
      <c r="H232" t="n">
        <v>0</v>
      </c>
      <c r="I232" t="n">
        <v>0</v>
      </c>
      <c r="J232" t="n">
        <v>0</v>
      </c>
      <c r="K232" t="n">
        <v>0</v>
      </c>
      <c r="L232" t="n">
        <v>0</v>
      </c>
      <c r="M232" t="n">
        <v>0</v>
      </c>
      <c r="N232" t="n">
        <v>0</v>
      </c>
      <c r="O232" t="n">
        <v>0</v>
      </c>
      <c r="P232" t="n">
        <v>0</v>
      </c>
      <c r="Q232" t="n">
        <v>0</v>
      </c>
      <c r="R232" s="2" t="inlineStr"/>
    </row>
    <row r="233" ht="15" customHeight="1">
      <c r="A233" t="inlineStr">
        <is>
          <t>A 29701-2025</t>
        </is>
      </c>
      <c r="B233" s="1" t="n">
        <v>45825.55261574074</v>
      </c>
      <c r="C233" s="1" t="n">
        <v>46136</v>
      </c>
      <c r="D233" t="inlineStr">
        <is>
          <t>ÖREBRO LÄN</t>
        </is>
      </c>
      <c r="E233" t="inlineStr">
        <is>
          <t>ÖREBRO</t>
        </is>
      </c>
      <c r="G233" t="n">
        <v>5.8</v>
      </c>
      <c r="H233" t="n">
        <v>0</v>
      </c>
      <c r="I233" t="n">
        <v>0</v>
      </c>
      <c r="J233" t="n">
        <v>0</v>
      </c>
      <c r="K233" t="n">
        <v>0</v>
      </c>
      <c r="L233" t="n">
        <v>0</v>
      </c>
      <c r="M233" t="n">
        <v>0</v>
      </c>
      <c r="N233" t="n">
        <v>0</v>
      </c>
      <c r="O233" t="n">
        <v>0</v>
      </c>
      <c r="P233" t="n">
        <v>0</v>
      </c>
      <c r="Q233" t="n">
        <v>0</v>
      </c>
      <c r="R233" s="2" t="inlineStr"/>
    </row>
    <row r="234" ht="15" customHeight="1">
      <c r="A234" t="inlineStr">
        <is>
          <t>A 59121-2024</t>
        </is>
      </c>
      <c r="B234" s="1" t="n">
        <v>45637.37755787037</v>
      </c>
      <c r="C234" s="1" t="n">
        <v>46136</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49215-2023</t>
        </is>
      </c>
      <c r="B235" s="1" t="n">
        <v>45210.61050925926</v>
      </c>
      <c r="C235" s="1" t="n">
        <v>46136</v>
      </c>
      <c r="D235" t="inlineStr">
        <is>
          <t>ÖREBRO LÄN</t>
        </is>
      </c>
      <c r="E235" t="inlineStr">
        <is>
          <t>ÖREBRO</t>
        </is>
      </c>
      <c r="F235" t="inlineStr">
        <is>
          <t>Övriga Aktiebolag</t>
        </is>
      </c>
      <c r="G235" t="n">
        <v>4.2</v>
      </c>
      <c r="H235" t="n">
        <v>0</v>
      </c>
      <c r="I235" t="n">
        <v>0</v>
      </c>
      <c r="J235" t="n">
        <v>0</v>
      </c>
      <c r="K235" t="n">
        <v>0</v>
      </c>
      <c r="L235" t="n">
        <v>0</v>
      </c>
      <c r="M235" t="n">
        <v>0</v>
      </c>
      <c r="N235" t="n">
        <v>0</v>
      </c>
      <c r="O235" t="n">
        <v>0</v>
      </c>
      <c r="P235" t="n">
        <v>0</v>
      </c>
      <c r="Q235" t="n">
        <v>0</v>
      </c>
      <c r="R235" s="2" t="inlineStr"/>
    </row>
    <row r="236" ht="15" customHeight="1">
      <c r="A236" t="inlineStr">
        <is>
          <t>A 17983-2025</t>
        </is>
      </c>
      <c r="B236" s="1" t="n">
        <v>45761.38829861111</v>
      </c>
      <c r="C236" s="1" t="n">
        <v>46136</v>
      </c>
      <c r="D236" t="inlineStr">
        <is>
          <t>ÖREBRO LÄN</t>
        </is>
      </c>
      <c r="E236" t="inlineStr">
        <is>
          <t>ÖREBRO</t>
        </is>
      </c>
      <c r="G236" t="n">
        <v>0.8</v>
      </c>
      <c r="H236" t="n">
        <v>0</v>
      </c>
      <c r="I236" t="n">
        <v>0</v>
      </c>
      <c r="J236" t="n">
        <v>0</v>
      </c>
      <c r="K236" t="n">
        <v>0</v>
      </c>
      <c r="L236" t="n">
        <v>0</v>
      </c>
      <c r="M236" t="n">
        <v>0</v>
      </c>
      <c r="N236" t="n">
        <v>0</v>
      </c>
      <c r="O236" t="n">
        <v>0</v>
      </c>
      <c r="P236" t="n">
        <v>0</v>
      </c>
      <c r="Q236" t="n">
        <v>0</v>
      </c>
      <c r="R236" s="2" t="inlineStr"/>
    </row>
    <row r="237" ht="15" customHeight="1">
      <c r="A237" t="inlineStr">
        <is>
          <t>A 30550-2025</t>
        </is>
      </c>
      <c r="B237" s="1" t="n">
        <v>45831.38224537037</v>
      </c>
      <c r="C237" s="1" t="n">
        <v>46136</v>
      </c>
      <c r="D237" t="inlineStr">
        <is>
          <t>ÖREBRO LÄN</t>
        </is>
      </c>
      <c r="E237" t="inlineStr">
        <is>
          <t>ÖREBRO</t>
        </is>
      </c>
      <c r="G237" t="n">
        <v>1.8</v>
      </c>
      <c r="H237" t="n">
        <v>0</v>
      </c>
      <c r="I237" t="n">
        <v>0</v>
      </c>
      <c r="J237" t="n">
        <v>0</v>
      </c>
      <c r="K237" t="n">
        <v>0</v>
      </c>
      <c r="L237" t="n">
        <v>0</v>
      </c>
      <c r="M237" t="n">
        <v>0</v>
      </c>
      <c r="N237" t="n">
        <v>0</v>
      </c>
      <c r="O237" t="n">
        <v>0</v>
      </c>
      <c r="P237" t="n">
        <v>0</v>
      </c>
      <c r="Q237" t="n">
        <v>0</v>
      </c>
      <c r="R237" s="2" t="inlineStr"/>
    </row>
    <row r="238" ht="15" customHeight="1">
      <c r="A238" t="inlineStr">
        <is>
          <t>A 13778-2026</t>
        </is>
      </c>
      <c r="B238" s="1" t="n">
        <v>46097</v>
      </c>
      <c r="C238" s="1" t="n">
        <v>46136</v>
      </c>
      <c r="D238" t="inlineStr">
        <is>
          <t>ÖREBRO LÄN</t>
        </is>
      </c>
      <c r="E238" t="inlineStr">
        <is>
          <t>ÖREBRO</t>
        </is>
      </c>
      <c r="F238" t="inlineStr">
        <is>
          <t>Övriga Aktiebolag</t>
        </is>
      </c>
      <c r="G238" t="n">
        <v>23.7</v>
      </c>
      <c r="H238" t="n">
        <v>0</v>
      </c>
      <c r="I238" t="n">
        <v>0</v>
      </c>
      <c r="J238" t="n">
        <v>0</v>
      </c>
      <c r="K238" t="n">
        <v>0</v>
      </c>
      <c r="L238" t="n">
        <v>0</v>
      </c>
      <c r="M238" t="n">
        <v>0</v>
      </c>
      <c r="N238" t="n">
        <v>0</v>
      </c>
      <c r="O238" t="n">
        <v>0</v>
      </c>
      <c r="P238" t="n">
        <v>0</v>
      </c>
      <c r="Q238" t="n">
        <v>0</v>
      </c>
      <c r="R238" s="2" t="inlineStr"/>
    </row>
    <row r="239" ht="15" customHeight="1">
      <c r="A239" t="inlineStr">
        <is>
          <t>A 6220-2026</t>
        </is>
      </c>
      <c r="B239" s="1" t="n">
        <v>46055.43789351852</v>
      </c>
      <c r="C239" s="1" t="n">
        <v>46136</v>
      </c>
      <c r="D239" t="inlineStr">
        <is>
          <t>ÖREBRO LÄN</t>
        </is>
      </c>
      <c r="E239" t="inlineStr">
        <is>
          <t>ÖREBRO</t>
        </is>
      </c>
      <c r="G239" t="n">
        <v>2.1</v>
      </c>
      <c r="H239" t="n">
        <v>0</v>
      </c>
      <c r="I239" t="n">
        <v>0</v>
      </c>
      <c r="J239" t="n">
        <v>0</v>
      </c>
      <c r="K239" t="n">
        <v>0</v>
      </c>
      <c r="L239" t="n">
        <v>0</v>
      </c>
      <c r="M239" t="n">
        <v>0</v>
      </c>
      <c r="N239" t="n">
        <v>0</v>
      </c>
      <c r="O239" t="n">
        <v>0</v>
      </c>
      <c r="P239" t="n">
        <v>0</v>
      </c>
      <c r="Q239" t="n">
        <v>0</v>
      </c>
      <c r="R239" s="2" t="inlineStr"/>
    </row>
    <row r="240" ht="15" customHeight="1">
      <c r="A240" t="inlineStr">
        <is>
          <t>A 30731-2025</t>
        </is>
      </c>
      <c r="B240" s="1" t="n">
        <v>45831.57280092593</v>
      </c>
      <c r="C240" s="1" t="n">
        <v>46136</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30951-2025</t>
        </is>
      </c>
      <c r="B241" s="1" t="n">
        <v>45832.43225694444</v>
      </c>
      <c r="C241" s="1" t="n">
        <v>46136</v>
      </c>
      <c r="D241" t="inlineStr">
        <is>
          <t>ÖREBRO LÄN</t>
        </is>
      </c>
      <c r="E241" t="inlineStr">
        <is>
          <t>ÖREBRO</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31066-2025</t>
        </is>
      </c>
      <c r="B242" s="1" t="n">
        <v>45832</v>
      </c>
      <c r="C242" s="1" t="n">
        <v>46136</v>
      </c>
      <c r="D242" t="inlineStr">
        <is>
          <t>ÖREBRO LÄN</t>
        </is>
      </c>
      <c r="E242" t="inlineStr">
        <is>
          <t>ÖREBRO</t>
        </is>
      </c>
      <c r="G242" t="n">
        <v>11.1</v>
      </c>
      <c r="H242" t="n">
        <v>0</v>
      </c>
      <c r="I242" t="n">
        <v>0</v>
      </c>
      <c r="J242" t="n">
        <v>0</v>
      </c>
      <c r="K242" t="n">
        <v>0</v>
      </c>
      <c r="L242" t="n">
        <v>0</v>
      </c>
      <c r="M242" t="n">
        <v>0</v>
      </c>
      <c r="N242" t="n">
        <v>0</v>
      </c>
      <c r="O242" t="n">
        <v>0</v>
      </c>
      <c r="P242" t="n">
        <v>0</v>
      </c>
      <c r="Q242" t="n">
        <v>0</v>
      </c>
      <c r="R242" s="2" t="inlineStr"/>
    </row>
    <row r="243" ht="15" customHeight="1">
      <c r="A243" t="inlineStr">
        <is>
          <t>A 39446-2025</t>
        </is>
      </c>
      <c r="B243" s="1" t="n">
        <v>45889.70388888889</v>
      </c>
      <c r="C243" s="1" t="n">
        <v>46136</v>
      </c>
      <c r="D243" t="inlineStr">
        <is>
          <t>ÖREBRO LÄN</t>
        </is>
      </c>
      <c r="E243" t="inlineStr">
        <is>
          <t>ÖREBRO</t>
        </is>
      </c>
      <c r="F243" t="inlineStr">
        <is>
          <t>Kyrkan</t>
        </is>
      </c>
      <c r="G243" t="n">
        <v>3.2</v>
      </c>
      <c r="H243" t="n">
        <v>0</v>
      </c>
      <c r="I243" t="n">
        <v>0</v>
      </c>
      <c r="J243" t="n">
        <v>0</v>
      </c>
      <c r="K243" t="n">
        <v>0</v>
      </c>
      <c r="L243" t="n">
        <v>0</v>
      </c>
      <c r="M243" t="n">
        <v>0</v>
      </c>
      <c r="N243" t="n">
        <v>0</v>
      </c>
      <c r="O243" t="n">
        <v>0</v>
      </c>
      <c r="P243" t="n">
        <v>0</v>
      </c>
      <c r="Q243" t="n">
        <v>0</v>
      </c>
      <c r="R243" s="2" t="inlineStr"/>
    </row>
    <row r="244" ht="15" customHeight="1">
      <c r="A244" t="inlineStr">
        <is>
          <t>A 39479-2025</t>
        </is>
      </c>
      <c r="B244" s="1" t="n">
        <v>45890.34752314815</v>
      </c>
      <c r="C244" s="1" t="n">
        <v>46136</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55692-2023</t>
        </is>
      </c>
      <c r="B245" s="1" t="n">
        <v>45239</v>
      </c>
      <c r="C245" s="1" t="n">
        <v>46136</v>
      </c>
      <c r="D245" t="inlineStr">
        <is>
          <t>ÖREBRO LÄN</t>
        </is>
      </c>
      <c r="E245" t="inlineStr">
        <is>
          <t>ÖREBRO</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14715-2024</t>
        </is>
      </c>
      <c r="B246" s="1" t="n">
        <v>45397.5500462963</v>
      </c>
      <c r="C246" s="1" t="n">
        <v>46136</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46136</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14032-2026</t>
        </is>
      </c>
      <c r="B248" s="1" t="n">
        <v>46098</v>
      </c>
      <c r="C248" s="1" t="n">
        <v>46136</v>
      </c>
      <c r="D248" t="inlineStr">
        <is>
          <t>ÖREBRO LÄN</t>
        </is>
      </c>
      <c r="E248" t="inlineStr">
        <is>
          <t>ÖREBRO</t>
        </is>
      </c>
      <c r="G248" t="n">
        <v>0.7</v>
      </c>
      <c r="H248" t="n">
        <v>0</v>
      </c>
      <c r="I248" t="n">
        <v>0</v>
      </c>
      <c r="J248" t="n">
        <v>0</v>
      </c>
      <c r="K248" t="n">
        <v>0</v>
      </c>
      <c r="L248" t="n">
        <v>0</v>
      </c>
      <c r="M248" t="n">
        <v>0</v>
      </c>
      <c r="N248" t="n">
        <v>0</v>
      </c>
      <c r="O248" t="n">
        <v>0</v>
      </c>
      <c r="P248" t="n">
        <v>0</v>
      </c>
      <c r="Q248" t="n">
        <v>0</v>
      </c>
      <c r="R248" s="2" t="inlineStr"/>
    </row>
    <row r="249" ht="15" customHeight="1">
      <c r="A249" t="inlineStr">
        <is>
          <t>A 31232-2025</t>
        </is>
      </c>
      <c r="B249" s="1" t="n">
        <v>45832.8252199074</v>
      </c>
      <c r="C249" s="1" t="n">
        <v>46136</v>
      </c>
      <c r="D249" t="inlineStr">
        <is>
          <t>ÖREBRO LÄN</t>
        </is>
      </c>
      <c r="E249" t="inlineStr">
        <is>
          <t>ÖREBRO</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12682-2023</t>
        </is>
      </c>
      <c r="B250" s="1" t="n">
        <v>45000.6115625</v>
      </c>
      <c r="C250" s="1" t="n">
        <v>46136</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13592-2023</t>
        </is>
      </c>
      <c r="B251" s="1" t="n">
        <v>45006.56870370371</v>
      </c>
      <c r="C251" s="1" t="n">
        <v>46136</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7227-2026</t>
        </is>
      </c>
      <c r="B252" s="1" t="n">
        <v>46058.56858796296</v>
      </c>
      <c r="C252" s="1" t="n">
        <v>46136</v>
      </c>
      <c r="D252" t="inlineStr">
        <is>
          <t>ÖREBRO LÄN</t>
        </is>
      </c>
      <c r="E252" t="inlineStr">
        <is>
          <t>ÖREBRO</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31237-2025</t>
        </is>
      </c>
      <c r="B253" s="1" t="n">
        <v>45832.84313657408</v>
      </c>
      <c r="C253" s="1" t="n">
        <v>46136</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7220-2026</t>
        </is>
      </c>
      <c r="B254" s="1" t="n">
        <v>46058.56126157408</v>
      </c>
      <c r="C254" s="1" t="n">
        <v>46136</v>
      </c>
      <c r="D254" t="inlineStr">
        <is>
          <t>ÖREBRO LÄN</t>
        </is>
      </c>
      <c r="E254" t="inlineStr">
        <is>
          <t>ÖREBRO</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59736-2023</t>
        </is>
      </c>
      <c r="B255" s="1" t="n">
        <v>45257.374375</v>
      </c>
      <c r="C255" s="1" t="n">
        <v>46136</v>
      </c>
      <c r="D255" t="inlineStr">
        <is>
          <t>ÖREBRO LÄN</t>
        </is>
      </c>
      <c r="E255" t="inlineStr">
        <is>
          <t>ÖREBRO</t>
        </is>
      </c>
      <c r="G255" t="n">
        <v>1.1</v>
      </c>
      <c r="H255" t="n">
        <v>0</v>
      </c>
      <c r="I255" t="n">
        <v>0</v>
      </c>
      <c r="J255" t="n">
        <v>0</v>
      </c>
      <c r="K255" t="n">
        <v>0</v>
      </c>
      <c r="L255" t="n">
        <v>0</v>
      </c>
      <c r="M255" t="n">
        <v>0</v>
      </c>
      <c r="N255" t="n">
        <v>0</v>
      </c>
      <c r="O255" t="n">
        <v>0</v>
      </c>
      <c r="P255" t="n">
        <v>0</v>
      </c>
      <c r="Q255" t="n">
        <v>0</v>
      </c>
      <c r="R255" s="2" t="inlineStr"/>
    </row>
    <row r="256" ht="15" customHeight="1">
      <c r="A256" t="inlineStr">
        <is>
          <t>A 55355-2024</t>
        </is>
      </c>
      <c r="B256" s="1" t="n">
        <v>45621.80475694445</v>
      </c>
      <c r="C256" s="1" t="n">
        <v>46136</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49029-2024</t>
        </is>
      </c>
      <c r="B257" s="1" t="n">
        <v>45594</v>
      </c>
      <c r="C257" s="1" t="n">
        <v>46136</v>
      </c>
      <c r="D257" t="inlineStr">
        <is>
          <t>ÖREBRO LÄN</t>
        </is>
      </c>
      <c r="E257" t="inlineStr">
        <is>
          <t>ÖREBRO</t>
        </is>
      </c>
      <c r="G257" t="n">
        <v>3.7</v>
      </c>
      <c r="H257" t="n">
        <v>0</v>
      </c>
      <c r="I257" t="n">
        <v>0</v>
      </c>
      <c r="J257" t="n">
        <v>0</v>
      </c>
      <c r="K257" t="n">
        <v>0</v>
      </c>
      <c r="L257" t="n">
        <v>0</v>
      </c>
      <c r="M257" t="n">
        <v>0</v>
      </c>
      <c r="N257" t="n">
        <v>0</v>
      </c>
      <c r="O257" t="n">
        <v>0</v>
      </c>
      <c r="P257" t="n">
        <v>0</v>
      </c>
      <c r="Q257" t="n">
        <v>0</v>
      </c>
      <c r="R257" s="2" t="inlineStr"/>
    </row>
    <row r="258" ht="15" customHeight="1">
      <c r="A258" t="inlineStr">
        <is>
          <t>A 20115-2024</t>
        </is>
      </c>
      <c r="B258" s="1" t="n">
        <v>45434</v>
      </c>
      <c r="C258" s="1" t="n">
        <v>46136</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32218-2025</t>
        </is>
      </c>
      <c r="B259" s="1" t="n">
        <v>45835.58880787037</v>
      </c>
      <c r="C259" s="1" t="n">
        <v>46136</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7550-2026</t>
        </is>
      </c>
      <c r="B260" s="1" t="n">
        <v>46059.68496527777</v>
      </c>
      <c r="C260" s="1" t="n">
        <v>46136</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55875-2024</t>
        </is>
      </c>
      <c r="B261" s="1" t="n">
        <v>45623.55375</v>
      </c>
      <c r="C261" s="1" t="n">
        <v>46136</v>
      </c>
      <c r="D261" t="inlineStr">
        <is>
          <t>ÖREBRO LÄN</t>
        </is>
      </c>
      <c r="E261" t="inlineStr">
        <is>
          <t>ÖREBRO</t>
        </is>
      </c>
      <c r="G261" t="n">
        <v>3.5</v>
      </c>
      <c r="H261" t="n">
        <v>0</v>
      </c>
      <c r="I261" t="n">
        <v>0</v>
      </c>
      <c r="J261" t="n">
        <v>0</v>
      </c>
      <c r="K261" t="n">
        <v>0</v>
      </c>
      <c r="L261" t="n">
        <v>0</v>
      </c>
      <c r="M261" t="n">
        <v>0</v>
      </c>
      <c r="N261" t="n">
        <v>0</v>
      </c>
      <c r="O261" t="n">
        <v>0</v>
      </c>
      <c r="P261" t="n">
        <v>0</v>
      </c>
      <c r="Q261" t="n">
        <v>0</v>
      </c>
      <c r="R261" s="2" t="inlineStr"/>
    </row>
    <row r="262" ht="15" customHeight="1">
      <c r="A262" t="inlineStr">
        <is>
          <t>A 48644-2024</t>
        </is>
      </c>
      <c r="B262" s="1" t="n">
        <v>45593.47466435185</v>
      </c>
      <c r="C262" s="1" t="n">
        <v>46136</v>
      </c>
      <c r="D262" t="inlineStr">
        <is>
          <t>ÖREBRO LÄN</t>
        </is>
      </c>
      <c r="E262" t="inlineStr">
        <is>
          <t>ÖREBRO</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32188-2025</t>
        </is>
      </c>
      <c r="B263" s="1" t="n">
        <v>45835.56965277778</v>
      </c>
      <c r="C263" s="1" t="n">
        <v>46136</v>
      </c>
      <c r="D263" t="inlineStr">
        <is>
          <t>ÖREBRO LÄN</t>
        </is>
      </c>
      <c r="E263" t="inlineStr">
        <is>
          <t>ÖREBRO</t>
        </is>
      </c>
      <c r="G263" t="n">
        <v>2.9</v>
      </c>
      <c r="H263" t="n">
        <v>0</v>
      </c>
      <c r="I263" t="n">
        <v>0</v>
      </c>
      <c r="J263" t="n">
        <v>0</v>
      </c>
      <c r="K263" t="n">
        <v>0</v>
      </c>
      <c r="L263" t="n">
        <v>0</v>
      </c>
      <c r="M263" t="n">
        <v>0</v>
      </c>
      <c r="N263" t="n">
        <v>0</v>
      </c>
      <c r="O263" t="n">
        <v>0</v>
      </c>
      <c r="P263" t="n">
        <v>0</v>
      </c>
      <c r="Q263" t="n">
        <v>0</v>
      </c>
      <c r="R263" s="2" t="inlineStr"/>
    </row>
    <row r="264" ht="15" customHeight="1">
      <c r="A264" t="inlineStr">
        <is>
          <t>A 32195-2025</t>
        </is>
      </c>
      <c r="B264" s="1" t="n">
        <v>45835.57407407407</v>
      </c>
      <c r="C264" s="1" t="n">
        <v>46136</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23710-2022</t>
        </is>
      </c>
      <c r="B265" s="1" t="n">
        <v>44722</v>
      </c>
      <c r="C265" s="1" t="n">
        <v>46136</v>
      </c>
      <c r="D265" t="inlineStr">
        <is>
          <t>ÖREBRO LÄN</t>
        </is>
      </c>
      <c r="E265" t="inlineStr">
        <is>
          <t>ÖREBRO</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10470-2025</t>
        </is>
      </c>
      <c r="B266" s="1" t="n">
        <v>45720</v>
      </c>
      <c r="C266" s="1" t="n">
        <v>46136</v>
      </c>
      <c r="D266" t="inlineStr">
        <is>
          <t>ÖREBRO LÄN</t>
        </is>
      </c>
      <c r="E266" t="inlineStr">
        <is>
          <t>ÖREBRO</t>
        </is>
      </c>
      <c r="G266" t="n">
        <v>11.5</v>
      </c>
      <c r="H266" t="n">
        <v>0</v>
      </c>
      <c r="I266" t="n">
        <v>0</v>
      </c>
      <c r="J266" t="n">
        <v>0</v>
      </c>
      <c r="K266" t="n">
        <v>0</v>
      </c>
      <c r="L266" t="n">
        <v>0</v>
      </c>
      <c r="M266" t="n">
        <v>0</v>
      </c>
      <c r="N266" t="n">
        <v>0</v>
      </c>
      <c r="O266" t="n">
        <v>0</v>
      </c>
      <c r="P266" t="n">
        <v>0</v>
      </c>
      <c r="Q266" t="n">
        <v>0</v>
      </c>
      <c r="R266" s="2" t="inlineStr"/>
    </row>
    <row r="267" ht="15" customHeight="1">
      <c r="A267" t="inlineStr">
        <is>
          <t>A 46056-2024</t>
        </is>
      </c>
      <c r="B267" s="1" t="n">
        <v>45580.91502314815</v>
      </c>
      <c r="C267" s="1" t="n">
        <v>46136</v>
      </c>
      <c r="D267" t="inlineStr">
        <is>
          <t>ÖREBRO LÄN</t>
        </is>
      </c>
      <c r="E267" t="inlineStr">
        <is>
          <t>ÖREBRO</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33191-2025</t>
        </is>
      </c>
      <c r="B268" s="1" t="n">
        <v>45840.6003587963</v>
      </c>
      <c r="C268" s="1" t="n">
        <v>46136</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13355-2023</t>
        </is>
      </c>
      <c r="B269" s="1" t="n">
        <v>45004</v>
      </c>
      <c r="C269" s="1" t="n">
        <v>46136</v>
      </c>
      <c r="D269" t="inlineStr">
        <is>
          <t>ÖREBRO LÄN</t>
        </is>
      </c>
      <c r="E269" t="inlineStr">
        <is>
          <t>ÖREBRO</t>
        </is>
      </c>
      <c r="G269" t="n">
        <v>2.3</v>
      </c>
      <c r="H269" t="n">
        <v>0</v>
      </c>
      <c r="I269" t="n">
        <v>0</v>
      </c>
      <c r="J269" t="n">
        <v>0</v>
      </c>
      <c r="K269" t="n">
        <v>0</v>
      </c>
      <c r="L269" t="n">
        <v>0</v>
      </c>
      <c r="M269" t="n">
        <v>0</v>
      </c>
      <c r="N269" t="n">
        <v>0</v>
      </c>
      <c r="O269" t="n">
        <v>0</v>
      </c>
      <c r="P269" t="n">
        <v>0</v>
      </c>
      <c r="Q269" t="n">
        <v>0</v>
      </c>
      <c r="R269" s="2" t="inlineStr"/>
    </row>
    <row r="270" ht="15" customHeight="1">
      <c r="A270" t="inlineStr">
        <is>
          <t>A 32426-2025</t>
        </is>
      </c>
      <c r="B270" s="1" t="n">
        <v>45838.36179398148</v>
      </c>
      <c r="C270" s="1" t="n">
        <v>46136</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6522-2023</t>
        </is>
      </c>
      <c r="B271" s="1" t="n">
        <v>44966</v>
      </c>
      <c r="C271" s="1" t="n">
        <v>46136</v>
      </c>
      <c r="D271" t="inlineStr">
        <is>
          <t>ÖREBRO LÄN</t>
        </is>
      </c>
      <c r="E271" t="inlineStr">
        <is>
          <t>ÖREBRO</t>
        </is>
      </c>
      <c r="G271" t="n">
        <v>4.4</v>
      </c>
      <c r="H271" t="n">
        <v>0</v>
      </c>
      <c r="I271" t="n">
        <v>0</v>
      </c>
      <c r="J271" t="n">
        <v>0</v>
      </c>
      <c r="K271" t="n">
        <v>0</v>
      </c>
      <c r="L271" t="n">
        <v>0</v>
      </c>
      <c r="M271" t="n">
        <v>0</v>
      </c>
      <c r="N271" t="n">
        <v>0</v>
      </c>
      <c r="O271" t="n">
        <v>0</v>
      </c>
      <c r="P271" t="n">
        <v>0</v>
      </c>
      <c r="Q271" t="n">
        <v>0</v>
      </c>
      <c r="R271" s="2" t="inlineStr"/>
    </row>
    <row r="272" ht="15" customHeight="1">
      <c r="A272" t="inlineStr">
        <is>
          <t>A 6254-2026</t>
        </is>
      </c>
      <c r="B272" s="1" t="n">
        <v>46055</v>
      </c>
      <c r="C272" s="1" t="n">
        <v>46136</v>
      </c>
      <c r="D272" t="inlineStr">
        <is>
          <t>ÖREBRO LÄN</t>
        </is>
      </c>
      <c r="E272" t="inlineStr">
        <is>
          <t>ÖREBRO</t>
        </is>
      </c>
      <c r="G272" t="n">
        <v>2.8</v>
      </c>
      <c r="H272" t="n">
        <v>0</v>
      </c>
      <c r="I272" t="n">
        <v>0</v>
      </c>
      <c r="J272" t="n">
        <v>0</v>
      </c>
      <c r="K272" t="n">
        <v>0</v>
      </c>
      <c r="L272" t="n">
        <v>0</v>
      </c>
      <c r="M272" t="n">
        <v>0</v>
      </c>
      <c r="N272" t="n">
        <v>0</v>
      </c>
      <c r="O272" t="n">
        <v>0</v>
      </c>
      <c r="P272" t="n">
        <v>0</v>
      </c>
      <c r="Q272" t="n">
        <v>0</v>
      </c>
      <c r="R272" s="2" t="inlineStr"/>
    </row>
    <row r="273" ht="15" customHeight="1">
      <c r="A273" t="inlineStr">
        <is>
          <t>A 56040-2024</t>
        </is>
      </c>
      <c r="B273" s="1" t="n">
        <v>45624.3344212963</v>
      </c>
      <c r="C273" s="1" t="n">
        <v>46136</v>
      </c>
      <c r="D273" t="inlineStr">
        <is>
          <t>ÖREBRO LÄN</t>
        </is>
      </c>
      <c r="E273" t="inlineStr">
        <is>
          <t>ÖREBRO</t>
        </is>
      </c>
      <c r="G273" t="n">
        <v>1.2</v>
      </c>
      <c r="H273" t="n">
        <v>0</v>
      </c>
      <c r="I273" t="n">
        <v>0</v>
      </c>
      <c r="J273" t="n">
        <v>0</v>
      </c>
      <c r="K273" t="n">
        <v>0</v>
      </c>
      <c r="L273" t="n">
        <v>0</v>
      </c>
      <c r="M273" t="n">
        <v>0</v>
      </c>
      <c r="N273" t="n">
        <v>0</v>
      </c>
      <c r="O273" t="n">
        <v>0</v>
      </c>
      <c r="P273" t="n">
        <v>0</v>
      </c>
      <c r="Q273" t="n">
        <v>0</v>
      </c>
      <c r="R273" s="2" t="inlineStr"/>
    </row>
    <row r="274" ht="15" customHeight="1">
      <c r="A274" t="inlineStr">
        <is>
          <t>A 32904-2025</t>
        </is>
      </c>
      <c r="B274" s="1" t="n">
        <v>45839</v>
      </c>
      <c r="C274" s="1" t="n">
        <v>46136</v>
      </c>
      <c r="D274" t="inlineStr">
        <is>
          <t>ÖREBRO LÄN</t>
        </is>
      </c>
      <c r="E274" t="inlineStr">
        <is>
          <t>ÖREBRO</t>
        </is>
      </c>
      <c r="G274" t="n">
        <v>0.6</v>
      </c>
      <c r="H274" t="n">
        <v>0</v>
      </c>
      <c r="I274" t="n">
        <v>0</v>
      </c>
      <c r="J274" t="n">
        <v>0</v>
      </c>
      <c r="K274" t="n">
        <v>0</v>
      </c>
      <c r="L274" t="n">
        <v>0</v>
      </c>
      <c r="M274" t="n">
        <v>0</v>
      </c>
      <c r="N274" t="n">
        <v>0</v>
      </c>
      <c r="O274" t="n">
        <v>0</v>
      </c>
      <c r="P274" t="n">
        <v>0</v>
      </c>
      <c r="Q274" t="n">
        <v>0</v>
      </c>
      <c r="R274" s="2" t="inlineStr"/>
    </row>
    <row r="275" ht="15" customHeight="1">
      <c r="A275" t="inlineStr">
        <is>
          <t>A 52444-2024</t>
        </is>
      </c>
      <c r="B275" s="1" t="n">
        <v>45609.48894675926</v>
      </c>
      <c r="C275" s="1" t="n">
        <v>46136</v>
      </c>
      <c r="D275" t="inlineStr">
        <is>
          <t>ÖREBRO LÄN</t>
        </is>
      </c>
      <c r="E275" t="inlineStr">
        <is>
          <t>ÖREBRO</t>
        </is>
      </c>
      <c r="G275" t="n">
        <v>1.7</v>
      </c>
      <c r="H275" t="n">
        <v>0</v>
      </c>
      <c r="I275" t="n">
        <v>0</v>
      </c>
      <c r="J275" t="n">
        <v>0</v>
      </c>
      <c r="K275" t="n">
        <v>0</v>
      </c>
      <c r="L275" t="n">
        <v>0</v>
      </c>
      <c r="M275" t="n">
        <v>0</v>
      </c>
      <c r="N275" t="n">
        <v>0</v>
      </c>
      <c r="O275" t="n">
        <v>0</v>
      </c>
      <c r="P275" t="n">
        <v>0</v>
      </c>
      <c r="Q275" t="n">
        <v>0</v>
      </c>
      <c r="R275" s="2" t="inlineStr"/>
    </row>
    <row r="276" ht="15" customHeight="1">
      <c r="A276" t="inlineStr">
        <is>
          <t>A 60128-2023</t>
        </is>
      </c>
      <c r="B276" s="1" t="n">
        <v>45258</v>
      </c>
      <c r="C276" s="1" t="n">
        <v>46136</v>
      </c>
      <c r="D276" t="inlineStr">
        <is>
          <t>ÖREBRO LÄN</t>
        </is>
      </c>
      <c r="E276" t="inlineStr">
        <is>
          <t>ÖREBRO</t>
        </is>
      </c>
      <c r="G276" t="n">
        <v>0.6</v>
      </c>
      <c r="H276" t="n">
        <v>0</v>
      </c>
      <c r="I276" t="n">
        <v>0</v>
      </c>
      <c r="J276" t="n">
        <v>0</v>
      </c>
      <c r="K276" t="n">
        <v>0</v>
      </c>
      <c r="L276" t="n">
        <v>0</v>
      </c>
      <c r="M276" t="n">
        <v>0</v>
      </c>
      <c r="N276" t="n">
        <v>0</v>
      </c>
      <c r="O276" t="n">
        <v>0</v>
      </c>
      <c r="P276" t="n">
        <v>0</v>
      </c>
      <c r="Q276" t="n">
        <v>0</v>
      </c>
      <c r="R276" s="2" t="inlineStr"/>
    </row>
    <row r="277" ht="15" customHeight="1">
      <c r="A277" t="inlineStr">
        <is>
          <t>A 16140-2023</t>
        </is>
      </c>
      <c r="B277" s="1" t="n">
        <v>45027.6433912037</v>
      </c>
      <c r="C277" s="1" t="n">
        <v>46136</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40330-2025</t>
        </is>
      </c>
      <c r="B278" s="1" t="n">
        <v>45895.4531712963</v>
      </c>
      <c r="C278" s="1" t="n">
        <v>46136</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40332-2025</t>
        </is>
      </c>
      <c r="B279" s="1" t="n">
        <v>45895.46060185185</v>
      </c>
      <c r="C279" s="1" t="n">
        <v>46136</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6752-2022</t>
        </is>
      </c>
      <c r="B280" s="1" t="n">
        <v>44602.48082175926</v>
      </c>
      <c r="C280" s="1" t="n">
        <v>46136</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34056-2023</t>
        </is>
      </c>
      <c r="B281" s="1" t="n">
        <v>45135</v>
      </c>
      <c r="C281" s="1" t="n">
        <v>46136</v>
      </c>
      <c r="D281" t="inlineStr">
        <is>
          <t>ÖREBRO LÄN</t>
        </is>
      </c>
      <c r="E281" t="inlineStr">
        <is>
          <t>ÖREBRO</t>
        </is>
      </c>
      <c r="F281" t="inlineStr">
        <is>
          <t>Övriga Aktiebolag</t>
        </is>
      </c>
      <c r="G281" t="n">
        <v>4.1</v>
      </c>
      <c r="H281" t="n">
        <v>0</v>
      </c>
      <c r="I281" t="n">
        <v>0</v>
      </c>
      <c r="J281" t="n">
        <v>0</v>
      </c>
      <c r="K281" t="n">
        <v>0</v>
      </c>
      <c r="L281" t="n">
        <v>0</v>
      </c>
      <c r="M281" t="n">
        <v>0</v>
      </c>
      <c r="N281" t="n">
        <v>0</v>
      </c>
      <c r="O281" t="n">
        <v>0</v>
      </c>
      <c r="P281" t="n">
        <v>0</v>
      </c>
      <c r="Q281" t="n">
        <v>0</v>
      </c>
      <c r="R281" s="2" t="inlineStr"/>
    </row>
    <row r="282" ht="15" customHeight="1">
      <c r="A282" t="inlineStr">
        <is>
          <t>A 8677-2026</t>
        </is>
      </c>
      <c r="B282" s="1" t="n">
        <v>46066.40994212963</v>
      </c>
      <c r="C282" s="1" t="n">
        <v>46136</v>
      </c>
      <c r="D282" t="inlineStr">
        <is>
          <t>ÖREBRO LÄN</t>
        </is>
      </c>
      <c r="E282" t="inlineStr">
        <is>
          <t>ÖREBRO</t>
        </is>
      </c>
      <c r="G282" t="n">
        <v>2.6</v>
      </c>
      <c r="H282" t="n">
        <v>0</v>
      </c>
      <c r="I282" t="n">
        <v>0</v>
      </c>
      <c r="J282" t="n">
        <v>0</v>
      </c>
      <c r="K282" t="n">
        <v>0</v>
      </c>
      <c r="L282" t="n">
        <v>0</v>
      </c>
      <c r="M282" t="n">
        <v>0</v>
      </c>
      <c r="N282" t="n">
        <v>0</v>
      </c>
      <c r="O282" t="n">
        <v>0</v>
      </c>
      <c r="P282" t="n">
        <v>0</v>
      </c>
      <c r="Q282" t="n">
        <v>0</v>
      </c>
      <c r="R282" s="2" t="inlineStr"/>
    </row>
    <row r="283" ht="15" customHeight="1">
      <c r="A283" t="inlineStr">
        <is>
          <t>A 33457-2023</t>
        </is>
      </c>
      <c r="B283" s="1" t="n">
        <v>45131</v>
      </c>
      <c r="C283" s="1" t="n">
        <v>46136</v>
      </c>
      <c r="D283" t="inlineStr">
        <is>
          <t>ÖREBRO LÄN</t>
        </is>
      </c>
      <c r="E283" t="inlineStr">
        <is>
          <t>ÖREBRO</t>
        </is>
      </c>
      <c r="G283" t="n">
        <v>0.5</v>
      </c>
      <c r="H283" t="n">
        <v>0</v>
      </c>
      <c r="I283" t="n">
        <v>0</v>
      </c>
      <c r="J283" t="n">
        <v>0</v>
      </c>
      <c r="K283" t="n">
        <v>0</v>
      </c>
      <c r="L283" t="n">
        <v>0</v>
      </c>
      <c r="M283" t="n">
        <v>0</v>
      </c>
      <c r="N283" t="n">
        <v>0</v>
      </c>
      <c r="O283" t="n">
        <v>0</v>
      </c>
      <c r="P283" t="n">
        <v>0</v>
      </c>
      <c r="Q283" t="n">
        <v>0</v>
      </c>
      <c r="R283" s="2" t="inlineStr"/>
    </row>
    <row r="284" ht="15" customHeight="1">
      <c r="A284" t="inlineStr">
        <is>
          <t>A 45237-2023</t>
        </is>
      </c>
      <c r="B284" s="1" t="n">
        <v>45191</v>
      </c>
      <c r="C284" s="1" t="n">
        <v>46136</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51180-2023</t>
        </is>
      </c>
      <c r="B285" s="1" t="n">
        <v>45219</v>
      </c>
      <c r="C285" s="1" t="n">
        <v>46136</v>
      </c>
      <c r="D285" t="inlineStr">
        <is>
          <t>ÖREBRO LÄN</t>
        </is>
      </c>
      <c r="E285" t="inlineStr">
        <is>
          <t>ÖREBRO</t>
        </is>
      </c>
      <c r="G285" t="n">
        <v>6.5</v>
      </c>
      <c r="H285" t="n">
        <v>0</v>
      </c>
      <c r="I285" t="n">
        <v>0</v>
      </c>
      <c r="J285" t="n">
        <v>0</v>
      </c>
      <c r="K285" t="n">
        <v>0</v>
      </c>
      <c r="L285" t="n">
        <v>0</v>
      </c>
      <c r="M285" t="n">
        <v>0</v>
      </c>
      <c r="N285" t="n">
        <v>0</v>
      </c>
      <c r="O285" t="n">
        <v>0</v>
      </c>
      <c r="P285" t="n">
        <v>0</v>
      </c>
      <c r="Q285" t="n">
        <v>0</v>
      </c>
      <c r="R285" s="2" t="inlineStr"/>
    </row>
    <row r="286" ht="15" customHeight="1">
      <c r="A286" t="inlineStr">
        <is>
          <t>A 60028-2024</t>
        </is>
      </c>
      <c r="B286" s="1" t="n">
        <v>45642</v>
      </c>
      <c r="C286" s="1" t="n">
        <v>46136</v>
      </c>
      <c r="D286" t="inlineStr">
        <is>
          <t>ÖREBRO LÄN</t>
        </is>
      </c>
      <c r="E286" t="inlineStr">
        <is>
          <t>ÖREBRO</t>
        </is>
      </c>
      <c r="G286" t="n">
        <v>1.7</v>
      </c>
      <c r="H286" t="n">
        <v>0</v>
      </c>
      <c r="I286" t="n">
        <v>0</v>
      </c>
      <c r="J286" t="n">
        <v>0</v>
      </c>
      <c r="K286" t="n">
        <v>0</v>
      </c>
      <c r="L286" t="n">
        <v>0</v>
      </c>
      <c r="M286" t="n">
        <v>0</v>
      </c>
      <c r="N286" t="n">
        <v>0</v>
      </c>
      <c r="O286" t="n">
        <v>0</v>
      </c>
      <c r="P286" t="n">
        <v>0</v>
      </c>
      <c r="Q286" t="n">
        <v>0</v>
      </c>
      <c r="R286" s="2" t="inlineStr"/>
    </row>
    <row r="287" ht="15" customHeight="1">
      <c r="A287" t="inlineStr">
        <is>
          <t>A 33294-2023</t>
        </is>
      </c>
      <c r="B287" s="1" t="n">
        <v>45127</v>
      </c>
      <c r="C287" s="1" t="n">
        <v>46136</v>
      </c>
      <c r="D287" t="inlineStr">
        <is>
          <t>ÖREBRO LÄN</t>
        </is>
      </c>
      <c r="E287" t="inlineStr">
        <is>
          <t>ÖREBRO</t>
        </is>
      </c>
      <c r="F287" t="inlineStr">
        <is>
          <t>Övriga Aktiebolag</t>
        </is>
      </c>
      <c r="G287" t="n">
        <v>6.7</v>
      </c>
      <c r="H287" t="n">
        <v>0</v>
      </c>
      <c r="I287" t="n">
        <v>0</v>
      </c>
      <c r="J287" t="n">
        <v>0</v>
      </c>
      <c r="K287" t="n">
        <v>0</v>
      </c>
      <c r="L287" t="n">
        <v>0</v>
      </c>
      <c r="M287" t="n">
        <v>0</v>
      </c>
      <c r="N287" t="n">
        <v>0</v>
      </c>
      <c r="O287" t="n">
        <v>0</v>
      </c>
      <c r="P287" t="n">
        <v>0</v>
      </c>
      <c r="Q287" t="n">
        <v>0</v>
      </c>
      <c r="R287" s="2" t="inlineStr"/>
    </row>
    <row r="288" ht="15" customHeight="1">
      <c r="A288" t="inlineStr">
        <is>
          <t>A 48687-2024</t>
        </is>
      </c>
      <c r="B288" s="1" t="n">
        <v>45593.49899305555</v>
      </c>
      <c r="C288" s="1" t="n">
        <v>46136</v>
      </c>
      <c r="D288" t="inlineStr">
        <is>
          <t>ÖREBRO LÄN</t>
        </is>
      </c>
      <c r="E288" t="inlineStr">
        <is>
          <t>ÖREBRO</t>
        </is>
      </c>
      <c r="F288" t="inlineStr">
        <is>
          <t>Övriga Aktiebolag</t>
        </is>
      </c>
      <c r="G288" t="n">
        <v>3.8</v>
      </c>
      <c r="H288" t="n">
        <v>0</v>
      </c>
      <c r="I288" t="n">
        <v>0</v>
      </c>
      <c r="J288" t="n">
        <v>0</v>
      </c>
      <c r="K288" t="n">
        <v>0</v>
      </c>
      <c r="L288" t="n">
        <v>0</v>
      </c>
      <c r="M288" t="n">
        <v>0</v>
      </c>
      <c r="N288" t="n">
        <v>0</v>
      </c>
      <c r="O288" t="n">
        <v>0</v>
      </c>
      <c r="P288" t="n">
        <v>0</v>
      </c>
      <c r="Q288" t="n">
        <v>0</v>
      </c>
      <c r="R288" s="2" t="inlineStr"/>
    </row>
    <row r="289" ht="15" customHeight="1">
      <c r="A289" t="inlineStr">
        <is>
          <t>A 13857-2022</t>
        </is>
      </c>
      <c r="B289" s="1" t="n">
        <v>44649</v>
      </c>
      <c r="C289" s="1" t="n">
        <v>46136</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8461-2026</t>
        </is>
      </c>
      <c r="B290" s="1" t="n">
        <v>46065.42981481482</v>
      </c>
      <c r="C290" s="1" t="n">
        <v>46136</v>
      </c>
      <c r="D290" t="inlineStr">
        <is>
          <t>ÖREBRO LÄN</t>
        </is>
      </c>
      <c r="E290" t="inlineStr">
        <is>
          <t>ÖREBRO</t>
        </is>
      </c>
      <c r="G290" t="n">
        <v>1.3</v>
      </c>
      <c r="H290" t="n">
        <v>0</v>
      </c>
      <c r="I290" t="n">
        <v>0</v>
      </c>
      <c r="J290" t="n">
        <v>0</v>
      </c>
      <c r="K290" t="n">
        <v>0</v>
      </c>
      <c r="L290" t="n">
        <v>0</v>
      </c>
      <c r="M290" t="n">
        <v>0</v>
      </c>
      <c r="N290" t="n">
        <v>0</v>
      </c>
      <c r="O290" t="n">
        <v>0</v>
      </c>
      <c r="P290" t="n">
        <v>0</v>
      </c>
      <c r="Q290" t="n">
        <v>0</v>
      </c>
      <c r="R290" s="2" t="inlineStr"/>
    </row>
    <row r="291" ht="15" customHeight="1">
      <c r="A291" t="inlineStr">
        <is>
          <t>A 61078-2024</t>
        </is>
      </c>
      <c r="B291" s="1" t="n">
        <v>45645.51034722223</v>
      </c>
      <c r="C291" s="1" t="n">
        <v>46136</v>
      </c>
      <c r="D291" t="inlineStr">
        <is>
          <t>ÖREBRO LÄN</t>
        </is>
      </c>
      <c r="E291" t="inlineStr">
        <is>
          <t>ÖREBRO</t>
        </is>
      </c>
      <c r="G291" t="n">
        <v>4.1</v>
      </c>
      <c r="H291" t="n">
        <v>0</v>
      </c>
      <c r="I291" t="n">
        <v>0</v>
      </c>
      <c r="J291" t="n">
        <v>0</v>
      </c>
      <c r="K291" t="n">
        <v>0</v>
      </c>
      <c r="L291" t="n">
        <v>0</v>
      </c>
      <c r="M291" t="n">
        <v>0</v>
      </c>
      <c r="N291" t="n">
        <v>0</v>
      </c>
      <c r="O291" t="n">
        <v>0</v>
      </c>
      <c r="P291" t="n">
        <v>0</v>
      </c>
      <c r="Q291" t="n">
        <v>0</v>
      </c>
      <c r="R291" s="2" t="inlineStr"/>
    </row>
    <row r="292" ht="15" customHeight="1">
      <c r="A292" t="inlineStr">
        <is>
          <t>A 8662-2026</t>
        </is>
      </c>
      <c r="B292" s="1" t="n">
        <v>46066.38112268518</v>
      </c>
      <c r="C292" s="1" t="n">
        <v>46136</v>
      </c>
      <c r="D292" t="inlineStr">
        <is>
          <t>ÖREBRO LÄN</t>
        </is>
      </c>
      <c r="E292" t="inlineStr">
        <is>
          <t>ÖREBRO</t>
        </is>
      </c>
      <c r="G292" t="n">
        <v>3.2</v>
      </c>
      <c r="H292" t="n">
        <v>0</v>
      </c>
      <c r="I292" t="n">
        <v>0</v>
      </c>
      <c r="J292" t="n">
        <v>0</v>
      </c>
      <c r="K292" t="n">
        <v>0</v>
      </c>
      <c r="L292" t="n">
        <v>0</v>
      </c>
      <c r="M292" t="n">
        <v>0</v>
      </c>
      <c r="N292" t="n">
        <v>0</v>
      </c>
      <c r="O292" t="n">
        <v>0</v>
      </c>
      <c r="P292" t="n">
        <v>0</v>
      </c>
      <c r="Q292" t="n">
        <v>0</v>
      </c>
      <c r="R292" s="2" t="inlineStr"/>
    </row>
    <row r="293" ht="15" customHeight="1">
      <c r="A293" t="inlineStr">
        <is>
          <t>A 13158-2024</t>
        </is>
      </c>
      <c r="B293" s="1" t="n">
        <v>45386.38728009259</v>
      </c>
      <c r="C293" s="1" t="n">
        <v>46136</v>
      </c>
      <c r="D293" t="inlineStr">
        <is>
          <t>ÖREBRO LÄN</t>
        </is>
      </c>
      <c r="E293" t="inlineStr">
        <is>
          <t>ÖREBRO</t>
        </is>
      </c>
      <c r="G293" t="n">
        <v>1.8</v>
      </c>
      <c r="H293" t="n">
        <v>0</v>
      </c>
      <c r="I293" t="n">
        <v>0</v>
      </c>
      <c r="J293" t="n">
        <v>0</v>
      </c>
      <c r="K293" t="n">
        <v>0</v>
      </c>
      <c r="L293" t="n">
        <v>0</v>
      </c>
      <c r="M293" t="n">
        <v>0</v>
      </c>
      <c r="N293" t="n">
        <v>0</v>
      </c>
      <c r="O293" t="n">
        <v>0</v>
      </c>
      <c r="P293" t="n">
        <v>0</v>
      </c>
      <c r="Q293" t="n">
        <v>0</v>
      </c>
      <c r="R293" s="2" t="inlineStr"/>
    </row>
    <row r="294" ht="15" customHeight="1">
      <c r="A294" t="inlineStr">
        <is>
          <t>A 35062-2025</t>
        </is>
      </c>
      <c r="B294" s="1" t="n">
        <v>45852</v>
      </c>
      <c r="C294" s="1" t="n">
        <v>46136</v>
      </c>
      <c r="D294" t="inlineStr">
        <is>
          <t>ÖREBRO LÄN</t>
        </is>
      </c>
      <c r="E294" t="inlineStr">
        <is>
          <t>ÖREBRO</t>
        </is>
      </c>
      <c r="G294" t="n">
        <v>2.8</v>
      </c>
      <c r="H294" t="n">
        <v>0</v>
      </c>
      <c r="I294" t="n">
        <v>0</v>
      </c>
      <c r="J294" t="n">
        <v>0</v>
      </c>
      <c r="K294" t="n">
        <v>0</v>
      </c>
      <c r="L294" t="n">
        <v>0</v>
      </c>
      <c r="M294" t="n">
        <v>0</v>
      </c>
      <c r="N294" t="n">
        <v>0</v>
      </c>
      <c r="O294" t="n">
        <v>0</v>
      </c>
      <c r="P294" t="n">
        <v>0</v>
      </c>
      <c r="Q294" t="n">
        <v>0</v>
      </c>
      <c r="R294" s="2" t="inlineStr"/>
    </row>
    <row r="295" ht="15" customHeight="1">
      <c r="A295" t="inlineStr">
        <is>
          <t>A 13181-2023</t>
        </is>
      </c>
      <c r="B295" s="1" t="n">
        <v>45002.60659722222</v>
      </c>
      <c r="C295" s="1" t="n">
        <v>46136</v>
      </c>
      <c r="D295" t="inlineStr">
        <is>
          <t>ÖREBRO LÄN</t>
        </is>
      </c>
      <c r="E295" t="inlineStr">
        <is>
          <t>ÖREBRO</t>
        </is>
      </c>
      <c r="G295" t="n">
        <v>1.2</v>
      </c>
      <c r="H295" t="n">
        <v>0</v>
      </c>
      <c r="I295" t="n">
        <v>0</v>
      </c>
      <c r="J295" t="n">
        <v>0</v>
      </c>
      <c r="K295" t="n">
        <v>0</v>
      </c>
      <c r="L295" t="n">
        <v>0</v>
      </c>
      <c r="M295" t="n">
        <v>0</v>
      </c>
      <c r="N295" t="n">
        <v>0</v>
      </c>
      <c r="O295" t="n">
        <v>0</v>
      </c>
      <c r="P295" t="n">
        <v>0</v>
      </c>
      <c r="Q295" t="n">
        <v>0</v>
      </c>
      <c r="R295" s="2" t="inlineStr"/>
    </row>
    <row r="296" ht="15" customHeight="1">
      <c r="A296" t="inlineStr">
        <is>
          <t>A 25996-2024</t>
        </is>
      </c>
      <c r="B296" s="1" t="n">
        <v>45467.89081018518</v>
      </c>
      <c r="C296" s="1" t="n">
        <v>46136</v>
      </c>
      <c r="D296" t="inlineStr">
        <is>
          <t>ÖREBRO LÄN</t>
        </is>
      </c>
      <c r="E296" t="inlineStr">
        <is>
          <t>ÖREBRO</t>
        </is>
      </c>
      <c r="G296" t="n">
        <v>4.7</v>
      </c>
      <c r="H296" t="n">
        <v>0</v>
      </c>
      <c r="I296" t="n">
        <v>0</v>
      </c>
      <c r="J296" t="n">
        <v>0</v>
      </c>
      <c r="K296" t="n">
        <v>0</v>
      </c>
      <c r="L296" t="n">
        <v>0</v>
      </c>
      <c r="M296" t="n">
        <v>0</v>
      </c>
      <c r="N296" t="n">
        <v>0</v>
      </c>
      <c r="O296" t="n">
        <v>0</v>
      </c>
      <c r="P296" t="n">
        <v>0</v>
      </c>
      <c r="Q296" t="n">
        <v>0</v>
      </c>
      <c r="R296" s="2" t="inlineStr"/>
    </row>
    <row r="297" ht="15" customHeight="1">
      <c r="A297" t="inlineStr">
        <is>
          <t>A 16676-2025</t>
        </is>
      </c>
      <c r="B297" s="1" t="n">
        <v>45754.44658564815</v>
      </c>
      <c r="C297" s="1" t="n">
        <v>46136</v>
      </c>
      <c r="D297" t="inlineStr">
        <is>
          <t>ÖREBRO LÄN</t>
        </is>
      </c>
      <c r="E297" t="inlineStr">
        <is>
          <t>ÖREBRO</t>
        </is>
      </c>
      <c r="G297" t="n">
        <v>5.8</v>
      </c>
      <c r="H297" t="n">
        <v>0</v>
      </c>
      <c r="I297" t="n">
        <v>0</v>
      </c>
      <c r="J297" t="n">
        <v>0</v>
      </c>
      <c r="K297" t="n">
        <v>0</v>
      </c>
      <c r="L297" t="n">
        <v>0</v>
      </c>
      <c r="M297" t="n">
        <v>0</v>
      </c>
      <c r="N297" t="n">
        <v>0</v>
      </c>
      <c r="O297" t="n">
        <v>0</v>
      </c>
      <c r="P297" t="n">
        <v>0</v>
      </c>
      <c r="Q297" t="n">
        <v>0</v>
      </c>
      <c r="R297" s="2" t="inlineStr"/>
    </row>
    <row r="298" ht="15" customHeight="1">
      <c r="A298" t="inlineStr">
        <is>
          <t>A 23741-2022</t>
        </is>
      </c>
      <c r="B298" s="1" t="n">
        <v>44722</v>
      </c>
      <c r="C298" s="1" t="n">
        <v>46136</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8274-2025</t>
        </is>
      </c>
      <c r="B299" s="1" t="n">
        <v>45708</v>
      </c>
      <c r="C299" s="1" t="n">
        <v>46136</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58620-2024</t>
        </is>
      </c>
      <c r="B300" s="1" t="n">
        <v>45635.56246527778</v>
      </c>
      <c r="C300" s="1" t="n">
        <v>46136</v>
      </c>
      <c r="D300" t="inlineStr">
        <is>
          <t>ÖREBRO LÄN</t>
        </is>
      </c>
      <c r="E300" t="inlineStr">
        <is>
          <t>ÖREBRO</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7141-2025</t>
        </is>
      </c>
      <c r="B301" s="1" t="n">
        <v>45702</v>
      </c>
      <c r="C301" s="1" t="n">
        <v>46136</v>
      </c>
      <c r="D301" t="inlineStr">
        <is>
          <t>ÖREBRO LÄN</t>
        </is>
      </c>
      <c r="E301" t="inlineStr">
        <is>
          <t>ÖREBRO</t>
        </is>
      </c>
      <c r="G301" t="n">
        <v>2.9</v>
      </c>
      <c r="H301" t="n">
        <v>0</v>
      </c>
      <c r="I301" t="n">
        <v>0</v>
      </c>
      <c r="J301" t="n">
        <v>0</v>
      </c>
      <c r="K301" t="n">
        <v>0</v>
      </c>
      <c r="L301" t="n">
        <v>0</v>
      </c>
      <c r="M301" t="n">
        <v>0</v>
      </c>
      <c r="N301" t="n">
        <v>0</v>
      </c>
      <c r="O301" t="n">
        <v>0</v>
      </c>
      <c r="P301" t="n">
        <v>0</v>
      </c>
      <c r="Q301" t="n">
        <v>0</v>
      </c>
      <c r="R301" s="2" t="inlineStr"/>
    </row>
    <row r="302" ht="15" customHeight="1">
      <c r="A302" t="inlineStr">
        <is>
          <t>A 59024-2024</t>
        </is>
      </c>
      <c r="B302" s="1" t="n">
        <v>45636.68505787037</v>
      </c>
      <c r="C302" s="1" t="n">
        <v>46136</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28821-2025</t>
        </is>
      </c>
      <c r="B303" s="1" t="n">
        <v>45820</v>
      </c>
      <c r="C303" s="1" t="n">
        <v>46136</v>
      </c>
      <c r="D303" t="inlineStr">
        <is>
          <t>ÖREBRO LÄN</t>
        </is>
      </c>
      <c r="E303" t="inlineStr">
        <is>
          <t>ÖREBRO</t>
        </is>
      </c>
      <c r="G303" t="n">
        <v>12.6</v>
      </c>
      <c r="H303" t="n">
        <v>0</v>
      </c>
      <c r="I303" t="n">
        <v>0</v>
      </c>
      <c r="J303" t="n">
        <v>0</v>
      </c>
      <c r="K303" t="n">
        <v>0</v>
      </c>
      <c r="L303" t="n">
        <v>0</v>
      </c>
      <c r="M303" t="n">
        <v>0</v>
      </c>
      <c r="N303" t="n">
        <v>0</v>
      </c>
      <c r="O303" t="n">
        <v>0</v>
      </c>
      <c r="P303" t="n">
        <v>0</v>
      </c>
      <c r="Q303" t="n">
        <v>0</v>
      </c>
      <c r="R303" s="2" t="inlineStr"/>
    </row>
    <row r="304" ht="15" customHeight="1">
      <c r="A304" t="inlineStr">
        <is>
          <t>A 9318-2026</t>
        </is>
      </c>
      <c r="B304" s="1" t="n">
        <v>46070.62585648148</v>
      </c>
      <c r="C304" s="1" t="n">
        <v>46136</v>
      </c>
      <c r="D304" t="inlineStr">
        <is>
          <t>ÖREBRO LÄN</t>
        </is>
      </c>
      <c r="E304" t="inlineStr">
        <is>
          <t>ÖREBRO</t>
        </is>
      </c>
      <c r="F304" t="inlineStr">
        <is>
          <t>Övriga Aktiebolag</t>
        </is>
      </c>
      <c r="G304" t="n">
        <v>2.7</v>
      </c>
      <c r="H304" t="n">
        <v>0</v>
      </c>
      <c r="I304" t="n">
        <v>0</v>
      </c>
      <c r="J304" t="n">
        <v>0</v>
      </c>
      <c r="K304" t="n">
        <v>0</v>
      </c>
      <c r="L304" t="n">
        <v>0</v>
      </c>
      <c r="M304" t="n">
        <v>0</v>
      </c>
      <c r="N304" t="n">
        <v>0</v>
      </c>
      <c r="O304" t="n">
        <v>0</v>
      </c>
      <c r="P304" t="n">
        <v>0</v>
      </c>
      <c r="Q304" t="n">
        <v>0</v>
      </c>
      <c r="R304" s="2" t="inlineStr"/>
    </row>
    <row r="305" ht="15" customHeight="1">
      <c r="A305" t="inlineStr">
        <is>
          <t>A 13657-2025</t>
        </is>
      </c>
      <c r="B305" s="1" t="n">
        <v>45736.7427662037</v>
      </c>
      <c r="C305" s="1" t="n">
        <v>46136</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35637-2025</t>
        </is>
      </c>
      <c r="B306" s="1" t="n">
        <v>45859.46859953704</v>
      </c>
      <c r="C306" s="1" t="n">
        <v>46136</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57867-2024</t>
        </is>
      </c>
      <c r="B307" s="1" t="n">
        <v>45631.43864583333</v>
      </c>
      <c r="C307" s="1" t="n">
        <v>46136</v>
      </c>
      <c r="D307" t="inlineStr">
        <is>
          <t>ÖREBRO LÄN</t>
        </is>
      </c>
      <c r="E307" t="inlineStr">
        <is>
          <t>ÖREBRO</t>
        </is>
      </c>
      <c r="G307" t="n">
        <v>1.5</v>
      </c>
      <c r="H307" t="n">
        <v>0</v>
      </c>
      <c r="I307" t="n">
        <v>0</v>
      </c>
      <c r="J307" t="n">
        <v>0</v>
      </c>
      <c r="K307" t="n">
        <v>0</v>
      </c>
      <c r="L307" t="n">
        <v>0</v>
      </c>
      <c r="M307" t="n">
        <v>0</v>
      </c>
      <c r="N307" t="n">
        <v>0</v>
      </c>
      <c r="O307" t="n">
        <v>0</v>
      </c>
      <c r="P307" t="n">
        <v>0</v>
      </c>
      <c r="Q307" t="n">
        <v>0</v>
      </c>
      <c r="R307" s="2" t="inlineStr"/>
    </row>
    <row r="308" ht="15" customHeight="1">
      <c r="A308" t="inlineStr">
        <is>
          <t>A 29138-2022</t>
        </is>
      </c>
      <c r="B308" s="1" t="n">
        <v>44750</v>
      </c>
      <c r="C308" s="1" t="n">
        <v>46136</v>
      </c>
      <c r="D308" t="inlineStr">
        <is>
          <t>ÖREBRO LÄN</t>
        </is>
      </c>
      <c r="E308" t="inlineStr">
        <is>
          <t>ÖREBRO</t>
        </is>
      </c>
      <c r="G308" t="n">
        <v>3.3</v>
      </c>
      <c r="H308" t="n">
        <v>0</v>
      </c>
      <c r="I308" t="n">
        <v>0</v>
      </c>
      <c r="J308" t="n">
        <v>0</v>
      </c>
      <c r="K308" t="n">
        <v>0</v>
      </c>
      <c r="L308" t="n">
        <v>0</v>
      </c>
      <c r="M308" t="n">
        <v>0</v>
      </c>
      <c r="N308" t="n">
        <v>0</v>
      </c>
      <c r="O308" t="n">
        <v>0</v>
      </c>
      <c r="P308" t="n">
        <v>0</v>
      </c>
      <c r="Q308" t="n">
        <v>0</v>
      </c>
      <c r="R308" s="2" t="inlineStr"/>
    </row>
    <row r="309" ht="15" customHeight="1">
      <c r="A309" t="inlineStr">
        <is>
          <t>A 29143-2022</t>
        </is>
      </c>
      <c r="B309" s="1" t="n">
        <v>44750</v>
      </c>
      <c r="C309" s="1" t="n">
        <v>46136</v>
      </c>
      <c r="D309" t="inlineStr">
        <is>
          <t>ÖREBRO LÄN</t>
        </is>
      </c>
      <c r="E309" t="inlineStr">
        <is>
          <t>ÖREBRO</t>
        </is>
      </c>
      <c r="G309" t="n">
        <v>5.6</v>
      </c>
      <c r="H309" t="n">
        <v>0</v>
      </c>
      <c r="I309" t="n">
        <v>0</v>
      </c>
      <c r="J309" t="n">
        <v>0</v>
      </c>
      <c r="K309" t="n">
        <v>0</v>
      </c>
      <c r="L309" t="n">
        <v>0</v>
      </c>
      <c r="M309" t="n">
        <v>0</v>
      </c>
      <c r="N309" t="n">
        <v>0</v>
      </c>
      <c r="O309" t="n">
        <v>0</v>
      </c>
      <c r="P309" t="n">
        <v>0</v>
      </c>
      <c r="Q309" t="n">
        <v>0</v>
      </c>
      <c r="R309" s="2" t="inlineStr"/>
    </row>
    <row r="310" ht="15" customHeight="1">
      <c r="A310" t="inlineStr">
        <is>
          <t>A 21983-2021</t>
        </is>
      </c>
      <c r="B310" s="1" t="n">
        <v>44323</v>
      </c>
      <c r="C310" s="1" t="n">
        <v>46136</v>
      </c>
      <c r="D310" t="inlineStr">
        <is>
          <t>ÖREBRO LÄN</t>
        </is>
      </c>
      <c r="E310" t="inlineStr">
        <is>
          <t>ÖREBRO</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35928-2025</t>
        </is>
      </c>
      <c r="B311" s="1" t="n">
        <v>45862</v>
      </c>
      <c r="C311" s="1" t="n">
        <v>46136</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3120-2022</t>
        </is>
      </c>
      <c r="B312" s="1" t="n">
        <v>44582</v>
      </c>
      <c r="C312" s="1" t="n">
        <v>46136</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55453-2024</t>
        </is>
      </c>
      <c r="B313" s="1" t="n">
        <v>45622.42097222222</v>
      </c>
      <c r="C313" s="1" t="n">
        <v>46136</v>
      </c>
      <c r="D313" t="inlineStr">
        <is>
          <t>ÖREBRO LÄN</t>
        </is>
      </c>
      <c r="E313" t="inlineStr">
        <is>
          <t>ÖREBRO</t>
        </is>
      </c>
      <c r="G313" t="n">
        <v>8.5</v>
      </c>
      <c r="H313" t="n">
        <v>0</v>
      </c>
      <c r="I313" t="n">
        <v>0</v>
      </c>
      <c r="J313" t="n">
        <v>0</v>
      </c>
      <c r="K313" t="n">
        <v>0</v>
      </c>
      <c r="L313" t="n">
        <v>0</v>
      </c>
      <c r="M313" t="n">
        <v>0</v>
      </c>
      <c r="N313" t="n">
        <v>0</v>
      </c>
      <c r="O313" t="n">
        <v>0</v>
      </c>
      <c r="P313" t="n">
        <v>0</v>
      </c>
      <c r="Q313" t="n">
        <v>0</v>
      </c>
      <c r="R313" s="2" t="inlineStr"/>
    </row>
    <row r="314" ht="15" customHeight="1">
      <c r="A314" t="inlineStr">
        <is>
          <t>A 58606-2024</t>
        </is>
      </c>
      <c r="B314" s="1" t="n">
        <v>45635.54747685185</v>
      </c>
      <c r="C314" s="1" t="n">
        <v>46136</v>
      </c>
      <c r="D314" t="inlineStr">
        <is>
          <t>ÖREBRO LÄN</t>
        </is>
      </c>
      <c r="E314" t="inlineStr">
        <is>
          <t>ÖREBRO</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26101-2022</t>
        </is>
      </c>
      <c r="B315" s="1" t="n">
        <v>44734</v>
      </c>
      <c r="C315" s="1" t="n">
        <v>46136</v>
      </c>
      <c r="D315" t="inlineStr">
        <is>
          <t>ÖREBRO LÄN</t>
        </is>
      </c>
      <c r="E315" t="inlineStr">
        <is>
          <t>ÖREBRO</t>
        </is>
      </c>
      <c r="G315" t="n">
        <v>15.8</v>
      </c>
      <c r="H315" t="n">
        <v>0</v>
      </c>
      <c r="I315" t="n">
        <v>0</v>
      </c>
      <c r="J315" t="n">
        <v>0</v>
      </c>
      <c r="K315" t="n">
        <v>0</v>
      </c>
      <c r="L315" t="n">
        <v>0</v>
      </c>
      <c r="M315" t="n">
        <v>0</v>
      </c>
      <c r="N315" t="n">
        <v>0</v>
      </c>
      <c r="O315" t="n">
        <v>0</v>
      </c>
      <c r="P315" t="n">
        <v>0</v>
      </c>
      <c r="Q315" t="n">
        <v>0</v>
      </c>
      <c r="R315" s="2" t="inlineStr"/>
    </row>
    <row r="316" ht="15" customHeight="1">
      <c r="A316" t="inlineStr">
        <is>
          <t>A 32025-2024</t>
        </is>
      </c>
      <c r="B316" s="1" t="n">
        <v>45510.65754629629</v>
      </c>
      <c r="C316" s="1" t="n">
        <v>46136</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58486-2024</t>
        </is>
      </c>
      <c r="B317" s="1" t="n">
        <v>45635</v>
      </c>
      <c r="C317" s="1" t="n">
        <v>46136</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14053-2025</t>
        </is>
      </c>
      <c r="B318" s="1" t="n">
        <v>45739</v>
      </c>
      <c r="C318" s="1" t="n">
        <v>46136</v>
      </c>
      <c r="D318" t="inlineStr">
        <is>
          <t>ÖREBRO LÄN</t>
        </is>
      </c>
      <c r="E318" t="inlineStr">
        <is>
          <t>ÖREBRO</t>
        </is>
      </c>
      <c r="G318" t="n">
        <v>3.5</v>
      </c>
      <c r="H318" t="n">
        <v>0</v>
      </c>
      <c r="I318" t="n">
        <v>0</v>
      </c>
      <c r="J318" t="n">
        <v>0</v>
      </c>
      <c r="K318" t="n">
        <v>0</v>
      </c>
      <c r="L318" t="n">
        <v>0</v>
      </c>
      <c r="M318" t="n">
        <v>0</v>
      </c>
      <c r="N318" t="n">
        <v>0</v>
      </c>
      <c r="O318" t="n">
        <v>0</v>
      </c>
      <c r="P318" t="n">
        <v>0</v>
      </c>
      <c r="Q318" t="n">
        <v>0</v>
      </c>
      <c r="R318" s="2" t="inlineStr"/>
    </row>
    <row r="319" ht="15" customHeight="1">
      <c r="A319" t="inlineStr">
        <is>
          <t>A 41669-2025</t>
        </is>
      </c>
      <c r="B319" s="1" t="n">
        <v>45902.36149305556</v>
      </c>
      <c r="C319" s="1" t="n">
        <v>46136</v>
      </c>
      <c r="D319" t="inlineStr">
        <is>
          <t>ÖREBRO LÄN</t>
        </is>
      </c>
      <c r="E319" t="inlineStr">
        <is>
          <t>ÖREBRO</t>
        </is>
      </c>
      <c r="G319" t="n">
        <v>2.8</v>
      </c>
      <c r="H319" t="n">
        <v>0</v>
      </c>
      <c r="I319" t="n">
        <v>0</v>
      </c>
      <c r="J319" t="n">
        <v>0</v>
      </c>
      <c r="K319" t="n">
        <v>0</v>
      </c>
      <c r="L319" t="n">
        <v>0</v>
      </c>
      <c r="M319" t="n">
        <v>0</v>
      </c>
      <c r="N319" t="n">
        <v>0</v>
      </c>
      <c r="O319" t="n">
        <v>0</v>
      </c>
      <c r="P319" t="n">
        <v>0</v>
      </c>
      <c r="Q319" t="n">
        <v>0</v>
      </c>
      <c r="R319" s="2" t="inlineStr"/>
    </row>
    <row r="320" ht="15" customHeight="1">
      <c r="A320" t="inlineStr">
        <is>
          <t>A 41412-2025</t>
        </is>
      </c>
      <c r="B320" s="1" t="n">
        <v>45901.3549537037</v>
      </c>
      <c r="C320" s="1" t="n">
        <v>46136</v>
      </c>
      <c r="D320" t="inlineStr">
        <is>
          <t>ÖREBRO LÄN</t>
        </is>
      </c>
      <c r="E320" t="inlineStr">
        <is>
          <t>ÖREBRO</t>
        </is>
      </c>
      <c r="G320" t="n">
        <v>1.1</v>
      </c>
      <c r="H320" t="n">
        <v>0</v>
      </c>
      <c r="I320" t="n">
        <v>0</v>
      </c>
      <c r="J320" t="n">
        <v>0</v>
      </c>
      <c r="K320" t="n">
        <v>0</v>
      </c>
      <c r="L320" t="n">
        <v>0</v>
      </c>
      <c r="M320" t="n">
        <v>0</v>
      </c>
      <c r="N320" t="n">
        <v>0</v>
      </c>
      <c r="O320" t="n">
        <v>0</v>
      </c>
      <c r="P320" t="n">
        <v>0</v>
      </c>
      <c r="Q320" t="n">
        <v>0</v>
      </c>
      <c r="R320" s="2" t="inlineStr"/>
    </row>
    <row r="321" ht="15" customHeight="1">
      <c r="A321" t="inlineStr">
        <is>
          <t>A 35345-2024</t>
        </is>
      </c>
      <c r="B321" s="1" t="n">
        <v>45530</v>
      </c>
      <c r="C321" s="1" t="n">
        <v>46136</v>
      </c>
      <c r="D321" t="inlineStr">
        <is>
          <t>ÖREBRO LÄN</t>
        </is>
      </c>
      <c r="E321" t="inlineStr">
        <is>
          <t>ÖREBRO</t>
        </is>
      </c>
      <c r="G321" t="n">
        <v>0.9</v>
      </c>
      <c r="H321" t="n">
        <v>0</v>
      </c>
      <c r="I321" t="n">
        <v>0</v>
      </c>
      <c r="J321" t="n">
        <v>0</v>
      </c>
      <c r="K321" t="n">
        <v>0</v>
      </c>
      <c r="L321" t="n">
        <v>0</v>
      </c>
      <c r="M321" t="n">
        <v>0</v>
      </c>
      <c r="N321" t="n">
        <v>0</v>
      </c>
      <c r="O321" t="n">
        <v>0</v>
      </c>
      <c r="P321" t="n">
        <v>0</v>
      </c>
      <c r="Q321" t="n">
        <v>0</v>
      </c>
      <c r="R321" s="2" t="inlineStr"/>
    </row>
    <row r="322" ht="15" customHeight="1">
      <c r="A322" t="inlineStr">
        <is>
          <t>A 123-2025</t>
        </is>
      </c>
      <c r="B322" s="1" t="n">
        <v>45659.54851851852</v>
      </c>
      <c r="C322" s="1" t="n">
        <v>46136</v>
      </c>
      <c r="D322" t="inlineStr">
        <is>
          <t>ÖREBRO LÄN</t>
        </is>
      </c>
      <c r="E322" t="inlineStr">
        <is>
          <t>ÖREBRO</t>
        </is>
      </c>
      <c r="G322" t="n">
        <v>1.6</v>
      </c>
      <c r="H322" t="n">
        <v>0</v>
      </c>
      <c r="I322" t="n">
        <v>0</v>
      </c>
      <c r="J322" t="n">
        <v>0</v>
      </c>
      <c r="K322" t="n">
        <v>0</v>
      </c>
      <c r="L322" t="n">
        <v>0</v>
      </c>
      <c r="M322" t="n">
        <v>0</v>
      </c>
      <c r="N322" t="n">
        <v>0</v>
      </c>
      <c r="O322" t="n">
        <v>0</v>
      </c>
      <c r="P322" t="n">
        <v>0</v>
      </c>
      <c r="Q322" t="n">
        <v>0</v>
      </c>
      <c r="R322" s="2" t="inlineStr"/>
    </row>
    <row r="323" ht="15" customHeight="1">
      <c r="A323" t="inlineStr">
        <is>
          <t>A 36448-2025</t>
        </is>
      </c>
      <c r="B323" s="1" t="n">
        <v>45869.41929398148</v>
      </c>
      <c r="C323" s="1" t="n">
        <v>46136</v>
      </c>
      <c r="D323" t="inlineStr">
        <is>
          <t>ÖREBRO LÄN</t>
        </is>
      </c>
      <c r="E323" t="inlineStr">
        <is>
          <t>ÖREBRO</t>
        </is>
      </c>
      <c r="F323" t="inlineStr">
        <is>
          <t>Övriga Aktiebolag</t>
        </is>
      </c>
      <c r="G323" t="n">
        <v>4.3</v>
      </c>
      <c r="H323" t="n">
        <v>0</v>
      </c>
      <c r="I323" t="n">
        <v>0</v>
      </c>
      <c r="J323" t="n">
        <v>0</v>
      </c>
      <c r="K323" t="n">
        <v>0</v>
      </c>
      <c r="L323" t="n">
        <v>0</v>
      </c>
      <c r="M323" t="n">
        <v>0</v>
      </c>
      <c r="N323" t="n">
        <v>0</v>
      </c>
      <c r="O323" t="n">
        <v>0</v>
      </c>
      <c r="P323" t="n">
        <v>0</v>
      </c>
      <c r="Q323" t="n">
        <v>0</v>
      </c>
      <c r="R323" s="2" t="inlineStr"/>
    </row>
    <row r="324" ht="15" customHeight="1">
      <c r="A324" t="inlineStr">
        <is>
          <t>A 30472-2022</t>
        </is>
      </c>
      <c r="B324" s="1" t="n">
        <v>44761.70467592592</v>
      </c>
      <c r="C324" s="1" t="n">
        <v>46136</v>
      </c>
      <c r="D324" t="inlineStr">
        <is>
          <t>ÖREBRO LÄN</t>
        </is>
      </c>
      <c r="E324" t="inlineStr">
        <is>
          <t>ÖREBRO</t>
        </is>
      </c>
      <c r="F324" t="inlineStr">
        <is>
          <t>Övriga Aktiebolag</t>
        </is>
      </c>
      <c r="G324" t="n">
        <v>5.6</v>
      </c>
      <c r="H324" t="n">
        <v>0</v>
      </c>
      <c r="I324" t="n">
        <v>0</v>
      </c>
      <c r="J324" t="n">
        <v>0</v>
      </c>
      <c r="K324" t="n">
        <v>0</v>
      </c>
      <c r="L324" t="n">
        <v>0</v>
      </c>
      <c r="M324" t="n">
        <v>0</v>
      </c>
      <c r="N324" t="n">
        <v>0</v>
      </c>
      <c r="O324" t="n">
        <v>0</v>
      </c>
      <c r="P324" t="n">
        <v>0</v>
      </c>
      <c r="Q324" t="n">
        <v>0</v>
      </c>
      <c r="R324" s="2" t="inlineStr"/>
    </row>
    <row r="325" ht="15" customHeight="1">
      <c r="A325" t="inlineStr">
        <is>
          <t>A 6869-2025</t>
        </is>
      </c>
      <c r="B325" s="1" t="n">
        <v>45700</v>
      </c>
      <c r="C325" s="1" t="n">
        <v>46136</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36447-2025</t>
        </is>
      </c>
      <c r="B326" s="1" t="n">
        <v>45869.41387731482</v>
      </c>
      <c r="C326" s="1" t="n">
        <v>46136</v>
      </c>
      <c r="D326" t="inlineStr">
        <is>
          <t>ÖREBRO LÄN</t>
        </is>
      </c>
      <c r="E326" t="inlineStr">
        <is>
          <t>ÖREBRO</t>
        </is>
      </c>
      <c r="F326" t="inlineStr">
        <is>
          <t>Övriga Aktiebolag</t>
        </is>
      </c>
      <c r="G326" t="n">
        <v>12.6</v>
      </c>
      <c r="H326" t="n">
        <v>0</v>
      </c>
      <c r="I326" t="n">
        <v>0</v>
      </c>
      <c r="J326" t="n">
        <v>0</v>
      </c>
      <c r="K326" t="n">
        <v>0</v>
      </c>
      <c r="L326" t="n">
        <v>0</v>
      </c>
      <c r="M326" t="n">
        <v>0</v>
      </c>
      <c r="N326" t="n">
        <v>0</v>
      </c>
      <c r="O326" t="n">
        <v>0</v>
      </c>
      <c r="P326" t="n">
        <v>0</v>
      </c>
      <c r="Q326" t="n">
        <v>0</v>
      </c>
      <c r="R326" s="2" t="inlineStr"/>
    </row>
    <row r="327" ht="15" customHeight="1">
      <c r="A327" t="inlineStr">
        <is>
          <t>A 57869-2024</t>
        </is>
      </c>
      <c r="B327" s="1" t="n">
        <v>45631.44207175926</v>
      </c>
      <c r="C327" s="1" t="n">
        <v>46136</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10108-2026</t>
        </is>
      </c>
      <c r="B328" s="1" t="n">
        <v>46074.64310185185</v>
      </c>
      <c r="C328" s="1" t="n">
        <v>46136</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10502-2026</t>
        </is>
      </c>
      <c r="B329" s="1" t="n">
        <v>46077</v>
      </c>
      <c r="C329" s="1" t="n">
        <v>46136</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37277-2022</t>
        </is>
      </c>
      <c r="B330" s="1" t="n">
        <v>44807.49150462963</v>
      </c>
      <c r="C330" s="1" t="n">
        <v>46136</v>
      </c>
      <c r="D330" t="inlineStr">
        <is>
          <t>ÖREBRO LÄN</t>
        </is>
      </c>
      <c r="E330" t="inlineStr">
        <is>
          <t>ÖREBRO</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27956-2023</t>
        </is>
      </c>
      <c r="B331" s="1" t="n">
        <v>45098</v>
      </c>
      <c r="C331" s="1" t="n">
        <v>46136</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51331-2023</t>
        </is>
      </c>
      <c r="B332" s="1" t="n">
        <v>45219</v>
      </c>
      <c r="C332" s="1" t="n">
        <v>46136</v>
      </c>
      <c r="D332" t="inlineStr">
        <is>
          <t>ÖREBRO LÄN</t>
        </is>
      </c>
      <c r="E332" t="inlineStr">
        <is>
          <t>ÖREBRO</t>
        </is>
      </c>
      <c r="F332" t="inlineStr">
        <is>
          <t>Kommuner</t>
        </is>
      </c>
      <c r="G332" t="n">
        <v>1.3</v>
      </c>
      <c r="H332" t="n">
        <v>0</v>
      </c>
      <c r="I332" t="n">
        <v>0</v>
      </c>
      <c r="J332" t="n">
        <v>0</v>
      </c>
      <c r="K332" t="n">
        <v>0</v>
      </c>
      <c r="L332" t="n">
        <v>0</v>
      </c>
      <c r="M332" t="n">
        <v>0</v>
      </c>
      <c r="N332" t="n">
        <v>0</v>
      </c>
      <c r="O332" t="n">
        <v>0</v>
      </c>
      <c r="P332" t="n">
        <v>0</v>
      </c>
      <c r="Q332" t="n">
        <v>0</v>
      </c>
      <c r="R332" s="2" t="inlineStr"/>
    </row>
    <row r="333" ht="15" customHeight="1">
      <c r="A333" t="inlineStr">
        <is>
          <t>A 40588-2021</t>
        </is>
      </c>
      <c r="B333" s="1" t="n">
        <v>44420</v>
      </c>
      <c r="C333" s="1" t="n">
        <v>46136</v>
      </c>
      <c r="D333" t="inlineStr">
        <is>
          <t>ÖREBRO LÄN</t>
        </is>
      </c>
      <c r="E333" t="inlineStr">
        <is>
          <t>ÖREBRO</t>
        </is>
      </c>
      <c r="G333" t="n">
        <v>1.1</v>
      </c>
      <c r="H333" t="n">
        <v>0</v>
      </c>
      <c r="I333" t="n">
        <v>0</v>
      </c>
      <c r="J333" t="n">
        <v>0</v>
      </c>
      <c r="K333" t="n">
        <v>0</v>
      </c>
      <c r="L333" t="n">
        <v>0</v>
      </c>
      <c r="M333" t="n">
        <v>0</v>
      </c>
      <c r="N333" t="n">
        <v>0</v>
      </c>
      <c r="O333" t="n">
        <v>0</v>
      </c>
      <c r="P333" t="n">
        <v>0</v>
      </c>
      <c r="Q333" t="n">
        <v>0</v>
      </c>
      <c r="R333" s="2" t="inlineStr"/>
    </row>
    <row r="334" ht="15" customHeight="1">
      <c r="A334" t="inlineStr">
        <is>
          <t>A 10944-2026</t>
        </is>
      </c>
      <c r="B334" s="1" t="n">
        <v>46079.37659722222</v>
      </c>
      <c r="C334" s="1" t="n">
        <v>46136</v>
      </c>
      <c r="D334" t="inlineStr">
        <is>
          <t>ÖREBRO LÄN</t>
        </is>
      </c>
      <c r="E334" t="inlineStr">
        <is>
          <t>ÖREBRO</t>
        </is>
      </c>
      <c r="G334" t="n">
        <v>2.7</v>
      </c>
      <c r="H334" t="n">
        <v>0</v>
      </c>
      <c r="I334" t="n">
        <v>0</v>
      </c>
      <c r="J334" t="n">
        <v>0</v>
      </c>
      <c r="K334" t="n">
        <v>0</v>
      </c>
      <c r="L334" t="n">
        <v>0</v>
      </c>
      <c r="M334" t="n">
        <v>0</v>
      </c>
      <c r="N334" t="n">
        <v>0</v>
      </c>
      <c r="O334" t="n">
        <v>0</v>
      </c>
      <c r="P334" t="n">
        <v>0</v>
      </c>
      <c r="Q334" t="n">
        <v>0</v>
      </c>
      <c r="R334" s="2" t="inlineStr"/>
    </row>
    <row r="335" ht="15" customHeight="1">
      <c r="A335" t="inlineStr">
        <is>
          <t>A 29554-2025</t>
        </is>
      </c>
      <c r="B335" s="1" t="n">
        <v>45825</v>
      </c>
      <c r="C335" s="1" t="n">
        <v>46136</v>
      </c>
      <c r="D335" t="inlineStr">
        <is>
          <t>ÖREBRO LÄN</t>
        </is>
      </c>
      <c r="E335" t="inlineStr">
        <is>
          <t>ÖREBRO</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40231-2022</t>
        </is>
      </c>
      <c r="B336" s="1" t="n">
        <v>44820</v>
      </c>
      <c r="C336" s="1" t="n">
        <v>46136</v>
      </c>
      <c r="D336" t="inlineStr">
        <is>
          <t>ÖREBRO LÄN</t>
        </is>
      </c>
      <c r="E336" t="inlineStr">
        <is>
          <t>ÖREBRO</t>
        </is>
      </c>
      <c r="F336" t="inlineStr">
        <is>
          <t>Allmännings- och besparingsskogar</t>
        </is>
      </c>
      <c r="G336" t="n">
        <v>2.2</v>
      </c>
      <c r="H336" t="n">
        <v>0</v>
      </c>
      <c r="I336" t="n">
        <v>0</v>
      </c>
      <c r="J336" t="n">
        <v>0</v>
      </c>
      <c r="K336" t="n">
        <v>0</v>
      </c>
      <c r="L336" t="n">
        <v>0</v>
      </c>
      <c r="M336" t="n">
        <v>0</v>
      </c>
      <c r="N336" t="n">
        <v>0</v>
      </c>
      <c r="O336" t="n">
        <v>0</v>
      </c>
      <c r="P336" t="n">
        <v>0</v>
      </c>
      <c r="Q336" t="n">
        <v>0</v>
      </c>
      <c r="R336" s="2" t="inlineStr"/>
    </row>
    <row r="337" ht="15" customHeight="1">
      <c r="A337" t="inlineStr">
        <is>
          <t>A 4284-2025</t>
        </is>
      </c>
      <c r="B337" s="1" t="n">
        <v>45685</v>
      </c>
      <c r="C337" s="1" t="n">
        <v>46136</v>
      </c>
      <c r="D337" t="inlineStr">
        <is>
          <t>ÖREBRO LÄN</t>
        </is>
      </c>
      <c r="E337" t="inlineStr">
        <is>
          <t>ÖREBRO</t>
        </is>
      </c>
      <c r="G337" t="n">
        <v>1.7</v>
      </c>
      <c r="H337" t="n">
        <v>0</v>
      </c>
      <c r="I337" t="n">
        <v>0</v>
      </c>
      <c r="J337" t="n">
        <v>0</v>
      </c>
      <c r="K337" t="n">
        <v>0</v>
      </c>
      <c r="L337" t="n">
        <v>0</v>
      </c>
      <c r="M337" t="n">
        <v>0</v>
      </c>
      <c r="N337" t="n">
        <v>0</v>
      </c>
      <c r="O337" t="n">
        <v>0</v>
      </c>
      <c r="P337" t="n">
        <v>0</v>
      </c>
      <c r="Q337" t="n">
        <v>0</v>
      </c>
      <c r="R337" s="2" t="inlineStr"/>
    </row>
    <row r="338" ht="15" customHeight="1">
      <c r="A338" t="inlineStr">
        <is>
          <t>A 10816-2026</t>
        </is>
      </c>
      <c r="B338" s="1" t="n">
        <v>46078.61224537037</v>
      </c>
      <c r="C338" s="1" t="n">
        <v>46136</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25443-2021</t>
        </is>
      </c>
      <c r="B339" s="1" t="n">
        <v>44342</v>
      </c>
      <c r="C339" s="1" t="n">
        <v>46136</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10970-2026</t>
        </is>
      </c>
      <c r="B340" s="1" t="n">
        <v>46079.44788194444</v>
      </c>
      <c r="C340" s="1" t="n">
        <v>46136</v>
      </c>
      <c r="D340" t="inlineStr">
        <is>
          <t>ÖREBRO LÄN</t>
        </is>
      </c>
      <c r="E340" t="inlineStr">
        <is>
          <t>ÖREBRO</t>
        </is>
      </c>
      <c r="G340" t="n">
        <v>6.5</v>
      </c>
      <c r="H340" t="n">
        <v>0</v>
      </c>
      <c r="I340" t="n">
        <v>0</v>
      </c>
      <c r="J340" t="n">
        <v>0</v>
      </c>
      <c r="K340" t="n">
        <v>0</v>
      </c>
      <c r="L340" t="n">
        <v>0</v>
      </c>
      <c r="M340" t="n">
        <v>0</v>
      </c>
      <c r="N340" t="n">
        <v>0</v>
      </c>
      <c r="O340" t="n">
        <v>0</v>
      </c>
      <c r="P340" t="n">
        <v>0</v>
      </c>
      <c r="Q340" t="n">
        <v>0</v>
      </c>
      <c r="R340" s="2" t="inlineStr"/>
    </row>
    <row r="341" ht="15" customHeight="1">
      <c r="A341" t="inlineStr">
        <is>
          <t>A 10972-2026</t>
        </is>
      </c>
      <c r="B341" s="1" t="n">
        <v>46079.45015046297</v>
      </c>
      <c r="C341" s="1" t="n">
        <v>46136</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17744-2026</t>
        </is>
      </c>
      <c r="B342" s="1" t="n">
        <v>46122.31243055555</v>
      </c>
      <c r="C342" s="1" t="n">
        <v>46136</v>
      </c>
      <c r="D342" t="inlineStr">
        <is>
          <t>ÖREBRO LÄN</t>
        </is>
      </c>
      <c r="E342" t="inlineStr">
        <is>
          <t>ÖREBRO</t>
        </is>
      </c>
      <c r="G342" t="n">
        <v>3.5</v>
      </c>
      <c r="H342" t="n">
        <v>0</v>
      </c>
      <c r="I342" t="n">
        <v>0</v>
      </c>
      <c r="J342" t="n">
        <v>0</v>
      </c>
      <c r="K342" t="n">
        <v>0</v>
      </c>
      <c r="L342" t="n">
        <v>0</v>
      </c>
      <c r="M342" t="n">
        <v>0</v>
      </c>
      <c r="N342" t="n">
        <v>0</v>
      </c>
      <c r="O342" t="n">
        <v>0</v>
      </c>
      <c r="P342" t="n">
        <v>0</v>
      </c>
      <c r="Q342" t="n">
        <v>0</v>
      </c>
      <c r="R342" s="2" t="inlineStr"/>
    </row>
    <row r="343" ht="15" customHeight="1">
      <c r="A343" t="inlineStr">
        <is>
          <t>A 42623-2022</t>
        </is>
      </c>
      <c r="B343" s="1" t="n">
        <v>44831</v>
      </c>
      <c r="C343" s="1" t="n">
        <v>46136</v>
      </c>
      <c r="D343" t="inlineStr">
        <is>
          <t>ÖREBRO LÄN</t>
        </is>
      </c>
      <c r="E343" t="inlineStr">
        <is>
          <t>ÖREBRO</t>
        </is>
      </c>
      <c r="G343" t="n">
        <v>3.6</v>
      </c>
      <c r="H343" t="n">
        <v>0</v>
      </c>
      <c r="I343" t="n">
        <v>0</v>
      </c>
      <c r="J343" t="n">
        <v>0</v>
      </c>
      <c r="K343" t="n">
        <v>0</v>
      </c>
      <c r="L343" t="n">
        <v>0</v>
      </c>
      <c r="M343" t="n">
        <v>0</v>
      </c>
      <c r="N343" t="n">
        <v>0</v>
      </c>
      <c r="O343" t="n">
        <v>0</v>
      </c>
      <c r="P343" t="n">
        <v>0</v>
      </c>
      <c r="Q343" t="n">
        <v>0</v>
      </c>
      <c r="R343" s="2" t="inlineStr"/>
    </row>
    <row r="344" ht="15" customHeight="1">
      <c r="A344" t="inlineStr">
        <is>
          <t>A 3763-2025</t>
        </is>
      </c>
      <c r="B344" s="1" t="n">
        <v>45681</v>
      </c>
      <c r="C344" s="1" t="n">
        <v>46136</v>
      </c>
      <c r="D344" t="inlineStr">
        <is>
          <t>ÖREBRO LÄN</t>
        </is>
      </c>
      <c r="E344" t="inlineStr">
        <is>
          <t>ÖREBRO</t>
        </is>
      </c>
      <c r="G344" t="n">
        <v>10.1</v>
      </c>
      <c r="H344" t="n">
        <v>0</v>
      </c>
      <c r="I344" t="n">
        <v>0</v>
      </c>
      <c r="J344" t="n">
        <v>0</v>
      </c>
      <c r="K344" t="n">
        <v>0</v>
      </c>
      <c r="L344" t="n">
        <v>0</v>
      </c>
      <c r="M344" t="n">
        <v>0</v>
      </c>
      <c r="N344" t="n">
        <v>0</v>
      </c>
      <c r="O344" t="n">
        <v>0</v>
      </c>
      <c r="P344" t="n">
        <v>0</v>
      </c>
      <c r="Q344" t="n">
        <v>0</v>
      </c>
      <c r="R344" s="2" t="inlineStr"/>
    </row>
    <row r="345" ht="15" customHeight="1">
      <c r="A345" t="inlineStr">
        <is>
          <t>A 11286-2026</t>
        </is>
      </c>
      <c r="B345" s="1" t="n">
        <v>46080</v>
      </c>
      <c r="C345" s="1" t="n">
        <v>46136</v>
      </c>
      <c r="D345" t="inlineStr">
        <is>
          <t>ÖREBRO LÄN</t>
        </is>
      </c>
      <c r="E345" t="inlineStr">
        <is>
          <t>ÖREBRO</t>
        </is>
      </c>
      <c r="G345" t="n">
        <v>5.4</v>
      </c>
      <c r="H345" t="n">
        <v>0</v>
      </c>
      <c r="I345" t="n">
        <v>0</v>
      </c>
      <c r="J345" t="n">
        <v>0</v>
      </c>
      <c r="K345" t="n">
        <v>0</v>
      </c>
      <c r="L345" t="n">
        <v>0</v>
      </c>
      <c r="M345" t="n">
        <v>0</v>
      </c>
      <c r="N345" t="n">
        <v>0</v>
      </c>
      <c r="O345" t="n">
        <v>0</v>
      </c>
      <c r="P345" t="n">
        <v>0</v>
      </c>
      <c r="Q345" t="n">
        <v>0</v>
      </c>
      <c r="R345" s="2" t="inlineStr"/>
    </row>
    <row r="346" ht="15" customHeight="1">
      <c r="A346" t="inlineStr">
        <is>
          <t>A 10829-2023</t>
        </is>
      </c>
      <c r="B346" s="1" t="n">
        <v>44990.88512731482</v>
      </c>
      <c r="C346" s="1" t="n">
        <v>46136</v>
      </c>
      <c r="D346" t="inlineStr">
        <is>
          <t>ÖREBRO LÄN</t>
        </is>
      </c>
      <c r="E346" t="inlineStr">
        <is>
          <t>ÖREBRO</t>
        </is>
      </c>
      <c r="G346" t="n">
        <v>4.4</v>
      </c>
      <c r="H346" t="n">
        <v>0</v>
      </c>
      <c r="I346" t="n">
        <v>0</v>
      </c>
      <c r="J346" t="n">
        <v>0</v>
      </c>
      <c r="K346" t="n">
        <v>0</v>
      </c>
      <c r="L346" t="n">
        <v>0</v>
      </c>
      <c r="M346" t="n">
        <v>0</v>
      </c>
      <c r="N346" t="n">
        <v>0</v>
      </c>
      <c r="O346" t="n">
        <v>0</v>
      </c>
      <c r="P346" t="n">
        <v>0</v>
      </c>
      <c r="Q346" t="n">
        <v>0</v>
      </c>
      <c r="R346" s="2" t="inlineStr"/>
    </row>
    <row r="347" ht="15" customHeight="1">
      <c r="A347" t="inlineStr">
        <is>
          <t>A 10831-2023</t>
        </is>
      </c>
      <c r="B347" s="1" t="n">
        <v>44990.90357638889</v>
      </c>
      <c r="C347" s="1" t="n">
        <v>46136</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16165-2023</t>
        </is>
      </c>
      <c r="B348" s="1" t="n">
        <v>45027</v>
      </c>
      <c r="C348" s="1" t="n">
        <v>46136</v>
      </c>
      <c r="D348" t="inlineStr">
        <is>
          <t>ÖREBRO LÄN</t>
        </is>
      </c>
      <c r="E348" t="inlineStr">
        <is>
          <t>ÖREBRO</t>
        </is>
      </c>
      <c r="G348" t="n">
        <v>11</v>
      </c>
      <c r="H348" t="n">
        <v>0</v>
      </c>
      <c r="I348" t="n">
        <v>0</v>
      </c>
      <c r="J348" t="n">
        <v>0</v>
      </c>
      <c r="K348" t="n">
        <v>0</v>
      </c>
      <c r="L348" t="n">
        <v>0</v>
      </c>
      <c r="M348" t="n">
        <v>0</v>
      </c>
      <c r="N348" t="n">
        <v>0</v>
      </c>
      <c r="O348" t="n">
        <v>0</v>
      </c>
      <c r="P348" t="n">
        <v>0</v>
      </c>
      <c r="Q348" t="n">
        <v>0</v>
      </c>
      <c r="R348" s="2" t="inlineStr"/>
    </row>
    <row r="349" ht="15" customHeight="1">
      <c r="A349" t="inlineStr">
        <is>
          <t>A 57247-2022</t>
        </is>
      </c>
      <c r="B349" s="1" t="n">
        <v>44895.73065972222</v>
      </c>
      <c r="C349" s="1" t="n">
        <v>46136</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38057-2025</t>
        </is>
      </c>
      <c r="B350" s="1" t="n">
        <v>45882.42570601852</v>
      </c>
      <c r="C350" s="1" t="n">
        <v>46136</v>
      </c>
      <c r="D350" t="inlineStr">
        <is>
          <t>ÖREBRO LÄN</t>
        </is>
      </c>
      <c r="E350" t="inlineStr">
        <is>
          <t>ÖREBRO</t>
        </is>
      </c>
      <c r="G350" t="n">
        <v>3</v>
      </c>
      <c r="H350" t="n">
        <v>0</v>
      </c>
      <c r="I350" t="n">
        <v>0</v>
      </c>
      <c r="J350" t="n">
        <v>0</v>
      </c>
      <c r="K350" t="n">
        <v>0</v>
      </c>
      <c r="L350" t="n">
        <v>0</v>
      </c>
      <c r="M350" t="n">
        <v>0</v>
      </c>
      <c r="N350" t="n">
        <v>0</v>
      </c>
      <c r="O350" t="n">
        <v>0</v>
      </c>
      <c r="P350" t="n">
        <v>0</v>
      </c>
      <c r="Q350" t="n">
        <v>0</v>
      </c>
      <c r="R350" s="2" t="inlineStr"/>
    </row>
    <row r="351" ht="15" customHeight="1">
      <c r="A351" t="inlineStr">
        <is>
          <t>A 46757-2021</t>
        </is>
      </c>
      <c r="B351" s="1" t="n">
        <v>44445</v>
      </c>
      <c r="C351" s="1" t="n">
        <v>46136</v>
      </c>
      <c r="D351" t="inlineStr">
        <is>
          <t>ÖREBRO LÄN</t>
        </is>
      </c>
      <c r="E351" t="inlineStr">
        <is>
          <t>ÖREBRO</t>
        </is>
      </c>
      <c r="G351" t="n">
        <v>5.6</v>
      </c>
      <c r="H351" t="n">
        <v>0</v>
      </c>
      <c r="I351" t="n">
        <v>0</v>
      </c>
      <c r="J351" t="n">
        <v>0</v>
      </c>
      <c r="K351" t="n">
        <v>0</v>
      </c>
      <c r="L351" t="n">
        <v>0</v>
      </c>
      <c r="M351" t="n">
        <v>0</v>
      </c>
      <c r="N351" t="n">
        <v>0</v>
      </c>
      <c r="O351" t="n">
        <v>0</v>
      </c>
      <c r="P351" t="n">
        <v>0</v>
      </c>
      <c r="Q351" t="n">
        <v>0</v>
      </c>
      <c r="R351" s="2" t="inlineStr"/>
    </row>
    <row r="352" ht="15" customHeight="1">
      <c r="A352" t="inlineStr">
        <is>
          <t>A 30374-2023</t>
        </is>
      </c>
      <c r="B352" s="1" t="n">
        <v>45111</v>
      </c>
      <c r="C352" s="1" t="n">
        <v>46136</v>
      </c>
      <c r="D352" t="inlineStr">
        <is>
          <t>ÖREBRO LÄN</t>
        </is>
      </c>
      <c r="E352" t="inlineStr">
        <is>
          <t>ÖREBRO</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54678-2023</t>
        </is>
      </c>
      <c r="B353" s="1" t="n">
        <v>45235</v>
      </c>
      <c r="C353" s="1" t="n">
        <v>46136</v>
      </c>
      <c r="D353" t="inlineStr">
        <is>
          <t>ÖREBRO LÄN</t>
        </is>
      </c>
      <c r="E353" t="inlineStr">
        <is>
          <t>ÖREBRO</t>
        </is>
      </c>
      <c r="G353" t="n">
        <v>1.7</v>
      </c>
      <c r="H353" t="n">
        <v>0</v>
      </c>
      <c r="I353" t="n">
        <v>0</v>
      </c>
      <c r="J353" t="n">
        <v>0</v>
      </c>
      <c r="K353" t="n">
        <v>0</v>
      </c>
      <c r="L353" t="n">
        <v>0</v>
      </c>
      <c r="M353" t="n">
        <v>0</v>
      </c>
      <c r="N353" t="n">
        <v>0</v>
      </c>
      <c r="O353" t="n">
        <v>0</v>
      </c>
      <c r="P353" t="n">
        <v>0</v>
      </c>
      <c r="Q353" t="n">
        <v>0</v>
      </c>
      <c r="R353" s="2" t="inlineStr"/>
    </row>
    <row r="354" ht="15" customHeight="1">
      <c r="A354" t="inlineStr">
        <is>
          <t>A 44875-2025</t>
        </is>
      </c>
      <c r="B354" s="1" t="n">
        <v>45918.47043981482</v>
      </c>
      <c r="C354" s="1" t="n">
        <v>46136</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44960-2025</t>
        </is>
      </c>
      <c r="B355" s="1" t="n">
        <v>45918.61577546296</v>
      </c>
      <c r="C355" s="1" t="n">
        <v>46136</v>
      </c>
      <c r="D355" t="inlineStr">
        <is>
          <t>ÖREBRO LÄN</t>
        </is>
      </c>
      <c r="E355" t="inlineStr">
        <is>
          <t>ÖREBRO</t>
        </is>
      </c>
      <c r="G355" t="n">
        <v>1.5</v>
      </c>
      <c r="H355" t="n">
        <v>0</v>
      </c>
      <c r="I355" t="n">
        <v>0</v>
      </c>
      <c r="J355" t="n">
        <v>0</v>
      </c>
      <c r="K355" t="n">
        <v>0</v>
      </c>
      <c r="L355" t="n">
        <v>0</v>
      </c>
      <c r="M355" t="n">
        <v>0</v>
      </c>
      <c r="N355" t="n">
        <v>0</v>
      </c>
      <c r="O355" t="n">
        <v>0</v>
      </c>
      <c r="P355" t="n">
        <v>0</v>
      </c>
      <c r="Q355" t="n">
        <v>0</v>
      </c>
      <c r="R355" s="2" t="inlineStr"/>
    </row>
    <row r="356" ht="15" customHeight="1">
      <c r="A356" t="inlineStr">
        <is>
          <t>A 58219-2024</t>
        </is>
      </c>
      <c r="B356" s="1" t="n">
        <v>45632</v>
      </c>
      <c r="C356" s="1" t="n">
        <v>46136</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12536-2026</t>
        </is>
      </c>
      <c r="B357" s="1" t="n">
        <v>46090.60851851852</v>
      </c>
      <c r="C357" s="1" t="n">
        <v>46136</v>
      </c>
      <c r="D357" t="inlineStr">
        <is>
          <t>ÖREBRO LÄN</t>
        </is>
      </c>
      <c r="E357" t="inlineStr">
        <is>
          <t>ÖREBRO</t>
        </is>
      </c>
      <c r="G357" t="n">
        <v>7.7</v>
      </c>
      <c r="H357" t="n">
        <v>0</v>
      </c>
      <c r="I357" t="n">
        <v>0</v>
      </c>
      <c r="J357" t="n">
        <v>0</v>
      </c>
      <c r="K357" t="n">
        <v>0</v>
      </c>
      <c r="L357" t="n">
        <v>0</v>
      </c>
      <c r="M357" t="n">
        <v>0</v>
      </c>
      <c r="N357" t="n">
        <v>0</v>
      </c>
      <c r="O357" t="n">
        <v>0</v>
      </c>
      <c r="P357" t="n">
        <v>0</v>
      </c>
      <c r="Q357" t="n">
        <v>0</v>
      </c>
      <c r="R357" s="2" t="inlineStr"/>
    </row>
    <row r="358" ht="15" customHeight="1">
      <c r="A358" t="inlineStr">
        <is>
          <t>A 42518-2021</t>
        </is>
      </c>
      <c r="B358" s="1" t="n">
        <v>44427.81496527778</v>
      </c>
      <c r="C358" s="1" t="n">
        <v>46136</v>
      </c>
      <c r="D358" t="inlineStr">
        <is>
          <t>ÖREBRO LÄN</t>
        </is>
      </c>
      <c r="E358" t="inlineStr">
        <is>
          <t>ÖREBRO</t>
        </is>
      </c>
      <c r="G358" t="n">
        <v>4.5</v>
      </c>
      <c r="H358" t="n">
        <v>0</v>
      </c>
      <c r="I358" t="n">
        <v>0</v>
      </c>
      <c r="J358" t="n">
        <v>0</v>
      </c>
      <c r="K358" t="n">
        <v>0</v>
      </c>
      <c r="L358" t="n">
        <v>0</v>
      </c>
      <c r="M358" t="n">
        <v>0</v>
      </c>
      <c r="N358" t="n">
        <v>0</v>
      </c>
      <c r="O358" t="n">
        <v>0</v>
      </c>
      <c r="P358" t="n">
        <v>0</v>
      </c>
      <c r="Q358" t="n">
        <v>0</v>
      </c>
      <c r="R358" s="2" t="inlineStr"/>
    </row>
    <row r="359" ht="15" customHeight="1">
      <c r="A359" t="inlineStr">
        <is>
          <t>A 14545-2023</t>
        </is>
      </c>
      <c r="B359" s="1" t="n">
        <v>45013.34895833334</v>
      </c>
      <c r="C359" s="1" t="n">
        <v>46136</v>
      </c>
      <c r="D359" t="inlineStr">
        <is>
          <t>ÖREBRO LÄN</t>
        </is>
      </c>
      <c r="E359" t="inlineStr">
        <is>
          <t>ÖREBRO</t>
        </is>
      </c>
      <c r="G359" t="n">
        <v>2.5</v>
      </c>
      <c r="H359" t="n">
        <v>0</v>
      </c>
      <c r="I359" t="n">
        <v>0</v>
      </c>
      <c r="J359" t="n">
        <v>0</v>
      </c>
      <c r="K359" t="n">
        <v>0</v>
      </c>
      <c r="L359" t="n">
        <v>0</v>
      </c>
      <c r="M359" t="n">
        <v>0</v>
      </c>
      <c r="N359" t="n">
        <v>0</v>
      </c>
      <c r="O359" t="n">
        <v>0</v>
      </c>
      <c r="P359" t="n">
        <v>0</v>
      </c>
      <c r="Q359" t="n">
        <v>0</v>
      </c>
      <c r="R359" s="2" t="inlineStr"/>
    </row>
    <row r="360" ht="15" customHeight="1">
      <c r="A360" t="inlineStr">
        <is>
          <t>A 27112-2023</t>
        </is>
      </c>
      <c r="B360" s="1" t="n">
        <v>45096</v>
      </c>
      <c r="C360" s="1" t="n">
        <v>46136</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14524-2025</t>
        </is>
      </c>
      <c r="B361" s="1" t="n">
        <v>45741.64815972222</v>
      </c>
      <c r="C361" s="1" t="n">
        <v>46136</v>
      </c>
      <c r="D361" t="inlineStr">
        <is>
          <t>ÖREBRO LÄN</t>
        </is>
      </c>
      <c r="E361" t="inlineStr">
        <is>
          <t>ÖREBRO</t>
        </is>
      </c>
      <c r="G361" t="n">
        <v>2.8</v>
      </c>
      <c r="H361" t="n">
        <v>0</v>
      </c>
      <c r="I361" t="n">
        <v>0</v>
      </c>
      <c r="J361" t="n">
        <v>0</v>
      </c>
      <c r="K361" t="n">
        <v>0</v>
      </c>
      <c r="L361" t="n">
        <v>0</v>
      </c>
      <c r="M361" t="n">
        <v>0</v>
      </c>
      <c r="N361" t="n">
        <v>0</v>
      </c>
      <c r="O361" t="n">
        <v>0</v>
      </c>
      <c r="P361" t="n">
        <v>0</v>
      </c>
      <c r="Q361" t="n">
        <v>0</v>
      </c>
      <c r="R361" s="2" t="inlineStr"/>
    </row>
    <row r="362" ht="15" customHeight="1">
      <c r="A362" t="inlineStr">
        <is>
          <t>A 46834-2022</t>
        </is>
      </c>
      <c r="B362" s="1" t="n">
        <v>44851</v>
      </c>
      <c r="C362" s="1" t="n">
        <v>46136</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57638-2022</t>
        </is>
      </c>
      <c r="B363" s="1" t="n">
        <v>44897</v>
      </c>
      <c r="C363" s="1" t="n">
        <v>46136</v>
      </c>
      <c r="D363" t="inlineStr">
        <is>
          <t>ÖREBRO LÄN</t>
        </is>
      </c>
      <c r="E363" t="inlineStr">
        <is>
          <t>ÖREBRO</t>
        </is>
      </c>
      <c r="G363" t="n">
        <v>1.6</v>
      </c>
      <c r="H363" t="n">
        <v>0</v>
      </c>
      <c r="I363" t="n">
        <v>0</v>
      </c>
      <c r="J363" t="n">
        <v>0</v>
      </c>
      <c r="K363" t="n">
        <v>0</v>
      </c>
      <c r="L363" t="n">
        <v>0</v>
      </c>
      <c r="M363" t="n">
        <v>0</v>
      </c>
      <c r="N363" t="n">
        <v>0</v>
      </c>
      <c r="O363" t="n">
        <v>0</v>
      </c>
      <c r="P363" t="n">
        <v>0</v>
      </c>
      <c r="Q363" t="n">
        <v>0</v>
      </c>
      <c r="R363" s="2" t="inlineStr"/>
    </row>
    <row r="364" ht="15" customHeight="1">
      <c r="A364" t="inlineStr">
        <is>
          <t>A 2152-2023</t>
        </is>
      </c>
      <c r="B364" s="1" t="n">
        <v>44941.55056712963</v>
      </c>
      <c r="C364" s="1" t="n">
        <v>46136</v>
      </c>
      <c r="D364" t="inlineStr">
        <is>
          <t>ÖREBRO LÄN</t>
        </is>
      </c>
      <c r="E364" t="inlineStr">
        <is>
          <t>ÖREBRO</t>
        </is>
      </c>
      <c r="G364" t="n">
        <v>8</v>
      </c>
      <c r="H364" t="n">
        <v>0</v>
      </c>
      <c r="I364" t="n">
        <v>0</v>
      </c>
      <c r="J364" t="n">
        <v>0</v>
      </c>
      <c r="K364" t="n">
        <v>0</v>
      </c>
      <c r="L364" t="n">
        <v>0</v>
      </c>
      <c r="M364" t="n">
        <v>0</v>
      </c>
      <c r="N364" t="n">
        <v>0</v>
      </c>
      <c r="O364" t="n">
        <v>0</v>
      </c>
      <c r="P364" t="n">
        <v>0</v>
      </c>
      <c r="Q364" t="n">
        <v>0</v>
      </c>
      <c r="R364" s="2" t="inlineStr"/>
    </row>
    <row r="365" ht="15" customHeight="1">
      <c r="A365" t="inlineStr">
        <is>
          <t>A 55745-2023</t>
        </is>
      </c>
      <c r="B365" s="1" t="n">
        <v>45239.44811342593</v>
      </c>
      <c r="C365" s="1" t="n">
        <v>46136</v>
      </c>
      <c r="D365" t="inlineStr">
        <is>
          <t>ÖREBRO LÄN</t>
        </is>
      </c>
      <c r="E365" t="inlineStr">
        <is>
          <t>ÖREBRO</t>
        </is>
      </c>
      <c r="G365" t="n">
        <v>13.3</v>
      </c>
      <c r="H365" t="n">
        <v>0</v>
      </c>
      <c r="I365" t="n">
        <v>0</v>
      </c>
      <c r="J365" t="n">
        <v>0</v>
      </c>
      <c r="K365" t="n">
        <v>0</v>
      </c>
      <c r="L365" t="n">
        <v>0</v>
      </c>
      <c r="M365" t="n">
        <v>0</v>
      </c>
      <c r="N365" t="n">
        <v>0</v>
      </c>
      <c r="O365" t="n">
        <v>0</v>
      </c>
      <c r="P365" t="n">
        <v>0</v>
      </c>
      <c r="Q365" t="n">
        <v>0</v>
      </c>
      <c r="R365" s="2" t="inlineStr"/>
    </row>
    <row r="366" ht="15" customHeight="1">
      <c r="A366" t="inlineStr">
        <is>
          <t>A 71285-2021</t>
        </is>
      </c>
      <c r="B366" s="1" t="n">
        <v>44539.62236111111</v>
      </c>
      <c r="C366" s="1" t="n">
        <v>46136</v>
      </c>
      <c r="D366" t="inlineStr">
        <is>
          <t>ÖREBRO LÄN</t>
        </is>
      </c>
      <c r="E366" t="inlineStr">
        <is>
          <t>ÖREBRO</t>
        </is>
      </c>
      <c r="G366" t="n">
        <v>0.8</v>
      </c>
      <c r="H366" t="n">
        <v>0</v>
      </c>
      <c r="I366" t="n">
        <v>0</v>
      </c>
      <c r="J366" t="n">
        <v>0</v>
      </c>
      <c r="K366" t="n">
        <v>0</v>
      </c>
      <c r="L366" t="n">
        <v>0</v>
      </c>
      <c r="M366" t="n">
        <v>0</v>
      </c>
      <c r="N366" t="n">
        <v>0</v>
      </c>
      <c r="O366" t="n">
        <v>0</v>
      </c>
      <c r="P366" t="n">
        <v>0</v>
      </c>
      <c r="Q366" t="n">
        <v>0</v>
      </c>
      <c r="R366" s="2" t="inlineStr"/>
    </row>
    <row r="367" ht="15" customHeight="1">
      <c r="A367" t="inlineStr">
        <is>
          <t>A 11663-2024</t>
        </is>
      </c>
      <c r="B367" s="1" t="n">
        <v>45373</v>
      </c>
      <c r="C367" s="1" t="n">
        <v>46136</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60289-2023</t>
        </is>
      </c>
      <c r="B368" s="1" t="n">
        <v>45257</v>
      </c>
      <c r="C368" s="1" t="n">
        <v>46136</v>
      </c>
      <c r="D368" t="inlineStr">
        <is>
          <t>ÖREBRO LÄN</t>
        </is>
      </c>
      <c r="E368" t="inlineStr">
        <is>
          <t>ÖREBRO</t>
        </is>
      </c>
      <c r="G368" t="n">
        <v>10.9</v>
      </c>
      <c r="H368" t="n">
        <v>0</v>
      </c>
      <c r="I368" t="n">
        <v>0</v>
      </c>
      <c r="J368" t="n">
        <v>0</v>
      </c>
      <c r="K368" t="n">
        <v>0</v>
      </c>
      <c r="L368" t="n">
        <v>0</v>
      </c>
      <c r="M368" t="n">
        <v>0</v>
      </c>
      <c r="N368" t="n">
        <v>0</v>
      </c>
      <c r="O368" t="n">
        <v>0</v>
      </c>
      <c r="P368" t="n">
        <v>0</v>
      </c>
      <c r="Q368" t="n">
        <v>0</v>
      </c>
      <c r="R368" s="2" t="inlineStr"/>
    </row>
    <row r="369" ht="15" customHeight="1">
      <c r="A369" t="inlineStr">
        <is>
          <t>A 48454-2025</t>
        </is>
      </c>
      <c r="B369" s="1" t="n">
        <v>45935.80164351852</v>
      </c>
      <c r="C369" s="1" t="n">
        <v>46136</v>
      </c>
      <c r="D369" t="inlineStr">
        <is>
          <t>ÖREBRO LÄN</t>
        </is>
      </c>
      <c r="E369" t="inlineStr">
        <is>
          <t>ÖREBRO</t>
        </is>
      </c>
      <c r="F369" t="inlineStr">
        <is>
          <t>Övriga Aktiebolag</t>
        </is>
      </c>
      <c r="G369" t="n">
        <v>18.1</v>
      </c>
      <c r="H369" t="n">
        <v>0</v>
      </c>
      <c r="I369" t="n">
        <v>0</v>
      </c>
      <c r="J369" t="n">
        <v>0</v>
      </c>
      <c r="K369" t="n">
        <v>0</v>
      </c>
      <c r="L369" t="n">
        <v>0</v>
      </c>
      <c r="M369" t="n">
        <v>0</v>
      </c>
      <c r="N369" t="n">
        <v>0</v>
      </c>
      <c r="O369" t="n">
        <v>0</v>
      </c>
      <c r="P369" t="n">
        <v>0</v>
      </c>
      <c r="Q369" t="n">
        <v>0</v>
      </c>
      <c r="R369" s="2" t="inlineStr"/>
    </row>
    <row r="370" ht="15" customHeight="1">
      <c r="A370" t="inlineStr">
        <is>
          <t>A 12099-2023</t>
        </is>
      </c>
      <c r="B370" s="1" t="n">
        <v>44998.37043981482</v>
      </c>
      <c r="C370" s="1" t="n">
        <v>46136</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58277-2022</t>
        </is>
      </c>
      <c r="B371" s="1" t="n">
        <v>44901.48108796297</v>
      </c>
      <c r="C371" s="1" t="n">
        <v>46136</v>
      </c>
      <c r="D371" t="inlineStr">
        <is>
          <t>ÖREBRO LÄN</t>
        </is>
      </c>
      <c r="E371" t="inlineStr">
        <is>
          <t>ÖREBRO</t>
        </is>
      </c>
      <c r="G371" t="n">
        <v>1.8</v>
      </c>
      <c r="H371" t="n">
        <v>0</v>
      </c>
      <c r="I371" t="n">
        <v>0</v>
      </c>
      <c r="J371" t="n">
        <v>0</v>
      </c>
      <c r="K371" t="n">
        <v>0</v>
      </c>
      <c r="L371" t="n">
        <v>0</v>
      </c>
      <c r="M371" t="n">
        <v>0</v>
      </c>
      <c r="N371" t="n">
        <v>0</v>
      </c>
      <c r="O371" t="n">
        <v>0</v>
      </c>
      <c r="P371" t="n">
        <v>0</v>
      </c>
      <c r="Q371" t="n">
        <v>0</v>
      </c>
      <c r="R371" s="2" t="inlineStr"/>
    </row>
    <row r="372" ht="15" customHeight="1">
      <c r="A372" t="inlineStr">
        <is>
          <t>A 31906-2023</t>
        </is>
      </c>
      <c r="B372" s="1" t="n">
        <v>45118.8353125</v>
      </c>
      <c r="C372" s="1" t="n">
        <v>46136</v>
      </c>
      <c r="D372" t="inlineStr">
        <is>
          <t>ÖREBRO LÄN</t>
        </is>
      </c>
      <c r="E372" t="inlineStr">
        <is>
          <t>ÖREBRO</t>
        </is>
      </c>
      <c r="G372" t="n">
        <v>9</v>
      </c>
      <c r="H372" t="n">
        <v>0</v>
      </c>
      <c r="I372" t="n">
        <v>0</v>
      </c>
      <c r="J372" t="n">
        <v>0</v>
      </c>
      <c r="K372" t="n">
        <v>0</v>
      </c>
      <c r="L372" t="n">
        <v>0</v>
      </c>
      <c r="M372" t="n">
        <v>0</v>
      </c>
      <c r="N372" t="n">
        <v>0</v>
      </c>
      <c r="O372" t="n">
        <v>0</v>
      </c>
      <c r="P372" t="n">
        <v>0</v>
      </c>
      <c r="Q372" t="n">
        <v>0</v>
      </c>
      <c r="R372" s="2" t="inlineStr"/>
    </row>
    <row r="373" ht="15" customHeight="1">
      <c r="A373" t="inlineStr">
        <is>
          <t>A 10937-2024</t>
        </is>
      </c>
      <c r="B373" s="1" t="n">
        <v>45370.44461805555</v>
      </c>
      <c r="C373" s="1" t="n">
        <v>46136</v>
      </c>
      <c r="D373" t="inlineStr">
        <is>
          <t>ÖREBRO LÄN</t>
        </is>
      </c>
      <c r="E373" t="inlineStr">
        <is>
          <t>ÖREBRO</t>
        </is>
      </c>
      <c r="G373" t="n">
        <v>4.3</v>
      </c>
      <c r="H373" t="n">
        <v>0</v>
      </c>
      <c r="I373" t="n">
        <v>0</v>
      </c>
      <c r="J373" t="n">
        <v>0</v>
      </c>
      <c r="K373" t="n">
        <v>0</v>
      </c>
      <c r="L373" t="n">
        <v>0</v>
      </c>
      <c r="M373" t="n">
        <v>0</v>
      </c>
      <c r="N373" t="n">
        <v>0</v>
      </c>
      <c r="O373" t="n">
        <v>0</v>
      </c>
      <c r="P373" t="n">
        <v>0</v>
      </c>
      <c r="Q373" t="n">
        <v>0</v>
      </c>
      <c r="R373" s="2" t="inlineStr"/>
    </row>
    <row r="374" ht="15" customHeight="1">
      <c r="A374" t="inlineStr">
        <is>
          <t>A 22079-2023</t>
        </is>
      </c>
      <c r="B374" s="1" t="n">
        <v>45069</v>
      </c>
      <c r="C374" s="1" t="n">
        <v>46136</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52447-2024</t>
        </is>
      </c>
      <c r="B375" s="1" t="n">
        <v>45609.49157407408</v>
      </c>
      <c r="C375" s="1" t="n">
        <v>46136</v>
      </c>
      <c r="D375" t="inlineStr">
        <is>
          <t>ÖREBRO LÄN</t>
        </is>
      </c>
      <c r="E375" t="inlineStr">
        <is>
          <t>ÖREBRO</t>
        </is>
      </c>
      <c r="G375" t="n">
        <v>1.4</v>
      </c>
      <c r="H375" t="n">
        <v>0</v>
      </c>
      <c r="I375" t="n">
        <v>0</v>
      </c>
      <c r="J375" t="n">
        <v>0</v>
      </c>
      <c r="K375" t="n">
        <v>0</v>
      </c>
      <c r="L375" t="n">
        <v>0</v>
      </c>
      <c r="M375" t="n">
        <v>0</v>
      </c>
      <c r="N375" t="n">
        <v>0</v>
      </c>
      <c r="O375" t="n">
        <v>0</v>
      </c>
      <c r="P375" t="n">
        <v>0</v>
      </c>
      <c r="Q375" t="n">
        <v>0</v>
      </c>
      <c r="R375" s="2" t="inlineStr"/>
    </row>
    <row r="376" ht="15" customHeight="1">
      <c r="A376" t="inlineStr">
        <is>
          <t>A 3841-2023</t>
        </is>
      </c>
      <c r="B376" s="1" t="n">
        <v>44951</v>
      </c>
      <c r="C376" s="1" t="n">
        <v>46136</v>
      </c>
      <c r="D376" t="inlineStr">
        <is>
          <t>ÖREBRO LÄN</t>
        </is>
      </c>
      <c r="E376" t="inlineStr">
        <is>
          <t>ÖREBRO</t>
        </is>
      </c>
      <c r="G376" t="n">
        <v>4.3</v>
      </c>
      <c r="H376" t="n">
        <v>0</v>
      </c>
      <c r="I376" t="n">
        <v>0</v>
      </c>
      <c r="J376" t="n">
        <v>0</v>
      </c>
      <c r="K376" t="n">
        <v>0</v>
      </c>
      <c r="L376" t="n">
        <v>0</v>
      </c>
      <c r="M376" t="n">
        <v>0</v>
      </c>
      <c r="N376" t="n">
        <v>0</v>
      </c>
      <c r="O376" t="n">
        <v>0</v>
      </c>
      <c r="P376" t="n">
        <v>0</v>
      </c>
      <c r="Q376" t="n">
        <v>0</v>
      </c>
      <c r="R376" s="2" t="inlineStr"/>
    </row>
    <row r="377" ht="15" customHeight="1">
      <c r="A377" t="inlineStr">
        <is>
          <t>A 50311-2025</t>
        </is>
      </c>
      <c r="B377" s="1" t="n">
        <v>45944</v>
      </c>
      <c r="C377" s="1" t="n">
        <v>46136</v>
      </c>
      <c r="D377" t="inlineStr">
        <is>
          <t>ÖREBRO LÄN</t>
        </is>
      </c>
      <c r="E377" t="inlineStr">
        <is>
          <t>ÖREBRO</t>
        </is>
      </c>
      <c r="G377" t="n">
        <v>1.7</v>
      </c>
      <c r="H377" t="n">
        <v>0</v>
      </c>
      <c r="I377" t="n">
        <v>0</v>
      </c>
      <c r="J377" t="n">
        <v>0</v>
      </c>
      <c r="K377" t="n">
        <v>0</v>
      </c>
      <c r="L377" t="n">
        <v>0</v>
      </c>
      <c r="M377" t="n">
        <v>0</v>
      </c>
      <c r="N377" t="n">
        <v>0</v>
      </c>
      <c r="O377" t="n">
        <v>0</v>
      </c>
      <c r="P377" t="n">
        <v>0</v>
      </c>
      <c r="Q377" t="n">
        <v>0</v>
      </c>
      <c r="R377" s="2" t="inlineStr"/>
    </row>
    <row r="378" ht="15" customHeight="1">
      <c r="A378" t="inlineStr">
        <is>
          <t>A 38489-2023</t>
        </is>
      </c>
      <c r="B378" s="1" t="n">
        <v>45162</v>
      </c>
      <c r="C378" s="1" t="n">
        <v>46136</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70719-2021</t>
        </is>
      </c>
      <c r="B379" s="1" t="n">
        <v>44537</v>
      </c>
      <c r="C379" s="1" t="n">
        <v>46136</v>
      </c>
      <c r="D379" t="inlineStr">
        <is>
          <t>ÖREBRO LÄN</t>
        </is>
      </c>
      <c r="E379" t="inlineStr">
        <is>
          <t>ÖREBRO</t>
        </is>
      </c>
      <c r="G379" t="n">
        <v>4.3</v>
      </c>
      <c r="H379" t="n">
        <v>0</v>
      </c>
      <c r="I379" t="n">
        <v>0</v>
      </c>
      <c r="J379" t="n">
        <v>0</v>
      </c>
      <c r="K379" t="n">
        <v>0</v>
      </c>
      <c r="L379" t="n">
        <v>0</v>
      </c>
      <c r="M379" t="n">
        <v>0</v>
      </c>
      <c r="N379" t="n">
        <v>0</v>
      </c>
      <c r="O379" t="n">
        <v>0</v>
      </c>
      <c r="P379" t="n">
        <v>0</v>
      </c>
      <c r="Q379" t="n">
        <v>0</v>
      </c>
      <c r="R379" s="2" t="inlineStr"/>
    </row>
    <row r="380" ht="15" customHeight="1">
      <c r="A380" t="inlineStr">
        <is>
          <t>A 38573-2023</t>
        </is>
      </c>
      <c r="B380" s="1" t="n">
        <v>45162.61837962963</v>
      </c>
      <c r="C380" s="1" t="n">
        <v>46136</v>
      </c>
      <c r="D380" t="inlineStr">
        <is>
          <t>ÖREBRO LÄN</t>
        </is>
      </c>
      <c r="E380" t="inlineStr">
        <is>
          <t>ÖREBRO</t>
        </is>
      </c>
      <c r="G380" t="n">
        <v>2.2</v>
      </c>
      <c r="H380" t="n">
        <v>0</v>
      </c>
      <c r="I380" t="n">
        <v>0</v>
      </c>
      <c r="J380" t="n">
        <v>0</v>
      </c>
      <c r="K380" t="n">
        <v>0</v>
      </c>
      <c r="L380" t="n">
        <v>0</v>
      </c>
      <c r="M380" t="n">
        <v>0</v>
      </c>
      <c r="N380" t="n">
        <v>0</v>
      </c>
      <c r="O380" t="n">
        <v>0</v>
      </c>
      <c r="P380" t="n">
        <v>0</v>
      </c>
      <c r="Q380" t="n">
        <v>0</v>
      </c>
      <c r="R380" s="2" t="inlineStr"/>
    </row>
    <row r="381" ht="15" customHeight="1">
      <c r="A381" t="inlineStr">
        <is>
          <t>A 4757-2024</t>
        </is>
      </c>
      <c r="B381" s="1" t="n">
        <v>45328</v>
      </c>
      <c r="C381" s="1" t="n">
        <v>46136</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48140-2024</t>
        </is>
      </c>
      <c r="B382" s="1" t="n">
        <v>45589.66474537037</v>
      </c>
      <c r="C382" s="1" t="n">
        <v>46136</v>
      </c>
      <c r="D382" t="inlineStr">
        <is>
          <t>ÖREBRO LÄN</t>
        </is>
      </c>
      <c r="E382" t="inlineStr">
        <is>
          <t>ÖREBRO</t>
        </is>
      </c>
      <c r="G382" t="n">
        <v>2.4</v>
      </c>
      <c r="H382" t="n">
        <v>0</v>
      </c>
      <c r="I382" t="n">
        <v>0</v>
      </c>
      <c r="J382" t="n">
        <v>0</v>
      </c>
      <c r="K382" t="n">
        <v>0</v>
      </c>
      <c r="L382" t="n">
        <v>0</v>
      </c>
      <c r="M382" t="n">
        <v>0</v>
      </c>
      <c r="N382" t="n">
        <v>0</v>
      </c>
      <c r="O382" t="n">
        <v>0</v>
      </c>
      <c r="P382" t="n">
        <v>0</v>
      </c>
      <c r="Q382" t="n">
        <v>0</v>
      </c>
      <c r="R382" s="2" t="inlineStr"/>
    </row>
    <row r="383" ht="15" customHeight="1">
      <c r="A383" t="inlineStr">
        <is>
          <t>A 2658-2023</t>
        </is>
      </c>
      <c r="B383" s="1" t="n">
        <v>44944</v>
      </c>
      <c r="C383" s="1" t="n">
        <v>46136</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51249-2025</t>
        </is>
      </c>
      <c r="B384" s="1" t="n">
        <v>45948.45704861111</v>
      </c>
      <c r="C384" s="1" t="n">
        <v>46136</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11565-2023</t>
        </is>
      </c>
      <c r="B385" s="1" t="n">
        <v>44994</v>
      </c>
      <c r="C385" s="1" t="n">
        <v>46136</v>
      </c>
      <c r="D385" t="inlineStr">
        <is>
          <t>ÖREBRO LÄN</t>
        </is>
      </c>
      <c r="E385" t="inlineStr">
        <is>
          <t>ÖREBRO</t>
        </is>
      </c>
      <c r="G385" t="n">
        <v>4.7</v>
      </c>
      <c r="H385" t="n">
        <v>0</v>
      </c>
      <c r="I385" t="n">
        <v>0</v>
      </c>
      <c r="J385" t="n">
        <v>0</v>
      </c>
      <c r="K385" t="n">
        <v>0</v>
      </c>
      <c r="L385" t="n">
        <v>0</v>
      </c>
      <c r="M385" t="n">
        <v>0</v>
      </c>
      <c r="N385" t="n">
        <v>0</v>
      </c>
      <c r="O385" t="n">
        <v>0</v>
      </c>
      <c r="P385" t="n">
        <v>0</v>
      </c>
      <c r="Q385" t="n">
        <v>0</v>
      </c>
      <c r="R385" s="2" t="inlineStr"/>
    </row>
    <row r="386" ht="15" customHeight="1">
      <c r="A386" t="inlineStr">
        <is>
          <t>A 16736-2023</t>
        </is>
      </c>
      <c r="B386" s="1" t="n">
        <v>45030.72328703704</v>
      </c>
      <c r="C386" s="1" t="n">
        <v>46136</v>
      </c>
      <c r="D386" t="inlineStr">
        <is>
          <t>ÖREBRO LÄN</t>
        </is>
      </c>
      <c r="E386" t="inlineStr">
        <is>
          <t>ÖREBRO</t>
        </is>
      </c>
      <c r="G386" t="n">
        <v>4</v>
      </c>
      <c r="H386" t="n">
        <v>0</v>
      </c>
      <c r="I386" t="n">
        <v>0</v>
      </c>
      <c r="J386" t="n">
        <v>0</v>
      </c>
      <c r="K386" t="n">
        <v>0</v>
      </c>
      <c r="L386" t="n">
        <v>0</v>
      </c>
      <c r="M386" t="n">
        <v>0</v>
      </c>
      <c r="N386" t="n">
        <v>0</v>
      </c>
      <c r="O386" t="n">
        <v>0</v>
      </c>
      <c r="P386" t="n">
        <v>0</v>
      </c>
      <c r="Q386" t="n">
        <v>0</v>
      </c>
      <c r="R386" s="2" t="inlineStr"/>
    </row>
    <row r="387" ht="15" customHeight="1">
      <c r="A387" t="inlineStr">
        <is>
          <t>A 2630-2023</t>
        </is>
      </c>
      <c r="B387" s="1" t="n">
        <v>44944.39105324074</v>
      </c>
      <c r="C387" s="1" t="n">
        <v>46136</v>
      </c>
      <c r="D387" t="inlineStr">
        <is>
          <t>ÖREBRO LÄN</t>
        </is>
      </c>
      <c r="E387" t="inlineStr">
        <is>
          <t>ÖREBRO</t>
        </is>
      </c>
      <c r="G387" t="n">
        <v>6.1</v>
      </c>
      <c r="H387" t="n">
        <v>0</v>
      </c>
      <c r="I387" t="n">
        <v>0</v>
      </c>
      <c r="J387" t="n">
        <v>0</v>
      </c>
      <c r="K387" t="n">
        <v>0</v>
      </c>
      <c r="L387" t="n">
        <v>0</v>
      </c>
      <c r="M387" t="n">
        <v>0</v>
      </c>
      <c r="N387" t="n">
        <v>0</v>
      </c>
      <c r="O387" t="n">
        <v>0</v>
      </c>
      <c r="P387" t="n">
        <v>0</v>
      </c>
      <c r="Q387" t="n">
        <v>0</v>
      </c>
      <c r="R387" s="2" t="inlineStr"/>
    </row>
    <row r="388" ht="15" customHeight="1">
      <c r="A388" t="inlineStr">
        <is>
          <t>A 51248-2025</t>
        </is>
      </c>
      <c r="B388" s="1" t="n">
        <v>45948.450625</v>
      </c>
      <c r="C388" s="1" t="n">
        <v>46136</v>
      </c>
      <c r="D388" t="inlineStr">
        <is>
          <t>ÖREBRO LÄN</t>
        </is>
      </c>
      <c r="E388" t="inlineStr">
        <is>
          <t>ÖREBRO</t>
        </is>
      </c>
      <c r="G388" t="n">
        <v>4.4</v>
      </c>
      <c r="H388" t="n">
        <v>0</v>
      </c>
      <c r="I388" t="n">
        <v>0</v>
      </c>
      <c r="J388" t="n">
        <v>0</v>
      </c>
      <c r="K388" t="n">
        <v>0</v>
      </c>
      <c r="L388" t="n">
        <v>0</v>
      </c>
      <c r="M388" t="n">
        <v>0</v>
      </c>
      <c r="N388" t="n">
        <v>0</v>
      </c>
      <c r="O388" t="n">
        <v>0</v>
      </c>
      <c r="P388" t="n">
        <v>0</v>
      </c>
      <c r="Q388" t="n">
        <v>0</v>
      </c>
      <c r="R388" s="2" t="inlineStr"/>
    </row>
    <row r="389" ht="15" customHeight="1">
      <c r="A389" t="inlineStr">
        <is>
          <t>A 30015-2023</t>
        </is>
      </c>
      <c r="B389" s="1" t="n">
        <v>45109</v>
      </c>
      <c r="C389" s="1" t="n">
        <v>46136</v>
      </c>
      <c r="D389" t="inlineStr">
        <is>
          <t>ÖREBRO LÄN</t>
        </is>
      </c>
      <c r="E389" t="inlineStr">
        <is>
          <t>ÖREBRO</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37968-2024</t>
        </is>
      </c>
      <c r="B390" s="1" t="n">
        <v>45544</v>
      </c>
      <c r="C390" s="1" t="n">
        <v>46136</v>
      </c>
      <c r="D390" t="inlineStr">
        <is>
          <t>ÖREBRO LÄN</t>
        </is>
      </c>
      <c r="E390" t="inlineStr">
        <is>
          <t>ÖREBRO</t>
        </is>
      </c>
      <c r="G390" t="n">
        <v>2</v>
      </c>
      <c r="H390" t="n">
        <v>0</v>
      </c>
      <c r="I390" t="n">
        <v>0</v>
      </c>
      <c r="J390" t="n">
        <v>0</v>
      </c>
      <c r="K390" t="n">
        <v>0</v>
      </c>
      <c r="L390" t="n">
        <v>0</v>
      </c>
      <c r="M390" t="n">
        <v>0</v>
      </c>
      <c r="N390" t="n">
        <v>0</v>
      </c>
      <c r="O390" t="n">
        <v>0</v>
      </c>
      <c r="P390" t="n">
        <v>0</v>
      </c>
      <c r="Q390" t="n">
        <v>0</v>
      </c>
      <c r="R390" s="2" t="inlineStr"/>
    </row>
    <row r="391" ht="15" customHeight="1">
      <c r="A391" t="inlineStr">
        <is>
          <t>A 31326-2024</t>
        </is>
      </c>
      <c r="B391" s="1" t="n">
        <v>45504.5934375</v>
      </c>
      <c r="C391" s="1" t="n">
        <v>46136</v>
      </c>
      <c r="D391" t="inlineStr">
        <is>
          <t>ÖREBRO LÄN</t>
        </is>
      </c>
      <c r="E391" t="inlineStr">
        <is>
          <t>ÖREBRO</t>
        </is>
      </c>
      <c r="G391" t="n">
        <v>6.4</v>
      </c>
      <c r="H391" t="n">
        <v>0</v>
      </c>
      <c r="I391" t="n">
        <v>0</v>
      </c>
      <c r="J391" t="n">
        <v>0</v>
      </c>
      <c r="K391" t="n">
        <v>0</v>
      </c>
      <c r="L391" t="n">
        <v>0</v>
      </c>
      <c r="M391" t="n">
        <v>0</v>
      </c>
      <c r="N391" t="n">
        <v>0</v>
      </c>
      <c r="O391" t="n">
        <v>0</v>
      </c>
      <c r="P391" t="n">
        <v>0</v>
      </c>
      <c r="Q391" t="n">
        <v>0</v>
      </c>
      <c r="R391" s="2" t="inlineStr"/>
    </row>
    <row r="392" ht="15" customHeight="1">
      <c r="A392" t="inlineStr">
        <is>
          <t>A 51925-2025</t>
        </is>
      </c>
      <c r="B392" s="1" t="n">
        <v>45952.49476851852</v>
      </c>
      <c r="C392" s="1" t="n">
        <v>46136</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51923-2025</t>
        </is>
      </c>
      <c r="B393" s="1" t="n">
        <v>45952.49300925926</v>
      </c>
      <c r="C393" s="1" t="n">
        <v>46136</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51937-2025</t>
        </is>
      </c>
      <c r="B394" s="1" t="n">
        <v>45952.51270833334</v>
      </c>
      <c r="C394" s="1" t="n">
        <v>46136</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52135-2025</t>
        </is>
      </c>
      <c r="B395" s="1" t="n">
        <v>45952.84231481481</v>
      </c>
      <c r="C395" s="1" t="n">
        <v>46136</v>
      </c>
      <c r="D395" t="inlineStr">
        <is>
          <t>ÖREBRO LÄN</t>
        </is>
      </c>
      <c r="E395" t="inlineStr">
        <is>
          <t>ÖREBRO</t>
        </is>
      </c>
      <c r="G395" t="n">
        <v>4</v>
      </c>
      <c r="H395" t="n">
        <v>0</v>
      </c>
      <c r="I395" t="n">
        <v>0</v>
      </c>
      <c r="J395" t="n">
        <v>0</v>
      </c>
      <c r="K395" t="n">
        <v>0</v>
      </c>
      <c r="L395" t="n">
        <v>0</v>
      </c>
      <c r="M395" t="n">
        <v>0</v>
      </c>
      <c r="N395" t="n">
        <v>0</v>
      </c>
      <c r="O395" t="n">
        <v>0</v>
      </c>
      <c r="P395" t="n">
        <v>0</v>
      </c>
      <c r="Q395" t="n">
        <v>0</v>
      </c>
      <c r="R395" s="2" t="inlineStr"/>
    </row>
    <row r="396" ht="15" customHeight="1">
      <c r="A396" t="inlineStr">
        <is>
          <t>A 30743-2025</t>
        </is>
      </c>
      <c r="B396" s="1" t="n">
        <v>45831</v>
      </c>
      <c r="C396" s="1" t="n">
        <v>46136</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22045-2024</t>
        </is>
      </c>
      <c r="B397" s="1" t="n">
        <v>45443.61171296296</v>
      </c>
      <c r="C397" s="1" t="n">
        <v>46136</v>
      </c>
      <c r="D397" t="inlineStr">
        <is>
          <t>ÖREBRO LÄN</t>
        </is>
      </c>
      <c r="E397" t="inlineStr">
        <is>
          <t>ÖREBRO</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58684-2023</t>
        </is>
      </c>
      <c r="B398" s="1" t="n">
        <v>45251</v>
      </c>
      <c r="C398" s="1" t="n">
        <v>46136</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53350-2025</t>
        </is>
      </c>
      <c r="B399" s="1" t="n">
        <v>45959.43827546296</v>
      </c>
      <c r="C399" s="1" t="n">
        <v>46136</v>
      </c>
      <c r="D399" t="inlineStr">
        <is>
          <t>ÖREBRO LÄN</t>
        </is>
      </c>
      <c r="E399" t="inlineStr">
        <is>
          <t>ÖREBRO</t>
        </is>
      </c>
      <c r="G399" t="n">
        <v>4.1</v>
      </c>
      <c r="H399" t="n">
        <v>0</v>
      </c>
      <c r="I399" t="n">
        <v>0</v>
      </c>
      <c r="J399" t="n">
        <v>0</v>
      </c>
      <c r="K399" t="n">
        <v>0</v>
      </c>
      <c r="L399" t="n">
        <v>0</v>
      </c>
      <c r="M399" t="n">
        <v>0</v>
      </c>
      <c r="N399" t="n">
        <v>0</v>
      </c>
      <c r="O399" t="n">
        <v>0</v>
      </c>
      <c r="P399" t="n">
        <v>0</v>
      </c>
      <c r="Q399" t="n">
        <v>0</v>
      </c>
      <c r="R399" s="2" t="inlineStr"/>
    </row>
    <row r="400" ht="15" customHeight="1">
      <c r="A400" t="inlineStr">
        <is>
          <t>A 53715-2025</t>
        </is>
      </c>
      <c r="B400" s="1" t="n">
        <v>45960.61763888889</v>
      </c>
      <c r="C400" s="1" t="n">
        <v>46136</v>
      </c>
      <c r="D400" t="inlineStr">
        <is>
          <t>ÖREBRO LÄN</t>
        </is>
      </c>
      <c r="E400" t="inlineStr">
        <is>
          <t>ÖREBRO</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53719-2025</t>
        </is>
      </c>
      <c r="B401" s="1" t="n">
        <v>45960.62042824074</v>
      </c>
      <c r="C401" s="1" t="n">
        <v>46136</v>
      </c>
      <c r="D401" t="inlineStr">
        <is>
          <t>ÖREBRO LÄN</t>
        </is>
      </c>
      <c r="E401" t="inlineStr">
        <is>
          <t>ÖREBRO</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53343-2025</t>
        </is>
      </c>
      <c r="B402" s="1" t="n">
        <v>45959.42025462963</v>
      </c>
      <c r="C402" s="1" t="n">
        <v>46136</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38898-2023</t>
        </is>
      </c>
      <c r="B403" s="1" t="n">
        <v>45163</v>
      </c>
      <c r="C403" s="1" t="n">
        <v>46136</v>
      </c>
      <c r="D403" t="inlineStr">
        <is>
          <t>ÖREBRO LÄN</t>
        </is>
      </c>
      <c r="E403" t="inlineStr">
        <is>
          <t>ÖREBRO</t>
        </is>
      </c>
      <c r="G403" t="n">
        <v>5.1</v>
      </c>
      <c r="H403" t="n">
        <v>0</v>
      </c>
      <c r="I403" t="n">
        <v>0</v>
      </c>
      <c r="J403" t="n">
        <v>0</v>
      </c>
      <c r="K403" t="n">
        <v>0</v>
      </c>
      <c r="L403" t="n">
        <v>0</v>
      </c>
      <c r="M403" t="n">
        <v>0</v>
      </c>
      <c r="N403" t="n">
        <v>0</v>
      </c>
      <c r="O403" t="n">
        <v>0</v>
      </c>
      <c r="P403" t="n">
        <v>0</v>
      </c>
      <c r="Q403" t="n">
        <v>0</v>
      </c>
      <c r="R403" s="2" t="inlineStr"/>
    </row>
    <row r="404" ht="15" customHeight="1">
      <c r="A404" t="inlineStr">
        <is>
          <t>A 53437-2025</t>
        </is>
      </c>
      <c r="B404" s="1" t="n">
        <v>45959.63440972222</v>
      </c>
      <c r="C404" s="1" t="n">
        <v>46136</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53342-2025</t>
        </is>
      </c>
      <c r="B405" s="1" t="n">
        <v>45959.41769675926</v>
      </c>
      <c r="C405" s="1" t="n">
        <v>46136</v>
      </c>
      <c r="D405" t="inlineStr">
        <is>
          <t>ÖREBRO LÄN</t>
        </is>
      </c>
      <c r="E405" t="inlineStr">
        <is>
          <t>ÖREBRO</t>
        </is>
      </c>
      <c r="G405" t="n">
        <v>4.1</v>
      </c>
      <c r="H405" t="n">
        <v>0</v>
      </c>
      <c r="I405" t="n">
        <v>0</v>
      </c>
      <c r="J405" t="n">
        <v>0</v>
      </c>
      <c r="K405" t="n">
        <v>0</v>
      </c>
      <c r="L405" t="n">
        <v>0</v>
      </c>
      <c r="M405" t="n">
        <v>0</v>
      </c>
      <c r="N405" t="n">
        <v>0</v>
      </c>
      <c r="O405" t="n">
        <v>0</v>
      </c>
      <c r="P405" t="n">
        <v>0</v>
      </c>
      <c r="Q405" t="n">
        <v>0</v>
      </c>
      <c r="R405" s="2" t="inlineStr"/>
    </row>
    <row r="406" ht="15" customHeight="1">
      <c r="A406" t="inlineStr">
        <is>
          <t>A 53443-2025</t>
        </is>
      </c>
      <c r="B406" s="1" t="n">
        <v>45959.6444675926</v>
      </c>
      <c r="C406" s="1" t="n">
        <v>46136</v>
      </c>
      <c r="D406" t="inlineStr">
        <is>
          <t>ÖREBRO LÄN</t>
        </is>
      </c>
      <c r="E406" t="inlineStr">
        <is>
          <t>ÖREBRO</t>
        </is>
      </c>
      <c r="G406" t="n">
        <v>2.8</v>
      </c>
      <c r="H406" t="n">
        <v>0</v>
      </c>
      <c r="I406" t="n">
        <v>0</v>
      </c>
      <c r="J406" t="n">
        <v>0</v>
      </c>
      <c r="K406" t="n">
        <v>0</v>
      </c>
      <c r="L406" t="n">
        <v>0</v>
      </c>
      <c r="M406" t="n">
        <v>0</v>
      </c>
      <c r="N406" t="n">
        <v>0</v>
      </c>
      <c r="O406" t="n">
        <v>0</v>
      </c>
      <c r="P406" t="n">
        <v>0</v>
      </c>
      <c r="Q406" t="n">
        <v>0</v>
      </c>
      <c r="R406" s="2" t="inlineStr"/>
    </row>
    <row r="407" ht="15" customHeight="1">
      <c r="A407" t="inlineStr">
        <is>
          <t>A 13321-2024</t>
        </is>
      </c>
      <c r="B407" s="1" t="n">
        <v>45386.83142361111</v>
      </c>
      <c r="C407" s="1" t="n">
        <v>46136</v>
      </c>
      <c r="D407" t="inlineStr">
        <is>
          <t>ÖREBRO LÄN</t>
        </is>
      </c>
      <c r="E407" t="inlineStr">
        <is>
          <t>ÖREBRO</t>
        </is>
      </c>
      <c r="G407" t="n">
        <v>13.1</v>
      </c>
      <c r="H407" t="n">
        <v>0</v>
      </c>
      <c r="I407" t="n">
        <v>0</v>
      </c>
      <c r="J407" t="n">
        <v>0</v>
      </c>
      <c r="K407" t="n">
        <v>0</v>
      </c>
      <c r="L407" t="n">
        <v>0</v>
      </c>
      <c r="M407" t="n">
        <v>0</v>
      </c>
      <c r="N407" t="n">
        <v>0</v>
      </c>
      <c r="O407" t="n">
        <v>0</v>
      </c>
      <c r="P407" t="n">
        <v>0</v>
      </c>
      <c r="Q407" t="n">
        <v>0</v>
      </c>
      <c r="R407" s="2" t="inlineStr"/>
    </row>
    <row r="408" ht="15" customHeight="1">
      <c r="A408" t="inlineStr">
        <is>
          <t>A 38583-2023</t>
        </is>
      </c>
      <c r="B408" s="1" t="n">
        <v>45162.62861111111</v>
      </c>
      <c r="C408" s="1" t="n">
        <v>46136</v>
      </c>
      <c r="D408" t="inlineStr">
        <is>
          <t>ÖREBRO LÄN</t>
        </is>
      </c>
      <c r="E408" t="inlineStr">
        <is>
          <t>ÖREBRO</t>
        </is>
      </c>
      <c r="G408" t="n">
        <v>5.7</v>
      </c>
      <c r="H408" t="n">
        <v>0</v>
      </c>
      <c r="I408" t="n">
        <v>0</v>
      </c>
      <c r="J408" t="n">
        <v>0</v>
      </c>
      <c r="K408" t="n">
        <v>0</v>
      </c>
      <c r="L408" t="n">
        <v>0</v>
      </c>
      <c r="M408" t="n">
        <v>0</v>
      </c>
      <c r="N408" t="n">
        <v>0</v>
      </c>
      <c r="O408" t="n">
        <v>0</v>
      </c>
      <c r="P408" t="n">
        <v>0</v>
      </c>
      <c r="Q408" t="n">
        <v>0</v>
      </c>
      <c r="R408" s="2" t="inlineStr"/>
    </row>
    <row r="409" ht="15" customHeight="1">
      <c r="A409" t="inlineStr">
        <is>
          <t>A 14291-2023</t>
        </is>
      </c>
      <c r="B409" s="1" t="n">
        <v>45010</v>
      </c>
      <c r="C409" s="1" t="n">
        <v>46136</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9314-2023</t>
        </is>
      </c>
      <c r="B410" s="1" t="n">
        <v>44980.67747685185</v>
      </c>
      <c r="C410" s="1" t="n">
        <v>46136</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33455-2023</t>
        </is>
      </c>
      <c r="B411" s="1" t="n">
        <v>45130.98962962963</v>
      </c>
      <c r="C411" s="1" t="n">
        <v>46136</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54205-2025</t>
        </is>
      </c>
      <c r="B412" s="1" t="n">
        <v>45964.58512731481</v>
      </c>
      <c r="C412" s="1" t="n">
        <v>46136</v>
      </c>
      <c r="D412" t="inlineStr">
        <is>
          <t>ÖREBRO LÄN</t>
        </is>
      </c>
      <c r="E412" t="inlineStr">
        <is>
          <t>ÖREBRO</t>
        </is>
      </c>
      <c r="G412" t="n">
        <v>24.3</v>
      </c>
      <c r="H412" t="n">
        <v>0</v>
      </c>
      <c r="I412" t="n">
        <v>0</v>
      </c>
      <c r="J412" t="n">
        <v>0</v>
      </c>
      <c r="K412" t="n">
        <v>0</v>
      </c>
      <c r="L412" t="n">
        <v>0</v>
      </c>
      <c r="M412" t="n">
        <v>0</v>
      </c>
      <c r="N412" t="n">
        <v>0</v>
      </c>
      <c r="O412" t="n">
        <v>0</v>
      </c>
      <c r="P412" t="n">
        <v>0</v>
      </c>
      <c r="Q412" t="n">
        <v>0</v>
      </c>
      <c r="R412" s="2" t="inlineStr"/>
    </row>
    <row r="413" ht="15" customHeight="1">
      <c r="A413" t="inlineStr">
        <is>
          <t>A 21306-2024</t>
        </is>
      </c>
      <c r="B413" s="1" t="n">
        <v>45440.67883101852</v>
      </c>
      <c r="C413" s="1" t="n">
        <v>46136</v>
      </c>
      <c r="D413" t="inlineStr">
        <is>
          <t>ÖREBRO LÄN</t>
        </is>
      </c>
      <c r="E413" t="inlineStr">
        <is>
          <t>ÖREBRO</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54485-2025</t>
        </is>
      </c>
      <c r="B414" s="1" t="n">
        <v>45965.59295138889</v>
      </c>
      <c r="C414" s="1" t="n">
        <v>46136</v>
      </c>
      <c r="D414" t="inlineStr">
        <is>
          <t>ÖREBRO LÄN</t>
        </is>
      </c>
      <c r="E414" t="inlineStr">
        <is>
          <t>ÖREBRO</t>
        </is>
      </c>
      <c r="F414" t="inlineStr">
        <is>
          <t>Allmännings- och besparingsskogar</t>
        </is>
      </c>
      <c r="G414" t="n">
        <v>1.7</v>
      </c>
      <c r="H414" t="n">
        <v>0</v>
      </c>
      <c r="I414" t="n">
        <v>0</v>
      </c>
      <c r="J414" t="n">
        <v>0</v>
      </c>
      <c r="K414" t="n">
        <v>0</v>
      </c>
      <c r="L414" t="n">
        <v>0</v>
      </c>
      <c r="M414" t="n">
        <v>0</v>
      </c>
      <c r="N414" t="n">
        <v>0</v>
      </c>
      <c r="O414" t="n">
        <v>0</v>
      </c>
      <c r="P414" t="n">
        <v>0</v>
      </c>
      <c r="Q414" t="n">
        <v>0</v>
      </c>
      <c r="R414" s="2" t="inlineStr"/>
    </row>
    <row r="415" ht="15" customHeight="1">
      <c r="A415" t="inlineStr">
        <is>
          <t>A 7634-2024</t>
        </is>
      </c>
      <c r="B415" s="1" t="n">
        <v>45348</v>
      </c>
      <c r="C415" s="1" t="n">
        <v>46136</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5324-2024</t>
        </is>
      </c>
      <c r="B416" s="1" t="n">
        <v>45331</v>
      </c>
      <c r="C416" s="1" t="n">
        <v>46136</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52401-2024</t>
        </is>
      </c>
      <c r="B417" s="1" t="n">
        <v>45609.44553240741</v>
      </c>
      <c r="C417" s="1" t="n">
        <v>46136</v>
      </c>
      <c r="D417" t="inlineStr">
        <is>
          <t>ÖREBRO LÄN</t>
        </is>
      </c>
      <c r="E417" t="inlineStr">
        <is>
          <t>ÖREBRO</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14963-2025</t>
        </is>
      </c>
      <c r="B418" s="1" t="n">
        <v>45743.58699074074</v>
      </c>
      <c r="C418" s="1" t="n">
        <v>46136</v>
      </c>
      <c r="D418" t="inlineStr">
        <is>
          <t>ÖREBRO LÄN</t>
        </is>
      </c>
      <c r="E418" t="inlineStr">
        <is>
          <t>ÖREBRO</t>
        </is>
      </c>
      <c r="G418" t="n">
        <v>9.1</v>
      </c>
      <c r="H418" t="n">
        <v>0</v>
      </c>
      <c r="I418" t="n">
        <v>0</v>
      </c>
      <c r="J418" t="n">
        <v>0</v>
      </c>
      <c r="K418" t="n">
        <v>0</v>
      </c>
      <c r="L418" t="n">
        <v>0</v>
      </c>
      <c r="M418" t="n">
        <v>0</v>
      </c>
      <c r="N418" t="n">
        <v>0</v>
      </c>
      <c r="O418" t="n">
        <v>0</v>
      </c>
      <c r="P418" t="n">
        <v>0</v>
      </c>
      <c r="Q418" t="n">
        <v>0</v>
      </c>
      <c r="R418" s="2" t="inlineStr"/>
    </row>
    <row r="419" ht="15" customHeight="1">
      <c r="A419" t="inlineStr">
        <is>
          <t>A 55357-2024</t>
        </is>
      </c>
      <c r="B419" s="1" t="n">
        <v>45621.81126157408</v>
      </c>
      <c r="C419" s="1" t="n">
        <v>46136</v>
      </c>
      <c r="D419" t="inlineStr">
        <is>
          <t>ÖREBRO LÄN</t>
        </is>
      </c>
      <c r="E419" t="inlineStr">
        <is>
          <t>ÖREBRO</t>
        </is>
      </c>
      <c r="G419" t="n">
        <v>0.6</v>
      </c>
      <c r="H419" t="n">
        <v>0</v>
      </c>
      <c r="I419" t="n">
        <v>0</v>
      </c>
      <c r="J419" t="n">
        <v>0</v>
      </c>
      <c r="K419" t="n">
        <v>0</v>
      </c>
      <c r="L419" t="n">
        <v>0</v>
      </c>
      <c r="M419" t="n">
        <v>0</v>
      </c>
      <c r="N419" t="n">
        <v>0</v>
      </c>
      <c r="O419" t="n">
        <v>0</v>
      </c>
      <c r="P419" t="n">
        <v>0</v>
      </c>
      <c r="Q419" t="n">
        <v>0</v>
      </c>
      <c r="R419" s="2" t="inlineStr"/>
    </row>
    <row r="420" ht="15" customHeight="1">
      <c r="A420" t="inlineStr">
        <is>
          <t>A 38422-2023</t>
        </is>
      </c>
      <c r="B420" s="1" t="n">
        <v>45162.36422453704</v>
      </c>
      <c r="C420" s="1" t="n">
        <v>46136</v>
      </c>
      <c r="D420" t="inlineStr">
        <is>
          <t>ÖREBRO LÄN</t>
        </is>
      </c>
      <c r="E420" t="inlineStr">
        <is>
          <t>ÖREBRO</t>
        </is>
      </c>
      <c r="G420" t="n">
        <v>8</v>
      </c>
      <c r="H420" t="n">
        <v>0</v>
      </c>
      <c r="I420" t="n">
        <v>0</v>
      </c>
      <c r="J420" t="n">
        <v>0</v>
      </c>
      <c r="K420" t="n">
        <v>0</v>
      </c>
      <c r="L420" t="n">
        <v>0</v>
      </c>
      <c r="M420" t="n">
        <v>0</v>
      </c>
      <c r="N420" t="n">
        <v>0</v>
      </c>
      <c r="O420" t="n">
        <v>0</v>
      </c>
      <c r="P420" t="n">
        <v>0</v>
      </c>
      <c r="Q420" t="n">
        <v>0</v>
      </c>
      <c r="R420" s="2" t="inlineStr"/>
    </row>
    <row r="421" ht="15" customHeight="1">
      <c r="A421" t="inlineStr">
        <is>
          <t>A 46518-2023</t>
        </is>
      </c>
      <c r="B421" s="1" t="n">
        <v>45197.72777777778</v>
      </c>
      <c r="C421" s="1" t="n">
        <v>46136</v>
      </c>
      <c r="D421" t="inlineStr">
        <is>
          <t>ÖREBRO LÄN</t>
        </is>
      </c>
      <c r="E421" t="inlineStr">
        <is>
          <t>ÖREBRO</t>
        </is>
      </c>
      <c r="G421" t="n">
        <v>2.2</v>
      </c>
      <c r="H421" t="n">
        <v>0</v>
      </c>
      <c r="I421" t="n">
        <v>0</v>
      </c>
      <c r="J421" t="n">
        <v>0</v>
      </c>
      <c r="K421" t="n">
        <v>0</v>
      </c>
      <c r="L421" t="n">
        <v>0</v>
      </c>
      <c r="M421" t="n">
        <v>0</v>
      </c>
      <c r="N421" t="n">
        <v>0</v>
      </c>
      <c r="O421" t="n">
        <v>0</v>
      </c>
      <c r="P421" t="n">
        <v>0</v>
      </c>
      <c r="Q421" t="n">
        <v>0</v>
      </c>
      <c r="R421" s="2" t="inlineStr"/>
    </row>
    <row r="422" ht="15" customHeight="1">
      <c r="A422" t="inlineStr">
        <is>
          <t>A 55748-2025</t>
        </is>
      </c>
      <c r="B422" s="1" t="n">
        <v>45972.57893518519</v>
      </c>
      <c r="C422" s="1" t="n">
        <v>46136</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55750-2025</t>
        </is>
      </c>
      <c r="B423" s="1" t="n">
        <v>45972.58171296296</v>
      </c>
      <c r="C423" s="1" t="n">
        <v>46136</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55879-2025</t>
        </is>
      </c>
      <c r="B424" s="1" t="n">
        <v>45973.36508101852</v>
      </c>
      <c r="C424" s="1" t="n">
        <v>46136</v>
      </c>
      <c r="D424" t="inlineStr">
        <is>
          <t>ÖREBRO LÄN</t>
        </is>
      </c>
      <c r="E424" t="inlineStr">
        <is>
          <t>ÖREBRO</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41703-2024</t>
        </is>
      </c>
      <c r="B425" s="1" t="n">
        <v>45560</v>
      </c>
      <c r="C425" s="1" t="n">
        <v>46136</v>
      </c>
      <c r="D425" t="inlineStr">
        <is>
          <t>ÖREBRO LÄN</t>
        </is>
      </c>
      <c r="E425" t="inlineStr">
        <is>
          <t>ÖREBRO</t>
        </is>
      </c>
      <c r="G425" t="n">
        <v>6.4</v>
      </c>
      <c r="H425" t="n">
        <v>0</v>
      </c>
      <c r="I425" t="n">
        <v>0</v>
      </c>
      <c r="J425" t="n">
        <v>0</v>
      </c>
      <c r="K425" t="n">
        <v>0</v>
      </c>
      <c r="L425" t="n">
        <v>0</v>
      </c>
      <c r="M425" t="n">
        <v>0</v>
      </c>
      <c r="N425" t="n">
        <v>0</v>
      </c>
      <c r="O425" t="n">
        <v>0</v>
      </c>
      <c r="P425" t="n">
        <v>0</v>
      </c>
      <c r="Q425" t="n">
        <v>0</v>
      </c>
      <c r="R425" s="2" t="inlineStr"/>
    </row>
    <row r="426" ht="15" customHeight="1">
      <c r="A426" t="inlineStr">
        <is>
          <t>A 19763-2024</t>
        </is>
      </c>
      <c r="B426" s="1" t="n">
        <v>45432</v>
      </c>
      <c r="C426" s="1" t="n">
        <v>46136</v>
      </c>
      <c r="D426" t="inlineStr">
        <is>
          <t>ÖREBRO LÄN</t>
        </is>
      </c>
      <c r="E426" t="inlineStr">
        <is>
          <t>ÖREBRO</t>
        </is>
      </c>
      <c r="G426" t="n">
        <v>1.9</v>
      </c>
      <c r="H426" t="n">
        <v>0</v>
      </c>
      <c r="I426" t="n">
        <v>0</v>
      </c>
      <c r="J426" t="n">
        <v>0</v>
      </c>
      <c r="K426" t="n">
        <v>0</v>
      </c>
      <c r="L426" t="n">
        <v>0</v>
      </c>
      <c r="M426" t="n">
        <v>0</v>
      </c>
      <c r="N426" t="n">
        <v>0</v>
      </c>
      <c r="O426" t="n">
        <v>0</v>
      </c>
      <c r="P426" t="n">
        <v>0</v>
      </c>
      <c r="Q426" t="n">
        <v>0</v>
      </c>
      <c r="R426" s="2" t="inlineStr"/>
    </row>
    <row r="427" ht="15" customHeight="1">
      <c r="A427" t="inlineStr">
        <is>
          <t>A 31247-2023</t>
        </is>
      </c>
      <c r="B427" s="1" t="n">
        <v>45114</v>
      </c>
      <c r="C427" s="1" t="n">
        <v>46136</v>
      </c>
      <c r="D427" t="inlineStr">
        <is>
          <t>ÖREBRO LÄN</t>
        </is>
      </c>
      <c r="E427" t="inlineStr">
        <is>
          <t>ÖREBRO</t>
        </is>
      </c>
      <c r="F427" t="inlineStr">
        <is>
          <t>Allmännings- och besparingsskogar</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55888-2025</t>
        </is>
      </c>
      <c r="B428" s="1" t="n">
        <v>45973.37163194444</v>
      </c>
      <c r="C428" s="1" t="n">
        <v>46136</v>
      </c>
      <c r="D428" t="inlineStr">
        <is>
          <t>ÖREBRO LÄN</t>
        </is>
      </c>
      <c r="E428" t="inlineStr">
        <is>
          <t>ÖREBRO</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36635-2023</t>
        </is>
      </c>
      <c r="B429" s="1" t="n">
        <v>45153</v>
      </c>
      <c r="C429" s="1" t="n">
        <v>46136</v>
      </c>
      <c r="D429" t="inlineStr">
        <is>
          <t>ÖREBRO LÄN</t>
        </is>
      </c>
      <c r="E429" t="inlineStr">
        <is>
          <t>ÖREBRO</t>
        </is>
      </c>
      <c r="G429" t="n">
        <v>1.9</v>
      </c>
      <c r="H429" t="n">
        <v>0</v>
      </c>
      <c r="I429" t="n">
        <v>0</v>
      </c>
      <c r="J429" t="n">
        <v>0</v>
      </c>
      <c r="K429" t="n">
        <v>0</v>
      </c>
      <c r="L429" t="n">
        <v>0</v>
      </c>
      <c r="M429" t="n">
        <v>0</v>
      </c>
      <c r="N429" t="n">
        <v>0</v>
      </c>
      <c r="O429" t="n">
        <v>0</v>
      </c>
      <c r="P429" t="n">
        <v>0</v>
      </c>
      <c r="Q429" t="n">
        <v>0</v>
      </c>
      <c r="R429" s="2" t="inlineStr"/>
    </row>
    <row r="430" ht="15" customHeight="1">
      <c r="A430" t="inlineStr">
        <is>
          <t>A 54149-2024</t>
        </is>
      </c>
      <c r="B430" s="1" t="n">
        <v>45616</v>
      </c>
      <c r="C430" s="1" t="n">
        <v>46136</v>
      </c>
      <c r="D430" t="inlineStr">
        <is>
          <t>ÖREBRO LÄN</t>
        </is>
      </c>
      <c r="E430" t="inlineStr">
        <is>
          <t>ÖREBRO</t>
        </is>
      </c>
      <c r="G430" t="n">
        <v>2.7</v>
      </c>
      <c r="H430" t="n">
        <v>0</v>
      </c>
      <c r="I430" t="n">
        <v>0</v>
      </c>
      <c r="J430" t="n">
        <v>0</v>
      </c>
      <c r="K430" t="n">
        <v>0</v>
      </c>
      <c r="L430" t="n">
        <v>0</v>
      </c>
      <c r="M430" t="n">
        <v>0</v>
      </c>
      <c r="N430" t="n">
        <v>0</v>
      </c>
      <c r="O430" t="n">
        <v>0</v>
      </c>
      <c r="P430" t="n">
        <v>0</v>
      </c>
      <c r="Q430" t="n">
        <v>0</v>
      </c>
      <c r="R430" s="2" t="inlineStr"/>
    </row>
    <row r="431" ht="15" customHeight="1">
      <c r="A431" t="inlineStr">
        <is>
          <t>A 49797-2024</t>
        </is>
      </c>
      <c r="B431" s="1" t="n">
        <v>45597.37265046296</v>
      </c>
      <c r="C431" s="1" t="n">
        <v>46136</v>
      </c>
      <c r="D431" t="inlineStr">
        <is>
          <t>ÖREBRO LÄN</t>
        </is>
      </c>
      <c r="E431" t="inlineStr">
        <is>
          <t>ÖREBRO</t>
        </is>
      </c>
      <c r="G431" t="n">
        <v>11.6</v>
      </c>
      <c r="H431" t="n">
        <v>0</v>
      </c>
      <c r="I431" t="n">
        <v>0</v>
      </c>
      <c r="J431" t="n">
        <v>0</v>
      </c>
      <c r="K431" t="n">
        <v>0</v>
      </c>
      <c r="L431" t="n">
        <v>0</v>
      </c>
      <c r="M431" t="n">
        <v>0</v>
      </c>
      <c r="N431" t="n">
        <v>0</v>
      </c>
      <c r="O431" t="n">
        <v>0</v>
      </c>
      <c r="P431" t="n">
        <v>0</v>
      </c>
      <c r="Q431" t="n">
        <v>0</v>
      </c>
      <c r="R431" s="2" t="inlineStr"/>
    </row>
    <row r="432" ht="15" customHeight="1">
      <c r="A432" t="inlineStr">
        <is>
          <t>A 32086-2023</t>
        </is>
      </c>
      <c r="B432" s="1" t="n">
        <v>45119.59789351852</v>
      </c>
      <c r="C432" s="1" t="n">
        <v>46136</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13856-2022</t>
        </is>
      </c>
      <c r="B433" s="1" t="n">
        <v>44649.6965162037</v>
      </c>
      <c r="C433" s="1" t="n">
        <v>46136</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23863-2023</t>
        </is>
      </c>
      <c r="B434" s="1" t="n">
        <v>45078.48994212963</v>
      </c>
      <c r="C434" s="1" t="n">
        <v>46136</v>
      </c>
      <c r="D434" t="inlineStr">
        <is>
          <t>ÖREBRO LÄN</t>
        </is>
      </c>
      <c r="E434" t="inlineStr">
        <is>
          <t>ÖREBRO</t>
        </is>
      </c>
      <c r="F434" t="inlineStr">
        <is>
          <t>Övriga Aktiebolag</t>
        </is>
      </c>
      <c r="G434" t="n">
        <v>5.9</v>
      </c>
      <c r="H434" t="n">
        <v>0</v>
      </c>
      <c r="I434" t="n">
        <v>0</v>
      </c>
      <c r="J434" t="n">
        <v>0</v>
      </c>
      <c r="K434" t="n">
        <v>0</v>
      </c>
      <c r="L434" t="n">
        <v>0</v>
      </c>
      <c r="M434" t="n">
        <v>0</v>
      </c>
      <c r="N434" t="n">
        <v>0</v>
      </c>
      <c r="O434" t="n">
        <v>0</v>
      </c>
      <c r="P434" t="n">
        <v>0</v>
      </c>
      <c r="Q434" t="n">
        <v>0</v>
      </c>
      <c r="R434" s="2" t="inlineStr"/>
    </row>
    <row r="435" ht="15" customHeight="1">
      <c r="A435" t="inlineStr">
        <is>
          <t>A 39130-2023</t>
        </is>
      </c>
      <c r="B435" s="1" t="n">
        <v>45165</v>
      </c>
      <c r="C435" s="1" t="n">
        <v>46136</v>
      </c>
      <c r="D435" t="inlineStr">
        <is>
          <t>ÖREBRO LÄN</t>
        </is>
      </c>
      <c r="E435" t="inlineStr">
        <is>
          <t>ÖREBRO</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57537-2025</t>
        </is>
      </c>
      <c r="B436" s="1" t="n">
        <v>45980.6446875</v>
      </c>
      <c r="C436" s="1" t="n">
        <v>46136</v>
      </c>
      <c r="D436" t="inlineStr">
        <is>
          <t>ÖREBRO LÄN</t>
        </is>
      </c>
      <c r="E436" t="inlineStr">
        <is>
          <t>ÖREBRO</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13599-2025</t>
        </is>
      </c>
      <c r="B437" s="1" t="n">
        <v>45736.60597222222</v>
      </c>
      <c r="C437" s="1" t="n">
        <v>46136</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58587-2025</t>
        </is>
      </c>
      <c r="B438" s="1" t="n">
        <v>45986.40208333333</v>
      </c>
      <c r="C438" s="1" t="n">
        <v>46136</v>
      </c>
      <c r="D438" t="inlineStr">
        <is>
          <t>ÖREBRO LÄN</t>
        </is>
      </c>
      <c r="E438" t="inlineStr">
        <is>
          <t>ÖREBRO</t>
        </is>
      </c>
      <c r="G438" t="n">
        <v>1.6</v>
      </c>
      <c r="H438" t="n">
        <v>0</v>
      </c>
      <c r="I438" t="n">
        <v>0</v>
      </c>
      <c r="J438" t="n">
        <v>0</v>
      </c>
      <c r="K438" t="n">
        <v>0</v>
      </c>
      <c r="L438" t="n">
        <v>0</v>
      </c>
      <c r="M438" t="n">
        <v>0</v>
      </c>
      <c r="N438" t="n">
        <v>0</v>
      </c>
      <c r="O438" t="n">
        <v>0</v>
      </c>
      <c r="P438" t="n">
        <v>0</v>
      </c>
      <c r="Q438" t="n">
        <v>0</v>
      </c>
      <c r="R438" s="2" t="inlineStr"/>
    </row>
    <row r="439" ht="15" customHeight="1">
      <c r="A439" t="inlineStr">
        <is>
          <t>A 50375-2024</t>
        </is>
      </c>
      <c r="B439" s="1" t="n">
        <v>45601.29311342593</v>
      </c>
      <c r="C439" s="1" t="n">
        <v>46136</v>
      </c>
      <c r="D439" t="inlineStr">
        <is>
          <t>ÖREBRO LÄN</t>
        </is>
      </c>
      <c r="E439" t="inlineStr">
        <is>
          <t>ÖREBRO</t>
        </is>
      </c>
      <c r="G439" t="n">
        <v>5</v>
      </c>
      <c r="H439" t="n">
        <v>0</v>
      </c>
      <c r="I439" t="n">
        <v>0</v>
      </c>
      <c r="J439" t="n">
        <v>0</v>
      </c>
      <c r="K439" t="n">
        <v>0</v>
      </c>
      <c r="L439" t="n">
        <v>0</v>
      </c>
      <c r="M439" t="n">
        <v>0</v>
      </c>
      <c r="N439" t="n">
        <v>0</v>
      </c>
      <c r="O439" t="n">
        <v>0</v>
      </c>
      <c r="P439" t="n">
        <v>0</v>
      </c>
      <c r="Q439" t="n">
        <v>0</v>
      </c>
      <c r="R439" s="2" t="inlineStr"/>
    </row>
    <row r="440" ht="15" customHeight="1">
      <c r="A440" t="inlineStr">
        <is>
          <t>A 52391-2024</t>
        </is>
      </c>
      <c r="B440" s="1" t="n">
        <v>45609.43180555556</v>
      </c>
      <c r="C440" s="1" t="n">
        <v>46136</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58230-2025</t>
        </is>
      </c>
      <c r="B441" s="1" t="n">
        <v>45985.38037037037</v>
      </c>
      <c r="C441" s="1" t="n">
        <v>46136</v>
      </c>
      <c r="D441" t="inlineStr">
        <is>
          <t>ÖREBRO LÄN</t>
        </is>
      </c>
      <c r="E441" t="inlineStr">
        <is>
          <t>ÖREBRO</t>
        </is>
      </c>
      <c r="F441" t="inlineStr">
        <is>
          <t>Övriga Aktiebolag</t>
        </is>
      </c>
      <c r="G441" t="n">
        <v>1.4</v>
      </c>
      <c r="H441" t="n">
        <v>0</v>
      </c>
      <c r="I441" t="n">
        <v>0</v>
      </c>
      <c r="J441" t="n">
        <v>0</v>
      </c>
      <c r="K441" t="n">
        <v>0</v>
      </c>
      <c r="L441" t="n">
        <v>0</v>
      </c>
      <c r="M441" t="n">
        <v>0</v>
      </c>
      <c r="N441" t="n">
        <v>0</v>
      </c>
      <c r="O441" t="n">
        <v>0</v>
      </c>
      <c r="P441" t="n">
        <v>0</v>
      </c>
      <c r="Q441" t="n">
        <v>0</v>
      </c>
      <c r="R441" s="2" t="inlineStr"/>
    </row>
    <row r="442" ht="15" customHeight="1">
      <c r="A442" t="inlineStr">
        <is>
          <t>A 59145-2025</t>
        </is>
      </c>
      <c r="B442" s="1" t="n">
        <v>45988.52015046297</v>
      </c>
      <c r="C442" s="1" t="n">
        <v>46136</v>
      </c>
      <c r="D442" t="inlineStr">
        <is>
          <t>ÖREBRO LÄN</t>
        </is>
      </c>
      <c r="E442" t="inlineStr">
        <is>
          <t>ÖREBRO</t>
        </is>
      </c>
      <c r="G442" t="n">
        <v>0.8</v>
      </c>
      <c r="H442" t="n">
        <v>0</v>
      </c>
      <c r="I442" t="n">
        <v>0</v>
      </c>
      <c r="J442" t="n">
        <v>0</v>
      </c>
      <c r="K442" t="n">
        <v>0</v>
      </c>
      <c r="L442" t="n">
        <v>0</v>
      </c>
      <c r="M442" t="n">
        <v>0</v>
      </c>
      <c r="N442" t="n">
        <v>0</v>
      </c>
      <c r="O442" t="n">
        <v>0</v>
      </c>
      <c r="P442" t="n">
        <v>0</v>
      </c>
      <c r="Q442" t="n">
        <v>0</v>
      </c>
      <c r="R442" s="2" t="inlineStr"/>
    </row>
    <row r="443" ht="15" customHeight="1">
      <c r="A443" t="inlineStr">
        <is>
          <t>A 58835-2025</t>
        </is>
      </c>
      <c r="B443" s="1" t="n">
        <v>45987.35519675926</v>
      </c>
      <c r="C443" s="1" t="n">
        <v>46136</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58532-2024</t>
        </is>
      </c>
      <c r="B444" s="1" t="n">
        <v>45635.44899305556</v>
      </c>
      <c r="C444" s="1" t="n">
        <v>46136</v>
      </c>
      <c r="D444" t="inlineStr">
        <is>
          <t>ÖREBRO LÄN</t>
        </is>
      </c>
      <c r="E444" t="inlineStr">
        <is>
          <t>ÖREBRO</t>
        </is>
      </c>
      <c r="F444" t="inlineStr">
        <is>
          <t>Sveaskog</t>
        </is>
      </c>
      <c r="G444" t="n">
        <v>5.2</v>
      </c>
      <c r="H444" t="n">
        <v>0</v>
      </c>
      <c r="I444" t="n">
        <v>0</v>
      </c>
      <c r="J444" t="n">
        <v>0</v>
      </c>
      <c r="K444" t="n">
        <v>0</v>
      </c>
      <c r="L444" t="n">
        <v>0</v>
      </c>
      <c r="M444" t="n">
        <v>0</v>
      </c>
      <c r="N444" t="n">
        <v>0</v>
      </c>
      <c r="O444" t="n">
        <v>0</v>
      </c>
      <c r="P444" t="n">
        <v>0</v>
      </c>
      <c r="Q444" t="n">
        <v>0</v>
      </c>
      <c r="R444" s="2" t="inlineStr"/>
    </row>
    <row r="445" ht="15" customHeight="1">
      <c r="A445" t="inlineStr">
        <is>
          <t>A 59312-2025</t>
        </is>
      </c>
      <c r="B445" s="1" t="n">
        <v>45989.30467592592</v>
      </c>
      <c r="C445" s="1" t="n">
        <v>46136</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59313-2025</t>
        </is>
      </c>
      <c r="B446" s="1" t="n">
        <v>45989.30920138889</v>
      </c>
      <c r="C446" s="1" t="n">
        <v>46136</v>
      </c>
      <c r="D446" t="inlineStr">
        <is>
          <t>ÖREBRO LÄN</t>
        </is>
      </c>
      <c r="E446" t="inlineStr">
        <is>
          <t>ÖREBRO</t>
        </is>
      </c>
      <c r="G446" t="n">
        <v>1.6</v>
      </c>
      <c r="H446" t="n">
        <v>0</v>
      </c>
      <c r="I446" t="n">
        <v>0</v>
      </c>
      <c r="J446" t="n">
        <v>0</v>
      </c>
      <c r="K446" t="n">
        <v>0</v>
      </c>
      <c r="L446" t="n">
        <v>0</v>
      </c>
      <c r="M446" t="n">
        <v>0</v>
      </c>
      <c r="N446" t="n">
        <v>0</v>
      </c>
      <c r="O446" t="n">
        <v>0</v>
      </c>
      <c r="P446" t="n">
        <v>0</v>
      </c>
      <c r="Q446" t="n">
        <v>0</v>
      </c>
      <c r="R446" s="2" t="inlineStr"/>
    </row>
    <row r="447" ht="15" customHeight="1">
      <c r="A447" t="inlineStr">
        <is>
          <t>A 20150-2024</t>
        </is>
      </c>
      <c r="B447" s="1" t="n">
        <v>45434.57969907407</v>
      </c>
      <c r="C447" s="1" t="n">
        <v>46136</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59856-2025</t>
        </is>
      </c>
      <c r="B448" s="1" t="n">
        <v>45992.74891203704</v>
      </c>
      <c r="C448" s="1" t="n">
        <v>46136</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58208-2024</t>
        </is>
      </c>
      <c r="B449" s="1" t="n">
        <v>45632</v>
      </c>
      <c r="C449" s="1" t="n">
        <v>46136</v>
      </c>
      <c r="D449" t="inlineStr">
        <is>
          <t>ÖREBRO LÄN</t>
        </is>
      </c>
      <c r="E449" t="inlineStr">
        <is>
          <t>ÖREBRO</t>
        </is>
      </c>
      <c r="G449" t="n">
        <v>3.1</v>
      </c>
      <c r="H449" t="n">
        <v>0</v>
      </c>
      <c r="I449" t="n">
        <v>0</v>
      </c>
      <c r="J449" t="n">
        <v>0</v>
      </c>
      <c r="K449" t="n">
        <v>0</v>
      </c>
      <c r="L449" t="n">
        <v>0</v>
      </c>
      <c r="M449" t="n">
        <v>0</v>
      </c>
      <c r="N449" t="n">
        <v>0</v>
      </c>
      <c r="O449" t="n">
        <v>0</v>
      </c>
      <c r="P449" t="n">
        <v>0</v>
      </c>
      <c r="Q449" t="n">
        <v>0</v>
      </c>
      <c r="R449" s="2" t="inlineStr"/>
    </row>
    <row r="450" ht="15" customHeight="1">
      <c r="A450" t="inlineStr">
        <is>
          <t>A 19388-2024</t>
        </is>
      </c>
      <c r="B450" s="1" t="n">
        <v>45429.37775462963</v>
      </c>
      <c r="C450" s="1" t="n">
        <v>46136</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59857-2025</t>
        </is>
      </c>
      <c r="B451" s="1" t="n">
        <v>45992.75820601852</v>
      </c>
      <c r="C451" s="1" t="n">
        <v>46136</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59858-2025</t>
        </is>
      </c>
      <c r="B452" s="1" t="n">
        <v>45992.76758101852</v>
      </c>
      <c r="C452" s="1" t="n">
        <v>46136</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59859-2025</t>
        </is>
      </c>
      <c r="B453" s="1" t="n">
        <v>45992.7803125</v>
      </c>
      <c r="C453" s="1" t="n">
        <v>46136</v>
      </c>
      <c r="D453" t="inlineStr">
        <is>
          <t>ÖREBRO LÄN</t>
        </is>
      </c>
      <c r="E453" t="inlineStr">
        <is>
          <t>ÖREBRO</t>
        </is>
      </c>
      <c r="G453" t="n">
        <v>0.4</v>
      </c>
      <c r="H453" t="n">
        <v>0</v>
      </c>
      <c r="I453" t="n">
        <v>0</v>
      </c>
      <c r="J453" t="n">
        <v>0</v>
      </c>
      <c r="K453" t="n">
        <v>0</v>
      </c>
      <c r="L453" t="n">
        <v>0</v>
      </c>
      <c r="M453" t="n">
        <v>0</v>
      </c>
      <c r="N453" t="n">
        <v>0</v>
      </c>
      <c r="O453" t="n">
        <v>0</v>
      </c>
      <c r="P453" t="n">
        <v>0</v>
      </c>
      <c r="Q453" t="n">
        <v>0</v>
      </c>
      <c r="R453" s="2" t="inlineStr"/>
    </row>
    <row r="454" ht="15" customHeight="1">
      <c r="A454" t="inlineStr">
        <is>
          <t>A 7506-2025</t>
        </is>
      </c>
      <c r="B454" s="1" t="n">
        <v>45705</v>
      </c>
      <c r="C454" s="1" t="n">
        <v>46136</v>
      </c>
      <c r="D454" t="inlineStr">
        <is>
          <t>ÖREBRO LÄN</t>
        </is>
      </c>
      <c r="E454" t="inlineStr">
        <is>
          <t>ÖREBRO</t>
        </is>
      </c>
      <c r="G454" t="n">
        <v>0.5</v>
      </c>
      <c r="H454" t="n">
        <v>0</v>
      </c>
      <c r="I454" t="n">
        <v>0</v>
      </c>
      <c r="J454" t="n">
        <v>0</v>
      </c>
      <c r="K454" t="n">
        <v>0</v>
      </c>
      <c r="L454" t="n">
        <v>0</v>
      </c>
      <c r="M454" t="n">
        <v>0</v>
      </c>
      <c r="N454" t="n">
        <v>0</v>
      </c>
      <c r="O454" t="n">
        <v>0</v>
      </c>
      <c r="P454" t="n">
        <v>0</v>
      </c>
      <c r="Q454" t="n">
        <v>0</v>
      </c>
      <c r="R454" s="2" t="inlineStr"/>
    </row>
    <row r="455" ht="15" customHeight="1">
      <c r="A455" t="inlineStr">
        <is>
          <t>A 59937-2025</t>
        </is>
      </c>
      <c r="B455" s="1" t="n">
        <v>45993.41934027777</v>
      </c>
      <c r="C455" s="1" t="n">
        <v>46136</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4344-2025</t>
        </is>
      </c>
      <c r="B456" s="1" t="n">
        <v>45685</v>
      </c>
      <c r="C456" s="1" t="n">
        <v>46136</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59938-2025</t>
        </is>
      </c>
      <c r="B457" s="1" t="n">
        <v>45993.42108796296</v>
      </c>
      <c r="C457" s="1" t="n">
        <v>46136</v>
      </c>
      <c r="D457" t="inlineStr">
        <is>
          <t>ÖREBRO LÄN</t>
        </is>
      </c>
      <c r="E457" t="inlineStr">
        <is>
          <t>ÖREBRO</t>
        </is>
      </c>
      <c r="G457" t="n">
        <v>1.5</v>
      </c>
      <c r="H457" t="n">
        <v>0</v>
      </c>
      <c r="I457" t="n">
        <v>0</v>
      </c>
      <c r="J457" t="n">
        <v>0</v>
      </c>
      <c r="K457" t="n">
        <v>0</v>
      </c>
      <c r="L457" t="n">
        <v>0</v>
      </c>
      <c r="M457" t="n">
        <v>0</v>
      </c>
      <c r="N457" t="n">
        <v>0</v>
      </c>
      <c r="O457" t="n">
        <v>0</v>
      </c>
      <c r="P457" t="n">
        <v>0</v>
      </c>
      <c r="Q457" t="n">
        <v>0</v>
      </c>
      <c r="R457" s="2" t="inlineStr"/>
    </row>
    <row r="458" ht="15" customHeight="1">
      <c r="A458" t="inlineStr">
        <is>
          <t>A 59860-2025</t>
        </is>
      </c>
      <c r="B458" s="1" t="n">
        <v>45992.78351851852</v>
      </c>
      <c r="C458" s="1" t="n">
        <v>46136</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16300-2022</t>
        </is>
      </c>
      <c r="B459" s="1" t="n">
        <v>44670</v>
      </c>
      <c r="C459" s="1" t="n">
        <v>46136</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60717-2025</t>
        </is>
      </c>
      <c r="B460" s="1" t="n">
        <v>45996.63673611111</v>
      </c>
      <c r="C460" s="1" t="n">
        <v>46136</v>
      </c>
      <c r="D460" t="inlineStr">
        <is>
          <t>ÖREBRO LÄN</t>
        </is>
      </c>
      <c r="E460" t="inlineStr">
        <is>
          <t>ÖREBRO</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60718-2025</t>
        </is>
      </c>
      <c r="B461" s="1" t="n">
        <v>45996.6384375</v>
      </c>
      <c r="C461" s="1" t="n">
        <v>46136</v>
      </c>
      <c r="D461" t="inlineStr">
        <is>
          <t>ÖREBRO LÄN</t>
        </is>
      </c>
      <c r="E461" t="inlineStr">
        <is>
          <t>ÖREBRO</t>
        </is>
      </c>
      <c r="F461" t="inlineStr">
        <is>
          <t>Sveaskog</t>
        </is>
      </c>
      <c r="G461" t="n">
        <v>5.3</v>
      </c>
      <c r="H461" t="n">
        <v>0</v>
      </c>
      <c r="I461" t="n">
        <v>0</v>
      </c>
      <c r="J461" t="n">
        <v>0</v>
      </c>
      <c r="K461" t="n">
        <v>0</v>
      </c>
      <c r="L461" t="n">
        <v>0</v>
      </c>
      <c r="M461" t="n">
        <v>0</v>
      </c>
      <c r="N461" t="n">
        <v>0</v>
      </c>
      <c r="O461" t="n">
        <v>0</v>
      </c>
      <c r="P461" t="n">
        <v>0</v>
      </c>
      <c r="Q461" t="n">
        <v>0</v>
      </c>
      <c r="R461" s="2" t="inlineStr"/>
    </row>
    <row r="462" ht="15" customHeight="1">
      <c r="A462" t="inlineStr">
        <is>
          <t>A 60721-2025</t>
        </is>
      </c>
      <c r="B462" s="1" t="n">
        <v>45996</v>
      </c>
      <c r="C462" s="1" t="n">
        <v>46136</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16958-2022</t>
        </is>
      </c>
      <c r="B463" s="1" t="n">
        <v>44676.50481481481</v>
      </c>
      <c r="C463" s="1" t="n">
        <v>46136</v>
      </c>
      <c r="D463" t="inlineStr">
        <is>
          <t>ÖREBRO LÄN</t>
        </is>
      </c>
      <c r="E463" t="inlineStr">
        <is>
          <t>ÖREBRO</t>
        </is>
      </c>
      <c r="G463" t="n">
        <v>3.1</v>
      </c>
      <c r="H463" t="n">
        <v>0</v>
      </c>
      <c r="I463" t="n">
        <v>0</v>
      </c>
      <c r="J463" t="n">
        <v>0</v>
      </c>
      <c r="K463" t="n">
        <v>0</v>
      </c>
      <c r="L463" t="n">
        <v>0</v>
      </c>
      <c r="M463" t="n">
        <v>0</v>
      </c>
      <c r="N463" t="n">
        <v>0</v>
      </c>
      <c r="O463" t="n">
        <v>0</v>
      </c>
      <c r="P463" t="n">
        <v>0</v>
      </c>
      <c r="Q463" t="n">
        <v>0</v>
      </c>
      <c r="R463" s="2" t="inlineStr"/>
    </row>
    <row r="464" ht="15" customHeight="1">
      <c r="A464" t="inlineStr">
        <is>
          <t>A 55472-2023</t>
        </is>
      </c>
      <c r="B464" s="1" t="n">
        <v>45238</v>
      </c>
      <c r="C464" s="1" t="n">
        <v>46136</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60466-2025</t>
        </is>
      </c>
      <c r="B465" s="1" t="n">
        <v>45995.55927083334</v>
      </c>
      <c r="C465" s="1" t="n">
        <v>46136</v>
      </c>
      <c r="D465" t="inlineStr">
        <is>
          <t>ÖREBRO LÄN</t>
        </is>
      </c>
      <c r="E465" t="inlineStr">
        <is>
          <t>ÖREBRO</t>
        </is>
      </c>
      <c r="F465" t="inlineStr">
        <is>
          <t>Sveaskog</t>
        </is>
      </c>
      <c r="G465" t="n">
        <v>3.3</v>
      </c>
      <c r="H465" t="n">
        <v>0</v>
      </c>
      <c r="I465" t="n">
        <v>0</v>
      </c>
      <c r="J465" t="n">
        <v>0</v>
      </c>
      <c r="K465" t="n">
        <v>0</v>
      </c>
      <c r="L465" t="n">
        <v>0</v>
      </c>
      <c r="M465" t="n">
        <v>0</v>
      </c>
      <c r="N465" t="n">
        <v>0</v>
      </c>
      <c r="O465" t="n">
        <v>0</v>
      </c>
      <c r="P465" t="n">
        <v>0</v>
      </c>
      <c r="Q465" t="n">
        <v>0</v>
      </c>
      <c r="R465" s="2" t="inlineStr"/>
    </row>
    <row r="466" ht="15" customHeight="1">
      <c r="A466" t="inlineStr">
        <is>
          <t>A 60555-2025</t>
        </is>
      </c>
      <c r="B466" s="1" t="n">
        <v>45995.73722222223</v>
      </c>
      <c r="C466" s="1" t="n">
        <v>46136</v>
      </c>
      <c r="D466" t="inlineStr">
        <is>
          <t>ÖREBRO LÄN</t>
        </is>
      </c>
      <c r="E466" t="inlineStr">
        <is>
          <t>ÖREBRO</t>
        </is>
      </c>
      <c r="G466" t="n">
        <v>1.7</v>
      </c>
      <c r="H466" t="n">
        <v>0</v>
      </c>
      <c r="I466" t="n">
        <v>0</v>
      </c>
      <c r="J466" t="n">
        <v>0</v>
      </c>
      <c r="K466" t="n">
        <v>0</v>
      </c>
      <c r="L466" t="n">
        <v>0</v>
      </c>
      <c r="M466" t="n">
        <v>0</v>
      </c>
      <c r="N466" t="n">
        <v>0</v>
      </c>
      <c r="O466" t="n">
        <v>0</v>
      </c>
      <c r="P466" t="n">
        <v>0</v>
      </c>
      <c r="Q466" t="n">
        <v>0</v>
      </c>
      <c r="R466" s="2" t="inlineStr"/>
    </row>
    <row r="467" ht="15" customHeight="1">
      <c r="A467" t="inlineStr">
        <is>
          <t>A 60551-2025</t>
        </is>
      </c>
      <c r="B467" s="1" t="n">
        <v>45995</v>
      </c>
      <c r="C467" s="1" t="n">
        <v>46136</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60720-2025</t>
        </is>
      </c>
      <c r="B468" s="1" t="n">
        <v>45996.64050925926</v>
      </c>
      <c r="C468" s="1" t="n">
        <v>46136</v>
      </c>
      <c r="D468" t="inlineStr">
        <is>
          <t>ÖREBRO LÄN</t>
        </is>
      </c>
      <c r="E468" t="inlineStr">
        <is>
          <t>ÖREBRO</t>
        </is>
      </c>
      <c r="F468" t="inlineStr">
        <is>
          <t>Sveaskog</t>
        </is>
      </c>
      <c r="G468" t="n">
        <v>3</v>
      </c>
      <c r="H468" t="n">
        <v>0</v>
      </c>
      <c r="I468" t="n">
        <v>0</v>
      </c>
      <c r="J468" t="n">
        <v>0</v>
      </c>
      <c r="K468" t="n">
        <v>0</v>
      </c>
      <c r="L468" t="n">
        <v>0</v>
      </c>
      <c r="M468" t="n">
        <v>0</v>
      </c>
      <c r="N468" t="n">
        <v>0</v>
      </c>
      <c r="O468" t="n">
        <v>0</v>
      </c>
      <c r="P468" t="n">
        <v>0</v>
      </c>
      <c r="Q468" t="n">
        <v>0</v>
      </c>
      <c r="R468" s="2" t="inlineStr"/>
    </row>
    <row r="469" ht="15" customHeight="1">
      <c r="A469" t="inlineStr">
        <is>
          <t>A 54925-2023</t>
        </is>
      </c>
      <c r="B469" s="1" t="n">
        <v>45229</v>
      </c>
      <c r="C469" s="1" t="n">
        <v>46136</v>
      </c>
      <c r="D469" t="inlineStr">
        <is>
          <t>ÖREBRO LÄN</t>
        </is>
      </c>
      <c r="E469" t="inlineStr">
        <is>
          <t>ÖREBRO</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16961-2022</t>
        </is>
      </c>
      <c r="B470" s="1" t="n">
        <v>44676</v>
      </c>
      <c r="C470" s="1" t="n">
        <v>46136</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15424-2022</t>
        </is>
      </c>
      <c r="B471" s="1" t="n">
        <v>44659</v>
      </c>
      <c r="C471" s="1" t="n">
        <v>46136</v>
      </c>
      <c r="D471" t="inlineStr">
        <is>
          <t>ÖREBRO LÄN</t>
        </is>
      </c>
      <c r="E471" t="inlineStr">
        <is>
          <t>ÖREBRO</t>
        </is>
      </c>
      <c r="G471" t="n">
        <v>2.2</v>
      </c>
      <c r="H471" t="n">
        <v>0</v>
      </c>
      <c r="I471" t="n">
        <v>0</v>
      </c>
      <c r="J471" t="n">
        <v>0</v>
      </c>
      <c r="K471" t="n">
        <v>0</v>
      </c>
      <c r="L471" t="n">
        <v>0</v>
      </c>
      <c r="M471" t="n">
        <v>0</v>
      </c>
      <c r="N471" t="n">
        <v>0</v>
      </c>
      <c r="O471" t="n">
        <v>0</v>
      </c>
      <c r="P471" t="n">
        <v>0</v>
      </c>
      <c r="Q471" t="n">
        <v>0</v>
      </c>
      <c r="R471" s="2" t="inlineStr"/>
    </row>
    <row r="472" ht="15" customHeight="1">
      <c r="A472" t="inlineStr">
        <is>
          <t>A 60840-2025</t>
        </is>
      </c>
      <c r="B472" s="1" t="n">
        <v>45999.48547453704</v>
      </c>
      <c r="C472" s="1" t="n">
        <v>46136</v>
      </c>
      <c r="D472" t="inlineStr">
        <is>
          <t>ÖREBRO LÄN</t>
        </is>
      </c>
      <c r="E472" t="inlineStr">
        <is>
          <t>ÖREBRO</t>
        </is>
      </c>
      <c r="G472" t="n">
        <v>3.5</v>
      </c>
      <c r="H472" t="n">
        <v>0</v>
      </c>
      <c r="I472" t="n">
        <v>0</v>
      </c>
      <c r="J472" t="n">
        <v>0</v>
      </c>
      <c r="K472" t="n">
        <v>0</v>
      </c>
      <c r="L472" t="n">
        <v>0</v>
      </c>
      <c r="M472" t="n">
        <v>0</v>
      </c>
      <c r="N472" t="n">
        <v>0</v>
      </c>
      <c r="O472" t="n">
        <v>0</v>
      </c>
      <c r="P472" t="n">
        <v>0</v>
      </c>
      <c r="Q472" t="n">
        <v>0</v>
      </c>
      <c r="R472" s="2" t="inlineStr"/>
    </row>
    <row r="473" ht="15" customHeight="1">
      <c r="A473" t="inlineStr">
        <is>
          <t>A 61525-2025</t>
        </is>
      </c>
      <c r="B473" s="1" t="n">
        <v>46001</v>
      </c>
      <c r="C473" s="1" t="n">
        <v>46136</v>
      </c>
      <c r="D473" t="inlineStr">
        <is>
          <t>ÖREBRO LÄN</t>
        </is>
      </c>
      <c r="E473" t="inlineStr">
        <is>
          <t>ÖREBRO</t>
        </is>
      </c>
      <c r="G473" t="n">
        <v>2.6</v>
      </c>
      <c r="H473" t="n">
        <v>0</v>
      </c>
      <c r="I473" t="n">
        <v>0</v>
      </c>
      <c r="J473" t="n">
        <v>0</v>
      </c>
      <c r="K473" t="n">
        <v>0</v>
      </c>
      <c r="L473" t="n">
        <v>0</v>
      </c>
      <c r="M473" t="n">
        <v>0</v>
      </c>
      <c r="N473" t="n">
        <v>0</v>
      </c>
      <c r="O473" t="n">
        <v>0</v>
      </c>
      <c r="P473" t="n">
        <v>0</v>
      </c>
      <c r="Q473" t="n">
        <v>0</v>
      </c>
      <c r="R473" s="2" t="inlineStr"/>
    </row>
    <row r="474" ht="15" customHeight="1">
      <c r="A474" t="inlineStr">
        <is>
          <t>A 13700-2024</t>
        </is>
      </c>
      <c r="B474" s="1" t="n">
        <v>45390.59277777778</v>
      </c>
      <c r="C474" s="1" t="n">
        <v>46136</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3659-2025</t>
        </is>
      </c>
      <c r="B475" s="1" t="n">
        <v>45681</v>
      </c>
      <c r="C475" s="1" t="n">
        <v>46136</v>
      </c>
      <c r="D475" t="inlineStr">
        <is>
          <t>ÖREBRO LÄN</t>
        </is>
      </c>
      <c r="E475" t="inlineStr">
        <is>
          <t>ÖREBRO</t>
        </is>
      </c>
      <c r="G475" t="n">
        <v>15.8</v>
      </c>
      <c r="H475" t="n">
        <v>0</v>
      </c>
      <c r="I475" t="n">
        <v>0</v>
      </c>
      <c r="J475" t="n">
        <v>0</v>
      </c>
      <c r="K475" t="n">
        <v>0</v>
      </c>
      <c r="L475" t="n">
        <v>0</v>
      </c>
      <c r="M475" t="n">
        <v>0</v>
      </c>
      <c r="N475" t="n">
        <v>0</v>
      </c>
      <c r="O475" t="n">
        <v>0</v>
      </c>
      <c r="P475" t="n">
        <v>0</v>
      </c>
      <c r="Q475" t="n">
        <v>0</v>
      </c>
      <c r="R475" s="2" t="inlineStr"/>
    </row>
    <row r="476" ht="15" customHeight="1">
      <c r="A476" t="inlineStr">
        <is>
          <t>A 1014-2024</t>
        </is>
      </c>
      <c r="B476" s="1" t="n">
        <v>45301</v>
      </c>
      <c r="C476" s="1" t="n">
        <v>46136</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61930-2025</t>
        </is>
      </c>
      <c r="B477" s="1" t="n">
        <v>46003</v>
      </c>
      <c r="C477" s="1" t="n">
        <v>46136</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767-2024</t>
        </is>
      </c>
      <c r="B478" s="1" t="n">
        <v>45300.51892361111</v>
      </c>
      <c r="C478" s="1" t="n">
        <v>46136</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44511-2023</t>
        </is>
      </c>
      <c r="B479" s="1" t="n">
        <v>45189</v>
      </c>
      <c r="C479" s="1" t="n">
        <v>46136</v>
      </c>
      <c r="D479" t="inlineStr">
        <is>
          <t>ÖREBRO LÄN</t>
        </is>
      </c>
      <c r="E479" t="inlineStr">
        <is>
          <t>ÖREBRO</t>
        </is>
      </c>
      <c r="F479" t="inlineStr">
        <is>
          <t>Allmännings- och besparingsskogar</t>
        </is>
      </c>
      <c r="G479" t="n">
        <v>2.7</v>
      </c>
      <c r="H479" t="n">
        <v>0</v>
      </c>
      <c r="I479" t="n">
        <v>0</v>
      </c>
      <c r="J479" t="n">
        <v>0</v>
      </c>
      <c r="K479" t="n">
        <v>0</v>
      </c>
      <c r="L479" t="n">
        <v>0</v>
      </c>
      <c r="M479" t="n">
        <v>0</v>
      </c>
      <c r="N479" t="n">
        <v>0</v>
      </c>
      <c r="O479" t="n">
        <v>0</v>
      </c>
      <c r="P479" t="n">
        <v>0</v>
      </c>
      <c r="Q479" t="n">
        <v>0</v>
      </c>
      <c r="R479" s="2" t="inlineStr"/>
    </row>
    <row r="480" ht="15" customHeight="1">
      <c r="A480" t="inlineStr">
        <is>
          <t>A 62683-2025</t>
        </is>
      </c>
      <c r="B480" s="1" t="n">
        <v>46008.45796296297</v>
      </c>
      <c r="C480" s="1" t="n">
        <v>46136</v>
      </c>
      <c r="D480" t="inlineStr">
        <is>
          <t>ÖREBRO LÄN</t>
        </is>
      </c>
      <c r="E480" t="inlineStr">
        <is>
          <t>ÖREBRO</t>
        </is>
      </c>
      <c r="G480" t="n">
        <v>5.1</v>
      </c>
      <c r="H480" t="n">
        <v>0</v>
      </c>
      <c r="I480" t="n">
        <v>0</v>
      </c>
      <c r="J480" t="n">
        <v>0</v>
      </c>
      <c r="K480" t="n">
        <v>0</v>
      </c>
      <c r="L480" t="n">
        <v>0</v>
      </c>
      <c r="M480" t="n">
        <v>0</v>
      </c>
      <c r="N480" t="n">
        <v>0</v>
      </c>
      <c r="O480" t="n">
        <v>0</v>
      </c>
      <c r="P480" t="n">
        <v>0</v>
      </c>
      <c r="Q480" t="n">
        <v>0</v>
      </c>
      <c r="R480" s="2" t="inlineStr"/>
    </row>
    <row r="481" ht="15" customHeight="1">
      <c r="A481" t="inlineStr">
        <is>
          <t>A 53234-2023</t>
        </is>
      </c>
      <c r="B481" s="1" t="n">
        <v>45229</v>
      </c>
      <c r="C481" s="1" t="n">
        <v>46136</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8512-2025</t>
        </is>
      </c>
      <c r="B482" s="1" t="n">
        <v>45709.54873842592</v>
      </c>
      <c r="C482" s="1" t="n">
        <v>46136</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28054-2022</t>
        </is>
      </c>
      <c r="B483" s="1" t="n">
        <v>44746.41938657407</v>
      </c>
      <c r="C483" s="1" t="n">
        <v>46136</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1647-2024</t>
        </is>
      </c>
      <c r="B484" s="1" t="n">
        <v>45306</v>
      </c>
      <c r="C484" s="1" t="n">
        <v>46136</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57485-2023</t>
        </is>
      </c>
      <c r="B485" s="1" t="n">
        <v>45246</v>
      </c>
      <c r="C485" s="1" t="n">
        <v>46136</v>
      </c>
      <c r="D485" t="inlineStr">
        <is>
          <t>ÖREBRO LÄN</t>
        </is>
      </c>
      <c r="E485" t="inlineStr">
        <is>
          <t>ÖREBRO</t>
        </is>
      </c>
      <c r="G485" t="n">
        <v>0.9</v>
      </c>
      <c r="H485" t="n">
        <v>0</v>
      </c>
      <c r="I485" t="n">
        <v>0</v>
      </c>
      <c r="J485" t="n">
        <v>0</v>
      </c>
      <c r="K485" t="n">
        <v>0</v>
      </c>
      <c r="L485" t="n">
        <v>0</v>
      </c>
      <c r="M485" t="n">
        <v>0</v>
      </c>
      <c r="N485" t="n">
        <v>0</v>
      </c>
      <c r="O485" t="n">
        <v>0</v>
      </c>
      <c r="P485" t="n">
        <v>0</v>
      </c>
      <c r="Q485" t="n">
        <v>0</v>
      </c>
      <c r="R485" s="2" t="inlineStr"/>
    </row>
    <row r="486" ht="15" customHeight="1">
      <c r="A486" t="inlineStr">
        <is>
          <t>A 58032-2023</t>
        </is>
      </c>
      <c r="B486" s="1" t="n">
        <v>45247</v>
      </c>
      <c r="C486" s="1" t="n">
        <v>46136</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58035-2023</t>
        </is>
      </c>
      <c r="B487" s="1" t="n">
        <v>45247</v>
      </c>
      <c r="C487" s="1" t="n">
        <v>46136</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55003-2025</t>
        </is>
      </c>
      <c r="B488" s="1" t="n">
        <v>45967</v>
      </c>
      <c r="C488" s="1" t="n">
        <v>46136</v>
      </c>
      <c r="D488" t="inlineStr">
        <is>
          <t>ÖREBRO LÄN</t>
        </is>
      </c>
      <c r="E488" t="inlineStr">
        <is>
          <t>ÖREBRO</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16258-2022</t>
        </is>
      </c>
      <c r="B489" s="1" t="n">
        <v>44670</v>
      </c>
      <c r="C489" s="1" t="n">
        <v>46136</v>
      </c>
      <c r="D489" t="inlineStr">
        <is>
          <t>ÖREBRO LÄN</t>
        </is>
      </c>
      <c r="E489" t="inlineStr">
        <is>
          <t>ÖREBRO</t>
        </is>
      </c>
      <c r="G489" t="n">
        <v>0.6</v>
      </c>
      <c r="H489" t="n">
        <v>0</v>
      </c>
      <c r="I489" t="n">
        <v>0</v>
      </c>
      <c r="J489" t="n">
        <v>0</v>
      </c>
      <c r="K489" t="n">
        <v>0</v>
      </c>
      <c r="L489" t="n">
        <v>0</v>
      </c>
      <c r="M489" t="n">
        <v>0</v>
      </c>
      <c r="N489" t="n">
        <v>0</v>
      </c>
      <c r="O489" t="n">
        <v>0</v>
      </c>
      <c r="P489" t="n">
        <v>0</v>
      </c>
      <c r="Q489" t="n">
        <v>0</v>
      </c>
      <c r="R489" s="2" t="inlineStr"/>
    </row>
    <row r="490" ht="15" customHeight="1">
      <c r="A490" t="inlineStr">
        <is>
          <t>A 35829-2024</t>
        </is>
      </c>
      <c r="B490" s="1" t="n">
        <v>45532</v>
      </c>
      <c r="C490" s="1" t="n">
        <v>46136</v>
      </c>
      <c r="D490" t="inlineStr">
        <is>
          <t>ÖREBRO LÄN</t>
        </is>
      </c>
      <c r="E490" t="inlineStr">
        <is>
          <t>ÖREBRO</t>
        </is>
      </c>
      <c r="G490" t="n">
        <v>4.6</v>
      </c>
      <c r="H490" t="n">
        <v>0</v>
      </c>
      <c r="I490" t="n">
        <v>0</v>
      </c>
      <c r="J490" t="n">
        <v>0</v>
      </c>
      <c r="K490" t="n">
        <v>0</v>
      </c>
      <c r="L490" t="n">
        <v>0</v>
      </c>
      <c r="M490" t="n">
        <v>0</v>
      </c>
      <c r="N490" t="n">
        <v>0</v>
      </c>
      <c r="O490" t="n">
        <v>0</v>
      </c>
      <c r="P490" t="n">
        <v>0</v>
      </c>
      <c r="Q490" t="n">
        <v>0</v>
      </c>
      <c r="R490" s="2" t="inlineStr"/>
    </row>
    <row r="491" ht="15" customHeight="1">
      <c r="A491" t="inlineStr">
        <is>
          <t>A 35833-2024</t>
        </is>
      </c>
      <c r="B491" s="1" t="n">
        <v>45532.68699074074</v>
      </c>
      <c r="C491" s="1" t="n">
        <v>46136</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63657-2025</t>
        </is>
      </c>
      <c r="B492" s="1" t="n">
        <v>46014.44479166667</v>
      </c>
      <c r="C492" s="1" t="n">
        <v>46136</v>
      </c>
      <c r="D492" t="inlineStr">
        <is>
          <t>ÖREBRO LÄN</t>
        </is>
      </c>
      <c r="E492" t="inlineStr">
        <is>
          <t>ÖREBRO</t>
        </is>
      </c>
      <c r="F492" t="inlineStr">
        <is>
          <t>Allmännings- och besparingsskogar</t>
        </is>
      </c>
      <c r="G492" t="n">
        <v>3.9</v>
      </c>
      <c r="H492" t="n">
        <v>0</v>
      </c>
      <c r="I492" t="n">
        <v>0</v>
      </c>
      <c r="J492" t="n">
        <v>0</v>
      </c>
      <c r="K492" t="n">
        <v>0</v>
      </c>
      <c r="L492" t="n">
        <v>0</v>
      </c>
      <c r="M492" t="n">
        <v>0</v>
      </c>
      <c r="N492" t="n">
        <v>0</v>
      </c>
      <c r="O492" t="n">
        <v>0</v>
      </c>
      <c r="P492" t="n">
        <v>0</v>
      </c>
      <c r="Q492" t="n">
        <v>0</v>
      </c>
      <c r="R492" s="2" t="inlineStr"/>
    </row>
    <row r="493" ht="15" customHeight="1">
      <c r="A493" t="inlineStr">
        <is>
          <t>A 14717-2024</t>
        </is>
      </c>
      <c r="B493" s="1" t="n">
        <v>45397.55104166667</v>
      </c>
      <c r="C493" s="1" t="n">
        <v>46136</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63666-2025</t>
        </is>
      </c>
      <c r="B494" s="1" t="n">
        <v>46014.45650462963</v>
      </c>
      <c r="C494" s="1" t="n">
        <v>46136</v>
      </c>
      <c r="D494" t="inlineStr">
        <is>
          <t>ÖREBRO LÄN</t>
        </is>
      </c>
      <c r="E494" t="inlineStr">
        <is>
          <t>ÖREBRO</t>
        </is>
      </c>
      <c r="F494" t="inlineStr">
        <is>
          <t>Allmännings- och besparingsskogar</t>
        </is>
      </c>
      <c r="G494" t="n">
        <v>2.6</v>
      </c>
      <c r="H494" t="n">
        <v>0</v>
      </c>
      <c r="I494" t="n">
        <v>0</v>
      </c>
      <c r="J494" t="n">
        <v>0</v>
      </c>
      <c r="K494" t="n">
        <v>0</v>
      </c>
      <c r="L494" t="n">
        <v>0</v>
      </c>
      <c r="M494" t="n">
        <v>0</v>
      </c>
      <c r="N494" t="n">
        <v>0</v>
      </c>
      <c r="O494" t="n">
        <v>0</v>
      </c>
      <c r="P494" t="n">
        <v>0</v>
      </c>
      <c r="Q494" t="n">
        <v>0</v>
      </c>
      <c r="R494" s="2" t="inlineStr"/>
    </row>
    <row r="495" ht="15" customHeight="1">
      <c r="A495" t="inlineStr">
        <is>
          <t>A 63662-2025</t>
        </is>
      </c>
      <c r="B495" s="1" t="n">
        <v>46014.45055555556</v>
      </c>
      <c r="C495" s="1" t="n">
        <v>46136</v>
      </c>
      <c r="D495" t="inlineStr">
        <is>
          <t>ÖREBRO LÄN</t>
        </is>
      </c>
      <c r="E495" t="inlineStr">
        <is>
          <t>ÖREBRO</t>
        </is>
      </c>
      <c r="F495" t="inlineStr">
        <is>
          <t>Allmännings- och besparingsskogar</t>
        </is>
      </c>
      <c r="G495" t="n">
        <v>3.2</v>
      </c>
      <c r="H495" t="n">
        <v>0</v>
      </c>
      <c r="I495" t="n">
        <v>0</v>
      </c>
      <c r="J495" t="n">
        <v>0</v>
      </c>
      <c r="K495" t="n">
        <v>0</v>
      </c>
      <c r="L495" t="n">
        <v>0</v>
      </c>
      <c r="M495" t="n">
        <v>0</v>
      </c>
      <c r="N495" t="n">
        <v>0</v>
      </c>
      <c r="O495" t="n">
        <v>0</v>
      </c>
      <c r="P495" t="n">
        <v>0</v>
      </c>
      <c r="Q495" t="n">
        <v>0</v>
      </c>
      <c r="R495" s="2" t="inlineStr"/>
    </row>
    <row r="496" ht="15" customHeight="1">
      <c r="A496" t="inlineStr">
        <is>
          <t>A 64018-2025</t>
        </is>
      </c>
      <c r="B496" s="1" t="n">
        <v>46021.4546412037</v>
      </c>
      <c r="C496" s="1" t="n">
        <v>46136</v>
      </c>
      <c r="D496" t="inlineStr">
        <is>
          <t>ÖREBRO LÄN</t>
        </is>
      </c>
      <c r="E496" t="inlineStr">
        <is>
          <t>ÖREBRO</t>
        </is>
      </c>
      <c r="G496" t="n">
        <v>2.9</v>
      </c>
      <c r="H496" t="n">
        <v>0</v>
      </c>
      <c r="I496" t="n">
        <v>0</v>
      </c>
      <c r="J496" t="n">
        <v>0</v>
      </c>
      <c r="K496" t="n">
        <v>0</v>
      </c>
      <c r="L496" t="n">
        <v>0</v>
      </c>
      <c r="M496" t="n">
        <v>0</v>
      </c>
      <c r="N496" t="n">
        <v>0</v>
      </c>
      <c r="O496" t="n">
        <v>0</v>
      </c>
      <c r="P496" t="n">
        <v>0</v>
      </c>
      <c r="Q496" t="n">
        <v>0</v>
      </c>
      <c r="R496" s="2" t="inlineStr"/>
    </row>
    <row r="497" ht="15" customHeight="1">
      <c r="A497" t="inlineStr">
        <is>
          <t>A 64019-2025</t>
        </is>
      </c>
      <c r="B497" s="1" t="n">
        <v>46021.45914351852</v>
      </c>
      <c r="C497" s="1" t="n">
        <v>46136</v>
      </c>
      <c r="D497" t="inlineStr">
        <is>
          <t>ÖREBRO LÄN</t>
        </is>
      </c>
      <c r="E497" t="inlineStr">
        <is>
          <t>ÖREBRO</t>
        </is>
      </c>
      <c r="G497" t="n">
        <v>2</v>
      </c>
      <c r="H497" t="n">
        <v>0</v>
      </c>
      <c r="I497" t="n">
        <v>0</v>
      </c>
      <c r="J497" t="n">
        <v>0</v>
      </c>
      <c r="K497" t="n">
        <v>0</v>
      </c>
      <c r="L497" t="n">
        <v>0</v>
      </c>
      <c r="M497" t="n">
        <v>0</v>
      </c>
      <c r="N497" t="n">
        <v>0</v>
      </c>
      <c r="O497" t="n">
        <v>0</v>
      </c>
      <c r="P497" t="n">
        <v>0</v>
      </c>
      <c r="Q497" t="n">
        <v>0</v>
      </c>
      <c r="R497" s="2" t="inlineStr"/>
    </row>
    <row r="498" ht="15" customHeight="1">
      <c r="A498" t="inlineStr">
        <is>
          <t>A 5133-2024</t>
        </is>
      </c>
      <c r="B498" s="1" t="n">
        <v>45330</v>
      </c>
      <c r="C498" s="1" t="n">
        <v>46136</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14432-2023</t>
        </is>
      </c>
      <c r="B499" s="1" t="n">
        <v>45012</v>
      </c>
      <c r="C499" s="1" t="n">
        <v>46136</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10339-2023</t>
        </is>
      </c>
      <c r="B500" s="1" t="n">
        <v>44987</v>
      </c>
      <c r="C500" s="1" t="n">
        <v>46136</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190-2024</t>
        </is>
      </c>
      <c r="B501" s="1" t="n">
        <v>45294.61858796296</v>
      </c>
      <c r="C501" s="1" t="n">
        <v>46136</v>
      </c>
      <c r="D501" t="inlineStr">
        <is>
          <t>ÖREBRO LÄN</t>
        </is>
      </c>
      <c r="E501" t="inlineStr">
        <is>
          <t>ÖREBRO</t>
        </is>
      </c>
      <c r="G501" t="n">
        <v>2.4</v>
      </c>
      <c r="H501" t="n">
        <v>0</v>
      </c>
      <c r="I501" t="n">
        <v>0</v>
      </c>
      <c r="J501" t="n">
        <v>0</v>
      </c>
      <c r="K501" t="n">
        <v>0</v>
      </c>
      <c r="L501" t="n">
        <v>0</v>
      </c>
      <c r="M501" t="n">
        <v>0</v>
      </c>
      <c r="N501" t="n">
        <v>0</v>
      </c>
      <c r="O501" t="n">
        <v>0</v>
      </c>
      <c r="P501" t="n">
        <v>0</v>
      </c>
      <c r="Q501" t="n">
        <v>0</v>
      </c>
      <c r="R501" s="2" t="inlineStr"/>
    </row>
    <row r="502" ht="15" customHeight="1">
      <c r="A502" t="inlineStr">
        <is>
          <t>A 62497-2023</t>
        </is>
      </c>
      <c r="B502" s="1" t="n">
        <v>45268.59935185185</v>
      </c>
      <c r="C502" s="1" t="n">
        <v>46136</v>
      </c>
      <c r="D502" t="inlineStr">
        <is>
          <t>ÖREBRO LÄN</t>
        </is>
      </c>
      <c r="E502" t="inlineStr">
        <is>
          <t>ÖREBRO</t>
        </is>
      </c>
      <c r="F502" t="inlineStr">
        <is>
          <t>Övriga Aktiebolag</t>
        </is>
      </c>
      <c r="G502" t="n">
        <v>3.2</v>
      </c>
      <c r="H502" t="n">
        <v>0</v>
      </c>
      <c r="I502" t="n">
        <v>0</v>
      </c>
      <c r="J502" t="n">
        <v>0</v>
      </c>
      <c r="K502" t="n">
        <v>0</v>
      </c>
      <c r="L502" t="n">
        <v>0</v>
      </c>
      <c r="M502" t="n">
        <v>0</v>
      </c>
      <c r="N502" t="n">
        <v>0</v>
      </c>
      <c r="O502" t="n">
        <v>0</v>
      </c>
      <c r="P502" t="n">
        <v>0</v>
      </c>
      <c r="Q502" t="n">
        <v>0</v>
      </c>
      <c r="R502" s="2" t="inlineStr"/>
    </row>
    <row r="503" ht="15" customHeight="1">
      <c r="A503" t="inlineStr">
        <is>
          <t>A 43399-2022</t>
        </is>
      </c>
      <c r="B503" s="1" t="n">
        <v>44834</v>
      </c>
      <c r="C503" s="1" t="n">
        <v>46136</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63142-2023</t>
        </is>
      </c>
      <c r="B504" s="1" t="n">
        <v>45273</v>
      </c>
      <c r="C504" s="1" t="n">
        <v>46136</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37021-2024</t>
        </is>
      </c>
      <c r="B505" s="1" t="n">
        <v>45539.38146990741</v>
      </c>
      <c r="C505" s="1" t="n">
        <v>46136</v>
      </c>
      <c r="D505" t="inlineStr">
        <is>
          <t>ÖREBRO LÄN</t>
        </is>
      </c>
      <c r="E505" t="inlineStr">
        <is>
          <t>ÖREBRO</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23573-2023</t>
        </is>
      </c>
      <c r="B506" s="1" t="n">
        <v>45077.41672453703</v>
      </c>
      <c r="C506" s="1" t="n">
        <v>46136</v>
      </c>
      <c r="D506" t="inlineStr">
        <is>
          <t>ÖREBRO LÄN</t>
        </is>
      </c>
      <c r="E506" t="inlineStr">
        <is>
          <t>ÖREBRO</t>
        </is>
      </c>
      <c r="G506" t="n">
        <v>2.9</v>
      </c>
      <c r="H506" t="n">
        <v>0</v>
      </c>
      <c r="I506" t="n">
        <v>0</v>
      </c>
      <c r="J506" t="n">
        <v>0</v>
      </c>
      <c r="K506" t="n">
        <v>0</v>
      </c>
      <c r="L506" t="n">
        <v>0</v>
      </c>
      <c r="M506" t="n">
        <v>0</v>
      </c>
      <c r="N506" t="n">
        <v>0</v>
      </c>
      <c r="O506" t="n">
        <v>0</v>
      </c>
      <c r="P506" t="n">
        <v>0</v>
      </c>
      <c r="Q506" t="n">
        <v>0</v>
      </c>
      <c r="R506" s="2" t="inlineStr"/>
    </row>
    <row r="507" ht="15" customHeight="1">
      <c r="A507" t="inlineStr">
        <is>
          <t>A 13762-2023</t>
        </is>
      </c>
      <c r="B507" s="1" t="n">
        <v>45007.43729166667</v>
      </c>
      <c r="C507" s="1" t="n">
        <v>46136</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5129-2024</t>
        </is>
      </c>
      <c r="B508" s="1" t="n">
        <v>45330</v>
      </c>
      <c r="C508" s="1" t="n">
        <v>46136</v>
      </c>
      <c r="D508" t="inlineStr">
        <is>
          <t>ÖREBRO LÄN</t>
        </is>
      </c>
      <c r="E508" t="inlineStr">
        <is>
          <t>ÖREBRO</t>
        </is>
      </c>
      <c r="G508" t="n">
        <v>0.5</v>
      </c>
      <c r="H508" t="n">
        <v>0</v>
      </c>
      <c r="I508" t="n">
        <v>0</v>
      </c>
      <c r="J508" t="n">
        <v>0</v>
      </c>
      <c r="K508" t="n">
        <v>0</v>
      </c>
      <c r="L508" t="n">
        <v>0</v>
      </c>
      <c r="M508" t="n">
        <v>0</v>
      </c>
      <c r="N508" t="n">
        <v>0</v>
      </c>
      <c r="O508" t="n">
        <v>0</v>
      </c>
      <c r="P508" t="n">
        <v>0</v>
      </c>
      <c r="Q508" t="n">
        <v>0</v>
      </c>
      <c r="R508" s="2" t="inlineStr"/>
    </row>
    <row r="509" ht="15" customHeight="1">
      <c r="A509" t="inlineStr">
        <is>
          <t>A 1492-2022</t>
        </is>
      </c>
      <c r="B509" s="1" t="n">
        <v>44573</v>
      </c>
      <c r="C509" s="1" t="n">
        <v>46136</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59026-2024</t>
        </is>
      </c>
      <c r="B510" s="1" t="n">
        <v>45636.6875</v>
      </c>
      <c r="C510" s="1" t="n">
        <v>46136</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52623-2024</t>
        </is>
      </c>
      <c r="B511" s="1" t="n">
        <v>45609</v>
      </c>
      <c r="C511" s="1" t="n">
        <v>46136</v>
      </c>
      <c r="D511" t="inlineStr">
        <is>
          <t>ÖREBRO LÄN</t>
        </is>
      </c>
      <c r="E511" t="inlineStr">
        <is>
          <t>ÖREBRO</t>
        </is>
      </c>
      <c r="F511" t="inlineStr">
        <is>
          <t>Kommuner</t>
        </is>
      </c>
      <c r="G511" t="n">
        <v>1.7</v>
      </c>
      <c r="H511" t="n">
        <v>0</v>
      </c>
      <c r="I511" t="n">
        <v>0</v>
      </c>
      <c r="J511" t="n">
        <v>0</v>
      </c>
      <c r="K511" t="n">
        <v>0</v>
      </c>
      <c r="L511" t="n">
        <v>0</v>
      </c>
      <c r="M511" t="n">
        <v>0</v>
      </c>
      <c r="N511" t="n">
        <v>0</v>
      </c>
      <c r="O511" t="n">
        <v>0</v>
      </c>
      <c r="P511" t="n">
        <v>0</v>
      </c>
      <c r="Q511" t="n">
        <v>0</v>
      </c>
      <c r="R511" s="2" t="inlineStr"/>
    </row>
    <row r="512" ht="15" customHeight="1">
      <c r="A512" t="inlineStr">
        <is>
          <t>A 62511-2023</t>
        </is>
      </c>
      <c r="B512" s="1" t="n">
        <v>45268.61855324074</v>
      </c>
      <c r="C512" s="1" t="n">
        <v>46136</v>
      </c>
      <c r="D512" t="inlineStr">
        <is>
          <t>ÖREBRO LÄN</t>
        </is>
      </c>
      <c r="E512" t="inlineStr">
        <is>
          <t>ÖREBRO</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40522-2024</t>
        </is>
      </c>
      <c r="B513" s="1" t="n">
        <v>45555.59717592593</v>
      </c>
      <c r="C513" s="1" t="n">
        <v>46136</v>
      </c>
      <c r="D513" t="inlineStr">
        <is>
          <t>ÖREBRO LÄN</t>
        </is>
      </c>
      <c r="E513" t="inlineStr">
        <is>
          <t>ÖREBRO</t>
        </is>
      </c>
      <c r="G513" t="n">
        <v>5.1</v>
      </c>
      <c r="H513" t="n">
        <v>0</v>
      </c>
      <c r="I513" t="n">
        <v>0</v>
      </c>
      <c r="J513" t="n">
        <v>0</v>
      </c>
      <c r="K513" t="n">
        <v>0</v>
      </c>
      <c r="L513" t="n">
        <v>0</v>
      </c>
      <c r="M513" t="n">
        <v>0</v>
      </c>
      <c r="N513" t="n">
        <v>0</v>
      </c>
      <c r="O513" t="n">
        <v>0</v>
      </c>
      <c r="P513" t="n">
        <v>0</v>
      </c>
      <c r="Q513" t="n">
        <v>0</v>
      </c>
      <c r="R513" s="2" t="inlineStr"/>
    </row>
    <row r="514" ht="15" customHeight="1">
      <c r="A514" t="inlineStr">
        <is>
          <t>A 33577-2023</t>
        </is>
      </c>
      <c r="B514" s="1" t="n">
        <v>45131</v>
      </c>
      <c r="C514" s="1" t="n">
        <v>46136</v>
      </c>
      <c r="D514" t="inlineStr">
        <is>
          <t>ÖREBRO LÄN</t>
        </is>
      </c>
      <c r="E514" t="inlineStr">
        <is>
          <t>ÖREBRO</t>
        </is>
      </c>
      <c r="G514" t="n">
        <v>2</v>
      </c>
      <c r="H514" t="n">
        <v>0</v>
      </c>
      <c r="I514" t="n">
        <v>0</v>
      </c>
      <c r="J514" t="n">
        <v>0</v>
      </c>
      <c r="K514" t="n">
        <v>0</v>
      </c>
      <c r="L514" t="n">
        <v>0</v>
      </c>
      <c r="M514" t="n">
        <v>0</v>
      </c>
      <c r="N514" t="n">
        <v>0</v>
      </c>
      <c r="O514" t="n">
        <v>0</v>
      </c>
      <c r="P514" t="n">
        <v>0</v>
      </c>
      <c r="Q514" t="n">
        <v>0</v>
      </c>
      <c r="R514" s="2" t="inlineStr"/>
    </row>
    <row r="515" ht="15" customHeight="1">
      <c r="A515" t="inlineStr">
        <is>
          <t>A 18360-2024</t>
        </is>
      </c>
      <c r="B515" s="1" t="n">
        <v>45422</v>
      </c>
      <c r="C515" s="1" t="n">
        <v>46136</v>
      </c>
      <c r="D515" t="inlineStr">
        <is>
          <t>ÖREBRO LÄN</t>
        </is>
      </c>
      <c r="E515" t="inlineStr">
        <is>
          <t>ÖREBRO</t>
        </is>
      </c>
      <c r="G515" t="n">
        <v>0.7</v>
      </c>
      <c r="H515" t="n">
        <v>0</v>
      </c>
      <c r="I515" t="n">
        <v>0</v>
      </c>
      <c r="J515" t="n">
        <v>0</v>
      </c>
      <c r="K515" t="n">
        <v>0</v>
      </c>
      <c r="L515" t="n">
        <v>0</v>
      </c>
      <c r="M515" t="n">
        <v>0</v>
      </c>
      <c r="N515" t="n">
        <v>0</v>
      </c>
      <c r="O515" t="n">
        <v>0</v>
      </c>
      <c r="P515" t="n">
        <v>0</v>
      </c>
      <c r="Q515" t="n">
        <v>0</v>
      </c>
      <c r="R515" s="2" t="inlineStr"/>
    </row>
    <row r="516" ht="15" customHeight="1">
      <c r="A516" t="inlineStr">
        <is>
          <t>A 7611-2024</t>
        </is>
      </c>
      <c r="B516" s="1" t="n">
        <v>45348.58864583333</v>
      </c>
      <c r="C516" s="1" t="n">
        <v>46136</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13347-2023</t>
        </is>
      </c>
      <c r="B517" s="1" t="n">
        <v>45004</v>
      </c>
      <c r="C517" s="1" t="n">
        <v>46136</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187-2024</t>
        </is>
      </c>
      <c r="B518" s="1" t="n">
        <v>45294</v>
      </c>
      <c r="C518" s="1" t="n">
        <v>46136</v>
      </c>
      <c r="D518" t="inlineStr">
        <is>
          <t>ÖREBRO LÄN</t>
        </is>
      </c>
      <c r="E518" t="inlineStr">
        <is>
          <t>ÖREBRO</t>
        </is>
      </c>
      <c r="G518" t="n">
        <v>5.9</v>
      </c>
      <c r="H518" t="n">
        <v>0</v>
      </c>
      <c r="I518" t="n">
        <v>0</v>
      </c>
      <c r="J518" t="n">
        <v>0</v>
      </c>
      <c r="K518" t="n">
        <v>0</v>
      </c>
      <c r="L518" t="n">
        <v>0</v>
      </c>
      <c r="M518" t="n">
        <v>0</v>
      </c>
      <c r="N518" t="n">
        <v>0</v>
      </c>
      <c r="O518" t="n">
        <v>0</v>
      </c>
      <c r="P518" t="n">
        <v>0</v>
      </c>
      <c r="Q518" t="n">
        <v>0</v>
      </c>
      <c r="R518" s="2" t="inlineStr"/>
    </row>
    <row r="519" ht="15" customHeight="1">
      <c r="A519" t="inlineStr">
        <is>
          <t>A 10832-2023</t>
        </is>
      </c>
      <c r="B519" s="1" t="n">
        <v>44990.91711805556</v>
      </c>
      <c r="C519" s="1" t="n">
        <v>46136</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2596-2022</t>
        </is>
      </c>
      <c r="B520" s="1" t="n">
        <v>44580</v>
      </c>
      <c r="C520" s="1" t="n">
        <v>46136</v>
      </c>
      <c r="D520" t="inlineStr">
        <is>
          <t>ÖREBRO LÄN</t>
        </is>
      </c>
      <c r="E520" t="inlineStr">
        <is>
          <t>ÖREBRO</t>
        </is>
      </c>
      <c r="G520" t="n">
        <v>4.3</v>
      </c>
      <c r="H520" t="n">
        <v>0</v>
      </c>
      <c r="I520" t="n">
        <v>0</v>
      </c>
      <c r="J520" t="n">
        <v>0</v>
      </c>
      <c r="K520" t="n">
        <v>0</v>
      </c>
      <c r="L520" t="n">
        <v>0</v>
      </c>
      <c r="M520" t="n">
        <v>0</v>
      </c>
      <c r="N520" t="n">
        <v>0</v>
      </c>
      <c r="O520" t="n">
        <v>0</v>
      </c>
      <c r="P520" t="n">
        <v>0</v>
      </c>
      <c r="Q520" t="n">
        <v>0</v>
      </c>
      <c r="R520" s="2" t="inlineStr"/>
    </row>
    <row r="521" ht="15" customHeight="1">
      <c r="A521" t="inlineStr">
        <is>
          <t>A 5338-2024</t>
        </is>
      </c>
      <c r="B521" s="1" t="n">
        <v>45331</v>
      </c>
      <c r="C521" s="1" t="n">
        <v>46136</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14487-2023</t>
        </is>
      </c>
      <c r="B522" s="1" t="n">
        <v>45012</v>
      </c>
      <c r="C522" s="1" t="n">
        <v>46136</v>
      </c>
      <c r="D522" t="inlineStr">
        <is>
          <t>ÖREBRO LÄN</t>
        </is>
      </c>
      <c r="E522" t="inlineStr">
        <is>
          <t>ÖREBRO</t>
        </is>
      </c>
      <c r="G522" t="n">
        <v>0.5</v>
      </c>
      <c r="H522" t="n">
        <v>0</v>
      </c>
      <c r="I522" t="n">
        <v>0</v>
      </c>
      <c r="J522" t="n">
        <v>0</v>
      </c>
      <c r="K522" t="n">
        <v>0</v>
      </c>
      <c r="L522" t="n">
        <v>0</v>
      </c>
      <c r="M522" t="n">
        <v>0</v>
      </c>
      <c r="N522" t="n">
        <v>0</v>
      </c>
      <c r="O522" t="n">
        <v>0</v>
      </c>
      <c r="P522" t="n">
        <v>0</v>
      </c>
      <c r="Q522" t="n">
        <v>0</v>
      </c>
      <c r="R522" s="2" t="inlineStr"/>
    </row>
    <row r="523" ht="15" customHeight="1">
      <c r="A523" t="inlineStr">
        <is>
          <t>A 4970-2022</t>
        </is>
      </c>
      <c r="B523" s="1" t="n">
        <v>44593.51175925926</v>
      </c>
      <c r="C523" s="1" t="n">
        <v>46136</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18047-2023</t>
        </is>
      </c>
      <c r="B524" s="1" t="n">
        <v>45040</v>
      </c>
      <c r="C524" s="1" t="n">
        <v>46136</v>
      </c>
      <c r="D524" t="inlineStr">
        <is>
          <t>ÖREBRO LÄN</t>
        </is>
      </c>
      <c r="E524" t="inlineStr">
        <is>
          <t>ÖREBRO</t>
        </is>
      </c>
      <c r="G524" t="n">
        <v>3.9</v>
      </c>
      <c r="H524" t="n">
        <v>0</v>
      </c>
      <c r="I524" t="n">
        <v>0</v>
      </c>
      <c r="J524" t="n">
        <v>0</v>
      </c>
      <c r="K524" t="n">
        <v>0</v>
      </c>
      <c r="L524" t="n">
        <v>0</v>
      </c>
      <c r="M524" t="n">
        <v>0</v>
      </c>
      <c r="N524" t="n">
        <v>0</v>
      </c>
      <c r="O524" t="n">
        <v>0</v>
      </c>
      <c r="P524" t="n">
        <v>0</v>
      </c>
      <c r="Q524" t="n">
        <v>0</v>
      </c>
      <c r="R524" s="2" t="inlineStr"/>
    </row>
    <row r="525" ht="15" customHeight="1">
      <c r="A525" t="inlineStr">
        <is>
          <t>A 3789-2023</t>
        </is>
      </c>
      <c r="B525" s="1" t="n">
        <v>44951</v>
      </c>
      <c r="C525" s="1" t="n">
        <v>46136</v>
      </c>
      <c r="D525" t="inlineStr">
        <is>
          <t>ÖREBRO LÄN</t>
        </is>
      </c>
      <c r="E525" t="inlineStr">
        <is>
          <t>ÖREBRO</t>
        </is>
      </c>
      <c r="G525" t="n">
        <v>7.5</v>
      </c>
      <c r="H525" t="n">
        <v>0</v>
      </c>
      <c r="I525" t="n">
        <v>0</v>
      </c>
      <c r="J525" t="n">
        <v>0</v>
      </c>
      <c r="K525" t="n">
        <v>0</v>
      </c>
      <c r="L525" t="n">
        <v>0</v>
      </c>
      <c r="M525" t="n">
        <v>0</v>
      </c>
      <c r="N525" t="n">
        <v>0</v>
      </c>
      <c r="O525" t="n">
        <v>0</v>
      </c>
      <c r="P525" t="n">
        <v>0</v>
      </c>
      <c r="Q525" t="n">
        <v>0</v>
      </c>
      <c r="R525" s="2" t="inlineStr"/>
    </row>
    <row r="526" ht="15" customHeight="1">
      <c r="A526" t="inlineStr">
        <is>
          <t>A 5026-2022</t>
        </is>
      </c>
      <c r="B526" s="1" t="n">
        <v>44593.63974537037</v>
      </c>
      <c r="C526" s="1" t="n">
        <v>46136</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54917-2023</t>
        </is>
      </c>
      <c r="B527" s="1" t="n">
        <v>45229</v>
      </c>
      <c r="C527" s="1" t="n">
        <v>46136</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72329-2021</t>
        </is>
      </c>
      <c r="B528" s="1" t="n">
        <v>44545.46072916667</v>
      </c>
      <c r="C528" s="1" t="n">
        <v>46136</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43803-2023</t>
        </is>
      </c>
      <c r="B529" s="1" t="n">
        <v>45187</v>
      </c>
      <c r="C529" s="1" t="n">
        <v>46136</v>
      </c>
      <c r="D529" t="inlineStr">
        <is>
          <t>ÖREBRO LÄN</t>
        </is>
      </c>
      <c r="E529" t="inlineStr">
        <is>
          <t>ÖREBRO</t>
        </is>
      </c>
      <c r="G529" t="n">
        <v>1.2</v>
      </c>
      <c r="H529" t="n">
        <v>0</v>
      </c>
      <c r="I529" t="n">
        <v>0</v>
      </c>
      <c r="J529" t="n">
        <v>0</v>
      </c>
      <c r="K529" t="n">
        <v>0</v>
      </c>
      <c r="L529" t="n">
        <v>0</v>
      </c>
      <c r="M529" t="n">
        <v>0</v>
      </c>
      <c r="N529" t="n">
        <v>0</v>
      </c>
      <c r="O529" t="n">
        <v>0</v>
      </c>
      <c r="P529" t="n">
        <v>0</v>
      </c>
      <c r="Q529" t="n">
        <v>0</v>
      </c>
      <c r="R529" s="2" t="inlineStr"/>
    </row>
    <row r="530" ht="15" customHeight="1">
      <c r="A530" t="inlineStr">
        <is>
          <t>A 15789-2023</t>
        </is>
      </c>
      <c r="B530" s="1" t="n">
        <v>45021.71539351852</v>
      </c>
      <c r="C530" s="1" t="n">
        <v>46136</v>
      </c>
      <c r="D530" t="inlineStr">
        <is>
          <t>ÖREBRO LÄN</t>
        </is>
      </c>
      <c r="E530" t="inlineStr">
        <is>
          <t>ÖREBRO</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58539-2024</t>
        </is>
      </c>
      <c r="B531" s="1" t="n">
        <v>45635.45157407408</v>
      </c>
      <c r="C531" s="1" t="n">
        <v>46136</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59757-2023</t>
        </is>
      </c>
      <c r="B532" s="1" t="n">
        <v>45257.40833333333</v>
      </c>
      <c r="C532" s="1" t="n">
        <v>46136</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17869-2024</t>
        </is>
      </c>
      <c r="B533" s="1" t="n">
        <v>45419</v>
      </c>
      <c r="C533" s="1" t="n">
        <v>46136</v>
      </c>
      <c r="D533" t="inlineStr">
        <is>
          <t>ÖREBRO LÄN</t>
        </is>
      </c>
      <c r="E533" t="inlineStr">
        <is>
          <t>ÖREBRO</t>
        </is>
      </c>
      <c r="G533" t="n">
        <v>3.7</v>
      </c>
      <c r="H533" t="n">
        <v>0</v>
      </c>
      <c r="I533" t="n">
        <v>0</v>
      </c>
      <c r="J533" t="n">
        <v>0</v>
      </c>
      <c r="K533" t="n">
        <v>0</v>
      </c>
      <c r="L533" t="n">
        <v>0</v>
      </c>
      <c r="M533" t="n">
        <v>0</v>
      </c>
      <c r="N533" t="n">
        <v>0</v>
      </c>
      <c r="O533" t="n">
        <v>0</v>
      </c>
      <c r="P533" t="n">
        <v>0</v>
      </c>
      <c r="Q533" t="n">
        <v>0</v>
      </c>
      <c r="R533" s="2" t="inlineStr"/>
    </row>
    <row r="534" ht="15" customHeight="1">
      <c r="A534" t="inlineStr">
        <is>
          <t>A 71272-2021</t>
        </is>
      </c>
      <c r="B534" s="1" t="n">
        <v>44539.61571759259</v>
      </c>
      <c r="C534" s="1" t="n">
        <v>46136</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4557-2023</t>
        </is>
      </c>
      <c r="B535" s="1" t="n">
        <v>44956.6655787037</v>
      </c>
      <c r="C535" s="1" t="n">
        <v>46136</v>
      </c>
      <c r="D535" t="inlineStr">
        <is>
          <t>ÖREBRO LÄN</t>
        </is>
      </c>
      <c r="E535" t="inlineStr">
        <is>
          <t>ÖREBRO</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60100-2022</t>
        </is>
      </c>
      <c r="B536" s="1" t="n">
        <v>44902</v>
      </c>
      <c r="C536" s="1" t="n">
        <v>46136</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17465-2023</t>
        </is>
      </c>
      <c r="B537" s="1" t="n">
        <v>45036</v>
      </c>
      <c r="C537" s="1" t="n">
        <v>46136</v>
      </c>
      <c r="D537" t="inlineStr">
        <is>
          <t>ÖREBRO LÄN</t>
        </is>
      </c>
      <c r="E537" t="inlineStr">
        <is>
          <t>ÖREBRO</t>
        </is>
      </c>
      <c r="G537" t="n">
        <v>0.8</v>
      </c>
      <c r="H537" t="n">
        <v>0</v>
      </c>
      <c r="I537" t="n">
        <v>0</v>
      </c>
      <c r="J537" t="n">
        <v>0</v>
      </c>
      <c r="K537" t="n">
        <v>0</v>
      </c>
      <c r="L537" t="n">
        <v>0</v>
      </c>
      <c r="M537" t="n">
        <v>0</v>
      </c>
      <c r="N537" t="n">
        <v>0</v>
      </c>
      <c r="O537" t="n">
        <v>0</v>
      </c>
      <c r="P537" t="n">
        <v>0</v>
      </c>
      <c r="Q537" t="n">
        <v>0</v>
      </c>
      <c r="R537" s="2" t="inlineStr"/>
    </row>
    <row r="538" ht="15" customHeight="1">
      <c r="A538" t="inlineStr">
        <is>
          <t>A 52016-2024</t>
        </is>
      </c>
      <c r="B538" s="1" t="n">
        <v>45607.81917824074</v>
      </c>
      <c r="C538" s="1" t="n">
        <v>46136</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52477-2024</t>
        </is>
      </c>
      <c r="B539" s="1" t="n">
        <v>45609</v>
      </c>
      <c r="C539" s="1" t="n">
        <v>46136</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53558-2023</t>
        </is>
      </c>
      <c r="B540" s="1" t="n">
        <v>45230.47266203703</v>
      </c>
      <c r="C540" s="1" t="n">
        <v>46136</v>
      </c>
      <c r="D540" t="inlineStr">
        <is>
          <t>ÖREBRO LÄN</t>
        </is>
      </c>
      <c r="E540" t="inlineStr">
        <is>
          <t>ÖREBRO</t>
        </is>
      </c>
      <c r="F540" t="inlineStr">
        <is>
          <t>Övriga Aktiebolag</t>
        </is>
      </c>
      <c r="G540" t="n">
        <v>4.7</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46136</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51373-2023</t>
        </is>
      </c>
      <c r="B542" s="1" t="n">
        <v>45213</v>
      </c>
      <c r="C542" s="1" t="n">
        <v>46136</v>
      </c>
      <c r="D542" t="inlineStr">
        <is>
          <t>ÖREBRO LÄN</t>
        </is>
      </c>
      <c r="E542" t="inlineStr">
        <is>
          <t>ÖREBRO</t>
        </is>
      </c>
      <c r="G542" t="n">
        <v>5.9</v>
      </c>
      <c r="H542" t="n">
        <v>0</v>
      </c>
      <c r="I542" t="n">
        <v>0</v>
      </c>
      <c r="J542" t="n">
        <v>0</v>
      </c>
      <c r="K542" t="n">
        <v>0</v>
      </c>
      <c r="L542" t="n">
        <v>0</v>
      </c>
      <c r="M542" t="n">
        <v>0</v>
      </c>
      <c r="N542" t="n">
        <v>0</v>
      </c>
      <c r="O542" t="n">
        <v>0</v>
      </c>
      <c r="P542" t="n">
        <v>0</v>
      </c>
      <c r="Q542" t="n">
        <v>0</v>
      </c>
      <c r="R542" s="2" t="inlineStr"/>
    </row>
    <row r="543" ht="15" customHeight="1">
      <c r="A543" t="inlineStr">
        <is>
          <t>A 1257-2022</t>
        </is>
      </c>
      <c r="B543" s="1" t="n">
        <v>44572</v>
      </c>
      <c r="C543" s="1" t="n">
        <v>46136</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40656-2023</t>
        </is>
      </c>
      <c r="B544" s="1" t="n">
        <v>45170</v>
      </c>
      <c r="C544" s="1" t="n">
        <v>46136</v>
      </c>
      <c r="D544" t="inlineStr">
        <is>
          <t>ÖREBRO LÄN</t>
        </is>
      </c>
      <c r="E544" t="inlineStr">
        <is>
          <t>ÖREBRO</t>
        </is>
      </c>
      <c r="F544" t="inlineStr">
        <is>
          <t>Övriga Aktiebolag</t>
        </is>
      </c>
      <c r="G544" t="n">
        <v>0.8</v>
      </c>
      <c r="H544" t="n">
        <v>0</v>
      </c>
      <c r="I544" t="n">
        <v>0</v>
      </c>
      <c r="J544" t="n">
        <v>0</v>
      </c>
      <c r="K544" t="n">
        <v>0</v>
      </c>
      <c r="L544" t="n">
        <v>0</v>
      </c>
      <c r="M544" t="n">
        <v>0</v>
      </c>
      <c r="N544" t="n">
        <v>0</v>
      </c>
      <c r="O544" t="n">
        <v>0</v>
      </c>
      <c r="P544" t="n">
        <v>0</v>
      </c>
      <c r="Q544" t="n">
        <v>0</v>
      </c>
      <c r="R544" s="2" t="inlineStr"/>
    </row>
    <row r="545" ht="15" customHeight="1">
      <c r="A545" t="inlineStr">
        <is>
          <t>A 22677-2022</t>
        </is>
      </c>
      <c r="B545" s="1" t="n">
        <v>44714</v>
      </c>
      <c r="C545" s="1" t="n">
        <v>46136</v>
      </c>
      <c r="D545" t="inlineStr">
        <is>
          <t>ÖREBRO LÄN</t>
        </is>
      </c>
      <c r="E545" t="inlineStr">
        <is>
          <t>ÖREBRO</t>
        </is>
      </c>
      <c r="G545" t="n">
        <v>2.3</v>
      </c>
      <c r="H545" t="n">
        <v>0</v>
      </c>
      <c r="I545" t="n">
        <v>0</v>
      </c>
      <c r="J545" t="n">
        <v>0</v>
      </c>
      <c r="K545" t="n">
        <v>0</v>
      </c>
      <c r="L545" t="n">
        <v>0</v>
      </c>
      <c r="M545" t="n">
        <v>0</v>
      </c>
      <c r="N545" t="n">
        <v>0</v>
      </c>
      <c r="O545" t="n">
        <v>0</v>
      </c>
      <c r="P545" t="n">
        <v>0</v>
      </c>
      <c r="Q545" t="n">
        <v>0</v>
      </c>
      <c r="R545" s="2" t="inlineStr"/>
    </row>
    <row r="546" ht="15" customHeight="1">
      <c r="A546" t="inlineStr">
        <is>
          <t>A 71288-2021</t>
        </is>
      </c>
      <c r="B546" s="1" t="n">
        <v>44539.62481481482</v>
      </c>
      <c r="C546" s="1" t="n">
        <v>46136</v>
      </c>
      <c r="D546" t="inlineStr">
        <is>
          <t>ÖREBRO LÄN</t>
        </is>
      </c>
      <c r="E546" t="inlineStr">
        <is>
          <t>ÖREBRO</t>
        </is>
      </c>
      <c r="G546" t="n">
        <v>3.9</v>
      </c>
      <c r="H546" t="n">
        <v>0</v>
      </c>
      <c r="I546" t="n">
        <v>0</v>
      </c>
      <c r="J546" t="n">
        <v>0</v>
      </c>
      <c r="K546" t="n">
        <v>0</v>
      </c>
      <c r="L546" t="n">
        <v>0</v>
      </c>
      <c r="M546" t="n">
        <v>0</v>
      </c>
      <c r="N546" t="n">
        <v>0</v>
      </c>
      <c r="O546" t="n">
        <v>0</v>
      </c>
      <c r="P546" t="n">
        <v>0</v>
      </c>
      <c r="Q546" t="n">
        <v>0</v>
      </c>
      <c r="R546" s="2" t="inlineStr"/>
    </row>
    <row r="547" ht="15" customHeight="1">
      <c r="A547" t="inlineStr">
        <is>
          <t>A 10830-2023</t>
        </is>
      </c>
      <c r="B547" s="1" t="n">
        <v>44990.89752314815</v>
      </c>
      <c r="C547" s="1" t="n">
        <v>46136</v>
      </c>
      <c r="D547" t="inlineStr">
        <is>
          <t>ÖREBRO LÄN</t>
        </is>
      </c>
      <c r="E547" t="inlineStr">
        <is>
          <t>ÖREBRO</t>
        </is>
      </c>
      <c r="G547" t="n">
        <v>2</v>
      </c>
      <c r="H547" t="n">
        <v>0</v>
      </c>
      <c r="I547" t="n">
        <v>0</v>
      </c>
      <c r="J547" t="n">
        <v>0</v>
      </c>
      <c r="K547" t="n">
        <v>0</v>
      </c>
      <c r="L547" t="n">
        <v>0</v>
      </c>
      <c r="M547" t="n">
        <v>0</v>
      </c>
      <c r="N547" t="n">
        <v>0</v>
      </c>
      <c r="O547" t="n">
        <v>0</v>
      </c>
      <c r="P547" t="n">
        <v>0</v>
      </c>
      <c r="Q547" t="n">
        <v>0</v>
      </c>
      <c r="R547" s="2" t="inlineStr"/>
    </row>
    <row r="548" ht="15" customHeight="1">
      <c r="A548" t="inlineStr">
        <is>
          <t>A 7692-2023</t>
        </is>
      </c>
      <c r="B548" s="1" t="n">
        <v>44972.7762962963</v>
      </c>
      <c r="C548" s="1" t="n">
        <v>46136</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31240-2023</t>
        </is>
      </c>
      <c r="B549" s="1" t="n">
        <v>45114</v>
      </c>
      <c r="C549" s="1" t="n">
        <v>46136</v>
      </c>
      <c r="D549" t="inlineStr">
        <is>
          <t>ÖREBRO LÄN</t>
        </is>
      </c>
      <c r="E549" t="inlineStr">
        <is>
          <t>ÖREBRO</t>
        </is>
      </c>
      <c r="F549" t="inlineStr">
        <is>
          <t>Allmännings- och besparingsskogar</t>
        </is>
      </c>
      <c r="G549" t="n">
        <v>6.2</v>
      </c>
      <c r="H549" t="n">
        <v>0</v>
      </c>
      <c r="I549" t="n">
        <v>0</v>
      </c>
      <c r="J549" t="n">
        <v>0</v>
      </c>
      <c r="K549" t="n">
        <v>0</v>
      </c>
      <c r="L549" t="n">
        <v>0</v>
      </c>
      <c r="M549" t="n">
        <v>0</v>
      </c>
      <c r="N549" t="n">
        <v>0</v>
      </c>
      <c r="O549" t="n">
        <v>0</v>
      </c>
      <c r="P549" t="n">
        <v>0</v>
      </c>
      <c r="Q549" t="n">
        <v>0</v>
      </c>
      <c r="R549" s="2" t="inlineStr"/>
    </row>
    <row r="550" ht="15" customHeight="1">
      <c r="A550" t="inlineStr">
        <is>
          <t>A 50026-2024</t>
        </is>
      </c>
      <c r="B550" s="1" t="n">
        <v>45599.60541666667</v>
      </c>
      <c r="C550" s="1" t="n">
        <v>46136</v>
      </c>
      <c r="D550" t="inlineStr">
        <is>
          <t>ÖREBRO LÄN</t>
        </is>
      </c>
      <c r="E550" t="inlineStr">
        <is>
          <t>ÖREBRO</t>
        </is>
      </c>
      <c r="G550" t="n">
        <v>2.2</v>
      </c>
      <c r="H550" t="n">
        <v>0</v>
      </c>
      <c r="I550" t="n">
        <v>0</v>
      </c>
      <c r="J550" t="n">
        <v>0</v>
      </c>
      <c r="K550" t="n">
        <v>0</v>
      </c>
      <c r="L550" t="n">
        <v>0</v>
      </c>
      <c r="M550" t="n">
        <v>0</v>
      </c>
      <c r="N550" t="n">
        <v>0</v>
      </c>
      <c r="O550" t="n">
        <v>0</v>
      </c>
      <c r="P550" t="n">
        <v>0</v>
      </c>
      <c r="Q550" t="n">
        <v>0</v>
      </c>
      <c r="R550" s="2" t="inlineStr"/>
    </row>
    <row r="551" ht="15" customHeight="1">
      <c r="A551" t="inlineStr">
        <is>
          <t>A 18449-2023</t>
        </is>
      </c>
      <c r="B551" s="1" t="n">
        <v>45042.5203125</v>
      </c>
      <c r="C551" s="1" t="n">
        <v>46136</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16936-2023</t>
        </is>
      </c>
      <c r="B552" s="1" t="n">
        <v>45033.63005787037</v>
      </c>
      <c r="C552" s="1" t="n">
        <v>46136</v>
      </c>
      <c r="D552" t="inlineStr">
        <is>
          <t>ÖREBRO LÄN</t>
        </is>
      </c>
      <c r="E552" t="inlineStr">
        <is>
          <t>ÖREBRO</t>
        </is>
      </c>
      <c r="G552" t="n">
        <v>2</v>
      </c>
      <c r="H552" t="n">
        <v>0</v>
      </c>
      <c r="I552" t="n">
        <v>0</v>
      </c>
      <c r="J552" t="n">
        <v>0</v>
      </c>
      <c r="K552" t="n">
        <v>0</v>
      </c>
      <c r="L552" t="n">
        <v>0</v>
      </c>
      <c r="M552" t="n">
        <v>0</v>
      </c>
      <c r="N552" t="n">
        <v>0</v>
      </c>
      <c r="O552" t="n">
        <v>0</v>
      </c>
      <c r="P552" t="n">
        <v>0</v>
      </c>
      <c r="Q552" t="n">
        <v>0</v>
      </c>
      <c r="R552" s="2" t="inlineStr"/>
    </row>
    <row r="553" ht="15" customHeight="1">
      <c r="A553" t="inlineStr">
        <is>
          <t>A 58145-2024</t>
        </is>
      </c>
      <c r="B553" s="1" t="n">
        <v>45632.43230324074</v>
      </c>
      <c r="C553" s="1" t="n">
        <v>46136</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64730-2023</t>
        </is>
      </c>
      <c r="B554" s="1" t="n">
        <v>45281</v>
      </c>
      <c r="C554" s="1" t="n">
        <v>46136</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44284-2022</t>
        </is>
      </c>
      <c r="B555" s="1" t="n">
        <v>44839.59194444444</v>
      </c>
      <c r="C555" s="1" t="n">
        <v>46136</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14544-2023</t>
        </is>
      </c>
      <c r="B556" s="1" t="n">
        <v>45013</v>
      </c>
      <c r="C556" s="1" t="n">
        <v>46136</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15682-2023</t>
        </is>
      </c>
      <c r="B557" s="1" t="n">
        <v>45021</v>
      </c>
      <c r="C557" s="1" t="n">
        <v>46136</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4416-2023</t>
        </is>
      </c>
      <c r="B558" s="1" t="n">
        <v>44956</v>
      </c>
      <c r="C558" s="1" t="n">
        <v>46136</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49062-2023</t>
        </is>
      </c>
      <c r="B559" s="1" t="n">
        <v>45210.35119212963</v>
      </c>
      <c r="C559" s="1" t="n">
        <v>46136</v>
      </c>
      <c r="D559" t="inlineStr">
        <is>
          <t>ÖREBRO LÄN</t>
        </is>
      </c>
      <c r="E559" t="inlineStr">
        <is>
          <t>ÖREBRO</t>
        </is>
      </c>
      <c r="G559" t="n">
        <v>1.6</v>
      </c>
      <c r="H559" t="n">
        <v>0</v>
      </c>
      <c r="I559" t="n">
        <v>0</v>
      </c>
      <c r="J559" t="n">
        <v>0</v>
      </c>
      <c r="K559" t="n">
        <v>0</v>
      </c>
      <c r="L559" t="n">
        <v>0</v>
      </c>
      <c r="M559" t="n">
        <v>0</v>
      </c>
      <c r="N559" t="n">
        <v>0</v>
      </c>
      <c r="O559" t="n">
        <v>0</v>
      </c>
      <c r="P559" t="n">
        <v>0</v>
      </c>
      <c r="Q559" t="n">
        <v>0</v>
      </c>
      <c r="R559" s="2" t="inlineStr"/>
    </row>
    <row r="560" ht="15" customHeight="1">
      <c r="A560" t="inlineStr">
        <is>
          <t>A 32321-2023</t>
        </is>
      </c>
      <c r="B560" s="1" t="n">
        <v>45120</v>
      </c>
      <c r="C560" s="1" t="n">
        <v>46136</v>
      </c>
      <c r="D560" t="inlineStr">
        <is>
          <t>ÖREBRO LÄN</t>
        </is>
      </c>
      <c r="E560" t="inlineStr">
        <is>
          <t>ÖREBRO</t>
        </is>
      </c>
      <c r="G560" t="n">
        <v>3.4</v>
      </c>
      <c r="H560" t="n">
        <v>0</v>
      </c>
      <c r="I560" t="n">
        <v>0</v>
      </c>
      <c r="J560" t="n">
        <v>0</v>
      </c>
      <c r="K560" t="n">
        <v>0</v>
      </c>
      <c r="L560" t="n">
        <v>0</v>
      </c>
      <c r="M560" t="n">
        <v>0</v>
      </c>
      <c r="N560" t="n">
        <v>0</v>
      </c>
      <c r="O560" t="n">
        <v>0</v>
      </c>
      <c r="P560" t="n">
        <v>0</v>
      </c>
      <c r="Q560" t="n">
        <v>0</v>
      </c>
      <c r="R560" s="2" t="inlineStr"/>
    </row>
    <row r="561" ht="15" customHeight="1">
      <c r="A561" t="inlineStr">
        <is>
          <t>A 2095-2025</t>
        </is>
      </c>
      <c r="B561" s="1" t="n">
        <v>45672</v>
      </c>
      <c r="C561" s="1" t="n">
        <v>46136</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71275-2021</t>
        </is>
      </c>
      <c r="B562" s="1" t="n">
        <v>44539</v>
      </c>
      <c r="C562" s="1" t="n">
        <v>46136</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58608-2024</t>
        </is>
      </c>
      <c r="B563" s="1" t="n">
        <v>45635.55185185185</v>
      </c>
      <c r="C563" s="1" t="n">
        <v>46136</v>
      </c>
      <c r="D563" t="inlineStr">
        <is>
          <t>ÖREBRO LÄN</t>
        </is>
      </c>
      <c r="E563" t="inlineStr">
        <is>
          <t>ÖREBRO</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2153-2023</t>
        </is>
      </c>
      <c r="B564" s="1" t="n">
        <v>44941</v>
      </c>
      <c r="C564" s="1" t="n">
        <v>46136</v>
      </c>
      <c r="D564" t="inlineStr">
        <is>
          <t>ÖREBRO LÄN</t>
        </is>
      </c>
      <c r="E564" t="inlineStr">
        <is>
          <t>ÖREBRO</t>
        </is>
      </c>
      <c r="G564" t="n">
        <v>6.3</v>
      </c>
      <c r="H564" t="n">
        <v>0</v>
      </c>
      <c r="I564" t="n">
        <v>0</v>
      </c>
      <c r="J564" t="n">
        <v>0</v>
      </c>
      <c r="K564" t="n">
        <v>0</v>
      </c>
      <c r="L564" t="n">
        <v>0</v>
      </c>
      <c r="M564" t="n">
        <v>0</v>
      </c>
      <c r="N564" t="n">
        <v>0</v>
      </c>
      <c r="O564" t="n">
        <v>0</v>
      </c>
      <c r="P564" t="n">
        <v>0</v>
      </c>
      <c r="Q564" t="n">
        <v>0</v>
      </c>
      <c r="R564" s="2" t="inlineStr"/>
    </row>
    <row r="565" ht="15" customHeight="1">
      <c r="A565" t="inlineStr">
        <is>
          <t>A 2069-2025</t>
        </is>
      </c>
      <c r="B565" s="1" t="n">
        <v>45672.56614583333</v>
      </c>
      <c r="C565" s="1" t="n">
        <v>46136</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852-2025</t>
        </is>
      </c>
      <c r="B566" s="1" t="n">
        <v>45665.60148148148</v>
      </c>
      <c r="C566" s="1" t="n">
        <v>46136</v>
      </c>
      <c r="D566" t="inlineStr">
        <is>
          <t>ÖREBRO LÄN</t>
        </is>
      </c>
      <c r="E566" t="inlineStr">
        <is>
          <t>ÖREBRO</t>
        </is>
      </c>
      <c r="G566" t="n">
        <v>2.9</v>
      </c>
      <c r="H566" t="n">
        <v>0</v>
      </c>
      <c r="I566" t="n">
        <v>0</v>
      </c>
      <c r="J566" t="n">
        <v>0</v>
      </c>
      <c r="K566" t="n">
        <v>0</v>
      </c>
      <c r="L566" t="n">
        <v>0</v>
      </c>
      <c r="M566" t="n">
        <v>0</v>
      </c>
      <c r="N566" t="n">
        <v>0</v>
      </c>
      <c r="O566" t="n">
        <v>0</v>
      </c>
      <c r="P566" t="n">
        <v>0</v>
      </c>
      <c r="Q566" t="n">
        <v>0</v>
      </c>
      <c r="R566" s="2" t="inlineStr"/>
    </row>
    <row r="567" ht="15" customHeight="1">
      <c r="A567" t="inlineStr">
        <is>
          <t>A 50398-2022</t>
        </is>
      </c>
      <c r="B567" s="1" t="n">
        <v>44861</v>
      </c>
      <c r="C567" s="1" t="n">
        <v>46136</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52441-2024</t>
        </is>
      </c>
      <c r="B568" s="1" t="n">
        <v>45609.48451388889</v>
      </c>
      <c r="C568" s="1" t="n">
        <v>46136</v>
      </c>
      <c r="D568" t="inlineStr">
        <is>
          <t>ÖREBRO LÄN</t>
        </is>
      </c>
      <c r="E568" t="inlineStr">
        <is>
          <t>ÖREBRO</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52499-2024</t>
        </is>
      </c>
      <c r="B569" s="1" t="n">
        <v>45609.58422453704</v>
      </c>
      <c r="C569" s="1" t="n">
        <v>46136</v>
      </c>
      <c r="D569" t="inlineStr">
        <is>
          <t>ÖREBRO LÄN</t>
        </is>
      </c>
      <c r="E569" t="inlineStr">
        <is>
          <t>ÖREBRO</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8008-2024</t>
        </is>
      </c>
      <c r="B570" s="1" t="n">
        <v>45350.6794212963</v>
      </c>
      <c r="C570" s="1" t="n">
        <v>46136</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18181-2024</t>
        </is>
      </c>
      <c r="B571" s="1" t="n">
        <v>45420.64561342593</v>
      </c>
      <c r="C571" s="1" t="n">
        <v>46136</v>
      </c>
      <c r="D571" t="inlineStr">
        <is>
          <t>ÖREBRO LÄN</t>
        </is>
      </c>
      <c r="E571" t="inlineStr">
        <is>
          <t>ÖREBRO</t>
        </is>
      </c>
      <c r="G571" t="n">
        <v>7.6</v>
      </c>
      <c r="H571" t="n">
        <v>0</v>
      </c>
      <c r="I571" t="n">
        <v>0</v>
      </c>
      <c r="J571" t="n">
        <v>0</v>
      </c>
      <c r="K571" t="n">
        <v>0</v>
      </c>
      <c r="L571" t="n">
        <v>0</v>
      </c>
      <c r="M571" t="n">
        <v>0</v>
      </c>
      <c r="N571" t="n">
        <v>0</v>
      </c>
      <c r="O571" t="n">
        <v>0</v>
      </c>
      <c r="P571" t="n">
        <v>0</v>
      </c>
      <c r="Q571" t="n">
        <v>0</v>
      </c>
      <c r="R571" s="2" t="inlineStr"/>
    </row>
    <row r="572" ht="15" customHeight="1">
      <c r="A572" t="inlineStr">
        <is>
          <t>A 38415-2023</t>
        </is>
      </c>
      <c r="B572" s="1" t="n">
        <v>45162.35502314815</v>
      </c>
      <c r="C572" s="1" t="n">
        <v>46136</v>
      </c>
      <c r="D572" t="inlineStr">
        <is>
          <t>ÖREBRO LÄN</t>
        </is>
      </c>
      <c r="E572" t="inlineStr">
        <is>
          <t>ÖREBRO</t>
        </is>
      </c>
      <c r="G572" t="n">
        <v>2.6</v>
      </c>
      <c r="H572" t="n">
        <v>0</v>
      </c>
      <c r="I572" t="n">
        <v>0</v>
      </c>
      <c r="J572" t="n">
        <v>0</v>
      </c>
      <c r="K572" t="n">
        <v>0</v>
      </c>
      <c r="L572" t="n">
        <v>0</v>
      </c>
      <c r="M572" t="n">
        <v>0</v>
      </c>
      <c r="N572" t="n">
        <v>0</v>
      </c>
      <c r="O572" t="n">
        <v>0</v>
      </c>
      <c r="P572" t="n">
        <v>0</v>
      </c>
      <c r="Q572" t="n">
        <v>0</v>
      </c>
      <c r="R572" s="2" t="inlineStr"/>
    </row>
    <row r="573" ht="15" customHeight="1">
      <c r="A573" t="inlineStr">
        <is>
          <t>A 16374-2022</t>
        </is>
      </c>
      <c r="B573" s="1" t="n">
        <v>44671</v>
      </c>
      <c r="C573" s="1" t="n">
        <v>46136</v>
      </c>
      <c r="D573" t="inlineStr">
        <is>
          <t>ÖREBRO LÄN</t>
        </is>
      </c>
      <c r="E573" t="inlineStr">
        <is>
          <t>ÖREBRO</t>
        </is>
      </c>
      <c r="F573" t="inlineStr">
        <is>
          <t>Övriga Aktiebolag</t>
        </is>
      </c>
      <c r="G573" t="n">
        <v>30.3</v>
      </c>
      <c r="H573" t="n">
        <v>0</v>
      </c>
      <c r="I573" t="n">
        <v>0</v>
      </c>
      <c r="J573" t="n">
        <v>0</v>
      </c>
      <c r="K573" t="n">
        <v>0</v>
      </c>
      <c r="L573" t="n">
        <v>0</v>
      </c>
      <c r="M573" t="n">
        <v>0</v>
      </c>
      <c r="N573" t="n">
        <v>0</v>
      </c>
      <c r="O573" t="n">
        <v>0</v>
      </c>
      <c r="P573" t="n">
        <v>0</v>
      </c>
      <c r="Q573" t="n">
        <v>0</v>
      </c>
      <c r="R573" s="2" t="inlineStr"/>
    </row>
    <row r="574" ht="15" customHeight="1">
      <c r="A574" t="inlineStr">
        <is>
          <t>A 9704-2023</t>
        </is>
      </c>
      <c r="B574" s="1" t="n">
        <v>44984</v>
      </c>
      <c r="C574" s="1" t="n">
        <v>46136</v>
      </c>
      <c r="D574" t="inlineStr">
        <is>
          <t>ÖREBRO LÄN</t>
        </is>
      </c>
      <c r="E574" t="inlineStr">
        <is>
          <t>ÖREBRO</t>
        </is>
      </c>
      <c r="G574" t="n">
        <v>1</v>
      </c>
      <c r="H574" t="n">
        <v>0</v>
      </c>
      <c r="I574" t="n">
        <v>0</v>
      </c>
      <c r="J574" t="n">
        <v>0</v>
      </c>
      <c r="K574" t="n">
        <v>0</v>
      </c>
      <c r="L574" t="n">
        <v>0</v>
      </c>
      <c r="M574" t="n">
        <v>0</v>
      </c>
      <c r="N574" t="n">
        <v>0</v>
      </c>
      <c r="O574" t="n">
        <v>0</v>
      </c>
      <c r="P574" t="n">
        <v>0</v>
      </c>
      <c r="Q574" t="n">
        <v>0</v>
      </c>
      <c r="R574" s="2" t="inlineStr"/>
    </row>
    <row r="575" ht="15" customHeight="1">
      <c r="A575" t="inlineStr">
        <is>
          <t>A 19180-2025</t>
        </is>
      </c>
      <c r="B575" s="1" t="n">
        <v>45769.40133101852</v>
      </c>
      <c r="C575" s="1" t="n">
        <v>46136</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46052-2024</t>
        </is>
      </c>
      <c r="B576" s="1" t="n">
        <v>45580.89116898148</v>
      </c>
      <c r="C576" s="1" t="n">
        <v>46136</v>
      </c>
      <c r="D576" t="inlineStr">
        <is>
          <t>ÖREBRO LÄN</t>
        </is>
      </c>
      <c r="E576" t="inlineStr">
        <is>
          <t>ÖREBRO</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58527-2024</t>
        </is>
      </c>
      <c r="B577" s="1" t="n">
        <v>45635.44388888889</v>
      </c>
      <c r="C577" s="1" t="n">
        <v>46136</v>
      </c>
      <c r="D577" t="inlineStr">
        <is>
          <t>ÖREBRO LÄN</t>
        </is>
      </c>
      <c r="E577" t="inlineStr">
        <is>
          <t>ÖREBRO</t>
        </is>
      </c>
      <c r="F577" t="inlineStr">
        <is>
          <t>Sveaskog</t>
        </is>
      </c>
      <c r="G577" t="n">
        <v>6.4</v>
      </c>
      <c r="H577" t="n">
        <v>0</v>
      </c>
      <c r="I577" t="n">
        <v>0</v>
      </c>
      <c r="J577" t="n">
        <v>0</v>
      </c>
      <c r="K577" t="n">
        <v>0</v>
      </c>
      <c r="L577" t="n">
        <v>0</v>
      </c>
      <c r="M577" t="n">
        <v>0</v>
      </c>
      <c r="N577" t="n">
        <v>0</v>
      </c>
      <c r="O577" t="n">
        <v>0</v>
      </c>
      <c r="P577" t="n">
        <v>0</v>
      </c>
      <c r="Q577" t="n">
        <v>0</v>
      </c>
      <c r="R577" s="2" t="inlineStr"/>
    </row>
    <row r="578" ht="15" customHeight="1">
      <c r="A578" t="inlineStr">
        <is>
          <t>A 37022-2024</t>
        </is>
      </c>
      <c r="B578" s="1" t="n">
        <v>45539.3822337963</v>
      </c>
      <c r="C578" s="1" t="n">
        <v>46136</v>
      </c>
      <c r="D578" t="inlineStr">
        <is>
          <t>ÖREBRO LÄN</t>
        </is>
      </c>
      <c r="E578" t="inlineStr">
        <is>
          <t>ÖREBRO</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37024-2024</t>
        </is>
      </c>
      <c r="B579" s="1" t="n">
        <v>45539.38329861111</v>
      </c>
      <c r="C579" s="1" t="n">
        <v>46136</v>
      </c>
      <c r="D579" t="inlineStr">
        <is>
          <t>ÖREBRO LÄN</t>
        </is>
      </c>
      <c r="E579" t="inlineStr">
        <is>
          <t>ÖREBRO</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38075-2022</t>
        </is>
      </c>
      <c r="B580" s="1" t="n">
        <v>44811</v>
      </c>
      <c r="C580" s="1" t="n">
        <v>46136</v>
      </c>
      <c r="D580" t="inlineStr">
        <is>
          <t>ÖREBRO LÄN</t>
        </is>
      </c>
      <c r="E580" t="inlineStr">
        <is>
          <t>ÖREBRO</t>
        </is>
      </c>
      <c r="G580" t="n">
        <v>0.2</v>
      </c>
      <c r="H580" t="n">
        <v>0</v>
      </c>
      <c r="I580" t="n">
        <v>0</v>
      </c>
      <c r="J580" t="n">
        <v>0</v>
      </c>
      <c r="K580" t="n">
        <v>0</v>
      </c>
      <c r="L580" t="n">
        <v>0</v>
      </c>
      <c r="M580" t="n">
        <v>0</v>
      </c>
      <c r="N580" t="n">
        <v>0</v>
      </c>
      <c r="O580" t="n">
        <v>0</v>
      </c>
      <c r="P580" t="n">
        <v>0</v>
      </c>
      <c r="Q580" t="n">
        <v>0</v>
      </c>
      <c r="R580" s="2" t="inlineStr"/>
    </row>
    <row r="581" ht="15" customHeight="1">
      <c r="A581" t="inlineStr">
        <is>
          <t>A 11382-2023</t>
        </is>
      </c>
      <c r="B581" s="1" t="n">
        <v>44993.45635416666</v>
      </c>
      <c r="C581" s="1" t="n">
        <v>46136</v>
      </c>
      <c r="D581" t="inlineStr">
        <is>
          <t>ÖREBRO LÄN</t>
        </is>
      </c>
      <c r="E581" t="inlineStr">
        <is>
          <t>ÖREBRO</t>
        </is>
      </c>
      <c r="G581" t="n">
        <v>3.3</v>
      </c>
      <c r="H581" t="n">
        <v>0</v>
      </c>
      <c r="I581" t="n">
        <v>0</v>
      </c>
      <c r="J581" t="n">
        <v>0</v>
      </c>
      <c r="K581" t="n">
        <v>0</v>
      </c>
      <c r="L581" t="n">
        <v>0</v>
      </c>
      <c r="M581" t="n">
        <v>0</v>
      </c>
      <c r="N581" t="n">
        <v>0</v>
      </c>
      <c r="O581" t="n">
        <v>0</v>
      </c>
      <c r="P581" t="n">
        <v>0</v>
      </c>
      <c r="Q581" t="n">
        <v>0</v>
      </c>
      <c r="R581" s="2" t="inlineStr"/>
    </row>
    <row r="582" ht="15" customHeight="1">
      <c r="A582" t="inlineStr">
        <is>
          <t>A 20121-2024</t>
        </is>
      </c>
      <c r="B582" s="1" t="n">
        <v>45434</v>
      </c>
      <c r="C582" s="1" t="n">
        <v>46136</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26117-2021</t>
        </is>
      </c>
      <c r="B583" s="1" t="n">
        <v>44345</v>
      </c>
      <c r="C583" s="1" t="n">
        <v>46136</v>
      </c>
      <c r="D583" t="inlineStr">
        <is>
          <t>ÖREBRO LÄN</t>
        </is>
      </c>
      <c r="E583" t="inlineStr">
        <is>
          <t>ÖREBRO</t>
        </is>
      </c>
      <c r="G583" t="n">
        <v>8.1</v>
      </c>
      <c r="H583" t="n">
        <v>0</v>
      </c>
      <c r="I583" t="n">
        <v>0</v>
      </c>
      <c r="J583" t="n">
        <v>0</v>
      </c>
      <c r="K583" t="n">
        <v>0</v>
      </c>
      <c r="L583" t="n">
        <v>0</v>
      </c>
      <c r="M583" t="n">
        <v>0</v>
      </c>
      <c r="N583" t="n">
        <v>0</v>
      </c>
      <c r="O583" t="n">
        <v>0</v>
      </c>
      <c r="P583" t="n">
        <v>0</v>
      </c>
      <c r="Q583" t="n">
        <v>0</v>
      </c>
      <c r="R583" s="2" t="inlineStr"/>
    </row>
    <row r="584" ht="15" customHeight="1">
      <c r="A584" t="inlineStr">
        <is>
          <t>A 55943-2024</t>
        </is>
      </c>
      <c r="B584" s="1" t="n">
        <v>45623.61278935185</v>
      </c>
      <c r="C584" s="1" t="n">
        <v>46136</v>
      </c>
      <c r="D584" t="inlineStr">
        <is>
          <t>ÖREBRO LÄN</t>
        </is>
      </c>
      <c r="E584" t="inlineStr">
        <is>
          <t>ÖREBRO</t>
        </is>
      </c>
      <c r="G584" t="n">
        <v>4.8</v>
      </c>
      <c r="H584" t="n">
        <v>0</v>
      </c>
      <c r="I584" t="n">
        <v>0</v>
      </c>
      <c r="J584" t="n">
        <v>0</v>
      </c>
      <c r="K584" t="n">
        <v>0</v>
      </c>
      <c r="L584" t="n">
        <v>0</v>
      </c>
      <c r="M584" t="n">
        <v>0</v>
      </c>
      <c r="N584" t="n">
        <v>0</v>
      </c>
      <c r="O584" t="n">
        <v>0</v>
      </c>
      <c r="P584" t="n">
        <v>0</v>
      </c>
      <c r="Q584" t="n">
        <v>0</v>
      </c>
      <c r="R584" s="2" t="inlineStr"/>
    </row>
    <row r="585" ht="15" customHeight="1">
      <c r="A585" t="inlineStr">
        <is>
          <t>A 1013-2024</t>
        </is>
      </c>
      <c r="B585" s="1" t="n">
        <v>45301</v>
      </c>
      <c r="C585" s="1" t="n">
        <v>46136</v>
      </c>
      <c r="D585" t="inlineStr">
        <is>
          <t>ÖREBRO LÄN</t>
        </is>
      </c>
      <c r="E585" t="inlineStr">
        <is>
          <t>ÖREBRO</t>
        </is>
      </c>
      <c r="G585" t="n">
        <v>2.6</v>
      </c>
      <c r="H585" t="n">
        <v>0</v>
      </c>
      <c r="I585" t="n">
        <v>0</v>
      </c>
      <c r="J585" t="n">
        <v>0</v>
      </c>
      <c r="K585" t="n">
        <v>0</v>
      </c>
      <c r="L585" t="n">
        <v>0</v>
      </c>
      <c r="M585" t="n">
        <v>0</v>
      </c>
      <c r="N585" t="n">
        <v>0</v>
      </c>
      <c r="O585" t="n">
        <v>0</v>
      </c>
      <c r="P585" t="n">
        <v>0</v>
      </c>
      <c r="Q585" t="n">
        <v>0</v>
      </c>
      <c r="R585" s="2" t="inlineStr"/>
    </row>
    <row r="586" ht="15" customHeight="1">
      <c r="A586" t="inlineStr">
        <is>
          <t>A 13623-2024</t>
        </is>
      </c>
      <c r="B586" s="1" t="n">
        <v>45390.38626157407</v>
      </c>
      <c r="C586" s="1" t="n">
        <v>46136</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5330-2024</t>
        </is>
      </c>
      <c r="B587" s="1" t="n">
        <v>45331.4187962963</v>
      </c>
      <c r="C587" s="1" t="n">
        <v>46136</v>
      </c>
      <c r="D587" t="inlineStr">
        <is>
          <t>ÖREBRO LÄN</t>
        </is>
      </c>
      <c r="E587" t="inlineStr">
        <is>
          <t>ÖREBRO</t>
        </is>
      </c>
      <c r="G587" t="n">
        <v>1.4</v>
      </c>
      <c r="H587" t="n">
        <v>0</v>
      </c>
      <c r="I587" t="n">
        <v>0</v>
      </c>
      <c r="J587" t="n">
        <v>0</v>
      </c>
      <c r="K587" t="n">
        <v>0</v>
      </c>
      <c r="L587" t="n">
        <v>0</v>
      </c>
      <c r="M587" t="n">
        <v>0</v>
      </c>
      <c r="N587" t="n">
        <v>0</v>
      </c>
      <c r="O587" t="n">
        <v>0</v>
      </c>
      <c r="P587" t="n">
        <v>0</v>
      </c>
      <c r="Q587" t="n">
        <v>0</v>
      </c>
      <c r="R587" s="2" t="inlineStr"/>
    </row>
    <row r="588" ht="15" customHeight="1">
      <c r="A588" t="inlineStr">
        <is>
          <t>A 6794-2025</t>
        </is>
      </c>
      <c r="B588" s="1" t="n">
        <v>45700.66429398148</v>
      </c>
      <c r="C588" s="1" t="n">
        <v>46136</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3-2024</t>
        </is>
      </c>
      <c r="B589" s="1" t="n">
        <v>45292</v>
      </c>
      <c r="C589" s="1" t="n">
        <v>46136</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5619-2023</t>
        </is>
      </c>
      <c r="B590" s="1" t="n">
        <v>44958</v>
      </c>
      <c r="C590" s="1" t="n">
        <v>46136</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5578-2024</t>
        </is>
      </c>
      <c r="B591" s="1" t="n">
        <v>45334.49104166667</v>
      </c>
      <c r="C591" s="1" t="n">
        <v>46136</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37786-2024</t>
        </is>
      </c>
      <c r="B592" s="1" t="n">
        <v>45542.82987268519</v>
      </c>
      <c r="C592" s="1" t="n">
        <v>46136</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58615-2024</t>
        </is>
      </c>
      <c r="B593" s="1" t="n">
        <v>45635.5587037037</v>
      </c>
      <c r="C593" s="1" t="n">
        <v>46136</v>
      </c>
      <c r="D593" t="inlineStr">
        <is>
          <t>ÖREBRO LÄN</t>
        </is>
      </c>
      <c r="E593" t="inlineStr">
        <is>
          <t>ÖREBRO</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45517-2023</t>
        </is>
      </c>
      <c r="B594" s="1" t="n">
        <v>45194.49594907407</v>
      </c>
      <c r="C594" s="1" t="n">
        <v>46136</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3652-2022</t>
        </is>
      </c>
      <c r="B595" s="1" t="n">
        <v>44586.46921296296</v>
      </c>
      <c r="C595" s="1" t="n">
        <v>46136</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25407-2021</t>
        </is>
      </c>
      <c r="B596" s="1" t="n">
        <v>44342</v>
      </c>
      <c r="C596" s="1" t="n">
        <v>46136</v>
      </c>
      <c r="D596" t="inlineStr">
        <is>
          <t>ÖREBRO LÄN</t>
        </is>
      </c>
      <c r="E596" t="inlineStr">
        <is>
          <t>ÖREBRO</t>
        </is>
      </c>
      <c r="F596" t="inlineStr">
        <is>
          <t>Kommuner</t>
        </is>
      </c>
      <c r="G596" t="n">
        <v>7.2</v>
      </c>
      <c r="H596" t="n">
        <v>0</v>
      </c>
      <c r="I596" t="n">
        <v>0</v>
      </c>
      <c r="J596" t="n">
        <v>0</v>
      </c>
      <c r="K596" t="n">
        <v>0</v>
      </c>
      <c r="L596" t="n">
        <v>0</v>
      </c>
      <c r="M596" t="n">
        <v>0</v>
      </c>
      <c r="N596" t="n">
        <v>0</v>
      </c>
      <c r="O596" t="n">
        <v>0</v>
      </c>
      <c r="P596" t="n">
        <v>0</v>
      </c>
      <c r="Q596" t="n">
        <v>0</v>
      </c>
      <c r="R596" s="2" t="inlineStr"/>
    </row>
    <row r="597" ht="15" customHeight="1">
      <c r="A597" t="inlineStr">
        <is>
          <t>A 12245-2023</t>
        </is>
      </c>
      <c r="B597" s="1" t="n">
        <v>44998.64402777778</v>
      </c>
      <c r="C597" s="1" t="n">
        <v>46136</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7134-2025</t>
        </is>
      </c>
      <c r="B598" s="1" t="n">
        <v>45702</v>
      </c>
      <c r="C598" s="1" t="n">
        <v>46136</v>
      </c>
      <c r="D598" t="inlineStr">
        <is>
          <t>ÖREBRO LÄN</t>
        </is>
      </c>
      <c r="E598" t="inlineStr">
        <is>
          <t>ÖREBRO</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46136</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29978-2024</t>
        </is>
      </c>
      <c r="B600" s="1" t="n">
        <v>45488.48340277778</v>
      </c>
      <c r="C600" s="1" t="n">
        <v>46136</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46136</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58611-2024</t>
        </is>
      </c>
      <c r="B602" s="1" t="n">
        <v>45635.55555555555</v>
      </c>
      <c r="C602" s="1" t="n">
        <v>46136</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20146-2024</t>
        </is>
      </c>
      <c r="B603" s="1" t="n">
        <v>45434.57641203704</v>
      </c>
      <c r="C603" s="1" t="n">
        <v>46136</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53143-2023</t>
        </is>
      </c>
      <c r="B604" s="1" t="n">
        <v>45229</v>
      </c>
      <c r="C604" s="1" t="n">
        <v>46136</v>
      </c>
      <c r="D604" t="inlineStr">
        <is>
          <t>ÖREBRO LÄN</t>
        </is>
      </c>
      <c r="E604" t="inlineStr">
        <is>
          <t>ÖREBRO</t>
        </is>
      </c>
      <c r="G604" t="n">
        <v>3.3</v>
      </c>
      <c r="H604" t="n">
        <v>0</v>
      </c>
      <c r="I604" t="n">
        <v>0</v>
      </c>
      <c r="J604" t="n">
        <v>0</v>
      </c>
      <c r="K604" t="n">
        <v>0</v>
      </c>
      <c r="L604" t="n">
        <v>0</v>
      </c>
      <c r="M604" t="n">
        <v>0</v>
      </c>
      <c r="N604" t="n">
        <v>0</v>
      </c>
      <c r="O604" t="n">
        <v>0</v>
      </c>
      <c r="P604" t="n">
        <v>0</v>
      </c>
      <c r="Q604" t="n">
        <v>0</v>
      </c>
      <c r="R604" s="2" t="inlineStr"/>
    </row>
    <row r="605" ht="15" customHeight="1">
      <c r="A605" t="inlineStr">
        <is>
          <t>A 8656-2025</t>
        </is>
      </c>
      <c r="B605" s="1" t="n">
        <v>45712.38268518518</v>
      </c>
      <c r="C605" s="1" t="n">
        <v>46136</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5762-2025</t>
        </is>
      </c>
      <c r="B606" s="1" t="n">
        <v>45694.57181712963</v>
      </c>
      <c r="C606" s="1" t="n">
        <v>46136</v>
      </c>
      <c r="D606" t="inlineStr">
        <is>
          <t>ÖREBRO LÄN</t>
        </is>
      </c>
      <c r="E606" t="inlineStr">
        <is>
          <t>ÖREBRO</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62794-2021</t>
        </is>
      </c>
      <c r="B607" s="1" t="n">
        <v>44504</v>
      </c>
      <c r="C607" s="1" t="n">
        <v>46136</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52612-2024</t>
        </is>
      </c>
      <c r="B608" s="1" t="n">
        <v>45609</v>
      </c>
      <c r="C608" s="1" t="n">
        <v>46136</v>
      </c>
      <c r="D608" t="inlineStr">
        <is>
          <t>ÖREBRO LÄN</t>
        </is>
      </c>
      <c r="E608" t="inlineStr">
        <is>
          <t>ÖREBRO</t>
        </is>
      </c>
      <c r="F608" t="inlineStr">
        <is>
          <t>Kommuner</t>
        </is>
      </c>
      <c r="G608" t="n">
        <v>5.5</v>
      </c>
      <c r="H608" t="n">
        <v>0</v>
      </c>
      <c r="I608" t="n">
        <v>0</v>
      </c>
      <c r="J608" t="n">
        <v>0</v>
      </c>
      <c r="K608" t="n">
        <v>0</v>
      </c>
      <c r="L608" t="n">
        <v>0</v>
      </c>
      <c r="M608" t="n">
        <v>0</v>
      </c>
      <c r="N608" t="n">
        <v>0</v>
      </c>
      <c r="O608" t="n">
        <v>0</v>
      </c>
      <c r="P608" t="n">
        <v>0</v>
      </c>
      <c r="Q608" t="n">
        <v>0</v>
      </c>
      <c r="R608" s="2" t="inlineStr"/>
    </row>
    <row r="609" ht="15" customHeight="1">
      <c r="A609" t="inlineStr">
        <is>
          <t>A 5795-2024</t>
        </is>
      </c>
      <c r="B609" s="1" t="n">
        <v>45335.4531712963</v>
      </c>
      <c r="C609" s="1" t="n">
        <v>46136</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37771-2024</t>
        </is>
      </c>
      <c r="B610" s="1" t="n">
        <v>45542.31359953704</v>
      </c>
      <c r="C610" s="1" t="n">
        <v>46136</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15652-2025</t>
        </is>
      </c>
      <c r="B611" s="1" t="n">
        <v>45748</v>
      </c>
      <c r="C611" s="1" t="n">
        <v>46136</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2076-2025</t>
        </is>
      </c>
      <c r="B612" s="1" t="n">
        <v>45672</v>
      </c>
      <c r="C612" s="1" t="n">
        <v>46136</v>
      </c>
      <c r="D612" t="inlineStr">
        <is>
          <t>ÖREBRO LÄN</t>
        </is>
      </c>
      <c r="E612" t="inlineStr">
        <is>
          <t>ÖREBRO</t>
        </is>
      </c>
      <c r="G612" t="n">
        <v>1</v>
      </c>
      <c r="H612" t="n">
        <v>0</v>
      </c>
      <c r="I612" t="n">
        <v>0</v>
      </c>
      <c r="J612" t="n">
        <v>0</v>
      </c>
      <c r="K612" t="n">
        <v>0</v>
      </c>
      <c r="L612" t="n">
        <v>0</v>
      </c>
      <c r="M612" t="n">
        <v>0</v>
      </c>
      <c r="N612" t="n">
        <v>0</v>
      </c>
      <c r="O612" t="n">
        <v>0</v>
      </c>
      <c r="P612" t="n">
        <v>0</v>
      </c>
      <c r="Q612" t="n">
        <v>0</v>
      </c>
      <c r="R612" s="2" t="inlineStr"/>
    </row>
    <row r="613" ht="15" customHeight="1">
      <c r="A613" t="inlineStr">
        <is>
          <t>A 14960-2025</t>
        </is>
      </c>
      <c r="B613" s="1" t="n">
        <v>45743.5853125</v>
      </c>
      <c r="C613" s="1" t="n">
        <v>46136</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60022-2024</t>
        </is>
      </c>
      <c r="B614" s="1" t="n">
        <v>45642</v>
      </c>
      <c r="C614" s="1" t="n">
        <v>46136</v>
      </c>
      <c r="D614" t="inlineStr">
        <is>
          <t>ÖREBRO LÄN</t>
        </is>
      </c>
      <c r="E614" t="inlineStr">
        <is>
          <t>ÖREBRO</t>
        </is>
      </c>
      <c r="G614" t="n">
        <v>1.7</v>
      </c>
      <c r="H614" t="n">
        <v>0</v>
      </c>
      <c r="I614" t="n">
        <v>0</v>
      </c>
      <c r="J614" t="n">
        <v>0</v>
      </c>
      <c r="K614" t="n">
        <v>0</v>
      </c>
      <c r="L614" t="n">
        <v>0</v>
      </c>
      <c r="M614" t="n">
        <v>0</v>
      </c>
      <c r="N614" t="n">
        <v>0</v>
      </c>
      <c r="O614" t="n">
        <v>0</v>
      </c>
      <c r="P614" t="n">
        <v>0</v>
      </c>
      <c r="Q614" t="n">
        <v>0</v>
      </c>
      <c r="R614" s="2" t="inlineStr"/>
    </row>
    <row r="615" ht="15" customHeight="1">
      <c r="A615" t="inlineStr">
        <is>
          <t>A 21097-2025</t>
        </is>
      </c>
      <c r="B615" s="1" t="n">
        <v>45777.63863425926</v>
      </c>
      <c r="C615" s="1" t="n">
        <v>46136</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35819-2024</t>
        </is>
      </c>
      <c r="B616" s="1" t="n">
        <v>45532</v>
      </c>
      <c r="C616" s="1" t="n">
        <v>46136</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32076-2023</t>
        </is>
      </c>
      <c r="B617" s="1" t="n">
        <v>45119.58324074074</v>
      </c>
      <c r="C617" s="1" t="n">
        <v>46136</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764-2024</t>
        </is>
      </c>
      <c r="B618" s="1" t="n">
        <v>45300.51512731481</v>
      </c>
      <c r="C618" s="1" t="n">
        <v>46136</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58644-2023</t>
        </is>
      </c>
      <c r="B619" s="1" t="n">
        <v>45251.58716435185</v>
      </c>
      <c r="C619" s="1" t="n">
        <v>46136</v>
      </c>
      <c r="D619" t="inlineStr">
        <is>
          <t>ÖREBRO LÄN</t>
        </is>
      </c>
      <c r="E619" t="inlineStr">
        <is>
          <t>ÖREBRO</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21338-2025</t>
        </is>
      </c>
      <c r="B620" s="1" t="n">
        <v>45780</v>
      </c>
      <c r="C620" s="1" t="n">
        <v>46136</v>
      </c>
      <c r="D620" t="inlineStr">
        <is>
          <t>ÖREBRO LÄN</t>
        </is>
      </c>
      <c r="E620" t="inlineStr">
        <is>
          <t>ÖREBRO</t>
        </is>
      </c>
      <c r="G620" t="n">
        <v>3.2</v>
      </c>
      <c r="H620" t="n">
        <v>0</v>
      </c>
      <c r="I620" t="n">
        <v>0</v>
      </c>
      <c r="J620" t="n">
        <v>0</v>
      </c>
      <c r="K620" t="n">
        <v>0</v>
      </c>
      <c r="L620" t="n">
        <v>0</v>
      </c>
      <c r="M620" t="n">
        <v>0</v>
      </c>
      <c r="N620" t="n">
        <v>0</v>
      </c>
      <c r="O620" t="n">
        <v>0</v>
      </c>
      <c r="P620" t="n">
        <v>0</v>
      </c>
      <c r="Q620" t="n">
        <v>0</v>
      </c>
      <c r="R620" s="2" t="inlineStr"/>
    </row>
    <row r="621" ht="15" customHeight="1">
      <c r="A621" t="inlineStr">
        <is>
          <t>A 22755-2025</t>
        </is>
      </c>
      <c r="B621" s="1" t="n">
        <v>45789.61872685186</v>
      </c>
      <c r="C621" s="1" t="n">
        <v>46136</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44199-2024</t>
        </is>
      </c>
      <c r="B622" s="1" t="n">
        <v>45573</v>
      </c>
      <c r="C622" s="1" t="n">
        <v>46136</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34336-2024</t>
        </is>
      </c>
      <c r="B623" s="1" t="n">
        <v>45524.94774305556</v>
      </c>
      <c r="C623" s="1" t="n">
        <v>46136</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26443-2024</t>
        </is>
      </c>
      <c r="B624" s="1" t="n">
        <v>45469.49901620371</v>
      </c>
      <c r="C624" s="1" t="n">
        <v>46136</v>
      </c>
      <c r="D624" t="inlineStr">
        <is>
          <t>ÖREBRO LÄN</t>
        </is>
      </c>
      <c r="E624" t="inlineStr">
        <is>
          <t>ÖREBRO</t>
        </is>
      </c>
      <c r="G624" t="n">
        <v>5.7</v>
      </c>
      <c r="H624" t="n">
        <v>0</v>
      </c>
      <c r="I624" t="n">
        <v>0</v>
      </c>
      <c r="J624" t="n">
        <v>0</v>
      </c>
      <c r="K624" t="n">
        <v>0</v>
      </c>
      <c r="L624" t="n">
        <v>0</v>
      </c>
      <c r="M624" t="n">
        <v>0</v>
      </c>
      <c r="N624" t="n">
        <v>0</v>
      </c>
      <c r="O624" t="n">
        <v>0</v>
      </c>
      <c r="P624" t="n">
        <v>0</v>
      </c>
      <c r="Q624" t="n">
        <v>0</v>
      </c>
      <c r="R624" s="2" t="inlineStr"/>
    </row>
    <row r="625" ht="15" customHeight="1">
      <c r="A625" t="inlineStr">
        <is>
          <t>A 35477-2024</t>
        </is>
      </c>
      <c r="B625" s="1" t="n">
        <v>45531</v>
      </c>
      <c r="C625" s="1" t="n">
        <v>46136</v>
      </c>
      <c r="D625" t="inlineStr">
        <is>
          <t>ÖREBRO LÄN</t>
        </is>
      </c>
      <c r="E625" t="inlineStr">
        <is>
          <t>ÖREBRO</t>
        </is>
      </c>
      <c r="G625" t="n">
        <v>2.4</v>
      </c>
      <c r="H625" t="n">
        <v>0</v>
      </c>
      <c r="I625" t="n">
        <v>0</v>
      </c>
      <c r="J625" t="n">
        <v>0</v>
      </c>
      <c r="K625" t="n">
        <v>0</v>
      </c>
      <c r="L625" t="n">
        <v>0</v>
      </c>
      <c r="M625" t="n">
        <v>0</v>
      </c>
      <c r="N625" t="n">
        <v>0</v>
      </c>
      <c r="O625" t="n">
        <v>0</v>
      </c>
      <c r="P625" t="n">
        <v>0</v>
      </c>
      <c r="Q625" t="n">
        <v>0</v>
      </c>
      <c r="R625" s="2" t="inlineStr"/>
    </row>
    <row r="626" ht="15" customHeight="1">
      <c r="A626" t="inlineStr">
        <is>
          <t>A 22719-2025</t>
        </is>
      </c>
      <c r="B626" s="1" t="n">
        <v>45789</v>
      </c>
      <c r="C626" s="1" t="n">
        <v>46136</v>
      </c>
      <c r="D626" t="inlineStr">
        <is>
          <t>ÖREBRO LÄN</t>
        </is>
      </c>
      <c r="E626" t="inlineStr">
        <is>
          <t>ÖREBRO</t>
        </is>
      </c>
      <c r="G626" t="n">
        <v>1.5</v>
      </c>
      <c r="H626" t="n">
        <v>0</v>
      </c>
      <c r="I626" t="n">
        <v>0</v>
      </c>
      <c r="J626" t="n">
        <v>0</v>
      </c>
      <c r="K626" t="n">
        <v>0</v>
      </c>
      <c r="L626" t="n">
        <v>0</v>
      </c>
      <c r="M626" t="n">
        <v>0</v>
      </c>
      <c r="N626" t="n">
        <v>0</v>
      </c>
      <c r="O626" t="n">
        <v>0</v>
      </c>
      <c r="P626" t="n">
        <v>0</v>
      </c>
      <c r="Q626" t="n">
        <v>0</v>
      </c>
      <c r="R626" s="2" t="inlineStr"/>
    </row>
    <row r="627" ht="15" customHeight="1">
      <c r="A627" t="inlineStr">
        <is>
          <t>A 30316-2024</t>
        </is>
      </c>
      <c r="B627" s="1" t="n">
        <v>45490</v>
      </c>
      <c r="C627" s="1" t="n">
        <v>46136</v>
      </c>
      <c r="D627" t="inlineStr">
        <is>
          <t>ÖREBRO LÄN</t>
        </is>
      </c>
      <c r="E627" t="inlineStr">
        <is>
          <t>ÖREBRO</t>
        </is>
      </c>
      <c r="G627" t="n">
        <v>5.5</v>
      </c>
      <c r="H627" t="n">
        <v>0</v>
      </c>
      <c r="I627" t="n">
        <v>0</v>
      </c>
      <c r="J627" t="n">
        <v>0</v>
      </c>
      <c r="K627" t="n">
        <v>0</v>
      </c>
      <c r="L627" t="n">
        <v>0</v>
      </c>
      <c r="M627" t="n">
        <v>0</v>
      </c>
      <c r="N627" t="n">
        <v>0</v>
      </c>
      <c r="O627" t="n">
        <v>0</v>
      </c>
      <c r="P627" t="n">
        <v>0</v>
      </c>
      <c r="Q627" t="n">
        <v>0</v>
      </c>
      <c r="R627" s="2" t="inlineStr"/>
    </row>
    <row r="628" ht="15" customHeight="1">
      <c r="A628" t="inlineStr">
        <is>
          <t>A 38790-2024</t>
        </is>
      </c>
      <c r="B628" s="1" t="n">
        <v>45547.48450231482</v>
      </c>
      <c r="C628" s="1" t="n">
        <v>46136</v>
      </c>
      <c r="D628" t="inlineStr">
        <is>
          <t>ÖREBRO LÄN</t>
        </is>
      </c>
      <c r="E628" t="inlineStr">
        <is>
          <t>ÖREBRO</t>
        </is>
      </c>
      <c r="G628" t="n">
        <v>2</v>
      </c>
      <c r="H628" t="n">
        <v>0</v>
      </c>
      <c r="I628" t="n">
        <v>0</v>
      </c>
      <c r="J628" t="n">
        <v>0</v>
      </c>
      <c r="K628" t="n">
        <v>0</v>
      </c>
      <c r="L628" t="n">
        <v>0</v>
      </c>
      <c r="M628" t="n">
        <v>0</v>
      </c>
      <c r="N628" t="n">
        <v>0</v>
      </c>
      <c r="O628" t="n">
        <v>0</v>
      </c>
      <c r="P628" t="n">
        <v>0</v>
      </c>
      <c r="Q628" t="n">
        <v>0</v>
      </c>
      <c r="R628" s="2" t="inlineStr"/>
    </row>
    <row r="629" ht="15" customHeight="1">
      <c r="A629" t="inlineStr">
        <is>
          <t>A 61279-2024</t>
        </is>
      </c>
      <c r="B629" s="1" t="n">
        <v>45645</v>
      </c>
      <c r="C629" s="1" t="n">
        <v>46136</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71269-2021</t>
        </is>
      </c>
      <c r="B630" s="1" t="n">
        <v>44539</v>
      </c>
      <c r="C630" s="1" t="n">
        <v>46136</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15555-2025</t>
        </is>
      </c>
      <c r="B631" s="1" t="n">
        <v>45747.67768518518</v>
      </c>
      <c r="C631" s="1" t="n">
        <v>46136</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5136-2024</t>
        </is>
      </c>
      <c r="B632" s="1" t="n">
        <v>45330</v>
      </c>
      <c r="C632" s="1" t="n">
        <v>46136</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4380-2025</t>
        </is>
      </c>
      <c r="B633" s="1" t="n">
        <v>45686.3959375</v>
      </c>
      <c r="C633" s="1" t="n">
        <v>46136</v>
      </c>
      <c r="D633" t="inlineStr">
        <is>
          <t>ÖREBRO LÄN</t>
        </is>
      </c>
      <c r="E633" t="inlineStr">
        <is>
          <t>ÖREBRO</t>
        </is>
      </c>
      <c r="G633" t="n">
        <v>3.2</v>
      </c>
      <c r="H633" t="n">
        <v>0</v>
      </c>
      <c r="I633" t="n">
        <v>0</v>
      </c>
      <c r="J633" t="n">
        <v>0</v>
      </c>
      <c r="K633" t="n">
        <v>0</v>
      </c>
      <c r="L633" t="n">
        <v>0</v>
      </c>
      <c r="M633" t="n">
        <v>0</v>
      </c>
      <c r="N633" t="n">
        <v>0</v>
      </c>
      <c r="O633" t="n">
        <v>0</v>
      </c>
      <c r="P633" t="n">
        <v>0</v>
      </c>
      <c r="Q633" t="n">
        <v>0</v>
      </c>
      <c r="R633" s="2" t="inlineStr"/>
    </row>
    <row r="634" ht="15" customHeight="1">
      <c r="A634" t="inlineStr">
        <is>
          <t>A 34358-2022</t>
        </is>
      </c>
      <c r="B634" s="1" t="n">
        <v>44792.45494212963</v>
      </c>
      <c r="C634" s="1" t="n">
        <v>46136</v>
      </c>
      <c r="D634" t="inlineStr">
        <is>
          <t>ÖREBRO LÄN</t>
        </is>
      </c>
      <c r="E634" t="inlineStr">
        <is>
          <t>ÖREBRO</t>
        </is>
      </c>
      <c r="F634" t="inlineStr">
        <is>
          <t>Övriga Aktiebolag</t>
        </is>
      </c>
      <c r="G634" t="n">
        <v>3.4</v>
      </c>
      <c r="H634" t="n">
        <v>0</v>
      </c>
      <c r="I634" t="n">
        <v>0</v>
      </c>
      <c r="J634" t="n">
        <v>0</v>
      </c>
      <c r="K634" t="n">
        <v>0</v>
      </c>
      <c r="L634" t="n">
        <v>0</v>
      </c>
      <c r="M634" t="n">
        <v>0</v>
      </c>
      <c r="N634" t="n">
        <v>0</v>
      </c>
      <c r="O634" t="n">
        <v>0</v>
      </c>
      <c r="P634" t="n">
        <v>0</v>
      </c>
      <c r="Q634" t="n">
        <v>0</v>
      </c>
      <c r="R634" s="2" t="inlineStr"/>
    </row>
    <row r="635" ht="15" customHeight="1">
      <c r="A635" t="inlineStr">
        <is>
          <t>A 15695-2024</t>
        </is>
      </c>
      <c r="B635" s="1" t="n">
        <v>45404.45487268519</v>
      </c>
      <c r="C635" s="1" t="n">
        <v>46136</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5406-2025</t>
        </is>
      </c>
      <c r="B636" s="1" t="n">
        <v>45692.64821759259</v>
      </c>
      <c r="C636" s="1" t="n">
        <v>46136</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22348-2024</t>
        </is>
      </c>
      <c r="B637" s="1" t="n">
        <v>45446.61256944444</v>
      </c>
      <c r="C637" s="1" t="n">
        <v>46136</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52018-2024</t>
        </is>
      </c>
      <c r="B638" s="1" t="n">
        <v>45607.82974537037</v>
      </c>
      <c r="C638" s="1" t="n">
        <v>46136</v>
      </c>
      <c r="D638" t="inlineStr">
        <is>
          <t>ÖREBRO LÄN</t>
        </is>
      </c>
      <c r="E638" t="inlineStr">
        <is>
          <t>ÖREBRO</t>
        </is>
      </c>
      <c r="G638" t="n">
        <v>4.3</v>
      </c>
      <c r="H638" t="n">
        <v>0</v>
      </c>
      <c r="I638" t="n">
        <v>0</v>
      </c>
      <c r="J638" t="n">
        <v>0</v>
      </c>
      <c r="K638" t="n">
        <v>0</v>
      </c>
      <c r="L638" t="n">
        <v>0</v>
      </c>
      <c r="M638" t="n">
        <v>0</v>
      </c>
      <c r="N638" t="n">
        <v>0</v>
      </c>
      <c r="O638" t="n">
        <v>0</v>
      </c>
      <c r="P638" t="n">
        <v>0</v>
      </c>
      <c r="Q638" t="n">
        <v>0</v>
      </c>
      <c r="R638" s="2" t="inlineStr"/>
    </row>
    <row r="639" ht="15" customHeight="1">
      <c r="A639" t="inlineStr">
        <is>
          <t>A 30089-2024</t>
        </is>
      </c>
      <c r="B639" s="1" t="n">
        <v>45485</v>
      </c>
      <c r="C639" s="1" t="n">
        <v>46136</v>
      </c>
      <c r="D639" t="inlineStr">
        <is>
          <t>ÖREBRO LÄN</t>
        </is>
      </c>
      <c r="E639" t="inlineStr">
        <is>
          <t>ÖREBRO</t>
        </is>
      </c>
      <c r="G639" t="n">
        <v>2.2</v>
      </c>
      <c r="H639" t="n">
        <v>0</v>
      </c>
      <c r="I639" t="n">
        <v>0</v>
      </c>
      <c r="J639" t="n">
        <v>0</v>
      </c>
      <c r="K639" t="n">
        <v>0</v>
      </c>
      <c r="L639" t="n">
        <v>0</v>
      </c>
      <c r="M639" t="n">
        <v>0</v>
      </c>
      <c r="N639" t="n">
        <v>0</v>
      </c>
      <c r="O639" t="n">
        <v>0</v>
      </c>
      <c r="P639" t="n">
        <v>0</v>
      </c>
      <c r="Q639" t="n">
        <v>0</v>
      </c>
      <c r="R639" s="2" t="inlineStr"/>
    </row>
    <row r="640" ht="15" customHeight="1">
      <c r="A640" t="inlineStr">
        <is>
          <t>A 71295-2021</t>
        </is>
      </c>
      <c r="B640" s="1" t="n">
        <v>44539.63009259259</v>
      </c>
      <c r="C640" s="1" t="n">
        <v>46136</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46030-2024</t>
        </is>
      </c>
      <c r="B641" s="1" t="n">
        <v>45580.70377314815</v>
      </c>
      <c r="C641" s="1" t="n">
        <v>46136</v>
      </c>
      <c r="D641" t="inlineStr">
        <is>
          <t>ÖREBRO LÄN</t>
        </is>
      </c>
      <c r="E641" t="inlineStr">
        <is>
          <t>ÖREBRO</t>
        </is>
      </c>
      <c r="G641" t="n">
        <v>3.9</v>
      </c>
      <c r="H641" t="n">
        <v>0</v>
      </c>
      <c r="I641" t="n">
        <v>0</v>
      </c>
      <c r="J641" t="n">
        <v>0</v>
      </c>
      <c r="K641" t="n">
        <v>0</v>
      </c>
      <c r="L641" t="n">
        <v>0</v>
      </c>
      <c r="M641" t="n">
        <v>0</v>
      </c>
      <c r="N641" t="n">
        <v>0</v>
      </c>
      <c r="O641" t="n">
        <v>0</v>
      </c>
      <c r="P641" t="n">
        <v>0</v>
      </c>
      <c r="Q641" t="n">
        <v>0</v>
      </c>
      <c r="R641" s="2" t="inlineStr"/>
    </row>
    <row r="642" ht="15" customHeight="1">
      <c r="A642" t="inlineStr">
        <is>
          <t>A 5643-2025</t>
        </is>
      </c>
      <c r="B642" s="1" t="n">
        <v>45693</v>
      </c>
      <c r="C642" s="1" t="n">
        <v>46136</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11516-2024</t>
        </is>
      </c>
      <c r="B643" s="1" t="n">
        <v>45372</v>
      </c>
      <c r="C643" s="1" t="n">
        <v>46136</v>
      </c>
      <c r="D643" t="inlineStr">
        <is>
          <t>ÖREBRO LÄN</t>
        </is>
      </c>
      <c r="E643" t="inlineStr">
        <is>
          <t>ÖREBRO</t>
        </is>
      </c>
      <c r="G643" t="n">
        <v>10.7</v>
      </c>
      <c r="H643" t="n">
        <v>0</v>
      </c>
      <c r="I643" t="n">
        <v>0</v>
      </c>
      <c r="J643" t="n">
        <v>0</v>
      </c>
      <c r="K643" t="n">
        <v>0</v>
      </c>
      <c r="L643" t="n">
        <v>0</v>
      </c>
      <c r="M643" t="n">
        <v>0</v>
      </c>
      <c r="N643" t="n">
        <v>0</v>
      </c>
      <c r="O643" t="n">
        <v>0</v>
      </c>
      <c r="P643" t="n">
        <v>0</v>
      </c>
      <c r="Q643" t="n">
        <v>0</v>
      </c>
      <c r="R643" s="2" t="inlineStr"/>
    </row>
    <row r="644">
      <c r="A644" t="inlineStr">
        <is>
          <t>A 5342-2024</t>
        </is>
      </c>
      <c r="B644" s="1" t="n">
        <v>45331.44145833333</v>
      </c>
      <c r="C644" s="1" t="n">
        <v>46136</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2026-04-24T10:50:44Z</dcterms:created>
  <dcterms:modified xmlns:dcterms="http://purl.org/dc/terms/" xmlns:xsi="http://www.w3.org/2001/XMLSchema-instance" xsi:type="dcterms:W3CDTF">2026-04-24T10:50:44Z</dcterms:modified>
</cp:coreProperties>
</file>