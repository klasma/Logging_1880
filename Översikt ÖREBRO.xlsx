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45883</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45883</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45883</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45883</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45883</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45883</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45883</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45883</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45883</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45883</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45883</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45883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45883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45883</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45883</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45883</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12974-2022</t>
        </is>
      </c>
      <c r="B19" s="1" t="n">
        <v>44643.38490740741</v>
      </c>
      <c r="C19" s="1" t="n">
        <v>45883</v>
      </c>
      <c r="D19" t="inlineStr">
        <is>
          <t>ÖREBRO LÄN</t>
        </is>
      </c>
      <c r="E19" t="inlineStr">
        <is>
          <t>ÖREBRO</t>
        </is>
      </c>
      <c r="G19" t="n">
        <v>3.3</v>
      </c>
      <c r="H19" t="n">
        <v>3</v>
      </c>
      <c r="I19" t="n">
        <v>0</v>
      </c>
      <c r="J19" t="n">
        <v>2</v>
      </c>
      <c r="K19" t="n">
        <v>0</v>
      </c>
      <c r="L19" t="n">
        <v>0</v>
      </c>
      <c r="M19" t="n">
        <v>0</v>
      </c>
      <c r="N19" t="n">
        <v>0</v>
      </c>
      <c r="O19" t="n">
        <v>2</v>
      </c>
      <c r="P19" t="n">
        <v>0</v>
      </c>
      <c r="Q19" t="n">
        <v>3</v>
      </c>
      <c r="R19" s="2" t="inlineStr">
        <is>
          <t>Duvhök
Grönsångare
Kungsfågel</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17074-2024</t>
        </is>
      </c>
      <c r="B20" s="1" t="n">
        <v>45412</v>
      </c>
      <c r="C20" s="1" t="n">
        <v>45883</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45883</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35098-2025</t>
        </is>
      </c>
      <c r="B22" s="1" t="n">
        <v>45852.5469212963</v>
      </c>
      <c r="C22" s="1" t="n">
        <v>45883</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45883</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45883</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45883</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45883</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45883</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45883</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45883</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45883</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13395-2024</t>
        </is>
      </c>
      <c r="B31" s="1" t="n">
        <v>45387.42296296296</v>
      </c>
      <c r="C31" s="1" t="n">
        <v>45883</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52400-2024</t>
        </is>
      </c>
      <c r="B32" s="1" t="n">
        <v>45609.44461805555</v>
      </c>
      <c r="C32" s="1" t="n">
        <v>45883</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14956-2025</t>
        </is>
      </c>
      <c r="B33" s="1" t="n">
        <v>45743.58409722222</v>
      </c>
      <c r="C33" s="1" t="n">
        <v>45883</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45883</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30409-2025</t>
        </is>
      </c>
      <c r="B35" s="1" t="n">
        <v>45827.59738425926</v>
      </c>
      <c r="C35" s="1" t="n">
        <v>45883</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37019-2024</t>
        </is>
      </c>
      <c r="B36" s="1" t="n">
        <v>45539.37905092593</v>
      </c>
      <c r="C36" s="1" t="n">
        <v>45883</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45883</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45883</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6926-2021</t>
        </is>
      </c>
      <c r="B39" s="1" t="n">
        <v>44237</v>
      </c>
      <c r="C39" s="1" t="n">
        <v>45883</v>
      </c>
      <c r="D39" t="inlineStr">
        <is>
          <t>ÖREBRO LÄN</t>
        </is>
      </c>
      <c r="E39" t="inlineStr">
        <is>
          <t>ÖREBRO</t>
        </is>
      </c>
      <c r="G39" t="n">
        <v>0.9</v>
      </c>
      <c r="H39" t="n">
        <v>1</v>
      </c>
      <c r="I39" t="n">
        <v>1</v>
      </c>
      <c r="J39" t="n">
        <v>0</v>
      </c>
      <c r="K39" t="n">
        <v>0</v>
      </c>
      <c r="L39" t="n">
        <v>0</v>
      </c>
      <c r="M39" t="n">
        <v>0</v>
      </c>
      <c r="N39" t="n">
        <v>0</v>
      </c>
      <c r="O39" t="n">
        <v>0</v>
      </c>
      <c r="P39" t="n">
        <v>0</v>
      </c>
      <c r="Q39" t="n">
        <v>1</v>
      </c>
      <c r="R39" s="2" t="inlineStr">
        <is>
          <t>Skogsknipprot</t>
        </is>
      </c>
      <c r="S39">
        <f>HYPERLINK("https://klasma.github.io/Logging_1880/artfynd/A 6926-2021 artfynd.xlsx", "A 6926-2021")</f>
        <v/>
      </c>
      <c r="T39">
        <f>HYPERLINK("https://klasma.github.io/Logging_1880/kartor/A 6926-2021 karta.png", "A 6926-2021")</f>
        <v/>
      </c>
      <c r="V39">
        <f>HYPERLINK("https://klasma.github.io/Logging_1880/klagomål/A 6926-2021 FSC-klagomål.docx", "A 6926-2021")</f>
        <v/>
      </c>
      <c r="W39">
        <f>HYPERLINK("https://klasma.github.io/Logging_1880/klagomålsmail/A 6926-2021 FSC-klagomål mail.docx", "A 6926-2021")</f>
        <v/>
      </c>
      <c r="X39">
        <f>HYPERLINK("https://klasma.github.io/Logging_1880/tillsyn/A 6926-2021 tillsynsbegäran.docx", "A 6926-2021")</f>
        <v/>
      </c>
      <c r="Y39">
        <f>HYPERLINK("https://klasma.github.io/Logging_1880/tillsynsmail/A 6926-2021 tillsynsbegäran mail.docx", "A 6926-2021")</f>
        <v/>
      </c>
    </row>
    <row r="40" ht="15" customHeight="1">
      <c r="A40" t="inlineStr">
        <is>
          <t>A 4943-2022</t>
        </is>
      </c>
      <c r="B40" s="1" t="n">
        <v>44593</v>
      </c>
      <c r="C40" s="1" t="n">
        <v>45883</v>
      </c>
      <c r="D40" t="inlineStr">
        <is>
          <t>ÖREBRO LÄN</t>
        </is>
      </c>
      <c r="E40" t="inlineStr">
        <is>
          <t>ÖREBRO</t>
        </is>
      </c>
      <c r="G40" t="n">
        <v>1.1</v>
      </c>
      <c r="H40" t="n">
        <v>0</v>
      </c>
      <c r="I40" t="n">
        <v>0</v>
      </c>
      <c r="J40" t="n">
        <v>1</v>
      </c>
      <c r="K40" t="n">
        <v>0</v>
      </c>
      <c r="L40" t="n">
        <v>0</v>
      </c>
      <c r="M40" t="n">
        <v>0</v>
      </c>
      <c r="N40" t="n">
        <v>0</v>
      </c>
      <c r="O40" t="n">
        <v>1</v>
      </c>
      <c r="P40" t="n">
        <v>0</v>
      </c>
      <c r="Q40" t="n">
        <v>1</v>
      </c>
      <c r="R40" s="2" t="inlineStr">
        <is>
          <t>Skinntagging</t>
        </is>
      </c>
      <c r="S40">
        <f>HYPERLINK("https://klasma.github.io/Logging_1880/artfynd/A 4943-2022 artfynd.xlsx", "A 4943-2022")</f>
        <v/>
      </c>
      <c r="T40">
        <f>HYPERLINK("https://klasma.github.io/Logging_1880/kartor/A 4943-2022 karta.png", "A 4943-2022")</f>
        <v/>
      </c>
      <c r="V40">
        <f>HYPERLINK("https://klasma.github.io/Logging_1880/klagomål/A 4943-2022 FSC-klagomål.docx", "A 4943-2022")</f>
        <v/>
      </c>
      <c r="W40">
        <f>HYPERLINK("https://klasma.github.io/Logging_1880/klagomålsmail/A 4943-2022 FSC-klagomål mail.docx", "A 4943-2022")</f>
        <v/>
      </c>
      <c r="X40">
        <f>HYPERLINK("https://klasma.github.io/Logging_1880/tillsyn/A 4943-2022 tillsynsbegäran.docx", "A 4943-2022")</f>
        <v/>
      </c>
      <c r="Y40">
        <f>HYPERLINK("https://klasma.github.io/Logging_1880/tillsynsmail/A 4943-2022 tillsynsbegäran mail.docx", "A 4943-2022")</f>
        <v/>
      </c>
    </row>
    <row r="41" ht="15" customHeight="1">
      <c r="A41" t="inlineStr">
        <is>
          <t>A 20032-2023</t>
        </is>
      </c>
      <c r="B41" s="1" t="n">
        <v>45054</v>
      </c>
      <c r="C41" s="1" t="n">
        <v>45883</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45883</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31695-2024</t>
        </is>
      </c>
      <c r="B43" s="1" t="n">
        <v>45508</v>
      </c>
      <c r="C43" s="1" t="n">
        <v>45883</v>
      </c>
      <c r="D43" t="inlineStr">
        <is>
          <t>ÖREBRO LÄN</t>
        </is>
      </c>
      <c r="E43" t="inlineStr">
        <is>
          <t>ÖREBRO</t>
        </is>
      </c>
      <c r="G43" t="n">
        <v>1.3</v>
      </c>
      <c r="H43" t="n">
        <v>1</v>
      </c>
      <c r="I43" t="n">
        <v>1</v>
      </c>
      <c r="J43" t="n">
        <v>0</v>
      </c>
      <c r="K43" t="n">
        <v>0</v>
      </c>
      <c r="L43" t="n">
        <v>0</v>
      </c>
      <c r="M43" t="n">
        <v>0</v>
      </c>
      <c r="N43" t="n">
        <v>0</v>
      </c>
      <c r="O43" t="n">
        <v>0</v>
      </c>
      <c r="P43" t="n">
        <v>0</v>
      </c>
      <c r="Q43" t="n">
        <v>1</v>
      </c>
      <c r="R43" s="2" t="inlineStr">
        <is>
          <t>Skogsknipprot</t>
        </is>
      </c>
      <c r="S43">
        <f>HYPERLINK("https://klasma.github.io/Logging_1880/artfynd/A 31695-2024 artfynd.xlsx", "A 31695-2024")</f>
        <v/>
      </c>
      <c r="T43">
        <f>HYPERLINK("https://klasma.github.io/Logging_1880/kartor/A 31695-2024 karta.png", "A 31695-2024")</f>
        <v/>
      </c>
      <c r="V43">
        <f>HYPERLINK("https://klasma.github.io/Logging_1880/klagomål/A 31695-2024 FSC-klagomål.docx", "A 31695-2024")</f>
        <v/>
      </c>
      <c r="W43">
        <f>HYPERLINK("https://klasma.github.io/Logging_1880/klagomålsmail/A 31695-2024 FSC-klagomål mail.docx", "A 31695-2024")</f>
        <v/>
      </c>
      <c r="X43">
        <f>HYPERLINK("https://klasma.github.io/Logging_1880/tillsyn/A 31695-2024 tillsynsbegäran.docx", "A 31695-2024")</f>
        <v/>
      </c>
      <c r="Y43">
        <f>HYPERLINK("https://klasma.github.io/Logging_1880/tillsynsmail/A 31695-2024 tillsynsbegäran mail.docx", "A 31695-2024")</f>
        <v/>
      </c>
    </row>
    <row r="44" ht="15" customHeight="1">
      <c r="A44" t="inlineStr">
        <is>
          <t>A 44744-2024</t>
        </is>
      </c>
      <c r="B44" s="1" t="n">
        <v>45574.59789351852</v>
      </c>
      <c r="C44" s="1" t="n">
        <v>45883</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22604-2024</t>
        </is>
      </c>
      <c r="B45" s="1" t="n">
        <v>45447</v>
      </c>
      <c r="C45" s="1" t="n">
        <v>45883</v>
      </c>
      <c r="D45" t="inlineStr">
        <is>
          <t>ÖREBRO LÄN</t>
        </is>
      </c>
      <c r="E45" t="inlineStr">
        <is>
          <t>ÖREBRO</t>
        </is>
      </c>
      <c r="G45" t="n">
        <v>4.4</v>
      </c>
      <c r="H45" t="n">
        <v>0</v>
      </c>
      <c r="I45" t="n">
        <v>0</v>
      </c>
      <c r="J45" t="n">
        <v>1</v>
      </c>
      <c r="K45" t="n">
        <v>0</v>
      </c>
      <c r="L45" t="n">
        <v>0</v>
      </c>
      <c r="M45" t="n">
        <v>0</v>
      </c>
      <c r="N45" t="n">
        <v>0</v>
      </c>
      <c r="O45" t="n">
        <v>1</v>
      </c>
      <c r="P45" t="n">
        <v>0</v>
      </c>
      <c r="Q45" t="n">
        <v>1</v>
      </c>
      <c r="R45" s="2" t="inlineStr">
        <is>
          <t>Månlåsbräken</t>
        </is>
      </c>
      <c r="S45">
        <f>HYPERLINK("https://klasma.github.io/Logging_1880/artfynd/A 22604-2024 artfynd.xlsx", "A 22604-2024")</f>
        <v/>
      </c>
      <c r="T45">
        <f>HYPERLINK("https://klasma.github.io/Logging_1880/kartor/A 22604-2024 karta.png", "A 22604-2024")</f>
        <v/>
      </c>
      <c r="V45">
        <f>HYPERLINK("https://klasma.github.io/Logging_1880/klagomål/A 22604-2024 FSC-klagomål.docx", "A 22604-2024")</f>
        <v/>
      </c>
      <c r="W45">
        <f>HYPERLINK("https://klasma.github.io/Logging_1880/klagomålsmail/A 22604-2024 FSC-klagomål mail.docx", "A 22604-2024")</f>
        <v/>
      </c>
      <c r="X45">
        <f>HYPERLINK("https://klasma.github.io/Logging_1880/tillsyn/A 22604-2024 tillsynsbegäran.docx", "A 22604-2024")</f>
        <v/>
      </c>
      <c r="Y45">
        <f>HYPERLINK("https://klasma.github.io/Logging_1880/tillsynsmail/A 22604-2024 tillsynsbegäran mail.docx", "A 22604-2024")</f>
        <v/>
      </c>
    </row>
    <row r="46" ht="15" customHeight="1">
      <c r="A46" t="inlineStr">
        <is>
          <t>A 11501-2025</t>
        </is>
      </c>
      <c r="B46" s="1" t="n">
        <v>45726</v>
      </c>
      <c r="C46" s="1" t="n">
        <v>45883</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58966-2020</t>
        </is>
      </c>
      <c r="B47" s="1" t="n">
        <v>44146</v>
      </c>
      <c r="C47" s="1" t="n">
        <v>45883</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30725-2023</t>
        </is>
      </c>
      <c r="B48" s="1" t="n">
        <v>45112.61451388889</v>
      </c>
      <c r="C48" s="1" t="n">
        <v>45883</v>
      </c>
      <c r="D48" t="inlineStr">
        <is>
          <t>ÖREBRO LÄN</t>
        </is>
      </c>
      <c r="E48" t="inlineStr">
        <is>
          <t>ÖREBRO</t>
        </is>
      </c>
      <c r="G48" t="n">
        <v>1.8</v>
      </c>
      <c r="H48" t="n">
        <v>1</v>
      </c>
      <c r="I48" t="n">
        <v>0</v>
      </c>
      <c r="J48" t="n">
        <v>1</v>
      </c>
      <c r="K48" t="n">
        <v>0</v>
      </c>
      <c r="L48" t="n">
        <v>0</v>
      </c>
      <c r="M48" t="n">
        <v>0</v>
      </c>
      <c r="N48" t="n">
        <v>0</v>
      </c>
      <c r="O48" t="n">
        <v>1</v>
      </c>
      <c r="P48" t="n">
        <v>0</v>
      </c>
      <c r="Q48" t="n">
        <v>1</v>
      </c>
      <c r="R48" s="2" t="inlineStr">
        <is>
          <t>Gulsparv</t>
        </is>
      </c>
      <c r="S48">
        <f>HYPERLINK("https://klasma.github.io/Logging_1880/artfynd/A 30725-2023 artfynd.xlsx", "A 30725-2023")</f>
        <v/>
      </c>
      <c r="T48">
        <f>HYPERLINK("https://klasma.github.io/Logging_1880/kartor/A 30725-2023 karta.png", "A 30725-2023")</f>
        <v/>
      </c>
      <c r="V48">
        <f>HYPERLINK("https://klasma.github.io/Logging_1880/klagomål/A 30725-2023 FSC-klagomål.docx", "A 30725-2023")</f>
        <v/>
      </c>
      <c r="W48">
        <f>HYPERLINK("https://klasma.github.io/Logging_1880/klagomålsmail/A 30725-2023 FSC-klagomål mail.docx", "A 30725-2023")</f>
        <v/>
      </c>
      <c r="X48">
        <f>HYPERLINK("https://klasma.github.io/Logging_1880/tillsyn/A 30725-2023 tillsynsbegäran.docx", "A 30725-2023")</f>
        <v/>
      </c>
      <c r="Y48">
        <f>HYPERLINK("https://klasma.github.io/Logging_1880/tillsynsmail/A 30725-2023 tillsynsbegäran mail.docx", "A 30725-2023")</f>
        <v/>
      </c>
      <c r="Z48">
        <f>HYPERLINK("https://klasma.github.io/Logging_1880/fåglar/A 30725-2023 prioriterade fågelarter.docx", "A 30725-2023")</f>
        <v/>
      </c>
    </row>
    <row r="49" ht="15" customHeight="1">
      <c r="A49" t="inlineStr">
        <is>
          <t>A 5097-2023</t>
        </is>
      </c>
      <c r="B49" s="1" t="n">
        <v>44958</v>
      </c>
      <c r="C49" s="1" t="n">
        <v>45883</v>
      </c>
      <c r="D49" t="inlineStr">
        <is>
          <t>ÖREBRO LÄN</t>
        </is>
      </c>
      <c r="E49" t="inlineStr">
        <is>
          <t>ÖREBRO</t>
        </is>
      </c>
      <c r="G49" t="n">
        <v>3.6</v>
      </c>
      <c r="H49" t="n">
        <v>1</v>
      </c>
      <c r="I49" t="n">
        <v>0</v>
      </c>
      <c r="J49" t="n">
        <v>0</v>
      </c>
      <c r="K49" t="n">
        <v>0</v>
      </c>
      <c r="L49" t="n">
        <v>0</v>
      </c>
      <c r="M49" t="n">
        <v>0</v>
      </c>
      <c r="N49" t="n">
        <v>0</v>
      </c>
      <c r="O49" t="n">
        <v>0</v>
      </c>
      <c r="P49" t="n">
        <v>0</v>
      </c>
      <c r="Q49" t="n">
        <v>1</v>
      </c>
      <c r="R49" s="2" t="inlineStr">
        <is>
          <t>Grönvit nattviol</t>
        </is>
      </c>
      <c r="S49">
        <f>HYPERLINK("https://klasma.github.io/Logging_1880/artfynd/A 5097-2023 artfynd.xlsx", "A 5097-2023")</f>
        <v/>
      </c>
      <c r="T49">
        <f>HYPERLINK("https://klasma.github.io/Logging_1880/kartor/A 5097-2023 karta.png", "A 5097-2023")</f>
        <v/>
      </c>
      <c r="V49">
        <f>HYPERLINK("https://klasma.github.io/Logging_1880/klagomål/A 5097-2023 FSC-klagomål.docx", "A 5097-2023")</f>
        <v/>
      </c>
      <c r="W49">
        <f>HYPERLINK("https://klasma.github.io/Logging_1880/klagomålsmail/A 5097-2023 FSC-klagomål mail.docx", "A 5097-2023")</f>
        <v/>
      </c>
      <c r="X49">
        <f>HYPERLINK("https://klasma.github.io/Logging_1880/tillsyn/A 5097-2023 tillsynsbegäran.docx", "A 5097-2023")</f>
        <v/>
      </c>
      <c r="Y49">
        <f>HYPERLINK("https://klasma.github.io/Logging_1880/tillsynsmail/A 5097-2023 tillsynsbegäran mail.docx", "A 5097-2023")</f>
        <v/>
      </c>
    </row>
    <row r="50" ht="15" customHeight="1">
      <c r="A50" t="inlineStr">
        <is>
          <t>A 4014-2021</t>
        </is>
      </c>
      <c r="B50" s="1" t="n">
        <v>44218</v>
      </c>
      <c r="C50" s="1" t="n">
        <v>45883</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20247-2023</t>
        </is>
      </c>
      <c r="B51" s="1" t="n">
        <v>45055</v>
      </c>
      <c r="C51" s="1" t="n">
        <v>45883</v>
      </c>
      <c r="D51" t="inlineStr">
        <is>
          <t>ÖREBRO LÄN</t>
        </is>
      </c>
      <c r="E51" t="inlineStr">
        <is>
          <t>ÖREBRO</t>
        </is>
      </c>
      <c r="G51" t="n">
        <v>3</v>
      </c>
      <c r="H51" t="n">
        <v>1</v>
      </c>
      <c r="I51" t="n">
        <v>0</v>
      </c>
      <c r="J51" t="n">
        <v>0</v>
      </c>
      <c r="K51" t="n">
        <v>0</v>
      </c>
      <c r="L51" t="n">
        <v>0</v>
      </c>
      <c r="M51" t="n">
        <v>0</v>
      </c>
      <c r="N51" t="n">
        <v>0</v>
      </c>
      <c r="O51" t="n">
        <v>0</v>
      </c>
      <c r="P51" t="n">
        <v>0</v>
      </c>
      <c r="Q51" t="n">
        <v>1</v>
      </c>
      <c r="R51" s="2" t="inlineStr">
        <is>
          <t>Större vattensalamander</t>
        </is>
      </c>
      <c r="S51">
        <f>HYPERLINK("https://klasma.github.io/Logging_1880/artfynd/A 20247-2023 artfynd.xlsx", "A 20247-2023")</f>
        <v/>
      </c>
      <c r="T51">
        <f>HYPERLINK("https://klasma.github.io/Logging_1880/kartor/A 20247-2023 karta.png", "A 20247-2023")</f>
        <v/>
      </c>
      <c r="V51">
        <f>HYPERLINK("https://klasma.github.io/Logging_1880/klagomål/A 20247-2023 FSC-klagomål.docx", "A 20247-2023")</f>
        <v/>
      </c>
      <c r="W51">
        <f>HYPERLINK("https://klasma.github.io/Logging_1880/klagomålsmail/A 20247-2023 FSC-klagomål mail.docx", "A 20247-2023")</f>
        <v/>
      </c>
      <c r="X51">
        <f>HYPERLINK("https://klasma.github.io/Logging_1880/tillsyn/A 20247-2023 tillsynsbegäran.docx", "A 20247-2023")</f>
        <v/>
      </c>
      <c r="Y51">
        <f>HYPERLINK("https://klasma.github.io/Logging_1880/tillsynsmail/A 20247-2023 tillsynsbegäran mail.docx", "A 20247-2023")</f>
        <v/>
      </c>
    </row>
    <row r="52" ht="15" customHeight="1">
      <c r="A52" t="inlineStr">
        <is>
          <t>A 55904-2024</t>
        </is>
      </c>
      <c r="B52" s="1" t="n">
        <v>45623.58190972222</v>
      </c>
      <c r="C52" s="1" t="n">
        <v>45883</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32105-2023</t>
        </is>
      </c>
      <c r="B53" s="1" t="n">
        <v>45119</v>
      </c>
      <c r="C53" s="1" t="n">
        <v>45883</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23998-2025</t>
        </is>
      </c>
      <c r="B54" s="1" t="n">
        <v>45796.42209490741</v>
      </c>
      <c r="C54" s="1" t="n">
        <v>45883</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45883</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26890-2022</t>
        </is>
      </c>
      <c r="B56" s="1" t="n">
        <v>44740</v>
      </c>
      <c r="C56" s="1" t="n">
        <v>45883</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28936-2025</t>
        </is>
      </c>
      <c r="B57" s="1" t="n">
        <v>45820.69287037037</v>
      </c>
      <c r="C57" s="1" t="n">
        <v>45883</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57920-2024</t>
        </is>
      </c>
      <c r="B58" s="1" t="n">
        <v>45631.50894675926</v>
      </c>
      <c r="C58" s="1" t="n">
        <v>45883</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32226-2025</t>
        </is>
      </c>
      <c r="B59" s="1" t="n">
        <v>45835.59478009259</v>
      </c>
      <c r="C59" s="1" t="n">
        <v>45883</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45883</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2077-2023</t>
        </is>
      </c>
      <c r="B61" s="1" t="n">
        <v>44939</v>
      </c>
      <c r="C61" s="1" t="n">
        <v>45883</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45883</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9406-2021</t>
        </is>
      </c>
      <c r="B63" s="1" t="n">
        <v>44251</v>
      </c>
      <c r="C63" s="1" t="n">
        <v>45883</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42957-2020</t>
        </is>
      </c>
      <c r="B64" s="1" t="n">
        <v>44078</v>
      </c>
      <c r="C64" s="1" t="n">
        <v>45883</v>
      </c>
      <c r="D64" t="inlineStr">
        <is>
          <t>ÖREBRO LÄN</t>
        </is>
      </c>
      <c r="E64" t="inlineStr">
        <is>
          <t>ÖREBRO</t>
        </is>
      </c>
      <c r="G64" t="n">
        <v>1.4</v>
      </c>
      <c r="H64" t="n">
        <v>0</v>
      </c>
      <c r="I64" t="n">
        <v>0</v>
      </c>
      <c r="J64" t="n">
        <v>0</v>
      </c>
      <c r="K64" t="n">
        <v>0</v>
      </c>
      <c r="L64" t="n">
        <v>0</v>
      </c>
      <c r="M64" t="n">
        <v>0</v>
      </c>
      <c r="N64" t="n">
        <v>0</v>
      </c>
      <c r="O64" t="n">
        <v>0</v>
      </c>
      <c r="P64" t="n">
        <v>0</v>
      </c>
      <c r="Q64" t="n">
        <v>0</v>
      </c>
      <c r="R64" s="2" t="inlineStr"/>
    </row>
    <row r="65" ht="15" customHeight="1">
      <c r="A65" t="inlineStr">
        <is>
          <t>A 40356-2020</t>
        </is>
      </c>
      <c r="B65" s="1" t="n">
        <v>44067</v>
      </c>
      <c r="C65" s="1" t="n">
        <v>45883</v>
      </c>
      <c r="D65" t="inlineStr">
        <is>
          <t>ÖREBRO LÄN</t>
        </is>
      </c>
      <c r="E65" t="inlineStr">
        <is>
          <t>ÖREBRO</t>
        </is>
      </c>
      <c r="G65" t="n">
        <v>0.8</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45883</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45883</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54288-2020</t>
        </is>
      </c>
      <c r="B68" s="1" t="n">
        <v>44124</v>
      </c>
      <c r="C68" s="1" t="n">
        <v>45883</v>
      </c>
      <c r="D68" t="inlineStr">
        <is>
          <t>ÖREBRO LÄN</t>
        </is>
      </c>
      <c r="E68" t="inlineStr">
        <is>
          <t>ÖREBRO</t>
        </is>
      </c>
      <c r="G68" t="n">
        <v>0.5</v>
      </c>
      <c r="H68" t="n">
        <v>0</v>
      </c>
      <c r="I68" t="n">
        <v>0</v>
      </c>
      <c r="J68" t="n">
        <v>0</v>
      </c>
      <c r="K68" t="n">
        <v>0</v>
      </c>
      <c r="L68" t="n">
        <v>0</v>
      </c>
      <c r="M68" t="n">
        <v>0</v>
      </c>
      <c r="N68" t="n">
        <v>0</v>
      </c>
      <c r="O68" t="n">
        <v>0</v>
      </c>
      <c r="P68" t="n">
        <v>0</v>
      </c>
      <c r="Q68" t="n">
        <v>0</v>
      </c>
      <c r="R68" s="2" t="inlineStr"/>
    </row>
    <row r="69" ht="15" customHeight="1">
      <c r="A69" t="inlineStr">
        <is>
          <t>A 54526-2020</t>
        </is>
      </c>
      <c r="B69" s="1" t="n">
        <v>44125</v>
      </c>
      <c r="C69" s="1" t="n">
        <v>45883</v>
      </c>
      <c r="D69" t="inlineStr">
        <is>
          <t>ÖREBRO LÄN</t>
        </is>
      </c>
      <c r="E69" t="inlineStr">
        <is>
          <t>ÖREBRO</t>
        </is>
      </c>
      <c r="G69" t="n">
        <v>1</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45883</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45883</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45883</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45883</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45883</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45883</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45883</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45883</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45883</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45883</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45883</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45883</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45883</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45883</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45883</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45883</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45883</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45883</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45883</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45883</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45883</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45883</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45883</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45883</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45883</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40652-2020</t>
        </is>
      </c>
      <c r="B95" s="1" t="n">
        <v>44069</v>
      </c>
      <c r="C95" s="1" t="n">
        <v>45883</v>
      </c>
      <c r="D95" t="inlineStr">
        <is>
          <t>ÖREBRO LÄN</t>
        </is>
      </c>
      <c r="E95" t="inlineStr">
        <is>
          <t>ÖREBRO</t>
        </is>
      </c>
      <c r="F95" t="inlineStr">
        <is>
          <t>Övriga Aktiebolag</t>
        </is>
      </c>
      <c r="G95" t="n">
        <v>8.4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45883</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45883</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45883</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14877-2022</t>
        </is>
      </c>
      <c r="B99" s="1" t="n">
        <v>44656</v>
      </c>
      <c r="C99" s="1" t="n">
        <v>45883</v>
      </c>
      <c r="D99" t="inlineStr">
        <is>
          <t>ÖREBRO LÄN</t>
        </is>
      </c>
      <c r="E99" t="inlineStr">
        <is>
          <t>ÖREBRO</t>
        </is>
      </c>
      <c r="G99" t="n">
        <v>3.8</v>
      </c>
      <c r="H99" t="n">
        <v>0</v>
      </c>
      <c r="I99" t="n">
        <v>0</v>
      </c>
      <c r="J99" t="n">
        <v>0</v>
      </c>
      <c r="K99" t="n">
        <v>0</v>
      </c>
      <c r="L99" t="n">
        <v>0</v>
      </c>
      <c r="M99" t="n">
        <v>0</v>
      </c>
      <c r="N99" t="n">
        <v>0</v>
      </c>
      <c r="O99" t="n">
        <v>0</v>
      </c>
      <c r="P99" t="n">
        <v>0</v>
      </c>
      <c r="Q99" t="n">
        <v>0</v>
      </c>
      <c r="R99" s="2" t="inlineStr"/>
    </row>
    <row r="100" ht="15" customHeight="1">
      <c r="A100" t="inlineStr">
        <is>
          <t>A 14878-2022</t>
        </is>
      </c>
      <c r="B100" s="1" t="n">
        <v>44656</v>
      </c>
      <c r="C100" s="1" t="n">
        <v>45883</v>
      </c>
      <c r="D100" t="inlineStr">
        <is>
          <t>ÖREBRO LÄN</t>
        </is>
      </c>
      <c r="E100" t="inlineStr">
        <is>
          <t>ÖREBRO</t>
        </is>
      </c>
      <c r="G100" t="n">
        <v>5.4</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45883</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45883</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45883</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45883</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45883</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45883</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45883</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45883</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45883</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45883</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45883</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45883</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45883</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45883</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45883</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45883</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45883</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45883</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45883</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45883</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45883</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45883</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45883</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45883</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45883</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45883</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45883</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45883</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45883</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69613-2020</t>
        </is>
      </c>
      <c r="B130" s="1" t="n">
        <v>44195</v>
      </c>
      <c r="C130" s="1" t="n">
        <v>45883</v>
      </c>
      <c r="D130" t="inlineStr">
        <is>
          <t>ÖREBRO LÄN</t>
        </is>
      </c>
      <c r="E130" t="inlineStr">
        <is>
          <t>ÖREBRO</t>
        </is>
      </c>
      <c r="G130" t="n">
        <v>4.7</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45883</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45883</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41553-2022</t>
        </is>
      </c>
      <c r="B133" s="1" t="n">
        <v>44827.3940625</v>
      </c>
      <c r="C133" s="1" t="n">
        <v>45883</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14562-2022</t>
        </is>
      </c>
      <c r="B134" s="1" t="n">
        <v>44655</v>
      </c>
      <c r="C134" s="1" t="n">
        <v>45883</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45883</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45883</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45883</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44146-2021</t>
        </is>
      </c>
      <c r="B138" s="1" t="n">
        <v>44434</v>
      </c>
      <c r="C138" s="1" t="n">
        <v>45883</v>
      </c>
      <c r="D138" t="inlineStr">
        <is>
          <t>ÖREBRO LÄN</t>
        </is>
      </c>
      <c r="E138" t="inlineStr">
        <is>
          <t>ÖREBRO</t>
        </is>
      </c>
      <c r="G138" t="n">
        <v>1.7</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45883</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45883</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45883</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45883</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45883</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21567-2022</t>
        </is>
      </c>
      <c r="B144" s="1" t="n">
        <v>44706</v>
      </c>
      <c r="C144" s="1" t="n">
        <v>45883</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62651-2020</t>
        </is>
      </c>
      <c r="B145" s="1" t="n">
        <v>44161</v>
      </c>
      <c r="C145" s="1" t="n">
        <v>45883</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6638-2022</t>
        </is>
      </c>
      <c r="B146" s="1" t="n">
        <v>44601</v>
      </c>
      <c r="C146" s="1" t="n">
        <v>45883</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57343-2021</t>
        </is>
      </c>
      <c r="B147" s="1" t="n">
        <v>44482</v>
      </c>
      <c r="C147" s="1" t="n">
        <v>45883</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18047-2022</t>
        </is>
      </c>
      <c r="B148" s="1" t="n">
        <v>44684</v>
      </c>
      <c r="C148" s="1" t="n">
        <v>45883</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56138-2020</t>
        </is>
      </c>
      <c r="B149" s="1" t="n">
        <v>44133</v>
      </c>
      <c r="C149" s="1" t="n">
        <v>45883</v>
      </c>
      <c r="D149" t="inlineStr">
        <is>
          <t>ÖREBRO LÄN</t>
        </is>
      </c>
      <c r="E149" t="inlineStr">
        <is>
          <t>ÖREBRO</t>
        </is>
      </c>
      <c r="F149" t="inlineStr">
        <is>
          <t>Allmännings- och besparingsskogar</t>
        </is>
      </c>
      <c r="G149" t="n">
        <v>4.9</v>
      </c>
      <c r="H149" t="n">
        <v>0</v>
      </c>
      <c r="I149" t="n">
        <v>0</v>
      </c>
      <c r="J149" t="n">
        <v>0</v>
      </c>
      <c r="K149" t="n">
        <v>0</v>
      </c>
      <c r="L149" t="n">
        <v>0</v>
      </c>
      <c r="M149" t="n">
        <v>0</v>
      </c>
      <c r="N149" t="n">
        <v>0</v>
      </c>
      <c r="O149" t="n">
        <v>0</v>
      </c>
      <c r="P149" t="n">
        <v>0</v>
      </c>
      <c r="Q149" t="n">
        <v>0</v>
      </c>
      <c r="R149" s="2" t="inlineStr"/>
    </row>
    <row r="150" ht="15" customHeight="1">
      <c r="A150" t="inlineStr">
        <is>
          <t>A 26118-2021</t>
        </is>
      </c>
      <c r="B150" s="1" t="n">
        <v>44345</v>
      </c>
      <c r="C150" s="1" t="n">
        <v>45883</v>
      </c>
      <c r="D150" t="inlineStr">
        <is>
          <t>ÖREBRO LÄN</t>
        </is>
      </c>
      <c r="E150" t="inlineStr">
        <is>
          <t>ÖREBRO</t>
        </is>
      </c>
      <c r="G150" t="n">
        <v>2.2</v>
      </c>
      <c r="H150" t="n">
        <v>0</v>
      </c>
      <c r="I150" t="n">
        <v>0</v>
      </c>
      <c r="J150" t="n">
        <v>0</v>
      </c>
      <c r="K150" t="n">
        <v>0</v>
      </c>
      <c r="L150" t="n">
        <v>0</v>
      </c>
      <c r="M150" t="n">
        <v>0</v>
      </c>
      <c r="N150" t="n">
        <v>0</v>
      </c>
      <c r="O150" t="n">
        <v>0</v>
      </c>
      <c r="P150" t="n">
        <v>0</v>
      </c>
      <c r="Q150" t="n">
        <v>0</v>
      </c>
      <c r="R150" s="2" t="inlineStr"/>
    </row>
    <row r="151" ht="15" customHeight="1">
      <c r="A151" t="inlineStr">
        <is>
          <t>A 26119-2021</t>
        </is>
      </c>
      <c r="B151" s="1" t="n">
        <v>44345.33282407407</v>
      </c>
      <c r="C151" s="1" t="n">
        <v>45883</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46092-2020</t>
        </is>
      </c>
      <c r="B152" s="1" t="n">
        <v>44091</v>
      </c>
      <c r="C152" s="1" t="n">
        <v>45883</v>
      </c>
      <c r="D152" t="inlineStr">
        <is>
          <t>ÖREBRO LÄN</t>
        </is>
      </c>
      <c r="E152" t="inlineStr">
        <is>
          <t>ÖREBRO</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58138-2021</t>
        </is>
      </c>
      <c r="B153" s="1" t="n">
        <v>44487</v>
      </c>
      <c r="C153" s="1" t="n">
        <v>45883</v>
      </c>
      <c r="D153" t="inlineStr">
        <is>
          <t>ÖREBRO LÄN</t>
        </is>
      </c>
      <c r="E153" t="inlineStr">
        <is>
          <t>ÖREBRO</t>
        </is>
      </c>
      <c r="G153" t="n">
        <v>1.2</v>
      </c>
      <c r="H153" t="n">
        <v>0</v>
      </c>
      <c r="I153" t="n">
        <v>0</v>
      </c>
      <c r="J153" t="n">
        <v>0</v>
      </c>
      <c r="K153" t="n">
        <v>0</v>
      </c>
      <c r="L153" t="n">
        <v>0</v>
      </c>
      <c r="M153" t="n">
        <v>0</v>
      </c>
      <c r="N153" t="n">
        <v>0</v>
      </c>
      <c r="O153" t="n">
        <v>0</v>
      </c>
      <c r="P153" t="n">
        <v>0</v>
      </c>
      <c r="Q153" t="n">
        <v>0</v>
      </c>
      <c r="R153" s="2" t="inlineStr"/>
    </row>
    <row r="154" ht="15" customHeight="1">
      <c r="A154" t="inlineStr">
        <is>
          <t>A 39307-2020</t>
        </is>
      </c>
      <c r="B154" s="1" t="n">
        <v>44063</v>
      </c>
      <c r="C154" s="1" t="n">
        <v>45883</v>
      </c>
      <c r="D154" t="inlineStr">
        <is>
          <t>ÖREBRO LÄN</t>
        </is>
      </c>
      <c r="E154" t="inlineStr">
        <is>
          <t>ÖREBRO</t>
        </is>
      </c>
      <c r="G154" t="n">
        <v>3.9</v>
      </c>
      <c r="H154" t="n">
        <v>0</v>
      </c>
      <c r="I154" t="n">
        <v>0</v>
      </c>
      <c r="J154" t="n">
        <v>0</v>
      </c>
      <c r="K154" t="n">
        <v>0</v>
      </c>
      <c r="L154" t="n">
        <v>0</v>
      </c>
      <c r="M154" t="n">
        <v>0</v>
      </c>
      <c r="N154" t="n">
        <v>0</v>
      </c>
      <c r="O154" t="n">
        <v>0</v>
      </c>
      <c r="P154" t="n">
        <v>0</v>
      </c>
      <c r="Q154" t="n">
        <v>0</v>
      </c>
      <c r="R154" s="2" t="inlineStr"/>
    </row>
    <row r="155" ht="15" customHeight="1">
      <c r="A155" t="inlineStr">
        <is>
          <t>A 44514-2020</t>
        </is>
      </c>
      <c r="B155" s="1" t="n">
        <v>44085</v>
      </c>
      <c r="C155" s="1" t="n">
        <v>45883</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45883</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26509-2021</t>
        </is>
      </c>
      <c r="B157" s="1" t="n">
        <v>44348.45107638889</v>
      </c>
      <c r="C157" s="1" t="n">
        <v>45883</v>
      </c>
      <c r="D157" t="inlineStr">
        <is>
          <t>ÖREBRO LÄN</t>
        </is>
      </c>
      <c r="E157" t="inlineStr">
        <is>
          <t>ÖREBRO</t>
        </is>
      </c>
      <c r="G157" t="n">
        <v>2.5</v>
      </c>
      <c r="H157" t="n">
        <v>0</v>
      </c>
      <c r="I157" t="n">
        <v>0</v>
      </c>
      <c r="J157" t="n">
        <v>0</v>
      </c>
      <c r="K157" t="n">
        <v>0</v>
      </c>
      <c r="L157" t="n">
        <v>0</v>
      </c>
      <c r="M157" t="n">
        <v>0</v>
      </c>
      <c r="N157" t="n">
        <v>0</v>
      </c>
      <c r="O157" t="n">
        <v>0</v>
      </c>
      <c r="P157" t="n">
        <v>0</v>
      </c>
      <c r="Q157" t="n">
        <v>0</v>
      </c>
      <c r="R157" s="2" t="inlineStr"/>
    </row>
    <row r="158" ht="15" customHeight="1">
      <c r="A158" t="inlineStr">
        <is>
          <t>A 46607-2020</t>
        </is>
      </c>
      <c r="B158" s="1" t="n">
        <v>44095</v>
      </c>
      <c r="C158" s="1" t="n">
        <v>45883</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4766-2022</t>
        </is>
      </c>
      <c r="B159" s="1" t="n">
        <v>44592</v>
      </c>
      <c r="C159" s="1" t="n">
        <v>45883</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12478-2022</t>
        </is>
      </c>
      <c r="B160" s="1" t="n">
        <v>44638</v>
      </c>
      <c r="C160" s="1" t="n">
        <v>45883</v>
      </c>
      <c r="D160" t="inlineStr">
        <is>
          <t>ÖREBRO LÄN</t>
        </is>
      </c>
      <c r="E160" t="inlineStr">
        <is>
          <t>ÖREBRO</t>
        </is>
      </c>
      <c r="F160" t="inlineStr">
        <is>
          <t>Kyrkan</t>
        </is>
      </c>
      <c r="G160" t="n">
        <v>1.4</v>
      </c>
      <c r="H160" t="n">
        <v>0</v>
      </c>
      <c r="I160" t="n">
        <v>0</v>
      </c>
      <c r="J160" t="n">
        <v>0</v>
      </c>
      <c r="K160" t="n">
        <v>0</v>
      </c>
      <c r="L160" t="n">
        <v>0</v>
      </c>
      <c r="M160" t="n">
        <v>0</v>
      </c>
      <c r="N160" t="n">
        <v>0</v>
      </c>
      <c r="O160" t="n">
        <v>0</v>
      </c>
      <c r="P160" t="n">
        <v>0</v>
      </c>
      <c r="Q160" t="n">
        <v>0</v>
      </c>
      <c r="R160" s="2" t="inlineStr"/>
    </row>
    <row r="161" ht="15" customHeight="1">
      <c r="A161" t="inlineStr">
        <is>
          <t>A 30760-2022</t>
        </is>
      </c>
      <c r="B161" s="1" t="n">
        <v>44764.51827546296</v>
      </c>
      <c r="C161" s="1" t="n">
        <v>45883</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29490-2022</t>
        </is>
      </c>
      <c r="B162" s="1" t="n">
        <v>44753</v>
      </c>
      <c r="C162" s="1" t="n">
        <v>45883</v>
      </c>
      <c r="D162" t="inlineStr">
        <is>
          <t>ÖREBRO LÄN</t>
        </is>
      </c>
      <c r="E162" t="inlineStr">
        <is>
          <t>ÖREBRO</t>
        </is>
      </c>
      <c r="F162" t="inlineStr">
        <is>
          <t>Kommuner</t>
        </is>
      </c>
      <c r="G162" t="n">
        <v>0.3</v>
      </c>
      <c r="H162" t="n">
        <v>0</v>
      </c>
      <c r="I162" t="n">
        <v>0</v>
      </c>
      <c r="J162" t="n">
        <v>0</v>
      </c>
      <c r="K162" t="n">
        <v>0</v>
      </c>
      <c r="L162" t="n">
        <v>0</v>
      </c>
      <c r="M162" t="n">
        <v>0</v>
      </c>
      <c r="N162" t="n">
        <v>0</v>
      </c>
      <c r="O162" t="n">
        <v>0</v>
      </c>
      <c r="P162" t="n">
        <v>0</v>
      </c>
      <c r="Q162" t="n">
        <v>0</v>
      </c>
      <c r="R162" s="2" t="inlineStr"/>
    </row>
    <row r="163" ht="15" customHeight="1">
      <c r="A163" t="inlineStr">
        <is>
          <t>A 5401-2022</t>
        </is>
      </c>
      <c r="B163" s="1" t="n">
        <v>44595</v>
      </c>
      <c r="C163" s="1" t="n">
        <v>45883</v>
      </c>
      <c r="D163" t="inlineStr">
        <is>
          <t>ÖREBRO LÄN</t>
        </is>
      </c>
      <c r="E163" t="inlineStr">
        <is>
          <t>ÖREBRO</t>
        </is>
      </c>
      <c r="G163" t="n">
        <v>2.3</v>
      </c>
      <c r="H163" t="n">
        <v>0</v>
      </c>
      <c r="I163" t="n">
        <v>0</v>
      </c>
      <c r="J163" t="n">
        <v>0</v>
      </c>
      <c r="K163" t="n">
        <v>0</v>
      </c>
      <c r="L163" t="n">
        <v>0</v>
      </c>
      <c r="M163" t="n">
        <v>0</v>
      </c>
      <c r="N163" t="n">
        <v>0</v>
      </c>
      <c r="O163" t="n">
        <v>0</v>
      </c>
      <c r="P163" t="n">
        <v>0</v>
      </c>
      <c r="Q163" t="n">
        <v>0</v>
      </c>
      <c r="R163" s="2" t="inlineStr"/>
    </row>
    <row r="164" ht="15" customHeight="1">
      <c r="A164" t="inlineStr">
        <is>
          <t>A 60311-2020</t>
        </is>
      </c>
      <c r="B164" s="1" t="n">
        <v>44151</v>
      </c>
      <c r="C164" s="1" t="n">
        <v>45883</v>
      </c>
      <c r="D164" t="inlineStr">
        <is>
          <t>ÖREBRO LÄN</t>
        </is>
      </c>
      <c r="E164" t="inlineStr">
        <is>
          <t>ÖREBRO</t>
        </is>
      </c>
      <c r="F164" t="inlineStr">
        <is>
          <t>Kommuner</t>
        </is>
      </c>
      <c r="G164" t="n">
        <v>0.8</v>
      </c>
      <c r="H164" t="n">
        <v>0</v>
      </c>
      <c r="I164" t="n">
        <v>0</v>
      </c>
      <c r="J164" t="n">
        <v>0</v>
      </c>
      <c r="K164" t="n">
        <v>0</v>
      </c>
      <c r="L164" t="n">
        <v>0</v>
      </c>
      <c r="M164" t="n">
        <v>0</v>
      </c>
      <c r="N164" t="n">
        <v>0</v>
      </c>
      <c r="O164" t="n">
        <v>0</v>
      </c>
      <c r="P164" t="n">
        <v>0</v>
      </c>
      <c r="Q164" t="n">
        <v>0</v>
      </c>
      <c r="R164" s="2" t="inlineStr"/>
    </row>
    <row r="165" ht="15" customHeight="1">
      <c r="A165" t="inlineStr">
        <is>
          <t>A 32025-2024</t>
        </is>
      </c>
      <c r="B165" s="1" t="n">
        <v>45510.65754629629</v>
      </c>
      <c r="C165" s="1" t="n">
        <v>45883</v>
      </c>
      <c r="D165" t="inlineStr">
        <is>
          <t>ÖREBRO LÄN</t>
        </is>
      </c>
      <c r="E165" t="inlineStr">
        <is>
          <t>ÖREBRO</t>
        </is>
      </c>
      <c r="G165" t="n">
        <v>4</v>
      </c>
      <c r="H165" t="n">
        <v>0</v>
      </c>
      <c r="I165" t="n">
        <v>0</v>
      </c>
      <c r="J165" t="n">
        <v>0</v>
      </c>
      <c r="K165" t="n">
        <v>0</v>
      </c>
      <c r="L165" t="n">
        <v>0</v>
      </c>
      <c r="M165" t="n">
        <v>0</v>
      </c>
      <c r="N165" t="n">
        <v>0</v>
      </c>
      <c r="O165" t="n">
        <v>0</v>
      </c>
      <c r="P165" t="n">
        <v>0</v>
      </c>
      <c r="Q165" t="n">
        <v>0</v>
      </c>
      <c r="R165" s="2" t="inlineStr"/>
    </row>
    <row r="166" ht="15" customHeight="1">
      <c r="A166" t="inlineStr">
        <is>
          <t>A 37395-2021</t>
        </is>
      </c>
      <c r="B166" s="1" t="n">
        <v>44398</v>
      </c>
      <c r="C166" s="1" t="n">
        <v>45883</v>
      </c>
      <c r="D166" t="inlineStr">
        <is>
          <t>ÖREBRO LÄN</t>
        </is>
      </c>
      <c r="E166" t="inlineStr">
        <is>
          <t>ÖREBRO</t>
        </is>
      </c>
      <c r="G166" t="n">
        <v>3</v>
      </c>
      <c r="H166" t="n">
        <v>0</v>
      </c>
      <c r="I166" t="n">
        <v>0</v>
      </c>
      <c r="J166" t="n">
        <v>0</v>
      </c>
      <c r="K166" t="n">
        <v>0</v>
      </c>
      <c r="L166" t="n">
        <v>0</v>
      </c>
      <c r="M166" t="n">
        <v>0</v>
      </c>
      <c r="N166" t="n">
        <v>0</v>
      </c>
      <c r="O166" t="n">
        <v>0</v>
      </c>
      <c r="P166" t="n">
        <v>0</v>
      </c>
      <c r="Q166" t="n">
        <v>0</v>
      </c>
      <c r="R166" s="2" t="inlineStr"/>
    </row>
    <row r="167" ht="15" customHeight="1">
      <c r="A167" t="inlineStr">
        <is>
          <t>A 66936-2021</t>
        </is>
      </c>
      <c r="B167" s="1" t="n">
        <v>44522.56349537037</v>
      </c>
      <c r="C167" s="1" t="n">
        <v>45883</v>
      </c>
      <c r="D167" t="inlineStr">
        <is>
          <t>ÖREBRO LÄN</t>
        </is>
      </c>
      <c r="E167" t="inlineStr">
        <is>
          <t>ÖREBRO</t>
        </is>
      </c>
      <c r="G167" t="n">
        <v>6.8</v>
      </c>
      <c r="H167" t="n">
        <v>0</v>
      </c>
      <c r="I167" t="n">
        <v>0</v>
      </c>
      <c r="J167" t="n">
        <v>0</v>
      </c>
      <c r="K167" t="n">
        <v>0</v>
      </c>
      <c r="L167" t="n">
        <v>0</v>
      </c>
      <c r="M167" t="n">
        <v>0</v>
      </c>
      <c r="N167" t="n">
        <v>0</v>
      </c>
      <c r="O167" t="n">
        <v>0</v>
      </c>
      <c r="P167" t="n">
        <v>0</v>
      </c>
      <c r="Q167" t="n">
        <v>0</v>
      </c>
      <c r="R167" s="2" t="inlineStr"/>
    </row>
    <row r="168" ht="15" customHeight="1">
      <c r="A168" t="inlineStr">
        <is>
          <t>A 44131-2022</t>
        </is>
      </c>
      <c r="B168" s="1" t="n">
        <v>44839</v>
      </c>
      <c r="C168" s="1" t="n">
        <v>45883</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37277-2022</t>
        </is>
      </c>
      <c r="B169" s="1" t="n">
        <v>44807.49150462963</v>
      </c>
      <c r="C169" s="1" t="n">
        <v>45883</v>
      </c>
      <c r="D169" t="inlineStr">
        <is>
          <t>ÖREBRO LÄN</t>
        </is>
      </c>
      <c r="E169" t="inlineStr">
        <is>
          <t>ÖREBRO</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27956-2023</t>
        </is>
      </c>
      <c r="B170" s="1" t="n">
        <v>45098</v>
      </c>
      <c r="C170" s="1" t="n">
        <v>45883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51331-2023</t>
        </is>
      </c>
      <c r="B171" s="1" t="n">
        <v>45219</v>
      </c>
      <c r="C171" s="1" t="n">
        <v>45883</v>
      </c>
      <c r="D171" t="inlineStr">
        <is>
          <t>ÖREBRO LÄN</t>
        </is>
      </c>
      <c r="E171" t="inlineStr">
        <is>
          <t>ÖREBRO</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18321-2022</t>
        </is>
      </c>
      <c r="B172" s="1" t="n">
        <v>44685</v>
      </c>
      <c r="C172" s="1" t="n">
        <v>45883</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40588-2021</t>
        </is>
      </c>
      <c r="B173" s="1" t="n">
        <v>44420</v>
      </c>
      <c r="C173" s="1" t="n">
        <v>45883</v>
      </c>
      <c r="D173" t="inlineStr">
        <is>
          <t>ÖREBRO LÄN</t>
        </is>
      </c>
      <c r="E173" t="inlineStr">
        <is>
          <t>ÖREBRO</t>
        </is>
      </c>
      <c r="G173" t="n">
        <v>1.1</v>
      </c>
      <c r="H173" t="n">
        <v>0</v>
      </c>
      <c r="I173" t="n">
        <v>0</v>
      </c>
      <c r="J173" t="n">
        <v>0</v>
      </c>
      <c r="K173" t="n">
        <v>0</v>
      </c>
      <c r="L173" t="n">
        <v>0</v>
      </c>
      <c r="M173" t="n">
        <v>0</v>
      </c>
      <c r="N173" t="n">
        <v>0</v>
      </c>
      <c r="O173" t="n">
        <v>0</v>
      </c>
      <c r="P173" t="n">
        <v>0</v>
      </c>
      <c r="Q173" t="n">
        <v>0</v>
      </c>
      <c r="R173" s="2" t="inlineStr"/>
    </row>
    <row r="174" ht="15" customHeight="1">
      <c r="A174" t="inlineStr">
        <is>
          <t>A 39642-2020</t>
        </is>
      </c>
      <c r="B174" s="1" t="n">
        <v>44064</v>
      </c>
      <c r="C174" s="1" t="n">
        <v>45883</v>
      </c>
      <c r="D174" t="inlineStr">
        <is>
          <t>ÖREBRO LÄN</t>
        </is>
      </c>
      <c r="E174" t="inlineStr">
        <is>
          <t>ÖREBRO</t>
        </is>
      </c>
      <c r="G174" t="n">
        <v>6.4</v>
      </c>
      <c r="H174" t="n">
        <v>0</v>
      </c>
      <c r="I174" t="n">
        <v>0</v>
      </c>
      <c r="J174" t="n">
        <v>0</v>
      </c>
      <c r="K174" t="n">
        <v>0</v>
      </c>
      <c r="L174" t="n">
        <v>0</v>
      </c>
      <c r="M174" t="n">
        <v>0</v>
      </c>
      <c r="N174" t="n">
        <v>0</v>
      </c>
      <c r="O174" t="n">
        <v>0</v>
      </c>
      <c r="P174" t="n">
        <v>0</v>
      </c>
      <c r="Q174" t="n">
        <v>0</v>
      </c>
      <c r="R174" s="2" t="inlineStr"/>
    </row>
    <row r="175" ht="15" customHeight="1">
      <c r="A175" t="inlineStr">
        <is>
          <t>A 19978-2025</t>
        </is>
      </c>
      <c r="B175" s="1" t="n">
        <v>45771.7062037037</v>
      </c>
      <c r="C175" s="1" t="n">
        <v>45883</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40231-2022</t>
        </is>
      </c>
      <c r="B176" s="1" t="n">
        <v>44820</v>
      </c>
      <c r="C176" s="1" t="n">
        <v>45883</v>
      </c>
      <c r="D176" t="inlineStr">
        <is>
          <t>ÖREBRO LÄN</t>
        </is>
      </c>
      <c r="E176" t="inlineStr">
        <is>
          <t>ÖREBRO</t>
        </is>
      </c>
      <c r="F176" t="inlineStr">
        <is>
          <t>Allmännings- och besparingsskogar</t>
        </is>
      </c>
      <c r="G176" t="n">
        <v>2.2</v>
      </c>
      <c r="H176" t="n">
        <v>0</v>
      </c>
      <c r="I176" t="n">
        <v>0</v>
      </c>
      <c r="J176" t="n">
        <v>0</v>
      </c>
      <c r="K176" t="n">
        <v>0</v>
      </c>
      <c r="L176" t="n">
        <v>0</v>
      </c>
      <c r="M176" t="n">
        <v>0</v>
      </c>
      <c r="N176" t="n">
        <v>0</v>
      </c>
      <c r="O176" t="n">
        <v>0</v>
      </c>
      <c r="P176" t="n">
        <v>0</v>
      </c>
      <c r="Q176" t="n">
        <v>0</v>
      </c>
      <c r="R176" s="2" t="inlineStr"/>
    </row>
    <row r="177" ht="15" customHeight="1">
      <c r="A177" t="inlineStr">
        <is>
          <t>A 16258-2022</t>
        </is>
      </c>
      <c r="B177" s="1" t="n">
        <v>44670</v>
      </c>
      <c r="C177" s="1" t="n">
        <v>45883</v>
      </c>
      <c r="D177" t="inlineStr">
        <is>
          <t>ÖREBRO LÄN</t>
        </is>
      </c>
      <c r="E177" t="inlineStr">
        <is>
          <t>ÖREBRO</t>
        </is>
      </c>
      <c r="G177" t="n">
        <v>0.6</v>
      </c>
      <c r="H177" t="n">
        <v>0</v>
      </c>
      <c r="I177" t="n">
        <v>0</v>
      </c>
      <c r="J177" t="n">
        <v>0</v>
      </c>
      <c r="K177" t="n">
        <v>0</v>
      </c>
      <c r="L177" t="n">
        <v>0</v>
      </c>
      <c r="M177" t="n">
        <v>0</v>
      </c>
      <c r="N177" t="n">
        <v>0</v>
      </c>
      <c r="O177" t="n">
        <v>0</v>
      </c>
      <c r="P177" t="n">
        <v>0</v>
      </c>
      <c r="Q177" t="n">
        <v>0</v>
      </c>
      <c r="R177" s="2" t="inlineStr"/>
    </row>
    <row r="178" ht="15" customHeight="1">
      <c r="A178" t="inlineStr">
        <is>
          <t>A 4284-2025</t>
        </is>
      </c>
      <c r="B178" s="1" t="n">
        <v>45685</v>
      </c>
      <c r="C178" s="1" t="n">
        <v>45883</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8331-2021</t>
        </is>
      </c>
      <c r="B179" s="1" t="n">
        <v>44244</v>
      </c>
      <c r="C179" s="1" t="n">
        <v>45883</v>
      </c>
      <c r="D179" t="inlineStr">
        <is>
          <t>ÖREBRO LÄN</t>
        </is>
      </c>
      <c r="E179" t="inlineStr">
        <is>
          <t>ÖREBRO</t>
        </is>
      </c>
      <c r="G179" t="n">
        <v>9.1</v>
      </c>
      <c r="H179" t="n">
        <v>0</v>
      </c>
      <c r="I179" t="n">
        <v>0</v>
      </c>
      <c r="J179" t="n">
        <v>0</v>
      </c>
      <c r="K179" t="n">
        <v>0</v>
      </c>
      <c r="L179" t="n">
        <v>0</v>
      </c>
      <c r="M179" t="n">
        <v>0</v>
      </c>
      <c r="N179" t="n">
        <v>0</v>
      </c>
      <c r="O179" t="n">
        <v>0</v>
      </c>
      <c r="P179" t="n">
        <v>0</v>
      </c>
      <c r="Q179" t="n">
        <v>0</v>
      </c>
      <c r="R179" s="2" t="inlineStr"/>
    </row>
    <row r="180" ht="15" customHeight="1">
      <c r="A180" t="inlineStr">
        <is>
          <t>A 8332-2021</t>
        </is>
      </c>
      <c r="B180" s="1" t="n">
        <v>44244</v>
      </c>
      <c r="C180" s="1" t="n">
        <v>45883</v>
      </c>
      <c r="D180" t="inlineStr">
        <is>
          <t>ÖREBRO LÄN</t>
        </is>
      </c>
      <c r="E180" t="inlineStr">
        <is>
          <t>ÖREBRO</t>
        </is>
      </c>
      <c r="G180" t="n">
        <v>11</v>
      </c>
      <c r="H180" t="n">
        <v>0</v>
      </c>
      <c r="I180" t="n">
        <v>0</v>
      </c>
      <c r="J180" t="n">
        <v>0</v>
      </c>
      <c r="K180" t="n">
        <v>0</v>
      </c>
      <c r="L180" t="n">
        <v>0</v>
      </c>
      <c r="M180" t="n">
        <v>0</v>
      </c>
      <c r="N180" t="n">
        <v>0</v>
      </c>
      <c r="O180" t="n">
        <v>0</v>
      </c>
      <c r="P180" t="n">
        <v>0</v>
      </c>
      <c r="Q180" t="n">
        <v>0</v>
      </c>
      <c r="R180" s="2" t="inlineStr"/>
    </row>
    <row r="181" ht="15" customHeight="1">
      <c r="A181" t="inlineStr">
        <is>
          <t>A 15422-2022</t>
        </is>
      </c>
      <c r="B181" s="1" t="n">
        <v>44659.63753472222</v>
      </c>
      <c r="C181" s="1" t="n">
        <v>45883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7117-2021</t>
        </is>
      </c>
      <c r="B182" s="1" t="n">
        <v>44238</v>
      </c>
      <c r="C182" s="1" t="n">
        <v>45883</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25443-2021</t>
        </is>
      </c>
      <c r="B183" s="1" t="n">
        <v>44342</v>
      </c>
      <c r="C183" s="1" t="n">
        <v>45883</v>
      </c>
      <c r="D183" t="inlineStr">
        <is>
          <t>ÖREBRO LÄN</t>
        </is>
      </c>
      <c r="E183" t="inlineStr">
        <is>
          <t>ÖREBRO</t>
        </is>
      </c>
      <c r="G183" t="n">
        <v>1</v>
      </c>
      <c r="H183" t="n">
        <v>0</v>
      </c>
      <c r="I183" t="n">
        <v>0</v>
      </c>
      <c r="J183" t="n">
        <v>0</v>
      </c>
      <c r="K183" t="n">
        <v>0</v>
      </c>
      <c r="L183" t="n">
        <v>0</v>
      </c>
      <c r="M183" t="n">
        <v>0</v>
      </c>
      <c r="N183" t="n">
        <v>0</v>
      </c>
      <c r="O183" t="n">
        <v>0</v>
      </c>
      <c r="P183" t="n">
        <v>0</v>
      </c>
      <c r="Q183" t="n">
        <v>0</v>
      </c>
      <c r="R183" s="2" t="inlineStr"/>
    </row>
    <row r="184" ht="15" customHeight="1">
      <c r="A184" t="inlineStr">
        <is>
          <t>A 19831-2021</t>
        </is>
      </c>
      <c r="B184" s="1" t="n">
        <v>44313</v>
      </c>
      <c r="C184" s="1" t="n">
        <v>45883</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18661-2025</t>
        </is>
      </c>
      <c r="B185" s="1" t="n">
        <v>45763.58675925926</v>
      </c>
      <c r="C185" s="1" t="n">
        <v>45883</v>
      </c>
      <c r="D185" t="inlineStr">
        <is>
          <t>ÖREBRO LÄN</t>
        </is>
      </c>
      <c r="E185" t="inlineStr">
        <is>
          <t>ÖREBRO</t>
        </is>
      </c>
      <c r="G185" t="n">
        <v>3.7</v>
      </c>
      <c r="H185" t="n">
        <v>0</v>
      </c>
      <c r="I185" t="n">
        <v>0</v>
      </c>
      <c r="J185" t="n">
        <v>0</v>
      </c>
      <c r="K185" t="n">
        <v>0</v>
      </c>
      <c r="L185" t="n">
        <v>0</v>
      </c>
      <c r="M185" t="n">
        <v>0</v>
      </c>
      <c r="N185" t="n">
        <v>0</v>
      </c>
      <c r="O185" t="n">
        <v>0</v>
      </c>
      <c r="P185" t="n">
        <v>0</v>
      </c>
      <c r="Q185" t="n">
        <v>0</v>
      </c>
      <c r="R185" s="2" t="inlineStr"/>
    </row>
    <row r="186" ht="15" customHeight="1">
      <c r="A186" t="inlineStr">
        <is>
          <t>A 5357-2024</t>
        </is>
      </c>
      <c r="B186" s="1" t="n">
        <v>45331</v>
      </c>
      <c r="C186" s="1" t="n">
        <v>45883</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15354-2024</t>
        </is>
      </c>
      <c r="B187" s="1" t="n">
        <v>45400.85319444445</v>
      </c>
      <c r="C187" s="1" t="n">
        <v>45883</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11067-2025</t>
        </is>
      </c>
      <c r="B188" s="1" t="n">
        <v>45723</v>
      </c>
      <c r="C188" s="1" t="n">
        <v>45883</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9585-2025</t>
        </is>
      </c>
      <c r="B189" s="1" t="n">
        <v>45715.63409722222</v>
      </c>
      <c r="C189" s="1" t="n">
        <v>45883</v>
      </c>
      <c r="D189" t="inlineStr">
        <is>
          <t>ÖREBRO LÄN</t>
        </is>
      </c>
      <c r="E189" t="inlineStr">
        <is>
          <t>ÖREBRO</t>
        </is>
      </c>
      <c r="G189" t="n">
        <v>3.4</v>
      </c>
      <c r="H189" t="n">
        <v>0</v>
      </c>
      <c r="I189" t="n">
        <v>0</v>
      </c>
      <c r="J189" t="n">
        <v>0</v>
      </c>
      <c r="K189" t="n">
        <v>0</v>
      </c>
      <c r="L189" t="n">
        <v>0</v>
      </c>
      <c r="M189" t="n">
        <v>0</v>
      </c>
      <c r="N189" t="n">
        <v>0</v>
      </c>
      <c r="O189" t="n">
        <v>0</v>
      </c>
      <c r="P189" t="n">
        <v>0</v>
      </c>
      <c r="Q189" t="n">
        <v>0</v>
      </c>
      <c r="R189" s="2" t="inlineStr"/>
    </row>
    <row r="190" ht="15" customHeight="1">
      <c r="A190" t="inlineStr">
        <is>
          <t>A 6879-2024</t>
        </is>
      </c>
      <c r="B190" s="1" t="n">
        <v>45342.85280092592</v>
      </c>
      <c r="C190" s="1" t="n">
        <v>45883</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681-2024</t>
        </is>
      </c>
      <c r="B191" s="1" t="n">
        <v>45300</v>
      </c>
      <c r="C191" s="1" t="n">
        <v>45883</v>
      </c>
      <c r="D191" t="inlineStr">
        <is>
          <t>ÖREBRO LÄN</t>
        </is>
      </c>
      <c r="E191" t="inlineStr">
        <is>
          <t>ÖREBRO</t>
        </is>
      </c>
      <c r="G191" t="n">
        <v>3.3</v>
      </c>
      <c r="H191" t="n">
        <v>0</v>
      </c>
      <c r="I191" t="n">
        <v>0</v>
      </c>
      <c r="J191" t="n">
        <v>0</v>
      </c>
      <c r="K191" t="n">
        <v>0</v>
      </c>
      <c r="L191" t="n">
        <v>0</v>
      </c>
      <c r="M191" t="n">
        <v>0</v>
      </c>
      <c r="N191" t="n">
        <v>0</v>
      </c>
      <c r="O191" t="n">
        <v>0</v>
      </c>
      <c r="P191" t="n">
        <v>0</v>
      </c>
      <c r="Q191" t="n">
        <v>0</v>
      </c>
      <c r="R191" s="2" t="inlineStr"/>
    </row>
    <row r="192" ht="15" customHeight="1">
      <c r="A192" t="inlineStr">
        <is>
          <t>A 13169-2024</t>
        </is>
      </c>
      <c r="B192" s="1" t="n">
        <v>45386.40489583334</v>
      </c>
      <c r="C192" s="1" t="n">
        <v>45883</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63247-2021</t>
        </is>
      </c>
      <c r="B193" s="1" t="n">
        <v>44505</v>
      </c>
      <c r="C193" s="1" t="n">
        <v>45883</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42623-2022</t>
        </is>
      </c>
      <c r="B194" s="1" t="n">
        <v>44831</v>
      </c>
      <c r="C194" s="1" t="n">
        <v>45883</v>
      </c>
      <c r="D194" t="inlineStr">
        <is>
          <t>ÖREBRO LÄN</t>
        </is>
      </c>
      <c r="E194" t="inlineStr">
        <is>
          <t>ÖREBRO</t>
        </is>
      </c>
      <c r="G194" t="n">
        <v>3.6</v>
      </c>
      <c r="H194" t="n">
        <v>0</v>
      </c>
      <c r="I194" t="n">
        <v>0</v>
      </c>
      <c r="J194" t="n">
        <v>0</v>
      </c>
      <c r="K194" t="n">
        <v>0</v>
      </c>
      <c r="L194" t="n">
        <v>0</v>
      </c>
      <c r="M194" t="n">
        <v>0</v>
      </c>
      <c r="N194" t="n">
        <v>0</v>
      </c>
      <c r="O194" t="n">
        <v>0</v>
      </c>
      <c r="P194" t="n">
        <v>0</v>
      </c>
      <c r="Q194" t="n">
        <v>0</v>
      </c>
      <c r="R194" s="2" t="inlineStr"/>
    </row>
    <row r="195" ht="15" customHeight="1">
      <c r="A195" t="inlineStr">
        <is>
          <t>A 3087-2021</t>
        </is>
      </c>
      <c r="B195" s="1" t="n">
        <v>44216</v>
      </c>
      <c r="C195" s="1" t="n">
        <v>45883</v>
      </c>
      <c r="D195" t="inlineStr">
        <is>
          <t>ÖREBRO LÄN</t>
        </is>
      </c>
      <c r="E195" t="inlineStr">
        <is>
          <t>ÖREBRO</t>
        </is>
      </c>
      <c r="G195" t="n">
        <v>0.6</v>
      </c>
      <c r="H195" t="n">
        <v>0</v>
      </c>
      <c r="I195" t="n">
        <v>0</v>
      </c>
      <c r="J195" t="n">
        <v>0</v>
      </c>
      <c r="K195" t="n">
        <v>0</v>
      </c>
      <c r="L195" t="n">
        <v>0</v>
      </c>
      <c r="M195" t="n">
        <v>0</v>
      </c>
      <c r="N195" t="n">
        <v>0</v>
      </c>
      <c r="O195" t="n">
        <v>0</v>
      </c>
      <c r="P195" t="n">
        <v>0</v>
      </c>
      <c r="Q195" t="n">
        <v>0</v>
      </c>
      <c r="R195" s="2" t="inlineStr"/>
    </row>
    <row r="196" ht="15" customHeight="1">
      <c r="A196" t="inlineStr">
        <is>
          <t>A 3763-2025</t>
        </is>
      </c>
      <c r="B196" s="1" t="n">
        <v>45681</v>
      </c>
      <c r="C196" s="1" t="n">
        <v>45883</v>
      </c>
      <c r="D196" t="inlineStr">
        <is>
          <t>ÖREBRO LÄN</t>
        </is>
      </c>
      <c r="E196" t="inlineStr">
        <is>
          <t>ÖREBRO</t>
        </is>
      </c>
      <c r="G196" t="n">
        <v>10.1</v>
      </c>
      <c r="H196" t="n">
        <v>0</v>
      </c>
      <c r="I196" t="n">
        <v>0</v>
      </c>
      <c r="J196" t="n">
        <v>0</v>
      </c>
      <c r="K196" t="n">
        <v>0</v>
      </c>
      <c r="L196" t="n">
        <v>0</v>
      </c>
      <c r="M196" t="n">
        <v>0</v>
      </c>
      <c r="N196" t="n">
        <v>0</v>
      </c>
      <c r="O196" t="n">
        <v>0</v>
      </c>
      <c r="P196" t="n">
        <v>0</v>
      </c>
      <c r="Q196" t="n">
        <v>0</v>
      </c>
      <c r="R196" s="2" t="inlineStr"/>
    </row>
    <row r="197" ht="15" customHeight="1">
      <c r="A197" t="inlineStr">
        <is>
          <t>A 32231-2022</t>
        </is>
      </c>
      <c r="B197" s="1" t="n">
        <v>44781</v>
      </c>
      <c r="C197" s="1" t="n">
        <v>45883</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32247-2022</t>
        </is>
      </c>
      <c r="B198" s="1" t="n">
        <v>44781</v>
      </c>
      <c r="C198" s="1" t="n">
        <v>45883</v>
      </c>
      <c r="D198" t="inlineStr">
        <is>
          <t>ÖREBRO LÄN</t>
        </is>
      </c>
      <c r="E198" t="inlineStr">
        <is>
          <t>ÖREBRO</t>
        </is>
      </c>
      <c r="G198" t="n">
        <v>3</v>
      </c>
      <c r="H198" t="n">
        <v>0</v>
      </c>
      <c r="I198" t="n">
        <v>0</v>
      </c>
      <c r="J198" t="n">
        <v>0</v>
      </c>
      <c r="K198" t="n">
        <v>0</v>
      </c>
      <c r="L198" t="n">
        <v>0</v>
      </c>
      <c r="M198" t="n">
        <v>0</v>
      </c>
      <c r="N198" t="n">
        <v>0</v>
      </c>
      <c r="O198" t="n">
        <v>0</v>
      </c>
      <c r="P198" t="n">
        <v>0</v>
      </c>
      <c r="Q198" t="n">
        <v>0</v>
      </c>
      <c r="R198" s="2" t="inlineStr"/>
    </row>
    <row r="199" ht="15" customHeight="1">
      <c r="A199" t="inlineStr">
        <is>
          <t>A 5125-2024</t>
        </is>
      </c>
      <c r="B199" s="1" t="n">
        <v>45330</v>
      </c>
      <c r="C199" s="1" t="n">
        <v>45883</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14234-2024</t>
        </is>
      </c>
      <c r="B200" s="1" t="n">
        <v>45393.46980324074</v>
      </c>
      <c r="C200" s="1" t="n">
        <v>45883</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52256-2023</t>
        </is>
      </c>
      <c r="B201" s="1" t="n">
        <v>45224.51471064815</v>
      </c>
      <c r="C201" s="1" t="n">
        <v>45883</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35843-2022</t>
        </is>
      </c>
      <c r="B202" s="1" t="n">
        <v>44802</v>
      </c>
      <c r="C202" s="1" t="n">
        <v>45883</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55453-2024</t>
        </is>
      </c>
      <c r="B203" s="1" t="n">
        <v>45622.42097222222</v>
      </c>
      <c r="C203" s="1" t="n">
        <v>45883</v>
      </c>
      <c r="D203" t="inlineStr">
        <is>
          <t>ÖREBRO LÄN</t>
        </is>
      </c>
      <c r="E203" t="inlineStr">
        <is>
          <t>ÖREBRO</t>
        </is>
      </c>
      <c r="G203" t="n">
        <v>8.5</v>
      </c>
      <c r="H203" t="n">
        <v>0</v>
      </c>
      <c r="I203" t="n">
        <v>0</v>
      </c>
      <c r="J203" t="n">
        <v>0</v>
      </c>
      <c r="K203" t="n">
        <v>0</v>
      </c>
      <c r="L203" t="n">
        <v>0</v>
      </c>
      <c r="M203" t="n">
        <v>0</v>
      </c>
      <c r="N203" t="n">
        <v>0</v>
      </c>
      <c r="O203" t="n">
        <v>0</v>
      </c>
      <c r="P203" t="n">
        <v>0</v>
      </c>
      <c r="Q203" t="n">
        <v>0</v>
      </c>
      <c r="R203" s="2" t="inlineStr"/>
    </row>
    <row r="204" ht="15" customHeight="1">
      <c r="A204" t="inlineStr">
        <is>
          <t>A 10829-2023</t>
        </is>
      </c>
      <c r="B204" s="1" t="n">
        <v>44990.88512731482</v>
      </c>
      <c r="C204" s="1" t="n">
        <v>45883</v>
      </c>
      <c r="D204" t="inlineStr">
        <is>
          <t>ÖREBRO LÄN</t>
        </is>
      </c>
      <c r="E204" t="inlineStr">
        <is>
          <t>ÖREBRO</t>
        </is>
      </c>
      <c r="G204" t="n">
        <v>4.4</v>
      </c>
      <c r="H204" t="n">
        <v>0</v>
      </c>
      <c r="I204" t="n">
        <v>0</v>
      </c>
      <c r="J204" t="n">
        <v>0</v>
      </c>
      <c r="K204" t="n">
        <v>0</v>
      </c>
      <c r="L204" t="n">
        <v>0</v>
      </c>
      <c r="M204" t="n">
        <v>0</v>
      </c>
      <c r="N204" t="n">
        <v>0</v>
      </c>
      <c r="O204" t="n">
        <v>0</v>
      </c>
      <c r="P204" t="n">
        <v>0</v>
      </c>
      <c r="Q204" t="n">
        <v>0</v>
      </c>
      <c r="R204" s="2" t="inlineStr"/>
    </row>
    <row r="205" ht="15" customHeight="1">
      <c r="A205" t="inlineStr">
        <is>
          <t>A 10831-2023</t>
        </is>
      </c>
      <c r="B205" s="1" t="n">
        <v>44990.90357638889</v>
      </c>
      <c r="C205" s="1" t="n">
        <v>45883</v>
      </c>
      <c r="D205" t="inlineStr">
        <is>
          <t>ÖREBRO LÄN</t>
        </is>
      </c>
      <c r="E205" t="inlineStr">
        <is>
          <t>ÖREBRO</t>
        </is>
      </c>
      <c r="G205" t="n">
        <v>1.9</v>
      </c>
      <c r="H205" t="n">
        <v>0</v>
      </c>
      <c r="I205" t="n">
        <v>0</v>
      </c>
      <c r="J205" t="n">
        <v>0</v>
      </c>
      <c r="K205" t="n">
        <v>0</v>
      </c>
      <c r="L205" t="n">
        <v>0</v>
      </c>
      <c r="M205" t="n">
        <v>0</v>
      </c>
      <c r="N205" t="n">
        <v>0</v>
      </c>
      <c r="O205" t="n">
        <v>0</v>
      </c>
      <c r="P205" t="n">
        <v>0</v>
      </c>
      <c r="Q205" t="n">
        <v>0</v>
      </c>
      <c r="R205" s="2" t="inlineStr"/>
    </row>
    <row r="206" ht="15" customHeight="1">
      <c r="A206" t="inlineStr">
        <is>
          <t>A 16165-2023</t>
        </is>
      </c>
      <c r="B206" s="1" t="n">
        <v>45027</v>
      </c>
      <c r="C206" s="1" t="n">
        <v>45883</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57247-2022</t>
        </is>
      </c>
      <c r="B207" s="1" t="n">
        <v>44895.73065972222</v>
      </c>
      <c r="C207" s="1" t="n">
        <v>45883</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38532-2020</t>
        </is>
      </c>
      <c r="B208" s="1" t="n">
        <v>44061</v>
      </c>
      <c r="C208" s="1" t="n">
        <v>45883</v>
      </c>
      <c r="D208" t="inlineStr">
        <is>
          <t>ÖREBRO LÄN</t>
        </is>
      </c>
      <c r="E208" t="inlineStr">
        <is>
          <t>ÖREBRO</t>
        </is>
      </c>
      <c r="G208" t="n">
        <v>3.8</v>
      </c>
      <c r="H208" t="n">
        <v>0</v>
      </c>
      <c r="I208" t="n">
        <v>0</v>
      </c>
      <c r="J208" t="n">
        <v>0</v>
      </c>
      <c r="K208" t="n">
        <v>0</v>
      </c>
      <c r="L208" t="n">
        <v>0</v>
      </c>
      <c r="M208" t="n">
        <v>0</v>
      </c>
      <c r="N208" t="n">
        <v>0</v>
      </c>
      <c r="O208" t="n">
        <v>0</v>
      </c>
      <c r="P208" t="n">
        <v>0</v>
      </c>
      <c r="Q208" t="n">
        <v>0</v>
      </c>
      <c r="R208" s="2" t="inlineStr"/>
    </row>
    <row r="209" ht="15" customHeight="1">
      <c r="A209" t="inlineStr">
        <is>
          <t>A 55593-2022</t>
        </is>
      </c>
      <c r="B209" s="1" t="n">
        <v>44888</v>
      </c>
      <c r="C209" s="1" t="n">
        <v>45883</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51373-2023</t>
        </is>
      </c>
      <c r="B210" s="1" t="n">
        <v>45213</v>
      </c>
      <c r="C210" s="1" t="n">
        <v>45883</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1257-2022</t>
        </is>
      </c>
      <c r="B211" s="1" t="n">
        <v>44572</v>
      </c>
      <c r="C211" s="1" t="n">
        <v>45883</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50446-2023</t>
        </is>
      </c>
      <c r="B212" s="1" t="n">
        <v>45216</v>
      </c>
      <c r="C212" s="1" t="n">
        <v>45883</v>
      </c>
      <c r="D212" t="inlineStr">
        <is>
          <t>ÖREBRO LÄN</t>
        </is>
      </c>
      <c r="E212" t="inlineStr">
        <is>
          <t>ÖREBRO</t>
        </is>
      </c>
      <c r="F212" t="inlineStr">
        <is>
          <t>Övriga Aktiebolag</t>
        </is>
      </c>
      <c r="G212" t="n">
        <v>2.8</v>
      </c>
      <c r="H212" t="n">
        <v>0</v>
      </c>
      <c r="I212" t="n">
        <v>0</v>
      </c>
      <c r="J212" t="n">
        <v>0</v>
      </c>
      <c r="K212" t="n">
        <v>0</v>
      </c>
      <c r="L212" t="n">
        <v>0</v>
      </c>
      <c r="M212" t="n">
        <v>0</v>
      </c>
      <c r="N212" t="n">
        <v>0</v>
      </c>
      <c r="O212" t="n">
        <v>0</v>
      </c>
      <c r="P212" t="n">
        <v>0</v>
      </c>
      <c r="Q212" t="n">
        <v>0</v>
      </c>
      <c r="R212" s="2" t="inlineStr"/>
    </row>
    <row r="213" ht="15" customHeight="1">
      <c r="A213" t="inlineStr">
        <is>
          <t>A 50450-2023</t>
        </is>
      </c>
      <c r="B213" s="1" t="n">
        <v>45216.73533564815</v>
      </c>
      <c r="C213" s="1" t="n">
        <v>45883</v>
      </c>
      <c r="D213" t="inlineStr">
        <is>
          <t>ÖREBRO LÄN</t>
        </is>
      </c>
      <c r="E213" t="inlineStr">
        <is>
          <t>ÖREBRO</t>
        </is>
      </c>
      <c r="F213" t="inlineStr">
        <is>
          <t>Övriga Aktiebolag</t>
        </is>
      </c>
      <c r="G213" t="n">
        <v>0.8</v>
      </c>
      <c r="H213" t="n">
        <v>0</v>
      </c>
      <c r="I213" t="n">
        <v>0</v>
      </c>
      <c r="J213" t="n">
        <v>0</v>
      </c>
      <c r="K213" t="n">
        <v>0</v>
      </c>
      <c r="L213" t="n">
        <v>0</v>
      </c>
      <c r="M213" t="n">
        <v>0</v>
      </c>
      <c r="N213" t="n">
        <v>0</v>
      </c>
      <c r="O213" t="n">
        <v>0</v>
      </c>
      <c r="P213" t="n">
        <v>0</v>
      </c>
      <c r="Q213" t="n">
        <v>0</v>
      </c>
      <c r="R213" s="2" t="inlineStr"/>
    </row>
    <row r="214" ht="15" customHeight="1">
      <c r="A214" t="inlineStr">
        <is>
          <t>A 40656-2023</t>
        </is>
      </c>
      <c r="B214" s="1" t="n">
        <v>45170</v>
      </c>
      <c r="C214" s="1" t="n">
        <v>45883</v>
      </c>
      <c r="D214" t="inlineStr">
        <is>
          <t>ÖREBRO LÄN</t>
        </is>
      </c>
      <c r="E214" t="inlineStr">
        <is>
          <t>ÖREBRO</t>
        </is>
      </c>
      <c r="F214" t="inlineStr">
        <is>
          <t>Övriga Aktiebolag</t>
        </is>
      </c>
      <c r="G214" t="n">
        <v>0.8</v>
      </c>
      <c r="H214" t="n">
        <v>0</v>
      </c>
      <c r="I214" t="n">
        <v>0</v>
      </c>
      <c r="J214" t="n">
        <v>0</v>
      </c>
      <c r="K214" t="n">
        <v>0</v>
      </c>
      <c r="L214" t="n">
        <v>0</v>
      </c>
      <c r="M214" t="n">
        <v>0</v>
      </c>
      <c r="N214" t="n">
        <v>0</v>
      </c>
      <c r="O214" t="n">
        <v>0</v>
      </c>
      <c r="P214" t="n">
        <v>0</v>
      </c>
      <c r="Q214" t="n">
        <v>0</v>
      </c>
      <c r="R214" s="2" t="inlineStr"/>
    </row>
    <row r="215" ht="15" customHeight="1">
      <c r="A215" t="inlineStr">
        <is>
          <t>A 43612-2022</t>
        </is>
      </c>
      <c r="B215" s="1" t="n">
        <v>44837</v>
      </c>
      <c r="C215" s="1" t="n">
        <v>45883</v>
      </c>
      <c r="D215" t="inlineStr">
        <is>
          <t>ÖREBRO LÄN</t>
        </is>
      </c>
      <c r="E215" t="inlineStr">
        <is>
          <t>ÖREBRO</t>
        </is>
      </c>
      <c r="G215" t="n">
        <v>0.6</v>
      </c>
      <c r="H215" t="n">
        <v>0</v>
      </c>
      <c r="I215" t="n">
        <v>0</v>
      </c>
      <c r="J215" t="n">
        <v>0</v>
      </c>
      <c r="K215" t="n">
        <v>0</v>
      </c>
      <c r="L215" t="n">
        <v>0</v>
      </c>
      <c r="M215" t="n">
        <v>0</v>
      </c>
      <c r="N215" t="n">
        <v>0</v>
      </c>
      <c r="O215" t="n">
        <v>0</v>
      </c>
      <c r="P215" t="n">
        <v>0</v>
      </c>
      <c r="Q215" t="n">
        <v>0</v>
      </c>
      <c r="R215" s="2" t="inlineStr"/>
    </row>
    <row r="216" ht="15" customHeight="1">
      <c r="A216" t="inlineStr">
        <is>
          <t>A 22677-2022</t>
        </is>
      </c>
      <c r="B216" s="1" t="n">
        <v>44714</v>
      </c>
      <c r="C216" s="1" t="n">
        <v>45883</v>
      </c>
      <c r="D216" t="inlineStr">
        <is>
          <t>ÖREBRO LÄN</t>
        </is>
      </c>
      <c r="E216" t="inlineStr">
        <is>
          <t>ÖREBRO</t>
        </is>
      </c>
      <c r="G216" t="n">
        <v>2.3</v>
      </c>
      <c r="H216" t="n">
        <v>0</v>
      </c>
      <c r="I216" t="n">
        <v>0</v>
      </c>
      <c r="J216" t="n">
        <v>0</v>
      </c>
      <c r="K216" t="n">
        <v>0</v>
      </c>
      <c r="L216" t="n">
        <v>0</v>
      </c>
      <c r="M216" t="n">
        <v>0</v>
      </c>
      <c r="N216" t="n">
        <v>0</v>
      </c>
      <c r="O216" t="n">
        <v>0</v>
      </c>
      <c r="P216" t="n">
        <v>0</v>
      </c>
      <c r="Q216" t="n">
        <v>0</v>
      </c>
      <c r="R216" s="2" t="inlineStr"/>
    </row>
    <row r="217" ht="15" customHeight="1">
      <c r="A217" t="inlineStr">
        <is>
          <t>A 71288-2021</t>
        </is>
      </c>
      <c r="B217" s="1" t="n">
        <v>44539.62481481482</v>
      </c>
      <c r="C217" s="1" t="n">
        <v>45883</v>
      </c>
      <c r="D217" t="inlineStr">
        <is>
          <t>ÖREBRO LÄN</t>
        </is>
      </c>
      <c r="E217" t="inlineStr">
        <is>
          <t>ÖREBRO</t>
        </is>
      </c>
      <c r="G217" t="n">
        <v>3.9</v>
      </c>
      <c r="H217" t="n">
        <v>0</v>
      </c>
      <c r="I217" t="n">
        <v>0</v>
      </c>
      <c r="J217" t="n">
        <v>0</v>
      </c>
      <c r="K217" t="n">
        <v>0</v>
      </c>
      <c r="L217" t="n">
        <v>0</v>
      </c>
      <c r="M217" t="n">
        <v>0</v>
      </c>
      <c r="N217" t="n">
        <v>0</v>
      </c>
      <c r="O217" t="n">
        <v>0</v>
      </c>
      <c r="P217" t="n">
        <v>0</v>
      </c>
      <c r="Q217" t="n">
        <v>0</v>
      </c>
      <c r="R217" s="2" t="inlineStr"/>
    </row>
    <row r="218" ht="15" customHeight="1">
      <c r="A218" t="inlineStr">
        <is>
          <t>A 10830-2023</t>
        </is>
      </c>
      <c r="B218" s="1" t="n">
        <v>44990.89752314815</v>
      </c>
      <c r="C218" s="1" t="n">
        <v>45883</v>
      </c>
      <c r="D218" t="inlineStr">
        <is>
          <t>ÖREBRO LÄN</t>
        </is>
      </c>
      <c r="E218" t="inlineStr">
        <is>
          <t>ÖREBRO</t>
        </is>
      </c>
      <c r="G218" t="n">
        <v>2</v>
      </c>
      <c r="H218" t="n">
        <v>0</v>
      </c>
      <c r="I218" t="n">
        <v>0</v>
      </c>
      <c r="J218" t="n">
        <v>0</v>
      </c>
      <c r="K218" t="n">
        <v>0</v>
      </c>
      <c r="L218" t="n">
        <v>0</v>
      </c>
      <c r="M218" t="n">
        <v>0</v>
      </c>
      <c r="N218" t="n">
        <v>0</v>
      </c>
      <c r="O218" t="n">
        <v>0</v>
      </c>
      <c r="P218" t="n">
        <v>0</v>
      </c>
      <c r="Q218" t="n">
        <v>0</v>
      </c>
      <c r="R218" s="2" t="inlineStr"/>
    </row>
    <row r="219" ht="15" customHeight="1">
      <c r="A219" t="inlineStr">
        <is>
          <t>A 7692-2023</t>
        </is>
      </c>
      <c r="B219" s="1" t="n">
        <v>44972.7762962963</v>
      </c>
      <c r="C219" s="1" t="n">
        <v>45883</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41678-2024</t>
        </is>
      </c>
      <c r="B220" s="1" t="n">
        <v>45560</v>
      </c>
      <c r="C220" s="1" t="n">
        <v>45883</v>
      </c>
      <c r="D220" t="inlineStr">
        <is>
          <t>ÖREBRO LÄN</t>
        </is>
      </c>
      <c r="E220" t="inlineStr">
        <is>
          <t>ÖREBRO</t>
        </is>
      </c>
      <c r="G220" t="n">
        <v>11.3</v>
      </c>
      <c r="H220" t="n">
        <v>0</v>
      </c>
      <c r="I220" t="n">
        <v>0</v>
      </c>
      <c r="J220" t="n">
        <v>0</v>
      </c>
      <c r="K220" t="n">
        <v>0</v>
      </c>
      <c r="L220" t="n">
        <v>0</v>
      </c>
      <c r="M220" t="n">
        <v>0</v>
      </c>
      <c r="N220" t="n">
        <v>0</v>
      </c>
      <c r="O220" t="n">
        <v>0</v>
      </c>
      <c r="P220" t="n">
        <v>0</v>
      </c>
      <c r="Q220" t="n">
        <v>0</v>
      </c>
      <c r="R220" s="2" t="inlineStr"/>
    </row>
    <row r="221" ht="15" customHeight="1">
      <c r="A221" t="inlineStr">
        <is>
          <t>A 42138-2024</t>
        </is>
      </c>
      <c r="B221" s="1" t="n">
        <v>45562.41854166667</v>
      </c>
      <c r="C221" s="1" t="n">
        <v>45883</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34874-2022</t>
        </is>
      </c>
      <c r="B222" s="1" t="n">
        <v>44796</v>
      </c>
      <c r="C222" s="1" t="n">
        <v>45883</v>
      </c>
      <c r="D222" t="inlineStr">
        <is>
          <t>ÖREBRO LÄN</t>
        </is>
      </c>
      <c r="E222" t="inlineStr">
        <is>
          <t>ÖREBRO</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38691-2020</t>
        </is>
      </c>
      <c r="B223" s="1" t="n">
        <v>44061</v>
      </c>
      <c r="C223" s="1" t="n">
        <v>45883</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31240-2023</t>
        </is>
      </c>
      <c r="B224" s="1" t="n">
        <v>45114</v>
      </c>
      <c r="C224" s="1" t="n">
        <v>45883</v>
      </c>
      <c r="D224" t="inlineStr">
        <is>
          <t>ÖREBRO LÄN</t>
        </is>
      </c>
      <c r="E224" t="inlineStr">
        <is>
          <t>ÖREBRO</t>
        </is>
      </c>
      <c r="F224" t="inlineStr">
        <is>
          <t>Allmännings- och besparingsskogar</t>
        </is>
      </c>
      <c r="G224" t="n">
        <v>6.2</v>
      </c>
      <c r="H224" t="n">
        <v>0</v>
      </c>
      <c r="I224" t="n">
        <v>0</v>
      </c>
      <c r="J224" t="n">
        <v>0</v>
      </c>
      <c r="K224" t="n">
        <v>0</v>
      </c>
      <c r="L224" t="n">
        <v>0</v>
      </c>
      <c r="M224" t="n">
        <v>0</v>
      </c>
      <c r="N224" t="n">
        <v>0</v>
      </c>
      <c r="O224" t="n">
        <v>0</v>
      </c>
      <c r="P224" t="n">
        <v>0</v>
      </c>
      <c r="Q224" t="n">
        <v>0</v>
      </c>
      <c r="R224" s="2" t="inlineStr"/>
    </row>
    <row r="225" ht="15" customHeight="1">
      <c r="A225" t="inlineStr">
        <is>
          <t>A 61593-2023</t>
        </is>
      </c>
      <c r="B225" s="1" t="n">
        <v>45265</v>
      </c>
      <c r="C225" s="1" t="n">
        <v>45883</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38842-2022</t>
        </is>
      </c>
      <c r="B226" s="1" t="n">
        <v>44814</v>
      </c>
      <c r="C226" s="1" t="n">
        <v>45883</v>
      </c>
      <c r="D226" t="inlineStr">
        <is>
          <t>ÖREBRO LÄN</t>
        </is>
      </c>
      <c r="E226" t="inlineStr">
        <is>
          <t>ÖREBRO</t>
        </is>
      </c>
      <c r="G226" t="n">
        <v>5</v>
      </c>
      <c r="H226" t="n">
        <v>0</v>
      </c>
      <c r="I226" t="n">
        <v>0</v>
      </c>
      <c r="J226" t="n">
        <v>0</v>
      </c>
      <c r="K226" t="n">
        <v>0</v>
      </c>
      <c r="L226" t="n">
        <v>0</v>
      </c>
      <c r="M226" t="n">
        <v>0</v>
      </c>
      <c r="N226" t="n">
        <v>0</v>
      </c>
      <c r="O226" t="n">
        <v>0</v>
      </c>
      <c r="P226" t="n">
        <v>0</v>
      </c>
      <c r="Q226" t="n">
        <v>0</v>
      </c>
      <c r="R226" s="2" t="inlineStr"/>
    </row>
    <row r="227" ht="15" customHeight="1">
      <c r="A227" t="inlineStr">
        <is>
          <t>A 46757-2021</t>
        </is>
      </c>
      <c r="B227" s="1" t="n">
        <v>44445</v>
      </c>
      <c r="C227" s="1" t="n">
        <v>45883</v>
      </c>
      <c r="D227" t="inlineStr">
        <is>
          <t>ÖREBRO LÄN</t>
        </is>
      </c>
      <c r="E227" t="inlineStr">
        <is>
          <t>ÖREBRO</t>
        </is>
      </c>
      <c r="G227" t="n">
        <v>5.6</v>
      </c>
      <c r="H227" t="n">
        <v>0</v>
      </c>
      <c r="I227" t="n">
        <v>0</v>
      </c>
      <c r="J227" t="n">
        <v>0</v>
      </c>
      <c r="K227" t="n">
        <v>0</v>
      </c>
      <c r="L227" t="n">
        <v>0</v>
      </c>
      <c r="M227" t="n">
        <v>0</v>
      </c>
      <c r="N227" t="n">
        <v>0</v>
      </c>
      <c r="O227" t="n">
        <v>0</v>
      </c>
      <c r="P227" t="n">
        <v>0</v>
      </c>
      <c r="Q227" t="n">
        <v>0</v>
      </c>
      <c r="R227" s="2" t="inlineStr"/>
    </row>
    <row r="228" ht="15" customHeight="1">
      <c r="A228" t="inlineStr">
        <is>
          <t>A 40597-2021</t>
        </is>
      </c>
      <c r="B228" s="1" t="n">
        <v>44420</v>
      </c>
      <c r="C228" s="1" t="n">
        <v>45883</v>
      </c>
      <c r="D228" t="inlineStr">
        <is>
          <t>ÖREBRO LÄN</t>
        </is>
      </c>
      <c r="E228" t="inlineStr">
        <is>
          <t>ÖREBRO</t>
        </is>
      </c>
      <c r="G228" t="n">
        <v>2.1</v>
      </c>
      <c r="H228" t="n">
        <v>0</v>
      </c>
      <c r="I228" t="n">
        <v>0</v>
      </c>
      <c r="J228" t="n">
        <v>0</v>
      </c>
      <c r="K228" t="n">
        <v>0</v>
      </c>
      <c r="L228" t="n">
        <v>0</v>
      </c>
      <c r="M228" t="n">
        <v>0</v>
      </c>
      <c r="N228" t="n">
        <v>0</v>
      </c>
      <c r="O228" t="n">
        <v>0</v>
      </c>
      <c r="P228" t="n">
        <v>0</v>
      </c>
      <c r="Q228" t="n">
        <v>0</v>
      </c>
      <c r="R228" s="2" t="inlineStr"/>
    </row>
    <row r="229" ht="15" customHeight="1">
      <c r="A229" t="inlineStr">
        <is>
          <t>A 30374-2023</t>
        </is>
      </c>
      <c r="B229" s="1" t="n">
        <v>45111</v>
      </c>
      <c r="C229" s="1" t="n">
        <v>45883</v>
      </c>
      <c r="D229" t="inlineStr">
        <is>
          <t>ÖREBRO LÄN</t>
        </is>
      </c>
      <c r="E229" t="inlineStr">
        <is>
          <t>ÖREBRO</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42285-2020</t>
        </is>
      </c>
      <c r="B230" s="1" t="n">
        <v>44076</v>
      </c>
      <c r="C230" s="1" t="n">
        <v>45883</v>
      </c>
      <c r="D230" t="inlineStr">
        <is>
          <t>ÖREBRO LÄN</t>
        </is>
      </c>
      <c r="E230" t="inlineStr">
        <is>
          <t>ÖREBRO</t>
        </is>
      </c>
      <c r="F230" t="inlineStr">
        <is>
          <t>Övriga Aktiebolag</t>
        </is>
      </c>
      <c r="G230" t="n">
        <v>0.4</v>
      </c>
      <c r="H230" t="n">
        <v>0</v>
      </c>
      <c r="I230" t="n">
        <v>0</v>
      </c>
      <c r="J230" t="n">
        <v>0</v>
      </c>
      <c r="K230" t="n">
        <v>0</v>
      </c>
      <c r="L230" t="n">
        <v>0</v>
      </c>
      <c r="M230" t="n">
        <v>0</v>
      </c>
      <c r="N230" t="n">
        <v>0</v>
      </c>
      <c r="O230" t="n">
        <v>0</v>
      </c>
      <c r="P230" t="n">
        <v>0</v>
      </c>
      <c r="Q230" t="n">
        <v>0</v>
      </c>
      <c r="R230" s="2" t="inlineStr"/>
    </row>
    <row r="231" ht="15" customHeight="1">
      <c r="A231" t="inlineStr">
        <is>
          <t>A 8575-2021</t>
        </is>
      </c>
      <c r="B231" s="1" t="n">
        <v>44245</v>
      </c>
      <c r="C231" s="1" t="n">
        <v>45883</v>
      </c>
      <c r="D231" t="inlineStr">
        <is>
          <t>ÖREBRO LÄN</t>
        </is>
      </c>
      <c r="E231" t="inlineStr">
        <is>
          <t>ÖREBRO</t>
        </is>
      </c>
      <c r="G231" t="n">
        <v>3.4</v>
      </c>
      <c r="H231" t="n">
        <v>0</v>
      </c>
      <c r="I231" t="n">
        <v>0</v>
      </c>
      <c r="J231" t="n">
        <v>0</v>
      </c>
      <c r="K231" t="n">
        <v>0</v>
      </c>
      <c r="L231" t="n">
        <v>0</v>
      </c>
      <c r="M231" t="n">
        <v>0</v>
      </c>
      <c r="N231" t="n">
        <v>0</v>
      </c>
      <c r="O231" t="n">
        <v>0</v>
      </c>
      <c r="P231" t="n">
        <v>0</v>
      </c>
      <c r="Q231" t="n">
        <v>0</v>
      </c>
      <c r="R231" s="2" t="inlineStr"/>
    </row>
    <row r="232" ht="15" customHeight="1">
      <c r="A232" t="inlineStr">
        <is>
          <t>A 26338-2021</t>
        </is>
      </c>
      <c r="B232" s="1" t="n">
        <v>44347</v>
      </c>
      <c r="C232" s="1" t="n">
        <v>45883</v>
      </c>
      <c r="D232" t="inlineStr">
        <is>
          <t>ÖREBRO LÄN</t>
        </is>
      </c>
      <c r="E232" t="inlineStr">
        <is>
          <t>ÖREBRO</t>
        </is>
      </c>
      <c r="G232" t="n">
        <v>0.5</v>
      </c>
      <c r="H232" t="n">
        <v>0</v>
      </c>
      <c r="I232" t="n">
        <v>0</v>
      </c>
      <c r="J232" t="n">
        <v>0</v>
      </c>
      <c r="K232" t="n">
        <v>0</v>
      </c>
      <c r="L232" t="n">
        <v>0</v>
      </c>
      <c r="M232" t="n">
        <v>0</v>
      </c>
      <c r="N232" t="n">
        <v>0</v>
      </c>
      <c r="O232" t="n">
        <v>0</v>
      </c>
      <c r="P232" t="n">
        <v>0</v>
      </c>
      <c r="Q232" t="n">
        <v>0</v>
      </c>
      <c r="R232" s="2" t="inlineStr"/>
    </row>
    <row r="233" ht="15" customHeight="1">
      <c r="A233" t="inlineStr">
        <is>
          <t>A 13418-2024</t>
        </is>
      </c>
      <c r="B233" s="1" t="n">
        <v>45387.46482638889</v>
      </c>
      <c r="C233" s="1" t="n">
        <v>45883</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71266-2021</t>
        </is>
      </c>
      <c r="B234" s="1" t="n">
        <v>44539</v>
      </c>
      <c r="C234" s="1" t="n">
        <v>45883</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71267-2021</t>
        </is>
      </c>
      <c r="B235" s="1" t="n">
        <v>44539</v>
      </c>
      <c r="C235" s="1" t="n">
        <v>45883</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71280-2021</t>
        </is>
      </c>
      <c r="B236" s="1" t="n">
        <v>44539</v>
      </c>
      <c r="C236" s="1" t="n">
        <v>45883</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50026-2024</t>
        </is>
      </c>
      <c r="B237" s="1" t="n">
        <v>45599.60541666667</v>
      </c>
      <c r="C237" s="1" t="n">
        <v>45883</v>
      </c>
      <c r="D237" t="inlineStr">
        <is>
          <t>ÖREBRO LÄN</t>
        </is>
      </c>
      <c r="E237" t="inlineStr">
        <is>
          <t>ÖREBRO</t>
        </is>
      </c>
      <c r="G237" t="n">
        <v>2.2</v>
      </c>
      <c r="H237" t="n">
        <v>0</v>
      </c>
      <c r="I237" t="n">
        <v>0</v>
      </c>
      <c r="J237" t="n">
        <v>0</v>
      </c>
      <c r="K237" t="n">
        <v>0</v>
      </c>
      <c r="L237" t="n">
        <v>0</v>
      </c>
      <c r="M237" t="n">
        <v>0</v>
      </c>
      <c r="N237" t="n">
        <v>0</v>
      </c>
      <c r="O237" t="n">
        <v>0</v>
      </c>
      <c r="P237" t="n">
        <v>0</v>
      </c>
      <c r="Q237" t="n">
        <v>0</v>
      </c>
      <c r="R237" s="2" t="inlineStr"/>
    </row>
    <row r="238" ht="15" customHeight="1">
      <c r="A238" t="inlineStr">
        <is>
          <t>A 18449-2023</t>
        </is>
      </c>
      <c r="B238" s="1" t="n">
        <v>45042.5203125</v>
      </c>
      <c r="C238" s="1" t="n">
        <v>45883</v>
      </c>
      <c r="D238" t="inlineStr">
        <is>
          <t>ÖREBRO LÄN</t>
        </is>
      </c>
      <c r="E238" t="inlineStr">
        <is>
          <t>ÖREBRO</t>
        </is>
      </c>
      <c r="G238" t="n">
        <v>1.5</v>
      </c>
      <c r="H238" t="n">
        <v>0</v>
      </c>
      <c r="I238" t="n">
        <v>0</v>
      </c>
      <c r="J238" t="n">
        <v>0</v>
      </c>
      <c r="K238" t="n">
        <v>0</v>
      </c>
      <c r="L238" t="n">
        <v>0</v>
      </c>
      <c r="M238" t="n">
        <v>0</v>
      </c>
      <c r="N238" t="n">
        <v>0</v>
      </c>
      <c r="O238" t="n">
        <v>0</v>
      </c>
      <c r="P238" t="n">
        <v>0</v>
      </c>
      <c r="Q238" t="n">
        <v>0</v>
      </c>
      <c r="R238" s="2" t="inlineStr"/>
    </row>
    <row r="239" ht="15" customHeight="1">
      <c r="A239" t="inlineStr">
        <is>
          <t>A 16936-2023</t>
        </is>
      </c>
      <c r="B239" s="1" t="n">
        <v>45033.63005787037</v>
      </c>
      <c r="C239" s="1" t="n">
        <v>45883</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54678-2023</t>
        </is>
      </c>
      <c r="B240" s="1" t="n">
        <v>45235</v>
      </c>
      <c r="C240" s="1" t="n">
        <v>45883</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58145-2024</t>
        </is>
      </c>
      <c r="B241" s="1" t="n">
        <v>45632.43230324074</v>
      </c>
      <c r="C241" s="1" t="n">
        <v>45883</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58219-2024</t>
        </is>
      </c>
      <c r="B242" s="1" t="n">
        <v>45632</v>
      </c>
      <c r="C242" s="1" t="n">
        <v>45883</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48581-2024</t>
        </is>
      </c>
      <c r="B243" s="1" t="n">
        <v>45593.41642361111</v>
      </c>
      <c r="C243" s="1" t="n">
        <v>45883</v>
      </c>
      <c r="D243" t="inlineStr">
        <is>
          <t>ÖREBRO LÄN</t>
        </is>
      </c>
      <c r="E243" t="inlineStr">
        <is>
          <t>ÖREBRO</t>
        </is>
      </c>
      <c r="G243" t="n">
        <v>0.7</v>
      </c>
      <c r="H243" t="n">
        <v>0</v>
      </c>
      <c r="I243" t="n">
        <v>0</v>
      </c>
      <c r="J243" t="n">
        <v>0</v>
      </c>
      <c r="K243" t="n">
        <v>0</v>
      </c>
      <c r="L243" t="n">
        <v>0</v>
      </c>
      <c r="M243" t="n">
        <v>0</v>
      </c>
      <c r="N243" t="n">
        <v>0</v>
      </c>
      <c r="O243" t="n">
        <v>0</v>
      </c>
      <c r="P243" t="n">
        <v>0</v>
      </c>
      <c r="Q243" t="n">
        <v>0</v>
      </c>
      <c r="R243" s="2" t="inlineStr"/>
    </row>
    <row r="244" ht="15" customHeight="1">
      <c r="A244" t="inlineStr">
        <is>
          <t>A 42518-2021</t>
        </is>
      </c>
      <c r="B244" s="1" t="n">
        <v>44427.81496527778</v>
      </c>
      <c r="C244" s="1" t="n">
        <v>45883</v>
      </c>
      <c r="D244" t="inlineStr">
        <is>
          <t>ÖREBRO LÄN</t>
        </is>
      </c>
      <c r="E244" t="inlineStr">
        <is>
          <t>ÖREBRO</t>
        </is>
      </c>
      <c r="G244" t="n">
        <v>4.5</v>
      </c>
      <c r="H244" t="n">
        <v>0</v>
      </c>
      <c r="I244" t="n">
        <v>0</v>
      </c>
      <c r="J244" t="n">
        <v>0</v>
      </c>
      <c r="K244" t="n">
        <v>0</v>
      </c>
      <c r="L244" t="n">
        <v>0</v>
      </c>
      <c r="M244" t="n">
        <v>0</v>
      </c>
      <c r="N244" t="n">
        <v>0</v>
      </c>
      <c r="O244" t="n">
        <v>0</v>
      </c>
      <c r="P244" t="n">
        <v>0</v>
      </c>
      <c r="Q244" t="n">
        <v>0</v>
      </c>
      <c r="R244" s="2" t="inlineStr"/>
    </row>
    <row r="245" ht="15" customHeight="1">
      <c r="A245" t="inlineStr">
        <is>
          <t>A 64730-2023</t>
        </is>
      </c>
      <c r="B245" s="1" t="n">
        <v>45281</v>
      </c>
      <c r="C245" s="1" t="n">
        <v>45883</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14545-2023</t>
        </is>
      </c>
      <c r="B246" s="1" t="n">
        <v>45013.34895833334</v>
      </c>
      <c r="C246" s="1" t="n">
        <v>45883</v>
      </c>
      <c r="D246" t="inlineStr">
        <is>
          <t>ÖREBRO LÄN</t>
        </is>
      </c>
      <c r="E246" t="inlineStr">
        <is>
          <t>ÖREBRO</t>
        </is>
      </c>
      <c r="G246" t="n">
        <v>2.5</v>
      </c>
      <c r="H246" t="n">
        <v>0</v>
      </c>
      <c r="I246" t="n">
        <v>0</v>
      </c>
      <c r="J246" t="n">
        <v>0</v>
      </c>
      <c r="K246" t="n">
        <v>0</v>
      </c>
      <c r="L246" t="n">
        <v>0</v>
      </c>
      <c r="M246" t="n">
        <v>0</v>
      </c>
      <c r="N246" t="n">
        <v>0</v>
      </c>
      <c r="O246" t="n">
        <v>0</v>
      </c>
      <c r="P246" t="n">
        <v>0</v>
      </c>
      <c r="Q246" t="n">
        <v>0</v>
      </c>
      <c r="R246" s="2" t="inlineStr"/>
    </row>
    <row r="247" ht="15" customHeight="1">
      <c r="A247" t="inlineStr">
        <is>
          <t>A 27112-2023</t>
        </is>
      </c>
      <c r="B247" s="1" t="n">
        <v>45096</v>
      </c>
      <c r="C247" s="1" t="n">
        <v>45883</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14524-2025</t>
        </is>
      </c>
      <c r="B248" s="1" t="n">
        <v>45741.64815972222</v>
      </c>
      <c r="C248" s="1" t="n">
        <v>45883</v>
      </c>
      <c r="D248" t="inlineStr">
        <is>
          <t>ÖREBRO LÄN</t>
        </is>
      </c>
      <c r="E248" t="inlineStr">
        <is>
          <t>ÖREBRO</t>
        </is>
      </c>
      <c r="G248" t="n">
        <v>2.8</v>
      </c>
      <c r="H248" t="n">
        <v>0</v>
      </c>
      <c r="I248" t="n">
        <v>0</v>
      </c>
      <c r="J248" t="n">
        <v>0</v>
      </c>
      <c r="K248" t="n">
        <v>0</v>
      </c>
      <c r="L248" t="n">
        <v>0</v>
      </c>
      <c r="M248" t="n">
        <v>0</v>
      </c>
      <c r="N248" t="n">
        <v>0</v>
      </c>
      <c r="O248" t="n">
        <v>0</v>
      </c>
      <c r="P248" t="n">
        <v>0</v>
      </c>
      <c r="Q248" t="n">
        <v>0</v>
      </c>
      <c r="R248" s="2" t="inlineStr"/>
    </row>
    <row r="249" ht="15" customHeight="1">
      <c r="A249" t="inlineStr">
        <is>
          <t>A 47047-2022</t>
        </is>
      </c>
      <c r="B249" s="1" t="n">
        <v>44852.39063657408</v>
      </c>
      <c r="C249" s="1" t="n">
        <v>45883</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46834-2022</t>
        </is>
      </c>
      <c r="B250" s="1" t="n">
        <v>44851</v>
      </c>
      <c r="C250" s="1" t="n">
        <v>45883</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44284-2022</t>
        </is>
      </c>
      <c r="B251" s="1" t="n">
        <v>44839.59194444444</v>
      </c>
      <c r="C251" s="1" t="n">
        <v>45883</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21036-2024</t>
        </is>
      </c>
      <c r="B252" s="1" t="n">
        <v>45439.65954861111</v>
      </c>
      <c r="C252" s="1" t="n">
        <v>45883</v>
      </c>
      <c r="D252" t="inlineStr">
        <is>
          <t>ÖREBRO LÄN</t>
        </is>
      </c>
      <c r="E252" t="inlineStr">
        <is>
          <t>ÖREBRO</t>
        </is>
      </c>
      <c r="F252" t="inlineStr">
        <is>
          <t>Övriga Aktiebolag</t>
        </is>
      </c>
      <c r="G252" t="n">
        <v>5.7</v>
      </c>
      <c r="H252" t="n">
        <v>0</v>
      </c>
      <c r="I252" t="n">
        <v>0</v>
      </c>
      <c r="J252" t="n">
        <v>0</v>
      </c>
      <c r="K252" t="n">
        <v>0</v>
      </c>
      <c r="L252" t="n">
        <v>0</v>
      </c>
      <c r="M252" t="n">
        <v>0</v>
      </c>
      <c r="N252" t="n">
        <v>0</v>
      </c>
      <c r="O252" t="n">
        <v>0</v>
      </c>
      <c r="P252" t="n">
        <v>0</v>
      </c>
      <c r="Q252" t="n">
        <v>0</v>
      </c>
      <c r="R252" s="2" t="inlineStr"/>
    </row>
    <row r="253" ht="15" customHeight="1">
      <c r="A253" t="inlineStr">
        <is>
          <t>A 57638-2022</t>
        </is>
      </c>
      <c r="B253" s="1" t="n">
        <v>44897</v>
      </c>
      <c r="C253" s="1" t="n">
        <v>45883</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14544-2023</t>
        </is>
      </c>
      <c r="B254" s="1" t="n">
        <v>45013</v>
      </c>
      <c r="C254" s="1" t="n">
        <v>45883</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2152-2023</t>
        </is>
      </c>
      <c r="B255" s="1" t="n">
        <v>44941.55056712963</v>
      </c>
      <c r="C255" s="1" t="n">
        <v>45883</v>
      </c>
      <c r="D255" t="inlineStr">
        <is>
          <t>ÖREBRO LÄN</t>
        </is>
      </c>
      <c r="E255" t="inlineStr">
        <is>
          <t>ÖREBRO</t>
        </is>
      </c>
      <c r="G255" t="n">
        <v>8</v>
      </c>
      <c r="H255" t="n">
        <v>0</v>
      </c>
      <c r="I255" t="n">
        <v>0</v>
      </c>
      <c r="J255" t="n">
        <v>0</v>
      </c>
      <c r="K255" t="n">
        <v>0</v>
      </c>
      <c r="L255" t="n">
        <v>0</v>
      </c>
      <c r="M255" t="n">
        <v>0</v>
      </c>
      <c r="N255" t="n">
        <v>0</v>
      </c>
      <c r="O255" t="n">
        <v>0</v>
      </c>
      <c r="P255" t="n">
        <v>0</v>
      </c>
      <c r="Q255" t="n">
        <v>0</v>
      </c>
      <c r="R255" s="2" t="inlineStr"/>
    </row>
    <row r="256" ht="15" customHeight="1">
      <c r="A256" t="inlineStr">
        <is>
          <t>A 55745-2023</t>
        </is>
      </c>
      <c r="B256" s="1" t="n">
        <v>45239.44811342593</v>
      </c>
      <c r="C256" s="1" t="n">
        <v>45883</v>
      </c>
      <c r="D256" t="inlineStr">
        <is>
          <t>ÖREBRO LÄN</t>
        </is>
      </c>
      <c r="E256" t="inlineStr">
        <is>
          <t>ÖREBRO</t>
        </is>
      </c>
      <c r="G256" t="n">
        <v>13.3</v>
      </c>
      <c r="H256" t="n">
        <v>0</v>
      </c>
      <c r="I256" t="n">
        <v>0</v>
      </c>
      <c r="J256" t="n">
        <v>0</v>
      </c>
      <c r="K256" t="n">
        <v>0</v>
      </c>
      <c r="L256" t="n">
        <v>0</v>
      </c>
      <c r="M256" t="n">
        <v>0</v>
      </c>
      <c r="N256" t="n">
        <v>0</v>
      </c>
      <c r="O256" t="n">
        <v>0</v>
      </c>
      <c r="P256" t="n">
        <v>0</v>
      </c>
      <c r="Q256" t="n">
        <v>0</v>
      </c>
      <c r="R256" s="2" t="inlineStr"/>
    </row>
    <row r="257" ht="15" customHeight="1">
      <c r="A257" t="inlineStr">
        <is>
          <t>A 20589-2024</t>
        </is>
      </c>
      <c r="B257" s="1" t="n">
        <v>45436.42077546296</v>
      </c>
      <c r="C257" s="1" t="n">
        <v>45883</v>
      </c>
      <c r="D257" t="inlineStr">
        <is>
          <t>ÖREBRO LÄN</t>
        </is>
      </c>
      <c r="E257" t="inlineStr">
        <is>
          <t>ÖREBRO</t>
        </is>
      </c>
      <c r="G257" t="n">
        <v>3.7</v>
      </c>
      <c r="H257" t="n">
        <v>0</v>
      </c>
      <c r="I257" t="n">
        <v>0</v>
      </c>
      <c r="J257" t="n">
        <v>0</v>
      </c>
      <c r="K257" t="n">
        <v>0</v>
      </c>
      <c r="L257" t="n">
        <v>0</v>
      </c>
      <c r="M257" t="n">
        <v>0</v>
      </c>
      <c r="N257" t="n">
        <v>0</v>
      </c>
      <c r="O257" t="n">
        <v>0</v>
      </c>
      <c r="P257" t="n">
        <v>0</v>
      </c>
      <c r="Q257" t="n">
        <v>0</v>
      </c>
      <c r="R257" s="2" t="inlineStr"/>
    </row>
    <row r="258" ht="15" customHeight="1">
      <c r="A258" t="inlineStr">
        <is>
          <t>A 15682-2023</t>
        </is>
      </c>
      <c r="B258" s="1" t="n">
        <v>45021</v>
      </c>
      <c r="C258" s="1" t="n">
        <v>45883</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4416-2023</t>
        </is>
      </c>
      <c r="B259" s="1" t="n">
        <v>44956</v>
      </c>
      <c r="C259" s="1" t="n">
        <v>45883</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71285-2021</t>
        </is>
      </c>
      <c r="B260" s="1" t="n">
        <v>44539.62236111111</v>
      </c>
      <c r="C260" s="1" t="n">
        <v>45883</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49062-2023</t>
        </is>
      </c>
      <c r="B261" s="1" t="n">
        <v>45210.35119212963</v>
      </c>
      <c r="C261" s="1" t="n">
        <v>45883</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16739-2023</t>
        </is>
      </c>
      <c r="B262" s="1" t="n">
        <v>45030.72627314815</v>
      </c>
      <c r="C262" s="1" t="n">
        <v>45883</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32321-2023</t>
        </is>
      </c>
      <c r="B263" s="1" t="n">
        <v>45120</v>
      </c>
      <c r="C263" s="1" t="n">
        <v>45883</v>
      </c>
      <c r="D263" t="inlineStr">
        <is>
          <t>ÖREBRO LÄN</t>
        </is>
      </c>
      <c r="E263" t="inlineStr">
        <is>
          <t>ÖREBRO</t>
        </is>
      </c>
      <c r="G263" t="n">
        <v>3.4</v>
      </c>
      <c r="H263" t="n">
        <v>0</v>
      </c>
      <c r="I263" t="n">
        <v>0</v>
      </c>
      <c r="J263" t="n">
        <v>0</v>
      </c>
      <c r="K263" t="n">
        <v>0</v>
      </c>
      <c r="L263" t="n">
        <v>0</v>
      </c>
      <c r="M263" t="n">
        <v>0</v>
      </c>
      <c r="N263" t="n">
        <v>0</v>
      </c>
      <c r="O263" t="n">
        <v>0</v>
      </c>
      <c r="P263" t="n">
        <v>0</v>
      </c>
      <c r="Q263" t="n">
        <v>0</v>
      </c>
      <c r="R263" s="2" t="inlineStr"/>
    </row>
    <row r="264" ht="15" customHeight="1">
      <c r="A264" t="inlineStr">
        <is>
          <t>A 2771-2023</t>
        </is>
      </c>
      <c r="B264" s="1" t="n">
        <v>44944.64704861111</v>
      </c>
      <c r="C264" s="1" t="n">
        <v>45883</v>
      </c>
      <c r="D264" t="inlineStr">
        <is>
          <t>ÖREBRO LÄN</t>
        </is>
      </c>
      <c r="E264" t="inlineStr">
        <is>
          <t>ÖREBRO</t>
        </is>
      </c>
      <c r="G264" t="n">
        <v>15.4</v>
      </c>
      <c r="H264" t="n">
        <v>0</v>
      </c>
      <c r="I264" t="n">
        <v>0</v>
      </c>
      <c r="J264" t="n">
        <v>0</v>
      </c>
      <c r="K264" t="n">
        <v>0</v>
      </c>
      <c r="L264" t="n">
        <v>0</v>
      </c>
      <c r="M264" t="n">
        <v>0</v>
      </c>
      <c r="N264" t="n">
        <v>0</v>
      </c>
      <c r="O264" t="n">
        <v>0</v>
      </c>
      <c r="P264" t="n">
        <v>0</v>
      </c>
      <c r="Q264" t="n">
        <v>0</v>
      </c>
      <c r="R264" s="2" t="inlineStr"/>
    </row>
    <row r="265" ht="15" customHeight="1">
      <c r="A265" t="inlineStr">
        <is>
          <t>A 2095-2025</t>
        </is>
      </c>
      <c r="B265" s="1" t="n">
        <v>45672</v>
      </c>
      <c r="C265" s="1" t="n">
        <v>45883</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71275-2021</t>
        </is>
      </c>
      <c r="B266" s="1" t="n">
        <v>44539</v>
      </c>
      <c r="C266" s="1" t="n">
        <v>45883</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12017-2024</t>
        </is>
      </c>
      <c r="B267" s="1" t="n">
        <v>45377</v>
      </c>
      <c r="C267" s="1" t="n">
        <v>45883</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58608-2024</t>
        </is>
      </c>
      <c r="B268" s="1" t="n">
        <v>45635.55185185185</v>
      </c>
      <c r="C268" s="1" t="n">
        <v>45883</v>
      </c>
      <c r="D268" t="inlineStr">
        <is>
          <t>ÖREBRO LÄN</t>
        </is>
      </c>
      <c r="E268" t="inlineStr">
        <is>
          <t>ÖREBRO</t>
        </is>
      </c>
      <c r="F268" t="inlineStr">
        <is>
          <t>Sveaskog</t>
        </is>
      </c>
      <c r="G268" t="n">
        <v>0.3</v>
      </c>
      <c r="H268" t="n">
        <v>0</v>
      </c>
      <c r="I268" t="n">
        <v>0</v>
      </c>
      <c r="J268" t="n">
        <v>0</v>
      </c>
      <c r="K268" t="n">
        <v>0</v>
      </c>
      <c r="L268" t="n">
        <v>0</v>
      </c>
      <c r="M268" t="n">
        <v>0</v>
      </c>
      <c r="N268" t="n">
        <v>0</v>
      </c>
      <c r="O268" t="n">
        <v>0</v>
      </c>
      <c r="P268" t="n">
        <v>0</v>
      </c>
      <c r="Q268" t="n">
        <v>0</v>
      </c>
      <c r="R268" s="2" t="inlineStr"/>
    </row>
    <row r="269" ht="15" customHeight="1">
      <c r="A269" t="inlineStr">
        <is>
          <t>A 40442-2020</t>
        </is>
      </c>
      <c r="B269" s="1" t="n">
        <v>44069</v>
      </c>
      <c r="C269" s="1" t="n">
        <v>45883</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2153-2023</t>
        </is>
      </c>
      <c r="B270" s="1" t="n">
        <v>44941</v>
      </c>
      <c r="C270" s="1" t="n">
        <v>45883</v>
      </c>
      <c r="D270" t="inlineStr">
        <is>
          <t>ÖREBRO LÄN</t>
        </is>
      </c>
      <c r="E270" t="inlineStr">
        <is>
          <t>ÖREBRO</t>
        </is>
      </c>
      <c r="G270" t="n">
        <v>6.3</v>
      </c>
      <c r="H270" t="n">
        <v>0</v>
      </c>
      <c r="I270" t="n">
        <v>0</v>
      </c>
      <c r="J270" t="n">
        <v>0</v>
      </c>
      <c r="K270" t="n">
        <v>0</v>
      </c>
      <c r="L270" t="n">
        <v>0</v>
      </c>
      <c r="M270" t="n">
        <v>0</v>
      </c>
      <c r="N270" t="n">
        <v>0</v>
      </c>
      <c r="O270" t="n">
        <v>0</v>
      </c>
      <c r="P270" t="n">
        <v>0</v>
      </c>
      <c r="Q270" t="n">
        <v>0</v>
      </c>
      <c r="R270" s="2" t="inlineStr"/>
    </row>
    <row r="271" ht="15" customHeight="1">
      <c r="A271" t="inlineStr">
        <is>
          <t>A 56077-2022</t>
        </is>
      </c>
      <c r="B271" s="1" t="n">
        <v>44889.60872685185</v>
      </c>
      <c r="C271" s="1" t="n">
        <v>45883</v>
      </c>
      <c r="D271" t="inlineStr">
        <is>
          <t>ÖREBRO LÄN</t>
        </is>
      </c>
      <c r="E271" t="inlineStr">
        <is>
          <t>ÖREBRO</t>
        </is>
      </c>
      <c r="F271" t="inlineStr">
        <is>
          <t>Övriga Aktiebolag</t>
        </is>
      </c>
      <c r="G271" t="n">
        <v>2.5</v>
      </c>
      <c r="H271" t="n">
        <v>0</v>
      </c>
      <c r="I271" t="n">
        <v>0</v>
      </c>
      <c r="J271" t="n">
        <v>0</v>
      </c>
      <c r="K271" t="n">
        <v>0</v>
      </c>
      <c r="L271" t="n">
        <v>0</v>
      </c>
      <c r="M271" t="n">
        <v>0</v>
      </c>
      <c r="N271" t="n">
        <v>0</v>
      </c>
      <c r="O271" t="n">
        <v>0</v>
      </c>
      <c r="P271" t="n">
        <v>0</v>
      </c>
      <c r="Q271" t="n">
        <v>0</v>
      </c>
      <c r="R271" s="2" t="inlineStr"/>
    </row>
    <row r="272" ht="15" customHeight="1">
      <c r="A272" t="inlineStr">
        <is>
          <t>A 9609-2023</t>
        </is>
      </c>
      <c r="B272" s="1" t="n">
        <v>44983.93344907407</v>
      </c>
      <c r="C272" s="1" t="n">
        <v>45883</v>
      </c>
      <c r="D272" t="inlineStr">
        <is>
          <t>ÖREBRO LÄN</t>
        </is>
      </c>
      <c r="E272" t="inlineStr">
        <is>
          <t>ÖREBRO</t>
        </is>
      </c>
      <c r="G272" t="n">
        <v>2</v>
      </c>
      <c r="H272" t="n">
        <v>0</v>
      </c>
      <c r="I272" t="n">
        <v>0</v>
      </c>
      <c r="J272" t="n">
        <v>0</v>
      </c>
      <c r="K272" t="n">
        <v>0</v>
      </c>
      <c r="L272" t="n">
        <v>0</v>
      </c>
      <c r="M272" t="n">
        <v>0</v>
      </c>
      <c r="N272" t="n">
        <v>0</v>
      </c>
      <c r="O272" t="n">
        <v>0</v>
      </c>
      <c r="P272" t="n">
        <v>0</v>
      </c>
      <c r="Q272" t="n">
        <v>0</v>
      </c>
      <c r="R272" s="2" t="inlineStr"/>
    </row>
    <row r="273" ht="15" customHeight="1">
      <c r="A273" t="inlineStr">
        <is>
          <t>A 2069-2025</t>
        </is>
      </c>
      <c r="B273" s="1" t="n">
        <v>45672.56614583333</v>
      </c>
      <c r="C273" s="1" t="n">
        <v>45883</v>
      </c>
      <c r="D273" t="inlineStr">
        <is>
          <t>ÖREBRO LÄN</t>
        </is>
      </c>
      <c r="E273" t="inlineStr">
        <is>
          <t>ÖREBRO</t>
        </is>
      </c>
      <c r="G273" t="n">
        <v>3.8</v>
      </c>
      <c r="H273" t="n">
        <v>0</v>
      </c>
      <c r="I273" t="n">
        <v>0</v>
      </c>
      <c r="J273" t="n">
        <v>0</v>
      </c>
      <c r="K273" t="n">
        <v>0</v>
      </c>
      <c r="L273" t="n">
        <v>0</v>
      </c>
      <c r="M273" t="n">
        <v>0</v>
      </c>
      <c r="N273" t="n">
        <v>0</v>
      </c>
      <c r="O273" t="n">
        <v>0</v>
      </c>
      <c r="P273" t="n">
        <v>0</v>
      </c>
      <c r="Q273" t="n">
        <v>0</v>
      </c>
      <c r="R273" s="2" t="inlineStr"/>
    </row>
    <row r="274" ht="15" customHeight="1">
      <c r="A274" t="inlineStr">
        <is>
          <t>A 70707-2021</t>
        </is>
      </c>
      <c r="B274" s="1" t="n">
        <v>44537</v>
      </c>
      <c r="C274" s="1" t="n">
        <v>45883</v>
      </c>
      <c r="D274" t="inlineStr">
        <is>
          <t>ÖREBRO LÄN</t>
        </is>
      </c>
      <c r="E274" t="inlineStr">
        <is>
          <t>ÖREBRO</t>
        </is>
      </c>
      <c r="G274" t="n">
        <v>13.2</v>
      </c>
      <c r="H274" t="n">
        <v>0</v>
      </c>
      <c r="I274" t="n">
        <v>0</v>
      </c>
      <c r="J274" t="n">
        <v>0</v>
      </c>
      <c r="K274" t="n">
        <v>0</v>
      </c>
      <c r="L274" t="n">
        <v>0</v>
      </c>
      <c r="M274" t="n">
        <v>0</v>
      </c>
      <c r="N274" t="n">
        <v>0</v>
      </c>
      <c r="O274" t="n">
        <v>0</v>
      </c>
      <c r="P274" t="n">
        <v>0</v>
      </c>
      <c r="Q274" t="n">
        <v>0</v>
      </c>
      <c r="R274" s="2" t="inlineStr"/>
    </row>
    <row r="275" ht="15" customHeight="1">
      <c r="A275" t="inlineStr">
        <is>
          <t>A 852-2025</t>
        </is>
      </c>
      <c r="B275" s="1" t="n">
        <v>45665.60148148148</v>
      </c>
      <c r="C275" s="1" t="n">
        <v>45883</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57243-2022</t>
        </is>
      </c>
      <c r="B276" s="1" t="n">
        <v>44895.71835648148</v>
      </c>
      <c r="C276" s="1" t="n">
        <v>45883</v>
      </c>
      <c r="D276" t="inlineStr">
        <is>
          <t>ÖREBRO LÄN</t>
        </is>
      </c>
      <c r="E276" t="inlineStr">
        <is>
          <t>ÖREBRO</t>
        </is>
      </c>
      <c r="G276" t="n">
        <v>6</v>
      </c>
      <c r="H276" t="n">
        <v>0</v>
      </c>
      <c r="I276" t="n">
        <v>0</v>
      </c>
      <c r="J276" t="n">
        <v>0</v>
      </c>
      <c r="K276" t="n">
        <v>0</v>
      </c>
      <c r="L276" t="n">
        <v>0</v>
      </c>
      <c r="M276" t="n">
        <v>0</v>
      </c>
      <c r="N276" t="n">
        <v>0</v>
      </c>
      <c r="O276" t="n">
        <v>0</v>
      </c>
      <c r="P276" t="n">
        <v>0</v>
      </c>
      <c r="Q276" t="n">
        <v>0</v>
      </c>
      <c r="R276" s="2" t="inlineStr"/>
    </row>
    <row r="277" ht="15" customHeight="1">
      <c r="A277" t="inlineStr">
        <is>
          <t>A 50398-2022</t>
        </is>
      </c>
      <c r="B277" s="1" t="n">
        <v>44861</v>
      </c>
      <c r="C277" s="1" t="n">
        <v>45883</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52441-2024</t>
        </is>
      </c>
      <c r="B278" s="1" t="n">
        <v>45609.48451388889</v>
      </c>
      <c r="C278" s="1" t="n">
        <v>45883</v>
      </c>
      <c r="D278" t="inlineStr">
        <is>
          <t>ÖREBRO LÄN</t>
        </is>
      </c>
      <c r="E278" t="inlineStr">
        <is>
          <t>ÖREBRO</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52499-2024</t>
        </is>
      </c>
      <c r="B279" s="1" t="n">
        <v>45609.58422453704</v>
      </c>
      <c r="C279" s="1" t="n">
        <v>45883</v>
      </c>
      <c r="D279" t="inlineStr">
        <is>
          <t>ÖREBRO LÄN</t>
        </is>
      </c>
      <c r="E279" t="inlineStr">
        <is>
          <t>ÖREBRO</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58621-2024</t>
        </is>
      </c>
      <c r="B280" s="1" t="n">
        <v>45635.56321759259</v>
      </c>
      <c r="C280" s="1" t="n">
        <v>45883</v>
      </c>
      <c r="D280" t="inlineStr">
        <is>
          <t>ÖREBRO LÄN</t>
        </is>
      </c>
      <c r="E280" t="inlineStr">
        <is>
          <t>ÖREBRO</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58216-2024</t>
        </is>
      </c>
      <c r="B281" s="1" t="n">
        <v>45632</v>
      </c>
      <c r="C281" s="1" t="n">
        <v>45883</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8008-2024</t>
        </is>
      </c>
      <c r="B282" s="1" t="n">
        <v>45350.6794212963</v>
      </c>
      <c r="C282" s="1" t="n">
        <v>45883</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18181-2024</t>
        </is>
      </c>
      <c r="B283" s="1" t="n">
        <v>45420.64561342593</v>
      </c>
      <c r="C283" s="1" t="n">
        <v>45883</v>
      </c>
      <c r="D283" t="inlineStr">
        <is>
          <t>ÖREBRO LÄN</t>
        </is>
      </c>
      <c r="E283" t="inlineStr">
        <is>
          <t>ÖREBRO</t>
        </is>
      </c>
      <c r="G283" t="n">
        <v>7.6</v>
      </c>
      <c r="H283" t="n">
        <v>0</v>
      </c>
      <c r="I283" t="n">
        <v>0</v>
      </c>
      <c r="J283" t="n">
        <v>0</v>
      </c>
      <c r="K283" t="n">
        <v>0</v>
      </c>
      <c r="L283" t="n">
        <v>0</v>
      </c>
      <c r="M283" t="n">
        <v>0</v>
      </c>
      <c r="N283" t="n">
        <v>0</v>
      </c>
      <c r="O283" t="n">
        <v>0</v>
      </c>
      <c r="P283" t="n">
        <v>0</v>
      </c>
      <c r="Q283" t="n">
        <v>0</v>
      </c>
      <c r="R283" s="2" t="inlineStr"/>
    </row>
    <row r="284" ht="15" customHeight="1">
      <c r="A284" t="inlineStr">
        <is>
          <t>A 38415-2023</t>
        </is>
      </c>
      <c r="B284" s="1" t="n">
        <v>45162.35502314815</v>
      </c>
      <c r="C284" s="1" t="n">
        <v>45883</v>
      </c>
      <c r="D284" t="inlineStr">
        <is>
          <t>ÖREBRO LÄN</t>
        </is>
      </c>
      <c r="E284" t="inlineStr">
        <is>
          <t>ÖREBRO</t>
        </is>
      </c>
      <c r="G284" t="n">
        <v>2.6</v>
      </c>
      <c r="H284" t="n">
        <v>0</v>
      </c>
      <c r="I284" t="n">
        <v>0</v>
      </c>
      <c r="J284" t="n">
        <v>0</v>
      </c>
      <c r="K284" t="n">
        <v>0</v>
      </c>
      <c r="L284" t="n">
        <v>0</v>
      </c>
      <c r="M284" t="n">
        <v>0</v>
      </c>
      <c r="N284" t="n">
        <v>0</v>
      </c>
      <c r="O284" t="n">
        <v>0</v>
      </c>
      <c r="P284" t="n">
        <v>0</v>
      </c>
      <c r="Q284" t="n">
        <v>0</v>
      </c>
      <c r="R284" s="2" t="inlineStr"/>
    </row>
    <row r="285" ht="15" customHeight="1">
      <c r="A285" t="inlineStr">
        <is>
          <t>A 16374-2022</t>
        </is>
      </c>
      <c r="B285" s="1" t="n">
        <v>44671</v>
      </c>
      <c r="C285" s="1" t="n">
        <v>45883</v>
      </c>
      <c r="D285" t="inlineStr">
        <is>
          <t>ÖREBRO LÄN</t>
        </is>
      </c>
      <c r="E285" t="inlineStr">
        <is>
          <t>ÖREBRO</t>
        </is>
      </c>
      <c r="F285" t="inlineStr">
        <is>
          <t>Övriga Aktiebolag</t>
        </is>
      </c>
      <c r="G285" t="n">
        <v>30.3</v>
      </c>
      <c r="H285" t="n">
        <v>0</v>
      </c>
      <c r="I285" t="n">
        <v>0</v>
      </c>
      <c r="J285" t="n">
        <v>0</v>
      </c>
      <c r="K285" t="n">
        <v>0</v>
      </c>
      <c r="L285" t="n">
        <v>0</v>
      </c>
      <c r="M285" t="n">
        <v>0</v>
      </c>
      <c r="N285" t="n">
        <v>0</v>
      </c>
      <c r="O285" t="n">
        <v>0</v>
      </c>
      <c r="P285" t="n">
        <v>0</v>
      </c>
      <c r="Q285" t="n">
        <v>0</v>
      </c>
      <c r="R285" s="2" t="inlineStr"/>
    </row>
    <row r="286" ht="15" customHeight="1">
      <c r="A286" t="inlineStr">
        <is>
          <t>A 60289-2023</t>
        </is>
      </c>
      <c r="B286" s="1" t="n">
        <v>45257</v>
      </c>
      <c r="C286" s="1" t="n">
        <v>45883</v>
      </c>
      <c r="D286" t="inlineStr">
        <is>
          <t>ÖREBRO LÄN</t>
        </is>
      </c>
      <c r="E286" t="inlineStr">
        <is>
          <t>ÖREBRO</t>
        </is>
      </c>
      <c r="G286" t="n">
        <v>10.9</v>
      </c>
      <c r="H286" t="n">
        <v>0</v>
      </c>
      <c r="I286" t="n">
        <v>0</v>
      </c>
      <c r="J286" t="n">
        <v>0</v>
      </c>
      <c r="K286" t="n">
        <v>0</v>
      </c>
      <c r="L286" t="n">
        <v>0</v>
      </c>
      <c r="M286" t="n">
        <v>0</v>
      </c>
      <c r="N286" t="n">
        <v>0</v>
      </c>
      <c r="O286" t="n">
        <v>0</v>
      </c>
      <c r="P286" t="n">
        <v>0</v>
      </c>
      <c r="Q286" t="n">
        <v>0</v>
      </c>
      <c r="R286" s="2" t="inlineStr"/>
    </row>
    <row r="287" ht="15" customHeight="1">
      <c r="A287" t="inlineStr">
        <is>
          <t>A 9704-2023</t>
        </is>
      </c>
      <c r="B287" s="1" t="n">
        <v>44984</v>
      </c>
      <c r="C287" s="1" t="n">
        <v>45883</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19180-2025</t>
        </is>
      </c>
      <c r="B288" s="1" t="n">
        <v>45769.40133101852</v>
      </c>
      <c r="C288" s="1" t="n">
        <v>45883</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46052-2024</t>
        </is>
      </c>
      <c r="B289" s="1" t="n">
        <v>45580.89116898148</v>
      </c>
      <c r="C289" s="1" t="n">
        <v>45883</v>
      </c>
      <c r="D289" t="inlineStr">
        <is>
          <t>ÖREBRO LÄN</t>
        </is>
      </c>
      <c r="E289" t="inlineStr">
        <is>
          <t>ÖREBRO</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58527-2024</t>
        </is>
      </c>
      <c r="B290" s="1" t="n">
        <v>45635.44388888889</v>
      </c>
      <c r="C290" s="1" t="n">
        <v>45883</v>
      </c>
      <c r="D290" t="inlineStr">
        <is>
          <t>ÖREBRO LÄN</t>
        </is>
      </c>
      <c r="E290" t="inlineStr">
        <is>
          <t>ÖREBRO</t>
        </is>
      </c>
      <c r="F290" t="inlineStr">
        <is>
          <t>Sveaskog</t>
        </is>
      </c>
      <c r="G290" t="n">
        <v>6.4</v>
      </c>
      <c r="H290" t="n">
        <v>0</v>
      </c>
      <c r="I290" t="n">
        <v>0</v>
      </c>
      <c r="J290" t="n">
        <v>0</v>
      </c>
      <c r="K290" t="n">
        <v>0</v>
      </c>
      <c r="L290" t="n">
        <v>0</v>
      </c>
      <c r="M290" t="n">
        <v>0</v>
      </c>
      <c r="N290" t="n">
        <v>0</v>
      </c>
      <c r="O290" t="n">
        <v>0</v>
      </c>
      <c r="P290" t="n">
        <v>0</v>
      </c>
      <c r="Q290" t="n">
        <v>0</v>
      </c>
      <c r="R290" s="2" t="inlineStr"/>
    </row>
    <row r="291" ht="15" customHeight="1">
      <c r="A291" t="inlineStr">
        <is>
          <t>A 37012-2024</t>
        </is>
      </c>
      <c r="B291" s="1" t="n">
        <v>45539</v>
      </c>
      <c r="C291" s="1" t="n">
        <v>45883</v>
      </c>
      <c r="D291" t="inlineStr">
        <is>
          <t>ÖREBRO LÄN</t>
        </is>
      </c>
      <c r="E291" t="inlineStr">
        <is>
          <t>ÖREBRO</t>
        </is>
      </c>
      <c r="G291" t="n">
        <v>4.1</v>
      </c>
      <c r="H291" t="n">
        <v>0</v>
      </c>
      <c r="I291" t="n">
        <v>0</v>
      </c>
      <c r="J291" t="n">
        <v>0</v>
      </c>
      <c r="K291" t="n">
        <v>0</v>
      </c>
      <c r="L291" t="n">
        <v>0</v>
      </c>
      <c r="M291" t="n">
        <v>0</v>
      </c>
      <c r="N291" t="n">
        <v>0</v>
      </c>
      <c r="O291" t="n">
        <v>0</v>
      </c>
      <c r="P291" t="n">
        <v>0</v>
      </c>
      <c r="Q291" t="n">
        <v>0</v>
      </c>
      <c r="R291" s="2" t="inlineStr"/>
    </row>
    <row r="292" ht="15" customHeight="1">
      <c r="A292" t="inlineStr">
        <is>
          <t>A 37020-2024</t>
        </is>
      </c>
      <c r="B292" s="1" t="n">
        <v>45539.38059027777</v>
      </c>
      <c r="C292" s="1" t="n">
        <v>45883</v>
      </c>
      <c r="D292" t="inlineStr">
        <is>
          <t>ÖREBRO LÄN</t>
        </is>
      </c>
      <c r="E292" t="inlineStr">
        <is>
          <t>ÖREBRO</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55353-2024</t>
        </is>
      </c>
      <c r="B293" s="1" t="n">
        <v>45621.79526620371</v>
      </c>
      <c r="C293" s="1" t="n">
        <v>45883</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37022-2024</t>
        </is>
      </c>
      <c r="B294" s="1" t="n">
        <v>45539.3822337963</v>
      </c>
      <c r="C294" s="1" t="n">
        <v>45883</v>
      </c>
      <c r="D294" t="inlineStr">
        <is>
          <t>ÖREBRO LÄN</t>
        </is>
      </c>
      <c r="E294" t="inlineStr">
        <is>
          <t>ÖREBRO</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37024-2024</t>
        </is>
      </c>
      <c r="B295" s="1" t="n">
        <v>45539.38329861111</v>
      </c>
      <c r="C295" s="1" t="n">
        <v>45883</v>
      </c>
      <c r="D295" t="inlineStr">
        <is>
          <t>ÖREBRO LÄN</t>
        </is>
      </c>
      <c r="E295" t="inlineStr">
        <is>
          <t>ÖREBRO</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38075-2022</t>
        </is>
      </c>
      <c r="B296" s="1" t="n">
        <v>44811</v>
      </c>
      <c r="C296" s="1" t="n">
        <v>45883</v>
      </c>
      <c r="D296" t="inlineStr">
        <is>
          <t>ÖREBRO LÄN</t>
        </is>
      </c>
      <c r="E296" t="inlineStr">
        <is>
          <t>ÖREBRO</t>
        </is>
      </c>
      <c r="G296" t="n">
        <v>0.2</v>
      </c>
      <c r="H296" t="n">
        <v>0</v>
      </c>
      <c r="I296" t="n">
        <v>0</v>
      </c>
      <c r="J296" t="n">
        <v>0</v>
      </c>
      <c r="K296" t="n">
        <v>0</v>
      </c>
      <c r="L296" t="n">
        <v>0</v>
      </c>
      <c r="M296" t="n">
        <v>0</v>
      </c>
      <c r="N296" t="n">
        <v>0</v>
      </c>
      <c r="O296" t="n">
        <v>0</v>
      </c>
      <c r="P296" t="n">
        <v>0</v>
      </c>
      <c r="Q296" t="n">
        <v>0</v>
      </c>
      <c r="R296" s="2" t="inlineStr"/>
    </row>
    <row r="297" ht="15" customHeight="1">
      <c r="A297" t="inlineStr">
        <is>
          <t>A 12099-2023</t>
        </is>
      </c>
      <c r="B297" s="1" t="n">
        <v>44998.37043981482</v>
      </c>
      <c r="C297" s="1" t="n">
        <v>45883</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11382-2023</t>
        </is>
      </c>
      <c r="B298" s="1" t="n">
        <v>44993.45635416666</v>
      </c>
      <c r="C298" s="1" t="n">
        <v>45883</v>
      </c>
      <c r="D298" t="inlineStr">
        <is>
          <t>ÖREBRO LÄN</t>
        </is>
      </c>
      <c r="E298" t="inlineStr">
        <is>
          <t>ÖREBRO</t>
        </is>
      </c>
      <c r="G298" t="n">
        <v>3.3</v>
      </c>
      <c r="H298" t="n">
        <v>0</v>
      </c>
      <c r="I298" t="n">
        <v>0</v>
      </c>
      <c r="J298" t="n">
        <v>0</v>
      </c>
      <c r="K298" t="n">
        <v>0</v>
      </c>
      <c r="L298" t="n">
        <v>0</v>
      </c>
      <c r="M298" t="n">
        <v>0</v>
      </c>
      <c r="N298" t="n">
        <v>0</v>
      </c>
      <c r="O298" t="n">
        <v>0</v>
      </c>
      <c r="P298" t="n">
        <v>0</v>
      </c>
      <c r="Q298" t="n">
        <v>0</v>
      </c>
      <c r="R298" s="2" t="inlineStr"/>
    </row>
    <row r="299" ht="15" customHeight="1">
      <c r="A299" t="inlineStr">
        <is>
          <t>A 20121-2024</t>
        </is>
      </c>
      <c r="B299" s="1" t="n">
        <v>45434</v>
      </c>
      <c r="C299" s="1" t="n">
        <v>45883</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541-2025</t>
        </is>
      </c>
      <c r="B300" s="1" t="n">
        <v>45664.52034722222</v>
      </c>
      <c r="C300" s="1" t="n">
        <v>45883</v>
      </c>
      <c r="D300" t="inlineStr">
        <is>
          <t>ÖREBRO LÄN</t>
        </is>
      </c>
      <c r="E300" t="inlineStr">
        <is>
          <t>ÖREBRO</t>
        </is>
      </c>
      <c r="G300" t="n">
        <v>2.2</v>
      </c>
      <c r="H300" t="n">
        <v>0</v>
      </c>
      <c r="I300" t="n">
        <v>0</v>
      </c>
      <c r="J300" t="n">
        <v>0</v>
      </c>
      <c r="K300" t="n">
        <v>0</v>
      </c>
      <c r="L300" t="n">
        <v>0</v>
      </c>
      <c r="M300" t="n">
        <v>0</v>
      </c>
      <c r="N300" t="n">
        <v>0</v>
      </c>
      <c r="O300" t="n">
        <v>0</v>
      </c>
      <c r="P300" t="n">
        <v>0</v>
      </c>
      <c r="Q300" t="n">
        <v>0</v>
      </c>
      <c r="R300" s="2" t="inlineStr"/>
    </row>
    <row r="301" ht="15" customHeight="1">
      <c r="A301" t="inlineStr">
        <is>
          <t>A 26117-2021</t>
        </is>
      </c>
      <c r="B301" s="1" t="n">
        <v>44345</v>
      </c>
      <c r="C301" s="1" t="n">
        <v>45883</v>
      </c>
      <c r="D301" t="inlineStr">
        <is>
          <t>ÖREBRO LÄN</t>
        </is>
      </c>
      <c r="E301" t="inlineStr">
        <is>
          <t>ÖREBRO</t>
        </is>
      </c>
      <c r="G301" t="n">
        <v>8.1</v>
      </c>
      <c r="H301" t="n">
        <v>0</v>
      </c>
      <c r="I301" t="n">
        <v>0</v>
      </c>
      <c r="J301" t="n">
        <v>0</v>
      </c>
      <c r="K301" t="n">
        <v>0</v>
      </c>
      <c r="L301" t="n">
        <v>0</v>
      </c>
      <c r="M301" t="n">
        <v>0</v>
      </c>
      <c r="N301" t="n">
        <v>0</v>
      </c>
      <c r="O301" t="n">
        <v>0</v>
      </c>
      <c r="P301" t="n">
        <v>0</v>
      </c>
      <c r="Q301" t="n">
        <v>0</v>
      </c>
      <c r="R301" s="2" t="inlineStr"/>
    </row>
    <row r="302" ht="15" customHeight="1">
      <c r="A302" t="inlineStr">
        <is>
          <t>A 19553-2023</t>
        </is>
      </c>
      <c r="B302" s="1" t="n">
        <v>45050</v>
      </c>
      <c r="C302" s="1" t="n">
        <v>45883</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37025-2024</t>
        </is>
      </c>
      <c r="B303" s="1" t="n">
        <v>45539.3840162037</v>
      </c>
      <c r="C303" s="1" t="n">
        <v>45883</v>
      </c>
      <c r="D303" t="inlineStr">
        <is>
          <t>ÖREBRO LÄN</t>
        </is>
      </c>
      <c r="E303" t="inlineStr">
        <is>
          <t>ÖREBRO</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37027-2024</t>
        </is>
      </c>
      <c r="B304" s="1" t="n">
        <v>45539.38487268519</v>
      </c>
      <c r="C304" s="1" t="n">
        <v>45883</v>
      </c>
      <c r="D304" t="inlineStr">
        <is>
          <t>ÖREBRO LÄN</t>
        </is>
      </c>
      <c r="E304" t="inlineStr">
        <is>
          <t>ÖREBRO</t>
        </is>
      </c>
      <c r="F304" t="inlineStr">
        <is>
          <t>Sveaskog</t>
        </is>
      </c>
      <c r="G304" t="n">
        <v>1</v>
      </c>
      <c r="H304" t="n">
        <v>0</v>
      </c>
      <c r="I304" t="n">
        <v>0</v>
      </c>
      <c r="J304" t="n">
        <v>0</v>
      </c>
      <c r="K304" t="n">
        <v>0</v>
      </c>
      <c r="L304" t="n">
        <v>0</v>
      </c>
      <c r="M304" t="n">
        <v>0</v>
      </c>
      <c r="N304" t="n">
        <v>0</v>
      </c>
      <c r="O304" t="n">
        <v>0</v>
      </c>
      <c r="P304" t="n">
        <v>0</v>
      </c>
      <c r="Q304" t="n">
        <v>0</v>
      </c>
      <c r="R304" s="2" t="inlineStr"/>
    </row>
    <row r="305" ht="15" customHeight="1">
      <c r="A305" t="inlineStr">
        <is>
          <t>A 55943-2024</t>
        </is>
      </c>
      <c r="B305" s="1" t="n">
        <v>45623.61278935185</v>
      </c>
      <c r="C305" s="1" t="n">
        <v>45883</v>
      </c>
      <c r="D305" t="inlineStr">
        <is>
          <t>ÖREBRO LÄN</t>
        </is>
      </c>
      <c r="E305" t="inlineStr">
        <is>
          <t>ÖREBRO</t>
        </is>
      </c>
      <c r="G305" t="n">
        <v>4.8</v>
      </c>
      <c r="H305" t="n">
        <v>0</v>
      </c>
      <c r="I305" t="n">
        <v>0</v>
      </c>
      <c r="J305" t="n">
        <v>0</v>
      </c>
      <c r="K305" t="n">
        <v>0</v>
      </c>
      <c r="L305" t="n">
        <v>0</v>
      </c>
      <c r="M305" t="n">
        <v>0</v>
      </c>
      <c r="N305" t="n">
        <v>0</v>
      </c>
      <c r="O305" t="n">
        <v>0</v>
      </c>
      <c r="P305" t="n">
        <v>0</v>
      </c>
      <c r="Q305" t="n">
        <v>0</v>
      </c>
      <c r="R305" s="2" t="inlineStr"/>
    </row>
    <row r="306" ht="15" customHeight="1">
      <c r="A306" t="inlineStr">
        <is>
          <t>A 23594-2023</t>
        </is>
      </c>
      <c r="B306" s="1" t="n">
        <v>45077</v>
      </c>
      <c r="C306" s="1" t="n">
        <v>45883</v>
      </c>
      <c r="D306" t="inlineStr">
        <is>
          <t>ÖREBRO LÄN</t>
        </is>
      </c>
      <c r="E306" t="inlineStr">
        <is>
          <t>ÖREBRO</t>
        </is>
      </c>
      <c r="G306" t="n">
        <v>9.9</v>
      </c>
      <c r="H306" t="n">
        <v>0</v>
      </c>
      <c r="I306" t="n">
        <v>0</v>
      </c>
      <c r="J306" t="n">
        <v>0</v>
      </c>
      <c r="K306" t="n">
        <v>0</v>
      </c>
      <c r="L306" t="n">
        <v>0</v>
      </c>
      <c r="M306" t="n">
        <v>0</v>
      </c>
      <c r="N306" t="n">
        <v>0</v>
      </c>
      <c r="O306" t="n">
        <v>0</v>
      </c>
      <c r="P306" t="n">
        <v>0</v>
      </c>
      <c r="Q306" t="n">
        <v>0</v>
      </c>
      <c r="R306" s="2" t="inlineStr"/>
    </row>
    <row r="307" ht="15" customHeight="1">
      <c r="A307" t="inlineStr">
        <is>
          <t>A 1013-2024</t>
        </is>
      </c>
      <c r="B307" s="1" t="n">
        <v>45301</v>
      </c>
      <c r="C307" s="1" t="n">
        <v>45883</v>
      </c>
      <c r="D307" t="inlineStr">
        <is>
          <t>ÖREBRO LÄN</t>
        </is>
      </c>
      <c r="E307" t="inlineStr">
        <is>
          <t>ÖREBRO</t>
        </is>
      </c>
      <c r="G307" t="n">
        <v>2.6</v>
      </c>
      <c r="H307" t="n">
        <v>0</v>
      </c>
      <c r="I307" t="n">
        <v>0</v>
      </c>
      <c r="J307" t="n">
        <v>0</v>
      </c>
      <c r="K307" t="n">
        <v>0</v>
      </c>
      <c r="L307" t="n">
        <v>0</v>
      </c>
      <c r="M307" t="n">
        <v>0</v>
      </c>
      <c r="N307" t="n">
        <v>0</v>
      </c>
      <c r="O307" t="n">
        <v>0</v>
      </c>
      <c r="P307" t="n">
        <v>0</v>
      </c>
      <c r="Q307" t="n">
        <v>0</v>
      </c>
      <c r="R307" s="2" t="inlineStr"/>
    </row>
    <row r="308" ht="15" customHeight="1">
      <c r="A308" t="inlineStr">
        <is>
          <t>A 13623-2024</t>
        </is>
      </c>
      <c r="B308" s="1" t="n">
        <v>45390.38626157407</v>
      </c>
      <c r="C308" s="1" t="n">
        <v>45883</v>
      </c>
      <c r="D308" t="inlineStr">
        <is>
          <t>ÖREBRO LÄN</t>
        </is>
      </c>
      <c r="E308" t="inlineStr">
        <is>
          <t>ÖREBRO</t>
        </is>
      </c>
      <c r="G308" t="n">
        <v>1.1</v>
      </c>
      <c r="H308" t="n">
        <v>0</v>
      </c>
      <c r="I308" t="n">
        <v>0</v>
      </c>
      <c r="J308" t="n">
        <v>0</v>
      </c>
      <c r="K308" t="n">
        <v>0</v>
      </c>
      <c r="L308" t="n">
        <v>0</v>
      </c>
      <c r="M308" t="n">
        <v>0</v>
      </c>
      <c r="N308" t="n">
        <v>0</v>
      </c>
      <c r="O308" t="n">
        <v>0</v>
      </c>
      <c r="P308" t="n">
        <v>0</v>
      </c>
      <c r="Q308" t="n">
        <v>0</v>
      </c>
      <c r="R308" s="2" t="inlineStr"/>
    </row>
    <row r="309" ht="15" customHeight="1">
      <c r="A309" t="inlineStr">
        <is>
          <t>A 8022-2022</t>
        </is>
      </c>
      <c r="B309" s="1" t="n">
        <v>44609</v>
      </c>
      <c r="C309" s="1" t="n">
        <v>45883</v>
      </c>
      <c r="D309" t="inlineStr">
        <is>
          <t>ÖREBRO LÄN</t>
        </is>
      </c>
      <c r="E309" t="inlineStr">
        <is>
          <t>ÖREBRO</t>
        </is>
      </c>
      <c r="G309" t="n">
        <v>5.6</v>
      </c>
      <c r="H309" t="n">
        <v>0</v>
      </c>
      <c r="I309" t="n">
        <v>0</v>
      </c>
      <c r="J309" t="n">
        <v>0</v>
      </c>
      <c r="K309" t="n">
        <v>0</v>
      </c>
      <c r="L309" t="n">
        <v>0</v>
      </c>
      <c r="M309" t="n">
        <v>0</v>
      </c>
      <c r="N309" t="n">
        <v>0</v>
      </c>
      <c r="O309" t="n">
        <v>0</v>
      </c>
      <c r="P309" t="n">
        <v>0</v>
      </c>
      <c r="Q309" t="n">
        <v>0</v>
      </c>
      <c r="R309" s="2" t="inlineStr"/>
    </row>
    <row r="310" ht="15" customHeight="1">
      <c r="A310" t="inlineStr">
        <is>
          <t>A 47193-2023</t>
        </is>
      </c>
      <c r="B310" s="1" t="n">
        <v>45202.3074537037</v>
      </c>
      <c r="C310" s="1" t="n">
        <v>45883</v>
      </c>
      <c r="D310" t="inlineStr">
        <is>
          <t>ÖREBRO LÄN</t>
        </is>
      </c>
      <c r="E310" t="inlineStr">
        <is>
          <t>ÖREBRO</t>
        </is>
      </c>
      <c r="G310" t="n">
        <v>2.4</v>
      </c>
      <c r="H310" t="n">
        <v>0</v>
      </c>
      <c r="I310" t="n">
        <v>0</v>
      </c>
      <c r="J310" t="n">
        <v>0</v>
      </c>
      <c r="K310" t="n">
        <v>0</v>
      </c>
      <c r="L310" t="n">
        <v>0</v>
      </c>
      <c r="M310" t="n">
        <v>0</v>
      </c>
      <c r="N310" t="n">
        <v>0</v>
      </c>
      <c r="O310" t="n">
        <v>0</v>
      </c>
      <c r="P310" t="n">
        <v>0</v>
      </c>
      <c r="Q310" t="n">
        <v>0</v>
      </c>
      <c r="R310" s="2" t="inlineStr"/>
    </row>
    <row r="311" ht="15" customHeight="1">
      <c r="A311" t="inlineStr">
        <is>
          <t>A 58598-2022</t>
        </is>
      </c>
      <c r="B311" s="1" t="n">
        <v>44902</v>
      </c>
      <c r="C311" s="1" t="n">
        <v>45883</v>
      </c>
      <c r="D311" t="inlineStr">
        <is>
          <t>ÖREBRO LÄN</t>
        </is>
      </c>
      <c r="E311" t="inlineStr">
        <is>
          <t>ÖREBRO</t>
        </is>
      </c>
      <c r="G311" t="n">
        <v>0.4</v>
      </c>
      <c r="H311" t="n">
        <v>0</v>
      </c>
      <c r="I311" t="n">
        <v>0</v>
      </c>
      <c r="J311" t="n">
        <v>0</v>
      </c>
      <c r="K311" t="n">
        <v>0</v>
      </c>
      <c r="L311" t="n">
        <v>0</v>
      </c>
      <c r="M311" t="n">
        <v>0</v>
      </c>
      <c r="N311" t="n">
        <v>0</v>
      </c>
      <c r="O311" t="n">
        <v>0</v>
      </c>
      <c r="P311" t="n">
        <v>0</v>
      </c>
      <c r="Q311" t="n">
        <v>0</v>
      </c>
      <c r="R311" s="2" t="inlineStr"/>
    </row>
    <row r="312" ht="15" customHeight="1">
      <c r="A312" t="inlineStr">
        <is>
          <t>A 45029-2020</t>
        </is>
      </c>
      <c r="B312" s="1" t="n">
        <v>44088</v>
      </c>
      <c r="C312" s="1" t="n">
        <v>45883</v>
      </c>
      <c r="D312" t="inlineStr">
        <is>
          <t>ÖREBRO LÄN</t>
        </is>
      </c>
      <c r="E312" t="inlineStr">
        <is>
          <t>ÖREBRO</t>
        </is>
      </c>
      <c r="G312" t="n">
        <v>3.8</v>
      </c>
      <c r="H312" t="n">
        <v>0</v>
      </c>
      <c r="I312" t="n">
        <v>0</v>
      </c>
      <c r="J312" t="n">
        <v>0</v>
      </c>
      <c r="K312" t="n">
        <v>0</v>
      </c>
      <c r="L312" t="n">
        <v>0</v>
      </c>
      <c r="M312" t="n">
        <v>0</v>
      </c>
      <c r="N312" t="n">
        <v>0</v>
      </c>
      <c r="O312" t="n">
        <v>0</v>
      </c>
      <c r="P312" t="n">
        <v>0</v>
      </c>
      <c r="Q312" t="n">
        <v>0</v>
      </c>
      <c r="R312" s="2" t="inlineStr"/>
    </row>
    <row r="313" ht="15" customHeight="1">
      <c r="A313" t="inlineStr">
        <is>
          <t>A 48687-2024</t>
        </is>
      </c>
      <c r="B313" s="1" t="n">
        <v>45593.49899305555</v>
      </c>
      <c r="C313" s="1" t="n">
        <v>45883</v>
      </c>
      <c r="D313" t="inlineStr">
        <is>
          <t>ÖREBRO LÄN</t>
        </is>
      </c>
      <c r="E313" t="inlineStr">
        <is>
          <t>ÖREBRO</t>
        </is>
      </c>
      <c r="F313" t="inlineStr">
        <is>
          <t>Övriga Aktiebolag</t>
        </is>
      </c>
      <c r="G313" t="n">
        <v>3.8</v>
      </c>
      <c r="H313" t="n">
        <v>0</v>
      </c>
      <c r="I313" t="n">
        <v>0</v>
      </c>
      <c r="J313" t="n">
        <v>0</v>
      </c>
      <c r="K313" t="n">
        <v>0</v>
      </c>
      <c r="L313" t="n">
        <v>0</v>
      </c>
      <c r="M313" t="n">
        <v>0</v>
      </c>
      <c r="N313" t="n">
        <v>0</v>
      </c>
      <c r="O313" t="n">
        <v>0</v>
      </c>
      <c r="P313" t="n">
        <v>0</v>
      </c>
      <c r="Q313" t="n">
        <v>0</v>
      </c>
      <c r="R313" s="2" t="inlineStr"/>
    </row>
    <row r="314" ht="15" customHeight="1">
      <c r="A314" t="inlineStr">
        <is>
          <t>A 58277-2022</t>
        </is>
      </c>
      <c r="B314" s="1" t="n">
        <v>44901.48108796297</v>
      </c>
      <c r="C314" s="1" t="n">
        <v>45883</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5330-2024</t>
        </is>
      </c>
      <c r="B315" s="1" t="n">
        <v>45331.4187962963</v>
      </c>
      <c r="C315" s="1" t="n">
        <v>45883</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31906-2023</t>
        </is>
      </c>
      <c r="B316" s="1" t="n">
        <v>45118.8353125</v>
      </c>
      <c r="C316" s="1" t="n">
        <v>45883</v>
      </c>
      <c r="D316" t="inlineStr">
        <is>
          <t>ÖREBRO LÄN</t>
        </is>
      </c>
      <c r="E316" t="inlineStr">
        <is>
          <t>ÖREBRO</t>
        </is>
      </c>
      <c r="G316" t="n">
        <v>9</v>
      </c>
      <c r="H316" t="n">
        <v>0</v>
      </c>
      <c r="I316" t="n">
        <v>0</v>
      </c>
      <c r="J316" t="n">
        <v>0</v>
      </c>
      <c r="K316" t="n">
        <v>0</v>
      </c>
      <c r="L316" t="n">
        <v>0</v>
      </c>
      <c r="M316" t="n">
        <v>0</v>
      </c>
      <c r="N316" t="n">
        <v>0</v>
      </c>
      <c r="O316" t="n">
        <v>0</v>
      </c>
      <c r="P316" t="n">
        <v>0</v>
      </c>
      <c r="Q316" t="n">
        <v>0</v>
      </c>
      <c r="R316" s="2" t="inlineStr"/>
    </row>
    <row r="317" ht="15" customHeight="1">
      <c r="A317" t="inlineStr">
        <is>
          <t>A 6794-2025</t>
        </is>
      </c>
      <c r="B317" s="1" t="n">
        <v>45700.66429398148</v>
      </c>
      <c r="C317" s="1" t="n">
        <v>45883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71206-2021</t>
        </is>
      </c>
      <c r="B318" s="1" t="n">
        <v>44539</v>
      </c>
      <c r="C318" s="1" t="n">
        <v>45883</v>
      </c>
      <c r="D318" t="inlineStr">
        <is>
          <t>ÖREBRO LÄN</t>
        </is>
      </c>
      <c r="E318" t="inlineStr">
        <is>
          <t>ÖREBRO</t>
        </is>
      </c>
      <c r="G318" t="n">
        <v>2.5</v>
      </c>
      <c r="H318" t="n">
        <v>0</v>
      </c>
      <c r="I318" t="n">
        <v>0</v>
      </c>
      <c r="J318" t="n">
        <v>0</v>
      </c>
      <c r="K318" t="n">
        <v>0</v>
      </c>
      <c r="L318" t="n">
        <v>0</v>
      </c>
      <c r="M318" t="n">
        <v>0</v>
      </c>
      <c r="N318" t="n">
        <v>0</v>
      </c>
      <c r="O318" t="n">
        <v>0</v>
      </c>
      <c r="P318" t="n">
        <v>0</v>
      </c>
      <c r="Q318" t="n">
        <v>0</v>
      </c>
      <c r="R318" s="2" t="inlineStr"/>
    </row>
    <row r="319" ht="15" customHeight="1">
      <c r="A319" t="inlineStr">
        <is>
          <t>A 6387-2021</t>
        </is>
      </c>
      <c r="B319" s="1" t="n">
        <v>44235</v>
      </c>
      <c r="C319" s="1" t="n">
        <v>45883</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16739-2022</t>
        </is>
      </c>
      <c r="B320" s="1" t="n">
        <v>44673</v>
      </c>
      <c r="C320" s="1" t="n">
        <v>45883</v>
      </c>
      <c r="D320" t="inlineStr">
        <is>
          <t>ÖREBRO LÄN</t>
        </is>
      </c>
      <c r="E320" t="inlineStr">
        <is>
          <t>ÖREBRO</t>
        </is>
      </c>
      <c r="G320" t="n">
        <v>4.7</v>
      </c>
      <c r="H320" t="n">
        <v>0</v>
      </c>
      <c r="I320" t="n">
        <v>0</v>
      </c>
      <c r="J320" t="n">
        <v>0</v>
      </c>
      <c r="K320" t="n">
        <v>0</v>
      </c>
      <c r="L320" t="n">
        <v>0</v>
      </c>
      <c r="M320" t="n">
        <v>0</v>
      </c>
      <c r="N320" t="n">
        <v>0</v>
      </c>
      <c r="O320" t="n">
        <v>0</v>
      </c>
      <c r="P320" t="n">
        <v>0</v>
      </c>
      <c r="Q320" t="n">
        <v>0</v>
      </c>
      <c r="R320" s="2" t="inlineStr"/>
    </row>
    <row r="321" ht="15" customHeight="1">
      <c r="A321" t="inlineStr">
        <is>
          <t>A 10937-2024</t>
        </is>
      </c>
      <c r="B321" s="1" t="n">
        <v>45370.44461805555</v>
      </c>
      <c r="C321" s="1" t="n">
        <v>45883</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22079-2023</t>
        </is>
      </c>
      <c r="B322" s="1" t="n">
        <v>45069</v>
      </c>
      <c r="C322" s="1" t="n">
        <v>45883</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52447-2024</t>
        </is>
      </c>
      <c r="B323" s="1" t="n">
        <v>45609.49157407408</v>
      </c>
      <c r="C323" s="1" t="n">
        <v>45883</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3-2024</t>
        </is>
      </c>
      <c r="B324" s="1" t="n">
        <v>45292</v>
      </c>
      <c r="C324" s="1" t="n">
        <v>45883</v>
      </c>
      <c r="D324" t="inlineStr">
        <is>
          <t>ÖREBRO LÄN</t>
        </is>
      </c>
      <c r="E324" t="inlineStr">
        <is>
          <t>ÖREBRO</t>
        </is>
      </c>
      <c r="G324" t="n">
        <v>2.7</v>
      </c>
      <c r="H324" t="n">
        <v>0</v>
      </c>
      <c r="I324" t="n">
        <v>0</v>
      </c>
      <c r="J324" t="n">
        <v>0</v>
      </c>
      <c r="K324" t="n">
        <v>0</v>
      </c>
      <c r="L324" t="n">
        <v>0</v>
      </c>
      <c r="M324" t="n">
        <v>0</v>
      </c>
      <c r="N324" t="n">
        <v>0</v>
      </c>
      <c r="O324" t="n">
        <v>0</v>
      </c>
      <c r="P324" t="n">
        <v>0</v>
      </c>
      <c r="Q324" t="n">
        <v>0</v>
      </c>
      <c r="R324" s="2" t="inlineStr"/>
    </row>
    <row r="325" ht="15" customHeight="1">
      <c r="A325" t="inlineStr">
        <is>
          <t>A 3841-2023</t>
        </is>
      </c>
      <c r="B325" s="1" t="n">
        <v>44951</v>
      </c>
      <c r="C325" s="1" t="n">
        <v>45883</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9379-2024</t>
        </is>
      </c>
      <c r="B326" s="1" t="n">
        <v>45359.37298611111</v>
      </c>
      <c r="C326" s="1" t="n">
        <v>45883</v>
      </c>
      <c r="D326" t="inlineStr">
        <is>
          <t>ÖREBRO LÄN</t>
        </is>
      </c>
      <c r="E326" t="inlineStr">
        <is>
          <t>ÖREBRO</t>
        </is>
      </c>
      <c r="G326" t="n">
        <v>2.4</v>
      </c>
      <c r="H326" t="n">
        <v>0</v>
      </c>
      <c r="I326" t="n">
        <v>0</v>
      </c>
      <c r="J326" t="n">
        <v>0</v>
      </c>
      <c r="K326" t="n">
        <v>0</v>
      </c>
      <c r="L326" t="n">
        <v>0</v>
      </c>
      <c r="M326" t="n">
        <v>0</v>
      </c>
      <c r="N326" t="n">
        <v>0</v>
      </c>
      <c r="O326" t="n">
        <v>0</v>
      </c>
      <c r="P326" t="n">
        <v>0</v>
      </c>
      <c r="Q326" t="n">
        <v>0</v>
      </c>
      <c r="R326" s="2" t="inlineStr"/>
    </row>
    <row r="327" ht="15" customHeight="1">
      <c r="A327" t="inlineStr">
        <is>
          <t>A 5398-2022</t>
        </is>
      </c>
      <c r="B327" s="1" t="n">
        <v>44595.3353587963</v>
      </c>
      <c r="C327" s="1" t="n">
        <v>45883</v>
      </c>
      <c r="D327" t="inlineStr">
        <is>
          <t>ÖREBRO LÄN</t>
        </is>
      </c>
      <c r="E327" t="inlineStr">
        <is>
          <t>ÖREBRO</t>
        </is>
      </c>
      <c r="G327" t="n">
        <v>2.1</v>
      </c>
      <c r="H327" t="n">
        <v>0</v>
      </c>
      <c r="I327" t="n">
        <v>0</v>
      </c>
      <c r="J327" t="n">
        <v>0</v>
      </c>
      <c r="K327" t="n">
        <v>0</v>
      </c>
      <c r="L327" t="n">
        <v>0</v>
      </c>
      <c r="M327" t="n">
        <v>0</v>
      </c>
      <c r="N327" t="n">
        <v>0</v>
      </c>
      <c r="O327" t="n">
        <v>0</v>
      </c>
      <c r="P327" t="n">
        <v>0</v>
      </c>
      <c r="Q327" t="n">
        <v>0</v>
      </c>
      <c r="R327" s="2" t="inlineStr"/>
    </row>
    <row r="328" ht="15" customHeight="1">
      <c r="A328" t="inlineStr">
        <is>
          <t>A 5619-2023</t>
        </is>
      </c>
      <c r="B328" s="1" t="n">
        <v>44958</v>
      </c>
      <c r="C328" s="1" t="n">
        <v>45883</v>
      </c>
      <c r="D328" t="inlineStr">
        <is>
          <t>ÖREBRO LÄN</t>
        </is>
      </c>
      <c r="E328" t="inlineStr">
        <is>
          <t>ÖREBRO</t>
        </is>
      </c>
      <c r="G328" t="n">
        <v>27</v>
      </c>
      <c r="H328" t="n">
        <v>0</v>
      </c>
      <c r="I328" t="n">
        <v>0</v>
      </c>
      <c r="J328" t="n">
        <v>0</v>
      </c>
      <c r="K328" t="n">
        <v>0</v>
      </c>
      <c r="L328" t="n">
        <v>0</v>
      </c>
      <c r="M328" t="n">
        <v>0</v>
      </c>
      <c r="N328" t="n">
        <v>0</v>
      </c>
      <c r="O328" t="n">
        <v>0</v>
      </c>
      <c r="P328" t="n">
        <v>0</v>
      </c>
      <c r="Q328" t="n">
        <v>0</v>
      </c>
      <c r="R328" s="2" t="inlineStr"/>
    </row>
    <row r="329" ht="15" customHeight="1">
      <c r="A329" t="inlineStr">
        <is>
          <t>A 22510-2024</t>
        </is>
      </c>
      <c r="B329" s="1" t="n">
        <v>45447.37440972222</v>
      </c>
      <c r="C329" s="1" t="n">
        <v>45883</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5578-2024</t>
        </is>
      </c>
      <c r="B330" s="1" t="n">
        <v>45334.49104166667</v>
      </c>
      <c r="C330" s="1" t="n">
        <v>45883</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38489-2023</t>
        </is>
      </c>
      <c r="B331" s="1" t="n">
        <v>45162</v>
      </c>
      <c r="C331" s="1" t="n">
        <v>45883</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46050-2024</t>
        </is>
      </c>
      <c r="B332" s="1" t="n">
        <v>45580.88078703704</v>
      </c>
      <c r="C332" s="1" t="n">
        <v>45883</v>
      </c>
      <c r="D332" t="inlineStr">
        <is>
          <t>ÖREBRO LÄN</t>
        </is>
      </c>
      <c r="E332" t="inlineStr">
        <is>
          <t>ÖREBRO</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70719-2021</t>
        </is>
      </c>
      <c r="B333" s="1" t="n">
        <v>44537</v>
      </c>
      <c r="C333" s="1" t="n">
        <v>45883</v>
      </c>
      <c r="D333" t="inlineStr">
        <is>
          <t>ÖREBRO LÄN</t>
        </is>
      </c>
      <c r="E333" t="inlineStr">
        <is>
          <t>ÖREBRO</t>
        </is>
      </c>
      <c r="G333" t="n">
        <v>4.3</v>
      </c>
      <c r="H333" t="n">
        <v>0</v>
      </c>
      <c r="I333" t="n">
        <v>0</v>
      </c>
      <c r="J333" t="n">
        <v>0</v>
      </c>
      <c r="K333" t="n">
        <v>0</v>
      </c>
      <c r="L333" t="n">
        <v>0</v>
      </c>
      <c r="M333" t="n">
        <v>0</v>
      </c>
      <c r="N333" t="n">
        <v>0</v>
      </c>
      <c r="O333" t="n">
        <v>0</v>
      </c>
      <c r="P333" t="n">
        <v>0</v>
      </c>
      <c r="Q333" t="n">
        <v>0</v>
      </c>
      <c r="R333" s="2" t="inlineStr"/>
    </row>
    <row r="334" ht="15" customHeight="1">
      <c r="A334" t="inlineStr">
        <is>
          <t>A 38573-2023</t>
        </is>
      </c>
      <c r="B334" s="1" t="n">
        <v>45162.61837962963</v>
      </c>
      <c r="C334" s="1" t="n">
        <v>45883</v>
      </c>
      <c r="D334" t="inlineStr">
        <is>
          <t>ÖREBRO LÄN</t>
        </is>
      </c>
      <c r="E334" t="inlineStr">
        <is>
          <t>ÖREBRO</t>
        </is>
      </c>
      <c r="G334" t="n">
        <v>2.2</v>
      </c>
      <c r="H334" t="n">
        <v>0</v>
      </c>
      <c r="I334" t="n">
        <v>0</v>
      </c>
      <c r="J334" t="n">
        <v>0</v>
      </c>
      <c r="K334" t="n">
        <v>0</v>
      </c>
      <c r="L334" t="n">
        <v>0</v>
      </c>
      <c r="M334" t="n">
        <v>0</v>
      </c>
      <c r="N334" t="n">
        <v>0</v>
      </c>
      <c r="O334" t="n">
        <v>0</v>
      </c>
      <c r="P334" t="n">
        <v>0</v>
      </c>
      <c r="Q334" t="n">
        <v>0</v>
      </c>
      <c r="R334" s="2" t="inlineStr"/>
    </row>
    <row r="335" ht="15" customHeight="1">
      <c r="A335" t="inlineStr">
        <is>
          <t>A 41995-2024</t>
        </is>
      </c>
      <c r="B335" s="1" t="n">
        <v>45561.6475462963</v>
      </c>
      <c r="C335" s="1" t="n">
        <v>45883</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4757-2024</t>
        </is>
      </c>
      <c r="B336" s="1" t="n">
        <v>45328</v>
      </c>
      <c r="C336" s="1" t="n">
        <v>45883</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37786-2024</t>
        </is>
      </c>
      <c r="B337" s="1" t="n">
        <v>45542.82987268519</v>
      </c>
      <c r="C337" s="1" t="n">
        <v>45883</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58615-2024</t>
        </is>
      </c>
      <c r="B338" s="1" t="n">
        <v>45635.5587037037</v>
      </c>
      <c r="C338" s="1" t="n">
        <v>45883</v>
      </c>
      <c r="D338" t="inlineStr">
        <is>
          <t>ÖREBRO LÄN</t>
        </is>
      </c>
      <c r="E338" t="inlineStr">
        <is>
          <t>ÖREBRO</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45517-2023</t>
        </is>
      </c>
      <c r="B339" s="1" t="n">
        <v>45194.49594907407</v>
      </c>
      <c r="C339" s="1" t="n">
        <v>45883</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3652-2022</t>
        </is>
      </c>
      <c r="B340" s="1" t="n">
        <v>44586.46921296296</v>
      </c>
      <c r="C340" s="1" t="n">
        <v>45883</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25407-2021</t>
        </is>
      </c>
      <c r="B341" s="1" t="n">
        <v>44342</v>
      </c>
      <c r="C341" s="1" t="n">
        <v>45883</v>
      </c>
      <c r="D341" t="inlineStr">
        <is>
          <t>ÖREBRO LÄN</t>
        </is>
      </c>
      <c r="E341" t="inlineStr">
        <is>
          <t>ÖREBRO</t>
        </is>
      </c>
      <c r="F341" t="inlineStr">
        <is>
          <t>Kommuner</t>
        </is>
      </c>
      <c r="G341" t="n">
        <v>7.2</v>
      </c>
      <c r="H341" t="n">
        <v>0</v>
      </c>
      <c r="I341" t="n">
        <v>0</v>
      </c>
      <c r="J341" t="n">
        <v>0</v>
      </c>
      <c r="K341" t="n">
        <v>0</v>
      </c>
      <c r="L341" t="n">
        <v>0</v>
      </c>
      <c r="M341" t="n">
        <v>0</v>
      </c>
      <c r="N341" t="n">
        <v>0</v>
      </c>
      <c r="O341" t="n">
        <v>0</v>
      </c>
      <c r="P341" t="n">
        <v>0</v>
      </c>
      <c r="Q341" t="n">
        <v>0</v>
      </c>
      <c r="R341" s="2" t="inlineStr"/>
    </row>
    <row r="342" ht="15" customHeight="1">
      <c r="A342" t="inlineStr">
        <is>
          <t>A 16737-2023</t>
        </is>
      </c>
      <c r="B342" s="1" t="n">
        <v>45030.72472222222</v>
      </c>
      <c r="C342" s="1" t="n">
        <v>45883</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12245-2023</t>
        </is>
      </c>
      <c r="B343" s="1" t="n">
        <v>44998.64402777778</v>
      </c>
      <c r="C343" s="1" t="n">
        <v>45883</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48140-2024</t>
        </is>
      </c>
      <c r="B344" s="1" t="n">
        <v>45589.66474537037</v>
      </c>
      <c r="C344" s="1" t="n">
        <v>45883</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15866-2022</t>
        </is>
      </c>
      <c r="B345" s="1" t="n">
        <v>44664</v>
      </c>
      <c r="C345" s="1" t="n">
        <v>45883</v>
      </c>
      <c r="D345" t="inlineStr">
        <is>
          <t>ÖREBRO LÄN</t>
        </is>
      </c>
      <c r="E345" t="inlineStr">
        <is>
          <t>ÖREBRO</t>
        </is>
      </c>
      <c r="G345" t="n">
        <v>4</v>
      </c>
      <c r="H345" t="n">
        <v>0</v>
      </c>
      <c r="I345" t="n">
        <v>0</v>
      </c>
      <c r="J345" t="n">
        <v>0</v>
      </c>
      <c r="K345" t="n">
        <v>0</v>
      </c>
      <c r="L345" t="n">
        <v>0</v>
      </c>
      <c r="M345" t="n">
        <v>0</v>
      </c>
      <c r="N345" t="n">
        <v>0</v>
      </c>
      <c r="O345" t="n">
        <v>0</v>
      </c>
      <c r="P345" t="n">
        <v>0</v>
      </c>
      <c r="Q345" t="n">
        <v>0</v>
      </c>
      <c r="R345" s="2" t="inlineStr"/>
    </row>
    <row r="346" ht="15" customHeight="1">
      <c r="A346" t="inlineStr">
        <is>
          <t>A 2318-2023</t>
        </is>
      </c>
      <c r="B346" s="1" t="n">
        <v>44942</v>
      </c>
      <c r="C346" s="1" t="n">
        <v>45883</v>
      </c>
      <c r="D346" t="inlineStr">
        <is>
          <t>ÖREBRO LÄN</t>
        </is>
      </c>
      <c r="E346" t="inlineStr">
        <is>
          <t>ÖREBRO</t>
        </is>
      </c>
      <c r="G346" t="n">
        <v>1.9</v>
      </c>
      <c r="H346" t="n">
        <v>0</v>
      </c>
      <c r="I346" t="n">
        <v>0</v>
      </c>
      <c r="J346" t="n">
        <v>0</v>
      </c>
      <c r="K346" t="n">
        <v>0</v>
      </c>
      <c r="L346" t="n">
        <v>0</v>
      </c>
      <c r="M346" t="n">
        <v>0</v>
      </c>
      <c r="N346" t="n">
        <v>0</v>
      </c>
      <c r="O346" t="n">
        <v>0</v>
      </c>
      <c r="P346" t="n">
        <v>0</v>
      </c>
      <c r="Q346" t="n">
        <v>0</v>
      </c>
      <c r="R346" s="2" t="inlineStr"/>
    </row>
    <row r="347" ht="15" customHeight="1">
      <c r="A347" t="inlineStr">
        <is>
          <t>A 7134-2025</t>
        </is>
      </c>
      <c r="B347" s="1" t="n">
        <v>45702</v>
      </c>
      <c r="C347" s="1" t="n">
        <v>45883</v>
      </c>
      <c r="D347" t="inlineStr">
        <is>
          <t>ÖREBRO LÄN</t>
        </is>
      </c>
      <c r="E347" t="inlineStr">
        <is>
          <t>ÖREBRO</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60506-2024</t>
        </is>
      </c>
      <c r="B348" s="1" t="n">
        <v>45643.66630787037</v>
      </c>
      <c r="C348" s="1" t="n">
        <v>45883</v>
      </c>
      <c r="D348" t="inlineStr">
        <is>
          <t>ÖREBRO LÄN</t>
        </is>
      </c>
      <c r="E348" t="inlineStr">
        <is>
          <t>ÖREBRO</t>
        </is>
      </c>
      <c r="G348" t="n">
        <v>5.8</v>
      </c>
      <c r="H348" t="n">
        <v>0</v>
      </c>
      <c r="I348" t="n">
        <v>0</v>
      </c>
      <c r="J348" t="n">
        <v>0</v>
      </c>
      <c r="K348" t="n">
        <v>0</v>
      </c>
      <c r="L348" t="n">
        <v>0</v>
      </c>
      <c r="M348" t="n">
        <v>0</v>
      </c>
      <c r="N348" t="n">
        <v>0</v>
      </c>
      <c r="O348" t="n">
        <v>0</v>
      </c>
      <c r="P348" t="n">
        <v>0</v>
      </c>
      <c r="Q348" t="n">
        <v>0</v>
      </c>
      <c r="R348" s="2" t="inlineStr"/>
    </row>
    <row r="349" ht="15" customHeight="1">
      <c r="A349" t="inlineStr">
        <is>
          <t>A 2658-2023</t>
        </is>
      </c>
      <c r="B349" s="1" t="n">
        <v>44944</v>
      </c>
      <c r="C349" s="1" t="n">
        <v>45883</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11565-2023</t>
        </is>
      </c>
      <c r="B350" s="1" t="n">
        <v>44994</v>
      </c>
      <c r="C350" s="1" t="n">
        <v>45883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16736-2023</t>
        </is>
      </c>
      <c r="B351" s="1" t="n">
        <v>45030.72328703704</v>
      </c>
      <c r="C351" s="1" t="n">
        <v>45883</v>
      </c>
      <c r="D351" t="inlineStr">
        <is>
          <t>ÖREBRO LÄN</t>
        </is>
      </c>
      <c r="E351" t="inlineStr">
        <is>
          <t>ÖREBRO</t>
        </is>
      </c>
      <c r="G351" t="n">
        <v>4</v>
      </c>
      <c r="H351" t="n">
        <v>0</v>
      </c>
      <c r="I351" t="n">
        <v>0</v>
      </c>
      <c r="J351" t="n">
        <v>0</v>
      </c>
      <c r="K351" t="n">
        <v>0</v>
      </c>
      <c r="L351" t="n">
        <v>0</v>
      </c>
      <c r="M351" t="n">
        <v>0</v>
      </c>
      <c r="N351" t="n">
        <v>0</v>
      </c>
      <c r="O351" t="n">
        <v>0</v>
      </c>
      <c r="P351" t="n">
        <v>0</v>
      </c>
      <c r="Q351" t="n">
        <v>0</v>
      </c>
      <c r="R351" s="2" t="inlineStr"/>
    </row>
    <row r="352" ht="15" customHeight="1">
      <c r="A352" t="inlineStr">
        <is>
          <t>A 5764-2022</t>
        </is>
      </c>
      <c r="B352" s="1" t="n">
        <v>44596</v>
      </c>
      <c r="C352" s="1" t="n">
        <v>45883</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2630-2023</t>
        </is>
      </c>
      <c r="B353" s="1" t="n">
        <v>44944.39105324074</v>
      </c>
      <c r="C353" s="1" t="n">
        <v>45883</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45027-2024</t>
        </is>
      </c>
      <c r="B354" s="1" t="n">
        <v>45575</v>
      </c>
      <c r="C354" s="1" t="n">
        <v>45883</v>
      </c>
      <c r="D354" t="inlineStr">
        <is>
          <t>ÖREBRO LÄN</t>
        </is>
      </c>
      <c r="E354" t="inlineStr">
        <is>
          <t>ÖREBRO</t>
        </is>
      </c>
      <c r="G354" t="n">
        <v>6.3</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45883</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29978-2024</t>
        </is>
      </c>
      <c r="B356" s="1" t="n">
        <v>45488.48340277778</v>
      </c>
      <c r="C356" s="1" t="n">
        <v>45883</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41543-2024</t>
        </is>
      </c>
      <c r="B357" s="1" t="n">
        <v>45560</v>
      </c>
      <c r="C357" s="1" t="n">
        <v>45883</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10799-2024</t>
        </is>
      </c>
      <c r="B358" s="1" t="n">
        <v>45369</v>
      </c>
      <c r="C358" s="1" t="n">
        <v>45883</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19384-2024</t>
        </is>
      </c>
      <c r="B359" s="1" t="n">
        <v>45429</v>
      </c>
      <c r="C359" s="1" t="n">
        <v>45883</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16694-2025</t>
        </is>
      </c>
      <c r="B360" s="1" t="n">
        <v>45754.46480324074</v>
      </c>
      <c r="C360" s="1" t="n">
        <v>45883</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30015-2023</t>
        </is>
      </c>
      <c r="B361" s="1" t="n">
        <v>45109</v>
      </c>
      <c r="C361" s="1" t="n">
        <v>45883</v>
      </c>
      <c r="D361" t="inlineStr">
        <is>
          <t>ÖREBRO LÄN</t>
        </is>
      </c>
      <c r="E361" t="inlineStr">
        <is>
          <t>ÖREBRO</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49465-2024</t>
        </is>
      </c>
      <c r="B362" s="1" t="n">
        <v>45596</v>
      </c>
      <c r="C362" s="1" t="n">
        <v>45883</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37968-2024</t>
        </is>
      </c>
      <c r="B363" s="1" t="n">
        <v>45544</v>
      </c>
      <c r="C363" s="1" t="n">
        <v>45883</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30903-2024</t>
        </is>
      </c>
      <c r="B364" s="1" t="n">
        <v>45498.49946759259</v>
      </c>
      <c r="C364" s="1" t="n">
        <v>45883</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58611-2024</t>
        </is>
      </c>
      <c r="B365" s="1" t="n">
        <v>45635.55555555555</v>
      </c>
      <c r="C365" s="1" t="n">
        <v>45883</v>
      </c>
      <c r="D365" t="inlineStr">
        <is>
          <t>ÖREBRO LÄN</t>
        </is>
      </c>
      <c r="E365" t="inlineStr">
        <is>
          <t>ÖREBRO</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31326-2024</t>
        </is>
      </c>
      <c r="B366" s="1" t="n">
        <v>45504.5934375</v>
      </c>
      <c r="C366" s="1" t="n">
        <v>45883</v>
      </c>
      <c r="D366" t="inlineStr">
        <is>
          <t>ÖREBRO LÄN</t>
        </is>
      </c>
      <c r="E366" t="inlineStr">
        <is>
          <t>ÖREBRO</t>
        </is>
      </c>
      <c r="G366" t="n">
        <v>6.4</v>
      </c>
      <c r="H366" t="n">
        <v>0</v>
      </c>
      <c r="I366" t="n">
        <v>0</v>
      </c>
      <c r="J366" t="n">
        <v>0</v>
      </c>
      <c r="K366" t="n">
        <v>0</v>
      </c>
      <c r="L366" t="n">
        <v>0</v>
      </c>
      <c r="M366" t="n">
        <v>0</v>
      </c>
      <c r="N366" t="n">
        <v>0</v>
      </c>
      <c r="O366" t="n">
        <v>0</v>
      </c>
      <c r="P366" t="n">
        <v>0</v>
      </c>
      <c r="Q366" t="n">
        <v>0</v>
      </c>
      <c r="R366" s="2" t="inlineStr"/>
    </row>
    <row r="367" ht="15" customHeight="1">
      <c r="A367" t="inlineStr">
        <is>
          <t>A 46323-2024</t>
        </is>
      </c>
      <c r="B367" s="1" t="n">
        <v>45581.84538194445</v>
      </c>
      <c r="C367" s="1" t="n">
        <v>45883</v>
      </c>
      <c r="D367" t="inlineStr">
        <is>
          <t>ÖREBRO LÄN</t>
        </is>
      </c>
      <c r="E367" t="inlineStr">
        <is>
          <t>ÖREBRO</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20146-2024</t>
        </is>
      </c>
      <c r="B368" s="1" t="n">
        <v>45434.57641203704</v>
      </c>
      <c r="C368" s="1" t="n">
        <v>45883</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53143-2023</t>
        </is>
      </c>
      <c r="B369" s="1" t="n">
        <v>45229</v>
      </c>
      <c r="C369" s="1" t="n">
        <v>45883</v>
      </c>
      <c r="D369" t="inlineStr">
        <is>
          <t>ÖREBRO LÄN</t>
        </is>
      </c>
      <c r="E369" t="inlineStr">
        <is>
          <t>ÖREBRO</t>
        </is>
      </c>
      <c r="G369" t="n">
        <v>3.3</v>
      </c>
      <c r="H369" t="n">
        <v>0</v>
      </c>
      <c r="I369" t="n">
        <v>0</v>
      </c>
      <c r="J369" t="n">
        <v>0</v>
      </c>
      <c r="K369" t="n">
        <v>0</v>
      </c>
      <c r="L369" t="n">
        <v>0</v>
      </c>
      <c r="M369" t="n">
        <v>0</v>
      </c>
      <c r="N369" t="n">
        <v>0</v>
      </c>
      <c r="O369" t="n">
        <v>0</v>
      </c>
      <c r="P369" t="n">
        <v>0</v>
      </c>
      <c r="Q369" t="n">
        <v>0</v>
      </c>
      <c r="R369" s="2" t="inlineStr"/>
    </row>
    <row r="370" ht="15" customHeight="1">
      <c r="A370" t="inlineStr">
        <is>
          <t>A 8656-2025</t>
        </is>
      </c>
      <c r="B370" s="1" t="n">
        <v>45712.38268518518</v>
      </c>
      <c r="C370" s="1" t="n">
        <v>45883</v>
      </c>
      <c r="D370" t="inlineStr">
        <is>
          <t>ÖREBRO LÄN</t>
        </is>
      </c>
      <c r="E370" t="inlineStr">
        <is>
          <t>ÖREBRO</t>
        </is>
      </c>
      <c r="G370" t="n">
        <v>2.7</v>
      </c>
      <c r="H370" t="n">
        <v>0</v>
      </c>
      <c r="I370" t="n">
        <v>0</v>
      </c>
      <c r="J370" t="n">
        <v>0</v>
      </c>
      <c r="K370" t="n">
        <v>0</v>
      </c>
      <c r="L370" t="n">
        <v>0</v>
      </c>
      <c r="M370" t="n">
        <v>0</v>
      </c>
      <c r="N370" t="n">
        <v>0</v>
      </c>
      <c r="O370" t="n">
        <v>0</v>
      </c>
      <c r="P370" t="n">
        <v>0</v>
      </c>
      <c r="Q370" t="n">
        <v>0</v>
      </c>
      <c r="R370" s="2" t="inlineStr"/>
    </row>
    <row r="371" ht="15" customHeight="1">
      <c r="A371" t="inlineStr">
        <is>
          <t>A 5762-2025</t>
        </is>
      </c>
      <c r="B371" s="1" t="n">
        <v>45694.57181712963</v>
      </c>
      <c r="C371" s="1" t="n">
        <v>45883</v>
      </c>
      <c r="D371" t="inlineStr">
        <is>
          <t>ÖREBRO LÄN</t>
        </is>
      </c>
      <c r="E371" t="inlineStr">
        <is>
          <t>ÖREBRO</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62794-2021</t>
        </is>
      </c>
      <c r="B372" s="1" t="n">
        <v>44504</v>
      </c>
      <c r="C372" s="1" t="n">
        <v>45883</v>
      </c>
      <c r="D372" t="inlineStr">
        <is>
          <t>ÖREBRO LÄN</t>
        </is>
      </c>
      <c r="E372" t="inlineStr">
        <is>
          <t>ÖREBRO</t>
        </is>
      </c>
      <c r="G372" t="n">
        <v>3.3</v>
      </c>
      <c r="H372" t="n">
        <v>0</v>
      </c>
      <c r="I372" t="n">
        <v>0</v>
      </c>
      <c r="J372" t="n">
        <v>0</v>
      </c>
      <c r="K372" t="n">
        <v>0</v>
      </c>
      <c r="L372" t="n">
        <v>0</v>
      </c>
      <c r="M372" t="n">
        <v>0</v>
      </c>
      <c r="N372" t="n">
        <v>0</v>
      </c>
      <c r="O372" t="n">
        <v>0</v>
      </c>
      <c r="P372" t="n">
        <v>0</v>
      </c>
      <c r="Q372" t="n">
        <v>0</v>
      </c>
      <c r="R372" s="2" t="inlineStr"/>
    </row>
    <row r="373" ht="15" customHeight="1">
      <c r="A373" t="inlineStr">
        <is>
          <t>A 59121-2024</t>
        </is>
      </c>
      <c r="B373" s="1" t="n">
        <v>45637.37755787037</v>
      </c>
      <c r="C373" s="1" t="n">
        <v>45883</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52612-2024</t>
        </is>
      </c>
      <c r="B374" s="1" t="n">
        <v>45609</v>
      </c>
      <c r="C374" s="1" t="n">
        <v>45883</v>
      </c>
      <c r="D374" t="inlineStr">
        <is>
          <t>ÖREBRO LÄN</t>
        </is>
      </c>
      <c r="E374" t="inlineStr">
        <is>
          <t>ÖREBRO</t>
        </is>
      </c>
      <c r="F374" t="inlineStr">
        <is>
          <t>Kommuner</t>
        </is>
      </c>
      <c r="G374" t="n">
        <v>5.5</v>
      </c>
      <c r="H374" t="n">
        <v>0</v>
      </c>
      <c r="I374" t="n">
        <v>0</v>
      </c>
      <c r="J374" t="n">
        <v>0</v>
      </c>
      <c r="K374" t="n">
        <v>0</v>
      </c>
      <c r="L374" t="n">
        <v>0</v>
      </c>
      <c r="M374" t="n">
        <v>0</v>
      </c>
      <c r="N374" t="n">
        <v>0</v>
      </c>
      <c r="O374" t="n">
        <v>0</v>
      </c>
      <c r="P374" t="n">
        <v>0</v>
      </c>
      <c r="Q374" t="n">
        <v>0</v>
      </c>
      <c r="R374" s="2" t="inlineStr"/>
    </row>
    <row r="375" ht="15" customHeight="1">
      <c r="A375" t="inlineStr">
        <is>
          <t>A 49215-2023</t>
        </is>
      </c>
      <c r="B375" s="1" t="n">
        <v>45210.61050925926</v>
      </c>
      <c r="C375" s="1" t="n">
        <v>45883</v>
      </c>
      <c r="D375" t="inlineStr">
        <is>
          <t>ÖREBRO LÄN</t>
        </is>
      </c>
      <c r="E375" t="inlineStr">
        <is>
          <t>ÖREBRO</t>
        </is>
      </c>
      <c r="F375" t="inlineStr">
        <is>
          <t>Övriga Aktiebolag</t>
        </is>
      </c>
      <c r="G375" t="n">
        <v>4.2</v>
      </c>
      <c r="H375" t="n">
        <v>0</v>
      </c>
      <c r="I375" t="n">
        <v>0</v>
      </c>
      <c r="J375" t="n">
        <v>0</v>
      </c>
      <c r="K375" t="n">
        <v>0</v>
      </c>
      <c r="L375" t="n">
        <v>0</v>
      </c>
      <c r="M375" t="n">
        <v>0</v>
      </c>
      <c r="N375" t="n">
        <v>0</v>
      </c>
      <c r="O375" t="n">
        <v>0</v>
      </c>
      <c r="P375" t="n">
        <v>0</v>
      </c>
      <c r="Q375" t="n">
        <v>0</v>
      </c>
      <c r="R375" s="2" t="inlineStr"/>
    </row>
    <row r="376" ht="15" customHeight="1">
      <c r="A376" t="inlineStr">
        <is>
          <t>A 5795-2024</t>
        </is>
      </c>
      <c r="B376" s="1" t="n">
        <v>45335.4531712963</v>
      </c>
      <c r="C376" s="1" t="n">
        <v>45883</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17983-2025</t>
        </is>
      </c>
      <c r="B377" s="1" t="n">
        <v>45761.38829861111</v>
      </c>
      <c r="C377" s="1" t="n">
        <v>45883</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37771-2024</t>
        </is>
      </c>
      <c r="B378" s="1" t="n">
        <v>45542.31359953704</v>
      </c>
      <c r="C378" s="1" t="n">
        <v>45883</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15652-2025</t>
        </is>
      </c>
      <c r="B379" s="1" t="n">
        <v>45748</v>
      </c>
      <c r="C379" s="1" t="n">
        <v>45883</v>
      </c>
      <c r="D379" t="inlineStr">
        <is>
          <t>ÖREBRO LÄN</t>
        </is>
      </c>
      <c r="E379" t="inlineStr">
        <is>
          <t>ÖREBRO</t>
        </is>
      </c>
      <c r="G379" t="n">
        <v>1.8</v>
      </c>
      <c r="H379" t="n">
        <v>0</v>
      </c>
      <c r="I379" t="n">
        <v>0</v>
      </c>
      <c r="J379" t="n">
        <v>0</v>
      </c>
      <c r="K379" t="n">
        <v>0</v>
      </c>
      <c r="L379" t="n">
        <v>0</v>
      </c>
      <c r="M379" t="n">
        <v>0</v>
      </c>
      <c r="N379" t="n">
        <v>0</v>
      </c>
      <c r="O379" t="n">
        <v>0</v>
      </c>
      <c r="P379" t="n">
        <v>0</v>
      </c>
      <c r="Q379" t="n">
        <v>0</v>
      </c>
      <c r="R379" s="2" t="inlineStr"/>
    </row>
    <row r="380" ht="15" customHeight="1">
      <c r="A380" t="inlineStr">
        <is>
          <t>A 2076-2025</t>
        </is>
      </c>
      <c r="B380" s="1" t="n">
        <v>45672</v>
      </c>
      <c r="C380" s="1" t="n">
        <v>45883</v>
      </c>
      <c r="D380" t="inlineStr">
        <is>
          <t>ÖREBRO LÄN</t>
        </is>
      </c>
      <c r="E380" t="inlineStr">
        <is>
          <t>ÖREBRO</t>
        </is>
      </c>
      <c r="G380" t="n">
        <v>1</v>
      </c>
      <c r="H380" t="n">
        <v>0</v>
      </c>
      <c r="I380" t="n">
        <v>0</v>
      </c>
      <c r="J380" t="n">
        <v>0</v>
      </c>
      <c r="K380" t="n">
        <v>0</v>
      </c>
      <c r="L380" t="n">
        <v>0</v>
      </c>
      <c r="M380" t="n">
        <v>0</v>
      </c>
      <c r="N380" t="n">
        <v>0</v>
      </c>
      <c r="O380" t="n">
        <v>0</v>
      </c>
      <c r="P380" t="n">
        <v>0</v>
      </c>
      <c r="Q380" t="n">
        <v>0</v>
      </c>
      <c r="R380" s="2" t="inlineStr"/>
    </row>
    <row r="381" ht="15" customHeight="1">
      <c r="A381" t="inlineStr">
        <is>
          <t>A 14960-2025</t>
        </is>
      </c>
      <c r="B381" s="1" t="n">
        <v>45743.5853125</v>
      </c>
      <c r="C381" s="1" t="n">
        <v>45883</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60022-2024</t>
        </is>
      </c>
      <c r="B382" s="1" t="n">
        <v>45642</v>
      </c>
      <c r="C382" s="1" t="n">
        <v>45883</v>
      </c>
      <c r="D382" t="inlineStr">
        <is>
          <t>ÖREBRO LÄN</t>
        </is>
      </c>
      <c r="E382" t="inlineStr">
        <is>
          <t>ÖREBRO</t>
        </is>
      </c>
      <c r="G382" t="n">
        <v>1.7</v>
      </c>
      <c r="H382" t="n">
        <v>0</v>
      </c>
      <c r="I382" t="n">
        <v>0</v>
      </c>
      <c r="J382" t="n">
        <v>0</v>
      </c>
      <c r="K382" t="n">
        <v>0</v>
      </c>
      <c r="L382" t="n">
        <v>0</v>
      </c>
      <c r="M382" t="n">
        <v>0</v>
      </c>
      <c r="N382" t="n">
        <v>0</v>
      </c>
      <c r="O382" t="n">
        <v>0</v>
      </c>
      <c r="P382" t="n">
        <v>0</v>
      </c>
      <c r="Q382" t="n">
        <v>0</v>
      </c>
      <c r="R382" s="2" t="inlineStr"/>
    </row>
    <row r="383" ht="15" customHeight="1">
      <c r="A383" t="inlineStr">
        <is>
          <t>A 8571-2021</t>
        </is>
      </c>
      <c r="B383" s="1" t="n">
        <v>44245</v>
      </c>
      <c r="C383" s="1" t="n">
        <v>45883</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22045-2024</t>
        </is>
      </c>
      <c r="B384" s="1" t="n">
        <v>45443.61171296296</v>
      </c>
      <c r="C384" s="1" t="n">
        <v>45883</v>
      </c>
      <c r="D384" t="inlineStr">
        <is>
          <t>ÖREBRO LÄN</t>
        </is>
      </c>
      <c r="E384" t="inlineStr">
        <is>
          <t>ÖREBRO</t>
        </is>
      </c>
      <c r="F384" t="inlineStr">
        <is>
          <t>Övriga Aktiebolag</t>
        </is>
      </c>
      <c r="G384" t="n">
        <v>0.9</v>
      </c>
      <c r="H384" t="n">
        <v>0</v>
      </c>
      <c r="I384" t="n">
        <v>0</v>
      </c>
      <c r="J384" t="n">
        <v>0</v>
      </c>
      <c r="K384" t="n">
        <v>0</v>
      </c>
      <c r="L384" t="n">
        <v>0</v>
      </c>
      <c r="M384" t="n">
        <v>0</v>
      </c>
      <c r="N384" t="n">
        <v>0</v>
      </c>
      <c r="O384" t="n">
        <v>0</v>
      </c>
      <c r="P384" t="n">
        <v>0</v>
      </c>
      <c r="Q384" t="n">
        <v>0</v>
      </c>
      <c r="R384" s="2" t="inlineStr"/>
    </row>
    <row r="385" ht="15" customHeight="1">
      <c r="A385" t="inlineStr">
        <is>
          <t>A 55692-2023</t>
        </is>
      </c>
      <c r="B385" s="1" t="n">
        <v>45239</v>
      </c>
      <c r="C385" s="1" t="n">
        <v>45883</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21097-2025</t>
        </is>
      </c>
      <c r="B386" s="1" t="n">
        <v>45777.63863425926</v>
      </c>
      <c r="C386" s="1" t="n">
        <v>45883</v>
      </c>
      <c r="D386" t="inlineStr">
        <is>
          <t>ÖREBRO LÄN</t>
        </is>
      </c>
      <c r="E386" t="inlineStr">
        <is>
          <t>ÖREBRO</t>
        </is>
      </c>
      <c r="G386" t="n">
        <v>2.1</v>
      </c>
      <c r="H386" t="n">
        <v>0</v>
      </c>
      <c r="I386" t="n">
        <v>0</v>
      </c>
      <c r="J386" t="n">
        <v>0</v>
      </c>
      <c r="K386" t="n">
        <v>0</v>
      </c>
      <c r="L386" t="n">
        <v>0</v>
      </c>
      <c r="M386" t="n">
        <v>0</v>
      </c>
      <c r="N386" t="n">
        <v>0</v>
      </c>
      <c r="O386" t="n">
        <v>0</v>
      </c>
      <c r="P386" t="n">
        <v>0</v>
      </c>
      <c r="Q386" t="n">
        <v>0</v>
      </c>
      <c r="R386" s="2" t="inlineStr"/>
    </row>
    <row r="387" ht="15" customHeight="1">
      <c r="A387" t="inlineStr">
        <is>
          <t>A 58684-2023</t>
        </is>
      </c>
      <c r="B387" s="1" t="n">
        <v>45251</v>
      </c>
      <c r="C387" s="1" t="n">
        <v>45883</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14715-2024</t>
        </is>
      </c>
      <c r="B388" s="1" t="n">
        <v>45397.5500462963</v>
      </c>
      <c r="C388" s="1" t="n">
        <v>45883</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38898-2023</t>
        </is>
      </c>
      <c r="B389" s="1" t="n">
        <v>45163</v>
      </c>
      <c r="C389" s="1" t="n">
        <v>45883</v>
      </c>
      <c r="D389" t="inlineStr">
        <is>
          <t>ÖREBRO LÄN</t>
        </is>
      </c>
      <c r="E389" t="inlineStr">
        <is>
          <t>ÖREBRO</t>
        </is>
      </c>
      <c r="G389" t="n">
        <v>5.1</v>
      </c>
      <c r="H389" t="n">
        <v>0</v>
      </c>
      <c r="I389" t="n">
        <v>0</v>
      </c>
      <c r="J389" t="n">
        <v>0</v>
      </c>
      <c r="K389" t="n">
        <v>0</v>
      </c>
      <c r="L389" t="n">
        <v>0</v>
      </c>
      <c r="M389" t="n">
        <v>0</v>
      </c>
      <c r="N389" t="n">
        <v>0</v>
      </c>
      <c r="O389" t="n">
        <v>0</v>
      </c>
      <c r="P389" t="n">
        <v>0</v>
      </c>
      <c r="Q389" t="n">
        <v>0</v>
      </c>
      <c r="R389" s="2" t="inlineStr"/>
    </row>
    <row r="390" ht="15" customHeight="1">
      <c r="A390" t="inlineStr">
        <is>
          <t>A 13321-2024</t>
        </is>
      </c>
      <c r="B390" s="1" t="n">
        <v>45386.83142361111</v>
      </c>
      <c r="C390" s="1" t="n">
        <v>45883</v>
      </c>
      <c r="D390" t="inlineStr">
        <is>
          <t>ÖREBRO LÄN</t>
        </is>
      </c>
      <c r="E390" t="inlineStr">
        <is>
          <t>ÖREBRO</t>
        </is>
      </c>
      <c r="G390" t="n">
        <v>13.1</v>
      </c>
      <c r="H390" t="n">
        <v>0</v>
      </c>
      <c r="I390" t="n">
        <v>0</v>
      </c>
      <c r="J390" t="n">
        <v>0</v>
      </c>
      <c r="K390" t="n">
        <v>0</v>
      </c>
      <c r="L390" t="n">
        <v>0</v>
      </c>
      <c r="M390" t="n">
        <v>0</v>
      </c>
      <c r="N390" t="n">
        <v>0</v>
      </c>
      <c r="O390" t="n">
        <v>0</v>
      </c>
      <c r="P390" t="n">
        <v>0</v>
      </c>
      <c r="Q390" t="n">
        <v>0</v>
      </c>
      <c r="R390" s="2" t="inlineStr"/>
    </row>
    <row r="391" ht="15" customHeight="1">
      <c r="A391" t="inlineStr">
        <is>
          <t>A 38583-2023</t>
        </is>
      </c>
      <c r="B391" s="1" t="n">
        <v>45162.62861111111</v>
      </c>
      <c r="C391" s="1" t="n">
        <v>45883</v>
      </c>
      <c r="D391" t="inlineStr">
        <is>
          <t>ÖREBRO LÄN</t>
        </is>
      </c>
      <c r="E391" t="inlineStr">
        <is>
          <t>ÖREBRO</t>
        </is>
      </c>
      <c r="G391" t="n">
        <v>5.7</v>
      </c>
      <c r="H391" t="n">
        <v>0</v>
      </c>
      <c r="I391" t="n">
        <v>0</v>
      </c>
      <c r="J391" t="n">
        <v>0</v>
      </c>
      <c r="K391" t="n">
        <v>0</v>
      </c>
      <c r="L391" t="n">
        <v>0</v>
      </c>
      <c r="M391" t="n">
        <v>0</v>
      </c>
      <c r="N391" t="n">
        <v>0</v>
      </c>
      <c r="O391" t="n">
        <v>0</v>
      </c>
      <c r="P391" t="n">
        <v>0</v>
      </c>
      <c r="Q391" t="n">
        <v>0</v>
      </c>
      <c r="R391" s="2" t="inlineStr"/>
    </row>
    <row r="392" ht="15" customHeight="1">
      <c r="A392" t="inlineStr">
        <is>
          <t>A 12682-2023</t>
        </is>
      </c>
      <c r="B392" s="1" t="n">
        <v>45000.6115625</v>
      </c>
      <c r="C392" s="1" t="n">
        <v>45883</v>
      </c>
      <c r="D392" t="inlineStr">
        <is>
          <t>ÖREBRO LÄN</t>
        </is>
      </c>
      <c r="E392" t="inlineStr">
        <is>
          <t>ÖREBRO</t>
        </is>
      </c>
      <c r="F392" t="inlineStr">
        <is>
          <t>Övriga Aktiebolag</t>
        </is>
      </c>
      <c r="G392" t="n">
        <v>4.4</v>
      </c>
      <c r="H392" t="n">
        <v>0</v>
      </c>
      <c r="I392" t="n">
        <v>0</v>
      </c>
      <c r="J392" t="n">
        <v>0</v>
      </c>
      <c r="K392" t="n">
        <v>0</v>
      </c>
      <c r="L392" t="n">
        <v>0</v>
      </c>
      <c r="M392" t="n">
        <v>0</v>
      </c>
      <c r="N392" t="n">
        <v>0</v>
      </c>
      <c r="O392" t="n">
        <v>0</v>
      </c>
      <c r="P392" t="n">
        <v>0</v>
      </c>
      <c r="Q392" t="n">
        <v>0</v>
      </c>
      <c r="R392" s="2" t="inlineStr"/>
    </row>
    <row r="393" ht="15" customHeight="1">
      <c r="A393" t="inlineStr">
        <is>
          <t>A 14291-2023</t>
        </is>
      </c>
      <c r="B393" s="1" t="n">
        <v>45010</v>
      </c>
      <c r="C393" s="1" t="n">
        <v>45883</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13592-2023</t>
        </is>
      </c>
      <c r="B394" s="1" t="n">
        <v>45006.56870370371</v>
      </c>
      <c r="C394" s="1" t="n">
        <v>45883</v>
      </c>
      <c r="D394" t="inlineStr">
        <is>
          <t>ÖREBRO LÄN</t>
        </is>
      </c>
      <c r="E394" t="inlineStr">
        <is>
          <t>ÖREBRO</t>
        </is>
      </c>
      <c r="G394" t="n">
        <v>2</v>
      </c>
      <c r="H394" t="n">
        <v>0</v>
      </c>
      <c r="I394" t="n">
        <v>0</v>
      </c>
      <c r="J394" t="n">
        <v>0</v>
      </c>
      <c r="K394" t="n">
        <v>0</v>
      </c>
      <c r="L394" t="n">
        <v>0</v>
      </c>
      <c r="M394" t="n">
        <v>0</v>
      </c>
      <c r="N394" t="n">
        <v>0</v>
      </c>
      <c r="O394" t="n">
        <v>0</v>
      </c>
      <c r="P394" t="n">
        <v>0</v>
      </c>
      <c r="Q394" t="n">
        <v>0</v>
      </c>
      <c r="R394" s="2" t="inlineStr"/>
    </row>
    <row r="395" ht="15" customHeight="1">
      <c r="A395" t="inlineStr">
        <is>
          <t>A 10368-2021</t>
        </is>
      </c>
      <c r="B395" s="1" t="n">
        <v>44257</v>
      </c>
      <c r="C395" s="1" t="n">
        <v>45883</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9314-2023</t>
        </is>
      </c>
      <c r="B396" s="1" t="n">
        <v>44980.67747685185</v>
      </c>
      <c r="C396" s="1" t="n">
        <v>45883</v>
      </c>
      <c r="D396" t="inlineStr">
        <is>
          <t>ÖREBRO LÄN</t>
        </is>
      </c>
      <c r="E396" t="inlineStr">
        <is>
          <t>ÖREBRO</t>
        </is>
      </c>
      <c r="G396" t="n">
        <v>0.8</v>
      </c>
      <c r="H396" t="n">
        <v>0</v>
      </c>
      <c r="I396" t="n">
        <v>0</v>
      </c>
      <c r="J396" t="n">
        <v>0</v>
      </c>
      <c r="K396" t="n">
        <v>0</v>
      </c>
      <c r="L396" t="n">
        <v>0</v>
      </c>
      <c r="M396" t="n">
        <v>0</v>
      </c>
      <c r="N396" t="n">
        <v>0</v>
      </c>
      <c r="O396" t="n">
        <v>0</v>
      </c>
      <c r="P396" t="n">
        <v>0</v>
      </c>
      <c r="Q396" t="n">
        <v>0</v>
      </c>
      <c r="R396" s="2" t="inlineStr"/>
    </row>
    <row r="397" ht="15" customHeight="1">
      <c r="A397" t="inlineStr">
        <is>
          <t>A 35819-2024</t>
        </is>
      </c>
      <c r="B397" s="1" t="n">
        <v>45532</v>
      </c>
      <c r="C397" s="1" t="n">
        <v>45883</v>
      </c>
      <c r="D397" t="inlineStr">
        <is>
          <t>ÖREBRO LÄN</t>
        </is>
      </c>
      <c r="E397" t="inlineStr">
        <is>
          <t>ÖREBRO</t>
        </is>
      </c>
      <c r="G397" t="n">
        <v>6.4</v>
      </c>
      <c r="H397" t="n">
        <v>0</v>
      </c>
      <c r="I397" t="n">
        <v>0</v>
      </c>
      <c r="J397" t="n">
        <v>0</v>
      </c>
      <c r="K397" t="n">
        <v>0</v>
      </c>
      <c r="L397" t="n">
        <v>0</v>
      </c>
      <c r="M397" t="n">
        <v>0</v>
      </c>
      <c r="N397" t="n">
        <v>0</v>
      </c>
      <c r="O397" t="n">
        <v>0</v>
      </c>
      <c r="P397" t="n">
        <v>0</v>
      </c>
      <c r="Q397" t="n">
        <v>0</v>
      </c>
      <c r="R397" s="2" t="inlineStr"/>
    </row>
    <row r="398" ht="15" customHeight="1">
      <c r="A398" t="inlineStr">
        <is>
          <t>A 21578-2025</t>
        </is>
      </c>
      <c r="B398" s="1" t="n">
        <v>45782.88587962963</v>
      </c>
      <c r="C398" s="1" t="n">
        <v>45883</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32076-2023</t>
        </is>
      </c>
      <c r="B399" s="1" t="n">
        <v>45119.58324074074</v>
      </c>
      <c r="C399" s="1" t="n">
        <v>45883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33455-2023</t>
        </is>
      </c>
      <c r="B400" s="1" t="n">
        <v>45130.98962962963</v>
      </c>
      <c r="C400" s="1" t="n">
        <v>45883</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59736-2023</t>
        </is>
      </c>
      <c r="B401" s="1" t="n">
        <v>45257.374375</v>
      </c>
      <c r="C401" s="1" t="n">
        <v>45883</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21306-2024</t>
        </is>
      </c>
      <c r="B402" s="1" t="n">
        <v>45440.67883101852</v>
      </c>
      <c r="C402" s="1" t="n">
        <v>45883</v>
      </c>
      <c r="D402" t="inlineStr">
        <is>
          <t>ÖREBRO LÄN</t>
        </is>
      </c>
      <c r="E402" t="inlineStr">
        <is>
          <t>ÖREBRO</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7634-2024</t>
        </is>
      </c>
      <c r="B403" s="1" t="n">
        <v>45348</v>
      </c>
      <c r="C403" s="1" t="n">
        <v>45883</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5324-2024</t>
        </is>
      </c>
      <c r="B404" s="1" t="n">
        <v>45331</v>
      </c>
      <c r="C404" s="1" t="n">
        <v>45883</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45609.44553240741</v>
      </c>
      <c r="C405" s="1" t="n">
        <v>45883</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55355-2024</t>
        </is>
      </c>
      <c r="B406" s="1" t="n">
        <v>45621.80475694445</v>
      </c>
      <c r="C406" s="1" t="n">
        <v>45883</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49029-2024</t>
        </is>
      </c>
      <c r="B407" s="1" t="n">
        <v>45594</v>
      </c>
      <c r="C407" s="1" t="n">
        <v>45883</v>
      </c>
      <c r="D407" t="inlineStr">
        <is>
          <t>ÖREBRO LÄN</t>
        </is>
      </c>
      <c r="E407" t="inlineStr">
        <is>
          <t>ÖREBRO</t>
        </is>
      </c>
      <c r="G407" t="n">
        <v>3.7</v>
      </c>
      <c r="H407" t="n">
        <v>0</v>
      </c>
      <c r="I407" t="n">
        <v>0</v>
      </c>
      <c r="J407" t="n">
        <v>0</v>
      </c>
      <c r="K407" t="n">
        <v>0</v>
      </c>
      <c r="L407" t="n">
        <v>0</v>
      </c>
      <c r="M407" t="n">
        <v>0</v>
      </c>
      <c r="N407" t="n">
        <v>0</v>
      </c>
      <c r="O407" t="n">
        <v>0</v>
      </c>
      <c r="P407" t="n">
        <v>0</v>
      </c>
      <c r="Q407" t="n">
        <v>0</v>
      </c>
      <c r="R407" s="2" t="inlineStr"/>
    </row>
    <row r="408" ht="15" customHeight="1">
      <c r="A408" t="inlineStr">
        <is>
          <t>A 20115-2024</t>
        </is>
      </c>
      <c r="B408" s="1" t="n">
        <v>45434</v>
      </c>
      <c r="C408" s="1" t="n">
        <v>45883</v>
      </c>
      <c r="D408" t="inlineStr">
        <is>
          <t>ÖREBRO LÄN</t>
        </is>
      </c>
      <c r="E408" t="inlineStr">
        <is>
          <t>ÖREBRO</t>
        </is>
      </c>
      <c r="G408" t="n">
        <v>1.7</v>
      </c>
      <c r="H408" t="n">
        <v>0</v>
      </c>
      <c r="I408" t="n">
        <v>0</v>
      </c>
      <c r="J408" t="n">
        <v>0</v>
      </c>
      <c r="K408" t="n">
        <v>0</v>
      </c>
      <c r="L408" t="n">
        <v>0</v>
      </c>
      <c r="M408" t="n">
        <v>0</v>
      </c>
      <c r="N408" t="n">
        <v>0</v>
      </c>
      <c r="O408" t="n">
        <v>0</v>
      </c>
      <c r="P408" t="n">
        <v>0</v>
      </c>
      <c r="Q408" t="n">
        <v>0</v>
      </c>
      <c r="R408" s="2" t="inlineStr"/>
    </row>
    <row r="409" ht="15" customHeight="1">
      <c r="A409" t="inlineStr">
        <is>
          <t>A 764-2024</t>
        </is>
      </c>
      <c r="B409" s="1" t="n">
        <v>45300.51512731481</v>
      </c>
      <c r="C409" s="1" t="n">
        <v>45883</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55875-2024</t>
        </is>
      </c>
      <c r="B410" s="1" t="n">
        <v>45623.55375</v>
      </c>
      <c r="C410" s="1" t="n">
        <v>45883</v>
      </c>
      <c r="D410" t="inlineStr">
        <is>
          <t>ÖREBRO LÄN</t>
        </is>
      </c>
      <c r="E410" t="inlineStr">
        <is>
          <t>ÖREBRO</t>
        </is>
      </c>
      <c r="G410" t="n">
        <v>3.5</v>
      </c>
      <c r="H410" t="n">
        <v>0</v>
      </c>
      <c r="I410" t="n">
        <v>0</v>
      </c>
      <c r="J410" t="n">
        <v>0</v>
      </c>
      <c r="K410" t="n">
        <v>0</v>
      </c>
      <c r="L410" t="n">
        <v>0</v>
      </c>
      <c r="M410" t="n">
        <v>0</v>
      </c>
      <c r="N410" t="n">
        <v>0</v>
      </c>
      <c r="O410" t="n">
        <v>0</v>
      </c>
      <c r="P410" t="n">
        <v>0</v>
      </c>
      <c r="Q410" t="n">
        <v>0</v>
      </c>
      <c r="R410" s="2" t="inlineStr"/>
    </row>
    <row r="411" ht="15" customHeight="1">
      <c r="A411" t="inlineStr">
        <is>
          <t>A 14963-2025</t>
        </is>
      </c>
      <c r="B411" s="1" t="n">
        <v>45743.58699074074</v>
      </c>
      <c r="C411" s="1" t="n">
        <v>45883</v>
      </c>
      <c r="D411" t="inlineStr">
        <is>
          <t>ÖREBRO LÄN</t>
        </is>
      </c>
      <c r="E411" t="inlineStr">
        <is>
          <t>ÖREBRO</t>
        </is>
      </c>
      <c r="G411" t="n">
        <v>9.1</v>
      </c>
      <c r="H411" t="n">
        <v>0</v>
      </c>
      <c r="I411" t="n">
        <v>0</v>
      </c>
      <c r="J411" t="n">
        <v>0</v>
      </c>
      <c r="K411" t="n">
        <v>0</v>
      </c>
      <c r="L411" t="n">
        <v>0</v>
      </c>
      <c r="M411" t="n">
        <v>0</v>
      </c>
      <c r="N411" t="n">
        <v>0</v>
      </c>
      <c r="O411" t="n">
        <v>0</v>
      </c>
      <c r="P411" t="n">
        <v>0</v>
      </c>
      <c r="Q411" t="n">
        <v>0</v>
      </c>
      <c r="R411" s="2" t="inlineStr"/>
    </row>
    <row r="412" ht="15" customHeight="1">
      <c r="A412" t="inlineStr">
        <is>
          <t>A 23710-2022</t>
        </is>
      </c>
      <c r="B412" s="1" t="n">
        <v>44722</v>
      </c>
      <c r="C412" s="1" t="n">
        <v>45883</v>
      </c>
      <c r="D412" t="inlineStr">
        <is>
          <t>ÖREBRO LÄN</t>
        </is>
      </c>
      <c r="E412" t="inlineStr">
        <is>
          <t>ÖREBRO</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55357-2024</t>
        </is>
      </c>
      <c r="B413" s="1" t="n">
        <v>45621.81126157408</v>
      </c>
      <c r="C413" s="1" t="n">
        <v>45883</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38422-2023</t>
        </is>
      </c>
      <c r="B414" s="1" t="n">
        <v>45162.36422453704</v>
      </c>
      <c r="C414" s="1" t="n">
        <v>45883</v>
      </c>
      <c r="D414" t="inlineStr">
        <is>
          <t>ÖREBRO LÄN</t>
        </is>
      </c>
      <c r="E414" t="inlineStr">
        <is>
          <t>ÖREBRO</t>
        </is>
      </c>
      <c r="G414" t="n">
        <v>8</v>
      </c>
      <c r="H414" t="n">
        <v>0</v>
      </c>
      <c r="I414" t="n">
        <v>0</v>
      </c>
      <c r="J414" t="n">
        <v>0</v>
      </c>
      <c r="K414" t="n">
        <v>0</v>
      </c>
      <c r="L414" t="n">
        <v>0</v>
      </c>
      <c r="M414" t="n">
        <v>0</v>
      </c>
      <c r="N414" t="n">
        <v>0</v>
      </c>
      <c r="O414" t="n">
        <v>0</v>
      </c>
      <c r="P414" t="n">
        <v>0</v>
      </c>
      <c r="Q414" t="n">
        <v>0</v>
      </c>
      <c r="R414" s="2" t="inlineStr"/>
    </row>
    <row r="415" ht="15" customHeight="1">
      <c r="A415" t="inlineStr">
        <is>
          <t>A 10470-2025</t>
        </is>
      </c>
      <c r="B415" s="1" t="n">
        <v>45720</v>
      </c>
      <c r="C415" s="1" t="n">
        <v>45883</v>
      </c>
      <c r="D415" t="inlineStr">
        <is>
          <t>ÖREBRO LÄN</t>
        </is>
      </c>
      <c r="E415" t="inlineStr">
        <is>
          <t>ÖREBRO</t>
        </is>
      </c>
      <c r="G415" t="n">
        <v>11.5</v>
      </c>
      <c r="H415" t="n">
        <v>0</v>
      </c>
      <c r="I415" t="n">
        <v>0</v>
      </c>
      <c r="J415" t="n">
        <v>0</v>
      </c>
      <c r="K415" t="n">
        <v>0</v>
      </c>
      <c r="L415" t="n">
        <v>0</v>
      </c>
      <c r="M415" t="n">
        <v>0</v>
      </c>
      <c r="N415" t="n">
        <v>0</v>
      </c>
      <c r="O415" t="n">
        <v>0</v>
      </c>
      <c r="P415" t="n">
        <v>0</v>
      </c>
      <c r="Q415" t="n">
        <v>0</v>
      </c>
      <c r="R415" s="2" t="inlineStr"/>
    </row>
    <row r="416" ht="15" customHeight="1">
      <c r="A416" t="inlineStr">
        <is>
          <t>A 46056-2024</t>
        </is>
      </c>
      <c r="B416" s="1" t="n">
        <v>45580.91502314815</v>
      </c>
      <c r="C416" s="1" t="n">
        <v>45883</v>
      </c>
      <c r="D416" t="inlineStr">
        <is>
          <t>ÖREBRO LÄN</t>
        </is>
      </c>
      <c r="E416" t="inlineStr">
        <is>
          <t>ÖREBRO</t>
        </is>
      </c>
      <c r="F416" t="inlineStr">
        <is>
          <t>Övriga Aktiebolag</t>
        </is>
      </c>
      <c r="G416" t="n">
        <v>4.5</v>
      </c>
      <c r="H416" t="n">
        <v>0</v>
      </c>
      <c r="I416" t="n">
        <v>0</v>
      </c>
      <c r="J416" t="n">
        <v>0</v>
      </c>
      <c r="K416" t="n">
        <v>0</v>
      </c>
      <c r="L416" t="n">
        <v>0</v>
      </c>
      <c r="M416" t="n">
        <v>0</v>
      </c>
      <c r="N416" t="n">
        <v>0</v>
      </c>
      <c r="O416" t="n">
        <v>0</v>
      </c>
      <c r="P416" t="n">
        <v>0</v>
      </c>
      <c r="Q416" t="n">
        <v>0</v>
      </c>
      <c r="R416" s="2" t="inlineStr"/>
    </row>
    <row r="417" ht="15" customHeight="1">
      <c r="A417" t="inlineStr">
        <is>
          <t>A 13355-2023</t>
        </is>
      </c>
      <c r="B417" s="1" t="n">
        <v>45004</v>
      </c>
      <c r="C417" s="1" t="n">
        <v>45883</v>
      </c>
      <c r="D417" t="inlineStr">
        <is>
          <t>ÖREBRO LÄN</t>
        </is>
      </c>
      <c r="E417" t="inlineStr">
        <is>
          <t>ÖREBRO</t>
        </is>
      </c>
      <c r="G417" t="n">
        <v>2.3</v>
      </c>
      <c r="H417" t="n">
        <v>0</v>
      </c>
      <c r="I417" t="n">
        <v>0</v>
      </c>
      <c r="J417" t="n">
        <v>0</v>
      </c>
      <c r="K417" t="n">
        <v>0</v>
      </c>
      <c r="L417" t="n">
        <v>0</v>
      </c>
      <c r="M417" t="n">
        <v>0</v>
      </c>
      <c r="N417" t="n">
        <v>0</v>
      </c>
      <c r="O417" t="n">
        <v>0</v>
      </c>
      <c r="P417" t="n">
        <v>0</v>
      </c>
      <c r="Q417" t="n">
        <v>0</v>
      </c>
      <c r="R417" s="2" t="inlineStr"/>
    </row>
    <row r="418" ht="15" customHeight="1">
      <c r="A418" t="inlineStr">
        <is>
          <t>A 65257-2023</t>
        </is>
      </c>
      <c r="B418" s="1" t="n">
        <v>45290</v>
      </c>
      <c r="C418" s="1" t="n">
        <v>45883</v>
      </c>
      <c r="D418" t="inlineStr">
        <is>
          <t>ÖREBRO LÄN</t>
        </is>
      </c>
      <c r="E418" t="inlineStr">
        <is>
          <t>ÖREBRO</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42636-2023</t>
        </is>
      </c>
      <c r="B419" s="1" t="n">
        <v>45181.49559027778</v>
      </c>
      <c r="C419" s="1" t="n">
        <v>45883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58644-2023</t>
        </is>
      </c>
      <c r="B420" s="1" t="n">
        <v>45251.58716435185</v>
      </c>
      <c r="C420" s="1" t="n">
        <v>45883</v>
      </c>
      <c r="D420" t="inlineStr">
        <is>
          <t>ÖREBRO LÄN</t>
        </is>
      </c>
      <c r="E420" t="inlineStr">
        <is>
          <t>ÖREBRO</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46518-2023</t>
        </is>
      </c>
      <c r="B421" s="1" t="n">
        <v>45197.72777777778</v>
      </c>
      <c r="C421" s="1" t="n">
        <v>45883</v>
      </c>
      <c r="D421" t="inlineStr">
        <is>
          <t>ÖREBRO LÄN</t>
        </is>
      </c>
      <c r="E421" t="inlineStr">
        <is>
          <t>ÖREBRO</t>
        </is>
      </c>
      <c r="G421" t="n">
        <v>2.2</v>
      </c>
      <c r="H421" t="n">
        <v>0</v>
      </c>
      <c r="I421" t="n">
        <v>0</v>
      </c>
      <c r="J421" t="n">
        <v>0</v>
      </c>
      <c r="K421" t="n">
        <v>0</v>
      </c>
      <c r="L421" t="n">
        <v>0</v>
      </c>
      <c r="M421" t="n">
        <v>0</v>
      </c>
      <c r="N421" t="n">
        <v>0</v>
      </c>
      <c r="O421" t="n">
        <v>0</v>
      </c>
      <c r="P421" t="n">
        <v>0</v>
      </c>
      <c r="Q421" t="n">
        <v>0</v>
      </c>
      <c r="R421" s="2" t="inlineStr"/>
    </row>
    <row r="422" ht="15" customHeight="1">
      <c r="A422" t="inlineStr">
        <is>
          <t>A 6522-2023</t>
        </is>
      </c>
      <c r="B422" s="1" t="n">
        <v>44966</v>
      </c>
      <c r="C422" s="1" t="n">
        <v>45883</v>
      </c>
      <c r="D422" t="inlineStr">
        <is>
          <t>ÖREBRO LÄN</t>
        </is>
      </c>
      <c r="E422" t="inlineStr">
        <is>
          <t>ÖREBRO</t>
        </is>
      </c>
      <c r="G422" t="n">
        <v>4.4</v>
      </c>
      <c r="H422" t="n">
        <v>0</v>
      </c>
      <c r="I422" t="n">
        <v>0</v>
      </c>
      <c r="J422" t="n">
        <v>0</v>
      </c>
      <c r="K422" t="n">
        <v>0</v>
      </c>
      <c r="L422" t="n">
        <v>0</v>
      </c>
      <c r="M422" t="n">
        <v>0</v>
      </c>
      <c r="N422" t="n">
        <v>0</v>
      </c>
      <c r="O422" t="n">
        <v>0</v>
      </c>
      <c r="P422" t="n">
        <v>0</v>
      </c>
      <c r="Q422" t="n">
        <v>0</v>
      </c>
      <c r="R422" s="2" t="inlineStr"/>
    </row>
    <row r="423" ht="15" customHeight="1">
      <c r="A423" t="inlineStr">
        <is>
          <t>A 56040-2024</t>
        </is>
      </c>
      <c r="B423" s="1" t="n">
        <v>45624.3344212963</v>
      </c>
      <c r="C423" s="1" t="n">
        <v>45883</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52444-2024</t>
        </is>
      </c>
      <c r="B424" s="1" t="n">
        <v>45609.48894675926</v>
      </c>
      <c r="C424" s="1" t="n">
        <v>45883</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21338-2025</t>
        </is>
      </c>
      <c r="B425" s="1" t="n">
        <v>45780</v>
      </c>
      <c r="C425" s="1" t="n">
        <v>45883</v>
      </c>
      <c r="D425" t="inlineStr">
        <is>
          <t>ÖREBRO LÄN</t>
        </is>
      </c>
      <c r="E425" t="inlineStr">
        <is>
          <t>ÖREBRO</t>
        </is>
      </c>
      <c r="G425" t="n">
        <v>3.2</v>
      </c>
      <c r="H425" t="n">
        <v>0</v>
      </c>
      <c r="I425" t="n">
        <v>0</v>
      </c>
      <c r="J425" t="n">
        <v>0</v>
      </c>
      <c r="K425" t="n">
        <v>0</v>
      </c>
      <c r="L425" t="n">
        <v>0</v>
      </c>
      <c r="M425" t="n">
        <v>0</v>
      </c>
      <c r="N425" t="n">
        <v>0</v>
      </c>
      <c r="O425" t="n">
        <v>0</v>
      </c>
      <c r="P425" t="n">
        <v>0</v>
      </c>
      <c r="Q425" t="n">
        <v>0</v>
      </c>
      <c r="R425" s="2" t="inlineStr"/>
    </row>
    <row r="426" ht="15" customHeight="1">
      <c r="A426" t="inlineStr">
        <is>
          <t>A 60128-2023</t>
        </is>
      </c>
      <c r="B426" s="1" t="n">
        <v>45258</v>
      </c>
      <c r="C426" s="1" t="n">
        <v>45883</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16140-2023</t>
        </is>
      </c>
      <c r="B427" s="1" t="n">
        <v>45027.6433912037</v>
      </c>
      <c r="C427" s="1" t="n">
        <v>45883</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22755-2025</t>
        </is>
      </c>
      <c r="B428" s="1" t="n">
        <v>45789.61872685186</v>
      </c>
      <c r="C428" s="1" t="n">
        <v>45883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44199-2024</t>
        </is>
      </c>
      <c r="B429" s="1" t="n">
        <v>45573</v>
      </c>
      <c r="C429" s="1" t="n">
        <v>45883</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34336-2024</t>
        </is>
      </c>
      <c r="B430" s="1" t="n">
        <v>45524.94774305556</v>
      </c>
      <c r="C430" s="1" t="n">
        <v>45883</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26443-2024</t>
        </is>
      </c>
      <c r="B431" s="1" t="n">
        <v>45469.49901620371</v>
      </c>
      <c r="C431" s="1" t="n">
        <v>45883</v>
      </c>
      <c r="D431" t="inlineStr">
        <is>
          <t>ÖREBRO LÄN</t>
        </is>
      </c>
      <c r="E431" t="inlineStr">
        <is>
          <t>ÖREBRO</t>
        </is>
      </c>
      <c r="G431" t="n">
        <v>5.7</v>
      </c>
      <c r="H431" t="n">
        <v>0</v>
      </c>
      <c r="I431" t="n">
        <v>0</v>
      </c>
      <c r="J431" t="n">
        <v>0</v>
      </c>
      <c r="K431" t="n">
        <v>0</v>
      </c>
      <c r="L431" t="n">
        <v>0</v>
      </c>
      <c r="M431" t="n">
        <v>0</v>
      </c>
      <c r="N431" t="n">
        <v>0</v>
      </c>
      <c r="O431" t="n">
        <v>0</v>
      </c>
      <c r="P431" t="n">
        <v>0</v>
      </c>
      <c r="Q431" t="n">
        <v>0</v>
      </c>
      <c r="R431" s="2" t="inlineStr"/>
    </row>
    <row r="432" ht="15" customHeight="1">
      <c r="A432" t="inlineStr">
        <is>
          <t>A 35477-2024</t>
        </is>
      </c>
      <c r="B432" s="1" t="n">
        <v>45531</v>
      </c>
      <c r="C432" s="1" t="n">
        <v>45883</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6752-2022</t>
        </is>
      </c>
      <c r="B433" s="1" t="n">
        <v>44602.48082175926</v>
      </c>
      <c r="C433" s="1" t="n">
        <v>45883</v>
      </c>
      <c r="D433" t="inlineStr">
        <is>
          <t>ÖREBRO LÄN</t>
        </is>
      </c>
      <c r="E433" t="inlineStr">
        <is>
          <t>ÖREBRO</t>
        </is>
      </c>
      <c r="G433" t="n">
        <v>3.1</v>
      </c>
      <c r="H433" t="n">
        <v>0</v>
      </c>
      <c r="I433" t="n">
        <v>0</v>
      </c>
      <c r="J433" t="n">
        <v>0</v>
      </c>
      <c r="K433" t="n">
        <v>0</v>
      </c>
      <c r="L433" t="n">
        <v>0</v>
      </c>
      <c r="M433" t="n">
        <v>0</v>
      </c>
      <c r="N433" t="n">
        <v>0</v>
      </c>
      <c r="O433" t="n">
        <v>0</v>
      </c>
      <c r="P433" t="n">
        <v>0</v>
      </c>
      <c r="Q433" t="n">
        <v>0</v>
      </c>
      <c r="R433" s="2" t="inlineStr"/>
    </row>
    <row r="434" ht="15" customHeight="1">
      <c r="A434" t="inlineStr">
        <is>
          <t>A 34056-2023</t>
        </is>
      </c>
      <c r="B434" s="1" t="n">
        <v>45135</v>
      </c>
      <c r="C434" s="1" t="n">
        <v>45883</v>
      </c>
      <c r="D434" t="inlineStr">
        <is>
          <t>ÖREBRO LÄN</t>
        </is>
      </c>
      <c r="E434" t="inlineStr">
        <is>
          <t>ÖREBRO</t>
        </is>
      </c>
      <c r="F434" t="inlineStr">
        <is>
          <t>Övriga Aktiebolag</t>
        </is>
      </c>
      <c r="G434" t="n">
        <v>4.1</v>
      </c>
      <c r="H434" t="n">
        <v>0</v>
      </c>
      <c r="I434" t="n">
        <v>0</v>
      </c>
      <c r="J434" t="n">
        <v>0</v>
      </c>
      <c r="K434" t="n">
        <v>0</v>
      </c>
      <c r="L434" t="n">
        <v>0</v>
      </c>
      <c r="M434" t="n">
        <v>0</v>
      </c>
      <c r="N434" t="n">
        <v>0</v>
      </c>
      <c r="O434" t="n">
        <v>0</v>
      </c>
      <c r="P434" t="n">
        <v>0</v>
      </c>
      <c r="Q434" t="n">
        <v>0</v>
      </c>
      <c r="R434" s="2" t="inlineStr"/>
    </row>
    <row r="435" ht="15" customHeight="1">
      <c r="A435" t="inlineStr">
        <is>
          <t>A 33457-2023</t>
        </is>
      </c>
      <c r="B435" s="1" t="n">
        <v>45131</v>
      </c>
      <c r="C435" s="1" t="n">
        <v>45883</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45237-2023</t>
        </is>
      </c>
      <c r="B436" s="1" t="n">
        <v>45191</v>
      </c>
      <c r="C436" s="1" t="n">
        <v>45883</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5946-2021</t>
        </is>
      </c>
      <c r="B437" s="1" t="n">
        <v>44230</v>
      </c>
      <c r="C437" s="1" t="n">
        <v>45883</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51180-2023</t>
        </is>
      </c>
      <c r="B438" s="1" t="n">
        <v>45219</v>
      </c>
      <c r="C438" s="1" t="n">
        <v>45883</v>
      </c>
      <c r="D438" t="inlineStr">
        <is>
          <t>ÖREBRO LÄN</t>
        </is>
      </c>
      <c r="E438" t="inlineStr">
        <is>
          <t>ÖREBRO</t>
        </is>
      </c>
      <c r="G438" t="n">
        <v>6.5</v>
      </c>
      <c r="H438" t="n">
        <v>0</v>
      </c>
      <c r="I438" t="n">
        <v>0</v>
      </c>
      <c r="J438" t="n">
        <v>0</v>
      </c>
      <c r="K438" t="n">
        <v>0</v>
      </c>
      <c r="L438" t="n">
        <v>0</v>
      </c>
      <c r="M438" t="n">
        <v>0</v>
      </c>
      <c r="N438" t="n">
        <v>0</v>
      </c>
      <c r="O438" t="n">
        <v>0</v>
      </c>
      <c r="P438" t="n">
        <v>0</v>
      </c>
      <c r="Q438" t="n">
        <v>0</v>
      </c>
      <c r="R438" s="2" t="inlineStr"/>
    </row>
    <row r="439" ht="15" customHeight="1">
      <c r="A439" t="inlineStr">
        <is>
          <t>A 22719-2025</t>
        </is>
      </c>
      <c r="B439" s="1" t="n">
        <v>45789</v>
      </c>
      <c r="C439" s="1" t="n">
        <v>45883</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60028-2024</t>
        </is>
      </c>
      <c r="B440" s="1" t="n">
        <v>45642</v>
      </c>
      <c r="C440" s="1" t="n">
        <v>45883</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33294-2023</t>
        </is>
      </c>
      <c r="B441" s="1" t="n">
        <v>45127</v>
      </c>
      <c r="C441" s="1" t="n">
        <v>45883</v>
      </c>
      <c r="D441" t="inlineStr">
        <is>
          <t>ÖREBRO LÄN</t>
        </is>
      </c>
      <c r="E441" t="inlineStr">
        <is>
          <t>ÖREBRO</t>
        </is>
      </c>
      <c r="F441" t="inlineStr">
        <is>
          <t>Övriga Aktiebolag</t>
        </is>
      </c>
      <c r="G441" t="n">
        <v>6.7</v>
      </c>
      <c r="H441" t="n">
        <v>0</v>
      </c>
      <c r="I441" t="n">
        <v>0</v>
      </c>
      <c r="J441" t="n">
        <v>0</v>
      </c>
      <c r="K441" t="n">
        <v>0</v>
      </c>
      <c r="L441" t="n">
        <v>0</v>
      </c>
      <c r="M441" t="n">
        <v>0</v>
      </c>
      <c r="N441" t="n">
        <v>0</v>
      </c>
      <c r="O441" t="n">
        <v>0</v>
      </c>
      <c r="P441" t="n">
        <v>0</v>
      </c>
      <c r="Q441" t="n">
        <v>0</v>
      </c>
      <c r="R441" s="2" t="inlineStr"/>
    </row>
    <row r="442" ht="15" customHeight="1">
      <c r="A442" t="inlineStr">
        <is>
          <t>A 30316-2024</t>
        </is>
      </c>
      <c r="B442" s="1" t="n">
        <v>45490</v>
      </c>
      <c r="C442" s="1" t="n">
        <v>45883</v>
      </c>
      <c r="D442" t="inlineStr">
        <is>
          <t>ÖREBRO LÄN</t>
        </is>
      </c>
      <c r="E442" t="inlineStr">
        <is>
          <t>ÖREBRO</t>
        </is>
      </c>
      <c r="G442" t="n">
        <v>5.5</v>
      </c>
      <c r="H442" t="n">
        <v>0</v>
      </c>
      <c r="I442" t="n">
        <v>0</v>
      </c>
      <c r="J442" t="n">
        <v>0</v>
      </c>
      <c r="K442" t="n">
        <v>0</v>
      </c>
      <c r="L442" t="n">
        <v>0</v>
      </c>
      <c r="M442" t="n">
        <v>0</v>
      </c>
      <c r="N442" t="n">
        <v>0</v>
      </c>
      <c r="O442" t="n">
        <v>0</v>
      </c>
      <c r="P442" t="n">
        <v>0</v>
      </c>
      <c r="Q442" t="n">
        <v>0</v>
      </c>
      <c r="R442" s="2" t="inlineStr"/>
    </row>
    <row r="443" ht="15" customHeight="1">
      <c r="A443" t="inlineStr">
        <is>
          <t>A 38790-2024</t>
        </is>
      </c>
      <c r="B443" s="1" t="n">
        <v>45547.48450231482</v>
      </c>
      <c r="C443" s="1" t="n">
        <v>45883</v>
      </c>
      <c r="D443" t="inlineStr">
        <is>
          <t>ÖREBRO LÄN</t>
        </is>
      </c>
      <c r="E443" t="inlineStr">
        <is>
          <t>ÖREBRO</t>
        </is>
      </c>
      <c r="G443" t="n">
        <v>2</v>
      </c>
      <c r="H443" t="n">
        <v>0</v>
      </c>
      <c r="I443" t="n">
        <v>0</v>
      </c>
      <c r="J443" t="n">
        <v>0</v>
      </c>
      <c r="K443" t="n">
        <v>0</v>
      </c>
      <c r="L443" t="n">
        <v>0</v>
      </c>
      <c r="M443" t="n">
        <v>0</v>
      </c>
      <c r="N443" t="n">
        <v>0</v>
      </c>
      <c r="O443" t="n">
        <v>0</v>
      </c>
      <c r="P443" t="n">
        <v>0</v>
      </c>
      <c r="Q443" t="n">
        <v>0</v>
      </c>
      <c r="R443" s="2" t="inlineStr"/>
    </row>
    <row r="444" ht="15" customHeight="1">
      <c r="A444" t="inlineStr">
        <is>
          <t>A 61279-2024</t>
        </is>
      </c>
      <c r="B444" s="1" t="n">
        <v>45645</v>
      </c>
      <c r="C444" s="1" t="n">
        <v>45883</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45883</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13857-2022</t>
        </is>
      </c>
      <c r="B446" s="1" t="n">
        <v>44649</v>
      </c>
      <c r="C446" s="1" t="n">
        <v>45883</v>
      </c>
      <c r="D446" t="inlineStr">
        <is>
          <t>ÖREBRO LÄN</t>
        </is>
      </c>
      <c r="E446" t="inlineStr">
        <is>
          <t>ÖREBRO</t>
        </is>
      </c>
      <c r="G446" t="n">
        <v>0.6</v>
      </c>
      <c r="H446" t="n">
        <v>0</v>
      </c>
      <c r="I446" t="n">
        <v>0</v>
      </c>
      <c r="J446" t="n">
        <v>0</v>
      </c>
      <c r="K446" t="n">
        <v>0</v>
      </c>
      <c r="L446" t="n">
        <v>0</v>
      </c>
      <c r="M446" t="n">
        <v>0</v>
      </c>
      <c r="N446" t="n">
        <v>0</v>
      </c>
      <c r="O446" t="n">
        <v>0</v>
      </c>
      <c r="P446" t="n">
        <v>0</v>
      </c>
      <c r="Q446" t="n">
        <v>0</v>
      </c>
      <c r="R446" s="2" t="inlineStr"/>
    </row>
    <row r="447" ht="15" customHeight="1">
      <c r="A447" t="inlineStr">
        <is>
          <t>A 15555-2025</t>
        </is>
      </c>
      <c r="B447" s="1" t="n">
        <v>45747.67768518518</v>
      </c>
      <c r="C447" s="1" t="n">
        <v>45883</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61078-2024</t>
        </is>
      </c>
      <c r="B448" s="1" t="n">
        <v>45645.51034722223</v>
      </c>
      <c r="C448" s="1" t="n">
        <v>45883</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5136-2024</t>
        </is>
      </c>
      <c r="B449" s="1" t="n">
        <v>45330</v>
      </c>
      <c r="C449" s="1" t="n">
        <v>45883</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12871-2021</t>
        </is>
      </c>
      <c r="B450" s="1" t="n">
        <v>44271.42121527778</v>
      </c>
      <c r="C450" s="1" t="n">
        <v>45883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13158-2024</t>
        </is>
      </c>
      <c r="B451" s="1" t="n">
        <v>45386.38728009259</v>
      </c>
      <c r="C451" s="1" t="n">
        <v>45883</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4380-2025</t>
        </is>
      </c>
      <c r="B452" s="1" t="n">
        <v>45686.3959375</v>
      </c>
      <c r="C452" s="1" t="n">
        <v>45883</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13181-2023</t>
        </is>
      </c>
      <c r="B453" s="1" t="n">
        <v>45002.60659722222</v>
      </c>
      <c r="C453" s="1" t="n">
        <v>45883</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25996-2024</t>
        </is>
      </c>
      <c r="B454" s="1" t="n">
        <v>45467.89081018518</v>
      </c>
      <c r="C454" s="1" t="n">
        <v>45883</v>
      </c>
      <c r="D454" t="inlineStr">
        <is>
          <t>ÖREBRO LÄN</t>
        </is>
      </c>
      <c r="E454" t="inlineStr">
        <is>
          <t>ÖREBRO</t>
        </is>
      </c>
      <c r="G454" t="n">
        <v>4.7</v>
      </c>
      <c r="H454" t="n">
        <v>0</v>
      </c>
      <c r="I454" t="n">
        <v>0</v>
      </c>
      <c r="J454" t="n">
        <v>0</v>
      </c>
      <c r="K454" t="n">
        <v>0</v>
      </c>
      <c r="L454" t="n">
        <v>0</v>
      </c>
      <c r="M454" t="n">
        <v>0</v>
      </c>
      <c r="N454" t="n">
        <v>0</v>
      </c>
      <c r="O454" t="n">
        <v>0</v>
      </c>
      <c r="P454" t="n">
        <v>0</v>
      </c>
      <c r="Q454" t="n">
        <v>0</v>
      </c>
      <c r="R454" s="2" t="inlineStr"/>
    </row>
    <row r="455" ht="15" customHeight="1">
      <c r="A455" t="inlineStr">
        <is>
          <t>A 16676-2025</t>
        </is>
      </c>
      <c r="B455" s="1" t="n">
        <v>45754.44658564815</v>
      </c>
      <c r="C455" s="1" t="n">
        <v>45883</v>
      </c>
      <c r="D455" t="inlineStr">
        <is>
          <t>ÖREBRO LÄN</t>
        </is>
      </c>
      <c r="E455" t="inlineStr">
        <is>
          <t>ÖREBRO</t>
        </is>
      </c>
      <c r="G455" t="n">
        <v>5.8</v>
      </c>
      <c r="H455" t="n">
        <v>0</v>
      </c>
      <c r="I455" t="n">
        <v>0</v>
      </c>
      <c r="J455" t="n">
        <v>0</v>
      </c>
      <c r="K455" t="n">
        <v>0</v>
      </c>
      <c r="L455" t="n">
        <v>0</v>
      </c>
      <c r="M455" t="n">
        <v>0</v>
      </c>
      <c r="N455" t="n">
        <v>0</v>
      </c>
      <c r="O455" t="n">
        <v>0</v>
      </c>
      <c r="P455" t="n">
        <v>0</v>
      </c>
      <c r="Q455" t="n">
        <v>0</v>
      </c>
      <c r="R455" s="2" t="inlineStr"/>
    </row>
    <row r="456" ht="15" customHeight="1">
      <c r="A456" t="inlineStr">
        <is>
          <t>A 23741-2022</t>
        </is>
      </c>
      <c r="B456" s="1" t="n">
        <v>44722</v>
      </c>
      <c r="C456" s="1" t="n">
        <v>45883</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8274-2025</t>
        </is>
      </c>
      <c r="B457" s="1" t="n">
        <v>45708</v>
      </c>
      <c r="C457" s="1" t="n">
        <v>45883</v>
      </c>
      <c r="D457" t="inlineStr">
        <is>
          <t>ÖREBRO LÄN</t>
        </is>
      </c>
      <c r="E457" t="inlineStr">
        <is>
          <t>ÖREBRO</t>
        </is>
      </c>
      <c r="G457" t="n">
        <v>5.8</v>
      </c>
      <c r="H457" t="n">
        <v>0</v>
      </c>
      <c r="I457" t="n">
        <v>0</v>
      </c>
      <c r="J457" t="n">
        <v>0</v>
      </c>
      <c r="K457" t="n">
        <v>0</v>
      </c>
      <c r="L457" t="n">
        <v>0</v>
      </c>
      <c r="M457" t="n">
        <v>0</v>
      </c>
      <c r="N457" t="n">
        <v>0</v>
      </c>
      <c r="O457" t="n">
        <v>0</v>
      </c>
      <c r="P457" t="n">
        <v>0</v>
      </c>
      <c r="Q457" t="n">
        <v>0</v>
      </c>
      <c r="R457" s="2" t="inlineStr"/>
    </row>
    <row r="458" ht="15" customHeight="1">
      <c r="A458" t="inlineStr">
        <is>
          <t>A 58620-2024</t>
        </is>
      </c>
      <c r="B458" s="1" t="n">
        <v>45635.56246527778</v>
      </c>
      <c r="C458" s="1" t="n">
        <v>45883</v>
      </c>
      <c r="D458" t="inlineStr">
        <is>
          <t>ÖREBRO LÄN</t>
        </is>
      </c>
      <c r="E458" t="inlineStr">
        <is>
          <t>ÖREBRO</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34358-2022</t>
        </is>
      </c>
      <c r="B459" s="1" t="n">
        <v>44792.45494212963</v>
      </c>
      <c r="C459" s="1" t="n">
        <v>45883</v>
      </c>
      <c r="D459" t="inlineStr">
        <is>
          <t>ÖREBRO LÄN</t>
        </is>
      </c>
      <c r="E459" t="inlineStr">
        <is>
          <t>ÖREBRO</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15695-2024</t>
        </is>
      </c>
      <c r="B460" s="1" t="n">
        <v>45404.45487268519</v>
      </c>
      <c r="C460" s="1" t="n">
        <v>45883</v>
      </c>
      <c r="D460" t="inlineStr">
        <is>
          <t>ÖREBRO LÄN</t>
        </is>
      </c>
      <c r="E460" t="inlineStr">
        <is>
          <t>ÖREBRO</t>
        </is>
      </c>
      <c r="G460" t="n">
        <v>2.7</v>
      </c>
      <c r="H460" t="n">
        <v>0</v>
      </c>
      <c r="I460" t="n">
        <v>0</v>
      </c>
      <c r="J460" t="n">
        <v>0</v>
      </c>
      <c r="K460" t="n">
        <v>0</v>
      </c>
      <c r="L460" t="n">
        <v>0</v>
      </c>
      <c r="M460" t="n">
        <v>0</v>
      </c>
      <c r="N460" t="n">
        <v>0</v>
      </c>
      <c r="O460" t="n">
        <v>0</v>
      </c>
      <c r="P460" t="n">
        <v>0</v>
      </c>
      <c r="Q460" t="n">
        <v>0</v>
      </c>
      <c r="R460" s="2" t="inlineStr"/>
    </row>
    <row r="461" ht="15" customHeight="1">
      <c r="A461" t="inlineStr">
        <is>
          <t>A 48644-2024</t>
        </is>
      </c>
      <c r="B461" s="1" t="n">
        <v>45593.47466435185</v>
      </c>
      <c r="C461" s="1" t="n">
        <v>45883</v>
      </c>
      <c r="D461" t="inlineStr">
        <is>
          <t>ÖREBRO LÄN</t>
        </is>
      </c>
      <c r="E461" t="inlineStr">
        <is>
          <t>ÖREBRO</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5406-2025</t>
        </is>
      </c>
      <c r="B462" s="1" t="n">
        <v>45692.64821759259</v>
      </c>
      <c r="C462" s="1" t="n">
        <v>45883</v>
      </c>
      <c r="D462" t="inlineStr">
        <is>
          <t>ÖREBRO LÄN</t>
        </is>
      </c>
      <c r="E462" t="inlineStr">
        <is>
          <t>ÖREBRO</t>
        </is>
      </c>
      <c r="G462" t="n">
        <v>1.2</v>
      </c>
      <c r="H462" t="n">
        <v>0</v>
      </c>
      <c r="I462" t="n">
        <v>0</v>
      </c>
      <c r="J462" t="n">
        <v>0</v>
      </c>
      <c r="K462" t="n">
        <v>0</v>
      </c>
      <c r="L462" t="n">
        <v>0</v>
      </c>
      <c r="M462" t="n">
        <v>0</v>
      </c>
      <c r="N462" t="n">
        <v>0</v>
      </c>
      <c r="O462" t="n">
        <v>0</v>
      </c>
      <c r="P462" t="n">
        <v>0</v>
      </c>
      <c r="Q462" t="n">
        <v>0</v>
      </c>
      <c r="R462" s="2" t="inlineStr"/>
    </row>
    <row r="463" ht="15" customHeight="1">
      <c r="A463" t="inlineStr">
        <is>
          <t>A 7141-2025</t>
        </is>
      </c>
      <c r="B463" s="1" t="n">
        <v>45702</v>
      </c>
      <c r="C463" s="1" t="n">
        <v>45883</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59024-2024</t>
        </is>
      </c>
      <c r="B464" s="1" t="n">
        <v>45636.68505787037</v>
      </c>
      <c r="C464" s="1" t="n">
        <v>45883</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22348-2024</t>
        </is>
      </c>
      <c r="B465" s="1" t="n">
        <v>45446.61256944444</v>
      </c>
      <c r="C465" s="1" t="n">
        <v>45883</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13657-2025</t>
        </is>
      </c>
      <c r="B466" s="1" t="n">
        <v>45736.7427662037</v>
      </c>
      <c r="C466" s="1" t="n">
        <v>45883</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57867-2024</t>
        </is>
      </c>
      <c r="B467" s="1" t="n">
        <v>45631.43864583333</v>
      </c>
      <c r="C467" s="1" t="n">
        <v>45883</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29138-2022</t>
        </is>
      </c>
      <c r="B468" s="1" t="n">
        <v>44750</v>
      </c>
      <c r="C468" s="1" t="n">
        <v>45883</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29143-2022</t>
        </is>
      </c>
      <c r="B469" s="1" t="n">
        <v>44750</v>
      </c>
      <c r="C469" s="1" t="n">
        <v>45883</v>
      </c>
      <c r="D469" t="inlineStr">
        <is>
          <t>ÖREBRO LÄN</t>
        </is>
      </c>
      <c r="E469" t="inlineStr">
        <is>
          <t>ÖREBRO</t>
        </is>
      </c>
      <c r="G469" t="n">
        <v>5.6</v>
      </c>
      <c r="H469" t="n">
        <v>0</v>
      </c>
      <c r="I469" t="n">
        <v>0</v>
      </c>
      <c r="J469" t="n">
        <v>0</v>
      </c>
      <c r="K469" t="n">
        <v>0</v>
      </c>
      <c r="L469" t="n">
        <v>0</v>
      </c>
      <c r="M469" t="n">
        <v>0</v>
      </c>
      <c r="N469" t="n">
        <v>0</v>
      </c>
      <c r="O469" t="n">
        <v>0</v>
      </c>
      <c r="P469" t="n">
        <v>0</v>
      </c>
      <c r="Q469" t="n">
        <v>0</v>
      </c>
      <c r="R469" s="2" t="inlineStr"/>
    </row>
    <row r="470" ht="15" customHeight="1">
      <c r="A470" t="inlineStr">
        <is>
          <t>A 52018-2024</t>
        </is>
      </c>
      <c r="B470" s="1" t="n">
        <v>45607.82974537037</v>
      </c>
      <c r="C470" s="1" t="n">
        <v>45883</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30089-2024</t>
        </is>
      </c>
      <c r="B471" s="1" t="n">
        <v>45485</v>
      </c>
      <c r="C471" s="1" t="n">
        <v>45883</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24192-2025</t>
        </is>
      </c>
      <c r="B472" s="1" t="n">
        <v>45796.88609953703</v>
      </c>
      <c r="C472" s="1" t="n">
        <v>45883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21983-2021</t>
        </is>
      </c>
      <c r="B473" s="1" t="n">
        <v>44323</v>
      </c>
      <c r="C473" s="1" t="n">
        <v>45883</v>
      </c>
      <c r="D473" t="inlineStr">
        <is>
          <t>ÖREBRO LÄN</t>
        </is>
      </c>
      <c r="E473" t="inlineStr">
        <is>
          <t>ÖREBRO</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71295-2021</t>
        </is>
      </c>
      <c r="B474" s="1" t="n">
        <v>44539.63009259259</v>
      </c>
      <c r="C474" s="1" t="n">
        <v>45883</v>
      </c>
      <c r="D474" t="inlineStr">
        <is>
          <t>ÖREBRO LÄN</t>
        </is>
      </c>
      <c r="E474" t="inlineStr">
        <is>
          <t>ÖREBRO</t>
        </is>
      </c>
      <c r="G474" t="n">
        <v>2.3</v>
      </c>
      <c r="H474" t="n">
        <v>0</v>
      </c>
      <c r="I474" t="n">
        <v>0</v>
      </c>
      <c r="J474" t="n">
        <v>0</v>
      </c>
      <c r="K474" t="n">
        <v>0</v>
      </c>
      <c r="L474" t="n">
        <v>0</v>
      </c>
      <c r="M474" t="n">
        <v>0</v>
      </c>
      <c r="N474" t="n">
        <v>0</v>
      </c>
      <c r="O474" t="n">
        <v>0</v>
      </c>
      <c r="P474" t="n">
        <v>0</v>
      </c>
      <c r="Q474" t="n">
        <v>0</v>
      </c>
      <c r="R474" s="2" t="inlineStr"/>
    </row>
    <row r="475" ht="15" customHeight="1">
      <c r="A475" t="inlineStr">
        <is>
          <t>A 46030-2024</t>
        </is>
      </c>
      <c r="B475" s="1" t="n">
        <v>45580.70377314815</v>
      </c>
      <c r="C475" s="1" t="n">
        <v>45883</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5643-2025</t>
        </is>
      </c>
      <c r="B476" s="1" t="n">
        <v>45693</v>
      </c>
      <c r="C476" s="1" t="n">
        <v>45883</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11516-2024</t>
        </is>
      </c>
      <c r="B477" s="1" t="n">
        <v>45372</v>
      </c>
      <c r="C477" s="1" t="n">
        <v>45883</v>
      </c>
      <c r="D477" t="inlineStr">
        <is>
          <t>ÖREBRO LÄN</t>
        </is>
      </c>
      <c r="E477" t="inlineStr">
        <is>
          <t>ÖREBRO</t>
        </is>
      </c>
      <c r="G477" t="n">
        <v>10.7</v>
      </c>
      <c r="H477" t="n">
        <v>0</v>
      </c>
      <c r="I477" t="n">
        <v>0</v>
      </c>
      <c r="J477" t="n">
        <v>0</v>
      </c>
      <c r="K477" t="n">
        <v>0</v>
      </c>
      <c r="L477" t="n">
        <v>0</v>
      </c>
      <c r="M477" t="n">
        <v>0</v>
      </c>
      <c r="N477" t="n">
        <v>0</v>
      </c>
      <c r="O477" t="n">
        <v>0</v>
      </c>
      <c r="P477" t="n">
        <v>0</v>
      </c>
      <c r="Q477" t="n">
        <v>0</v>
      </c>
      <c r="R477" s="2" t="inlineStr"/>
    </row>
    <row r="478" ht="15" customHeight="1">
      <c r="A478" t="inlineStr">
        <is>
          <t>A 3120-2022</t>
        </is>
      </c>
      <c r="B478" s="1" t="n">
        <v>44582</v>
      </c>
      <c r="C478" s="1" t="n">
        <v>45883</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5342-2024</t>
        </is>
      </c>
      <c r="B479" s="1" t="n">
        <v>45331.44145833333</v>
      </c>
      <c r="C479" s="1" t="n">
        <v>45883</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41703-2024</t>
        </is>
      </c>
      <c r="B480" s="1" t="n">
        <v>45560</v>
      </c>
      <c r="C480" s="1" t="n">
        <v>45883</v>
      </c>
      <c r="D480" t="inlineStr">
        <is>
          <t>ÖREBRO LÄN</t>
        </is>
      </c>
      <c r="E480" t="inlineStr">
        <is>
          <t>ÖREBRO</t>
        </is>
      </c>
      <c r="G480" t="n">
        <v>6.4</v>
      </c>
      <c r="H480" t="n">
        <v>0</v>
      </c>
      <c r="I480" t="n">
        <v>0</v>
      </c>
      <c r="J480" t="n">
        <v>0</v>
      </c>
      <c r="K480" t="n">
        <v>0</v>
      </c>
      <c r="L480" t="n">
        <v>0</v>
      </c>
      <c r="M480" t="n">
        <v>0</v>
      </c>
      <c r="N480" t="n">
        <v>0</v>
      </c>
      <c r="O480" t="n">
        <v>0</v>
      </c>
      <c r="P480" t="n">
        <v>0</v>
      </c>
      <c r="Q480" t="n">
        <v>0</v>
      </c>
      <c r="R480" s="2" t="inlineStr"/>
    </row>
    <row r="481" ht="15" customHeight="1">
      <c r="A481" t="inlineStr">
        <is>
          <t>A 58606-2024</t>
        </is>
      </c>
      <c r="B481" s="1" t="n">
        <v>45635.54747685185</v>
      </c>
      <c r="C481" s="1" t="n">
        <v>45883</v>
      </c>
      <c r="D481" t="inlineStr">
        <is>
          <t>ÖREBRO LÄN</t>
        </is>
      </c>
      <c r="E481" t="inlineStr">
        <is>
          <t>ÖREBRO</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19763-2024</t>
        </is>
      </c>
      <c r="B482" s="1" t="n">
        <v>45432</v>
      </c>
      <c r="C482" s="1" t="n">
        <v>45883</v>
      </c>
      <c r="D482" t="inlineStr">
        <is>
          <t>ÖREBRO LÄN</t>
        </is>
      </c>
      <c r="E482" t="inlineStr">
        <is>
          <t>ÖREBRO</t>
        </is>
      </c>
      <c r="G482" t="n">
        <v>1.9</v>
      </c>
      <c r="H482" t="n">
        <v>0</v>
      </c>
      <c r="I482" t="n">
        <v>0</v>
      </c>
      <c r="J482" t="n">
        <v>0</v>
      </c>
      <c r="K482" t="n">
        <v>0</v>
      </c>
      <c r="L482" t="n">
        <v>0</v>
      </c>
      <c r="M482" t="n">
        <v>0</v>
      </c>
      <c r="N482" t="n">
        <v>0</v>
      </c>
      <c r="O482" t="n">
        <v>0</v>
      </c>
      <c r="P482" t="n">
        <v>0</v>
      </c>
      <c r="Q482" t="n">
        <v>0</v>
      </c>
      <c r="R482" s="2" t="inlineStr"/>
    </row>
    <row r="483" ht="15" customHeight="1">
      <c r="A483" t="inlineStr">
        <is>
          <t>A 31247-2023</t>
        </is>
      </c>
      <c r="B483" s="1" t="n">
        <v>45114</v>
      </c>
      <c r="C483" s="1" t="n">
        <v>45883</v>
      </c>
      <c r="D483" t="inlineStr">
        <is>
          <t>ÖREBRO LÄN</t>
        </is>
      </c>
      <c r="E483" t="inlineStr">
        <is>
          <t>ÖREBRO</t>
        </is>
      </c>
      <c r="F483" t="inlineStr">
        <is>
          <t>Allmännings- och besparingsskogar</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26101-2022</t>
        </is>
      </c>
      <c r="B484" s="1" t="n">
        <v>44734</v>
      </c>
      <c r="C484" s="1" t="n">
        <v>45883</v>
      </c>
      <c r="D484" t="inlineStr">
        <is>
          <t>ÖREBRO LÄN</t>
        </is>
      </c>
      <c r="E484" t="inlineStr">
        <is>
          <t>ÖREBRO</t>
        </is>
      </c>
      <c r="G484" t="n">
        <v>15.8</v>
      </c>
      <c r="H484" t="n">
        <v>0</v>
      </c>
      <c r="I484" t="n">
        <v>0</v>
      </c>
      <c r="J484" t="n">
        <v>0</v>
      </c>
      <c r="K484" t="n">
        <v>0</v>
      </c>
      <c r="L484" t="n">
        <v>0</v>
      </c>
      <c r="M484" t="n">
        <v>0</v>
      </c>
      <c r="N484" t="n">
        <v>0</v>
      </c>
      <c r="O484" t="n">
        <v>0</v>
      </c>
      <c r="P484" t="n">
        <v>0</v>
      </c>
      <c r="Q484" t="n">
        <v>0</v>
      </c>
      <c r="R484" s="2" t="inlineStr"/>
    </row>
    <row r="485" ht="15" customHeight="1">
      <c r="A485" t="inlineStr">
        <is>
          <t>A 36635-2023</t>
        </is>
      </c>
      <c r="B485" s="1" t="n">
        <v>45153</v>
      </c>
      <c r="C485" s="1" t="n">
        <v>45883</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54149-2024</t>
        </is>
      </c>
      <c r="B486" s="1" t="n">
        <v>45616</v>
      </c>
      <c r="C486" s="1" t="n">
        <v>45883</v>
      </c>
      <c r="D486" t="inlineStr">
        <is>
          <t>ÖREBRO LÄN</t>
        </is>
      </c>
      <c r="E486" t="inlineStr">
        <is>
          <t>ÖREBRO</t>
        </is>
      </c>
      <c r="G486" t="n">
        <v>2.7</v>
      </c>
      <c r="H486" t="n">
        <v>0</v>
      </c>
      <c r="I486" t="n">
        <v>0</v>
      </c>
      <c r="J486" t="n">
        <v>0</v>
      </c>
      <c r="K486" t="n">
        <v>0</v>
      </c>
      <c r="L486" t="n">
        <v>0</v>
      </c>
      <c r="M486" t="n">
        <v>0</v>
      </c>
      <c r="N486" t="n">
        <v>0</v>
      </c>
      <c r="O486" t="n">
        <v>0</v>
      </c>
      <c r="P486" t="n">
        <v>0</v>
      </c>
      <c r="Q486" t="n">
        <v>0</v>
      </c>
      <c r="R486" s="2" t="inlineStr"/>
    </row>
    <row r="487" ht="15" customHeight="1">
      <c r="A487" t="inlineStr">
        <is>
          <t>A 58486-2024</t>
        </is>
      </c>
      <c r="B487" s="1" t="n">
        <v>45635</v>
      </c>
      <c r="C487" s="1" t="n">
        <v>45883</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14053-2025</t>
        </is>
      </c>
      <c r="B488" s="1" t="n">
        <v>45739</v>
      </c>
      <c r="C488" s="1" t="n">
        <v>45883</v>
      </c>
      <c r="D488" t="inlineStr">
        <is>
          <t>ÖREBRO LÄN</t>
        </is>
      </c>
      <c r="E488" t="inlineStr">
        <is>
          <t>ÖREBRO</t>
        </is>
      </c>
      <c r="G488" t="n">
        <v>3.5</v>
      </c>
      <c r="H488" t="n">
        <v>0</v>
      </c>
      <c r="I488" t="n">
        <v>0</v>
      </c>
      <c r="J488" t="n">
        <v>0</v>
      </c>
      <c r="K488" t="n">
        <v>0</v>
      </c>
      <c r="L488" t="n">
        <v>0</v>
      </c>
      <c r="M488" t="n">
        <v>0</v>
      </c>
      <c r="N488" t="n">
        <v>0</v>
      </c>
      <c r="O488" t="n">
        <v>0</v>
      </c>
      <c r="P488" t="n">
        <v>0</v>
      </c>
      <c r="Q488" t="n">
        <v>0</v>
      </c>
      <c r="R488" s="2" t="inlineStr"/>
    </row>
    <row r="489" ht="15" customHeight="1">
      <c r="A489" t="inlineStr">
        <is>
          <t>A 35345-2024</t>
        </is>
      </c>
      <c r="B489" s="1" t="n">
        <v>45530</v>
      </c>
      <c r="C489" s="1" t="n">
        <v>45883</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123-2025</t>
        </is>
      </c>
      <c r="B490" s="1" t="n">
        <v>45659.54851851852</v>
      </c>
      <c r="C490" s="1" t="n">
        <v>45883</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49797-2024</t>
        </is>
      </c>
      <c r="B491" s="1" t="n">
        <v>45597.37265046296</v>
      </c>
      <c r="C491" s="1" t="n">
        <v>45883</v>
      </c>
      <c r="D491" t="inlineStr">
        <is>
          <t>ÖREBRO LÄN</t>
        </is>
      </c>
      <c r="E491" t="inlineStr">
        <is>
          <t>ÖREBRO</t>
        </is>
      </c>
      <c r="G491" t="n">
        <v>11.6</v>
      </c>
      <c r="H491" t="n">
        <v>0</v>
      </c>
      <c r="I491" t="n">
        <v>0</v>
      </c>
      <c r="J491" t="n">
        <v>0</v>
      </c>
      <c r="K491" t="n">
        <v>0</v>
      </c>
      <c r="L491" t="n">
        <v>0</v>
      </c>
      <c r="M491" t="n">
        <v>0</v>
      </c>
      <c r="N491" t="n">
        <v>0</v>
      </c>
      <c r="O491" t="n">
        <v>0</v>
      </c>
      <c r="P491" t="n">
        <v>0</v>
      </c>
      <c r="Q491" t="n">
        <v>0</v>
      </c>
      <c r="R491" s="2" t="inlineStr"/>
    </row>
    <row r="492" ht="15" customHeight="1">
      <c r="A492" t="inlineStr">
        <is>
          <t>A 11663-2024</t>
        </is>
      </c>
      <c r="B492" s="1" t="n">
        <v>45373</v>
      </c>
      <c r="C492" s="1" t="n">
        <v>45883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30472-2022</t>
        </is>
      </c>
      <c r="B493" s="1" t="n">
        <v>44761.70467592592</v>
      </c>
      <c r="C493" s="1" t="n">
        <v>45883</v>
      </c>
      <c r="D493" t="inlineStr">
        <is>
          <t>ÖREBRO LÄN</t>
        </is>
      </c>
      <c r="E493" t="inlineStr">
        <is>
          <t>ÖREBRO</t>
        </is>
      </c>
      <c r="F493" t="inlineStr">
        <is>
          <t>Övriga Aktiebolag</t>
        </is>
      </c>
      <c r="G493" t="n">
        <v>5.6</v>
      </c>
      <c r="H493" t="n">
        <v>0</v>
      </c>
      <c r="I493" t="n">
        <v>0</v>
      </c>
      <c r="J493" t="n">
        <v>0</v>
      </c>
      <c r="K493" t="n">
        <v>0</v>
      </c>
      <c r="L493" t="n">
        <v>0</v>
      </c>
      <c r="M493" t="n">
        <v>0</v>
      </c>
      <c r="N493" t="n">
        <v>0</v>
      </c>
      <c r="O493" t="n">
        <v>0</v>
      </c>
      <c r="P493" t="n">
        <v>0</v>
      </c>
      <c r="Q493" t="n">
        <v>0</v>
      </c>
      <c r="R493" s="2" t="inlineStr"/>
    </row>
    <row r="494" ht="15" customHeight="1">
      <c r="A494" t="inlineStr">
        <is>
          <t>A 25578-2025</t>
        </is>
      </c>
      <c r="B494" s="1" t="n">
        <v>45803.47803240741</v>
      </c>
      <c r="C494" s="1" t="n">
        <v>45883</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6869-2025</t>
        </is>
      </c>
      <c r="B495" s="1" t="n">
        <v>45700</v>
      </c>
      <c r="C495" s="1" t="n">
        <v>45883</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32086-2023</t>
        </is>
      </c>
      <c r="B496" s="1" t="n">
        <v>45119.59789351852</v>
      </c>
      <c r="C496" s="1" t="n">
        <v>45883</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13856-2022</t>
        </is>
      </c>
      <c r="B497" s="1" t="n">
        <v>44649.6965162037</v>
      </c>
      <c r="C497" s="1" t="n">
        <v>45883</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23863-2023</t>
        </is>
      </c>
      <c r="B498" s="1" t="n">
        <v>45078.48994212963</v>
      </c>
      <c r="C498" s="1" t="n">
        <v>45883</v>
      </c>
      <c r="D498" t="inlineStr">
        <is>
          <t>ÖREBRO LÄN</t>
        </is>
      </c>
      <c r="E498" t="inlineStr">
        <is>
          <t>ÖREBRO</t>
        </is>
      </c>
      <c r="F498" t="inlineStr">
        <is>
          <t>Övriga Aktiebolag</t>
        </is>
      </c>
      <c r="G498" t="n">
        <v>5.9</v>
      </c>
      <c r="H498" t="n">
        <v>0</v>
      </c>
      <c r="I498" t="n">
        <v>0</v>
      </c>
      <c r="J498" t="n">
        <v>0</v>
      </c>
      <c r="K498" t="n">
        <v>0</v>
      </c>
      <c r="L498" t="n">
        <v>0</v>
      </c>
      <c r="M498" t="n">
        <v>0</v>
      </c>
      <c r="N498" t="n">
        <v>0</v>
      </c>
      <c r="O498" t="n">
        <v>0</v>
      </c>
      <c r="P498" t="n">
        <v>0</v>
      </c>
      <c r="Q498" t="n">
        <v>0</v>
      </c>
      <c r="R498" s="2" t="inlineStr"/>
    </row>
    <row r="499" ht="15" customHeight="1">
      <c r="A499" t="inlineStr">
        <is>
          <t>A 39130-2023</t>
        </is>
      </c>
      <c r="B499" s="1" t="n">
        <v>45165</v>
      </c>
      <c r="C499" s="1" t="n">
        <v>45883</v>
      </c>
      <c r="D499" t="inlineStr">
        <is>
          <t>ÖREBRO LÄN</t>
        </is>
      </c>
      <c r="E499" t="inlineStr">
        <is>
          <t>ÖREBRO</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57869-2024</t>
        </is>
      </c>
      <c r="B500" s="1" t="n">
        <v>45631.44207175926</v>
      </c>
      <c r="C500" s="1" t="n">
        <v>45883</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25519-2025</t>
        </is>
      </c>
      <c r="B501" s="1" t="n">
        <v>45803.38447916666</v>
      </c>
      <c r="C501" s="1" t="n">
        <v>45883</v>
      </c>
      <c r="D501" t="inlineStr">
        <is>
          <t>ÖREBRO LÄN</t>
        </is>
      </c>
      <c r="E501" t="inlineStr">
        <is>
          <t>ÖREBRO</t>
        </is>
      </c>
      <c r="G501" t="n">
        <v>7.4</v>
      </c>
      <c r="H501" t="n">
        <v>0</v>
      </c>
      <c r="I501" t="n">
        <v>0</v>
      </c>
      <c r="J501" t="n">
        <v>0</v>
      </c>
      <c r="K501" t="n">
        <v>0</v>
      </c>
      <c r="L501" t="n">
        <v>0</v>
      </c>
      <c r="M501" t="n">
        <v>0</v>
      </c>
      <c r="N501" t="n">
        <v>0</v>
      </c>
      <c r="O501" t="n">
        <v>0</v>
      </c>
      <c r="P501" t="n">
        <v>0</v>
      </c>
      <c r="Q501" t="n">
        <v>0</v>
      </c>
      <c r="R501" s="2" t="inlineStr"/>
    </row>
    <row r="502" ht="15" customHeight="1">
      <c r="A502" t="inlineStr">
        <is>
          <t>A 13599-2025</t>
        </is>
      </c>
      <c r="B502" s="1" t="n">
        <v>45736.60597222222</v>
      </c>
      <c r="C502" s="1" t="n">
        <v>45883</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50375-2024</t>
        </is>
      </c>
      <c r="B503" s="1" t="n">
        <v>45601.29311342593</v>
      </c>
      <c r="C503" s="1" t="n">
        <v>45883</v>
      </c>
      <c r="D503" t="inlineStr">
        <is>
          <t>ÖREBRO LÄN</t>
        </is>
      </c>
      <c r="E503" t="inlineStr">
        <is>
          <t>ÖREBRO</t>
        </is>
      </c>
      <c r="G503" t="n">
        <v>5</v>
      </c>
      <c r="H503" t="n">
        <v>0</v>
      </c>
      <c r="I503" t="n">
        <v>0</v>
      </c>
      <c r="J503" t="n">
        <v>0</v>
      </c>
      <c r="K503" t="n">
        <v>0</v>
      </c>
      <c r="L503" t="n">
        <v>0</v>
      </c>
      <c r="M503" t="n">
        <v>0</v>
      </c>
      <c r="N503" t="n">
        <v>0</v>
      </c>
      <c r="O503" t="n">
        <v>0</v>
      </c>
      <c r="P503" t="n">
        <v>0</v>
      </c>
      <c r="Q503" t="n">
        <v>0</v>
      </c>
      <c r="R503" s="2" t="inlineStr"/>
    </row>
    <row r="504" ht="15" customHeight="1">
      <c r="A504" t="inlineStr">
        <is>
          <t>A 52391-2024</t>
        </is>
      </c>
      <c r="B504" s="1" t="n">
        <v>45609.43180555556</v>
      </c>
      <c r="C504" s="1" t="n">
        <v>45883</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58532-2024</t>
        </is>
      </c>
      <c r="B505" s="1" t="n">
        <v>45635.44899305556</v>
      </c>
      <c r="C505" s="1" t="n">
        <v>45883</v>
      </c>
      <c r="D505" t="inlineStr">
        <is>
          <t>ÖREBRO LÄN</t>
        </is>
      </c>
      <c r="E505" t="inlineStr">
        <is>
          <t>ÖREBRO</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20150-2024</t>
        </is>
      </c>
      <c r="B506" s="1" t="n">
        <v>45434.57969907407</v>
      </c>
      <c r="C506" s="1" t="n">
        <v>45883</v>
      </c>
      <c r="D506" t="inlineStr">
        <is>
          <t>ÖREBRO LÄN</t>
        </is>
      </c>
      <c r="E506" t="inlineStr">
        <is>
          <t>ÖREBRO</t>
        </is>
      </c>
      <c r="G506" t="n">
        <v>0.5</v>
      </c>
      <c r="H506" t="n">
        <v>0</v>
      </c>
      <c r="I506" t="n">
        <v>0</v>
      </c>
      <c r="J506" t="n">
        <v>0</v>
      </c>
      <c r="K506" t="n">
        <v>0</v>
      </c>
      <c r="L506" t="n">
        <v>0</v>
      </c>
      <c r="M506" t="n">
        <v>0</v>
      </c>
      <c r="N506" t="n">
        <v>0</v>
      </c>
      <c r="O506" t="n">
        <v>0</v>
      </c>
      <c r="P506" t="n">
        <v>0</v>
      </c>
      <c r="Q506" t="n">
        <v>0</v>
      </c>
      <c r="R506" s="2" t="inlineStr"/>
    </row>
    <row r="507" ht="15" customHeight="1">
      <c r="A507" t="inlineStr">
        <is>
          <t>A 58208-2024</t>
        </is>
      </c>
      <c r="B507" s="1" t="n">
        <v>45632</v>
      </c>
      <c r="C507" s="1" t="n">
        <v>45883</v>
      </c>
      <c r="D507" t="inlineStr">
        <is>
          <t>ÖREBRO LÄN</t>
        </is>
      </c>
      <c r="E507" t="inlineStr">
        <is>
          <t>ÖREBRO</t>
        </is>
      </c>
      <c r="G507" t="n">
        <v>3.1</v>
      </c>
      <c r="H507" t="n">
        <v>0</v>
      </c>
      <c r="I507" t="n">
        <v>0</v>
      </c>
      <c r="J507" t="n">
        <v>0</v>
      </c>
      <c r="K507" t="n">
        <v>0</v>
      </c>
      <c r="L507" t="n">
        <v>0</v>
      </c>
      <c r="M507" t="n">
        <v>0</v>
      </c>
      <c r="N507" t="n">
        <v>0</v>
      </c>
      <c r="O507" t="n">
        <v>0</v>
      </c>
      <c r="P507" t="n">
        <v>0</v>
      </c>
      <c r="Q507" t="n">
        <v>0</v>
      </c>
      <c r="R507" s="2" t="inlineStr"/>
    </row>
    <row r="508" ht="15" customHeight="1">
      <c r="A508" t="inlineStr">
        <is>
          <t>A 19388-2024</t>
        </is>
      </c>
      <c r="B508" s="1" t="n">
        <v>45429.37775462963</v>
      </c>
      <c r="C508" s="1" t="n">
        <v>45883</v>
      </c>
      <c r="D508" t="inlineStr">
        <is>
          <t>ÖREBRO LÄN</t>
        </is>
      </c>
      <c r="E508" t="inlineStr">
        <is>
          <t>ÖREBRO</t>
        </is>
      </c>
      <c r="G508" t="n">
        <v>4.3</v>
      </c>
      <c r="H508" t="n">
        <v>0</v>
      </c>
      <c r="I508" t="n">
        <v>0</v>
      </c>
      <c r="J508" t="n">
        <v>0</v>
      </c>
      <c r="K508" t="n">
        <v>0</v>
      </c>
      <c r="L508" t="n">
        <v>0</v>
      </c>
      <c r="M508" t="n">
        <v>0</v>
      </c>
      <c r="N508" t="n">
        <v>0</v>
      </c>
      <c r="O508" t="n">
        <v>0</v>
      </c>
      <c r="P508" t="n">
        <v>0</v>
      </c>
      <c r="Q508" t="n">
        <v>0</v>
      </c>
      <c r="R508" s="2" t="inlineStr"/>
    </row>
    <row r="509" ht="15" customHeight="1">
      <c r="A509" t="inlineStr">
        <is>
          <t>A 7506-2025</t>
        </is>
      </c>
      <c r="B509" s="1" t="n">
        <v>45705</v>
      </c>
      <c r="C509" s="1" t="n">
        <v>45883</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4344-2025</t>
        </is>
      </c>
      <c r="B510" s="1" t="n">
        <v>45685</v>
      </c>
      <c r="C510" s="1" t="n">
        <v>45883</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45883</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16958-2022</t>
        </is>
      </c>
      <c r="B512" s="1" t="n">
        <v>44676.50481481481</v>
      </c>
      <c r="C512" s="1" t="n">
        <v>45883</v>
      </c>
      <c r="D512" t="inlineStr">
        <is>
          <t>ÖREBRO LÄN</t>
        </is>
      </c>
      <c r="E512" t="inlineStr">
        <is>
          <t>ÖREBRO</t>
        </is>
      </c>
      <c r="G512" t="n">
        <v>3.1</v>
      </c>
      <c r="H512" t="n">
        <v>0</v>
      </c>
      <c r="I512" t="n">
        <v>0</v>
      </c>
      <c r="J512" t="n">
        <v>0</v>
      </c>
      <c r="K512" t="n">
        <v>0</v>
      </c>
      <c r="L512" t="n">
        <v>0</v>
      </c>
      <c r="M512" t="n">
        <v>0</v>
      </c>
      <c r="N512" t="n">
        <v>0</v>
      </c>
      <c r="O512" t="n">
        <v>0</v>
      </c>
      <c r="P512" t="n">
        <v>0</v>
      </c>
      <c r="Q512" t="n">
        <v>0</v>
      </c>
      <c r="R512" s="2" t="inlineStr"/>
    </row>
    <row r="513" ht="15" customHeight="1">
      <c r="A513" t="inlineStr">
        <is>
          <t>A 55472-2023</t>
        </is>
      </c>
      <c r="B513" s="1" t="n">
        <v>45238</v>
      </c>
      <c r="C513" s="1" t="n">
        <v>45883</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35062-2025</t>
        </is>
      </c>
      <c r="B514" s="1" t="n">
        <v>45852</v>
      </c>
      <c r="C514" s="1" t="n">
        <v>45883</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27220-2025</t>
        </is>
      </c>
      <c r="B515" s="1" t="n">
        <v>45812.42293981482</v>
      </c>
      <c r="C515" s="1" t="n">
        <v>45883</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27180-2025</t>
        </is>
      </c>
      <c r="B516" s="1" t="n">
        <v>45812.35736111111</v>
      </c>
      <c r="C516" s="1" t="n">
        <v>45883</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27215-2025</t>
        </is>
      </c>
      <c r="B517" s="1" t="n">
        <v>45812.41869212963</v>
      </c>
      <c r="C517" s="1" t="n">
        <v>45883</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27225-2025</t>
        </is>
      </c>
      <c r="B518" s="1" t="n">
        <v>45812.42856481481</v>
      </c>
      <c r="C518" s="1" t="n">
        <v>45883</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54925-2023</t>
        </is>
      </c>
      <c r="B519" s="1" t="n">
        <v>45229</v>
      </c>
      <c r="C519" s="1" t="n">
        <v>45883</v>
      </c>
      <c r="D519" t="inlineStr">
        <is>
          <t>ÖREBRO LÄN</t>
        </is>
      </c>
      <c r="E519" t="inlineStr">
        <is>
          <t>ÖREBRO</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8568-2021</t>
        </is>
      </c>
      <c r="B520" s="1" t="n">
        <v>44245</v>
      </c>
      <c r="C520" s="1" t="n">
        <v>45883</v>
      </c>
      <c r="D520" t="inlineStr">
        <is>
          <t>ÖREBRO LÄN</t>
        </is>
      </c>
      <c r="E520" t="inlineStr">
        <is>
          <t>ÖREBRO</t>
        </is>
      </c>
      <c r="G520" t="n">
        <v>4.8</v>
      </c>
      <c r="H520" t="n">
        <v>0</v>
      </c>
      <c r="I520" t="n">
        <v>0</v>
      </c>
      <c r="J520" t="n">
        <v>0</v>
      </c>
      <c r="K520" t="n">
        <v>0</v>
      </c>
      <c r="L520" t="n">
        <v>0</v>
      </c>
      <c r="M520" t="n">
        <v>0</v>
      </c>
      <c r="N520" t="n">
        <v>0</v>
      </c>
      <c r="O520" t="n">
        <v>0</v>
      </c>
      <c r="P520" t="n">
        <v>0</v>
      </c>
      <c r="Q520" t="n">
        <v>0</v>
      </c>
      <c r="R520" s="2" t="inlineStr"/>
    </row>
    <row r="521" ht="15" customHeight="1">
      <c r="A521" t="inlineStr">
        <is>
          <t>A 18662-2025</t>
        </is>
      </c>
      <c r="B521" s="1" t="n">
        <v>45763.5877662037</v>
      </c>
      <c r="C521" s="1" t="n">
        <v>45883</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16961-2022</t>
        </is>
      </c>
      <c r="B522" s="1" t="n">
        <v>44676</v>
      </c>
      <c r="C522" s="1" t="n">
        <v>45883</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15424-2022</t>
        </is>
      </c>
      <c r="B523" s="1" t="n">
        <v>44659</v>
      </c>
      <c r="C523" s="1" t="n">
        <v>45883</v>
      </c>
      <c r="D523" t="inlineStr">
        <is>
          <t>ÖREBRO LÄN</t>
        </is>
      </c>
      <c r="E523" t="inlineStr">
        <is>
          <t>ÖREBRO</t>
        </is>
      </c>
      <c r="G523" t="n">
        <v>2.2</v>
      </c>
      <c r="H523" t="n">
        <v>0</v>
      </c>
      <c r="I523" t="n">
        <v>0</v>
      </c>
      <c r="J523" t="n">
        <v>0</v>
      </c>
      <c r="K523" t="n">
        <v>0</v>
      </c>
      <c r="L523" t="n">
        <v>0</v>
      </c>
      <c r="M523" t="n">
        <v>0</v>
      </c>
      <c r="N523" t="n">
        <v>0</v>
      </c>
      <c r="O523" t="n">
        <v>0</v>
      </c>
      <c r="P523" t="n">
        <v>0</v>
      </c>
      <c r="Q523" t="n">
        <v>0</v>
      </c>
      <c r="R523" s="2" t="inlineStr"/>
    </row>
    <row r="524" ht="15" customHeight="1">
      <c r="A524" t="inlineStr">
        <is>
          <t>A 28120-2025</t>
        </is>
      </c>
      <c r="B524" s="1" t="n">
        <v>45818.30459490741</v>
      </c>
      <c r="C524" s="1" t="n">
        <v>45883</v>
      </c>
      <c r="D524" t="inlineStr">
        <is>
          <t>ÖREBRO LÄN</t>
        </is>
      </c>
      <c r="E524" t="inlineStr">
        <is>
          <t>ÖREBRO</t>
        </is>
      </c>
      <c r="G524" t="n">
        <v>1.5</v>
      </c>
      <c r="H524" t="n">
        <v>0</v>
      </c>
      <c r="I524" t="n">
        <v>0</v>
      </c>
      <c r="J524" t="n">
        <v>0</v>
      </c>
      <c r="K524" t="n">
        <v>0</v>
      </c>
      <c r="L524" t="n">
        <v>0</v>
      </c>
      <c r="M524" t="n">
        <v>0</v>
      </c>
      <c r="N524" t="n">
        <v>0</v>
      </c>
      <c r="O524" t="n">
        <v>0</v>
      </c>
      <c r="P524" t="n">
        <v>0</v>
      </c>
      <c r="Q524" t="n">
        <v>0</v>
      </c>
      <c r="R524" s="2" t="inlineStr"/>
    </row>
    <row r="525" ht="15" customHeight="1">
      <c r="A525" t="inlineStr">
        <is>
          <t>A 13700-2024</t>
        </is>
      </c>
      <c r="B525" s="1" t="n">
        <v>45390.59277777778</v>
      </c>
      <c r="C525" s="1" t="n">
        <v>45883</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28821-2025</t>
        </is>
      </c>
      <c r="B526" s="1" t="n">
        <v>45820</v>
      </c>
      <c r="C526" s="1" t="n">
        <v>45883</v>
      </c>
      <c r="D526" t="inlineStr">
        <is>
          <t>ÖREBRO LÄN</t>
        </is>
      </c>
      <c r="E526" t="inlineStr">
        <is>
          <t>ÖREBRO</t>
        </is>
      </c>
      <c r="G526" t="n">
        <v>12.6</v>
      </c>
      <c r="H526" t="n">
        <v>0</v>
      </c>
      <c r="I526" t="n">
        <v>0</v>
      </c>
      <c r="J526" t="n">
        <v>0</v>
      </c>
      <c r="K526" t="n">
        <v>0</v>
      </c>
      <c r="L526" t="n">
        <v>0</v>
      </c>
      <c r="M526" t="n">
        <v>0</v>
      </c>
      <c r="N526" t="n">
        <v>0</v>
      </c>
      <c r="O526" t="n">
        <v>0</v>
      </c>
      <c r="P526" t="n">
        <v>0</v>
      </c>
      <c r="Q526" t="n">
        <v>0</v>
      </c>
      <c r="R526" s="2" t="inlineStr"/>
    </row>
    <row r="527" ht="15" customHeight="1">
      <c r="A527" t="inlineStr">
        <is>
          <t>A 35637-2025</t>
        </is>
      </c>
      <c r="B527" s="1" t="n">
        <v>45859.46859953704</v>
      </c>
      <c r="C527" s="1" t="n">
        <v>45883</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3659-2025</t>
        </is>
      </c>
      <c r="B528" s="1" t="n">
        <v>45681</v>
      </c>
      <c r="C528" s="1" t="n">
        <v>45883</v>
      </c>
      <c r="D528" t="inlineStr">
        <is>
          <t>ÖREBRO LÄN</t>
        </is>
      </c>
      <c r="E528" t="inlineStr">
        <is>
          <t>ÖREBRO</t>
        </is>
      </c>
      <c r="G528" t="n">
        <v>15.8</v>
      </c>
      <c r="H528" t="n">
        <v>0</v>
      </c>
      <c r="I528" t="n">
        <v>0</v>
      </c>
      <c r="J528" t="n">
        <v>0</v>
      </c>
      <c r="K528" t="n">
        <v>0</v>
      </c>
      <c r="L528" t="n">
        <v>0</v>
      </c>
      <c r="M528" t="n">
        <v>0</v>
      </c>
      <c r="N528" t="n">
        <v>0</v>
      </c>
      <c r="O528" t="n">
        <v>0</v>
      </c>
      <c r="P528" t="n">
        <v>0</v>
      </c>
      <c r="Q528" t="n">
        <v>0</v>
      </c>
      <c r="R528" s="2" t="inlineStr"/>
    </row>
    <row r="529" ht="15" customHeight="1">
      <c r="A529" t="inlineStr">
        <is>
          <t>A 1014-2024</t>
        </is>
      </c>
      <c r="B529" s="1" t="n">
        <v>45301</v>
      </c>
      <c r="C529" s="1" t="n">
        <v>45883</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8374-2021</t>
        </is>
      </c>
      <c r="B530" s="1" t="n">
        <v>44244</v>
      </c>
      <c r="C530" s="1" t="n">
        <v>45883</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28824-2025</t>
        </is>
      </c>
      <c r="B531" s="1" t="n">
        <v>45820</v>
      </c>
      <c r="C531" s="1" t="n">
        <v>45883</v>
      </c>
      <c r="D531" t="inlineStr">
        <is>
          <t>ÖREBRO LÄN</t>
        </is>
      </c>
      <c r="E531" t="inlineStr">
        <is>
          <t>ÖREBRO</t>
        </is>
      </c>
      <c r="G531" t="n">
        <v>2.5</v>
      </c>
      <c r="H531" t="n">
        <v>0</v>
      </c>
      <c r="I531" t="n">
        <v>0</v>
      </c>
      <c r="J531" t="n">
        <v>0</v>
      </c>
      <c r="K531" t="n">
        <v>0</v>
      </c>
      <c r="L531" t="n">
        <v>0</v>
      </c>
      <c r="M531" t="n">
        <v>0</v>
      </c>
      <c r="N531" t="n">
        <v>0</v>
      </c>
      <c r="O531" t="n">
        <v>0</v>
      </c>
      <c r="P531" t="n">
        <v>0</v>
      </c>
      <c r="Q531" t="n">
        <v>0</v>
      </c>
      <c r="R531" s="2" t="inlineStr"/>
    </row>
    <row r="532" ht="15" customHeight="1">
      <c r="A532" t="inlineStr">
        <is>
          <t>A 28938-2025</t>
        </is>
      </c>
      <c r="B532" s="1" t="n">
        <v>45820.70626157407</v>
      </c>
      <c r="C532" s="1" t="n">
        <v>45883</v>
      </c>
      <c r="D532" t="inlineStr">
        <is>
          <t>ÖREBRO LÄN</t>
        </is>
      </c>
      <c r="E532" t="inlineStr">
        <is>
          <t>ÖREBRO</t>
        </is>
      </c>
      <c r="G532" t="n">
        <v>1.9</v>
      </c>
      <c r="H532" t="n">
        <v>0</v>
      </c>
      <c r="I532" t="n">
        <v>0</v>
      </c>
      <c r="J532" t="n">
        <v>0</v>
      </c>
      <c r="K532" t="n">
        <v>0</v>
      </c>
      <c r="L532" t="n">
        <v>0</v>
      </c>
      <c r="M532" t="n">
        <v>0</v>
      </c>
      <c r="N532" t="n">
        <v>0</v>
      </c>
      <c r="O532" t="n">
        <v>0</v>
      </c>
      <c r="P532" t="n">
        <v>0</v>
      </c>
      <c r="Q532" t="n">
        <v>0</v>
      </c>
      <c r="R532" s="2" t="inlineStr"/>
    </row>
    <row r="533" ht="15" customHeight="1">
      <c r="A533" t="inlineStr">
        <is>
          <t>A 28920-2025</t>
        </is>
      </c>
      <c r="B533" s="1" t="n">
        <v>45820.66532407407</v>
      </c>
      <c r="C533" s="1" t="n">
        <v>45883</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767-2024</t>
        </is>
      </c>
      <c r="B534" s="1" t="n">
        <v>45300.51892361111</v>
      </c>
      <c r="C534" s="1" t="n">
        <v>45883</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44511-2023</t>
        </is>
      </c>
      <c r="B535" s="1" t="n">
        <v>45189</v>
      </c>
      <c r="C535" s="1" t="n">
        <v>45883</v>
      </c>
      <c r="D535" t="inlineStr">
        <is>
          <t>ÖREBRO LÄN</t>
        </is>
      </c>
      <c r="E535" t="inlineStr">
        <is>
          <t>ÖREBRO</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53234-2023</t>
        </is>
      </c>
      <c r="B536" s="1" t="n">
        <v>45229</v>
      </c>
      <c r="C536" s="1" t="n">
        <v>45883</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29286-2025</t>
        </is>
      </c>
      <c r="B537" s="1" t="n">
        <v>45824.43502314815</v>
      </c>
      <c r="C537" s="1" t="n">
        <v>45883</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8512-2025</t>
        </is>
      </c>
      <c r="B538" s="1" t="n">
        <v>45709.54873842592</v>
      </c>
      <c r="C538" s="1" t="n">
        <v>45883</v>
      </c>
      <c r="D538" t="inlineStr">
        <is>
          <t>ÖREBRO LÄN</t>
        </is>
      </c>
      <c r="E538" t="inlineStr">
        <is>
          <t>ÖREBRO</t>
        </is>
      </c>
      <c r="G538" t="n">
        <v>1.8</v>
      </c>
      <c r="H538" t="n">
        <v>0</v>
      </c>
      <c r="I538" t="n">
        <v>0</v>
      </c>
      <c r="J538" t="n">
        <v>0</v>
      </c>
      <c r="K538" t="n">
        <v>0</v>
      </c>
      <c r="L538" t="n">
        <v>0</v>
      </c>
      <c r="M538" t="n">
        <v>0</v>
      </c>
      <c r="N538" t="n">
        <v>0</v>
      </c>
      <c r="O538" t="n">
        <v>0</v>
      </c>
      <c r="P538" t="n">
        <v>0</v>
      </c>
      <c r="Q538" t="n">
        <v>0</v>
      </c>
      <c r="R538" s="2" t="inlineStr"/>
    </row>
    <row r="539" ht="15" customHeight="1">
      <c r="A539" t="inlineStr">
        <is>
          <t>A 35928-2025</t>
        </is>
      </c>
      <c r="B539" s="1" t="n">
        <v>45862</v>
      </c>
      <c r="C539" s="1" t="n">
        <v>45883</v>
      </c>
      <c r="D539" t="inlineStr">
        <is>
          <t>ÖREBRO LÄN</t>
        </is>
      </c>
      <c r="E539" t="inlineStr">
        <is>
          <t>ÖREBRO</t>
        </is>
      </c>
      <c r="G539" t="n">
        <v>4.4</v>
      </c>
      <c r="H539" t="n">
        <v>0</v>
      </c>
      <c r="I539" t="n">
        <v>0</v>
      </c>
      <c r="J539" t="n">
        <v>0</v>
      </c>
      <c r="K539" t="n">
        <v>0</v>
      </c>
      <c r="L539" t="n">
        <v>0</v>
      </c>
      <c r="M539" t="n">
        <v>0</v>
      </c>
      <c r="N539" t="n">
        <v>0</v>
      </c>
      <c r="O539" t="n">
        <v>0</v>
      </c>
      <c r="P539" t="n">
        <v>0</v>
      </c>
      <c r="Q539" t="n">
        <v>0</v>
      </c>
      <c r="R539" s="2" t="inlineStr"/>
    </row>
    <row r="540" ht="15" customHeight="1">
      <c r="A540" t="inlineStr">
        <is>
          <t>A 29339-2025</t>
        </is>
      </c>
      <c r="B540" s="1" t="n">
        <v>45824.5044212963</v>
      </c>
      <c r="C540" s="1" t="n">
        <v>45883</v>
      </c>
      <c r="D540" t="inlineStr">
        <is>
          <t>ÖREBRO LÄN</t>
        </is>
      </c>
      <c r="E540" t="inlineStr">
        <is>
          <t>ÖREBRO</t>
        </is>
      </c>
      <c r="G540" t="n">
        <v>4.3</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44746.41938657407</v>
      </c>
      <c r="C541" s="1" t="n">
        <v>45883</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1647-2024</t>
        </is>
      </c>
      <c r="B542" s="1" t="n">
        <v>45306</v>
      </c>
      <c r="C542" s="1" t="n">
        <v>45883</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57485-2023</t>
        </is>
      </c>
      <c r="B543" s="1" t="n">
        <v>45246</v>
      </c>
      <c r="C543" s="1" t="n">
        <v>45883</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58032-2023</t>
        </is>
      </c>
      <c r="B544" s="1" t="n">
        <v>45247</v>
      </c>
      <c r="C544" s="1" t="n">
        <v>45883</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58035-2023</t>
        </is>
      </c>
      <c r="B545" s="1" t="n">
        <v>45247</v>
      </c>
      <c r="C545" s="1" t="n">
        <v>45883</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60059-2023</t>
        </is>
      </c>
      <c r="B546" s="1" t="n">
        <v>45258.38157407408</v>
      </c>
      <c r="C546" s="1" t="n">
        <v>45883</v>
      </c>
      <c r="D546" t="inlineStr">
        <is>
          <t>ÖREBRO LÄN</t>
        </is>
      </c>
      <c r="E546" t="inlineStr">
        <is>
          <t>ÖREBRO</t>
        </is>
      </c>
      <c r="G546" t="n">
        <v>4</v>
      </c>
      <c r="H546" t="n">
        <v>0</v>
      </c>
      <c r="I546" t="n">
        <v>0</v>
      </c>
      <c r="J546" t="n">
        <v>0</v>
      </c>
      <c r="K546" t="n">
        <v>0</v>
      </c>
      <c r="L546" t="n">
        <v>0</v>
      </c>
      <c r="M546" t="n">
        <v>0</v>
      </c>
      <c r="N546" t="n">
        <v>0</v>
      </c>
      <c r="O546" t="n">
        <v>0</v>
      </c>
      <c r="P546" t="n">
        <v>0</v>
      </c>
      <c r="Q546" t="n">
        <v>0</v>
      </c>
      <c r="R546" s="2" t="inlineStr"/>
    </row>
    <row r="547" ht="15" customHeight="1">
      <c r="A547" t="inlineStr">
        <is>
          <t>A 35829-2024</t>
        </is>
      </c>
      <c r="B547" s="1" t="n">
        <v>45532</v>
      </c>
      <c r="C547" s="1" t="n">
        <v>45883</v>
      </c>
      <c r="D547" t="inlineStr">
        <is>
          <t>ÖREBRO LÄN</t>
        </is>
      </c>
      <c r="E547" t="inlineStr">
        <is>
          <t>ÖREBRO</t>
        </is>
      </c>
      <c r="G547" t="n">
        <v>4.6</v>
      </c>
      <c r="H547" t="n">
        <v>0</v>
      </c>
      <c r="I547" t="n">
        <v>0</v>
      </c>
      <c r="J547" t="n">
        <v>0</v>
      </c>
      <c r="K547" t="n">
        <v>0</v>
      </c>
      <c r="L547" t="n">
        <v>0</v>
      </c>
      <c r="M547" t="n">
        <v>0</v>
      </c>
      <c r="N547" t="n">
        <v>0</v>
      </c>
      <c r="O547" t="n">
        <v>0</v>
      </c>
      <c r="P547" t="n">
        <v>0</v>
      </c>
      <c r="Q547" t="n">
        <v>0</v>
      </c>
      <c r="R547" s="2" t="inlineStr"/>
    </row>
    <row r="548" ht="15" customHeight="1">
      <c r="A548" t="inlineStr">
        <is>
          <t>A 35833-2024</t>
        </is>
      </c>
      <c r="B548" s="1" t="n">
        <v>45532.68699074074</v>
      </c>
      <c r="C548" s="1" t="n">
        <v>45883</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26858-2024</t>
        </is>
      </c>
      <c r="B549" s="1" t="n">
        <v>45470</v>
      </c>
      <c r="C549" s="1" t="n">
        <v>45883</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14717-2024</t>
        </is>
      </c>
      <c r="B550" s="1" t="n">
        <v>45397.55104166667</v>
      </c>
      <c r="C550" s="1" t="n">
        <v>45883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29701-2025</t>
        </is>
      </c>
      <c r="B551" s="1" t="n">
        <v>45825.55261574074</v>
      </c>
      <c r="C551" s="1" t="n">
        <v>45883</v>
      </c>
      <c r="D551" t="inlineStr">
        <is>
          <t>ÖREBRO LÄN</t>
        </is>
      </c>
      <c r="E551" t="inlineStr">
        <is>
          <t>ÖREBRO</t>
        </is>
      </c>
      <c r="G551" t="n">
        <v>5.8</v>
      </c>
      <c r="H551" t="n">
        <v>0</v>
      </c>
      <c r="I551" t="n">
        <v>0</v>
      </c>
      <c r="J551" t="n">
        <v>0</v>
      </c>
      <c r="K551" t="n">
        <v>0</v>
      </c>
      <c r="L551" t="n">
        <v>0</v>
      </c>
      <c r="M551" t="n">
        <v>0</v>
      </c>
      <c r="N551" t="n">
        <v>0</v>
      </c>
      <c r="O551" t="n">
        <v>0</v>
      </c>
      <c r="P551" t="n">
        <v>0</v>
      </c>
      <c r="Q551" t="n">
        <v>0</v>
      </c>
      <c r="R551" s="2" t="inlineStr"/>
    </row>
    <row r="552" ht="15" customHeight="1">
      <c r="A552" t="inlineStr">
        <is>
          <t>A 29554-2025</t>
        </is>
      </c>
      <c r="B552" s="1" t="n">
        <v>45825</v>
      </c>
      <c r="C552" s="1" t="n">
        <v>45883</v>
      </c>
      <c r="D552" t="inlineStr">
        <is>
          <t>ÖREBRO LÄN</t>
        </is>
      </c>
      <c r="E552" t="inlineStr">
        <is>
          <t>ÖREBRO</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36448-2025</t>
        </is>
      </c>
      <c r="B553" s="1" t="n">
        <v>45869.41929398148</v>
      </c>
      <c r="C553" s="1" t="n">
        <v>45883</v>
      </c>
      <c r="D553" t="inlineStr">
        <is>
          <t>ÖREBRO LÄN</t>
        </is>
      </c>
      <c r="E553" t="inlineStr">
        <is>
          <t>ÖREBRO</t>
        </is>
      </c>
      <c r="F553" t="inlineStr">
        <is>
          <t>Övriga Aktiebolag</t>
        </is>
      </c>
      <c r="G553" t="n">
        <v>4.3</v>
      </c>
      <c r="H553" t="n">
        <v>0</v>
      </c>
      <c r="I553" t="n">
        <v>0</v>
      </c>
      <c r="J553" t="n">
        <v>0</v>
      </c>
      <c r="K553" t="n">
        <v>0</v>
      </c>
      <c r="L553" t="n">
        <v>0</v>
      </c>
      <c r="M553" t="n">
        <v>0</v>
      </c>
      <c r="N553" t="n">
        <v>0</v>
      </c>
      <c r="O553" t="n">
        <v>0</v>
      </c>
      <c r="P553" t="n">
        <v>0</v>
      </c>
      <c r="Q553" t="n">
        <v>0</v>
      </c>
      <c r="R553" s="2" t="inlineStr"/>
    </row>
    <row r="554" ht="15" customHeight="1">
      <c r="A554" t="inlineStr">
        <is>
          <t>A 36447-2025</t>
        </is>
      </c>
      <c r="B554" s="1" t="n">
        <v>45869.41387731482</v>
      </c>
      <c r="C554" s="1" t="n">
        <v>45883</v>
      </c>
      <c r="D554" t="inlineStr">
        <is>
          <t>ÖREBRO LÄN</t>
        </is>
      </c>
      <c r="E554" t="inlineStr">
        <is>
          <t>ÖREBRO</t>
        </is>
      </c>
      <c r="F554" t="inlineStr">
        <is>
          <t>Övriga Aktiebolag</t>
        </is>
      </c>
      <c r="G554" t="n">
        <v>12.6</v>
      </c>
      <c r="H554" t="n">
        <v>0</v>
      </c>
      <c r="I554" t="n">
        <v>0</v>
      </c>
      <c r="J554" t="n">
        <v>0</v>
      </c>
      <c r="K554" t="n">
        <v>0</v>
      </c>
      <c r="L554" t="n">
        <v>0</v>
      </c>
      <c r="M554" t="n">
        <v>0</v>
      </c>
      <c r="N554" t="n">
        <v>0</v>
      </c>
      <c r="O554" t="n">
        <v>0</v>
      </c>
      <c r="P554" t="n">
        <v>0</v>
      </c>
      <c r="Q554" t="n">
        <v>0</v>
      </c>
      <c r="R554" s="2" t="inlineStr"/>
    </row>
    <row r="555" ht="15" customHeight="1">
      <c r="A555" t="inlineStr">
        <is>
          <t>A 5133-2024</t>
        </is>
      </c>
      <c r="B555" s="1" t="n">
        <v>45330</v>
      </c>
      <c r="C555" s="1" t="n">
        <v>45883</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30550-2025</t>
        </is>
      </c>
      <c r="B556" s="1" t="n">
        <v>45831.38224537037</v>
      </c>
      <c r="C556" s="1" t="n">
        <v>45883</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14432-2023</t>
        </is>
      </c>
      <c r="B557" s="1" t="n">
        <v>45012</v>
      </c>
      <c r="C557" s="1" t="n">
        <v>45883</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10339-2023</t>
        </is>
      </c>
      <c r="B558" s="1" t="n">
        <v>44987</v>
      </c>
      <c r="C558" s="1" t="n">
        <v>45883</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190-2024</t>
        </is>
      </c>
      <c r="B559" s="1" t="n">
        <v>45294.61858796296</v>
      </c>
      <c r="C559" s="1" t="n">
        <v>45883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30731-2025</t>
        </is>
      </c>
      <c r="B560" s="1" t="n">
        <v>45831.57280092593</v>
      </c>
      <c r="C560" s="1" t="n">
        <v>45883</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62497-2023</t>
        </is>
      </c>
      <c r="B561" s="1" t="n">
        <v>45268.59935185185</v>
      </c>
      <c r="C561" s="1" t="n">
        <v>45883</v>
      </c>
      <c r="D561" t="inlineStr">
        <is>
          <t>ÖREBRO LÄN</t>
        </is>
      </c>
      <c r="E561" t="inlineStr">
        <is>
          <t>ÖREBRO</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18550-2025</t>
        </is>
      </c>
      <c r="B562" s="1" t="n">
        <v>45763.43422453704</v>
      </c>
      <c r="C562" s="1" t="n">
        <v>45883</v>
      </c>
      <c r="D562" t="inlineStr">
        <is>
          <t>ÖREBRO LÄN</t>
        </is>
      </c>
      <c r="E562" t="inlineStr">
        <is>
          <t>ÖREBRO</t>
        </is>
      </c>
      <c r="G562" t="n">
        <v>11.5</v>
      </c>
      <c r="H562" t="n">
        <v>0</v>
      </c>
      <c r="I562" t="n">
        <v>0</v>
      </c>
      <c r="J562" t="n">
        <v>0</v>
      </c>
      <c r="K562" t="n">
        <v>0</v>
      </c>
      <c r="L562" t="n">
        <v>0</v>
      </c>
      <c r="M562" t="n">
        <v>0</v>
      </c>
      <c r="N562" t="n">
        <v>0</v>
      </c>
      <c r="O562" t="n">
        <v>0</v>
      </c>
      <c r="P562" t="n">
        <v>0</v>
      </c>
      <c r="Q562" t="n">
        <v>0</v>
      </c>
      <c r="R562" s="2" t="inlineStr"/>
    </row>
    <row r="563" ht="15" customHeight="1">
      <c r="A563" t="inlineStr">
        <is>
          <t>A 30951-2025</t>
        </is>
      </c>
      <c r="B563" s="1" t="n">
        <v>45832.43225694444</v>
      </c>
      <c r="C563" s="1" t="n">
        <v>45883</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45883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31066-2025</t>
        </is>
      </c>
      <c r="B565" s="1" t="n">
        <v>45832</v>
      </c>
      <c r="C565" s="1" t="n">
        <v>45883</v>
      </c>
      <c r="D565" t="inlineStr">
        <is>
          <t>ÖREBRO LÄN</t>
        </is>
      </c>
      <c r="E565" t="inlineStr">
        <is>
          <t>ÖREBRO</t>
        </is>
      </c>
      <c r="G565" t="n">
        <v>11.1</v>
      </c>
      <c r="H565" t="n">
        <v>0</v>
      </c>
      <c r="I565" t="n">
        <v>0</v>
      </c>
      <c r="J565" t="n">
        <v>0</v>
      </c>
      <c r="K565" t="n">
        <v>0</v>
      </c>
      <c r="L565" t="n">
        <v>0</v>
      </c>
      <c r="M565" t="n">
        <v>0</v>
      </c>
      <c r="N565" t="n">
        <v>0</v>
      </c>
      <c r="O565" t="n">
        <v>0</v>
      </c>
      <c r="P565" t="n">
        <v>0</v>
      </c>
      <c r="Q565" t="n">
        <v>0</v>
      </c>
      <c r="R565" s="2" t="inlineStr"/>
    </row>
    <row r="566" ht="15" customHeight="1">
      <c r="A566" t="inlineStr">
        <is>
          <t>A 63142-2023</t>
        </is>
      </c>
      <c r="B566" s="1" t="n">
        <v>45273</v>
      </c>
      <c r="C566" s="1" t="n">
        <v>45883</v>
      </c>
      <c r="D566" t="inlineStr">
        <is>
          <t>ÖREBRO LÄN</t>
        </is>
      </c>
      <c r="E566" t="inlineStr">
        <is>
          <t>ÖREBRO</t>
        </is>
      </c>
      <c r="G566" t="n">
        <v>1.8</v>
      </c>
      <c r="H566" t="n">
        <v>0</v>
      </c>
      <c r="I566" t="n">
        <v>0</v>
      </c>
      <c r="J566" t="n">
        <v>0</v>
      </c>
      <c r="K566" t="n">
        <v>0</v>
      </c>
      <c r="L566" t="n">
        <v>0</v>
      </c>
      <c r="M566" t="n">
        <v>0</v>
      </c>
      <c r="N566" t="n">
        <v>0</v>
      </c>
      <c r="O566" t="n">
        <v>0</v>
      </c>
      <c r="P566" t="n">
        <v>0</v>
      </c>
      <c r="Q566" t="n">
        <v>0</v>
      </c>
      <c r="R566" s="2" t="inlineStr"/>
    </row>
    <row r="567" ht="15" customHeight="1">
      <c r="A567" t="inlineStr">
        <is>
          <t>A 37021-2024</t>
        </is>
      </c>
      <c r="B567" s="1" t="n">
        <v>45539.38146990741</v>
      </c>
      <c r="C567" s="1" t="n">
        <v>45883</v>
      </c>
      <c r="D567" t="inlineStr">
        <is>
          <t>ÖREBRO LÄN</t>
        </is>
      </c>
      <c r="E567" t="inlineStr">
        <is>
          <t>ÖREBRO</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23573-2023</t>
        </is>
      </c>
      <c r="B568" s="1" t="n">
        <v>45077.41672453703</v>
      </c>
      <c r="C568" s="1" t="n">
        <v>45883</v>
      </c>
      <c r="D568" t="inlineStr">
        <is>
          <t>ÖREBRO LÄN</t>
        </is>
      </c>
      <c r="E568" t="inlineStr">
        <is>
          <t>ÖREBRO</t>
        </is>
      </c>
      <c r="G568" t="n">
        <v>2.9</v>
      </c>
      <c r="H568" t="n">
        <v>0</v>
      </c>
      <c r="I568" t="n">
        <v>0</v>
      </c>
      <c r="J568" t="n">
        <v>0</v>
      </c>
      <c r="K568" t="n">
        <v>0</v>
      </c>
      <c r="L568" t="n">
        <v>0</v>
      </c>
      <c r="M568" t="n">
        <v>0</v>
      </c>
      <c r="N568" t="n">
        <v>0</v>
      </c>
      <c r="O568" t="n">
        <v>0</v>
      </c>
      <c r="P568" t="n">
        <v>0</v>
      </c>
      <c r="Q568" t="n">
        <v>0</v>
      </c>
      <c r="R568" s="2" t="inlineStr"/>
    </row>
    <row r="569" ht="15" customHeight="1">
      <c r="A569" t="inlineStr">
        <is>
          <t>A 13762-2023</t>
        </is>
      </c>
      <c r="B569" s="1" t="n">
        <v>45007.43729166667</v>
      </c>
      <c r="C569" s="1" t="n">
        <v>45883</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5129-2024</t>
        </is>
      </c>
      <c r="B570" s="1" t="n">
        <v>45330</v>
      </c>
      <c r="C570" s="1" t="n">
        <v>45883</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31233-2025</t>
        </is>
      </c>
      <c r="B571" s="1" t="n">
        <v>45832.83341435185</v>
      </c>
      <c r="C571" s="1" t="n">
        <v>45883</v>
      </c>
      <c r="D571" t="inlineStr">
        <is>
          <t>ÖREBRO LÄN</t>
        </is>
      </c>
      <c r="E571" t="inlineStr">
        <is>
          <t>ÖREBRO</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31232-2025</t>
        </is>
      </c>
      <c r="B572" s="1" t="n">
        <v>45832.8252199074</v>
      </c>
      <c r="C572" s="1" t="n">
        <v>45883</v>
      </c>
      <c r="D572" t="inlineStr">
        <is>
          <t>ÖREBRO LÄN</t>
        </is>
      </c>
      <c r="E572" t="inlineStr">
        <is>
          <t>ÖREBRO</t>
        </is>
      </c>
      <c r="F572" t="inlineStr">
        <is>
          <t>Övriga Aktiebolag</t>
        </is>
      </c>
      <c r="G572" t="n">
        <v>2.1</v>
      </c>
      <c r="H572" t="n">
        <v>0</v>
      </c>
      <c r="I572" t="n">
        <v>0</v>
      </c>
      <c r="J572" t="n">
        <v>0</v>
      </c>
      <c r="K572" t="n">
        <v>0</v>
      </c>
      <c r="L572" t="n">
        <v>0</v>
      </c>
      <c r="M572" t="n">
        <v>0</v>
      </c>
      <c r="N572" t="n">
        <v>0</v>
      </c>
      <c r="O572" t="n">
        <v>0</v>
      </c>
      <c r="P572" t="n">
        <v>0</v>
      </c>
      <c r="Q572" t="n">
        <v>0</v>
      </c>
      <c r="R572" s="2" t="inlineStr"/>
    </row>
    <row r="573" ht="15" customHeight="1">
      <c r="A573" t="inlineStr">
        <is>
          <t>A 1492-2022</t>
        </is>
      </c>
      <c r="B573" s="1" t="n">
        <v>44573</v>
      </c>
      <c r="C573" s="1" t="n">
        <v>45883</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59026-2024</t>
        </is>
      </c>
      <c r="B574" s="1" t="n">
        <v>45636.6875</v>
      </c>
      <c r="C574" s="1" t="n">
        <v>45883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31237-2025</t>
        </is>
      </c>
      <c r="B575" s="1" t="n">
        <v>45832.84313657408</v>
      </c>
      <c r="C575" s="1" t="n">
        <v>45883</v>
      </c>
      <c r="D575" t="inlineStr">
        <is>
          <t>ÖREBRO LÄN</t>
        </is>
      </c>
      <c r="E575" t="inlineStr">
        <is>
          <t>ÖREBRO</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52623-2024</t>
        </is>
      </c>
      <c r="B576" s="1" t="n">
        <v>45609</v>
      </c>
      <c r="C576" s="1" t="n">
        <v>45883</v>
      </c>
      <c r="D576" t="inlineStr">
        <is>
          <t>ÖREBRO LÄN</t>
        </is>
      </c>
      <c r="E576" t="inlineStr">
        <is>
          <t>ÖREBRO</t>
        </is>
      </c>
      <c r="F576" t="inlineStr">
        <is>
          <t>Kommuner</t>
        </is>
      </c>
      <c r="G576" t="n">
        <v>1.7</v>
      </c>
      <c r="H576" t="n">
        <v>0</v>
      </c>
      <c r="I576" t="n">
        <v>0</v>
      </c>
      <c r="J576" t="n">
        <v>0</v>
      </c>
      <c r="K576" t="n">
        <v>0</v>
      </c>
      <c r="L576" t="n">
        <v>0</v>
      </c>
      <c r="M576" t="n">
        <v>0</v>
      </c>
      <c r="N576" t="n">
        <v>0</v>
      </c>
      <c r="O576" t="n">
        <v>0</v>
      </c>
      <c r="P576" t="n">
        <v>0</v>
      </c>
      <c r="Q576" t="n">
        <v>0</v>
      </c>
      <c r="R576" s="2" t="inlineStr"/>
    </row>
    <row r="577" ht="15" customHeight="1">
      <c r="A577" t="inlineStr">
        <is>
          <t>A 62511-2023</t>
        </is>
      </c>
      <c r="B577" s="1" t="n">
        <v>45268.61855324074</v>
      </c>
      <c r="C577" s="1" t="n">
        <v>45883</v>
      </c>
      <c r="D577" t="inlineStr">
        <is>
          <t>ÖREBRO LÄN</t>
        </is>
      </c>
      <c r="E577" t="inlineStr">
        <is>
          <t>ÖREBRO</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40522-2024</t>
        </is>
      </c>
      <c r="B578" s="1" t="n">
        <v>45555.59717592593</v>
      </c>
      <c r="C578" s="1" t="n">
        <v>45883</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32218-2025</t>
        </is>
      </c>
      <c r="B579" s="1" t="n">
        <v>45835.58880787037</v>
      </c>
      <c r="C579" s="1" t="n">
        <v>45883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59265-2020</t>
        </is>
      </c>
      <c r="B580" s="1" t="n">
        <v>44147.67359953704</v>
      </c>
      <c r="C580" s="1" t="n">
        <v>45883</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32188-2025</t>
        </is>
      </c>
      <c r="B581" s="1" t="n">
        <v>45835.56965277778</v>
      </c>
      <c r="C581" s="1" t="n">
        <v>45883</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32195-2025</t>
        </is>
      </c>
      <c r="B582" s="1" t="n">
        <v>45835.57407407407</v>
      </c>
      <c r="C582" s="1" t="n">
        <v>45883</v>
      </c>
      <c r="D582" t="inlineStr">
        <is>
          <t>ÖREBRO LÄN</t>
        </is>
      </c>
      <c r="E582" t="inlineStr">
        <is>
          <t>ÖREBRO</t>
        </is>
      </c>
      <c r="G582" t="n">
        <v>1.5</v>
      </c>
      <c r="H582" t="n">
        <v>0</v>
      </c>
      <c r="I582" t="n">
        <v>0</v>
      </c>
      <c r="J582" t="n">
        <v>0</v>
      </c>
      <c r="K582" t="n">
        <v>0</v>
      </c>
      <c r="L582" t="n">
        <v>0</v>
      </c>
      <c r="M582" t="n">
        <v>0</v>
      </c>
      <c r="N582" t="n">
        <v>0</v>
      </c>
      <c r="O582" t="n">
        <v>0</v>
      </c>
      <c r="P582" t="n">
        <v>0</v>
      </c>
      <c r="Q582" t="n">
        <v>0</v>
      </c>
      <c r="R582" s="2" t="inlineStr"/>
    </row>
    <row r="583" ht="15" customHeight="1">
      <c r="A583" t="inlineStr">
        <is>
          <t>A 33577-2023</t>
        </is>
      </c>
      <c r="B583" s="1" t="n">
        <v>45131</v>
      </c>
      <c r="C583" s="1" t="n">
        <v>45883</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18360-2024</t>
        </is>
      </c>
      <c r="B584" s="1" t="n">
        <v>45422</v>
      </c>
      <c r="C584" s="1" t="n">
        <v>45883</v>
      </c>
      <c r="D584" t="inlineStr">
        <is>
          <t>ÖREBRO LÄN</t>
        </is>
      </c>
      <c r="E584" t="inlineStr">
        <is>
          <t>ÖREBRO</t>
        </is>
      </c>
      <c r="G584" t="n">
        <v>0.7</v>
      </c>
      <c r="H584" t="n">
        <v>0</v>
      </c>
      <c r="I584" t="n">
        <v>0</v>
      </c>
      <c r="J584" t="n">
        <v>0</v>
      </c>
      <c r="K584" t="n">
        <v>0</v>
      </c>
      <c r="L584" t="n">
        <v>0</v>
      </c>
      <c r="M584" t="n">
        <v>0</v>
      </c>
      <c r="N584" t="n">
        <v>0</v>
      </c>
      <c r="O584" t="n">
        <v>0</v>
      </c>
      <c r="P584" t="n">
        <v>0</v>
      </c>
      <c r="Q584" t="n">
        <v>0</v>
      </c>
      <c r="R584" s="2" t="inlineStr"/>
    </row>
    <row r="585" ht="15" customHeight="1">
      <c r="A585" t="inlineStr">
        <is>
          <t>A 7611-2024</t>
        </is>
      </c>
      <c r="B585" s="1" t="n">
        <v>45348.58864583333</v>
      </c>
      <c r="C585" s="1" t="n">
        <v>45883</v>
      </c>
      <c r="D585" t="inlineStr">
        <is>
          <t>ÖREBRO LÄN</t>
        </is>
      </c>
      <c r="E585" t="inlineStr">
        <is>
          <t>ÖREBRO</t>
        </is>
      </c>
      <c r="G585" t="n">
        <v>4.2</v>
      </c>
      <c r="H585" t="n">
        <v>0</v>
      </c>
      <c r="I585" t="n">
        <v>0</v>
      </c>
      <c r="J585" t="n">
        <v>0</v>
      </c>
      <c r="K585" t="n">
        <v>0</v>
      </c>
      <c r="L585" t="n">
        <v>0</v>
      </c>
      <c r="M585" t="n">
        <v>0</v>
      </c>
      <c r="N585" t="n">
        <v>0</v>
      </c>
      <c r="O585" t="n">
        <v>0</v>
      </c>
      <c r="P585" t="n">
        <v>0</v>
      </c>
      <c r="Q585" t="n">
        <v>0</v>
      </c>
      <c r="R585" s="2" t="inlineStr"/>
    </row>
    <row r="586" ht="15" customHeight="1">
      <c r="A586" t="inlineStr">
        <is>
          <t>A 38057-2025</t>
        </is>
      </c>
      <c r="B586" s="1" t="n">
        <v>45882.42570601852</v>
      </c>
      <c r="C586" s="1" t="n">
        <v>45883</v>
      </c>
      <c r="D586" t="inlineStr">
        <is>
          <t>ÖREBRO LÄN</t>
        </is>
      </c>
      <c r="E586" t="inlineStr">
        <is>
          <t>ÖREBRO</t>
        </is>
      </c>
      <c r="G586" t="n">
        <v>3</v>
      </c>
      <c r="H586" t="n">
        <v>0</v>
      </c>
      <c r="I586" t="n">
        <v>0</v>
      </c>
      <c r="J586" t="n">
        <v>0</v>
      </c>
      <c r="K586" t="n">
        <v>0</v>
      </c>
      <c r="L586" t="n">
        <v>0</v>
      </c>
      <c r="M586" t="n">
        <v>0</v>
      </c>
      <c r="N586" t="n">
        <v>0</v>
      </c>
      <c r="O586" t="n">
        <v>0</v>
      </c>
      <c r="P586" t="n">
        <v>0</v>
      </c>
      <c r="Q586" t="n">
        <v>0</v>
      </c>
      <c r="R586" s="2" t="inlineStr"/>
    </row>
    <row r="587" ht="15" customHeight="1">
      <c r="A587" t="inlineStr">
        <is>
          <t>A 13347-2023</t>
        </is>
      </c>
      <c r="B587" s="1" t="n">
        <v>45004</v>
      </c>
      <c r="C587" s="1" t="n">
        <v>45883</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33191-2025</t>
        </is>
      </c>
      <c r="B588" s="1" t="n">
        <v>45840.6003587963</v>
      </c>
      <c r="C588" s="1" t="n">
        <v>45883</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187-2024</t>
        </is>
      </c>
      <c r="B589" s="1" t="n">
        <v>45294</v>
      </c>
      <c r="C589" s="1" t="n">
        <v>45883</v>
      </c>
      <c r="D589" t="inlineStr">
        <is>
          <t>ÖREBRO LÄN</t>
        </is>
      </c>
      <c r="E589" t="inlineStr">
        <is>
          <t>ÖREBRO</t>
        </is>
      </c>
      <c r="G589" t="n">
        <v>5.9</v>
      </c>
      <c r="H589" t="n">
        <v>0</v>
      </c>
      <c r="I589" t="n">
        <v>0</v>
      </c>
      <c r="J589" t="n">
        <v>0</v>
      </c>
      <c r="K589" t="n">
        <v>0</v>
      </c>
      <c r="L589" t="n">
        <v>0</v>
      </c>
      <c r="M589" t="n">
        <v>0</v>
      </c>
      <c r="N589" t="n">
        <v>0</v>
      </c>
      <c r="O589" t="n">
        <v>0</v>
      </c>
      <c r="P589" t="n">
        <v>0</v>
      </c>
      <c r="Q589" t="n">
        <v>0</v>
      </c>
      <c r="R589" s="2" t="inlineStr"/>
    </row>
    <row r="590" ht="15" customHeight="1">
      <c r="A590" t="inlineStr">
        <is>
          <t>A 32426-2025</t>
        </is>
      </c>
      <c r="B590" s="1" t="n">
        <v>45838.36179398148</v>
      </c>
      <c r="C590" s="1" t="n">
        <v>45883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10832-2023</t>
        </is>
      </c>
      <c r="B591" s="1" t="n">
        <v>44990.91711805556</v>
      </c>
      <c r="C591" s="1" t="n">
        <v>45883</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2596-2022</t>
        </is>
      </c>
      <c r="B592" s="1" t="n">
        <v>44580</v>
      </c>
      <c r="C592" s="1" t="n">
        <v>45883</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5338-2024</t>
        </is>
      </c>
      <c r="B593" s="1" t="n">
        <v>45331</v>
      </c>
      <c r="C593" s="1" t="n">
        <v>45883</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32904-2025</t>
        </is>
      </c>
      <c r="B594" s="1" t="n">
        <v>45839</v>
      </c>
      <c r="C594" s="1" t="n">
        <v>45883</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14487-2023</t>
        </is>
      </c>
      <c r="B595" s="1" t="n">
        <v>45012</v>
      </c>
      <c r="C595" s="1" t="n">
        <v>45883</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33019-2025</t>
        </is>
      </c>
      <c r="B596" s="1" t="n">
        <v>45840</v>
      </c>
      <c r="C596" s="1" t="n">
        <v>45883</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8565-2021</t>
        </is>
      </c>
      <c r="B597" s="1" t="n">
        <v>44245</v>
      </c>
      <c r="C597" s="1" t="n">
        <v>45883</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4970-2022</t>
        </is>
      </c>
      <c r="B598" s="1" t="n">
        <v>44593.51175925926</v>
      </c>
      <c r="C598" s="1" t="n">
        <v>45883</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18047-2023</t>
        </is>
      </c>
      <c r="B599" s="1" t="n">
        <v>45040</v>
      </c>
      <c r="C599" s="1" t="n">
        <v>45883</v>
      </c>
      <c r="D599" t="inlineStr">
        <is>
          <t>ÖREBRO LÄN</t>
        </is>
      </c>
      <c r="E599" t="inlineStr">
        <is>
          <t>ÖREBRO</t>
        </is>
      </c>
      <c r="G599" t="n">
        <v>3.9</v>
      </c>
      <c r="H599" t="n">
        <v>0</v>
      </c>
      <c r="I599" t="n">
        <v>0</v>
      </c>
      <c r="J599" t="n">
        <v>0</v>
      </c>
      <c r="K599" t="n">
        <v>0</v>
      </c>
      <c r="L599" t="n">
        <v>0</v>
      </c>
      <c r="M599" t="n">
        <v>0</v>
      </c>
      <c r="N599" t="n">
        <v>0</v>
      </c>
      <c r="O599" t="n">
        <v>0</v>
      </c>
      <c r="P599" t="n">
        <v>0</v>
      </c>
      <c r="Q599" t="n">
        <v>0</v>
      </c>
      <c r="R599" s="2" t="inlineStr"/>
    </row>
    <row r="600" ht="15" customHeight="1">
      <c r="A600" t="inlineStr">
        <is>
          <t>A 3789-2023</t>
        </is>
      </c>
      <c r="B600" s="1" t="n">
        <v>44951</v>
      </c>
      <c r="C600" s="1" t="n">
        <v>45883</v>
      </c>
      <c r="D600" t="inlineStr">
        <is>
          <t>ÖREBRO LÄN</t>
        </is>
      </c>
      <c r="E600" t="inlineStr">
        <is>
          <t>ÖREBRO</t>
        </is>
      </c>
      <c r="G600" t="n">
        <v>7.5</v>
      </c>
      <c r="H600" t="n">
        <v>0</v>
      </c>
      <c r="I600" t="n">
        <v>0</v>
      </c>
      <c r="J600" t="n">
        <v>0</v>
      </c>
      <c r="K600" t="n">
        <v>0</v>
      </c>
      <c r="L600" t="n">
        <v>0</v>
      </c>
      <c r="M600" t="n">
        <v>0</v>
      </c>
      <c r="N600" t="n">
        <v>0</v>
      </c>
      <c r="O600" t="n">
        <v>0</v>
      </c>
      <c r="P600" t="n">
        <v>0</v>
      </c>
      <c r="Q600" t="n">
        <v>0</v>
      </c>
      <c r="R600" s="2" t="inlineStr"/>
    </row>
    <row r="601" ht="15" customHeight="1">
      <c r="A601" t="inlineStr">
        <is>
          <t>A 5026-2022</t>
        </is>
      </c>
      <c r="B601" s="1" t="n">
        <v>44593.63974537037</v>
      </c>
      <c r="C601" s="1" t="n">
        <v>45883</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54917-2023</t>
        </is>
      </c>
      <c r="B602" s="1" t="n">
        <v>45229</v>
      </c>
      <c r="C602" s="1" t="n">
        <v>45883</v>
      </c>
      <c r="D602" t="inlineStr">
        <is>
          <t>ÖREBRO LÄN</t>
        </is>
      </c>
      <c r="E602" t="inlineStr">
        <is>
          <t>ÖREBRO</t>
        </is>
      </c>
      <c r="G602" t="n">
        <v>3.1</v>
      </c>
      <c r="H602" t="n">
        <v>0</v>
      </c>
      <c r="I602" t="n">
        <v>0</v>
      </c>
      <c r="J602" t="n">
        <v>0</v>
      </c>
      <c r="K602" t="n">
        <v>0</v>
      </c>
      <c r="L602" t="n">
        <v>0</v>
      </c>
      <c r="M602" t="n">
        <v>0</v>
      </c>
      <c r="N602" t="n">
        <v>0</v>
      </c>
      <c r="O602" t="n">
        <v>0</v>
      </c>
      <c r="P602" t="n">
        <v>0</v>
      </c>
      <c r="Q602" t="n">
        <v>0</v>
      </c>
      <c r="R602" s="2" t="inlineStr"/>
    </row>
    <row r="603" ht="15" customHeight="1">
      <c r="A603" t="inlineStr">
        <is>
          <t>A 72329-2021</t>
        </is>
      </c>
      <c r="B603" s="1" t="n">
        <v>44545.46072916667</v>
      </c>
      <c r="C603" s="1" t="n">
        <v>45883</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43803-2023</t>
        </is>
      </c>
      <c r="B604" s="1" t="n">
        <v>45187</v>
      </c>
      <c r="C604" s="1" t="n">
        <v>45883</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15789-2023</t>
        </is>
      </c>
      <c r="B605" s="1" t="n">
        <v>45021.71539351852</v>
      </c>
      <c r="C605" s="1" t="n">
        <v>45883</v>
      </c>
      <c r="D605" t="inlineStr">
        <is>
          <t>ÖREBRO LÄN</t>
        </is>
      </c>
      <c r="E605" t="inlineStr">
        <is>
          <t>ÖREBRO</t>
        </is>
      </c>
      <c r="F605" t="inlineStr">
        <is>
          <t>Övriga Aktiebolag</t>
        </is>
      </c>
      <c r="G605" t="n">
        <v>3.7</v>
      </c>
      <c r="H605" t="n">
        <v>0</v>
      </c>
      <c r="I605" t="n">
        <v>0</v>
      </c>
      <c r="J605" t="n">
        <v>0</v>
      </c>
      <c r="K605" t="n">
        <v>0</v>
      </c>
      <c r="L605" t="n">
        <v>0</v>
      </c>
      <c r="M605" t="n">
        <v>0</v>
      </c>
      <c r="N605" t="n">
        <v>0</v>
      </c>
      <c r="O605" t="n">
        <v>0</v>
      </c>
      <c r="P605" t="n">
        <v>0</v>
      </c>
      <c r="Q605" t="n">
        <v>0</v>
      </c>
      <c r="R605" s="2" t="inlineStr"/>
    </row>
    <row r="606" ht="15" customHeight="1">
      <c r="A606" t="inlineStr">
        <is>
          <t>A 58539-2024</t>
        </is>
      </c>
      <c r="B606" s="1" t="n">
        <v>45635.45157407408</v>
      </c>
      <c r="C606" s="1" t="n">
        <v>45883</v>
      </c>
      <c r="D606" t="inlineStr">
        <is>
          <t>ÖREBRO LÄN</t>
        </is>
      </c>
      <c r="E606" t="inlineStr">
        <is>
          <t>ÖREBRO</t>
        </is>
      </c>
      <c r="F606" t="inlineStr">
        <is>
          <t>Sveaskog</t>
        </is>
      </c>
      <c r="G606" t="n">
        <v>4.1</v>
      </c>
      <c r="H606" t="n">
        <v>0</v>
      </c>
      <c r="I606" t="n">
        <v>0</v>
      </c>
      <c r="J606" t="n">
        <v>0</v>
      </c>
      <c r="K606" t="n">
        <v>0</v>
      </c>
      <c r="L606" t="n">
        <v>0</v>
      </c>
      <c r="M606" t="n">
        <v>0</v>
      </c>
      <c r="N606" t="n">
        <v>0</v>
      </c>
      <c r="O606" t="n">
        <v>0</v>
      </c>
      <c r="P606" t="n">
        <v>0</v>
      </c>
      <c r="Q606" t="n">
        <v>0</v>
      </c>
      <c r="R606" s="2" t="inlineStr"/>
    </row>
    <row r="607" ht="15" customHeight="1">
      <c r="A607" t="inlineStr">
        <is>
          <t>A 59757-2023</t>
        </is>
      </c>
      <c r="B607" s="1" t="n">
        <v>45257.40833333333</v>
      </c>
      <c r="C607" s="1" t="n">
        <v>45883</v>
      </c>
      <c r="D607" t="inlineStr">
        <is>
          <t>ÖREBRO LÄN</t>
        </is>
      </c>
      <c r="E607" t="inlineStr">
        <is>
          <t>ÖREBRO</t>
        </is>
      </c>
      <c r="G607" t="n">
        <v>1</v>
      </c>
      <c r="H607" t="n">
        <v>0</v>
      </c>
      <c r="I607" t="n">
        <v>0</v>
      </c>
      <c r="J607" t="n">
        <v>0</v>
      </c>
      <c r="K607" t="n">
        <v>0</v>
      </c>
      <c r="L607" t="n">
        <v>0</v>
      </c>
      <c r="M607" t="n">
        <v>0</v>
      </c>
      <c r="N607" t="n">
        <v>0</v>
      </c>
      <c r="O607" t="n">
        <v>0</v>
      </c>
      <c r="P607" t="n">
        <v>0</v>
      </c>
      <c r="Q607" t="n">
        <v>0</v>
      </c>
      <c r="R607" s="2" t="inlineStr"/>
    </row>
    <row r="608" ht="15" customHeight="1">
      <c r="A608" t="inlineStr">
        <is>
          <t>A 17869-2024</t>
        </is>
      </c>
      <c r="B608" s="1" t="n">
        <v>45419</v>
      </c>
      <c r="C608" s="1" t="n">
        <v>45883</v>
      </c>
      <c r="D608" t="inlineStr">
        <is>
          <t>ÖREBRO LÄN</t>
        </is>
      </c>
      <c r="E608" t="inlineStr">
        <is>
          <t>ÖREBRO</t>
        </is>
      </c>
      <c r="G608" t="n">
        <v>3.7</v>
      </c>
      <c r="H608" t="n">
        <v>0</v>
      </c>
      <c r="I608" t="n">
        <v>0</v>
      </c>
      <c r="J608" t="n">
        <v>0</v>
      </c>
      <c r="K608" t="n">
        <v>0</v>
      </c>
      <c r="L608" t="n">
        <v>0</v>
      </c>
      <c r="M608" t="n">
        <v>0</v>
      </c>
      <c r="N608" t="n">
        <v>0</v>
      </c>
      <c r="O608" t="n">
        <v>0</v>
      </c>
      <c r="P608" t="n">
        <v>0</v>
      </c>
      <c r="Q608" t="n">
        <v>0</v>
      </c>
      <c r="R608" s="2" t="inlineStr"/>
    </row>
    <row r="609" ht="15" customHeight="1">
      <c r="A609" t="inlineStr">
        <is>
          <t>A 71272-2021</t>
        </is>
      </c>
      <c r="B609" s="1" t="n">
        <v>44539.61571759259</v>
      </c>
      <c r="C609" s="1" t="n">
        <v>45883</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44956.6655787037</v>
      </c>
      <c r="C610" s="1" t="n">
        <v>45883</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60100-2022</t>
        </is>
      </c>
      <c r="B611" s="1" t="n">
        <v>44902</v>
      </c>
      <c r="C611" s="1" t="n">
        <v>45883</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17465-2023</t>
        </is>
      </c>
      <c r="B612" s="1" t="n">
        <v>45036</v>
      </c>
      <c r="C612" s="1" t="n">
        <v>45883</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6213-2021</t>
        </is>
      </c>
      <c r="B613" s="1" t="n">
        <v>44232</v>
      </c>
      <c r="C613" s="1" t="n">
        <v>45883</v>
      </c>
      <c r="D613" t="inlineStr">
        <is>
          <t>ÖREBRO LÄN</t>
        </is>
      </c>
      <c r="E613" t="inlineStr">
        <is>
          <t>ÖREBRO</t>
        </is>
      </c>
      <c r="G613" t="n">
        <v>4</v>
      </c>
      <c r="H613" t="n">
        <v>0</v>
      </c>
      <c r="I613" t="n">
        <v>0</v>
      </c>
      <c r="J613" t="n">
        <v>0</v>
      </c>
      <c r="K613" t="n">
        <v>0</v>
      </c>
      <c r="L613" t="n">
        <v>0</v>
      </c>
      <c r="M613" t="n">
        <v>0</v>
      </c>
      <c r="N613" t="n">
        <v>0</v>
      </c>
      <c r="O613" t="n">
        <v>0</v>
      </c>
      <c r="P613" t="n">
        <v>0</v>
      </c>
      <c r="Q613" t="n">
        <v>0</v>
      </c>
      <c r="R613" s="2" t="inlineStr"/>
    </row>
    <row r="614" ht="15" customHeight="1">
      <c r="A614" t="inlineStr">
        <is>
          <t>A 52016-2024</t>
        </is>
      </c>
      <c r="B614" s="1" t="n">
        <v>45607.81917824074</v>
      </c>
      <c r="C614" s="1" t="n">
        <v>45883</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52477-2024</t>
        </is>
      </c>
      <c r="B615" s="1" t="n">
        <v>45609</v>
      </c>
      <c r="C615" s="1" t="n">
        <v>45883</v>
      </c>
      <c r="D615" t="inlineStr">
        <is>
          <t>ÖREBRO LÄN</t>
        </is>
      </c>
      <c r="E615" t="inlineStr">
        <is>
          <t>ÖREBRO</t>
        </is>
      </c>
      <c r="G615" t="n">
        <v>0.7</v>
      </c>
      <c r="H615" t="n">
        <v>0</v>
      </c>
      <c r="I615" t="n">
        <v>0</v>
      </c>
      <c r="J615" t="n">
        <v>0</v>
      </c>
      <c r="K615" t="n">
        <v>0</v>
      </c>
      <c r="L615" t="n">
        <v>0</v>
      </c>
      <c r="M615" t="n">
        <v>0</v>
      </c>
      <c r="N615" t="n">
        <v>0</v>
      </c>
      <c r="O615" t="n">
        <v>0</v>
      </c>
      <c r="P615" t="n">
        <v>0</v>
      </c>
      <c r="Q615" t="n">
        <v>0</v>
      </c>
      <c r="R615" s="2" t="inlineStr"/>
    </row>
    <row r="616">
      <c r="A616" t="inlineStr">
        <is>
          <t>A 53558-2023</t>
        </is>
      </c>
      <c r="B616" s="1" t="n">
        <v>45230.47266203703</v>
      </c>
      <c r="C616" s="1" t="n">
        <v>45883</v>
      </c>
      <c r="D616" t="inlineStr">
        <is>
          <t>ÖREBRO LÄN</t>
        </is>
      </c>
      <c r="E616" t="inlineStr">
        <is>
          <t>ÖREBRO</t>
        </is>
      </c>
      <c r="F616" t="inlineStr">
        <is>
          <t>Övriga Aktiebolag</t>
        </is>
      </c>
      <c r="G616" t="n">
        <v>4.7</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2025-08-14T08:26:30Z</dcterms:created>
  <dcterms:modified xmlns:dcterms="http://purl.org/dc/terms/" xmlns:xsi="http://www.w3.org/2001/XMLSchema-instance" xsi:type="dcterms:W3CDTF">2025-08-14T08:26:31Z</dcterms:modified>
</cp:coreProperties>
</file>