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21670-2022</t>
        </is>
      </c>
      <c r="B2" t="inlineStr">
        <is>
          <t>avverkningsanmälan</t>
        </is>
      </c>
      <c r="C2" t="inlineStr">
        <is>
          <t>Föryngringsavverkning</t>
        </is>
      </c>
      <c r="D2" s="1" t="n">
        <v>44707</v>
      </c>
      <c r="E2" s="1" t="n">
        <v>46223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HYPERLINK("https://klasma.github.io/Logging_1880/kartor_geotiff/A 21670-2022 georefererad karta.tif", "A 21670-2022")</f>
        <v/>
      </c>
      <c r="Y2">
        <f>HYPERLINK("https://klasma.github.io/Logging_1880/knärot/A 21670-2022 karta knärot.png", "A 21670-2022")</f>
        <v/>
      </c>
      <c r="Z2">
        <f>HYPERLINK("https://klasma.github.io/Logging_1880/klagomål/A 21670-2022 FSC-klagomål.docx", "A 21670-2022")</f>
        <v/>
      </c>
      <c r="AA2">
        <f>HYPERLINK("https://klasma.github.io/Logging_1880/klagomålsmail/A 21670-2022 FSC-klagomål mail.docx", "A 21670-2022")</f>
        <v/>
      </c>
      <c r="AB2">
        <f>HYPERLINK("https://klasma.github.io/Logging_1880/tillsyn/A 21670-2022 tillsynsbegäran.docx", "A 21670-2022")</f>
        <v/>
      </c>
      <c r="AC2">
        <f>HYPERLINK("https://klasma.github.io/Logging_1880/tillsynsmail/A 21670-2022 tillsynsbegäran mail.docx", "A 21670-2022")</f>
        <v/>
      </c>
      <c r="AD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46223</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X3">
        <f>HYPERLINK("https://klasma.github.io/Logging_1880/kartor_geotiff/A 52381-2025 georefererad karta.tif", "A 52381-2025")</f>
        <v/>
      </c>
      <c r="Z3">
        <f>HYPERLINK("https://klasma.github.io/Logging_1880/klagomål/A 52381-2025 FSC-klagomål.docx", "A 52381-2025")</f>
        <v/>
      </c>
      <c r="AA3">
        <f>HYPERLINK("https://klasma.github.io/Logging_1880/klagomålsmail/A 52381-2025 FSC-klagomål mail.docx", "A 52381-2025")</f>
        <v/>
      </c>
      <c r="AB3">
        <f>HYPERLINK("https://klasma.github.io/Logging_1880/tillsyn/A 52381-2025 tillsynsbegäran.docx", "A 52381-2025")</f>
        <v/>
      </c>
      <c r="AC3">
        <f>HYPERLINK("https://klasma.github.io/Logging_1880/tillsynsmail/A 52381-2025 tillsynsbegäran mail.docx", "A 52381-2025")</f>
        <v/>
      </c>
      <c r="AD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46223</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HYPERLINK("https://klasma.github.io/Logging_1880/kartor_geotiff/A 63194-2025 georefererad karta.tif", "A 63194-2025")</f>
        <v/>
      </c>
      <c r="Y4">
        <f>HYPERLINK("https://klasma.github.io/Logging_1880/knärot/A 63194-2025 karta knärot.png", "A 63194-2025")</f>
        <v/>
      </c>
      <c r="Z4">
        <f>HYPERLINK("https://klasma.github.io/Logging_1880/klagomål/A 63194-2025 FSC-klagomål.docx", "A 63194-2025")</f>
        <v/>
      </c>
      <c r="AA4">
        <f>HYPERLINK("https://klasma.github.io/Logging_1880/klagomålsmail/A 63194-2025 FSC-klagomål mail.docx", "A 63194-2025")</f>
        <v/>
      </c>
      <c r="AB4">
        <f>HYPERLINK("https://klasma.github.io/Logging_1880/tillsyn/A 63194-2025 tillsynsbegäran.docx", "A 63194-2025")</f>
        <v/>
      </c>
      <c r="AC4">
        <f>HYPERLINK("https://klasma.github.io/Logging_1880/tillsynsmail/A 63194-2025 tillsynsbegäran mail.docx", "A 63194-2025")</f>
        <v/>
      </c>
      <c r="AD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46223</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X5">
        <f>HYPERLINK("https://klasma.github.io/Logging_1880/kartor_geotiff/S 2962-2025 georefererad karta.tif", "S 2962-2025")</f>
        <v/>
      </c>
      <c r="Z5">
        <f>HYPERLINK("https://klasma.github.io/Logging_1880/klagomål/S 2962-2025 FSC-klagomål.docx", "S 2962-2025")</f>
        <v/>
      </c>
      <c r="AA5">
        <f>HYPERLINK("https://klasma.github.io/Logging_1880/klagomålsmail/S 2962-2025 FSC-klagomål mail.docx", "S 2962-2025")</f>
        <v/>
      </c>
      <c r="AB5">
        <f>HYPERLINK("https://klasma.github.io/Logging_1880/tillsyn/S 2962-2025 tillsynsbegäran.docx", "S 2962-2025")</f>
        <v/>
      </c>
      <c r="AC5">
        <f>HYPERLINK("https://klasma.github.io/Logging_1880/tillsynsmail/S 2962-2025 tillsynsbegäran mail.docx", "S 2962-2025")</f>
        <v/>
      </c>
      <c r="AD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46223</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HYPERLINK("https://klasma.github.io/Logging_1880/kartor_geotiff/S 3548-2025 georefererad karta.tif", "S 3548-2025")</f>
        <v/>
      </c>
      <c r="Y6">
        <f>HYPERLINK("https://klasma.github.io/Logging_1880/knärot/S 3548-2025 karta knärot.png", "S 3548-2025")</f>
        <v/>
      </c>
      <c r="Z6">
        <f>HYPERLINK("https://klasma.github.io/Logging_1880/klagomål/S 3548-2025 FSC-klagomål.docx", "S 3548-2025")</f>
        <v/>
      </c>
      <c r="AA6">
        <f>HYPERLINK("https://klasma.github.io/Logging_1880/klagomålsmail/S 3548-2025 FSC-klagomål mail.docx", "S 3548-2025")</f>
        <v/>
      </c>
      <c r="AB6">
        <f>HYPERLINK("https://klasma.github.io/Logging_1880/tillsyn/S 3548-2025 tillsynsbegäran.docx", "S 3548-2025")</f>
        <v/>
      </c>
      <c r="AC6">
        <f>HYPERLINK("https://klasma.github.io/Logging_1880/tillsynsmail/S 3548-2025 tillsynsbegäran mail.docx", "S 3548-2025")</f>
        <v/>
      </c>
      <c r="AD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46223</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X7">
        <f>HYPERLINK("https://klasma.github.io/Logging_1880/kartor_geotiff/A 14614-2026 georefererad karta.tif", "A 14614-2026")</f>
        <v/>
      </c>
      <c r="Z7">
        <f>HYPERLINK("https://klasma.github.io/Logging_1880/klagomål/A 14614-2026 FSC-klagomål.docx", "A 14614-2026")</f>
        <v/>
      </c>
      <c r="AA7">
        <f>HYPERLINK("https://klasma.github.io/Logging_1880/klagomålsmail/A 14614-2026 FSC-klagomål mail.docx", "A 14614-2026")</f>
        <v/>
      </c>
      <c r="AB7">
        <f>HYPERLINK("https://klasma.github.io/Logging_1880/tillsyn/A 14614-2026 tillsynsbegäran.docx", "A 14614-2026")</f>
        <v/>
      </c>
      <c r="AC7">
        <f>HYPERLINK("https://klasma.github.io/Logging_1880/tillsynsmail/A 14614-2026 tillsynsbegäran mail.docx", "A 14614-2026")</f>
        <v/>
      </c>
      <c r="AD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46223</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X8">
        <f>HYPERLINK("https://klasma.github.io/Logging_1880/kartor_geotiff/S 2326-2022 georefererad karta.tif", "S 2326-2022")</f>
        <v/>
      </c>
      <c r="Z8">
        <f>HYPERLINK("https://klasma.github.io/Logging_1880/klagomål/S 2326-2022 FSC-klagomål.docx", "S 2326-2022")</f>
        <v/>
      </c>
      <c r="AA8">
        <f>HYPERLINK("https://klasma.github.io/Logging_1880/klagomålsmail/S 2326-2022 FSC-klagomål mail.docx", "S 2326-2022")</f>
        <v/>
      </c>
      <c r="AB8">
        <f>HYPERLINK("https://klasma.github.io/Logging_1880/tillsyn/S 2326-2022 tillsynsbegäran.docx", "S 2326-2022")</f>
        <v/>
      </c>
      <c r="AC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46223</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X9">
        <f>HYPERLINK("https://klasma.github.io/Logging_1880/kartor_geotiff/A 59517-2025 georefererad karta.tif", "A 59517-2025")</f>
        <v/>
      </c>
      <c r="Z9">
        <f>HYPERLINK("https://klasma.github.io/Logging_1880/klagomål/A 59517-2025 FSC-klagomål.docx", "A 59517-2025")</f>
        <v/>
      </c>
      <c r="AA9">
        <f>HYPERLINK("https://klasma.github.io/Logging_1880/klagomålsmail/A 59517-2025 FSC-klagomål mail.docx", "A 59517-2025")</f>
        <v/>
      </c>
      <c r="AB9">
        <f>HYPERLINK("https://klasma.github.io/Logging_1880/tillsyn/A 59517-2025 tillsynsbegäran.docx", "A 59517-2025")</f>
        <v/>
      </c>
      <c r="AC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46223</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X10">
        <f>HYPERLINK("https://klasma.github.io/Logging_1880/kartor_geotiff/S 3338-2025 georefererad karta.tif", "S 3338-2025")</f>
        <v/>
      </c>
      <c r="Z10">
        <f>HYPERLINK("https://klasma.github.io/Logging_1880/klagomål/S 3338-2025 FSC-klagomål.docx", "S 3338-2025")</f>
        <v/>
      </c>
      <c r="AA10">
        <f>HYPERLINK("https://klasma.github.io/Logging_1880/klagomålsmail/S 3338-2025 FSC-klagomål mail.docx", "S 3338-2025")</f>
        <v/>
      </c>
      <c r="AB10">
        <f>HYPERLINK("https://klasma.github.io/Logging_1880/tillsyn/S 3338-2025 tillsynsbegäran.docx", "S 3338-2025")</f>
        <v/>
      </c>
      <c r="AC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X11">
        <f>HYPERLINK("https://klasma.github.io/Logging_1880/kartor_geotiff/A 51331-2023 georefererad karta.tif", "A 51331-2023")</f>
        <v/>
      </c>
      <c r="Z11">
        <f>HYPERLINK("https://klasma.github.io/Logging_1880/klagomål/A 51331-2023 FSC-klagomål.docx", "A 51331-2023")</f>
        <v/>
      </c>
      <c r="AA11">
        <f>HYPERLINK("https://klasma.github.io/Logging_1880/klagomålsmail/A 51331-2023 FSC-klagomål mail.docx", "A 51331-2023")</f>
        <v/>
      </c>
      <c r="AB11">
        <f>HYPERLINK("https://klasma.github.io/Logging_1880/tillsyn/A 51331-2023 tillsynsbegäran.docx", "A 51331-2023")</f>
        <v/>
      </c>
      <c r="AC11">
        <f>HYPERLINK("https://klasma.github.io/Logging_1880/tillsynsmail/A 51331-2023 tillsynsbegäran mail.docx", "A 51331-2023")</f>
        <v/>
      </c>
      <c r="AD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X12">
        <f>HYPERLINK("https://klasma.github.io/Logging_1880/kartor_geotiff/A 59520-2025 georefererad karta.tif", "A 59520-2025")</f>
        <v/>
      </c>
      <c r="Z12">
        <f>HYPERLINK("https://klasma.github.io/Logging_1880/klagomål/A 59520-2025 FSC-klagomål.docx", "A 59520-2025")</f>
        <v/>
      </c>
      <c r="AA12">
        <f>HYPERLINK("https://klasma.github.io/Logging_1880/klagomålsmail/A 59520-2025 FSC-klagomål mail.docx", "A 59520-2025")</f>
        <v/>
      </c>
      <c r="AB12">
        <f>HYPERLINK("https://klasma.github.io/Logging_1880/tillsyn/A 59520-2025 tillsynsbegäran.docx", "A 59520-2025")</f>
        <v/>
      </c>
      <c r="AC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X13">
        <f>HYPERLINK("https://klasma.github.io/Logging_1880/kartor_geotiff/A 24879-2026 georefererad karta.tif", "A 24879-2026")</f>
        <v/>
      </c>
      <c r="Z13">
        <f>HYPERLINK("https://klasma.github.io/Logging_1880/klagomål/A 24879-2026 FSC-klagomål.docx", "A 24879-2026")</f>
        <v/>
      </c>
      <c r="AA13">
        <f>HYPERLINK("https://klasma.github.io/Logging_1880/klagomålsmail/A 24879-2026 FSC-klagomål mail.docx", "A 24879-2026")</f>
        <v/>
      </c>
      <c r="AB13">
        <f>HYPERLINK("https://klasma.github.io/Logging_1880/tillsyn/A 24879-2026 tillsynsbegäran.docx", "A 24879-2026")</f>
        <v/>
      </c>
      <c r="AC13">
        <f>HYPERLINK("https://klasma.github.io/Logging_1880/tillsynsmail/A 24879-2026 tillsynsbegäran mail.docx", "A 24879-2026")</f>
        <v/>
      </c>
      <c r="AD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X14">
        <f>HYPERLINK("https://klasma.github.io/Logging_1880/kartor_geotiff/S 3340-2025 georefererad karta.tif", "S 3340-2025")</f>
        <v/>
      </c>
      <c r="Z14">
        <f>HYPERLINK("https://klasma.github.io/Logging_1880/klagomål/S 3340-2025 FSC-klagomål.docx", "S 3340-2025")</f>
        <v/>
      </c>
      <c r="AA14">
        <f>HYPERLINK("https://klasma.github.io/Logging_1880/klagomålsmail/S 3340-2025 FSC-klagomål mail.docx", "S 3340-2025")</f>
        <v/>
      </c>
      <c r="AB14">
        <f>HYPERLINK("https://klasma.github.io/Logging_1880/tillsyn/S 3340-2025 tillsynsbegäran.docx", "S 3340-2025")</f>
        <v/>
      </c>
      <c r="AC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X15">
        <f>HYPERLINK("https://klasma.github.io/Logging_1880/kartor_geotiff/A 29487-2022 georefererad karta.tif", "A 29487-2022")</f>
        <v/>
      </c>
      <c r="Z15">
        <f>HYPERLINK("https://klasma.github.io/Logging_1880/klagomål/A 29487-2022 FSC-klagomål.docx", "A 29487-2022")</f>
        <v/>
      </c>
      <c r="AA15">
        <f>HYPERLINK("https://klasma.github.io/Logging_1880/klagomålsmail/A 29487-2022 FSC-klagomål mail.docx", "A 29487-2022")</f>
        <v/>
      </c>
      <c r="AB15">
        <f>HYPERLINK("https://klasma.github.io/Logging_1880/tillsyn/A 29487-2022 tillsynsbegäran.docx", "A 29487-2022")</f>
        <v/>
      </c>
      <c r="AC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X16">
        <f>HYPERLINK("https://klasma.github.io/Logging_1880/kartor_geotiff/A 32782-2022 georefererad karta.tif", "A 32782-2022")</f>
        <v/>
      </c>
      <c r="Z16">
        <f>HYPERLINK("https://klasma.github.io/Logging_1880/klagomål/A 32782-2022 FSC-klagomål.docx", "A 32782-2022")</f>
        <v/>
      </c>
      <c r="AA16">
        <f>HYPERLINK("https://klasma.github.io/Logging_1880/klagomålsmail/A 32782-2022 FSC-klagomål mail.docx", "A 32782-2022")</f>
        <v/>
      </c>
      <c r="AB16">
        <f>HYPERLINK("https://klasma.github.io/Logging_1880/tillsyn/A 32782-2022 tillsynsbegäran.docx", "A 32782-2022")</f>
        <v/>
      </c>
      <c r="AC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46223</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s="2" t="inlineStr">
        <is>
          <t>Entita
Motaggsvamp
Svartöra
Tallticka
Talltita
Fjällvråk
Kungsfågel</t>
        </is>
      </c>
      <c r="V17">
        <f>HYPERLINK("https://klasma.github.io/Logging_1880/artfynd/A 58837-2025 artfynd.xlsx", "A 58837-2025")</f>
        <v/>
      </c>
      <c r="W17">
        <f>HYPERLINK("https://klasma.github.io/Logging_1880/kartor/A 58837-2025 karta.png", "A 58837-2025")</f>
        <v/>
      </c>
      <c r="X17">
        <f>HYPERLINK("https://klasma.github.io/Logging_1880/kartor_geotiff/A 58837-2025 georefererad karta.tif", "A 58837-2025")</f>
        <v/>
      </c>
      <c r="Z17">
        <f>HYPERLINK("https://klasma.github.io/Logging_1880/klagomål/A 58837-2025 FSC-klagomål.docx", "A 58837-2025")</f>
        <v/>
      </c>
      <c r="AA17">
        <f>HYPERLINK("https://klasma.github.io/Logging_1880/klagomålsmail/A 58837-2025 FSC-klagomål mail.docx", "A 58837-2025")</f>
        <v/>
      </c>
      <c r="AB17">
        <f>HYPERLINK("https://klasma.github.io/Logging_1880/tillsyn/A 58837-2025 tillsynsbegäran.docx", "A 58837-2025")</f>
        <v/>
      </c>
      <c r="AC17">
        <f>HYPERLINK("https://klasma.github.io/Logging_1880/tillsynsmail/A 58837-2025 tillsynsbegäran mail.docx", "A 58837-2025")</f>
        <v/>
      </c>
      <c r="AD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46223</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s="2" t="inlineStr">
        <is>
          <t>Entita
Järnsparv
Mindre hackspett
Rödvingetrast
Kråka
Svartvit flugsnappare
Trana</t>
        </is>
      </c>
      <c r="V18">
        <f>HYPERLINK("https://klasma.github.io/Logging_1880/artfynd/A 3025-2026 artfynd.xlsx", "A 3025-2026")</f>
        <v/>
      </c>
      <c r="W18">
        <f>HYPERLINK("https://klasma.github.io/Logging_1880/kartor/A 3025-2026 karta.png", "A 3025-2026")</f>
        <v/>
      </c>
      <c r="X18">
        <f>HYPERLINK("https://klasma.github.io/Logging_1880/kartor_geotiff/A 3025-2026 georefererad karta.tif", "A 3025-2026")</f>
        <v/>
      </c>
      <c r="Z18">
        <f>HYPERLINK("https://klasma.github.io/Logging_1880/klagomål/A 3025-2026 FSC-klagomål.docx", "A 3025-2026")</f>
        <v/>
      </c>
      <c r="AA18">
        <f>HYPERLINK("https://klasma.github.io/Logging_1880/klagomålsmail/A 3025-2026 FSC-klagomål mail.docx", "A 3025-2026")</f>
        <v/>
      </c>
      <c r="AB18">
        <f>HYPERLINK("https://klasma.github.io/Logging_1880/tillsyn/A 3025-2026 tillsynsbegäran.docx", "A 3025-2026")</f>
        <v/>
      </c>
      <c r="AC18">
        <f>HYPERLINK("https://klasma.github.io/Logging_1880/tillsynsmail/A 3025-2026 tillsynsbegäran mail.docx", "A 3025-2026")</f>
        <v/>
      </c>
      <c r="AD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X19">
        <f>HYPERLINK("https://klasma.github.io/Logging_1880/kartor_geotiff/A 50096-2023 georefererad karta.tif", "A 50096-2023")</f>
        <v/>
      </c>
      <c r="Z19">
        <f>HYPERLINK("https://klasma.github.io/Logging_1880/klagomål/A 50096-2023 FSC-klagomål.docx", "A 50096-2023")</f>
        <v/>
      </c>
      <c r="AA19">
        <f>HYPERLINK("https://klasma.github.io/Logging_1880/klagomålsmail/A 50096-2023 FSC-klagomål mail.docx", "A 50096-2023")</f>
        <v/>
      </c>
      <c r="AB19">
        <f>HYPERLINK("https://klasma.github.io/Logging_1880/tillsyn/A 50096-2023 tillsynsbegäran.docx", "A 50096-2023")</f>
        <v/>
      </c>
      <c r="AC19">
        <f>HYPERLINK("https://klasma.github.io/Logging_1880/tillsynsmail/A 50096-2023 tillsynsbegäran mail.docx", "A 50096-2023")</f>
        <v/>
      </c>
      <c r="AD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46223</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s="2" t="inlineStr">
        <is>
          <t>Knärot
Orange taggsvamp
Ullticka
Grönpyrola
Gullgröppa
Spillkråka</t>
        </is>
      </c>
      <c r="V20">
        <f>HYPERLINK("https://klasma.github.io/Logging_1880/artfynd/A 15758-2023 artfynd.xlsx", "A 15758-2023")</f>
        <v/>
      </c>
      <c r="W20">
        <f>HYPERLINK("https://klasma.github.io/Logging_1880/kartor/A 15758-2023 karta.png", "A 15758-2023")</f>
        <v/>
      </c>
      <c r="X20">
        <f>HYPERLINK("https://klasma.github.io/Logging_1880/kartor_geotiff/A 15758-2023 georefererad karta.tif", "A 15758-2023")</f>
        <v/>
      </c>
      <c r="Y20">
        <f>HYPERLINK("https://klasma.github.io/Logging_1880/knärot/A 15758-2023 karta knärot.png", "A 15758-2023")</f>
        <v/>
      </c>
      <c r="Z20">
        <f>HYPERLINK("https://klasma.github.io/Logging_1880/klagomål/A 15758-2023 FSC-klagomål.docx", "A 15758-2023")</f>
        <v/>
      </c>
      <c r="AA20">
        <f>HYPERLINK("https://klasma.github.io/Logging_1880/klagomålsmail/A 15758-2023 FSC-klagomål mail.docx", "A 15758-2023")</f>
        <v/>
      </c>
      <c r="AB20">
        <f>HYPERLINK("https://klasma.github.io/Logging_1880/tillsyn/A 15758-2023 tillsynsbegäran.docx", "A 15758-2023")</f>
        <v/>
      </c>
      <c r="AC20">
        <f>HYPERLINK("https://klasma.github.io/Logging_1880/tillsynsmail/A 15758-2023 tillsynsbegäran mail.docx", "A 15758-2023")</f>
        <v/>
      </c>
      <c r="AD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46223</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s="2" t="inlineStr">
        <is>
          <t>Spillkråka
Gröngöling
Mindre vattensalamander
Vanlig groda
Vanlig padda
Revlummer</t>
        </is>
      </c>
      <c r="V21">
        <f>HYPERLINK("https://klasma.github.io/Logging_1880/artfynd/A 33069-2025 artfynd.xlsx", "A 33069-2025")</f>
        <v/>
      </c>
      <c r="W21">
        <f>HYPERLINK("https://klasma.github.io/Logging_1880/kartor/A 33069-2025 karta.png", "A 33069-2025")</f>
        <v/>
      </c>
      <c r="X21">
        <f>HYPERLINK("https://klasma.github.io/Logging_1880/kartor_geotiff/A 33069-2025 georefererad karta.tif", "A 33069-2025")</f>
        <v/>
      </c>
      <c r="Z21">
        <f>HYPERLINK("https://klasma.github.io/Logging_1880/klagomål/A 33069-2025 FSC-klagomål.docx", "A 33069-2025")</f>
        <v/>
      </c>
      <c r="AA21">
        <f>HYPERLINK("https://klasma.github.io/Logging_1880/klagomålsmail/A 33069-2025 FSC-klagomål mail.docx", "A 33069-2025")</f>
        <v/>
      </c>
      <c r="AB21">
        <f>HYPERLINK("https://klasma.github.io/Logging_1880/tillsyn/A 33069-2025 tillsynsbegäran.docx", "A 33069-2025")</f>
        <v/>
      </c>
      <c r="AC21">
        <f>HYPERLINK("https://klasma.github.io/Logging_1880/tillsynsmail/A 33069-2025 tillsynsbegäran mail.docx", "A 33069-2025")</f>
        <v/>
      </c>
      <c r="AD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46223</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s="2" t="inlineStr">
        <is>
          <t>Motaggsvamp
Rödvingetrast
Skarp dropptaggsvamp
Talltita
Blomkålssvamp
Gröngöling</t>
        </is>
      </c>
      <c r="V22">
        <f>HYPERLINK("https://klasma.github.io/Logging_1880/artfynd/A 32105-2023 artfynd.xlsx", "A 32105-2023")</f>
        <v/>
      </c>
      <c r="W22">
        <f>HYPERLINK("https://klasma.github.io/Logging_1880/kartor/A 32105-2023 karta.png", "A 32105-2023")</f>
        <v/>
      </c>
      <c r="X22">
        <f>HYPERLINK("https://klasma.github.io/Logging_1880/kartor_geotiff/A 32105-2023 georefererad karta.tif", "A 32105-2023")</f>
        <v/>
      </c>
      <c r="Z22">
        <f>HYPERLINK("https://klasma.github.io/Logging_1880/klagomål/A 32105-2023 FSC-klagomål.docx", "A 32105-2023")</f>
        <v/>
      </c>
      <c r="AA22">
        <f>HYPERLINK("https://klasma.github.io/Logging_1880/klagomålsmail/A 32105-2023 FSC-klagomål mail.docx", "A 32105-2023")</f>
        <v/>
      </c>
      <c r="AB22">
        <f>HYPERLINK("https://klasma.github.io/Logging_1880/tillsyn/A 32105-2023 tillsynsbegäran.docx", "A 32105-2023")</f>
        <v/>
      </c>
      <c r="AC22">
        <f>HYPERLINK("https://klasma.github.io/Logging_1880/tillsynsmail/A 32105-2023 tillsynsbegäran mail.docx", "A 32105-2023")</f>
        <v/>
      </c>
      <c r="AD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46223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X23">
        <f>HYPERLINK("https://klasma.github.io/Logging_1880/kartor_geotiff/A 3006-2026 georefererad karta.tif", "A 3006-2026")</f>
        <v/>
      </c>
      <c r="Z23">
        <f>HYPERLINK("https://klasma.github.io/Logging_1880/klagomål/A 3006-2026 FSC-klagomål.docx", "A 3006-2026")</f>
        <v/>
      </c>
      <c r="AA23">
        <f>HYPERLINK("https://klasma.github.io/Logging_1880/klagomålsmail/A 3006-2026 FSC-klagomål mail.docx", "A 3006-2026")</f>
        <v/>
      </c>
      <c r="AB23">
        <f>HYPERLINK("https://klasma.github.io/Logging_1880/tillsyn/A 3006-2026 tillsynsbegäran.docx", "A 3006-2026")</f>
        <v/>
      </c>
      <c r="AC23">
        <f>HYPERLINK("https://klasma.github.io/Logging_1880/tillsynsmail/A 3006-2026 tillsynsbegäran mail.docx", "A 3006-2026")</f>
        <v/>
      </c>
      <c r="AD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46223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X24">
        <f>HYPERLINK("https://klasma.github.io/Logging_1880/kartor_geotiff/A 4943-2022 georefererad karta.tif", "A 4943-2022")</f>
        <v/>
      </c>
      <c r="Z24">
        <f>HYPERLINK("https://klasma.github.io/Logging_1880/klagomål/A 4943-2022 FSC-klagomål.docx", "A 4943-2022")</f>
        <v/>
      </c>
      <c r="AA24">
        <f>HYPERLINK("https://klasma.github.io/Logging_1880/klagomålsmail/A 4943-2022 FSC-klagomål mail.docx", "A 4943-2022")</f>
        <v/>
      </c>
      <c r="AB24">
        <f>HYPERLINK("https://klasma.github.io/Logging_1880/tillsyn/A 4943-2022 tillsynsbegäran.docx", "A 4943-2022")</f>
        <v/>
      </c>
      <c r="AC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46223</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X25">
        <f>HYPERLINK("https://klasma.github.io/Logging_1880/kartor_geotiff/A 12974-2022 georefererad karta.tif", "A 12974-2022")</f>
        <v/>
      </c>
      <c r="Z25">
        <f>HYPERLINK("https://klasma.github.io/Logging_1880/klagomål/A 12974-2022 FSC-klagomål.docx", "A 12974-2022")</f>
        <v/>
      </c>
      <c r="AA25">
        <f>HYPERLINK("https://klasma.github.io/Logging_1880/klagomålsmail/A 12974-2022 FSC-klagomål mail.docx", "A 12974-2022")</f>
        <v/>
      </c>
      <c r="AB25">
        <f>HYPERLINK("https://klasma.github.io/Logging_1880/tillsyn/A 12974-2022 tillsynsbegäran.docx", "A 12974-2022")</f>
        <v/>
      </c>
      <c r="AC25">
        <f>HYPERLINK("https://klasma.github.io/Logging_1880/tillsynsmail/A 12974-2022 tillsynsbegäran mail.docx", "A 12974-2022")</f>
        <v/>
      </c>
      <c r="AD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46223</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s="2" t="inlineStr">
        <is>
          <t>Koralltaggsvamp
Mindre hackspett
Vit vedfingersvamp
Tibast
Blåsippa</t>
        </is>
      </c>
      <c r="V26">
        <f>HYPERLINK("https://klasma.github.io/Logging_1880/artfynd/A 63196-2025 artfynd.xlsx", "A 63196-2025")</f>
        <v/>
      </c>
      <c r="W26">
        <f>HYPERLINK("https://klasma.github.io/Logging_1880/kartor/A 63196-2025 karta.png", "A 63196-2025")</f>
        <v/>
      </c>
      <c r="X26">
        <f>HYPERLINK("https://klasma.github.io/Logging_1880/kartor_geotiff/A 63196-2025 georefererad karta.tif", "A 63196-2025")</f>
        <v/>
      </c>
      <c r="Z26">
        <f>HYPERLINK("https://klasma.github.io/Logging_1880/klagomål/A 63196-2025 FSC-klagomål.docx", "A 63196-2025")</f>
        <v/>
      </c>
      <c r="AA26">
        <f>HYPERLINK("https://klasma.github.io/Logging_1880/klagomålsmail/A 63196-2025 FSC-klagomål mail.docx", "A 63196-2025")</f>
        <v/>
      </c>
      <c r="AB26">
        <f>HYPERLINK("https://klasma.github.io/Logging_1880/tillsyn/A 63196-2025 tillsynsbegäran.docx", "A 63196-2025")</f>
        <v/>
      </c>
      <c r="AC26">
        <f>HYPERLINK("https://klasma.github.io/Logging_1880/tillsynsmail/A 63196-2025 tillsynsbegäran mail.docx", "A 63196-2025")</f>
        <v/>
      </c>
      <c r="AD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46223</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s="2" t="inlineStr">
        <is>
          <t>Skogsalm
Jungfrulin
Blåsippa
Mattlummer
Gullviva</t>
        </is>
      </c>
      <c r="V27">
        <f>HYPERLINK("https://klasma.github.io/Logging_1880/artfynd/A 27211-2026 artfynd.xlsx", "A 27211-2026")</f>
        <v/>
      </c>
      <c r="W27">
        <f>HYPERLINK("https://klasma.github.io/Logging_1880/kartor/A 27211-2026 karta.png", "A 27211-2026")</f>
        <v/>
      </c>
      <c r="X27">
        <f>HYPERLINK("https://klasma.github.io/Logging_1880/kartor_geotiff/A 27211-2026 georefererad karta.tif", "A 27211-2026")</f>
        <v/>
      </c>
      <c r="Z27">
        <f>HYPERLINK("https://klasma.github.io/Logging_1880/klagomål/A 27211-2026 FSC-klagomål.docx", "A 27211-2026")</f>
        <v/>
      </c>
      <c r="AA27">
        <f>HYPERLINK("https://klasma.github.io/Logging_1880/klagomålsmail/A 27211-2026 FSC-klagomål mail.docx", "A 27211-2026")</f>
        <v/>
      </c>
      <c r="AB27">
        <f>HYPERLINK("https://klasma.github.io/Logging_1880/tillsyn/A 27211-2026 tillsynsbegäran.docx", "A 27211-2026")</f>
        <v/>
      </c>
      <c r="AC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46223</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s="2" t="inlineStr">
        <is>
          <t>Kötticka
Tallticka
Ullticka
Spillkråka
Revlummer</t>
        </is>
      </c>
      <c r="V28">
        <f>HYPERLINK("https://klasma.github.io/Logging_1880/artfynd/A 51530-2024 artfynd.xlsx", "A 51530-2024")</f>
        <v/>
      </c>
      <c r="W28">
        <f>HYPERLINK("https://klasma.github.io/Logging_1880/kartor/A 51530-2024 karta.png", "A 51530-2024")</f>
        <v/>
      </c>
      <c r="X28">
        <f>HYPERLINK("https://klasma.github.io/Logging_1880/kartor_geotiff/A 51530-2024 georefererad karta.tif", "A 51530-2024")</f>
        <v/>
      </c>
      <c r="Z28">
        <f>HYPERLINK("https://klasma.github.io/Logging_1880/klagomål/A 51530-2024 FSC-klagomål.docx", "A 51530-2024")</f>
        <v/>
      </c>
      <c r="AA28">
        <f>HYPERLINK("https://klasma.github.io/Logging_1880/klagomålsmail/A 51530-2024 FSC-klagomål mail.docx", "A 51530-2024")</f>
        <v/>
      </c>
      <c r="AB28">
        <f>HYPERLINK("https://klasma.github.io/Logging_1880/tillsyn/A 51530-2024 tillsynsbegäran.docx", "A 51530-2024")</f>
        <v/>
      </c>
      <c r="AC28">
        <f>HYPERLINK("https://klasma.github.io/Logging_1880/tillsynsmail/A 51530-2024 tillsynsbegäran mail.docx", "A 51530-2024")</f>
        <v/>
      </c>
      <c r="AD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46223</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s="2" t="inlineStr">
        <is>
          <t>Ask
Järnsparv
Svinrot
Hässleklocka
Skogsknipprot</t>
        </is>
      </c>
      <c r="V29">
        <f>HYPERLINK("https://klasma.github.io/Logging_1880/artfynd/A 17074-2024 artfynd.xlsx", "A 17074-2024")</f>
        <v/>
      </c>
      <c r="W29">
        <f>HYPERLINK("https://klasma.github.io/Logging_1880/kartor/A 17074-2024 karta.png", "A 17074-2024")</f>
        <v/>
      </c>
      <c r="X29">
        <f>HYPERLINK("https://klasma.github.io/Logging_1880/kartor_geotiff/A 17074-2024 georefererad karta.tif", "A 17074-2024")</f>
        <v/>
      </c>
      <c r="Z29">
        <f>HYPERLINK("https://klasma.github.io/Logging_1880/klagomål/A 17074-2024 FSC-klagomål.docx", "A 17074-2024")</f>
        <v/>
      </c>
      <c r="AA29">
        <f>HYPERLINK("https://klasma.github.io/Logging_1880/klagomålsmail/A 17074-2024 FSC-klagomål mail.docx", "A 17074-2024")</f>
        <v/>
      </c>
      <c r="AB29">
        <f>HYPERLINK("https://klasma.github.io/Logging_1880/tillsyn/A 17074-2024 tillsynsbegäran.docx", "A 17074-2024")</f>
        <v/>
      </c>
      <c r="AC29">
        <f>HYPERLINK("https://klasma.github.io/Logging_1880/tillsynsmail/A 17074-2024 tillsynsbegäran mail.docx", "A 17074-2024")</f>
        <v/>
      </c>
      <c r="AD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X30">
        <f>HYPERLINK("https://klasma.github.io/Logging_1880/kartor_geotiff/S 3549-2025 georefererad karta.tif", "S 3549-2025")</f>
        <v/>
      </c>
      <c r="Z30">
        <f>HYPERLINK("https://klasma.github.io/Logging_1880/klagomål/S 3549-2025 FSC-klagomål.docx", "S 3549-2025")</f>
        <v/>
      </c>
      <c r="AA30">
        <f>HYPERLINK("https://klasma.github.io/Logging_1880/klagomålsmail/S 3549-2025 FSC-klagomål mail.docx", "S 3549-2025")</f>
        <v/>
      </c>
      <c r="AB30">
        <f>HYPERLINK("https://klasma.github.io/Logging_1880/tillsyn/S 3549-2025 tillsynsbegäran.docx", "S 3549-2025")</f>
        <v/>
      </c>
      <c r="AC30">
        <f>HYPERLINK("https://klasma.github.io/Logging_1880/tillsynsmail/S 3549-2025 tillsynsbegäran mail.docx", "S 3549-2025")</f>
        <v/>
      </c>
      <c r="AD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46223</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s="2" t="inlineStr">
        <is>
          <t>Svavelriska
Blåsippa
Hasselmus
Nattviol</t>
        </is>
      </c>
      <c r="V31">
        <f>HYPERLINK("https://klasma.github.io/Logging_1880/artfynd/A 59519-2025 artfynd.xlsx", "A 59519-2025")</f>
        <v/>
      </c>
      <c r="W31">
        <f>HYPERLINK("https://klasma.github.io/Logging_1880/kartor/A 59519-2025 karta.png", "A 59519-2025")</f>
        <v/>
      </c>
      <c r="X31">
        <f>HYPERLINK("https://klasma.github.io/Logging_1880/kartor_geotiff/A 59519-2025 georefererad karta.tif", "A 59519-2025")</f>
        <v/>
      </c>
      <c r="Z31">
        <f>HYPERLINK("https://klasma.github.io/Logging_1880/klagomål/A 59519-2025 FSC-klagomål.docx", "A 59519-2025")</f>
        <v/>
      </c>
      <c r="AA31">
        <f>HYPERLINK("https://klasma.github.io/Logging_1880/klagomålsmail/A 59519-2025 FSC-klagomål mail.docx", "A 59519-2025")</f>
        <v/>
      </c>
      <c r="AB31">
        <f>HYPERLINK("https://klasma.github.io/Logging_1880/tillsyn/A 59519-2025 tillsynsbegäran.docx", "A 59519-2025")</f>
        <v/>
      </c>
      <c r="AC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46223</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s="2" t="inlineStr">
        <is>
          <t>Dofttaggsvamp
Grantaggsvamp
Svavelriska
Gullviva</t>
        </is>
      </c>
      <c r="V32">
        <f>HYPERLINK("https://klasma.github.io/Logging_1880/artfynd/A 63199-2025 artfynd.xlsx", "A 63199-2025")</f>
        <v/>
      </c>
      <c r="W32">
        <f>HYPERLINK("https://klasma.github.io/Logging_1880/kartor/A 63199-2025 karta.png", "A 63199-2025")</f>
        <v/>
      </c>
      <c r="X32">
        <f>HYPERLINK("https://klasma.github.io/Logging_1880/kartor_geotiff/A 63199-2025 georefererad karta.tif", "A 63199-2025")</f>
        <v/>
      </c>
      <c r="Z32">
        <f>HYPERLINK("https://klasma.github.io/Logging_1880/klagomål/A 63199-2025 FSC-klagomål.docx", "A 63199-2025")</f>
        <v/>
      </c>
      <c r="AA32">
        <f>HYPERLINK("https://klasma.github.io/Logging_1880/klagomålsmail/A 63199-2025 FSC-klagomål mail.docx", "A 63199-2025")</f>
        <v/>
      </c>
      <c r="AB32">
        <f>HYPERLINK("https://klasma.github.io/Logging_1880/tillsyn/A 63199-2025 tillsynsbegäran.docx", "A 63199-2025")</f>
        <v/>
      </c>
      <c r="AC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46223</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X33">
        <f>HYPERLINK("https://klasma.github.io/Logging_1880/kartor_geotiff/A 57553-2023 georefererad karta.tif", "A 57553-2023")</f>
        <v/>
      </c>
      <c r="Z33">
        <f>HYPERLINK("https://klasma.github.io/Logging_1880/klagomål/A 57553-2023 FSC-klagomål.docx", "A 57553-2023")</f>
        <v/>
      </c>
      <c r="AA33">
        <f>HYPERLINK("https://klasma.github.io/Logging_1880/klagomålsmail/A 57553-2023 FSC-klagomål mail.docx", "A 57553-2023")</f>
        <v/>
      </c>
      <c r="AB33">
        <f>HYPERLINK("https://klasma.github.io/Logging_1880/tillsyn/A 57553-2023 tillsynsbegäran.docx", "A 57553-2023")</f>
        <v/>
      </c>
      <c r="AC33">
        <f>HYPERLINK("https://klasma.github.io/Logging_1880/tillsynsmail/A 57553-2023 tillsynsbegäran mail.docx", "A 57553-2023")</f>
        <v/>
      </c>
      <c r="AD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46223</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s="2" t="inlineStr">
        <is>
          <t>Gulsparv
Sädesärla
Kungsfågel
Fläcknycklar</t>
        </is>
      </c>
      <c r="V34">
        <f>HYPERLINK("https://klasma.github.io/Logging_1880/artfynd/A 57920-2024 artfynd.xlsx", "A 57920-2024")</f>
        <v/>
      </c>
      <c r="W34">
        <f>HYPERLINK("https://klasma.github.io/Logging_1880/kartor/A 57920-2024 karta.png", "A 57920-2024")</f>
        <v/>
      </c>
      <c r="X34">
        <f>HYPERLINK("https://klasma.github.io/Logging_1880/kartor_geotiff/A 57920-2024 georefererad karta.tif", "A 57920-2024")</f>
        <v/>
      </c>
      <c r="Z34">
        <f>HYPERLINK("https://klasma.github.io/Logging_1880/klagomål/A 57920-2024 FSC-klagomål.docx", "A 57920-2024")</f>
        <v/>
      </c>
      <c r="AA34">
        <f>HYPERLINK("https://klasma.github.io/Logging_1880/klagomålsmail/A 57920-2024 FSC-klagomål mail.docx", "A 57920-2024")</f>
        <v/>
      </c>
      <c r="AB34">
        <f>HYPERLINK("https://klasma.github.io/Logging_1880/tillsyn/A 57920-2024 tillsynsbegäran.docx", "A 57920-2024")</f>
        <v/>
      </c>
      <c r="AC34">
        <f>HYPERLINK("https://klasma.github.io/Logging_1880/tillsynsmail/A 57920-2024 tillsynsbegäran mail.docx", "A 57920-2024")</f>
        <v/>
      </c>
      <c r="AD34">
        <f>HYPERLINK("https://klasma.github.io/Logging_1880/fåglar/A 57920-2024 prioriterade fågelarter.docx", "A 57920-2024")</f>
        <v/>
      </c>
    </row>
    <row r="35" ht="15" customHeight="1">
      <c r="A35" t="inlineStr">
        <is>
          <t>A 58832-2025</t>
        </is>
      </c>
      <c r="B35" t="inlineStr">
        <is>
          <t>avverkningsanmälan</t>
        </is>
      </c>
      <c r="C35" t="inlineStr">
        <is>
          <t>Föryngringsavverkning</t>
        </is>
      </c>
      <c r="D35" s="1" t="n">
        <v>45987</v>
      </c>
      <c r="E35" s="1" t="n">
        <v>46223</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s="2" t="inlineStr">
        <is>
          <t>Mosippa
Knärot
Dropptaggsvamp
Spillkråka</t>
        </is>
      </c>
      <c r="V35">
        <f>HYPERLINK("https://klasma.github.io/Logging_1880/artfynd/A 58832-2025 artfynd.xlsx", "A 58832-2025")</f>
        <v/>
      </c>
      <c r="W35">
        <f>HYPERLINK("https://klasma.github.io/Logging_1880/kartor/A 58832-2025 karta.png", "A 58832-2025")</f>
        <v/>
      </c>
      <c r="X35">
        <f>HYPERLINK("https://klasma.github.io/Logging_1880/kartor_geotiff/A 58832-2025 georefererad karta.tif", "A 58832-2025")</f>
        <v/>
      </c>
      <c r="Y35">
        <f>HYPERLINK("https://klasma.github.io/Logging_1880/knärot/A 58832-2025 karta knärot.png", "A 58832-2025")</f>
        <v/>
      </c>
      <c r="Z35">
        <f>HYPERLINK("https://klasma.github.io/Logging_1880/klagomål/A 58832-2025 FSC-klagomål.docx", "A 58832-2025")</f>
        <v/>
      </c>
      <c r="AA35">
        <f>HYPERLINK("https://klasma.github.io/Logging_1880/klagomålsmail/A 58832-2025 FSC-klagomål mail.docx", "A 58832-2025")</f>
        <v/>
      </c>
      <c r="AB35">
        <f>HYPERLINK("https://klasma.github.io/Logging_1880/tillsyn/A 58832-2025 tillsynsbegäran.docx", "A 58832-2025")</f>
        <v/>
      </c>
      <c r="AC35">
        <f>HYPERLINK("https://klasma.github.io/Logging_1880/tillsynsmail/A 58832-2025 tillsynsbegäran mail.docx", "A 58832-2025")</f>
        <v/>
      </c>
      <c r="AD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46223</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s="2" t="inlineStr">
        <is>
          <t>Blomkålssvamp
Bronshjon
Thomsons trägnagare
Spillkråka</t>
        </is>
      </c>
      <c r="V36">
        <f>HYPERLINK("https://klasma.github.io/Logging_1880/artfynd/A 24880-2026 artfynd.xlsx", "A 24880-2026")</f>
        <v/>
      </c>
      <c r="W36">
        <f>HYPERLINK("https://klasma.github.io/Logging_1880/kartor/A 24880-2026 karta.png", "A 24880-2026")</f>
        <v/>
      </c>
      <c r="X36">
        <f>HYPERLINK("https://klasma.github.io/Logging_1880/kartor_geotiff/A 24880-2026 georefererad karta.tif", "A 24880-2026")</f>
        <v/>
      </c>
      <c r="Y36">
        <f>HYPERLINK("https://klasma.github.io/Logging_1880/knärot/A 24880-2026 karta knärot.png", "A 24880-2026")</f>
        <v/>
      </c>
      <c r="Z36">
        <f>HYPERLINK("https://klasma.github.io/Logging_1880/klagomål/A 24880-2026 FSC-klagomål.docx", "A 24880-2026")</f>
        <v/>
      </c>
      <c r="AA36">
        <f>HYPERLINK("https://klasma.github.io/Logging_1880/klagomålsmail/A 24880-2026 FSC-klagomål mail.docx", "A 24880-2026")</f>
        <v/>
      </c>
      <c r="AB36">
        <f>HYPERLINK("https://klasma.github.io/Logging_1880/tillsyn/A 24880-2026 tillsynsbegäran.docx", "A 24880-2026")</f>
        <v/>
      </c>
      <c r="AC36">
        <f>HYPERLINK("https://klasma.github.io/Logging_1880/tillsynsmail/A 24880-2026 tillsynsbegäran mail.docx", "A 24880-2026")</f>
        <v/>
      </c>
      <c r="AD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46223</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X37">
        <f>HYPERLINK("https://klasma.github.io/Logging_1880/kartor_geotiff/S 3339-2025 georefererad karta.tif", "S 3339-2025")</f>
        <v/>
      </c>
      <c r="Z37">
        <f>HYPERLINK("https://klasma.github.io/Logging_1880/klagomål/S 3339-2025 FSC-klagomål.docx", "S 3339-2025")</f>
        <v/>
      </c>
      <c r="AA37">
        <f>HYPERLINK("https://klasma.github.io/Logging_1880/klagomålsmail/S 3339-2025 FSC-klagomål mail.docx", "S 3339-2025")</f>
        <v/>
      </c>
      <c r="AB37">
        <f>HYPERLINK("https://klasma.github.io/Logging_1880/tillsyn/S 3339-2025 tillsynsbegäran.docx", "S 3339-2025")</f>
        <v/>
      </c>
      <c r="AC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46223</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X38">
        <f>HYPERLINK("https://klasma.github.io/Logging_1880/kartor_geotiff/S 3550-2025 georefererad karta.tif", "S 3550-2025")</f>
        <v/>
      </c>
      <c r="Z38">
        <f>HYPERLINK("https://klasma.github.io/Logging_1880/klagomål/S 3550-2025 FSC-klagomål.docx", "S 3550-2025")</f>
        <v/>
      </c>
      <c r="AA38">
        <f>HYPERLINK("https://klasma.github.io/Logging_1880/klagomålsmail/S 3550-2025 FSC-klagomål mail.docx", "S 3550-2025")</f>
        <v/>
      </c>
      <c r="AB38">
        <f>HYPERLINK("https://klasma.github.io/Logging_1880/tillsyn/S 3550-2025 tillsynsbegäran.docx", "S 3550-2025")</f>
        <v/>
      </c>
      <c r="AC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46223</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X39">
        <f>HYPERLINK("https://klasma.github.io/Logging_1880/kartor_geotiff/A 29704-2022 georefererad karta.tif", "A 29704-2022")</f>
        <v/>
      </c>
      <c r="Z39">
        <f>HYPERLINK("https://klasma.github.io/Logging_1880/klagomål/A 29704-2022 FSC-klagomål.docx", "A 29704-2022")</f>
        <v/>
      </c>
      <c r="AA39">
        <f>HYPERLINK("https://klasma.github.io/Logging_1880/klagomålsmail/A 29704-2022 FSC-klagomål mail.docx", "A 29704-2022")</f>
        <v/>
      </c>
      <c r="AB39">
        <f>HYPERLINK("https://klasma.github.io/Logging_1880/tillsyn/A 29704-2022 tillsynsbegäran.docx", "A 29704-2022")</f>
        <v/>
      </c>
      <c r="AC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46223</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s="2" t="inlineStr">
        <is>
          <t>Scharlakansvaxing
Gulfotsskölding
Hasselticka</t>
        </is>
      </c>
      <c r="V40">
        <f>HYPERLINK("https://klasma.github.io/Logging_1880/artfynd/A 30409-2025 artfynd.xlsx", "A 30409-2025")</f>
        <v/>
      </c>
      <c r="W40">
        <f>HYPERLINK("https://klasma.github.io/Logging_1880/kartor/A 30409-2025 karta.png", "A 30409-2025")</f>
        <v/>
      </c>
      <c r="X40">
        <f>HYPERLINK("https://klasma.github.io/Logging_1880/kartor_geotiff/A 30409-2025 georefererad karta.tif", "A 30409-2025")</f>
        <v/>
      </c>
      <c r="Z40">
        <f>HYPERLINK("https://klasma.github.io/Logging_1880/klagomål/A 30409-2025 FSC-klagomål.docx", "A 30409-2025")</f>
        <v/>
      </c>
      <c r="AA40">
        <f>HYPERLINK("https://klasma.github.io/Logging_1880/klagomålsmail/A 30409-2025 FSC-klagomål mail.docx", "A 30409-2025")</f>
        <v/>
      </c>
      <c r="AB40">
        <f>HYPERLINK("https://klasma.github.io/Logging_1880/tillsyn/A 30409-2025 tillsynsbegäran.docx", "A 30409-2025")</f>
        <v/>
      </c>
      <c r="AC40">
        <f>HYPERLINK("https://klasma.github.io/Logging_1880/tillsynsmail/A 30409-2025 tillsynsbegäran mail.docx", "A 30409-2025")</f>
        <v/>
      </c>
    </row>
    <row r="41" ht="15" customHeight="1">
      <c r="A41" t="inlineStr">
        <is>
          <t>A 26890-2022</t>
        </is>
      </c>
      <c r="B41" t="inlineStr">
        <is>
          <t>avverkningsanmälan</t>
        </is>
      </c>
      <c r="C41" t="inlineStr">
        <is>
          <t>Föryngringsavverkning</t>
        </is>
      </c>
      <c r="D41" s="1" t="n">
        <v>44740</v>
      </c>
      <c r="E41" s="1" t="n">
        <v>46223</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s="2" t="inlineStr">
        <is>
          <t>Hällebräcka
Klasefibbla
Svinrot</t>
        </is>
      </c>
      <c r="V41">
        <f>HYPERLINK("https://klasma.github.io/Logging_1880/artfynd/A 26890-2022 artfynd.xlsx", "A 26890-2022")</f>
        <v/>
      </c>
      <c r="W41">
        <f>HYPERLINK("https://klasma.github.io/Logging_1880/kartor/A 26890-2022 karta.png", "A 26890-2022")</f>
        <v/>
      </c>
      <c r="X41">
        <f>HYPERLINK("https://klasma.github.io/Logging_1880/kartor_geotiff/A 26890-2022 georefererad karta.tif", "A 26890-2022")</f>
        <v/>
      </c>
      <c r="Z41">
        <f>HYPERLINK("https://klasma.github.io/Logging_1880/klagomål/A 26890-2022 FSC-klagomål.docx", "A 26890-2022")</f>
        <v/>
      </c>
      <c r="AA41">
        <f>HYPERLINK("https://klasma.github.io/Logging_1880/klagomålsmail/A 26890-2022 FSC-klagomål mail.docx", "A 26890-2022")</f>
        <v/>
      </c>
      <c r="AB41">
        <f>HYPERLINK("https://klasma.github.io/Logging_1880/tillsyn/A 26890-2022 tillsynsbegäran.docx", "A 26890-2022")</f>
        <v/>
      </c>
      <c r="AC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46223</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s="2" t="inlineStr">
        <is>
          <t>Grönsångare
Rödvingetrast
Kungsfågel</t>
        </is>
      </c>
      <c r="V42">
        <f>HYPERLINK("https://klasma.github.io/Logging_1880/artfynd/A 575-2024 artfynd.xlsx", "A 575-2024")</f>
        <v/>
      </c>
      <c r="W42">
        <f>HYPERLINK("https://klasma.github.io/Logging_1880/kartor/A 575-2024 karta.png", "A 575-2024")</f>
        <v/>
      </c>
      <c r="X42">
        <f>HYPERLINK("https://klasma.github.io/Logging_1880/kartor_geotiff/A 575-2024 georefererad karta.tif", "A 575-2024")</f>
        <v/>
      </c>
      <c r="Z42">
        <f>HYPERLINK("https://klasma.github.io/Logging_1880/klagomål/A 575-2024 FSC-klagomål.docx", "A 575-2024")</f>
        <v/>
      </c>
      <c r="AA42">
        <f>HYPERLINK("https://klasma.github.io/Logging_1880/klagomålsmail/A 575-2024 FSC-klagomål mail.docx", "A 575-2024")</f>
        <v/>
      </c>
      <c r="AB42">
        <f>HYPERLINK("https://klasma.github.io/Logging_1880/tillsyn/A 575-2024 tillsynsbegäran.docx", "A 575-2024")</f>
        <v/>
      </c>
      <c r="AC42">
        <f>HYPERLINK("https://klasma.github.io/Logging_1880/tillsynsmail/A 575-2024 tillsynsbegäran mail.docx", "A 575-2024")</f>
        <v/>
      </c>
      <c r="AD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46223</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X43">
        <f>HYPERLINK("https://klasma.github.io/Logging_1880/kartor_geotiff/A 30639-2026 georefererad karta.tif", "A 30639-2026")</f>
        <v/>
      </c>
      <c r="Z43">
        <f>HYPERLINK("https://klasma.github.io/Logging_1880/klagomål/A 30639-2026 FSC-klagomål.docx", "A 30639-2026")</f>
        <v/>
      </c>
      <c r="AA43">
        <f>HYPERLINK("https://klasma.github.io/Logging_1880/klagomålsmail/A 30639-2026 FSC-klagomål mail.docx", "A 30639-2026")</f>
        <v/>
      </c>
      <c r="AB43">
        <f>HYPERLINK("https://klasma.github.io/Logging_1880/tillsyn/A 30639-2026 tillsynsbegäran.docx", "A 30639-2026")</f>
        <v/>
      </c>
      <c r="AC43">
        <f>HYPERLINK("https://klasma.github.io/Logging_1880/tillsynsmail/A 30639-2026 tillsynsbegäran mail.docx", "A 30639-2026")</f>
        <v/>
      </c>
      <c r="AD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46223</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X44">
        <f>HYPERLINK("https://klasma.github.io/Logging_1880/kartor_geotiff/S 1177-2022 georefererad karta.tif", "S 1177-2022")</f>
        <v/>
      </c>
      <c r="Z44">
        <f>HYPERLINK("https://klasma.github.io/Logging_1880/klagomål/S 1177-2022 FSC-klagomål.docx", "S 1177-2022")</f>
        <v/>
      </c>
      <c r="AA44">
        <f>HYPERLINK("https://klasma.github.io/Logging_1880/klagomålsmail/S 1177-2022 FSC-klagomål mail.docx", "S 1177-2022")</f>
        <v/>
      </c>
      <c r="AB44">
        <f>HYPERLINK("https://klasma.github.io/Logging_1880/tillsyn/S 1177-2022 tillsynsbegäran.docx", "S 1177-2022")</f>
        <v/>
      </c>
      <c r="AC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46223</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X45">
        <f>HYPERLINK("https://klasma.github.io/Logging_1880/kartor_geotiff/A 29478-2022 georefererad karta.tif", "A 29478-2022")</f>
        <v/>
      </c>
      <c r="Z45">
        <f>HYPERLINK("https://klasma.github.io/Logging_1880/klagomål/A 29478-2022 FSC-klagomål.docx", "A 29478-2022")</f>
        <v/>
      </c>
      <c r="AA45">
        <f>HYPERLINK("https://klasma.github.io/Logging_1880/klagomålsmail/A 29478-2022 FSC-klagomål mail.docx", "A 29478-2022")</f>
        <v/>
      </c>
      <c r="AB45">
        <f>HYPERLINK("https://klasma.github.io/Logging_1880/tillsyn/A 29478-2022 tillsynsbegäran.docx", "A 29478-2022")</f>
        <v/>
      </c>
      <c r="AC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46223</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X46">
        <f>HYPERLINK("https://klasma.github.io/Logging_1880/kartor_geotiff/A 63247-2021 georefererad karta.tif", "A 63247-2021")</f>
        <v/>
      </c>
      <c r="Z46">
        <f>HYPERLINK("https://klasma.github.io/Logging_1880/klagomål/A 63247-2021 FSC-klagomål.docx", "A 63247-2021")</f>
        <v/>
      </c>
      <c r="AA46">
        <f>HYPERLINK("https://klasma.github.io/Logging_1880/klagomålsmail/A 63247-2021 FSC-klagomål mail.docx", "A 63247-2021")</f>
        <v/>
      </c>
      <c r="AB46">
        <f>HYPERLINK("https://klasma.github.io/Logging_1880/tillsyn/A 63247-2021 tillsynsbegäran.docx", "A 63247-2021")</f>
        <v/>
      </c>
      <c r="AC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46223</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X47">
        <f>HYPERLINK("https://klasma.github.io/Logging_1880/kartor_geotiff/A 49552-2022 georefererad karta.tif", "A 49552-2022")</f>
        <v/>
      </c>
      <c r="Z47">
        <f>HYPERLINK("https://klasma.github.io/Logging_1880/klagomål/A 49552-2022 FSC-klagomål.docx", "A 49552-2022")</f>
        <v/>
      </c>
      <c r="AA47">
        <f>HYPERLINK("https://klasma.github.io/Logging_1880/klagomålsmail/A 49552-2022 FSC-klagomål mail.docx", "A 49552-2022")</f>
        <v/>
      </c>
      <c r="AB47">
        <f>HYPERLINK("https://klasma.github.io/Logging_1880/tillsyn/A 49552-2022 tillsynsbegäran.docx", "A 49552-2022")</f>
        <v/>
      </c>
      <c r="AC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46223</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s="2" t="inlineStr">
        <is>
          <t>Göktyta
Havsörn</t>
        </is>
      </c>
      <c r="V48">
        <f>HYPERLINK("https://klasma.github.io/Logging_1880/artfynd/A 13458-2024 artfynd.xlsx", "A 13458-2024")</f>
        <v/>
      </c>
      <c r="W48">
        <f>HYPERLINK("https://klasma.github.io/Logging_1880/kartor/A 13458-2024 karta.png", "A 13458-2024")</f>
        <v/>
      </c>
      <c r="X48">
        <f>HYPERLINK("https://klasma.github.io/Logging_1880/kartor_geotiff/A 13458-2024 georefererad karta.tif", "A 13458-2024")</f>
        <v/>
      </c>
      <c r="Z48">
        <f>HYPERLINK("https://klasma.github.io/Logging_1880/klagomål/A 13458-2024 FSC-klagomål.docx", "A 13458-2024")</f>
        <v/>
      </c>
      <c r="AA48">
        <f>HYPERLINK("https://klasma.github.io/Logging_1880/klagomålsmail/A 13458-2024 FSC-klagomål mail.docx", "A 13458-2024")</f>
        <v/>
      </c>
      <c r="AB48">
        <f>HYPERLINK("https://klasma.github.io/Logging_1880/tillsyn/A 13458-2024 tillsynsbegäran.docx", "A 13458-2024")</f>
        <v/>
      </c>
      <c r="AC48">
        <f>HYPERLINK("https://klasma.github.io/Logging_1880/tillsynsmail/A 13458-2024 tillsynsbegäran mail.docx", "A 13458-2024")</f>
        <v/>
      </c>
      <c r="AD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46223</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s="2" t="inlineStr">
        <is>
          <t>Sommarfibbla
Svinrot</t>
        </is>
      </c>
      <c r="V49">
        <f>HYPERLINK("https://klasma.github.io/Logging_1880/artfynd/A 14234-2024 artfynd.xlsx", "A 14234-2024")</f>
        <v/>
      </c>
      <c r="W49">
        <f>HYPERLINK("https://klasma.github.io/Logging_1880/kartor/A 14234-2024 karta.png", "A 14234-2024")</f>
        <v/>
      </c>
      <c r="X49">
        <f>HYPERLINK("https://klasma.github.io/Logging_1880/kartor_geotiff/A 14234-2024 georefererad karta.tif", "A 14234-2024")</f>
        <v/>
      </c>
      <c r="Z49">
        <f>HYPERLINK("https://klasma.github.io/Logging_1880/klagomål/A 14234-2024 FSC-klagomål.docx", "A 14234-2024")</f>
        <v/>
      </c>
      <c r="AA49">
        <f>HYPERLINK("https://klasma.github.io/Logging_1880/klagomålsmail/A 14234-2024 FSC-klagomål mail.docx", "A 14234-2024")</f>
        <v/>
      </c>
      <c r="AB49">
        <f>HYPERLINK("https://klasma.github.io/Logging_1880/tillsyn/A 14234-2024 tillsynsbegäran.docx", "A 14234-2024")</f>
        <v/>
      </c>
      <c r="AC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46223</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s="2" t="inlineStr">
        <is>
          <t>Ullticka
Spillkråka</t>
        </is>
      </c>
      <c r="V50">
        <f>HYPERLINK("https://klasma.github.io/Logging_1880/artfynd/A 22577-2024 artfynd.xlsx", "A 22577-2024")</f>
        <v/>
      </c>
      <c r="W50">
        <f>HYPERLINK("https://klasma.github.io/Logging_1880/kartor/A 22577-2024 karta.png", "A 22577-2024")</f>
        <v/>
      </c>
      <c r="X50">
        <f>HYPERLINK("https://klasma.github.io/Logging_1880/kartor_geotiff/A 22577-2024 georefererad karta.tif", "A 22577-2024")</f>
        <v/>
      </c>
      <c r="Z50">
        <f>HYPERLINK("https://klasma.github.io/Logging_1880/klagomål/A 22577-2024 FSC-klagomål.docx", "A 22577-2024")</f>
        <v/>
      </c>
      <c r="AA50">
        <f>HYPERLINK("https://klasma.github.io/Logging_1880/klagomålsmail/A 22577-2024 FSC-klagomål mail.docx", "A 22577-2024")</f>
        <v/>
      </c>
      <c r="AB50">
        <f>HYPERLINK("https://klasma.github.io/Logging_1880/tillsyn/A 22577-2024 tillsynsbegäran.docx", "A 22577-2024")</f>
        <v/>
      </c>
      <c r="AC50">
        <f>HYPERLINK("https://klasma.github.io/Logging_1880/tillsynsmail/A 22577-2024 tillsynsbegäran mail.docx", "A 22577-2024")</f>
        <v/>
      </c>
      <c r="AD50">
        <f>HYPERLINK("https://klasma.github.io/Logging_1880/fåglar/A 22577-2024 prioriterade fågelarter.docx", "A 22577-2024")</f>
        <v/>
      </c>
    </row>
    <row r="51" ht="15" customHeight="1">
      <c r="A51" t="inlineStr">
        <is>
          <t>A 31233-2025</t>
        </is>
      </c>
      <c r="B51" t="inlineStr">
        <is>
          <t>avverkningsanmälan</t>
        </is>
      </c>
      <c r="C51" t="inlineStr">
        <is>
          <t>Föryngringsavverkning</t>
        </is>
      </c>
      <c r="D51" s="1" t="n">
        <v>45832</v>
      </c>
      <c r="E51" s="1" t="n">
        <v>46223</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s="2" t="inlineStr">
        <is>
          <t>Gröngöling
Svartvit flugsnappare</t>
        </is>
      </c>
      <c r="V51">
        <f>HYPERLINK("https://klasma.github.io/Logging_1880/artfynd/A 31233-2025 artfynd.xlsx", "A 31233-2025")</f>
        <v/>
      </c>
      <c r="W51">
        <f>HYPERLINK("https://klasma.github.io/Logging_1880/kartor/A 31233-2025 karta.png", "A 31233-2025")</f>
        <v/>
      </c>
      <c r="X51">
        <f>HYPERLINK("https://klasma.github.io/Logging_1880/kartor_geotiff/A 31233-2025 georefererad karta.tif", "A 31233-2025")</f>
        <v/>
      </c>
      <c r="Z51">
        <f>HYPERLINK("https://klasma.github.io/Logging_1880/klagomål/A 31233-2025 FSC-klagomål.docx", "A 31233-2025")</f>
        <v/>
      </c>
      <c r="AA51">
        <f>HYPERLINK("https://klasma.github.io/Logging_1880/klagomålsmail/A 31233-2025 FSC-klagomål mail.docx", "A 31233-2025")</f>
        <v/>
      </c>
      <c r="AB51">
        <f>HYPERLINK("https://klasma.github.io/Logging_1880/tillsyn/A 31233-2025 tillsynsbegäran.docx", "A 31233-2025")</f>
        <v/>
      </c>
      <c r="AC51">
        <f>HYPERLINK("https://klasma.github.io/Logging_1880/tillsynsmail/A 31233-2025 tillsynsbegäran mail.docx", "A 31233-2025")</f>
        <v/>
      </c>
    </row>
    <row r="52" ht="15" customHeight="1">
      <c r="A52" t="inlineStr">
        <is>
          <t>A 13395-2024</t>
        </is>
      </c>
      <c r="B52" t="inlineStr">
        <is>
          <t>avverkningsanmälan</t>
        </is>
      </c>
      <c r="C52" t="inlineStr">
        <is>
          <t>Föryngringsavverkning</t>
        </is>
      </c>
      <c r="D52" s="1" t="n">
        <v>45387</v>
      </c>
      <c r="E52" s="1" t="n">
        <v>46223</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s="2" t="inlineStr">
        <is>
          <t>Järnsparv
Kungsfågel</t>
        </is>
      </c>
      <c r="V52">
        <f>HYPERLINK("https://klasma.github.io/Logging_1880/artfynd/A 13395-2024 artfynd.xlsx", "A 13395-2024")</f>
        <v/>
      </c>
      <c r="W52">
        <f>HYPERLINK("https://klasma.github.io/Logging_1880/kartor/A 13395-2024 karta.png", "A 13395-2024")</f>
        <v/>
      </c>
      <c r="X52">
        <f>HYPERLINK("https://klasma.github.io/Logging_1880/kartor_geotiff/A 13395-2024 georefererad karta.tif", "A 13395-2024")</f>
        <v/>
      </c>
      <c r="Z52">
        <f>HYPERLINK("https://klasma.github.io/Logging_1880/klagomål/A 13395-2024 FSC-klagomål.docx", "A 13395-2024")</f>
        <v/>
      </c>
      <c r="AA52">
        <f>HYPERLINK("https://klasma.github.io/Logging_1880/klagomålsmail/A 13395-2024 FSC-klagomål mail.docx", "A 13395-2024")</f>
        <v/>
      </c>
      <c r="AB52">
        <f>HYPERLINK("https://klasma.github.io/Logging_1880/tillsyn/A 13395-2024 tillsynsbegäran.docx", "A 13395-2024")</f>
        <v/>
      </c>
      <c r="AC52">
        <f>HYPERLINK("https://klasma.github.io/Logging_1880/tillsynsmail/A 13395-2024 tillsynsbegäran mail.docx", "A 13395-2024")</f>
        <v/>
      </c>
      <c r="AD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46223</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s="2" t="inlineStr">
        <is>
          <t>Grönsångare
Kungsfågel</t>
        </is>
      </c>
      <c r="V53">
        <f>HYPERLINK("https://klasma.github.io/Logging_1880/artfynd/A 2998-2026 artfynd.xlsx", "A 2998-2026")</f>
        <v/>
      </c>
      <c r="W53">
        <f>HYPERLINK("https://klasma.github.io/Logging_1880/kartor/A 2998-2026 karta.png", "A 2998-2026")</f>
        <v/>
      </c>
      <c r="X53">
        <f>HYPERLINK("https://klasma.github.io/Logging_1880/kartor_geotiff/A 2998-2026 georefererad karta.tif", "A 2998-2026")</f>
        <v/>
      </c>
      <c r="Z53">
        <f>HYPERLINK("https://klasma.github.io/Logging_1880/klagomål/A 2998-2026 FSC-klagomål.docx", "A 2998-2026")</f>
        <v/>
      </c>
      <c r="AA53">
        <f>HYPERLINK("https://klasma.github.io/Logging_1880/klagomålsmail/A 2998-2026 FSC-klagomål mail.docx", "A 2998-2026")</f>
        <v/>
      </c>
      <c r="AB53">
        <f>HYPERLINK("https://klasma.github.io/Logging_1880/tillsyn/A 2998-2026 tillsynsbegäran.docx", "A 2998-2026")</f>
        <v/>
      </c>
      <c r="AC53">
        <f>HYPERLINK("https://klasma.github.io/Logging_1880/tillsynsmail/A 2998-2026 tillsynsbegäran mail.docx", "A 2998-2026")</f>
        <v/>
      </c>
      <c r="AD53">
        <f>HYPERLINK("https://klasma.github.io/Logging_1880/fåglar/A 2998-2026 prioriterade fågelarter.docx", "A 2998-2026")</f>
        <v/>
      </c>
    </row>
    <row r="54" ht="15" customHeight="1">
      <c r="A54" t="inlineStr">
        <is>
          <t>A 7608-2024</t>
        </is>
      </c>
      <c r="B54" t="inlineStr">
        <is>
          <t>avverkningsanmälan</t>
        </is>
      </c>
      <c r="C54" t="inlineStr">
        <is>
          <t>Föryngringsavverkning</t>
        </is>
      </c>
      <c r="D54" s="1" t="n">
        <v>45348</v>
      </c>
      <c r="E54" s="1" t="n">
        <v>46223</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s="2" t="inlineStr">
        <is>
          <t>Knärot
Spillkråka</t>
        </is>
      </c>
      <c r="V54">
        <f>HYPERLINK("https://klasma.github.io/Logging_1880/artfynd/A 7608-2024 artfynd.xlsx", "A 7608-2024")</f>
        <v/>
      </c>
      <c r="W54">
        <f>HYPERLINK("https://klasma.github.io/Logging_1880/kartor/A 7608-2024 karta.png", "A 7608-2024")</f>
        <v/>
      </c>
      <c r="X54">
        <f>HYPERLINK("https://klasma.github.io/Logging_1880/kartor_geotiff/A 7608-2024 georefererad karta.tif", "A 7608-2024")</f>
        <v/>
      </c>
      <c r="Y54">
        <f>HYPERLINK("https://klasma.github.io/Logging_1880/knärot/A 7608-2024 karta knärot.png", "A 7608-2024")</f>
        <v/>
      </c>
      <c r="Z54">
        <f>HYPERLINK("https://klasma.github.io/Logging_1880/klagomål/A 7608-2024 FSC-klagomål.docx", "A 7608-2024")</f>
        <v/>
      </c>
      <c r="AA54">
        <f>HYPERLINK("https://klasma.github.io/Logging_1880/klagomålsmail/A 7608-2024 FSC-klagomål mail.docx", "A 7608-2024")</f>
        <v/>
      </c>
      <c r="AB54">
        <f>HYPERLINK("https://klasma.github.io/Logging_1880/tillsyn/A 7608-2024 tillsynsbegäran.docx", "A 7608-2024")</f>
        <v/>
      </c>
      <c r="AC54">
        <f>HYPERLINK("https://klasma.github.io/Logging_1880/tillsynsmail/A 7608-2024 tillsynsbegäran mail.docx", "A 7608-2024")</f>
        <v/>
      </c>
      <c r="AD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46223</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s="2" t="inlineStr">
        <is>
          <t>Kalktallört
Skogsknipprot</t>
        </is>
      </c>
      <c r="V55">
        <f>HYPERLINK("https://klasma.github.io/Logging_1880/artfynd/A 14956-2025 artfynd.xlsx", "A 14956-2025")</f>
        <v/>
      </c>
      <c r="W55">
        <f>HYPERLINK("https://klasma.github.io/Logging_1880/kartor/A 14956-2025 karta.png", "A 14956-2025")</f>
        <v/>
      </c>
      <c r="X55">
        <f>HYPERLINK("https://klasma.github.io/Logging_1880/kartor_geotiff/A 14956-2025 georefererad karta.tif", "A 14956-2025")</f>
        <v/>
      </c>
      <c r="Z55">
        <f>HYPERLINK("https://klasma.github.io/Logging_1880/klagomål/A 14956-2025 FSC-klagomål.docx", "A 14956-2025")</f>
        <v/>
      </c>
      <c r="AA55">
        <f>HYPERLINK("https://klasma.github.io/Logging_1880/klagomålsmail/A 14956-2025 FSC-klagomål mail.docx", "A 14956-2025")</f>
        <v/>
      </c>
      <c r="AB55">
        <f>HYPERLINK("https://klasma.github.io/Logging_1880/tillsyn/A 14956-2025 tillsynsbegäran.docx", "A 14956-2025")</f>
        <v/>
      </c>
      <c r="AC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46223</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s="2" t="inlineStr">
        <is>
          <t>Svavelriska
Tibast</t>
        </is>
      </c>
      <c r="V56">
        <f>HYPERLINK("https://klasma.github.io/Logging_1880/artfynd/S 3337-2025 artfynd.xlsx", "S 3337-2025")</f>
        <v/>
      </c>
      <c r="W56">
        <f>HYPERLINK("https://klasma.github.io/Logging_1880/kartor/S 3337-2025 karta.png", "S 3337-2025")</f>
        <v/>
      </c>
      <c r="X56">
        <f>HYPERLINK("https://klasma.github.io/Logging_1880/kartor_geotiff/S 3337-2025 georefererad karta.tif", "S 3337-2025")</f>
        <v/>
      </c>
      <c r="Z56">
        <f>HYPERLINK("https://klasma.github.io/Logging_1880/klagomål/S 3337-2025 FSC-klagomål.docx", "S 3337-2025")</f>
        <v/>
      </c>
      <c r="AA56">
        <f>HYPERLINK("https://klasma.github.io/Logging_1880/klagomålsmail/S 3337-2025 FSC-klagomål mail.docx", "S 3337-2025")</f>
        <v/>
      </c>
      <c r="AB56">
        <f>HYPERLINK("https://klasma.github.io/Logging_1880/tillsyn/S 3337-2025 tillsynsbegäran.docx", "S 3337-2025")</f>
        <v/>
      </c>
      <c r="AC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46223</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s="2" t="inlineStr">
        <is>
          <t>Talltita
Blåsippa</t>
        </is>
      </c>
      <c r="V57">
        <f>HYPERLINK("https://klasma.github.io/Logging_1880/artfynd/S 3437-2025 artfynd.xlsx", "S 3437-2025")</f>
        <v/>
      </c>
      <c r="W57">
        <f>HYPERLINK("https://klasma.github.io/Logging_1880/kartor/S 3437-2025 karta.png", "S 3437-2025")</f>
        <v/>
      </c>
      <c r="X57">
        <f>HYPERLINK("https://klasma.github.io/Logging_1880/kartor_geotiff/S 3437-2025 georefererad karta.tif", "S 3437-2025")</f>
        <v/>
      </c>
      <c r="Z57">
        <f>HYPERLINK("https://klasma.github.io/Logging_1880/klagomål/S 3437-2025 FSC-klagomål.docx", "S 3437-2025")</f>
        <v/>
      </c>
      <c r="AA57">
        <f>HYPERLINK("https://klasma.github.io/Logging_1880/klagomålsmail/S 3437-2025 FSC-klagomål mail.docx", "S 3437-2025")</f>
        <v/>
      </c>
      <c r="AB57">
        <f>HYPERLINK("https://klasma.github.io/Logging_1880/tillsyn/S 3437-2025 tillsynsbegäran.docx", "S 3437-2025")</f>
        <v/>
      </c>
      <c r="AC57">
        <f>HYPERLINK("https://klasma.github.io/Logging_1880/tillsynsmail/S 3437-2025 tillsynsbegäran mail.docx", "S 3437-2025")</f>
        <v/>
      </c>
      <c r="AD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46223</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s="2" t="inlineStr">
        <is>
          <t>Revlummer</t>
        </is>
      </c>
      <c r="V58">
        <f>HYPERLINK("https://klasma.github.io/Logging_1880/artfynd/A 38133-2021 artfynd.xlsx", "A 38133-2021")</f>
        <v/>
      </c>
      <c r="W58">
        <f>HYPERLINK("https://klasma.github.io/Logging_1880/kartor/A 38133-2021 karta.png", "A 38133-2021")</f>
        <v/>
      </c>
      <c r="X58">
        <f>HYPERLINK("https://klasma.github.io/Logging_1880/kartor_geotiff/A 38133-2021 georefererad karta.tif", "A 38133-2021")</f>
        <v/>
      </c>
      <c r="Z58">
        <f>HYPERLINK("https://klasma.github.io/Logging_1880/klagomål/A 38133-2021 FSC-klagomål.docx", "A 38133-2021")</f>
        <v/>
      </c>
      <c r="AA58">
        <f>HYPERLINK("https://klasma.github.io/Logging_1880/klagomålsmail/A 38133-2021 FSC-klagomål mail.docx", "A 38133-2021")</f>
        <v/>
      </c>
      <c r="AB58">
        <f>HYPERLINK("https://klasma.github.io/Logging_1880/tillsyn/A 38133-2021 tillsynsbegäran.docx", "A 38133-2021")</f>
        <v/>
      </c>
      <c r="AC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46223</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s="2" t="inlineStr">
        <is>
          <t>Kambräken</t>
        </is>
      </c>
      <c r="V59">
        <f>HYPERLINK("https://klasma.github.io/Logging_1880/artfynd/A 40312-2021 artfynd.xlsx", "A 40312-2021")</f>
        <v/>
      </c>
      <c r="W59">
        <f>HYPERLINK("https://klasma.github.io/Logging_1880/kartor/A 40312-2021 karta.png", "A 40312-2021")</f>
        <v/>
      </c>
      <c r="X59">
        <f>HYPERLINK("https://klasma.github.io/Logging_1880/kartor_geotiff/A 40312-2021 georefererad karta.tif", "A 40312-2021")</f>
        <v/>
      </c>
      <c r="Z59">
        <f>HYPERLINK("https://klasma.github.io/Logging_1880/klagomål/A 40312-2021 FSC-klagomål.docx", "A 40312-2021")</f>
        <v/>
      </c>
      <c r="AA59">
        <f>HYPERLINK("https://klasma.github.io/Logging_1880/klagomålsmail/A 40312-2021 FSC-klagomål mail.docx", "A 40312-2021")</f>
        <v/>
      </c>
      <c r="AB59">
        <f>HYPERLINK("https://klasma.github.io/Logging_1880/tillsyn/A 40312-2021 tillsynsbegäran.docx", "A 40312-2021")</f>
        <v/>
      </c>
      <c r="AC59">
        <f>HYPERLINK("https://klasma.github.io/Logging_1880/tillsynsmail/A 40312-2021 tillsynsbegäran mail.docx", "A 40312-2021")</f>
        <v/>
      </c>
    </row>
    <row r="60" ht="15" customHeight="1">
      <c r="A60" t="inlineStr">
        <is>
          <t>A 43332-2022</t>
        </is>
      </c>
      <c r="B60" t="inlineStr">
        <is>
          <t>avverkningsanmälan</t>
        </is>
      </c>
      <c r="C60" t="inlineStr">
        <is>
          <t>Föryngringsavverkning</t>
        </is>
      </c>
      <c r="D60" s="1" t="n">
        <v>44834</v>
      </c>
      <c r="E60" s="1" t="n">
        <v>46223</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HYPERLINK("https://klasma.github.io/Logging_1880/artfynd/A 43332-2022 artfynd.xlsx", "A 43332-2022")</f>
        <v/>
      </c>
      <c r="W60">
        <f>HYPERLINK("https://klasma.github.io/Logging_1880/kartor/A 43332-2022 karta.png", "A 43332-2022")</f>
        <v/>
      </c>
      <c r="X60">
        <f>HYPERLINK("https://klasma.github.io/Logging_1880/kartor_geotiff/A 43332-2022 georefererad karta.tif", "A 43332-2022")</f>
        <v/>
      </c>
      <c r="Z60">
        <f>HYPERLINK("https://klasma.github.io/Logging_1880/klagomål/A 43332-2022 FSC-klagomål.docx", "A 43332-2022")</f>
        <v/>
      </c>
      <c r="AA60">
        <f>HYPERLINK("https://klasma.github.io/Logging_1880/klagomålsmail/A 43332-2022 FSC-klagomål mail.docx", "A 43332-2022")</f>
        <v/>
      </c>
      <c r="AB60">
        <f>HYPERLINK("https://klasma.github.io/Logging_1880/tillsyn/A 43332-2022 tillsynsbegäran.docx", "A 43332-2022")</f>
        <v/>
      </c>
      <c r="AC60">
        <f>HYPERLINK("https://klasma.github.io/Logging_1880/tillsynsmail/A 43332-2022 tillsynsbegäran mail.docx", "A 43332-2022")</f>
        <v/>
      </c>
      <c r="AD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46223</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s="2" t="inlineStr">
        <is>
          <t>Kornig nållav</t>
        </is>
      </c>
      <c r="V61">
        <f>HYPERLINK("https://klasma.github.io/Logging_1880/artfynd/A 40597-2021 artfynd.xlsx", "A 40597-2021")</f>
        <v/>
      </c>
      <c r="W61">
        <f>HYPERLINK("https://klasma.github.io/Logging_1880/kartor/A 40597-2021 karta.png", "A 40597-2021")</f>
        <v/>
      </c>
      <c r="X61">
        <f>HYPERLINK("https://klasma.github.io/Logging_1880/kartor_geotiff/A 40597-2021 georefererad karta.tif", "A 40597-2021")</f>
        <v/>
      </c>
      <c r="Z61">
        <f>HYPERLINK("https://klasma.github.io/Logging_1880/klagomål/A 40597-2021 FSC-klagomål.docx", "A 40597-2021")</f>
        <v/>
      </c>
      <c r="AA61">
        <f>HYPERLINK("https://klasma.github.io/Logging_1880/klagomålsmail/A 40597-2021 FSC-klagomål mail.docx", "A 40597-2021")</f>
        <v/>
      </c>
      <c r="AB61">
        <f>HYPERLINK("https://klasma.github.io/Logging_1880/tillsyn/A 40597-2021 tillsynsbegäran.docx", "A 40597-2021")</f>
        <v/>
      </c>
      <c r="AC61">
        <f>HYPERLINK("https://klasma.github.io/Logging_1880/tillsynsmail/A 40597-2021 tillsynsbegäran mail.docx", "A 40597-2021")</f>
        <v/>
      </c>
    </row>
    <row r="62" ht="15" customHeight="1">
      <c r="A62" t="inlineStr">
        <is>
          <t>A 44744-2024</t>
        </is>
      </c>
      <c r="B62" t="inlineStr">
        <is>
          <t>avverkningsanmälan</t>
        </is>
      </c>
      <c r="C62" t="inlineStr">
        <is>
          <t>Föryngringsavverkning</t>
        </is>
      </c>
      <c r="D62" s="1" t="n">
        <v>45574</v>
      </c>
      <c r="E62" s="1" t="n">
        <v>46223</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s="2" t="inlineStr">
        <is>
          <t>Revlummer</t>
        </is>
      </c>
      <c r="V62">
        <f>HYPERLINK("https://klasma.github.io/Logging_1880/artfynd/A 44744-2024 artfynd.xlsx", "A 44744-2024")</f>
        <v/>
      </c>
      <c r="W62">
        <f>HYPERLINK("https://klasma.github.io/Logging_1880/kartor/A 44744-2024 karta.png", "A 44744-2024")</f>
        <v/>
      </c>
      <c r="X62">
        <f>HYPERLINK("https://klasma.github.io/Logging_1880/kartor_geotiff/A 44744-2024 georefererad karta.tif", "A 44744-2024")</f>
        <v/>
      </c>
      <c r="Z62">
        <f>HYPERLINK("https://klasma.github.io/Logging_1880/klagomål/A 44744-2024 FSC-klagomål.docx", "A 44744-2024")</f>
        <v/>
      </c>
      <c r="AA62">
        <f>HYPERLINK("https://klasma.github.io/Logging_1880/klagomålsmail/A 44744-2024 FSC-klagomål mail.docx", "A 44744-2024")</f>
        <v/>
      </c>
      <c r="AB62">
        <f>HYPERLINK("https://klasma.github.io/Logging_1880/tillsyn/A 44744-2024 tillsynsbegäran.docx", "A 44744-2024")</f>
        <v/>
      </c>
      <c r="AC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46223</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s="2" t="inlineStr">
        <is>
          <t>Kopparödla</t>
        </is>
      </c>
      <c r="V63">
        <f>HYPERLINK("https://klasma.github.io/Logging_1880/artfynd/A 11501-2025 artfynd.xlsx", "A 11501-2025")</f>
        <v/>
      </c>
      <c r="W63">
        <f>HYPERLINK("https://klasma.github.io/Logging_1880/kartor/A 11501-2025 karta.png", "A 11501-2025")</f>
        <v/>
      </c>
      <c r="X63">
        <f>HYPERLINK("https://klasma.github.io/Logging_1880/kartor_geotiff/A 11501-2025 georefererad karta.tif", "A 11501-2025")</f>
        <v/>
      </c>
      <c r="Z63">
        <f>HYPERLINK("https://klasma.github.io/Logging_1880/klagomål/A 11501-2025 FSC-klagomål.docx", "A 11501-2025")</f>
        <v/>
      </c>
      <c r="AA63">
        <f>HYPERLINK("https://klasma.github.io/Logging_1880/klagomålsmail/A 11501-2025 FSC-klagomål mail.docx", "A 11501-2025")</f>
        <v/>
      </c>
      <c r="AB63">
        <f>HYPERLINK("https://klasma.github.io/Logging_1880/tillsyn/A 11501-2025 tillsynsbegäran.docx", "A 11501-2025")</f>
        <v/>
      </c>
      <c r="AC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46223</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s="2" t="inlineStr">
        <is>
          <t>Oxtungssvamp</t>
        </is>
      </c>
      <c r="V64">
        <f>HYPERLINK("https://klasma.github.io/Logging_1880/artfynd/A 26858-2024 artfynd.xlsx", "A 26858-2024")</f>
        <v/>
      </c>
      <c r="W64">
        <f>HYPERLINK("https://klasma.github.io/Logging_1880/kartor/A 26858-2024 karta.png", "A 26858-2024")</f>
        <v/>
      </c>
      <c r="X64">
        <f>HYPERLINK("https://klasma.github.io/Logging_1880/kartor_geotiff/A 26858-2024 georefererad karta.tif", "A 26858-2024")</f>
        <v/>
      </c>
      <c r="Z64">
        <f>HYPERLINK("https://klasma.github.io/Logging_1880/klagomål/A 26858-2024 FSC-klagomål.docx", "A 26858-2024")</f>
        <v/>
      </c>
      <c r="AA64">
        <f>HYPERLINK("https://klasma.github.io/Logging_1880/klagomålsmail/A 26858-2024 FSC-klagomål mail.docx", "A 26858-2024")</f>
        <v/>
      </c>
      <c r="AB64">
        <f>HYPERLINK("https://klasma.github.io/Logging_1880/tillsyn/A 26858-2024 tillsynsbegäran.docx", "A 26858-2024")</f>
        <v/>
      </c>
      <c r="AC64">
        <f>HYPERLINK("https://klasma.github.io/Logging_1880/tillsynsmail/A 26858-2024 tillsynsbegäran mail.docx", "A 26858-2024")</f>
        <v/>
      </c>
    </row>
    <row r="65" ht="15" customHeight="1">
      <c r="A65" t="inlineStr">
        <is>
          <t>A 20032-2023</t>
        </is>
      </c>
      <c r="B65" t="inlineStr">
        <is>
          <t>avverkningsanmälan</t>
        </is>
      </c>
      <c r="C65" t="inlineStr">
        <is>
          <t>Föryngringsavverkning</t>
        </is>
      </c>
      <c r="D65" s="1" t="n">
        <v>45054</v>
      </c>
      <c r="E65" s="1" t="n">
        <v>46223</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s="2" t="inlineStr">
        <is>
          <t>Fiskgjuse</t>
        </is>
      </c>
      <c r="V65">
        <f>HYPERLINK("https://klasma.github.io/Logging_1880/artfynd/A 20032-2023 artfynd.xlsx", "A 20032-2023")</f>
        <v/>
      </c>
      <c r="W65">
        <f>HYPERLINK("https://klasma.github.io/Logging_1880/kartor/A 20032-2023 karta.png", "A 20032-2023")</f>
        <v/>
      </c>
      <c r="X65">
        <f>HYPERLINK("https://klasma.github.io/Logging_1880/kartor_geotiff/A 20032-2023 georefererad karta.tif", "A 20032-2023")</f>
        <v/>
      </c>
      <c r="Z65">
        <f>HYPERLINK("https://klasma.github.io/Logging_1880/klagomål/A 20032-2023 FSC-klagomål.docx", "A 20032-2023")</f>
        <v/>
      </c>
      <c r="AA65">
        <f>HYPERLINK("https://klasma.github.io/Logging_1880/klagomålsmail/A 20032-2023 FSC-klagomål mail.docx", "A 20032-2023")</f>
        <v/>
      </c>
      <c r="AB65">
        <f>HYPERLINK("https://klasma.github.io/Logging_1880/tillsyn/A 20032-2023 tillsynsbegäran.docx", "A 20032-2023")</f>
        <v/>
      </c>
      <c r="AC65">
        <f>HYPERLINK("https://klasma.github.io/Logging_1880/tillsynsmail/A 20032-2023 tillsynsbegäran mail.docx", "A 20032-2023")</f>
        <v/>
      </c>
      <c r="AD65">
        <f>HYPERLINK("https://klasma.github.io/Logging_1880/fåglar/A 20032-2023 prioriterade fågelarter.docx", "A 20032-2023")</f>
        <v/>
      </c>
    </row>
    <row r="66" ht="15" customHeight="1">
      <c r="A66" t="inlineStr">
        <is>
          <t>A 58838-2025</t>
        </is>
      </c>
      <c r="B66" t="inlineStr">
        <is>
          <t>avverkningsanmälan</t>
        </is>
      </c>
      <c r="C66" t="inlineStr">
        <is>
          <t>Föryngringsavverkning</t>
        </is>
      </c>
      <c r="D66" s="1" t="n">
        <v>45987</v>
      </c>
      <c r="E66" s="1" t="n">
        <v>46223</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s="2" t="inlineStr">
        <is>
          <t>Grönpyrola</t>
        </is>
      </c>
      <c r="V66">
        <f>HYPERLINK("https://klasma.github.io/Logging_1880/artfynd/A 58838-2025 artfynd.xlsx", "A 58838-2025")</f>
        <v/>
      </c>
      <c r="W66">
        <f>HYPERLINK("https://klasma.github.io/Logging_1880/kartor/A 58838-2025 karta.png", "A 58838-2025")</f>
        <v/>
      </c>
      <c r="X66">
        <f>HYPERLINK("https://klasma.github.io/Logging_1880/kartor_geotiff/A 58838-2025 georefererad karta.tif", "A 58838-2025")</f>
        <v/>
      </c>
      <c r="Z66">
        <f>HYPERLINK("https://klasma.github.io/Logging_1880/klagomål/A 58838-2025 FSC-klagomål.docx", "A 58838-2025")</f>
        <v/>
      </c>
      <c r="AA66">
        <f>HYPERLINK("https://klasma.github.io/Logging_1880/klagomålsmail/A 58838-2025 FSC-klagomål mail.docx", "A 58838-2025")</f>
        <v/>
      </c>
      <c r="AB66">
        <f>HYPERLINK("https://klasma.github.io/Logging_1880/tillsyn/A 58838-2025 tillsynsbegäran.docx", "A 58838-2025")</f>
        <v/>
      </c>
      <c r="AC66">
        <f>HYPERLINK("https://klasma.github.io/Logging_1880/tillsynsmail/A 58838-2025 tillsynsbegäran mail.docx", "A 58838-2025")</f>
        <v/>
      </c>
    </row>
    <row r="67" ht="15" customHeight="1">
      <c r="A67" t="inlineStr">
        <is>
          <t>A 60717-2025</t>
        </is>
      </c>
      <c r="B67" t="inlineStr">
        <is>
          <t>avverkningsanmälan</t>
        </is>
      </c>
      <c r="C67" t="inlineStr">
        <is>
          <t>Avverkning för att bevara och utveckla /försöksver</t>
        </is>
      </c>
      <c r="D67" s="1" t="n">
        <v>45996</v>
      </c>
      <c r="E67" s="1" t="n">
        <v>46223</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s="2" t="inlineStr">
        <is>
          <t>Kungsfågel</t>
        </is>
      </c>
      <c r="V67">
        <f>HYPERLINK("https://klasma.github.io/Logging_1880/artfynd/A 60717-2025 artfynd.xlsx", "A 60717-2025")</f>
        <v/>
      </c>
      <c r="W67">
        <f>HYPERLINK("https://klasma.github.io/Logging_1880/kartor/A 60717-2025 karta.png", "A 60717-2025")</f>
        <v/>
      </c>
      <c r="X67">
        <f>HYPERLINK("https://klasma.github.io/Logging_1880/kartor_geotiff/A 60717-2025 georefererad karta.tif", "A 60717-2025")</f>
        <v/>
      </c>
      <c r="Z67">
        <f>HYPERLINK("https://klasma.github.io/Logging_1880/klagomål/A 60717-2025 FSC-klagomål.docx", "A 60717-2025")</f>
        <v/>
      </c>
      <c r="AA67">
        <f>HYPERLINK("https://klasma.github.io/Logging_1880/klagomålsmail/A 60717-2025 FSC-klagomål mail.docx", "A 60717-2025")</f>
        <v/>
      </c>
      <c r="AB67">
        <f>HYPERLINK("https://klasma.github.io/Logging_1880/tillsyn/A 60717-2025 tillsynsbegäran.docx", "A 60717-2025")</f>
        <v/>
      </c>
      <c r="AC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46223</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s="2" t="inlineStr">
        <is>
          <t>Spillkråka</t>
        </is>
      </c>
      <c r="V68">
        <f>HYPERLINK("https://klasma.github.io/Logging_1880/artfynd/A 60718-2025 artfynd.xlsx", "A 60718-2025")</f>
        <v/>
      </c>
      <c r="W68">
        <f>HYPERLINK("https://klasma.github.io/Logging_1880/kartor/A 60718-2025 karta.png", "A 60718-2025")</f>
        <v/>
      </c>
      <c r="X68">
        <f>HYPERLINK("https://klasma.github.io/Logging_1880/kartor_geotiff/A 60718-2025 georefererad karta.tif", "A 60718-2025")</f>
        <v/>
      </c>
      <c r="Z68">
        <f>HYPERLINK("https://klasma.github.io/Logging_1880/klagomål/A 60718-2025 FSC-klagomål.docx", "A 60718-2025")</f>
        <v/>
      </c>
      <c r="AA68">
        <f>HYPERLINK("https://klasma.github.io/Logging_1880/klagomålsmail/A 60718-2025 FSC-klagomål mail.docx", "A 60718-2025")</f>
        <v/>
      </c>
      <c r="AB68">
        <f>HYPERLINK("https://klasma.github.io/Logging_1880/tillsyn/A 60718-2025 tillsynsbegäran.docx", "A 60718-2025")</f>
        <v/>
      </c>
      <c r="AC68">
        <f>HYPERLINK("https://klasma.github.io/Logging_1880/tillsynsmail/A 60718-2025 tillsynsbegäran mail.docx", "A 60718-2025")</f>
        <v/>
      </c>
      <c r="AD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46223</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s="2" t="inlineStr">
        <is>
          <t>Kungsfågel</t>
        </is>
      </c>
      <c r="V69">
        <f>HYPERLINK("https://klasma.github.io/Logging_1880/artfynd/A 60720-2025 artfynd.xlsx", "A 60720-2025")</f>
        <v/>
      </c>
      <c r="W69">
        <f>HYPERLINK("https://klasma.github.io/Logging_1880/kartor/A 60720-2025 karta.png", "A 60720-2025")</f>
        <v/>
      </c>
      <c r="X69">
        <f>HYPERLINK("https://klasma.github.io/Logging_1880/kartor_geotiff/A 60720-2025 georefererad karta.tif", "A 60720-2025")</f>
        <v/>
      </c>
      <c r="Z69">
        <f>HYPERLINK("https://klasma.github.io/Logging_1880/klagomål/A 60720-2025 FSC-klagomål.docx", "A 60720-2025")</f>
        <v/>
      </c>
      <c r="AA69">
        <f>HYPERLINK("https://klasma.github.io/Logging_1880/klagomålsmail/A 60720-2025 FSC-klagomål mail.docx", "A 60720-2025")</f>
        <v/>
      </c>
      <c r="AB69">
        <f>HYPERLINK("https://klasma.github.io/Logging_1880/tillsyn/A 60720-2025 tillsynsbegäran.docx", "A 60720-2025")</f>
        <v/>
      </c>
      <c r="AC69">
        <f>HYPERLINK("https://klasma.github.io/Logging_1880/tillsynsmail/A 60720-2025 tillsynsbegäran mail.docx", "A 60720-2025")</f>
        <v/>
      </c>
    </row>
    <row r="70" ht="15" customHeight="1">
      <c r="A70" t="inlineStr">
        <is>
          <t>A 48140-2024</t>
        </is>
      </c>
      <c r="B70" t="inlineStr">
        <is>
          <t>avverkningsanmälan</t>
        </is>
      </c>
      <c r="C70" t="inlineStr">
        <is>
          <t>Föryngringsavverkning</t>
        </is>
      </c>
      <c r="D70" s="1" t="n">
        <v>45589</v>
      </c>
      <c r="E70" s="1" t="n">
        <v>46223</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s="2" t="inlineStr">
        <is>
          <t>Ekticka</t>
        </is>
      </c>
      <c r="V70">
        <f>HYPERLINK("https://klasma.github.io/Logging_1880/artfynd/A 48140-2024 artfynd.xlsx", "A 48140-2024")</f>
        <v/>
      </c>
      <c r="W70">
        <f>HYPERLINK("https://klasma.github.io/Logging_1880/kartor/A 48140-2024 karta.png", "A 48140-2024")</f>
        <v/>
      </c>
      <c r="X70">
        <f>HYPERLINK("https://klasma.github.io/Logging_1880/kartor_geotiff/A 48140-2024 georefererad karta.tif", "A 48140-2024")</f>
        <v/>
      </c>
      <c r="Z70">
        <f>HYPERLINK("https://klasma.github.io/Logging_1880/klagomål/A 48140-2024 FSC-klagomål.docx", "A 48140-2024")</f>
        <v/>
      </c>
      <c r="AA70">
        <f>HYPERLINK("https://klasma.github.io/Logging_1880/klagomålsmail/A 48140-2024 FSC-klagomål mail.docx", "A 48140-2024")</f>
        <v/>
      </c>
      <c r="AB70">
        <f>HYPERLINK("https://klasma.github.io/Logging_1880/tillsyn/A 48140-2024 tillsynsbegäran.docx", "A 48140-2024")</f>
        <v/>
      </c>
      <c r="AC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46223</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s="2" t="inlineStr">
        <is>
          <t>Spillkråka</t>
        </is>
      </c>
      <c r="V71">
        <f>HYPERLINK("https://klasma.github.io/Logging_1880/artfynd/A 16736-2023 artfynd.xlsx", "A 16736-2023")</f>
        <v/>
      </c>
      <c r="W71">
        <f>HYPERLINK("https://klasma.github.io/Logging_1880/kartor/A 16736-2023 karta.png", "A 16736-2023")</f>
        <v/>
      </c>
      <c r="X71">
        <f>HYPERLINK("https://klasma.github.io/Logging_1880/kartor_geotiff/A 16736-2023 georefererad karta.tif", "A 16736-2023")</f>
        <v/>
      </c>
      <c r="Z71">
        <f>HYPERLINK("https://klasma.github.io/Logging_1880/klagomål/A 16736-2023 FSC-klagomål.docx", "A 16736-2023")</f>
        <v/>
      </c>
      <c r="AA71">
        <f>HYPERLINK("https://klasma.github.io/Logging_1880/klagomålsmail/A 16736-2023 FSC-klagomål mail.docx", "A 16736-2023")</f>
        <v/>
      </c>
      <c r="AB71">
        <f>HYPERLINK("https://klasma.github.io/Logging_1880/tillsyn/A 16736-2023 tillsynsbegäran.docx", "A 16736-2023")</f>
        <v/>
      </c>
      <c r="AC71">
        <f>HYPERLINK("https://klasma.github.io/Logging_1880/tillsynsmail/A 16736-2023 tillsynsbegäran mail.docx", "A 16736-2023")</f>
        <v/>
      </c>
      <c r="AD71">
        <f>HYPERLINK("https://klasma.github.io/Logging_1880/fåglar/A 16736-2023 prioriterade fågelarter.docx", "A 16736-2023")</f>
        <v/>
      </c>
    </row>
    <row r="72" ht="15" customHeight="1">
      <c r="A72" t="inlineStr">
        <is>
          <t>A 30725-2023</t>
        </is>
      </c>
      <c r="B72" t="inlineStr">
        <is>
          <t>avverkningsanmälan</t>
        </is>
      </c>
      <c r="C72" t="inlineStr">
        <is>
          <t>Föryngringsavverkning</t>
        </is>
      </c>
      <c r="D72" s="1" t="n">
        <v>45112</v>
      </c>
      <c r="E72" s="1" t="n">
        <v>46223</v>
      </c>
      <c r="F72" t="inlineStr">
        <is>
          <t>ÖREBRO LÄN</t>
        </is>
      </c>
      <c r="G72" t="inlineStr">
        <is>
          <t>ÖREBRO</t>
        </is>
      </c>
      <c r="I72" t="n">
        <v>1.8</v>
      </c>
      <c r="J72" t="n">
        <v>1</v>
      </c>
      <c r="K72" t="n">
        <v>0</v>
      </c>
      <c r="L72" t="n">
        <v>1</v>
      </c>
      <c r="M72" t="n">
        <v>0</v>
      </c>
      <c r="N72" t="n">
        <v>0</v>
      </c>
      <c r="O72" t="n">
        <v>0</v>
      </c>
      <c r="P72" t="n">
        <v>0</v>
      </c>
      <c r="Q72" t="n">
        <v>1</v>
      </c>
      <c r="R72" t="n">
        <v>0</v>
      </c>
      <c r="S72" t="n">
        <v>1</v>
      </c>
      <c r="T72" t="n">
        <v>1</v>
      </c>
      <c r="U72" s="2" t="inlineStr">
        <is>
          <t>Gulsparv</t>
        </is>
      </c>
      <c r="V72">
        <f>HYPERLINK("https://klasma.github.io/Logging_1880/artfynd/A 30725-2023 artfynd.xlsx", "A 30725-2023")</f>
        <v/>
      </c>
      <c r="W72">
        <f>HYPERLINK("https://klasma.github.io/Logging_1880/kartor/A 30725-2023 karta.png", "A 30725-2023")</f>
        <v/>
      </c>
      <c r="X72">
        <f>HYPERLINK("https://klasma.github.io/Logging_1880/kartor_geotiff/A 30725-2023 georefererad karta.tif", "A 30725-2023")</f>
        <v/>
      </c>
      <c r="Z72">
        <f>HYPERLINK("https://klasma.github.io/Logging_1880/klagomål/A 30725-2023 FSC-klagomål.docx", "A 30725-2023")</f>
        <v/>
      </c>
      <c r="AA72">
        <f>HYPERLINK("https://klasma.github.io/Logging_1880/klagomålsmail/A 30725-2023 FSC-klagomål mail.docx", "A 30725-2023")</f>
        <v/>
      </c>
      <c r="AB72">
        <f>HYPERLINK("https://klasma.github.io/Logging_1880/tillsyn/A 30725-2023 tillsynsbegäran.docx", "A 30725-2023")</f>
        <v/>
      </c>
      <c r="AC72">
        <f>HYPERLINK("https://klasma.github.io/Logging_1880/tillsynsmail/A 30725-2023 tillsynsbegäran mail.docx", "A 30725-2023")</f>
        <v/>
      </c>
      <c r="AD72">
        <f>HYPERLINK("https://klasma.github.io/Logging_1880/fåglar/A 30725-2023 prioriterade fågelarter.docx", "A 30725-2023")</f>
        <v/>
      </c>
    </row>
    <row r="73" ht="15" customHeight="1">
      <c r="A73" t="inlineStr">
        <is>
          <t>A 5097-2023</t>
        </is>
      </c>
      <c r="B73" t="inlineStr">
        <is>
          <t>avverkningsanmälan</t>
        </is>
      </c>
      <c r="C73" t="inlineStr">
        <is>
          <t>Föryngringsavverkning</t>
        </is>
      </c>
      <c r="D73" s="1" t="n">
        <v>44958</v>
      </c>
      <c r="E73" s="1" t="n">
        <v>46223</v>
      </c>
      <c r="F73" t="inlineStr">
        <is>
          <t>ÖREBRO LÄN</t>
        </is>
      </c>
      <c r="G73" t="inlineStr">
        <is>
          <t>ÖREBRO</t>
        </is>
      </c>
      <c r="I73" t="n">
        <v>3.6</v>
      </c>
      <c r="J73" t="n">
        <v>1</v>
      </c>
      <c r="K73" t="n">
        <v>0</v>
      </c>
      <c r="L73" t="n">
        <v>0</v>
      </c>
      <c r="M73" t="n">
        <v>0</v>
      </c>
      <c r="N73" t="n">
        <v>0</v>
      </c>
      <c r="O73" t="n">
        <v>0</v>
      </c>
      <c r="P73" t="n">
        <v>0</v>
      </c>
      <c r="Q73" t="n">
        <v>0</v>
      </c>
      <c r="R73" t="n">
        <v>0</v>
      </c>
      <c r="S73" t="n">
        <v>1</v>
      </c>
      <c r="T73" t="n">
        <v>4</v>
      </c>
      <c r="U73" s="2" t="inlineStr">
        <is>
          <t>Grönvit nattviol</t>
        </is>
      </c>
      <c r="V73">
        <f>HYPERLINK("https://klasma.github.io/Logging_1880/artfynd/A 5097-2023 artfynd.xlsx", "A 5097-2023")</f>
        <v/>
      </c>
      <c r="W73">
        <f>HYPERLINK("https://klasma.github.io/Logging_1880/kartor/A 5097-2023 karta.png", "A 5097-2023")</f>
        <v/>
      </c>
      <c r="X73">
        <f>HYPERLINK("https://klasma.github.io/Logging_1880/kartor_geotiff/A 5097-2023 georefererad karta.tif", "A 5097-2023")</f>
        <v/>
      </c>
      <c r="Z73">
        <f>HYPERLINK("https://klasma.github.io/Logging_1880/klagomål/A 5097-2023 FSC-klagomål.docx", "A 5097-2023")</f>
        <v/>
      </c>
      <c r="AA73">
        <f>HYPERLINK("https://klasma.github.io/Logging_1880/klagomålsmail/A 5097-2023 FSC-klagomål mail.docx", "A 5097-2023")</f>
        <v/>
      </c>
      <c r="AB73">
        <f>HYPERLINK("https://klasma.github.io/Logging_1880/tillsyn/A 5097-2023 tillsynsbegäran.docx", "A 5097-2023")</f>
        <v/>
      </c>
      <c r="AC73">
        <f>HYPERLINK("https://klasma.github.io/Logging_1880/tillsynsmail/A 5097-2023 tillsynsbegäran mail.docx", "A 5097-2023")</f>
        <v/>
      </c>
    </row>
    <row r="74" ht="15" customHeight="1">
      <c r="A74" t="inlineStr">
        <is>
          <t>A 20247-2023</t>
        </is>
      </c>
      <c r="B74" t="inlineStr">
        <is>
          <t>avverkningsanmälan</t>
        </is>
      </c>
      <c r="C74" t="inlineStr">
        <is>
          <t>Avverkning för annat ändamål</t>
        </is>
      </c>
      <c r="D74" s="1" t="n">
        <v>45055</v>
      </c>
      <c r="E74" s="1" t="n">
        <v>46223</v>
      </c>
      <c r="F74" t="inlineStr">
        <is>
          <t>ÖREBRO LÄN</t>
        </is>
      </c>
      <c r="G74" t="inlineStr">
        <is>
          <t>ÖREBRO</t>
        </is>
      </c>
      <c r="I74" t="n">
        <v>3</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HYPERLINK("https://klasma.github.io/Logging_1880/artfynd/A 20247-2023 artfynd.xlsx", "A 20247-2023")</f>
        <v/>
      </c>
      <c r="W74">
        <f>HYPERLINK("https://klasma.github.io/Logging_1880/kartor/A 20247-2023 karta.png", "A 20247-2023")</f>
        <v/>
      </c>
      <c r="X74">
        <f>HYPERLINK("https://klasma.github.io/Logging_1880/kartor_geotiff/A 20247-2023 georefererad karta.tif", "A 20247-2023")</f>
        <v/>
      </c>
      <c r="Z74">
        <f>HYPERLINK("https://klasma.github.io/Logging_1880/klagomål/A 20247-2023 FSC-klagomål.docx", "A 20247-2023")</f>
        <v/>
      </c>
      <c r="AA74">
        <f>HYPERLINK("https://klasma.github.io/Logging_1880/klagomålsmail/A 20247-2023 FSC-klagomål mail.docx", "A 20247-2023")</f>
        <v/>
      </c>
      <c r="AB74">
        <f>HYPERLINK("https://klasma.github.io/Logging_1880/tillsyn/A 20247-2023 tillsynsbegäran.docx", "A 20247-2023")</f>
        <v/>
      </c>
      <c r="AC74">
        <f>HYPERLINK("https://klasma.github.io/Logging_1880/tillsynsmail/A 20247-2023 tillsynsbegäran mail.docx", "A 20247-2023")</f>
        <v/>
      </c>
    </row>
    <row r="75" ht="15" customHeight="1">
      <c r="A75" t="inlineStr">
        <is>
          <t>A 36635-2023</t>
        </is>
      </c>
      <c r="B75" t="inlineStr">
        <is>
          <t>avverkningsanmälan</t>
        </is>
      </c>
      <c r="C75" t="inlineStr">
        <is>
          <t>Föryngringsavverkning</t>
        </is>
      </c>
      <c r="D75" s="1" t="n">
        <v>45153</v>
      </c>
      <c r="E75" s="1" t="n">
        <v>46223</v>
      </c>
      <c r="F75" t="inlineStr">
        <is>
          <t>ÖREBRO LÄN</t>
        </is>
      </c>
      <c r="G75" t="inlineStr">
        <is>
          <t>ÖREBRO</t>
        </is>
      </c>
      <c r="I75" t="n">
        <v>1.9</v>
      </c>
      <c r="J75" t="n">
        <v>1</v>
      </c>
      <c r="K75" t="n">
        <v>1</v>
      </c>
      <c r="L75" t="n">
        <v>0</v>
      </c>
      <c r="M75" t="n">
        <v>0</v>
      </c>
      <c r="N75" t="n">
        <v>0</v>
      </c>
      <c r="O75" t="n">
        <v>0</v>
      </c>
      <c r="P75" t="n">
        <v>0</v>
      </c>
      <c r="Q75" t="n">
        <v>0</v>
      </c>
      <c r="R75" t="n">
        <v>0</v>
      </c>
      <c r="S75" t="n">
        <v>1</v>
      </c>
      <c r="T75" t="n">
        <v>1</v>
      </c>
      <c r="U75" s="2" t="inlineStr">
        <is>
          <t>Purpurknipprot</t>
        </is>
      </c>
      <c r="V75">
        <f>HYPERLINK("https://klasma.github.io/Logging_1880/artfynd/A 36635-2023 artfynd.xlsx", "A 36635-2023")</f>
        <v/>
      </c>
      <c r="W75">
        <f>HYPERLINK("https://klasma.github.io/Logging_1880/kartor/A 36635-2023 karta.png", "A 36635-2023")</f>
        <v/>
      </c>
      <c r="X75">
        <f>HYPERLINK("https://klasma.github.io/Logging_1880/kartor_geotiff/A 36635-2023 georefererad karta.tif", "A 36635-2023")</f>
        <v/>
      </c>
      <c r="Z75">
        <f>HYPERLINK("https://klasma.github.io/Logging_1880/klagomål/A 36635-2023 FSC-klagomål.docx", "A 36635-2023")</f>
        <v/>
      </c>
      <c r="AA75">
        <f>HYPERLINK("https://klasma.github.io/Logging_1880/klagomålsmail/A 36635-2023 FSC-klagomål mail.docx", "A 36635-2023")</f>
        <v/>
      </c>
      <c r="AB75">
        <f>HYPERLINK("https://klasma.github.io/Logging_1880/tillsyn/A 36635-2023 tillsynsbegäran.docx", "A 36635-2023")</f>
        <v/>
      </c>
      <c r="AC75">
        <f>HYPERLINK("https://klasma.github.io/Logging_1880/tillsynsmail/A 36635-2023 tillsynsbegäran mail.docx", "A 36635-2023")</f>
        <v/>
      </c>
    </row>
    <row r="76" ht="15" customHeight="1">
      <c r="A76" t="inlineStr">
        <is>
          <t>A 39130-2023</t>
        </is>
      </c>
      <c r="B76" t="inlineStr">
        <is>
          <t>avverkningsanmälan</t>
        </is>
      </c>
      <c r="C76" t="inlineStr">
        <is>
          <t>Föryngringsavverkning</t>
        </is>
      </c>
      <c r="D76" s="1" t="n">
        <v>45165</v>
      </c>
      <c r="E76" s="1" t="n">
        <v>46223</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s="2" t="inlineStr">
        <is>
          <t>Blåsippa</t>
        </is>
      </c>
      <c r="V76">
        <f>HYPERLINK("https://klasma.github.io/Logging_1880/artfynd/A 39130-2023 artfynd.xlsx", "A 39130-2023")</f>
        <v/>
      </c>
      <c r="W76">
        <f>HYPERLINK("https://klasma.github.io/Logging_1880/kartor/A 39130-2023 karta.png", "A 39130-2023")</f>
        <v/>
      </c>
      <c r="X76">
        <f>HYPERLINK("https://klasma.github.io/Logging_1880/kartor_geotiff/A 39130-2023 georefererad karta.tif", "A 39130-2023")</f>
        <v/>
      </c>
      <c r="Z76">
        <f>HYPERLINK("https://klasma.github.io/Logging_1880/klagomål/A 39130-2023 FSC-klagomål.docx", "A 39130-2023")</f>
        <v/>
      </c>
      <c r="AA76">
        <f>HYPERLINK("https://klasma.github.io/Logging_1880/klagomålsmail/A 39130-2023 FSC-klagomål mail.docx", "A 39130-2023")</f>
        <v/>
      </c>
      <c r="AB76">
        <f>HYPERLINK("https://klasma.github.io/Logging_1880/tillsyn/A 39130-2023 tillsynsbegäran.docx", "A 39130-2023")</f>
        <v/>
      </c>
      <c r="AC76">
        <f>HYPERLINK("https://klasma.github.io/Logging_1880/tillsynsmail/A 39130-2023 tillsynsbegäran mail.docx", "A 39130-2023")</f>
        <v/>
      </c>
    </row>
    <row r="77" ht="15" customHeight="1">
      <c r="A77" t="inlineStr">
        <is>
          <t>A 60022-2024</t>
        </is>
      </c>
      <c r="B77" t="inlineStr">
        <is>
          <t>avverkningsanmälan</t>
        </is>
      </c>
      <c r="C77" t="inlineStr">
        <is>
          <t>Föryngringsavverkning</t>
        </is>
      </c>
      <c r="D77" s="1" t="n">
        <v>45642</v>
      </c>
      <c r="E77" s="1" t="n">
        <v>46223</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s="2" t="inlineStr">
        <is>
          <t>Granspira</t>
        </is>
      </c>
      <c r="V77">
        <f>HYPERLINK("https://klasma.github.io/Logging_1880/artfynd/A 60022-2024 artfynd.xlsx", "A 60022-2024")</f>
        <v/>
      </c>
      <c r="W77">
        <f>HYPERLINK("https://klasma.github.io/Logging_1880/kartor/A 60022-2024 karta.png", "A 60022-2024")</f>
        <v/>
      </c>
      <c r="X77">
        <f>HYPERLINK("https://klasma.github.io/Logging_1880/kartor_geotiff/A 60022-2024 georefererad karta.tif", "A 60022-2024")</f>
        <v/>
      </c>
      <c r="Z77">
        <f>HYPERLINK("https://klasma.github.io/Logging_1880/klagomål/A 60022-2024 FSC-klagomål.docx", "A 60022-2024")</f>
        <v/>
      </c>
      <c r="AA77">
        <f>HYPERLINK("https://klasma.github.io/Logging_1880/klagomålsmail/A 60022-2024 FSC-klagomål mail.docx", "A 60022-2024")</f>
        <v/>
      </c>
      <c r="AB77">
        <f>HYPERLINK("https://klasma.github.io/Logging_1880/tillsyn/A 60022-2024 tillsynsbegäran.docx", "A 60022-2024")</f>
        <v/>
      </c>
      <c r="AC77">
        <f>HYPERLINK("https://klasma.github.io/Logging_1880/tillsynsmail/A 60022-2024 tillsynsbegäran mail.docx", "A 60022-2024")</f>
        <v/>
      </c>
    </row>
    <row r="78" ht="15" customHeight="1">
      <c r="A78" t="inlineStr">
        <is>
          <t>A 60028-2024</t>
        </is>
      </c>
      <c r="B78" t="inlineStr">
        <is>
          <t>avverkningsanmälan</t>
        </is>
      </c>
      <c r="C78" t="inlineStr">
        <is>
          <t>Föryngringsavverkning</t>
        </is>
      </c>
      <c r="D78" s="1" t="n">
        <v>45642</v>
      </c>
      <c r="E78" s="1" t="n">
        <v>46223</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s="2" t="inlineStr">
        <is>
          <t>Granspira</t>
        </is>
      </c>
      <c r="V78">
        <f>HYPERLINK("https://klasma.github.io/Logging_1880/artfynd/A 60028-2024 artfynd.xlsx", "A 60028-2024")</f>
        <v/>
      </c>
      <c r="W78">
        <f>HYPERLINK("https://klasma.github.io/Logging_1880/kartor/A 60028-2024 karta.png", "A 60028-2024")</f>
        <v/>
      </c>
      <c r="X78">
        <f>HYPERLINK("https://klasma.github.io/Logging_1880/kartor_geotiff/A 60028-2024 georefererad karta.tif", "A 60028-2024")</f>
        <v/>
      </c>
      <c r="Z78">
        <f>HYPERLINK("https://klasma.github.io/Logging_1880/klagomål/A 60028-2024 FSC-klagomål.docx", "A 60028-2024")</f>
        <v/>
      </c>
      <c r="AA78">
        <f>HYPERLINK("https://klasma.github.io/Logging_1880/klagomålsmail/A 60028-2024 FSC-klagomål mail.docx", "A 60028-2024")</f>
        <v/>
      </c>
      <c r="AB78">
        <f>HYPERLINK("https://klasma.github.io/Logging_1880/tillsyn/A 60028-2024 tillsynsbegäran.docx", "A 60028-2024")</f>
        <v/>
      </c>
      <c r="AC78">
        <f>HYPERLINK("https://klasma.github.io/Logging_1880/tillsynsmail/A 60028-2024 tillsynsbegäran mail.docx", "A 60028-2024")</f>
        <v/>
      </c>
    </row>
    <row r="79" ht="15" customHeight="1">
      <c r="A79" t="inlineStr">
        <is>
          <t>A 58208-2024</t>
        </is>
      </c>
      <c r="B79" t="inlineStr">
        <is>
          <t>avverkningsanmälan</t>
        </is>
      </c>
      <c r="C79" t="inlineStr">
        <is>
          <t>Föryngringsavverkning</t>
        </is>
      </c>
      <c r="D79" s="1" t="n">
        <v>45632</v>
      </c>
      <c r="E79" s="1" t="n">
        <v>46223</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s="2" t="inlineStr">
        <is>
          <t>Pilblad</t>
        </is>
      </c>
      <c r="V79">
        <f>HYPERLINK("https://klasma.github.io/Logging_1880/artfynd/A 58208-2024 artfynd.xlsx", "A 58208-2024")</f>
        <v/>
      </c>
      <c r="W79">
        <f>HYPERLINK("https://klasma.github.io/Logging_1880/kartor/A 58208-2024 karta.png", "A 58208-2024")</f>
        <v/>
      </c>
      <c r="X79">
        <f>HYPERLINK("https://klasma.github.io/Logging_1880/kartor_geotiff/A 58208-2024 georefererad karta.tif", "A 58208-2024")</f>
        <v/>
      </c>
      <c r="Z79">
        <f>HYPERLINK("https://klasma.github.io/Logging_1880/klagomål/A 58208-2024 FSC-klagomål.docx", "A 58208-2024")</f>
        <v/>
      </c>
      <c r="AA79">
        <f>HYPERLINK("https://klasma.github.io/Logging_1880/klagomålsmail/A 58208-2024 FSC-klagomål mail.docx", "A 58208-2024")</f>
        <v/>
      </c>
      <c r="AB79">
        <f>HYPERLINK("https://klasma.github.io/Logging_1880/tillsyn/A 58208-2024 tillsynsbegäran.docx", "A 58208-2024")</f>
        <v/>
      </c>
      <c r="AC79">
        <f>HYPERLINK("https://klasma.github.io/Logging_1880/tillsynsmail/A 58208-2024 tillsynsbegäran mail.docx", "A 58208-2024")</f>
        <v/>
      </c>
    </row>
    <row r="80" ht="15" customHeight="1">
      <c r="A80" t="inlineStr">
        <is>
          <t>A 767-2024</t>
        </is>
      </c>
      <c r="B80" t="inlineStr">
        <is>
          <t>avverkningsanmälan</t>
        </is>
      </c>
      <c r="C80" t="inlineStr">
        <is>
          <t>Föryngringsavverkning</t>
        </is>
      </c>
      <c r="D80" s="1" t="n">
        <v>45300</v>
      </c>
      <c r="E80" s="1" t="n">
        <v>46223</v>
      </c>
      <c r="F80" t="inlineStr">
        <is>
          <t>ÖREBRO LÄN</t>
        </is>
      </c>
      <c r="G80" t="inlineStr">
        <is>
          <t>ÖREBRO</t>
        </is>
      </c>
      <c r="I80" t="n">
        <v>2</v>
      </c>
      <c r="J80" t="n">
        <v>0</v>
      </c>
      <c r="K80" t="n">
        <v>0</v>
      </c>
      <c r="L80" t="n">
        <v>0</v>
      </c>
      <c r="M80" t="n">
        <v>0</v>
      </c>
      <c r="N80" t="n">
        <v>1</v>
      </c>
      <c r="O80" t="n">
        <v>0</v>
      </c>
      <c r="P80" t="n">
        <v>0</v>
      </c>
      <c r="Q80" t="n">
        <v>1</v>
      </c>
      <c r="R80" t="n">
        <v>1</v>
      </c>
      <c r="S80" t="n">
        <v>1</v>
      </c>
      <c r="T80" t="n">
        <v>1</v>
      </c>
      <c r="U80" s="2" t="inlineStr">
        <is>
          <t>Ask</t>
        </is>
      </c>
      <c r="V80">
        <f>HYPERLINK("https://klasma.github.io/Logging_1880/artfynd/A 767-2024 artfynd.xlsx", "A 767-2024")</f>
        <v/>
      </c>
      <c r="W80">
        <f>HYPERLINK("https://klasma.github.io/Logging_1880/kartor/A 767-2024 karta.png", "A 767-2024")</f>
        <v/>
      </c>
      <c r="X80">
        <f>HYPERLINK("https://klasma.github.io/Logging_1880/kartor_geotiff/A 767-2024 georefererad karta.tif", "A 767-2024")</f>
        <v/>
      </c>
      <c r="Z80">
        <f>HYPERLINK("https://klasma.github.io/Logging_1880/klagomål/A 767-2024 FSC-klagomål.docx", "A 767-2024")</f>
        <v/>
      </c>
      <c r="AA80">
        <f>HYPERLINK("https://klasma.github.io/Logging_1880/klagomålsmail/A 767-2024 FSC-klagomål mail.docx", "A 767-2024")</f>
        <v/>
      </c>
      <c r="AB80">
        <f>HYPERLINK("https://klasma.github.io/Logging_1880/tillsyn/A 767-2024 tillsynsbegäran.docx", "A 767-2024")</f>
        <v/>
      </c>
      <c r="AC80">
        <f>HYPERLINK("https://klasma.github.io/Logging_1880/tillsynsmail/A 767-2024 tillsynsbegäran mail.docx", "A 767-2024")</f>
        <v/>
      </c>
    </row>
    <row r="81" ht="15" customHeight="1">
      <c r="A81" t="inlineStr">
        <is>
          <t>A 27140-2026</t>
        </is>
      </c>
      <c r="B81" t="inlineStr">
        <is>
          <t>avverkningsanmälan</t>
        </is>
      </c>
      <c r="C81" t="inlineStr">
        <is>
          <t>Föryngringsavverkning</t>
        </is>
      </c>
      <c r="D81" s="1" t="n">
        <v>46188</v>
      </c>
      <c r="E81" s="1" t="n">
        <v>46223</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s="2" t="inlineStr">
        <is>
          <t>Igelkott</t>
        </is>
      </c>
      <c r="V81">
        <f>HYPERLINK("https://klasma.github.io/Logging_1880/artfynd/A 27140-2026 artfynd.xlsx", "A 27140-2026")</f>
        <v/>
      </c>
      <c r="W81">
        <f>HYPERLINK("https://klasma.github.io/Logging_1880/kartor/A 27140-2026 karta.png", "A 27140-2026")</f>
        <v/>
      </c>
      <c r="X81">
        <f>HYPERLINK("https://klasma.github.io/Logging_1880/kartor_geotiff/A 27140-2026 georefererad karta.tif", "A 27140-2026")</f>
        <v/>
      </c>
      <c r="Z81">
        <f>HYPERLINK("https://klasma.github.io/Logging_1880/klagomål/A 27140-2026 FSC-klagomål.docx", "A 27140-2026")</f>
        <v/>
      </c>
      <c r="AA81">
        <f>HYPERLINK("https://klasma.github.io/Logging_1880/klagomålsmail/A 27140-2026 FSC-klagomål mail.docx", "A 27140-2026")</f>
        <v/>
      </c>
      <c r="AB81">
        <f>HYPERLINK("https://klasma.github.io/Logging_1880/tillsyn/A 27140-2026 tillsynsbegäran.docx", "A 27140-2026")</f>
        <v/>
      </c>
      <c r="AC81">
        <f>HYPERLINK("https://klasma.github.io/Logging_1880/tillsynsmail/A 27140-2026 tillsynsbegäran mail.docx", "A 27140-2026")</f>
        <v/>
      </c>
    </row>
    <row r="82" ht="15" customHeight="1">
      <c r="A82" t="inlineStr">
        <is>
          <t>A 27186-2026</t>
        </is>
      </c>
      <c r="B82" t="inlineStr">
        <is>
          <t>avverkningsanmälan</t>
        </is>
      </c>
      <c r="C82" t="inlineStr">
        <is>
          <t>Föryngringsavverkning</t>
        </is>
      </c>
      <c r="D82" s="1" t="n">
        <v>46188</v>
      </c>
      <c r="E82" s="1" t="n">
        <v>46223</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s="2" t="inlineStr">
        <is>
          <t>Tibast</t>
        </is>
      </c>
      <c r="V82">
        <f>HYPERLINK("https://klasma.github.io/Logging_1880/artfynd/A 27186-2026 artfynd.xlsx", "A 27186-2026")</f>
        <v/>
      </c>
      <c r="W82">
        <f>HYPERLINK("https://klasma.github.io/Logging_1880/kartor/A 27186-2026 karta.png", "A 27186-2026")</f>
        <v/>
      </c>
      <c r="X82">
        <f>HYPERLINK("https://klasma.github.io/Logging_1880/kartor_geotiff/A 27186-2026 georefererad karta.tif", "A 27186-2026")</f>
        <v/>
      </c>
      <c r="Z82">
        <f>HYPERLINK("https://klasma.github.io/Logging_1880/klagomål/A 27186-2026 FSC-klagomål.docx", "A 27186-2026")</f>
        <v/>
      </c>
      <c r="AA82">
        <f>HYPERLINK("https://klasma.github.io/Logging_1880/klagomålsmail/A 27186-2026 FSC-klagomål mail.docx", "A 27186-2026")</f>
        <v/>
      </c>
      <c r="AB82">
        <f>HYPERLINK("https://klasma.github.io/Logging_1880/tillsyn/A 27186-2026 tillsynsbegäran.docx", "A 27186-2026")</f>
        <v/>
      </c>
      <c r="AC82">
        <f>HYPERLINK("https://klasma.github.io/Logging_1880/tillsynsmail/A 27186-2026 tillsynsbegäran mail.docx", "A 27186-2026")</f>
        <v/>
      </c>
    </row>
    <row r="83" ht="15" customHeight="1">
      <c r="A83" t="inlineStr">
        <is>
          <t>A 28936-2025</t>
        </is>
      </c>
      <c r="B83" t="inlineStr">
        <is>
          <t>avverkningsanmälan</t>
        </is>
      </c>
      <c r="C83" t="inlineStr">
        <is>
          <t>Föryngringsavverkning</t>
        </is>
      </c>
      <c r="D83" s="1" t="n">
        <v>45820</v>
      </c>
      <c r="E83" s="1" t="n">
        <v>46223</v>
      </c>
      <c r="F83" t="inlineStr">
        <is>
          <t>ÖREBRO LÄN</t>
        </is>
      </c>
      <c r="G83" t="inlineStr">
        <is>
          <t>ÖREBRO</t>
        </is>
      </c>
      <c r="I83" t="n">
        <v>0.9</v>
      </c>
      <c r="J83" t="n">
        <v>1</v>
      </c>
      <c r="K83" t="n">
        <v>0</v>
      </c>
      <c r="L83" t="n">
        <v>0</v>
      </c>
      <c r="M83" t="n">
        <v>0</v>
      </c>
      <c r="N83" t="n">
        <v>0</v>
      </c>
      <c r="O83" t="n">
        <v>0</v>
      </c>
      <c r="P83" t="n">
        <v>0</v>
      </c>
      <c r="Q83" t="n">
        <v>0</v>
      </c>
      <c r="R83" t="n">
        <v>0</v>
      </c>
      <c r="S83" t="n">
        <v>1</v>
      </c>
      <c r="T83" t="n">
        <v>2</v>
      </c>
      <c r="U83" s="2" t="inlineStr">
        <is>
          <t>Kungsfågel</t>
        </is>
      </c>
      <c r="V83">
        <f>HYPERLINK("https://klasma.github.io/Logging_1880/artfynd/A 28936-2025 artfynd.xlsx", "A 28936-2025")</f>
        <v/>
      </c>
      <c r="W83">
        <f>HYPERLINK("https://klasma.github.io/Logging_1880/kartor/A 28936-2025 karta.png", "A 28936-2025")</f>
        <v/>
      </c>
      <c r="X83">
        <f>HYPERLINK("https://klasma.github.io/Logging_1880/kartor_geotiff/A 28936-2025 georefererad karta.tif", "A 28936-2025")</f>
        <v/>
      </c>
      <c r="Z83">
        <f>HYPERLINK("https://klasma.github.io/Logging_1880/klagomål/A 28936-2025 FSC-klagomål.docx", "A 28936-2025")</f>
        <v/>
      </c>
      <c r="AA83">
        <f>HYPERLINK("https://klasma.github.io/Logging_1880/klagomålsmail/A 28936-2025 FSC-klagomål mail.docx", "A 28936-2025")</f>
        <v/>
      </c>
      <c r="AB83">
        <f>HYPERLINK("https://klasma.github.io/Logging_1880/tillsyn/A 28936-2025 tillsynsbegäran.docx", "A 28936-2025")</f>
        <v/>
      </c>
      <c r="AC83">
        <f>HYPERLINK("https://klasma.github.io/Logging_1880/tillsynsmail/A 28936-2025 tillsynsbegäran mail.docx", "A 28936-2025")</f>
        <v/>
      </c>
    </row>
    <row r="84" ht="15" customHeight="1">
      <c r="A84" t="inlineStr">
        <is>
          <t>A 2077-2023</t>
        </is>
      </c>
      <c r="B84" t="inlineStr">
        <is>
          <t>avverkningsanmälan</t>
        </is>
      </c>
      <c r="C84" t="inlineStr">
        <is>
          <t>Föryngringsavverkning</t>
        </is>
      </c>
      <c r="D84" s="1" t="n">
        <v>44939</v>
      </c>
      <c r="E84" s="1" t="n">
        <v>46223</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s="2" t="inlineStr">
        <is>
          <t>Rödvingetrast</t>
        </is>
      </c>
      <c r="V84">
        <f>HYPERLINK("https://klasma.github.io/Logging_1880/artfynd/A 2077-2023 artfynd.xlsx", "A 2077-2023")</f>
        <v/>
      </c>
      <c r="W84">
        <f>HYPERLINK("https://klasma.github.io/Logging_1880/kartor/A 2077-2023 karta.png", "A 2077-2023")</f>
        <v/>
      </c>
      <c r="X84">
        <f>HYPERLINK("https://klasma.github.io/Logging_1880/kartor_geotiff/A 2077-2023 georefererad karta.tif", "A 2077-2023")</f>
        <v/>
      </c>
      <c r="Z84">
        <f>HYPERLINK("https://klasma.github.io/Logging_1880/klagomål/A 2077-2023 FSC-klagomål.docx", "A 2077-2023")</f>
        <v/>
      </c>
      <c r="AA84">
        <f>HYPERLINK("https://klasma.github.io/Logging_1880/klagomålsmail/A 2077-2023 FSC-klagomål mail.docx", "A 2077-2023")</f>
        <v/>
      </c>
      <c r="AB84">
        <f>HYPERLINK("https://klasma.github.io/Logging_1880/tillsyn/A 2077-2023 tillsynsbegäran.docx", "A 2077-2023")</f>
        <v/>
      </c>
      <c r="AC84">
        <f>HYPERLINK("https://klasma.github.io/Logging_1880/tillsynsmail/A 2077-2023 tillsynsbegäran mail.docx", "A 2077-2023")</f>
        <v/>
      </c>
      <c r="AD84">
        <f>HYPERLINK("https://klasma.github.io/Logging_1880/fåglar/A 2077-2023 prioriterade fågelarter.docx", "A 2077-2023")</f>
        <v/>
      </c>
    </row>
    <row r="85" ht="15" customHeight="1">
      <c r="A85" t="inlineStr">
        <is>
          <t>A 44389-2021</t>
        </is>
      </c>
      <c r="B85" t="inlineStr">
        <is>
          <t>avverkningsanmälan</t>
        </is>
      </c>
      <c r="C85" t="inlineStr">
        <is>
          <t>Föryngringsavverkning</t>
        </is>
      </c>
      <c r="D85" s="1" t="n">
        <v>44435</v>
      </c>
      <c r="E85" s="1" t="n">
        <v>46223</v>
      </c>
      <c r="F85" t="inlineStr">
        <is>
          <t>ÖREBRO LÄN</t>
        </is>
      </c>
      <c r="G85" t="inlineStr">
        <is>
          <t>ÖREBRO</t>
        </is>
      </c>
      <c r="I85" t="n">
        <v>2.2</v>
      </c>
      <c r="J85" t="n">
        <v>1</v>
      </c>
      <c r="K85" t="n">
        <v>0</v>
      </c>
      <c r="L85" t="n">
        <v>0</v>
      </c>
      <c r="M85" t="n">
        <v>1</v>
      </c>
      <c r="N85" t="n">
        <v>0</v>
      </c>
      <c r="O85" t="n">
        <v>0</v>
      </c>
      <c r="P85" t="n">
        <v>0</v>
      </c>
      <c r="Q85" t="n">
        <v>1</v>
      </c>
      <c r="R85" t="n">
        <v>1</v>
      </c>
      <c r="S85" t="n">
        <v>1</v>
      </c>
      <c r="T85" t="n">
        <v>4</v>
      </c>
      <c r="U85" s="2" t="inlineStr">
        <is>
          <t>Knärot</t>
        </is>
      </c>
      <c r="V85">
        <f>HYPERLINK("https://klasma.github.io/Logging_1880/artfynd/A 44389-2021 artfynd.xlsx", "A 44389-2021")</f>
        <v/>
      </c>
      <c r="W85">
        <f>HYPERLINK("https://klasma.github.io/Logging_1880/kartor/A 44389-2021 karta.png", "A 44389-2021")</f>
        <v/>
      </c>
      <c r="X85">
        <f>HYPERLINK("https://klasma.github.io/Logging_1880/kartor_geotiff/A 44389-2021 georefererad karta.tif", "A 44389-2021")</f>
        <v/>
      </c>
      <c r="Y85">
        <f>HYPERLINK("https://klasma.github.io/Logging_1880/knärot/A 44389-2021 karta knärot.png", "A 44389-2021")</f>
        <v/>
      </c>
      <c r="Z85">
        <f>HYPERLINK("https://klasma.github.io/Logging_1880/klagomål/A 44389-2021 FSC-klagomål.docx", "A 44389-2021")</f>
        <v/>
      </c>
      <c r="AA85">
        <f>HYPERLINK("https://klasma.github.io/Logging_1880/klagomålsmail/A 44389-2021 FSC-klagomål mail.docx", "A 44389-2021")</f>
        <v/>
      </c>
      <c r="AB85">
        <f>HYPERLINK("https://klasma.github.io/Logging_1880/tillsyn/A 44389-2021 tillsynsbegäran.docx", "A 44389-2021")</f>
        <v/>
      </c>
      <c r="AC85">
        <f>HYPERLINK("https://klasma.github.io/Logging_1880/tillsynsmail/A 44389-2021 tillsynsbegäran mail.docx", "A 44389-2021")</f>
        <v/>
      </c>
    </row>
    <row r="86" ht="15" customHeight="1">
      <c r="A86" t="inlineStr">
        <is>
          <t>A 43803-2023</t>
        </is>
      </c>
      <c r="B86" t="inlineStr">
        <is>
          <t>avverkningsanmälan</t>
        </is>
      </c>
      <c r="C86" t="inlineStr">
        <is>
          <t>Föryngringsavverkning</t>
        </is>
      </c>
      <c r="D86" s="1" t="n">
        <v>45187</v>
      </c>
      <c r="E86" s="1" t="n">
        <v>46223</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s="2" t="inlineStr">
        <is>
          <t>Vedtrappmossa</t>
        </is>
      </c>
      <c r="V86">
        <f>HYPERLINK("https://klasma.github.io/Logging_1880/artfynd/A 43803-2023 artfynd.xlsx", "A 43803-2023")</f>
        <v/>
      </c>
      <c r="W86">
        <f>HYPERLINK("https://klasma.github.io/Logging_1880/kartor/A 43803-2023 karta.png", "A 43803-2023")</f>
        <v/>
      </c>
      <c r="X86">
        <f>HYPERLINK("https://klasma.github.io/Logging_1880/kartor_geotiff/A 43803-2023 georefererad karta.tif", "A 43803-2023")</f>
        <v/>
      </c>
      <c r="Z86">
        <f>HYPERLINK("https://klasma.github.io/Logging_1880/klagomål/A 43803-2023 FSC-klagomål.docx", "A 43803-2023")</f>
        <v/>
      </c>
      <c r="AA86">
        <f>HYPERLINK("https://klasma.github.io/Logging_1880/klagomålsmail/A 43803-2023 FSC-klagomål mail.docx", "A 43803-2023")</f>
        <v/>
      </c>
      <c r="AB86">
        <f>HYPERLINK("https://klasma.github.io/Logging_1880/tillsyn/A 43803-2023 tillsynsbegäran.docx", "A 43803-2023")</f>
        <v/>
      </c>
      <c r="AC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46223</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s="2" t="inlineStr">
        <is>
          <t>Slåtterfibbla</t>
        </is>
      </c>
      <c r="V87">
        <f>HYPERLINK("https://klasma.github.io/Logging_1880/artfynd/A 31240-2023 artfynd.xlsx", "A 31240-2023")</f>
        <v/>
      </c>
      <c r="W87">
        <f>HYPERLINK("https://klasma.github.io/Logging_1880/kartor/A 31240-2023 karta.png", "A 31240-2023")</f>
        <v/>
      </c>
      <c r="X87">
        <f>HYPERLINK("https://klasma.github.io/Logging_1880/kartor_geotiff/A 31240-2023 georefererad karta.tif", "A 31240-2023")</f>
        <v/>
      </c>
      <c r="Z87">
        <f>HYPERLINK("https://klasma.github.io/Logging_1880/klagomål/A 31240-2023 FSC-klagomål.docx", "A 31240-2023")</f>
        <v/>
      </c>
      <c r="AA87">
        <f>HYPERLINK("https://klasma.github.io/Logging_1880/klagomålsmail/A 31240-2023 FSC-klagomål mail.docx", "A 31240-2023")</f>
        <v/>
      </c>
      <c r="AB87">
        <f>HYPERLINK("https://klasma.github.io/Logging_1880/tillsyn/A 31240-2023 tillsynsbegäran.docx", "A 31240-2023")</f>
        <v/>
      </c>
      <c r="AC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46223</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s="2" t="inlineStr">
        <is>
          <t>Skogsknipprot</t>
        </is>
      </c>
      <c r="V88">
        <f>HYPERLINK("https://klasma.github.io/Logging_1880/artfynd/A 31695-2024 artfynd.xlsx", "A 31695-2024")</f>
        <v/>
      </c>
      <c r="W88">
        <f>HYPERLINK("https://klasma.github.io/Logging_1880/kartor/A 31695-2024 karta.png", "A 31695-2024")</f>
        <v/>
      </c>
      <c r="X88">
        <f>HYPERLINK("https://klasma.github.io/Logging_1880/kartor_geotiff/A 31695-2024 georefererad karta.tif", "A 31695-2024")</f>
        <v/>
      </c>
      <c r="Z88">
        <f>HYPERLINK("https://klasma.github.io/Logging_1880/klagomål/A 31695-2024 FSC-klagomål.docx", "A 31695-2024")</f>
        <v/>
      </c>
      <c r="AA88">
        <f>HYPERLINK("https://klasma.github.io/Logging_1880/klagomålsmail/A 31695-2024 FSC-klagomål mail.docx", "A 31695-2024")</f>
        <v/>
      </c>
      <c r="AB88">
        <f>HYPERLINK("https://klasma.github.io/Logging_1880/tillsyn/A 31695-2024 tillsynsbegäran.docx", "A 31695-2024")</f>
        <v/>
      </c>
      <c r="AC88">
        <f>HYPERLINK("https://klasma.github.io/Logging_1880/tillsynsmail/A 31695-2024 tillsynsbegäran mail.docx", "A 31695-2024")</f>
        <v/>
      </c>
    </row>
    <row r="89" ht="15" customHeight="1">
      <c r="A89" t="inlineStr">
        <is>
          <t>A 30642-2026</t>
        </is>
      </c>
      <c r="B89" t="inlineStr">
        <is>
          <t>avverkningsanmälan</t>
        </is>
      </c>
      <c r="C89" t="inlineStr">
        <is>
          <t>Föryngringsavverkning</t>
        </is>
      </c>
      <c r="D89" s="1" t="n">
        <v>46211</v>
      </c>
      <c r="E89" s="1" t="n">
        <v>46223</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s="2" t="inlineStr">
        <is>
          <t>Tibast</t>
        </is>
      </c>
      <c r="V89">
        <f>HYPERLINK("https://klasma.github.io/Logging_1880/artfynd/A 30642-2026 artfynd.xlsx", "A 30642-2026")</f>
        <v/>
      </c>
      <c r="W89">
        <f>HYPERLINK("https://klasma.github.io/Logging_1880/kartor/A 30642-2026 karta.png", "A 30642-2026")</f>
        <v/>
      </c>
      <c r="X89">
        <f>HYPERLINK("https://klasma.github.io/Logging_1880/kartor_geotiff/A 30642-2026 georefererad karta.tif", "A 30642-2026")</f>
        <v/>
      </c>
      <c r="Z89">
        <f>HYPERLINK("https://klasma.github.io/Logging_1880/klagomål/A 30642-2026 FSC-klagomål.docx", "A 30642-2026")</f>
        <v/>
      </c>
      <c r="AA89">
        <f>HYPERLINK("https://klasma.github.io/Logging_1880/klagomålsmail/A 30642-2026 FSC-klagomål mail.docx", "A 30642-2026")</f>
        <v/>
      </c>
      <c r="AB89">
        <f>HYPERLINK("https://klasma.github.io/Logging_1880/tillsyn/A 30642-2026 tillsynsbegäran.docx", "A 30642-2026")</f>
        <v/>
      </c>
      <c r="AC89">
        <f>HYPERLINK("https://klasma.github.io/Logging_1880/tillsynsmail/A 30642-2026 tillsynsbegäran mail.docx", "A 30642-2026")</f>
        <v/>
      </c>
    </row>
    <row r="90" ht="15" customHeight="1">
      <c r="A90" t="inlineStr">
        <is>
          <t>A 52441-2024</t>
        </is>
      </c>
      <c r="B90" t="inlineStr">
        <is>
          <t>avverkningsanmälan</t>
        </is>
      </c>
      <c r="C90" t="inlineStr">
        <is>
          <t>Avverkning för att bevara och utveckla /försöksver</t>
        </is>
      </c>
      <c r="D90" s="1" t="n">
        <v>45609</v>
      </c>
      <c r="E90" s="1" t="n">
        <v>46223</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s="2" t="inlineStr">
        <is>
          <t>Brunfläckig pärlemorfjäril</t>
        </is>
      </c>
      <c r="V90">
        <f>HYPERLINK("https://klasma.github.io/Logging_1880/artfynd/A 52441-2024 artfynd.xlsx", "A 52441-2024")</f>
        <v/>
      </c>
      <c r="W90">
        <f>HYPERLINK("https://klasma.github.io/Logging_1880/kartor/A 52441-2024 karta.png", "A 52441-2024")</f>
        <v/>
      </c>
      <c r="X90">
        <f>HYPERLINK("https://klasma.github.io/Logging_1880/kartor_geotiff/A 52441-2024 georefererad karta.tif", "A 52441-2024")</f>
        <v/>
      </c>
      <c r="Z90">
        <f>HYPERLINK("https://klasma.github.io/Logging_1880/klagomål/A 52441-2024 FSC-klagomål.docx", "A 52441-2024")</f>
        <v/>
      </c>
      <c r="AA90">
        <f>HYPERLINK("https://klasma.github.io/Logging_1880/klagomålsmail/A 52441-2024 FSC-klagomål mail.docx", "A 52441-2024")</f>
        <v/>
      </c>
      <c r="AB90">
        <f>HYPERLINK("https://klasma.github.io/Logging_1880/tillsyn/A 52441-2024 tillsynsbegäran.docx", "A 52441-2024")</f>
        <v/>
      </c>
      <c r="AC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46223</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s="2" t="inlineStr">
        <is>
          <t>Igelkott</t>
        </is>
      </c>
      <c r="V91">
        <f>HYPERLINK("https://klasma.github.io/Logging_1880/artfynd/A 42636-2023 artfynd.xlsx", "A 42636-2023")</f>
        <v/>
      </c>
      <c r="W91">
        <f>HYPERLINK("https://klasma.github.io/Logging_1880/kartor/A 42636-2023 karta.png", "A 42636-2023")</f>
        <v/>
      </c>
      <c r="X91">
        <f>HYPERLINK("https://klasma.github.io/Logging_1880/kartor_geotiff/A 42636-2023 georefererad karta.tif", "A 42636-2023")</f>
        <v/>
      </c>
      <c r="Z91">
        <f>HYPERLINK("https://klasma.github.io/Logging_1880/klagomål/A 42636-2023 FSC-klagomål.docx", "A 42636-2023")</f>
        <v/>
      </c>
      <c r="AA91">
        <f>HYPERLINK("https://klasma.github.io/Logging_1880/klagomålsmail/A 42636-2023 FSC-klagomål mail.docx", "A 42636-2023")</f>
        <v/>
      </c>
      <c r="AB91">
        <f>HYPERLINK("https://klasma.github.io/Logging_1880/tillsyn/A 42636-2023 tillsynsbegäran.docx", "A 42636-2023")</f>
        <v/>
      </c>
      <c r="AC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46223</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s="2" t="inlineStr">
        <is>
          <t>Trana</t>
        </is>
      </c>
      <c r="V92">
        <f>HYPERLINK("https://klasma.github.io/Logging_1880/artfynd/A 55904-2024 artfynd.xlsx", "A 55904-2024")</f>
        <v/>
      </c>
      <c r="W92">
        <f>HYPERLINK("https://klasma.github.io/Logging_1880/kartor/A 55904-2024 karta.png", "A 55904-2024")</f>
        <v/>
      </c>
      <c r="X92">
        <f>HYPERLINK("https://klasma.github.io/Logging_1880/kartor_geotiff/A 55904-2024 georefererad karta.tif", "A 55904-2024")</f>
        <v/>
      </c>
      <c r="Z92">
        <f>HYPERLINK("https://klasma.github.io/Logging_1880/klagomål/A 55904-2024 FSC-klagomål.docx", "A 55904-2024")</f>
        <v/>
      </c>
      <c r="AA92">
        <f>HYPERLINK("https://klasma.github.io/Logging_1880/klagomålsmail/A 55904-2024 FSC-klagomål mail.docx", "A 55904-2024")</f>
        <v/>
      </c>
      <c r="AB92">
        <f>HYPERLINK("https://klasma.github.io/Logging_1880/tillsyn/A 55904-2024 tillsynsbegäran.docx", "A 55904-2024")</f>
        <v/>
      </c>
      <c r="AC92">
        <f>HYPERLINK("https://klasma.github.io/Logging_1880/tillsynsmail/A 55904-2024 tillsynsbegäran mail.docx", "A 55904-2024")</f>
        <v/>
      </c>
      <c r="AD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46223</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s="2" t="inlineStr">
        <is>
          <t>Kungsfågel</t>
        </is>
      </c>
      <c r="V93">
        <f>HYPERLINK("https://klasma.github.io/Logging_1880/artfynd/S 3434-2025 artfynd.xlsx", "S 3434-2025")</f>
        <v/>
      </c>
      <c r="W93">
        <f>HYPERLINK("https://klasma.github.io/Logging_1880/kartor/S 3434-2025 karta.png", "S 3434-2025")</f>
        <v/>
      </c>
      <c r="X93">
        <f>HYPERLINK("https://klasma.github.io/Logging_1880/kartor_geotiff/S 3434-2025 georefererad karta.tif", "S 3434-2025")</f>
        <v/>
      </c>
      <c r="Z93">
        <f>HYPERLINK("https://klasma.github.io/Logging_1880/klagomål/S 3434-2025 FSC-klagomål.docx", "S 3434-2025")</f>
        <v/>
      </c>
      <c r="AA93">
        <f>HYPERLINK("https://klasma.github.io/Logging_1880/klagomålsmail/S 3434-2025 FSC-klagomål mail.docx", "S 3434-2025")</f>
        <v/>
      </c>
      <c r="AB93">
        <f>HYPERLINK("https://klasma.github.io/Logging_1880/tillsyn/S 3434-2025 tillsynsbegäran.docx", "S 3434-2025")</f>
        <v/>
      </c>
      <c r="AC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46223</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3436-2025 artfynd.xlsx", "S 3436-2025")</f>
        <v/>
      </c>
      <c r="W94">
        <f>HYPERLINK("https://klasma.github.io/Logging_1880/kartor/S 3436-2025 karta.png", "S 3436-2025")</f>
        <v/>
      </c>
      <c r="X94">
        <f>HYPERLINK("https://klasma.github.io/Logging_1880/kartor_geotiff/S 3436-2025 georefererad karta.tif", "S 3436-2025")</f>
        <v/>
      </c>
      <c r="Z94">
        <f>HYPERLINK("https://klasma.github.io/Logging_1880/klagomål/S 3436-2025 FSC-klagomål.docx", "S 3436-2025")</f>
        <v/>
      </c>
      <c r="AA94">
        <f>HYPERLINK("https://klasma.github.io/Logging_1880/klagomålsmail/S 3436-2025 FSC-klagomål mail.docx", "S 3436-2025")</f>
        <v/>
      </c>
      <c r="AB94">
        <f>HYPERLINK("https://klasma.github.io/Logging_1880/tillsyn/S 3436-2025 tillsynsbegäran.docx", "S 3436-2025")</f>
        <v/>
      </c>
      <c r="AC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46223</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s="2" t="inlineStr">
        <is>
          <t>Spillkråka</t>
        </is>
      </c>
      <c r="V95">
        <f>HYPERLINK("https://klasma.github.io/Logging_1880/artfynd/S 3435-2025 artfynd.xlsx", "S 3435-2025")</f>
        <v/>
      </c>
      <c r="W95">
        <f>HYPERLINK("https://klasma.github.io/Logging_1880/kartor/S 3435-2025 karta.png", "S 3435-2025")</f>
        <v/>
      </c>
      <c r="X95">
        <f>HYPERLINK("https://klasma.github.io/Logging_1880/kartor_geotiff/S 3435-2025 georefererad karta.tif", "S 3435-2025")</f>
        <v/>
      </c>
      <c r="Z95">
        <f>HYPERLINK("https://klasma.github.io/Logging_1880/klagomål/S 3435-2025 FSC-klagomål.docx", "S 3435-2025")</f>
        <v/>
      </c>
      <c r="AA95">
        <f>HYPERLINK("https://klasma.github.io/Logging_1880/klagomålsmail/S 3435-2025 FSC-klagomål mail.docx", "S 3435-2025")</f>
        <v/>
      </c>
      <c r="AB95">
        <f>HYPERLINK("https://klasma.github.io/Logging_1880/tillsyn/S 3435-2025 tillsynsbegäran.docx", "S 3435-2025")</f>
        <v/>
      </c>
      <c r="AC95">
        <f>HYPERLINK("https://klasma.github.io/Logging_1880/tillsynsmail/S 3435-2025 tillsynsbegäran mail.docx", "S 3435-2025")</f>
        <v/>
      </c>
      <c r="AD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46223</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s="2" t="inlineStr"/>
    </row>
    <row r="97" ht="15" customHeight="1">
      <c r="A97" t="inlineStr">
        <is>
          <t>A 49016-2021</t>
        </is>
      </c>
      <c r="B97" t="inlineStr">
        <is>
          <t>avverkningsanmälan</t>
        </is>
      </c>
      <c r="C97" t="inlineStr">
        <is>
          <t>Föryngringsavverkning</t>
        </is>
      </c>
      <c r="D97" s="1" t="n">
        <v>44453</v>
      </c>
      <c r="E97" s="1" t="n">
        <v>46223</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46223</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59584-2021</t>
        </is>
      </c>
      <c r="B99" t="inlineStr">
        <is>
          <t>avverkningsanmälan</t>
        </is>
      </c>
      <c r="C99" t="inlineStr">
        <is>
          <t>Föryngringsavverkning</t>
        </is>
      </c>
      <c r="D99" s="1" t="n">
        <v>44491</v>
      </c>
      <c r="E99" s="1" t="n">
        <v>46223</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s="2" t="inlineStr"/>
    </row>
    <row r="100" ht="15" customHeight="1">
      <c r="A100" t="inlineStr">
        <is>
          <t>A 63890-2021</t>
        </is>
      </c>
      <c r="B100" t="inlineStr">
        <is>
          <t>avverkningsanmälan</t>
        </is>
      </c>
      <c r="C100" t="inlineStr">
        <is>
          <t>Föryngringsavverkning</t>
        </is>
      </c>
      <c r="D100" s="1" t="n">
        <v>44509</v>
      </c>
      <c r="E100" s="1" t="n">
        <v>46223</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s="2" t="inlineStr"/>
    </row>
    <row r="101" ht="15" customHeight="1">
      <c r="A101" t="inlineStr">
        <is>
          <t>A 7365-2022</t>
        </is>
      </c>
      <c r="B101" t="inlineStr">
        <is>
          <t>avverkningsanmälan</t>
        </is>
      </c>
      <c r="C101" t="inlineStr">
        <is>
          <t>Avverkning för att bevara och utveckla /försöksver</t>
        </is>
      </c>
      <c r="D101" s="1" t="n">
        <v>44606</v>
      </c>
      <c r="E101" s="1" t="n">
        <v>46223</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41892-2022</t>
        </is>
      </c>
      <c r="B102" t="inlineStr">
        <is>
          <t>avverkningsanmälan</t>
        </is>
      </c>
      <c r="C102" t="inlineStr">
        <is>
          <t>Föryngringsavverkning</t>
        </is>
      </c>
      <c r="D102" s="1" t="n">
        <v>44830</v>
      </c>
      <c r="E102" s="1" t="n">
        <v>46223</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66985-2021</t>
        </is>
      </c>
      <c r="B103" t="inlineStr">
        <is>
          <t>avverkningsanmälan</t>
        </is>
      </c>
      <c r="C103" t="inlineStr">
        <is>
          <t>Avverkning för annat ändamål</t>
        </is>
      </c>
      <c r="D103" s="1" t="n">
        <v>44522</v>
      </c>
      <c r="E103" s="1" t="n">
        <v>46223</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s="2" t="inlineStr"/>
    </row>
    <row r="104" ht="15" customHeight="1">
      <c r="A104" t="inlineStr">
        <is>
          <t>A 18674-2022</t>
        </is>
      </c>
      <c r="B104" t="inlineStr">
        <is>
          <t>avverkningsanmälan</t>
        </is>
      </c>
      <c r="C104" t="inlineStr">
        <is>
          <t>Föryngringsavverkning</t>
        </is>
      </c>
      <c r="D104" s="1" t="n">
        <v>44687</v>
      </c>
      <c r="E104" s="1" t="n">
        <v>46223</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14877-2022</t>
        </is>
      </c>
      <c r="B105" t="inlineStr">
        <is>
          <t>avverkningsanmälan</t>
        </is>
      </c>
      <c r="C105" t="inlineStr">
        <is>
          <t>Föryngringsavverkning</t>
        </is>
      </c>
      <c r="D105" s="1" t="n">
        <v>44656</v>
      </c>
      <c r="E105" s="1" t="n">
        <v>46223</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14878-2022</t>
        </is>
      </c>
      <c r="B106" t="inlineStr">
        <is>
          <t>avverkningsanmälan</t>
        </is>
      </c>
      <c r="C106" t="inlineStr">
        <is>
          <t>Föryngringsavverkning</t>
        </is>
      </c>
      <c r="D106" s="1" t="n">
        <v>44656</v>
      </c>
      <c r="E106" s="1" t="n">
        <v>46223</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s="2" t="inlineStr"/>
    </row>
    <row r="107" ht="15" customHeight="1">
      <c r="A107" t="inlineStr">
        <is>
          <t>A 22153-2022</t>
        </is>
      </c>
      <c r="B107" t="inlineStr">
        <is>
          <t>avverkningsanmälan</t>
        </is>
      </c>
      <c r="C107" t="inlineStr">
        <is>
          <t>Föryngringsavverkning</t>
        </is>
      </c>
      <c r="D107" s="1" t="n">
        <v>44712</v>
      </c>
      <c r="E107" s="1" t="n">
        <v>46223</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16969-2022</t>
        </is>
      </c>
      <c r="B108" t="inlineStr">
        <is>
          <t>avverkningsanmälan</t>
        </is>
      </c>
      <c r="C108" t="inlineStr">
        <is>
          <t>Föryngringsavverkning</t>
        </is>
      </c>
      <c r="D108" s="1" t="n">
        <v>44676</v>
      </c>
      <c r="E108" s="1" t="n">
        <v>46223</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66970-2021</t>
        </is>
      </c>
      <c r="B109" t="inlineStr">
        <is>
          <t>avverkningsanmälan</t>
        </is>
      </c>
      <c r="C109" t="inlineStr">
        <is>
          <t>Föryngringsavverkning</t>
        </is>
      </c>
      <c r="D109" s="1" t="n">
        <v>44522</v>
      </c>
      <c r="E109" s="1" t="n">
        <v>46223</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16759-2022</t>
        </is>
      </c>
      <c r="B110" t="inlineStr">
        <is>
          <t>avverkningsanmälan</t>
        </is>
      </c>
      <c r="C110" t="inlineStr">
        <is>
          <t>Föryngringsavverkning</t>
        </is>
      </c>
      <c r="D110" s="1" t="n">
        <v>44673</v>
      </c>
      <c r="E110" s="1" t="n">
        <v>46223</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s="2" t="inlineStr"/>
    </row>
    <row r="111" ht="15" customHeight="1">
      <c r="A111" t="inlineStr">
        <is>
          <t>A 55012-2022</t>
        </is>
      </c>
      <c r="B111" t="inlineStr">
        <is>
          <t>avverkningsanmälan</t>
        </is>
      </c>
      <c r="C111" t="inlineStr">
        <is>
          <t>Föryngringsavverkning</t>
        </is>
      </c>
      <c r="D111" s="1" t="n">
        <v>44886</v>
      </c>
      <c r="E111" s="1" t="n">
        <v>46223</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s="2" t="inlineStr"/>
    </row>
    <row r="112" ht="15" customHeight="1">
      <c r="A112" t="inlineStr">
        <is>
          <t>A 70871-2021</t>
        </is>
      </c>
      <c r="B112" t="inlineStr">
        <is>
          <t>avverkningsanmälan</t>
        </is>
      </c>
      <c r="C112" t="inlineStr">
        <is>
          <t>Föryngringsavverkning</t>
        </is>
      </c>
      <c r="D112" s="1" t="n">
        <v>44538</v>
      </c>
      <c r="E112" s="1" t="n">
        <v>46223</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36794-2022</t>
        </is>
      </c>
      <c r="B113" t="inlineStr">
        <is>
          <t>avverkningsanmälan</t>
        </is>
      </c>
      <c r="C113" t="inlineStr">
        <is>
          <t>Föryngringsavverkning</t>
        </is>
      </c>
      <c r="D113" s="1" t="n">
        <v>44805</v>
      </c>
      <c r="E113" s="1" t="n">
        <v>46223</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70199-2021</t>
        </is>
      </c>
      <c r="B114" t="inlineStr">
        <is>
          <t>avverkningsanmälan</t>
        </is>
      </c>
      <c r="C114" t="inlineStr">
        <is>
          <t>Föryngringsavverkning</t>
        </is>
      </c>
      <c r="D114" s="1" t="n">
        <v>44534</v>
      </c>
      <c r="E114" s="1" t="n">
        <v>46223</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s="2" t="inlineStr"/>
    </row>
    <row r="115" ht="15" customHeight="1">
      <c r="A115" t="inlineStr">
        <is>
          <t>A 51429-2021</t>
        </is>
      </c>
      <c r="B115" t="inlineStr">
        <is>
          <t>avverkningsanmälan</t>
        </is>
      </c>
      <c r="C115" t="inlineStr">
        <is>
          <t>Föryngringsavverkning</t>
        </is>
      </c>
      <c r="D115" s="1" t="n">
        <v>44461</v>
      </c>
      <c r="E115" s="1" t="n">
        <v>46223</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797-2022</t>
        </is>
      </c>
      <c r="B116" t="inlineStr">
        <is>
          <t>avverkningsanmälan</t>
        </is>
      </c>
      <c r="C116" t="inlineStr">
        <is>
          <t>Föryngringsavverkning</t>
        </is>
      </c>
      <c r="D116" s="1" t="n">
        <v>44566</v>
      </c>
      <c r="E116" s="1" t="n">
        <v>46223</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s="2" t="inlineStr"/>
    </row>
    <row r="117" ht="15" customHeight="1">
      <c r="A117" t="inlineStr">
        <is>
          <t>A 13045-2022</t>
        </is>
      </c>
      <c r="B117" t="inlineStr">
        <is>
          <t>avverkningsanmälan</t>
        </is>
      </c>
      <c r="C117" t="inlineStr">
        <is>
          <t>Föryngringsavverkning</t>
        </is>
      </c>
      <c r="D117" s="1" t="n">
        <v>44643</v>
      </c>
      <c r="E117" s="1" t="n">
        <v>46223</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64523-2021</t>
        </is>
      </c>
      <c r="B118" t="inlineStr">
        <is>
          <t>avverkningsanmälan</t>
        </is>
      </c>
      <c r="C118" t="inlineStr">
        <is>
          <t>Avverkning för annat ändamål</t>
        </is>
      </c>
      <c r="D118" s="1" t="n">
        <v>44511</v>
      </c>
      <c r="E118" s="1" t="n">
        <v>46223</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10019-2022</t>
        </is>
      </c>
      <c r="B119" t="inlineStr">
        <is>
          <t>avverkningsanmälan</t>
        </is>
      </c>
      <c r="C119" t="inlineStr">
        <is>
          <t>Avverkning för annat ändamål</t>
        </is>
      </c>
      <c r="D119" s="1" t="n">
        <v>44621</v>
      </c>
      <c r="E119" s="1" t="n">
        <v>46223</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44146-2021</t>
        </is>
      </c>
      <c r="B120" t="inlineStr">
        <is>
          <t>avverkningsanmälan</t>
        </is>
      </c>
      <c r="C120" t="inlineStr">
        <is>
          <t>Föryngringsavverkning</t>
        </is>
      </c>
      <c r="D120" s="1" t="n">
        <v>44434</v>
      </c>
      <c r="E120" s="1" t="n">
        <v>46223</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21567-2022</t>
        </is>
      </c>
      <c r="B121" t="inlineStr">
        <is>
          <t>avverkningsanmälan</t>
        </is>
      </c>
      <c r="C121" t="inlineStr">
        <is>
          <t>Föryngringsavverkning</t>
        </is>
      </c>
      <c r="D121" s="1" t="n">
        <v>44706</v>
      </c>
      <c r="E121" s="1" t="n">
        <v>46223</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58138-2021</t>
        </is>
      </c>
      <c r="B122" t="inlineStr">
        <is>
          <t>avverkningsanmälan</t>
        </is>
      </c>
      <c r="C122" t="inlineStr">
        <is>
          <t>Föryngringsavverkning</t>
        </is>
      </c>
      <c r="D122" s="1" t="n">
        <v>44487</v>
      </c>
      <c r="E122" s="1" t="n">
        <v>46223</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6638-2022</t>
        </is>
      </c>
      <c r="B123" t="inlineStr">
        <is>
          <t>avverkningsanmälan</t>
        </is>
      </c>
      <c r="C123" t="inlineStr">
        <is>
          <t>Föryngringsavverkning</t>
        </is>
      </c>
      <c r="D123" s="1" t="n">
        <v>44601</v>
      </c>
      <c r="E123" s="1" t="n">
        <v>46223</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s="2" t="inlineStr"/>
    </row>
    <row r="124" ht="15" customHeight="1">
      <c r="A124" t="inlineStr">
        <is>
          <t>A 29490-2022</t>
        </is>
      </c>
      <c r="B124" t="inlineStr">
        <is>
          <t>avverkningsanmälan</t>
        </is>
      </c>
      <c r="C124" t="inlineStr">
        <is>
          <t>Föryngringsavverkning</t>
        </is>
      </c>
      <c r="D124" s="1" t="n">
        <v>44753</v>
      </c>
      <c r="E124" s="1" t="n">
        <v>46223</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46223</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37395-2021</t>
        </is>
      </c>
      <c r="B126" t="inlineStr">
        <is>
          <t>avverkningsanmälan</t>
        </is>
      </c>
      <c r="C126" t="inlineStr">
        <is>
          <t>Föryngringsavverkning</t>
        </is>
      </c>
      <c r="D126" s="1" t="n">
        <v>44398</v>
      </c>
      <c r="E126" s="1" t="n">
        <v>46223</v>
      </c>
      <c r="F126" t="inlineStr">
        <is>
          <t>ÖREBRO LÄN</t>
        </is>
      </c>
      <c r="G126" t="inlineStr">
        <is>
          <t>ÖREBRO</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66936-2021</t>
        </is>
      </c>
      <c r="B127" t="inlineStr">
        <is>
          <t>avverkningsanmälan</t>
        </is>
      </c>
      <c r="C127" t="inlineStr">
        <is>
          <t>Föryngringsavverkning</t>
        </is>
      </c>
      <c r="D127" s="1" t="n">
        <v>44522</v>
      </c>
      <c r="E127" s="1" t="n">
        <v>46223</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44131-2022</t>
        </is>
      </c>
      <c r="B128" t="inlineStr">
        <is>
          <t>avverkningsanmälan</t>
        </is>
      </c>
      <c r="C128" t="inlineStr">
        <is>
          <t>Föryngringsavverkning</t>
        </is>
      </c>
      <c r="D128" s="1" t="n">
        <v>44839</v>
      </c>
      <c r="E128" s="1" t="n">
        <v>46223</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18321-2022</t>
        </is>
      </c>
      <c r="B129" t="inlineStr">
        <is>
          <t>avverkningsanmälan</t>
        </is>
      </c>
      <c r="C129" t="inlineStr">
        <is>
          <t>Föryngringsavverkning</t>
        </is>
      </c>
      <c r="D129" s="1" t="n">
        <v>44685</v>
      </c>
      <c r="E129" s="1" t="n">
        <v>46223</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s="2" t="inlineStr"/>
    </row>
    <row r="130" ht="15" customHeight="1">
      <c r="A130" t="inlineStr">
        <is>
          <t>A 32231-2022</t>
        </is>
      </c>
      <c r="B130" t="inlineStr">
        <is>
          <t>avverkningsanmälan</t>
        </is>
      </c>
      <c r="C130" t="inlineStr">
        <is>
          <t>Föryngringsavverkning</t>
        </is>
      </c>
      <c r="D130" s="1" t="n">
        <v>44781</v>
      </c>
      <c r="E130" s="1" t="n">
        <v>46223</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32247-2022</t>
        </is>
      </c>
      <c r="B131" t="inlineStr">
        <is>
          <t>avverkningsanmälan</t>
        </is>
      </c>
      <c r="C131" t="inlineStr">
        <is>
          <t>Avverkning för annat ändamål</t>
        </is>
      </c>
      <c r="D131" s="1" t="n">
        <v>44781</v>
      </c>
      <c r="E131" s="1" t="n">
        <v>46223</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41553-2022</t>
        </is>
      </c>
      <c r="B132" t="inlineStr">
        <is>
          <t>avverkningsanmälan</t>
        </is>
      </c>
      <c r="C132" t="inlineStr">
        <is>
          <t>Föryngringsavverkning</t>
        </is>
      </c>
      <c r="D132" s="1" t="n">
        <v>44827</v>
      </c>
      <c r="E132" s="1" t="n">
        <v>46223</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14562-2022</t>
        </is>
      </c>
      <c r="B133" t="inlineStr">
        <is>
          <t>avverkningsanmälan</t>
        </is>
      </c>
      <c r="C133" t="inlineStr">
        <is>
          <t>Föryngringsavverkning</t>
        </is>
      </c>
      <c r="D133" s="1" t="n">
        <v>44655</v>
      </c>
      <c r="E133" s="1" t="n">
        <v>46223</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s="2" t="inlineStr"/>
    </row>
    <row r="134" ht="15" customHeight="1">
      <c r="A134" t="inlineStr">
        <is>
          <t>A 19458-2022</t>
        </is>
      </c>
      <c r="B134" t="inlineStr">
        <is>
          <t>avverkningsanmälan</t>
        </is>
      </c>
      <c r="C134" t="inlineStr">
        <is>
          <t>Föryngringsavverkning</t>
        </is>
      </c>
      <c r="D134" s="1" t="n">
        <v>44693</v>
      </c>
      <c r="E134" s="1" t="n">
        <v>46223</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13631-2022</t>
        </is>
      </c>
      <c r="B135" t="inlineStr">
        <is>
          <t>avverkningsanmälan</t>
        </is>
      </c>
      <c r="C135" t="inlineStr">
        <is>
          <t>Föryngringsavverkning</t>
        </is>
      </c>
      <c r="D135" s="1" t="n">
        <v>44648</v>
      </c>
      <c r="E135" s="1" t="n">
        <v>46223</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s="2" t="inlineStr"/>
    </row>
    <row r="136" ht="15" customHeight="1">
      <c r="A136" t="inlineStr">
        <is>
          <t>A 57343-2021</t>
        </is>
      </c>
      <c r="B136" t="inlineStr">
        <is>
          <t>avverkningsanmälan</t>
        </is>
      </c>
      <c r="C136" t="inlineStr">
        <is>
          <t>Föryngringsavverkning</t>
        </is>
      </c>
      <c r="D136" s="1" t="n">
        <v>44482</v>
      </c>
      <c r="E136" s="1" t="n">
        <v>46223</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9362-2022</t>
        </is>
      </c>
      <c r="B137" t="inlineStr">
        <is>
          <t>avverkningsanmälan</t>
        </is>
      </c>
      <c r="C137" t="inlineStr">
        <is>
          <t>Föryngringsavverkning</t>
        </is>
      </c>
      <c r="D137" s="1" t="n">
        <v>44616</v>
      </c>
      <c r="E137" s="1" t="n">
        <v>46223</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44165-2022</t>
        </is>
      </c>
      <c r="B138" t="inlineStr">
        <is>
          <t>avverkningsanmälan</t>
        </is>
      </c>
      <c r="C138" t="inlineStr">
        <is>
          <t>Föryngringsavverkning</t>
        </is>
      </c>
      <c r="D138" s="1" t="n">
        <v>44839</v>
      </c>
      <c r="E138" s="1" t="n">
        <v>46223</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57498-2021</t>
        </is>
      </c>
      <c r="B139" t="inlineStr">
        <is>
          <t>avverkningsanmälan</t>
        </is>
      </c>
      <c r="C139" t="inlineStr">
        <is>
          <t>Föryngringsavverkning</t>
        </is>
      </c>
      <c r="D139" s="1" t="n">
        <v>44483</v>
      </c>
      <c r="E139" s="1" t="n">
        <v>46223</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46223</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51268-2022</t>
        </is>
      </c>
      <c r="B141" t="inlineStr">
        <is>
          <t>avverkningsanmälan</t>
        </is>
      </c>
      <c r="C141" t="inlineStr">
        <is>
          <t>Föryngringsavverkning</t>
        </is>
      </c>
      <c r="D141" s="1" t="n">
        <v>44868</v>
      </c>
      <c r="E141" s="1" t="n">
        <v>46223</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s="2" t="inlineStr"/>
    </row>
    <row r="142" ht="15" customHeight="1">
      <c r="A142" t="inlineStr">
        <is>
          <t>A 18047-2022</t>
        </is>
      </c>
      <c r="B142" t="inlineStr">
        <is>
          <t>avverkningsanmälan</t>
        </is>
      </c>
      <c r="C142" t="inlineStr">
        <is>
          <t>Föryngringsavverkning</t>
        </is>
      </c>
      <c r="D142" s="1" t="n">
        <v>44684</v>
      </c>
      <c r="E142" s="1" t="n">
        <v>46223</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4766-2022</t>
        </is>
      </c>
      <c r="B143" t="inlineStr">
        <is>
          <t>avverkningsanmälan</t>
        </is>
      </c>
      <c r="C143" t="inlineStr">
        <is>
          <t>Föryngringsavverkning</t>
        </is>
      </c>
      <c r="D143" s="1" t="n">
        <v>44592</v>
      </c>
      <c r="E143" s="1" t="n">
        <v>46223</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12478-2022</t>
        </is>
      </c>
      <c r="B144" t="inlineStr">
        <is>
          <t>avverkningsanmälan</t>
        </is>
      </c>
      <c r="C144" t="inlineStr">
        <is>
          <t>Föryngringsavverkning</t>
        </is>
      </c>
      <c r="D144" s="1" t="n">
        <v>44638</v>
      </c>
      <c r="E144" s="1" t="n">
        <v>46223</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5401-2022</t>
        </is>
      </c>
      <c r="B145" t="inlineStr">
        <is>
          <t>avverkningsanmälan</t>
        </is>
      </c>
      <c r="C145" t="inlineStr">
        <is>
          <t>Föryngringsavverkning</t>
        </is>
      </c>
      <c r="D145" s="1" t="n">
        <v>44595</v>
      </c>
      <c r="E145" s="1" t="n">
        <v>46223</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15354-2024</t>
        </is>
      </c>
      <c r="B146" t="inlineStr">
        <is>
          <t>avverkningsanmälan</t>
        </is>
      </c>
      <c r="C146" t="inlineStr">
        <is>
          <t>Föryngringsavverkning</t>
        </is>
      </c>
      <c r="D146" s="1" t="n">
        <v>45400</v>
      </c>
      <c r="E146" s="1" t="n">
        <v>46223</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11067-2025</t>
        </is>
      </c>
      <c r="B147" t="inlineStr">
        <is>
          <t>avverkningsanmälan</t>
        </is>
      </c>
      <c r="C147" t="inlineStr">
        <is>
          <t>Avverkning för annat ändamål</t>
        </is>
      </c>
      <c r="D147" s="1" t="n">
        <v>45723</v>
      </c>
      <c r="E147" s="1" t="n">
        <v>46223</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s="2" t="inlineStr"/>
    </row>
    <row r="148" ht="15" customHeight="1">
      <c r="A148" t="inlineStr">
        <is>
          <t>A 681-2024</t>
        </is>
      </c>
      <c r="B148" t="inlineStr">
        <is>
          <t>avverkningsanmälan</t>
        </is>
      </c>
      <c r="C148" t="inlineStr">
        <is>
          <t>Föryngringsavverkning</t>
        </is>
      </c>
      <c r="D148" s="1" t="n">
        <v>45300</v>
      </c>
      <c r="E148" s="1" t="n">
        <v>46223</v>
      </c>
      <c r="F148" t="inlineStr">
        <is>
          <t>ÖREBRO LÄN</t>
        </is>
      </c>
      <c r="G148" t="inlineStr">
        <is>
          <t>ÖREBRO</t>
        </is>
      </c>
      <c r="I148" t="n">
        <v>3.3</v>
      </c>
      <c r="J148" t="n">
        <v>0</v>
      </c>
      <c r="K148" t="n">
        <v>0</v>
      </c>
      <c r="L148" t="n">
        <v>0</v>
      </c>
      <c r="M148" t="n">
        <v>0</v>
      </c>
      <c r="N148" t="n">
        <v>0</v>
      </c>
      <c r="O148" t="n">
        <v>0</v>
      </c>
      <c r="P148" t="n">
        <v>0</v>
      </c>
      <c r="Q148" t="n">
        <v>0</v>
      </c>
      <c r="R148" t="n">
        <v>0</v>
      </c>
      <c r="S148" t="n">
        <v>0</v>
      </c>
      <c r="T148" t="n">
        <v>0</v>
      </c>
      <c r="U148" s="2" t="inlineStr"/>
    </row>
    <row r="149" ht="15" customHeight="1">
      <c r="A149" t="inlineStr">
        <is>
          <t>A 5125-2024</t>
        </is>
      </c>
      <c r="B149" t="inlineStr">
        <is>
          <t>avverkningsanmälan</t>
        </is>
      </c>
      <c r="C149" t="inlineStr">
        <is>
          <t>Föryngringsavverkning</t>
        </is>
      </c>
      <c r="D149" s="1" t="n">
        <v>45330</v>
      </c>
      <c r="E149" s="1" t="n">
        <v>46223</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52256-2023</t>
        </is>
      </c>
      <c r="B150" t="inlineStr">
        <is>
          <t>avverkningsanmälan</t>
        </is>
      </c>
      <c r="C150" t="inlineStr">
        <is>
          <t>Föryngringsavverkning</t>
        </is>
      </c>
      <c r="D150" s="1" t="n">
        <v>45224</v>
      </c>
      <c r="E150" s="1" t="n">
        <v>46223</v>
      </c>
      <c r="F150" t="inlineStr">
        <is>
          <t>ÖREBRO LÄN</t>
        </is>
      </c>
      <c r="G150" t="inlineStr">
        <is>
          <t>ÖREBRO</t>
        </is>
      </c>
      <c r="I150" t="n">
        <v>2.8</v>
      </c>
      <c r="J150" t="n">
        <v>0</v>
      </c>
      <c r="K150" t="n">
        <v>0</v>
      </c>
      <c r="L150" t="n">
        <v>0</v>
      </c>
      <c r="M150" t="n">
        <v>0</v>
      </c>
      <c r="N150" t="n">
        <v>0</v>
      </c>
      <c r="O150" t="n">
        <v>0</v>
      </c>
      <c r="P150" t="n">
        <v>0</v>
      </c>
      <c r="Q150" t="n">
        <v>0</v>
      </c>
      <c r="R150" t="n">
        <v>0</v>
      </c>
      <c r="S150" t="n">
        <v>0</v>
      </c>
      <c r="T150" t="n">
        <v>0</v>
      </c>
      <c r="U150" s="2" t="inlineStr"/>
    </row>
    <row r="151" ht="15" customHeight="1">
      <c r="A151" t="inlineStr">
        <is>
          <t>A 55593-2022</t>
        </is>
      </c>
      <c r="B151" t="inlineStr">
        <is>
          <t>avverkningsanmälan</t>
        </is>
      </c>
      <c r="C151" t="inlineStr">
        <is>
          <t>Föryngringsavverkning</t>
        </is>
      </c>
      <c r="D151" s="1" t="n">
        <v>44888</v>
      </c>
      <c r="E151" s="1" t="n">
        <v>46223</v>
      </c>
      <c r="F151" t="inlineStr">
        <is>
          <t>ÖREBRO LÄN</t>
        </is>
      </c>
      <c r="G151" t="inlineStr">
        <is>
          <t>ÖREBRO</t>
        </is>
      </c>
      <c r="I151" t="n">
        <v>3.6</v>
      </c>
      <c r="J151" t="n">
        <v>0</v>
      </c>
      <c r="K151" t="n">
        <v>0</v>
      </c>
      <c r="L151" t="n">
        <v>0</v>
      </c>
      <c r="M151" t="n">
        <v>0</v>
      </c>
      <c r="N151" t="n">
        <v>0</v>
      </c>
      <c r="O151" t="n">
        <v>0</v>
      </c>
      <c r="P151" t="n">
        <v>0</v>
      </c>
      <c r="Q151" t="n">
        <v>0</v>
      </c>
      <c r="R151" t="n">
        <v>0</v>
      </c>
      <c r="S151" t="n">
        <v>0</v>
      </c>
      <c r="T151" t="n">
        <v>0</v>
      </c>
      <c r="U151" s="2" t="inlineStr"/>
    </row>
    <row r="152" ht="15" customHeight="1">
      <c r="A152" t="inlineStr">
        <is>
          <t>A 43612-2022</t>
        </is>
      </c>
      <c r="B152" t="inlineStr">
        <is>
          <t>avverkningsanmälan</t>
        </is>
      </c>
      <c r="C152" t="inlineStr">
        <is>
          <t>Föryngringsavverkning</t>
        </is>
      </c>
      <c r="D152" s="1" t="n">
        <v>44837</v>
      </c>
      <c r="E152" s="1" t="n">
        <v>46223</v>
      </c>
      <c r="F152" t="inlineStr">
        <is>
          <t>ÖREBRO LÄN</t>
        </is>
      </c>
      <c r="G152" t="inlineStr">
        <is>
          <t>ÖREBRO</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50446-2023</t>
        </is>
      </c>
      <c r="B153" t="inlineStr">
        <is>
          <t>avverkningsanmälan</t>
        </is>
      </c>
      <c r="C153" t="inlineStr">
        <is>
          <t>Föryngringsavverkning</t>
        </is>
      </c>
      <c r="D153" s="1" t="n">
        <v>45216</v>
      </c>
      <c r="E153" s="1" t="n">
        <v>46223</v>
      </c>
      <c r="F153" t="inlineStr">
        <is>
          <t>ÖREBRO LÄN</t>
        </is>
      </c>
      <c r="G153" t="inlineStr">
        <is>
          <t>ÖREBRO</t>
        </is>
      </c>
      <c r="H153" t="inlineStr">
        <is>
          <t>Övriga Aktiebolag</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50450-2023</t>
        </is>
      </c>
      <c r="B154" t="inlineStr">
        <is>
          <t>avverkningsanmälan</t>
        </is>
      </c>
      <c r="C154" t="inlineStr">
        <is>
          <t>Föryngringsavverkning</t>
        </is>
      </c>
      <c r="D154" s="1" t="n">
        <v>45216</v>
      </c>
      <c r="E154" s="1" t="n">
        <v>46223</v>
      </c>
      <c r="F154" t="inlineStr">
        <is>
          <t>ÖREBRO LÄN</t>
        </is>
      </c>
      <c r="G154" t="inlineStr">
        <is>
          <t>ÖREBRO</t>
        </is>
      </c>
      <c r="H154" t="inlineStr">
        <is>
          <t>Övriga Aktiebolag</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34874-2022</t>
        </is>
      </c>
      <c r="B155" t="inlineStr">
        <is>
          <t>avverkningsanmälan</t>
        </is>
      </c>
      <c r="C155" t="inlineStr">
        <is>
          <t>Föryngringsavverkning</t>
        </is>
      </c>
      <c r="D155" s="1" t="n">
        <v>44796</v>
      </c>
      <c r="E155" s="1" t="n">
        <v>46223</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61593-2023</t>
        </is>
      </c>
      <c r="B156" t="inlineStr">
        <is>
          <t>avverkningsanmälan</t>
        </is>
      </c>
      <c r="C156" t="inlineStr">
        <is>
          <t>Föryngringsavverkning</t>
        </is>
      </c>
      <c r="D156" s="1" t="n">
        <v>45265</v>
      </c>
      <c r="E156" s="1" t="n">
        <v>46223</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38842-2022</t>
        </is>
      </c>
      <c r="B157" t="inlineStr">
        <is>
          <t>avverkningsanmälan</t>
        </is>
      </c>
      <c r="C157" t="inlineStr">
        <is>
          <t>Föryngringsavverkning</t>
        </is>
      </c>
      <c r="D157" s="1" t="n">
        <v>44814</v>
      </c>
      <c r="E157" s="1" t="n">
        <v>46223</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71266-2021</t>
        </is>
      </c>
      <c r="B158" t="inlineStr">
        <is>
          <t>avverkningsanmälan</t>
        </is>
      </c>
      <c r="C158" t="inlineStr">
        <is>
          <t>Föryngringsavverkning</t>
        </is>
      </c>
      <c r="D158" s="1" t="n">
        <v>44539</v>
      </c>
      <c r="E158" s="1" t="n">
        <v>46223</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71267-2021</t>
        </is>
      </c>
      <c r="B159" t="inlineStr">
        <is>
          <t>avverkningsanmälan</t>
        </is>
      </c>
      <c r="C159" t="inlineStr">
        <is>
          <t>Föryngringsavverkning</t>
        </is>
      </c>
      <c r="D159" s="1" t="n">
        <v>44539</v>
      </c>
      <c r="E159" s="1" t="n">
        <v>46223</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71280-2021</t>
        </is>
      </c>
      <c r="B160" t="inlineStr">
        <is>
          <t>avverkningsanmälan</t>
        </is>
      </c>
      <c r="C160" t="inlineStr">
        <is>
          <t>Föryngringsavverkning</t>
        </is>
      </c>
      <c r="D160" s="1" t="n">
        <v>44539</v>
      </c>
      <c r="E160" s="1" t="n">
        <v>46223</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42138-2024</t>
        </is>
      </c>
      <c r="B161" t="inlineStr">
        <is>
          <t>avverkningsanmälan</t>
        </is>
      </c>
      <c r="C161" t="inlineStr">
        <is>
          <t>Föryngringsavverkning</t>
        </is>
      </c>
      <c r="D161" s="1" t="n">
        <v>45562</v>
      </c>
      <c r="E161" s="1" t="n">
        <v>46223</v>
      </c>
      <c r="F161" t="inlineStr">
        <is>
          <t>ÖREBRO LÄN</t>
        </is>
      </c>
      <c r="G161" t="inlineStr">
        <is>
          <t>ÖREBRO</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21036-2024</t>
        </is>
      </c>
      <c r="B162" t="inlineStr">
        <is>
          <t>avverkningsanmälan</t>
        </is>
      </c>
      <c r="C162" t="inlineStr">
        <is>
          <t>Föryngringsavverkning</t>
        </is>
      </c>
      <c r="D162" s="1" t="n">
        <v>45439</v>
      </c>
      <c r="E162" s="1" t="n">
        <v>46223</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s="2" t="inlineStr"/>
    </row>
    <row r="163" ht="15" customHeight="1">
      <c r="A163" t="inlineStr">
        <is>
          <t>A 47047-2022</t>
        </is>
      </c>
      <c r="B163" t="inlineStr">
        <is>
          <t>avverkningsanmälan</t>
        </is>
      </c>
      <c r="C163" t="inlineStr">
        <is>
          <t>Föryngringsavverkning</t>
        </is>
      </c>
      <c r="D163" s="1" t="n">
        <v>44852</v>
      </c>
      <c r="E163" s="1" t="n">
        <v>46223</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16739-2023</t>
        </is>
      </c>
      <c r="B164" t="inlineStr">
        <is>
          <t>avverkningsanmälan</t>
        </is>
      </c>
      <c r="C164" t="inlineStr">
        <is>
          <t>Föryngringsavverkning</t>
        </is>
      </c>
      <c r="D164" s="1" t="n">
        <v>45030</v>
      </c>
      <c r="E164" s="1" t="n">
        <v>46223</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12017-2024</t>
        </is>
      </c>
      <c r="B165" t="inlineStr">
        <is>
          <t>avverkningsanmälan</t>
        </is>
      </c>
      <c r="C165" t="inlineStr">
        <is>
          <t>Föryngringsavverkning</t>
        </is>
      </c>
      <c r="D165" s="1" t="n">
        <v>45377</v>
      </c>
      <c r="E165" s="1" t="n">
        <v>46223</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2771-2023</t>
        </is>
      </c>
      <c r="B166" t="inlineStr">
        <is>
          <t>avverkningsanmälan</t>
        </is>
      </c>
      <c r="C166" t="inlineStr">
        <is>
          <t>Föryngringsavverkning</t>
        </is>
      </c>
      <c r="D166" s="1" t="n">
        <v>44944</v>
      </c>
      <c r="E166" s="1" t="n">
        <v>46223</v>
      </c>
      <c r="F166" t="inlineStr">
        <is>
          <t>ÖREBRO LÄN</t>
        </is>
      </c>
      <c r="G166" t="inlineStr">
        <is>
          <t>ÖREBRO</t>
        </is>
      </c>
      <c r="I166" t="n">
        <v>15.4</v>
      </c>
      <c r="J166" t="n">
        <v>0</v>
      </c>
      <c r="K166" t="n">
        <v>0</v>
      </c>
      <c r="L166" t="n">
        <v>0</v>
      </c>
      <c r="M166" t="n">
        <v>0</v>
      </c>
      <c r="N166" t="n">
        <v>0</v>
      </c>
      <c r="O166" t="n">
        <v>0</v>
      </c>
      <c r="P166" t="n">
        <v>0</v>
      </c>
      <c r="Q166" t="n">
        <v>0</v>
      </c>
      <c r="R166" t="n">
        <v>0</v>
      </c>
      <c r="S166" t="n">
        <v>0</v>
      </c>
      <c r="T166" t="n">
        <v>0</v>
      </c>
      <c r="U166" s="2" t="inlineStr"/>
    </row>
    <row r="167" ht="15" customHeight="1">
      <c r="A167" t="inlineStr">
        <is>
          <t>A 9609-2023</t>
        </is>
      </c>
      <c r="B167" t="inlineStr">
        <is>
          <t>avverkningsanmälan</t>
        </is>
      </c>
      <c r="C167" t="inlineStr">
        <is>
          <t>Föryngringsavverkning</t>
        </is>
      </c>
      <c r="D167" s="1" t="n">
        <v>44983</v>
      </c>
      <c r="E167" s="1" t="n">
        <v>46223</v>
      </c>
      <c r="F167" t="inlineStr">
        <is>
          <t>ÖREBRO LÄN</t>
        </is>
      </c>
      <c r="G167" t="inlineStr">
        <is>
          <t>ÖREBRO</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56077-2022</t>
        </is>
      </c>
      <c r="B168" t="inlineStr">
        <is>
          <t>avverkningsanmälan</t>
        </is>
      </c>
      <c r="C168" t="inlineStr">
        <is>
          <t>Föryngringsavverkning</t>
        </is>
      </c>
      <c r="D168" s="1" t="n">
        <v>44889</v>
      </c>
      <c r="E168" s="1" t="n">
        <v>46223</v>
      </c>
      <c r="F168" t="inlineStr">
        <is>
          <t>ÖREBRO LÄN</t>
        </is>
      </c>
      <c r="G168" t="inlineStr">
        <is>
          <t>ÖREBRO</t>
        </is>
      </c>
      <c r="H168" t="inlineStr">
        <is>
          <t>Övriga Aktiebolag</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58621-2024</t>
        </is>
      </c>
      <c r="B169" t="inlineStr">
        <is>
          <t>avverkningsanmälan</t>
        </is>
      </c>
      <c r="C169" t="inlineStr">
        <is>
          <t>Avverkning för att bevara och utveckla /försöksver</t>
        </is>
      </c>
      <c r="D169" s="1" t="n">
        <v>45635</v>
      </c>
      <c r="E169" s="1" t="n">
        <v>46223</v>
      </c>
      <c r="F169" t="inlineStr">
        <is>
          <t>ÖREBRO LÄN</t>
        </is>
      </c>
      <c r="G169" t="inlineStr">
        <is>
          <t>ÖREBRO</t>
        </is>
      </c>
      <c r="H169" t="inlineStr">
        <is>
          <t>Sveaskog</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70707-2021</t>
        </is>
      </c>
      <c r="B170" t="inlineStr">
        <is>
          <t>avverkningsanmälan</t>
        </is>
      </c>
      <c r="C170" t="inlineStr">
        <is>
          <t>Föryngringsavverkning</t>
        </is>
      </c>
      <c r="D170" s="1" t="n">
        <v>44537</v>
      </c>
      <c r="E170" s="1" t="n">
        <v>46223</v>
      </c>
      <c r="F170" t="inlineStr">
        <is>
          <t>ÖREBRO LÄN</t>
        </is>
      </c>
      <c r="G170" t="inlineStr">
        <is>
          <t>ÖREBRO</t>
        </is>
      </c>
      <c r="I170" t="n">
        <v>13.2</v>
      </c>
      <c r="J170" t="n">
        <v>0</v>
      </c>
      <c r="K170" t="n">
        <v>0</v>
      </c>
      <c r="L170" t="n">
        <v>0</v>
      </c>
      <c r="M170" t="n">
        <v>0</v>
      </c>
      <c r="N170" t="n">
        <v>0</v>
      </c>
      <c r="O170" t="n">
        <v>0</v>
      </c>
      <c r="P170" t="n">
        <v>0</v>
      </c>
      <c r="Q170" t="n">
        <v>0</v>
      </c>
      <c r="R170" t="n">
        <v>0</v>
      </c>
      <c r="S170" t="n">
        <v>0</v>
      </c>
      <c r="T170" t="n">
        <v>0</v>
      </c>
      <c r="U170" s="2" t="inlineStr"/>
    </row>
    <row r="171" ht="15" customHeight="1">
      <c r="A171" t="inlineStr">
        <is>
          <t>A 57243-2022</t>
        </is>
      </c>
      <c r="B171" t="inlineStr">
        <is>
          <t>avverkningsanmälan</t>
        </is>
      </c>
      <c r="C171" t="inlineStr">
        <is>
          <t>Föryngringsavverkning</t>
        </is>
      </c>
      <c r="D171" s="1" t="n">
        <v>44895</v>
      </c>
      <c r="E171" s="1" t="n">
        <v>46223</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37012-2024</t>
        </is>
      </c>
      <c r="B172" t="inlineStr">
        <is>
          <t>avverkningsanmälan</t>
        </is>
      </c>
      <c r="C172" t="inlineStr">
        <is>
          <t>Föryngringsavverkning</t>
        </is>
      </c>
      <c r="D172" s="1" t="n">
        <v>45539</v>
      </c>
      <c r="E172" s="1" t="n">
        <v>46223</v>
      </c>
      <c r="F172" t="inlineStr">
        <is>
          <t>ÖREBRO LÄN</t>
        </is>
      </c>
      <c r="G172" t="inlineStr">
        <is>
          <t>ÖREBRO</t>
        </is>
      </c>
      <c r="I172" t="n">
        <v>4.1</v>
      </c>
      <c r="J172" t="n">
        <v>0</v>
      </c>
      <c r="K172" t="n">
        <v>0</v>
      </c>
      <c r="L172" t="n">
        <v>0</v>
      </c>
      <c r="M172" t="n">
        <v>0</v>
      </c>
      <c r="N172" t="n">
        <v>0</v>
      </c>
      <c r="O172" t="n">
        <v>0</v>
      </c>
      <c r="P172" t="n">
        <v>0</v>
      </c>
      <c r="Q172" t="n">
        <v>0</v>
      </c>
      <c r="R172" t="n">
        <v>0</v>
      </c>
      <c r="S172" t="n">
        <v>0</v>
      </c>
      <c r="T172" t="n">
        <v>0</v>
      </c>
      <c r="U172" s="2" t="inlineStr"/>
    </row>
    <row r="173" ht="15" customHeight="1">
      <c r="A173" t="inlineStr">
        <is>
          <t>A 55353-2024</t>
        </is>
      </c>
      <c r="B173" t="inlineStr">
        <is>
          <t>avverkningsanmälan</t>
        </is>
      </c>
      <c r="C173" t="inlineStr">
        <is>
          <t>Föryngringsavverkning</t>
        </is>
      </c>
      <c r="D173" s="1" t="n">
        <v>45621</v>
      </c>
      <c r="E173" s="1" t="n">
        <v>46223</v>
      </c>
      <c r="F173" t="inlineStr">
        <is>
          <t>ÖREBRO LÄN</t>
        </is>
      </c>
      <c r="G173" t="inlineStr">
        <is>
          <t>ÖREBRO</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48581-2024</t>
        </is>
      </c>
      <c r="B174" t="inlineStr">
        <is>
          <t>avverkningsanmälan</t>
        </is>
      </c>
      <c r="C174" t="inlineStr">
        <is>
          <t>Föryngringsavverkning</t>
        </is>
      </c>
      <c r="D174" s="1" t="n">
        <v>45593</v>
      </c>
      <c r="E174" s="1" t="n">
        <v>46223</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3042-2026</t>
        </is>
      </c>
      <c r="B175" t="inlineStr">
        <is>
          <t>avverkningsanmälan</t>
        </is>
      </c>
      <c r="C175" t="inlineStr">
        <is>
          <t>Föryngringsavverkning</t>
        </is>
      </c>
      <c r="D175" s="1" t="n">
        <v>46038</v>
      </c>
      <c r="E175" s="1" t="n">
        <v>46223</v>
      </c>
      <c r="F175" t="inlineStr">
        <is>
          <t>ÖREBRO LÄN</t>
        </is>
      </c>
      <c r="G175" t="inlineStr">
        <is>
          <t>ÖREBRO</t>
        </is>
      </c>
      <c r="H175" t="inlineStr">
        <is>
          <t>Övriga Aktiebolag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19553-2023</t>
        </is>
      </c>
      <c r="B176" t="inlineStr">
        <is>
          <t>avverkningsanmälan</t>
        </is>
      </c>
      <c r="C176" t="inlineStr">
        <is>
          <t>Föryngringsavverkning</t>
        </is>
      </c>
      <c r="D176" s="1" t="n">
        <v>45050</v>
      </c>
      <c r="E176" s="1" t="n">
        <v>46223</v>
      </c>
      <c r="F176" t="inlineStr">
        <is>
          <t>ÖREBRO LÄN</t>
        </is>
      </c>
      <c r="G176" t="inlineStr">
        <is>
          <t>ÖREBRO</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37027-2024</t>
        </is>
      </c>
      <c r="B177" t="inlineStr">
        <is>
          <t>avverkningsanmälan</t>
        </is>
      </c>
      <c r="C177" t="inlineStr">
        <is>
          <t>Föryngringsavverkning</t>
        </is>
      </c>
      <c r="D177" s="1" t="n">
        <v>45539</v>
      </c>
      <c r="E177" s="1" t="n">
        <v>46223</v>
      </c>
      <c r="F177" t="inlineStr">
        <is>
          <t>ÖREBRO LÄN</t>
        </is>
      </c>
      <c r="G177" t="inlineStr">
        <is>
          <t>ÖREBRO</t>
        </is>
      </c>
      <c r="H177" t="inlineStr">
        <is>
          <t>Sveaskog</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23594-2023</t>
        </is>
      </c>
      <c r="B178" t="inlineStr">
        <is>
          <t>avverkningsanmälan</t>
        </is>
      </c>
      <c r="C178" t="inlineStr">
        <is>
          <t>Föryngringsavverkning</t>
        </is>
      </c>
      <c r="D178" s="1" t="n">
        <v>45077</v>
      </c>
      <c r="E178" s="1" t="n">
        <v>46223</v>
      </c>
      <c r="F178" t="inlineStr">
        <is>
          <t>ÖREBRO LÄN</t>
        </is>
      </c>
      <c r="G178" t="inlineStr">
        <is>
          <t>ÖREBRO</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8022-2022</t>
        </is>
      </c>
      <c r="B179" t="inlineStr">
        <is>
          <t>avverkningsanmälan</t>
        </is>
      </c>
      <c r="C179" t="inlineStr">
        <is>
          <t>Föryngringsavverkning</t>
        </is>
      </c>
      <c r="D179" s="1" t="n">
        <v>44609</v>
      </c>
      <c r="E179" s="1" t="n">
        <v>46223</v>
      </c>
      <c r="F179" t="inlineStr">
        <is>
          <t>ÖREBRO LÄN</t>
        </is>
      </c>
      <c r="G179" t="inlineStr">
        <is>
          <t>ÖREBRO</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47193-2023</t>
        </is>
      </c>
      <c r="B180" t="inlineStr">
        <is>
          <t>avverkningsanmälan</t>
        </is>
      </c>
      <c r="C180" t="inlineStr">
        <is>
          <t>Föryngringsavverkning</t>
        </is>
      </c>
      <c r="D180" s="1" t="n">
        <v>45202</v>
      </c>
      <c r="E180" s="1" t="n">
        <v>46223</v>
      </c>
      <c r="F180" t="inlineStr">
        <is>
          <t>ÖREBRO LÄN</t>
        </is>
      </c>
      <c r="G180" t="inlineStr">
        <is>
          <t>ÖREBRO</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58598-2022</t>
        </is>
      </c>
      <c r="B181" t="inlineStr">
        <is>
          <t>avverkningsanmälan</t>
        </is>
      </c>
      <c r="C181" t="inlineStr">
        <is>
          <t>Föryngringsavverkning</t>
        </is>
      </c>
      <c r="D181" s="1" t="n">
        <v>44902</v>
      </c>
      <c r="E181" s="1" t="n">
        <v>46223</v>
      </c>
      <c r="F181" t="inlineStr">
        <is>
          <t>ÖREBRO LÄN</t>
        </is>
      </c>
      <c r="G181" t="inlineStr">
        <is>
          <t>ÖREBRO</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71206-2021</t>
        </is>
      </c>
      <c r="B182" t="inlineStr">
        <is>
          <t>avverkningsanmälan</t>
        </is>
      </c>
      <c r="C182" t="inlineStr">
        <is>
          <t>Föryngringsavverkning</t>
        </is>
      </c>
      <c r="D182" s="1" t="n">
        <v>44539</v>
      </c>
      <c r="E182" s="1" t="n">
        <v>46223</v>
      </c>
      <c r="F182" t="inlineStr">
        <is>
          <t>ÖREBRO LÄN</t>
        </is>
      </c>
      <c r="G182" t="inlineStr">
        <is>
          <t>ÖREBRO</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16739-2022</t>
        </is>
      </c>
      <c r="B183" t="inlineStr">
        <is>
          <t>avverkningsanmälan</t>
        </is>
      </c>
      <c r="C183" t="inlineStr">
        <is>
          <t>Föryngringsavverkning</t>
        </is>
      </c>
      <c r="D183" s="1" t="n">
        <v>44673</v>
      </c>
      <c r="E183" s="1" t="n">
        <v>46223</v>
      </c>
      <c r="F183" t="inlineStr">
        <is>
          <t>ÖREBRO LÄN</t>
        </is>
      </c>
      <c r="G183" t="inlineStr">
        <is>
          <t>ÖREBRO</t>
        </is>
      </c>
      <c r="I183" t="n">
        <v>4.7</v>
      </c>
      <c r="J183" t="n">
        <v>0</v>
      </c>
      <c r="K183" t="n">
        <v>0</v>
      </c>
      <c r="L183" t="n">
        <v>0</v>
      </c>
      <c r="M183" t="n">
        <v>0</v>
      </c>
      <c r="N183" t="n">
        <v>0</v>
      </c>
      <c r="O183" t="n">
        <v>0</v>
      </c>
      <c r="P183" t="n">
        <v>0</v>
      </c>
      <c r="Q183" t="n">
        <v>0</v>
      </c>
      <c r="R183" t="n">
        <v>0</v>
      </c>
      <c r="S183" t="n">
        <v>0</v>
      </c>
      <c r="T183" t="n">
        <v>0</v>
      </c>
      <c r="U183" s="2" t="inlineStr"/>
    </row>
    <row r="184" ht="15" customHeight="1">
      <c r="A184" t="inlineStr">
        <is>
          <t>A 27215-2025</t>
        </is>
      </c>
      <c r="B184" t="inlineStr">
        <is>
          <t>avverkningsanmälan</t>
        </is>
      </c>
      <c r="C184" t="inlineStr">
        <is>
          <t>Föryngringsavverkning</t>
        </is>
      </c>
      <c r="D184" s="1" t="n">
        <v>45812</v>
      </c>
      <c r="E184" s="1" t="n">
        <v>46223</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27225-2025</t>
        </is>
      </c>
      <c r="B185" t="inlineStr">
        <is>
          <t>avverkningsanmälan</t>
        </is>
      </c>
      <c r="C185" t="inlineStr">
        <is>
          <t>Föryngringsavverkning</t>
        </is>
      </c>
      <c r="D185" s="1" t="n">
        <v>45812</v>
      </c>
      <c r="E185" s="1" t="n">
        <v>46223</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9379-2024</t>
        </is>
      </c>
      <c r="B186" t="inlineStr">
        <is>
          <t>avverkningsanmälan</t>
        </is>
      </c>
      <c r="C186" t="inlineStr">
        <is>
          <t>Avverkning för att bevara och utveckla /försöksver</t>
        </is>
      </c>
      <c r="D186" s="1" t="n">
        <v>45359</v>
      </c>
      <c r="E186" s="1" t="n">
        <v>46223</v>
      </c>
      <c r="F186" t="inlineStr">
        <is>
          <t>ÖREBRO LÄN</t>
        </is>
      </c>
      <c r="G186" t="inlineStr">
        <is>
          <t>ÖREBRO</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5398-2022</t>
        </is>
      </c>
      <c r="B187" t="inlineStr">
        <is>
          <t>avverkningsanmälan</t>
        </is>
      </c>
      <c r="C187" t="inlineStr">
        <is>
          <t>Föryngringsavverkning</t>
        </is>
      </c>
      <c r="D187" s="1" t="n">
        <v>44595</v>
      </c>
      <c r="E187" s="1" t="n">
        <v>46223</v>
      </c>
      <c r="F187" t="inlineStr">
        <is>
          <t>ÖREBRO LÄN</t>
        </is>
      </c>
      <c r="G187" t="inlineStr">
        <is>
          <t>ÖREBRO</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46323-2024</t>
        </is>
      </c>
      <c r="B188" t="inlineStr">
        <is>
          <t>avverkningsanmälan</t>
        </is>
      </c>
      <c r="C188" t="inlineStr">
        <is>
          <t>Föryngringsavverkning</t>
        </is>
      </c>
      <c r="D188" s="1" t="n">
        <v>45581</v>
      </c>
      <c r="E188" s="1" t="n">
        <v>46223</v>
      </c>
      <c r="F188" t="inlineStr">
        <is>
          <t>ÖREBRO LÄN</t>
        </is>
      </c>
      <c r="G188" t="inlineStr">
        <is>
          <t>ÖREBRO</t>
        </is>
      </c>
      <c r="H188" t="inlineStr">
        <is>
          <t>Övriga Aktiebolag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15866-2022</t>
        </is>
      </c>
      <c r="B189" t="inlineStr">
        <is>
          <t>avverkningsanmälan</t>
        </is>
      </c>
      <c r="C189" t="inlineStr">
        <is>
          <t>Föryngringsavverkning</t>
        </is>
      </c>
      <c r="D189" s="1" t="n">
        <v>44664</v>
      </c>
      <c r="E189" s="1" t="n">
        <v>46223</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2318-2023</t>
        </is>
      </c>
      <c r="B190" t="inlineStr">
        <is>
          <t>avverkningsanmälan</t>
        </is>
      </c>
      <c r="C190" t="inlineStr">
        <is>
          <t>Föryngringsavverkning</t>
        </is>
      </c>
      <c r="D190" s="1" t="n">
        <v>44942</v>
      </c>
      <c r="E190" s="1" t="n">
        <v>46223</v>
      </c>
      <c r="F190" t="inlineStr">
        <is>
          <t>ÖREBRO LÄN</t>
        </is>
      </c>
      <c r="G190" t="inlineStr">
        <is>
          <t>ÖREBRO</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5764-2022</t>
        </is>
      </c>
      <c r="B191" t="inlineStr">
        <is>
          <t>avverkningsanmälan</t>
        </is>
      </c>
      <c r="C191" t="inlineStr">
        <is>
          <t>Föryngringsavverkning</t>
        </is>
      </c>
      <c r="D191" s="1" t="n">
        <v>44596</v>
      </c>
      <c r="E191" s="1" t="n">
        <v>46223</v>
      </c>
      <c r="F191" t="inlineStr">
        <is>
          <t>ÖREBRO LÄN</t>
        </is>
      </c>
      <c r="G191" t="inlineStr">
        <is>
          <t>ÖREBRO</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45027-2024</t>
        </is>
      </c>
      <c r="B192" t="inlineStr">
        <is>
          <t>avverkningsanmälan</t>
        </is>
      </c>
      <c r="C192" t="inlineStr">
        <is>
          <t>Föryngringsavverkning</t>
        </is>
      </c>
      <c r="D192" s="1" t="n">
        <v>45575</v>
      </c>
      <c r="E192" s="1" t="n">
        <v>46223</v>
      </c>
      <c r="F192" t="inlineStr">
        <is>
          <t>ÖREBRO LÄN</t>
        </is>
      </c>
      <c r="G192" t="inlineStr">
        <is>
          <t>ÖREBRO</t>
        </is>
      </c>
      <c r="I192" t="n">
        <v>6.3</v>
      </c>
      <c r="J192" t="n">
        <v>0</v>
      </c>
      <c r="K192" t="n">
        <v>0</v>
      </c>
      <c r="L192" t="n">
        <v>0</v>
      </c>
      <c r="M192" t="n">
        <v>0</v>
      </c>
      <c r="N192" t="n">
        <v>0</v>
      </c>
      <c r="O192" t="n">
        <v>0</v>
      </c>
      <c r="P192" t="n">
        <v>0</v>
      </c>
      <c r="Q192" t="n">
        <v>0</v>
      </c>
      <c r="R192" t="n">
        <v>0</v>
      </c>
      <c r="S192" t="n">
        <v>0</v>
      </c>
      <c r="T192" t="n">
        <v>0</v>
      </c>
      <c r="U192" s="2" t="inlineStr"/>
    </row>
    <row r="193" ht="15" customHeight="1">
      <c r="A193" t="inlineStr">
        <is>
          <t>A 40051-2024</t>
        </is>
      </c>
      <c r="B193" t="inlineStr">
        <is>
          <t>avverkningsanmälan</t>
        </is>
      </c>
      <c r="C193" t="inlineStr">
        <is>
          <t>Föryngringsavverkning</t>
        </is>
      </c>
      <c r="D193" s="1" t="n">
        <v>45553</v>
      </c>
      <c r="E193" s="1" t="n">
        <v>46223</v>
      </c>
      <c r="F193" t="inlineStr">
        <is>
          <t>ÖREBRO LÄN</t>
        </is>
      </c>
      <c r="G193" t="inlineStr">
        <is>
          <t>ÖREBRO</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41543-2024</t>
        </is>
      </c>
      <c r="B194" t="inlineStr">
        <is>
          <t>avverkningsanmälan</t>
        </is>
      </c>
      <c r="C194" t="inlineStr">
        <is>
          <t>Föryngringsavverkning</t>
        </is>
      </c>
      <c r="D194" s="1" t="n">
        <v>45560</v>
      </c>
      <c r="E194" s="1" t="n">
        <v>46223</v>
      </c>
      <c r="F194" t="inlineStr">
        <is>
          <t>ÖREBRO LÄN</t>
        </is>
      </c>
      <c r="G194" t="inlineStr">
        <is>
          <t>ÖREBRO</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10799-2024</t>
        </is>
      </c>
      <c r="B195" t="inlineStr">
        <is>
          <t>avverkningsanmälan</t>
        </is>
      </c>
      <c r="C195" t="inlineStr">
        <is>
          <t>Föryngringsavverkning</t>
        </is>
      </c>
      <c r="D195" s="1" t="n">
        <v>45369</v>
      </c>
      <c r="E195" s="1" t="n">
        <v>46223</v>
      </c>
      <c r="F195" t="inlineStr">
        <is>
          <t>ÖREBRO LÄN</t>
        </is>
      </c>
      <c r="G195" t="inlineStr">
        <is>
          <t>ÖREBRO</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60059-2023</t>
        </is>
      </c>
      <c r="B196" t="inlineStr">
        <is>
          <t>avverkningsanmälan</t>
        </is>
      </c>
      <c r="C196" t="inlineStr">
        <is>
          <t>Föryngringsavverkning</t>
        </is>
      </c>
      <c r="D196" s="1" t="n">
        <v>45258</v>
      </c>
      <c r="E196" s="1" t="n">
        <v>46223</v>
      </c>
      <c r="F196" t="inlineStr">
        <is>
          <t>ÖREBRO LÄN</t>
        </is>
      </c>
      <c r="G196" t="inlineStr">
        <is>
          <t>ÖREBRO</t>
        </is>
      </c>
      <c r="I196" t="n">
        <v>4</v>
      </c>
      <c r="J196" t="n">
        <v>0</v>
      </c>
      <c r="K196" t="n">
        <v>0</v>
      </c>
      <c r="L196" t="n">
        <v>0</v>
      </c>
      <c r="M196" t="n">
        <v>0</v>
      </c>
      <c r="N196" t="n">
        <v>0</v>
      </c>
      <c r="O196" t="n">
        <v>0</v>
      </c>
      <c r="P196" t="n">
        <v>0</v>
      </c>
      <c r="Q196" t="n">
        <v>0</v>
      </c>
      <c r="R196" t="n">
        <v>0</v>
      </c>
      <c r="S196" t="n">
        <v>0</v>
      </c>
      <c r="T196" t="n">
        <v>0</v>
      </c>
      <c r="U196" s="2" t="inlineStr"/>
    </row>
    <row r="197" ht="15" customHeight="1">
      <c r="A197" t="inlineStr">
        <is>
          <t>A 59121-2024</t>
        </is>
      </c>
      <c r="B197" t="inlineStr">
        <is>
          <t>avverkningsanmälan</t>
        </is>
      </c>
      <c r="C197" t="inlineStr">
        <is>
          <t>Föryngringsavverkning</t>
        </is>
      </c>
      <c r="D197" s="1" t="n">
        <v>45637</v>
      </c>
      <c r="E197" s="1" t="n">
        <v>46223</v>
      </c>
      <c r="F197" t="inlineStr">
        <is>
          <t>ÖREBRO LÄN</t>
        </is>
      </c>
      <c r="G197" t="inlineStr">
        <is>
          <t>ÖREBRO</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49215-2023</t>
        </is>
      </c>
      <c r="B198" t="inlineStr">
        <is>
          <t>avverkningsanmälan</t>
        </is>
      </c>
      <c r="C198" t="inlineStr">
        <is>
          <t>Föryngringsavverkning</t>
        </is>
      </c>
      <c r="D198" s="1" t="n">
        <v>45210</v>
      </c>
      <c r="E198" s="1" t="n">
        <v>46223</v>
      </c>
      <c r="F198" t="inlineStr">
        <is>
          <t>ÖREBRO LÄN</t>
        </is>
      </c>
      <c r="G198" t="inlineStr">
        <is>
          <t>ÖREBRO</t>
        </is>
      </c>
      <c r="H198" t="inlineStr">
        <is>
          <t>Övriga Aktiebolag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31232-2025</t>
        </is>
      </c>
      <c r="B199" t="inlineStr">
        <is>
          <t>avverkningsanmälan</t>
        </is>
      </c>
      <c r="C199" t="inlineStr">
        <is>
          <t>Föryngringsavverkning</t>
        </is>
      </c>
      <c r="D199" s="1" t="n">
        <v>45832</v>
      </c>
      <c r="E199" s="1" t="n">
        <v>46223</v>
      </c>
      <c r="F199" t="inlineStr">
        <is>
          <t>ÖREBRO LÄN</t>
        </is>
      </c>
      <c r="G199" t="inlineStr">
        <is>
          <t>ÖREBRO</t>
        </is>
      </c>
      <c r="H199" t="inlineStr">
        <is>
          <t>Övriga Aktiebolag</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55692-2023</t>
        </is>
      </c>
      <c r="B200" t="inlineStr">
        <is>
          <t>avverkningsanmälan</t>
        </is>
      </c>
      <c r="C200" t="inlineStr">
        <is>
          <t>Avverkning för annat ändamål</t>
        </is>
      </c>
      <c r="D200" s="1" t="n">
        <v>45239</v>
      </c>
      <c r="E200" s="1" t="n">
        <v>46223</v>
      </c>
      <c r="F200" t="inlineStr">
        <is>
          <t>ÖREBRO LÄN</t>
        </is>
      </c>
      <c r="G200" t="inlineStr">
        <is>
          <t>ÖREBRO</t>
        </is>
      </c>
      <c r="H200" t="inlineStr">
        <is>
          <t>Övriga Aktiebolag</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14715-2024</t>
        </is>
      </c>
      <c r="B201" t="inlineStr">
        <is>
          <t>avverkningsanmälan</t>
        </is>
      </c>
      <c r="C201" t="inlineStr">
        <is>
          <t>Föryngringsavverkning</t>
        </is>
      </c>
      <c r="D201" s="1" t="n">
        <v>45397</v>
      </c>
      <c r="E201" s="1" t="n">
        <v>46223</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12682-2023</t>
        </is>
      </c>
      <c r="B202" t="inlineStr">
        <is>
          <t>avverkningsanmälan</t>
        </is>
      </c>
      <c r="C202" t="inlineStr">
        <is>
          <t>Föryngringsavverkning</t>
        </is>
      </c>
      <c r="D202" s="1" t="n">
        <v>45000</v>
      </c>
      <c r="E202" s="1" t="n">
        <v>46223</v>
      </c>
      <c r="F202" t="inlineStr">
        <is>
          <t>ÖREBRO LÄN</t>
        </is>
      </c>
      <c r="G202" t="inlineStr">
        <is>
          <t>ÖREBRO</t>
        </is>
      </c>
      <c r="H202" t="inlineStr">
        <is>
          <t>Övriga Aktiebolag</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13592-2023</t>
        </is>
      </c>
      <c r="B203" t="inlineStr">
        <is>
          <t>avverkningsanmälan</t>
        </is>
      </c>
      <c r="C203" t="inlineStr">
        <is>
          <t>Föryngringsavverkning</t>
        </is>
      </c>
      <c r="D203" s="1" t="n">
        <v>45006</v>
      </c>
      <c r="E203" s="1" t="n">
        <v>46223</v>
      </c>
      <c r="F203" t="inlineStr">
        <is>
          <t>ÖREBRO LÄN</t>
        </is>
      </c>
      <c r="G203" t="inlineStr">
        <is>
          <t>ÖREBRO</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33191-2025</t>
        </is>
      </c>
      <c r="B204" t="inlineStr">
        <is>
          <t>avverkningsanmälan</t>
        </is>
      </c>
      <c r="C204" t="inlineStr">
        <is>
          <t>Föryngringsavverkning</t>
        </is>
      </c>
      <c r="D204" s="1" t="n">
        <v>45840</v>
      </c>
      <c r="E204" s="1" t="n">
        <v>46223</v>
      </c>
      <c r="F204" t="inlineStr">
        <is>
          <t>ÖREBRO LÄN</t>
        </is>
      </c>
      <c r="G204" t="inlineStr">
        <is>
          <t>ÖREBRO</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32904-2025</t>
        </is>
      </c>
      <c r="B205" t="inlineStr">
        <is>
          <t>avverkningsanmälan</t>
        </is>
      </c>
      <c r="C205" t="inlineStr">
        <is>
          <t>Avverkning för annat ändamål</t>
        </is>
      </c>
      <c r="D205" s="1" t="n">
        <v>45839</v>
      </c>
      <c r="E205" s="1" t="n">
        <v>46223</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59736-2023</t>
        </is>
      </c>
      <c r="B206" t="inlineStr">
        <is>
          <t>avverkningsanmälan</t>
        </is>
      </c>
      <c r="C206" t="inlineStr">
        <is>
          <t>Föryngringsavverkning</t>
        </is>
      </c>
      <c r="D206" s="1" t="n">
        <v>45257</v>
      </c>
      <c r="E206" s="1" t="n">
        <v>46223</v>
      </c>
      <c r="F206" t="inlineStr">
        <is>
          <t>ÖREBRO LÄN</t>
        </is>
      </c>
      <c r="G206" t="inlineStr">
        <is>
          <t>ÖREBRO</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44960-2025</t>
        </is>
      </c>
      <c r="B207" t="inlineStr">
        <is>
          <t>avverkningsanmälan</t>
        </is>
      </c>
      <c r="C207" t="inlineStr">
        <is>
          <t>Föryngringsavverkning</t>
        </is>
      </c>
      <c r="D207" s="1" t="n">
        <v>45918</v>
      </c>
      <c r="E207" s="1" t="n">
        <v>46223</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20115-2024</t>
        </is>
      </c>
      <c r="B208" t="inlineStr">
        <is>
          <t>avverkningsanmälan</t>
        </is>
      </c>
      <c r="C208" t="inlineStr">
        <is>
          <t>Föryngringsavverkning</t>
        </is>
      </c>
      <c r="D208" s="1" t="n">
        <v>45434</v>
      </c>
      <c r="E208" s="1" t="n">
        <v>46223</v>
      </c>
      <c r="F208" t="inlineStr">
        <is>
          <t>ÖREBRO LÄN</t>
        </is>
      </c>
      <c r="G208" t="inlineStr">
        <is>
          <t>ÖREBRO</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55875-2024</t>
        </is>
      </c>
      <c r="B209" t="inlineStr">
        <is>
          <t>avverkningsanmälan</t>
        </is>
      </c>
      <c r="C209" t="inlineStr">
        <is>
          <t>Föryngringsavverkning</t>
        </is>
      </c>
      <c r="D209" s="1" t="n">
        <v>45623</v>
      </c>
      <c r="E209" s="1" t="n">
        <v>46223</v>
      </c>
      <c r="F209" t="inlineStr">
        <is>
          <t>ÖREBRO LÄN</t>
        </is>
      </c>
      <c r="G209" t="inlineStr">
        <is>
          <t>ÖREBRO</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48687-2024</t>
        </is>
      </c>
      <c r="B210" t="inlineStr">
        <is>
          <t>avverkningsanmälan</t>
        </is>
      </c>
      <c r="C210" t="inlineStr">
        <is>
          <t>Föryngringsavverkning</t>
        </is>
      </c>
      <c r="D210" s="1" t="n">
        <v>45593</v>
      </c>
      <c r="E210" s="1" t="n">
        <v>46223</v>
      </c>
      <c r="F210" t="inlineStr">
        <is>
          <t>ÖREBRO LÄN</t>
        </is>
      </c>
      <c r="G210" t="inlineStr">
        <is>
          <t>ÖREBRO</t>
        </is>
      </c>
      <c r="H210" t="inlineStr">
        <is>
          <t>Övriga Aktiebolag</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23710-2022</t>
        </is>
      </c>
      <c r="B211" t="inlineStr">
        <is>
          <t>avverkningsanmälan</t>
        </is>
      </c>
      <c r="C211" t="inlineStr">
        <is>
          <t>Avverkning för att bevara och utveckla /försöksver</t>
        </is>
      </c>
      <c r="D211" s="1" t="n">
        <v>44722</v>
      </c>
      <c r="E211" s="1" t="n">
        <v>46223</v>
      </c>
      <c r="F211" t="inlineStr">
        <is>
          <t>ÖREBRO LÄN</t>
        </is>
      </c>
      <c r="G211" t="inlineStr">
        <is>
          <t>ÖREBRO</t>
        </is>
      </c>
      <c r="H211" t="inlineStr">
        <is>
          <t>Sveaskog</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6220-2026</t>
        </is>
      </c>
      <c r="B212" t="inlineStr">
        <is>
          <t>avverkningsanmälan</t>
        </is>
      </c>
      <c r="C212" t="inlineStr">
        <is>
          <t>Föryngringsavverkning</t>
        </is>
      </c>
      <c r="D212" s="1" t="n">
        <v>46055</v>
      </c>
      <c r="E212" s="1" t="n">
        <v>46223</v>
      </c>
      <c r="F212" t="inlineStr">
        <is>
          <t>ÖREBRO LÄN</t>
        </is>
      </c>
      <c r="G212" t="inlineStr">
        <is>
          <t>ÖREBRO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10470-2025</t>
        </is>
      </c>
      <c r="B213" t="inlineStr">
        <is>
          <t>avverkningsanmälan</t>
        </is>
      </c>
      <c r="C213" t="inlineStr">
        <is>
          <t>Avverkning för annat ändamål</t>
        </is>
      </c>
      <c r="D213" s="1" t="n">
        <v>45720</v>
      </c>
      <c r="E213" s="1" t="n">
        <v>46223</v>
      </c>
      <c r="F213" t="inlineStr">
        <is>
          <t>ÖREBRO LÄN</t>
        </is>
      </c>
      <c r="G213" t="inlineStr">
        <is>
          <t>ÖREBRO</t>
        </is>
      </c>
      <c r="I213" t="n">
        <v>11.5</v>
      </c>
      <c r="J213" t="n">
        <v>0</v>
      </c>
      <c r="K213" t="n">
        <v>0</v>
      </c>
      <c r="L213" t="n">
        <v>0</v>
      </c>
      <c r="M213" t="n">
        <v>0</v>
      </c>
      <c r="N213" t="n">
        <v>0</v>
      </c>
      <c r="O213" t="n">
        <v>0</v>
      </c>
      <c r="P213" t="n">
        <v>0</v>
      </c>
      <c r="Q213" t="n">
        <v>0</v>
      </c>
      <c r="R213" t="n">
        <v>0</v>
      </c>
      <c r="S213" t="n">
        <v>0</v>
      </c>
      <c r="T213" t="n">
        <v>0</v>
      </c>
      <c r="U213" s="2" t="inlineStr"/>
    </row>
    <row r="214" ht="15" customHeight="1">
      <c r="A214" t="inlineStr">
        <is>
          <t>A 13355-2023</t>
        </is>
      </c>
      <c r="B214" t="inlineStr">
        <is>
          <t>avverkningsanmälan</t>
        </is>
      </c>
      <c r="C214" t="inlineStr">
        <is>
          <t>Föryngringsavverkning</t>
        </is>
      </c>
      <c r="D214" s="1" t="n">
        <v>45004</v>
      </c>
      <c r="E214" s="1" t="n">
        <v>46223</v>
      </c>
      <c r="F214" t="inlineStr">
        <is>
          <t>ÖREBRO LÄN</t>
        </is>
      </c>
      <c r="G214" t="inlineStr">
        <is>
          <t>ÖREBRO</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6522-2023</t>
        </is>
      </c>
      <c r="B215" t="inlineStr">
        <is>
          <t>avverkningsanmälan</t>
        </is>
      </c>
      <c r="C215" t="inlineStr">
        <is>
          <t>Föryngringsavverkning</t>
        </is>
      </c>
      <c r="D215" s="1" t="n">
        <v>44966</v>
      </c>
      <c r="E215" s="1" t="n">
        <v>46223</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s="2" t="inlineStr"/>
    </row>
    <row r="216" ht="15" customHeight="1">
      <c r="A216" t="inlineStr">
        <is>
          <t>A 56040-2024</t>
        </is>
      </c>
      <c r="B216" t="inlineStr">
        <is>
          <t>avverkningsanmälan</t>
        </is>
      </c>
      <c r="C216" t="inlineStr">
        <is>
          <t>Föryngringsavverkning</t>
        </is>
      </c>
      <c r="D216" s="1" t="n">
        <v>45624</v>
      </c>
      <c r="E216" s="1" t="n">
        <v>46223</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60128-2023</t>
        </is>
      </c>
      <c r="B217" t="inlineStr">
        <is>
          <t>avverkningsanmälan</t>
        </is>
      </c>
      <c r="C217" t="inlineStr">
        <is>
          <t>Föryngringsavverkning</t>
        </is>
      </c>
      <c r="D217" s="1" t="n">
        <v>45258</v>
      </c>
      <c r="E217" s="1" t="n">
        <v>46223</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35637-2025</t>
        </is>
      </c>
      <c r="B218" t="inlineStr">
        <is>
          <t>avverkningsanmälan</t>
        </is>
      </c>
      <c r="C218" t="inlineStr">
        <is>
          <t>Föryngringsavverkning</t>
        </is>
      </c>
      <c r="D218" s="1" t="n">
        <v>45859</v>
      </c>
      <c r="E218" s="1" t="n">
        <v>46223</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16140-2023</t>
        </is>
      </c>
      <c r="B219" t="inlineStr">
        <is>
          <t>avverkningsanmälan</t>
        </is>
      </c>
      <c r="C219" t="inlineStr">
        <is>
          <t>Föryngringsavverkning</t>
        </is>
      </c>
      <c r="D219" s="1" t="n">
        <v>45027</v>
      </c>
      <c r="E219" s="1" t="n">
        <v>46223</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11663-2024</t>
        </is>
      </c>
      <c r="B220" t="inlineStr">
        <is>
          <t>avverkningsanmälan</t>
        </is>
      </c>
      <c r="C220" t="inlineStr">
        <is>
          <t>Avverkning för annat ändamål</t>
        </is>
      </c>
      <c r="D220" s="1" t="n">
        <v>45373</v>
      </c>
      <c r="E220" s="1" t="n">
        <v>46223</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55453-2024</t>
        </is>
      </c>
      <c r="B221" t="inlineStr">
        <is>
          <t>avverkningsanmälan</t>
        </is>
      </c>
      <c r="C221" t="inlineStr">
        <is>
          <t>Föryngringsavverkning</t>
        </is>
      </c>
      <c r="D221" s="1" t="n">
        <v>45622</v>
      </c>
      <c r="E221" s="1" t="n">
        <v>46223</v>
      </c>
      <c r="F221" t="inlineStr">
        <is>
          <t>ÖREBRO LÄN</t>
        </is>
      </c>
      <c r="G221" t="inlineStr">
        <is>
          <t>ÖREBRO</t>
        </is>
      </c>
      <c r="I221" t="n">
        <v>8.5</v>
      </c>
      <c r="J221" t="n">
        <v>0</v>
      </c>
      <c r="K221" t="n">
        <v>0</v>
      </c>
      <c r="L221" t="n">
        <v>0</v>
      </c>
      <c r="M221" t="n">
        <v>0</v>
      </c>
      <c r="N221" t="n">
        <v>0</v>
      </c>
      <c r="O221" t="n">
        <v>0</v>
      </c>
      <c r="P221" t="n">
        <v>0</v>
      </c>
      <c r="Q221" t="n">
        <v>0</v>
      </c>
      <c r="R221" t="n">
        <v>0</v>
      </c>
      <c r="S221" t="n">
        <v>0</v>
      </c>
      <c r="T221" t="n">
        <v>0</v>
      </c>
      <c r="U221" s="2" t="inlineStr"/>
    </row>
    <row r="222" ht="15" customHeight="1">
      <c r="A222" t="inlineStr">
        <is>
          <t>A 6752-2022</t>
        </is>
      </c>
      <c r="B222" t="inlineStr">
        <is>
          <t>avverkningsanmälan</t>
        </is>
      </c>
      <c r="C222" t="inlineStr">
        <is>
          <t>Föryngringsavverkning</t>
        </is>
      </c>
      <c r="D222" s="1" t="n">
        <v>44602</v>
      </c>
      <c r="E222" s="1" t="n">
        <v>46223</v>
      </c>
      <c r="F222" t="inlineStr">
        <is>
          <t>ÖREBRO LÄN</t>
        </is>
      </c>
      <c r="G222" t="inlineStr">
        <is>
          <t>ÖREBRO</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32025-2024</t>
        </is>
      </c>
      <c r="B223" t="inlineStr">
        <is>
          <t>avverkningsanmälan</t>
        </is>
      </c>
      <c r="C223" t="inlineStr">
        <is>
          <t>Föryngringsavverkning</t>
        </is>
      </c>
      <c r="D223" s="1" t="n">
        <v>45510</v>
      </c>
      <c r="E223" s="1" t="n">
        <v>46223</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s="2" t="inlineStr"/>
    </row>
    <row r="224" ht="15" customHeight="1">
      <c r="A224" t="inlineStr">
        <is>
          <t>A 34056-2023</t>
        </is>
      </c>
      <c r="B224" t="inlineStr">
        <is>
          <t>avverkningsanmälan</t>
        </is>
      </c>
      <c r="C224" t="inlineStr">
        <is>
          <t>Föryngringsavverkning</t>
        </is>
      </c>
      <c r="D224" s="1" t="n">
        <v>45135</v>
      </c>
      <c r="E224" s="1" t="n">
        <v>46223</v>
      </c>
      <c r="F224" t="inlineStr">
        <is>
          <t>ÖREBRO LÄN</t>
        </is>
      </c>
      <c r="G224" t="inlineStr">
        <is>
          <t>ÖREBRO</t>
        </is>
      </c>
      <c r="H224" t="inlineStr">
        <is>
          <t>Övriga Aktiebolag</t>
        </is>
      </c>
      <c r="I224" t="n">
        <v>4.1</v>
      </c>
      <c r="J224" t="n">
        <v>0</v>
      </c>
      <c r="K224" t="n">
        <v>0</v>
      </c>
      <c r="L224" t="n">
        <v>0</v>
      </c>
      <c r="M224" t="n">
        <v>0</v>
      </c>
      <c r="N224" t="n">
        <v>0</v>
      </c>
      <c r="O224" t="n">
        <v>0</v>
      </c>
      <c r="P224" t="n">
        <v>0</v>
      </c>
      <c r="Q224" t="n">
        <v>0</v>
      </c>
      <c r="R224" t="n">
        <v>0</v>
      </c>
      <c r="S224" t="n">
        <v>0</v>
      </c>
      <c r="T224" t="n">
        <v>0</v>
      </c>
      <c r="U224" s="2" t="inlineStr"/>
    </row>
    <row r="225" ht="15" customHeight="1">
      <c r="A225" t="inlineStr">
        <is>
          <t>A 33457-2023</t>
        </is>
      </c>
      <c r="B225" t="inlineStr">
        <is>
          <t>avverkningsanmälan</t>
        </is>
      </c>
      <c r="C225" t="inlineStr">
        <is>
          <t>Föryngringsavverkning</t>
        </is>
      </c>
      <c r="D225" s="1" t="n">
        <v>45131</v>
      </c>
      <c r="E225" s="1" t="n">
        <v>46223</v>
      </c>
      <c r="F225" t="inlineStr">
        <is>
          <t>ÖREBRO LÄN</t>
        </is>
      </c>
      <c r="G225" t="inlineStr">
        <is>
          <t>ÖREBRO</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45237-2023</t>
        </is>
      </c>
      <c r="B226" t="inlineStr">
        <is>
          <t>avverkningsanmälan</t>
        </is>
      </c>
      <c r="C226" t="inlineStr">
        <is>
          <t>Föryngringsavverkning</t>
        </is>
      </c>
      <c r="D226" s="1" t="n">
        <v>45191</v>
      </c>
      <c r="E226" s="1" t="n">
        <v>46223</v>
      </c>
      <c r="F226" t="inlineStr">
        <is>
          <t>ÖREBRO LÄN</t>
        </is>
      </c>
      <c r="G226" t="inlineStr">
        <is>
          <t>ÖREBRO</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51180-2023</t>
        </is>
      </c>
      <c r="B227" t="inlineStr">
        <is>
          <t>avverkningsanmälan</t>
        </is>
      </c>
      <c r="C227" t="inlineStr">
        <is>
          <t>Föryngringsavverkning</t>
        </is>
      </c>
      <c r="D227" s="1" t="n">
        <v>45219</v>
      </c>
      <c r="E227" s="1" t="n">
        <v>46223</v>
      </c>
      <c r="F227" t="inlineStr">
        <is>
          <t>ÖREBRO LÄN</t>
        </is>
      </c>
      <c r="G227" t="inlineStr">
        <is>
          <t>ÖREBRO</t>
        </is>
      </c>
      <c r="I227" t="n">
        <v>6.5</v>
      </c>
      <c r="J227" t="n">
        <v>0</v>
      </c>
      <c r="K227" t="n">
        <v>0</v>
      </c>
      <c r="L227" t="n">
        <v>0</v>
      </c>
      <c r="M227" t="n">
        <v>0</v>
      </c>
      <c r="N227" t="n">
        <v>0</v>
      </c>
      <c r="O227" t="n">
        <v>0</v>
      </c>
      <c r="P227" t="n">
        <v>0</v>
      </c>
      <c r="Q227" t="n">
        <v>0</v>
      </c>
      <c r="R227" t="n">
        <v>0</v>
      </c>
      <c r="S227" t="n">
        <v>0</v>
      </c>
      <c r="T227" t="n">
        <v>0</v>
      </c>
      <c r="U227" s="2" t="inlineStr"/>
    </row>
    <row r="228" ht="15" customHeight="1">
      <c r="A228" t="inlineStr">
        <is>
          <t>A 36448-2025</t>
        </is>
      </c>
      <c r="B228" t="inlineStr">
        <is>
          <t>avverkningsanmälan</t>
        </is>
      </c>
      <c r="C228" t="inlineStr">
        <is>
          <t>Föryngringsavverkning</t>
        </is>
      </c>
      <c r="D228" s="1" t="n">
        <v>45869</v>
      </c>
      <c r="E228" s="1" t="n">
        <v>46223</v>
      </c>
      <c r="F228" t="inlineStr">
        <is>
          <t>ÖREBRO LÄN</t>
        </is>
      </c>
      <c r="G228" t="inlineStr">
        <is>
          <t>ÖREBRO</t>
        </is>
      </c>
      <c r="H228" t="inlineStr">
        <is>
          <t>Övriga Aktiebolag</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33294-2023</t>
        </is>
      </c>
      <c r="B229" t="inlineStr">
        <is>
          <t>avverkningsanmälan</t>
        </is>
      </c>
      <c r="C229" t="inlineStr">
        <is>
          <t>Föryngringsavverkning</t>
        </is>
      </c>
      <c r="D229" s="1" t="n">
        <v>45127</v>
      </c>
      <c r="E229" s="1" t="n">
        <v>46223</v>
      </c>
      <c r="F229" t="inlineStr">
        <is>
          <t>ÖREBRO LÄN</t>
        </is>
      </c>
      <c r="G229" t="inlineStr">
        <is>
          <t>ÖREBRO</t>
        </is>
      </c>
      <c r="H229" t="inlineStr">
        <is>
          <t>Övriga Aktiebolag</t>
        </is>
      </c>
      <c r="I229" t="n">
        <v>6.7</v>
      </c>
      <c r="J229" t="n">
        <v>0</v>
      </c>
      <c r="K229" t="n">
        <v>0</v>
      </c>
      <c r="L229" t="n">
        <v>0</v>
      </c>
      <c r="M229" t="n">
        <v>0</v>
      </c>
      <c r="N229" t="n">
        <v>0</v>
      </c>
      <c r="O229" t="n">
        <v>0</v>
      </c>
      <c r="P229" t="n">
        <v>0</v>
      </c>
      <c r="Q229" t="n">
        <v>0</v>
      </c>
      <c r="R229" t="n">
        <v>0</v>
      </c>
      <c r="S229" t="n">
        <v>0</v>
      </c>
      <c r="T229" t="n">
        <v>0</v>
      </c>
      <c r="U229" s="2" t="inlineStr"/>
    </row>
    <row r="230" ht="15" customHeight="1">
      <c r="A230" t="inlineStr">
        <is>
          <t>A 13857-2022</t>
        </is>
      </c>
      <c r="B230" t="inlineStr">
        <is>
          <t>avverkningsanmälan</t>
        </is>
      </c>
      <c r="C230" t="inlineStr">
        <is>
          <t>Föryngringsavverkning</t>
        </is>
      </c>
      <c r="D230" s="1" t="n">
        <v>44649</v>
      </c>
      <c r="E230" s="1" t="n">
        <v>46223</v>
      </c>
      <c r="F230" t="inlineStr">
        <is>
          <t>ÖREBRO LÄN</t>
        </is>
      </c>
      <c r="G230" t="inlineStr">
        <is>
          <t>ÖREBRO</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13181-2023</t>
        </is>
      </c>
      <c r="B231" t="inlineStr">
        <is>
          <t>avverkningsanmälan</t>
        </is>
      </c>
      <c r="C231" t="inlineStr">
        <is>
          <t>Föryngringsavverkning</t>
        </is>
      </c>
      <c r="D231" s="1" t="n">
        <v>45002</v>
      </c>
      <c r="E231" s="1" t="n">
        <v>46223</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25996-2024</t>
        </is>
      </c>
      <c r="B232" t="inlineStr">
        <is>
          <t>avverkningsanmälan</t>
        </is>
      </c>
      <c r="C232" t="inlineStr">
        <is>
          <t>Föryngringsavverkning</t>
        </is>
      </c>
      <c r="D232" s="1" t="n">
        <v>45467</v>
      </c>
      <c r="E232" s="1" t="n">
        <v>46223</v>
      </c>
      <c r="F232" t="inlineStr">
        <is>
          <t>ÖREBRO LÄN</t>
        </is>
      </c>
      <c r="G232" t="inlineStr">
        <is>
          <t>ÖREBRO</t>
        </is>
      </c>
      <c r="I232" t="n">
        <v>4.7</v>
      </c>
      <c r="J232" t="n">
        <v>0</v>
      </c>
      <c r="K232" t="n">
        <v>0</v>
      </c>
      <c r="L232" t="n">
        <v>0</v>
      </c>
      <c r="M232" t="n">
        <v>0</v>
      </c>
      <c r="N232" t="n">
        <v>0</v>
      </c>
      <c r="O232" t="n">
        <v>0</v>
      </c>
      <c r="P232" t="n">
        <v>0</v>
      </c>
      <c r="Q232" t="n">
        <v>0</v>
      </c>
      <c r="R232" t="n">
        <v>0</v>
      </c>
      <c r="S232" t="n">
        <v>0</v>
      </c>
      <c r="T232" t="n">
        <v>0</v>
      </c>
      <c r="U232" s="2" t="inlineStr"/>
    </row>
    <row r="233" ht="15" customHeight="1">
      <c r="A233" t="inlineStr">
        <is>
          <t>A 29554-2025</t>
        </is>
      </c>
      <c r="B233" t="inlineStr">
        <is>
          <t>avverkningsanmälan</t>
        </is>
      </c>
      <c r="C233" t="inlineStr">
        <is>
          <t>Föryngringsavverkning</t>
        </is>
      </c>
      <c r="D233" s="1" t="n">
        <v>45825</v>
      </c>
      <c r="E233" s="1" t="n">
        <v>46223</v>
      </c>
      <c r="F233" t="inlineStr">
        <is>
          <t>ÖREBRO LÄN</t>
        </is>
      </c>
      <c r="G233" t="inlineStr">
        <is>
          <t>ÖREBRO</t>
        </is>
      </c>
      <c r="H233" t="inlineStr">
        <is>
          <t>Övriga Aktiebolag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50311-2025</t>
        </is>
      </c>
      <c r="B234" t="inlineStr">
        <is>
          <t>avverkningsanmälan</t>
        </is>
      </c>
      <c r="C234" t="inlineStr">
        <is>
          <t>Föryngringsavverkning</t>
        </is>
      </c>
      <c r="D234" s="1" t="n">
        <v>45944</v>
      </c>
      <c r="E234" s="1" t="n">
        <v>46223</v>
      </c>
      <c r="F234" t="inlineStr">
        <is>
          <t>ÖREBRO LÄN</t>
        </is>
      </c>
      <c r="G234" t="inlineStr">
        <is>
          <t>ÖREBRO</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23741-2022</t>
        </is>
      </c>
      <c r="B235" t="inlineStr">
        <is>
          <t>avverkningsanmälan</t>
        </is>
      </c>
      <c r="C235" t="inlineStr">
        <is>
          <t>Föryngringsavverkning</t>
        </is>
      </c>
      <c r="D235" s="1" t="n">
        <v>44722</v>
      </c>
      <c r="E235" s="1" t="n">
        <v>46223</v>
      </c>
      <c r="F235" t="inlineStr">
        <is>
          <t>ÖREBRO LÄN</t>
        </is>
      </c>
      <c r="G235" t="inlineStr">
        <is>
          <t>ÖREBRO</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58620-2024</t>
        </is>
      </c>
      <c r="B236" t="inlineStr">
        <is>
          <t>avverkningsanmälan</t>
        </is>
      </c>
      <c r="C236" t="inlineStr">
        <is>
          <t>Avverkning för att bevara och utveckla /försöksver</t>
        </is>
      </c>
      <c r="D236" s="1" t="n">
        <v>45635</v>
      </c>
      <c r="E236" s="1" t="n">
        <v>46223</v>
      </c>
      <c r="F236" t="inlineStr">
        <is>
          <t>ÖREBRO LÄN</t>
        </is>
      </c>
      <c r="G236" t="inlineStr">
        <is>
          <t>ÖREBRO</t>
        </is>
      </c>
      <c r="H236" t="inlineStr">
        <is>
          <t>Sveaskog</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7550-2026</t>
        </is>
      </c>
      <c r="B237" t="inlineStr">
        <is>
          <t>avverkningsanmälan</t>
        </is>
      </c>
      <c r="C237" t="inlineStr">
        <is>
          <t>Föryngringsavverkning</t>
        </is>
      </c>
      <c r="D237" s="1" t="n">
        <v>46059</v>
      </c>
      <c r="E237" s="1" t="n">
        <v>46223</v>
      </c>
      <c r="F237" t="inlineStr">
        <is>
          <t>ÖREBRO LÄN</t>
        </is>
      </c>
      <c r="G237" t="inlineStr">
        <is>
          <t>ÖREBRO</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57867-2024</t>
        </is>
      </c>
      <c r="B238" t="inlineStr">
        <is>
          <t>avverkningsanmälan</t>
        </is>
      </c>
      <c r="C238" t="inlineStr">
        <is>
          <t>Föryngringsavverkning</t>
        </is>
      </c>
      <c r="D238" s="1" t="n">
        <v>45631</v>
      </c>
      <c r="E238" s="1" t="n">
        <v>46223</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29138-2022</t>
        </is>
      </c>
      <c r="B239" t="inlineStr">
        <is>
          <t>avverkningsanmälan</t>
        </is>
      </c>
      <c r="C239" t="inlineStr">
        <is>
          <t>Föryngringsavverkning</t>
        </is>
      </c>
      <c r="D239" s="1" t="n">
        <v>44750</v>
      </c>
      <c r="E239" s="1" t="n">
        <v>46223</v>
      </c>
      <c r="F239" t="inlineStr">
        <is>
          <t>ÖREBRO LÄN</t>
        </is>
      </c>
      <c r="G239" t="inlineStr">
        <is>
          <t>ÖREBRO</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29143-2022</t>
        </is>
      </c>
      <c r="B240" t="inlineStr">
        <is>
          <t>avverkningsanmälan</t>
        </is>
      </c>
      <c r="C240" t="inlineStr">
        <is>
          <t>Föryngringsavverkning</t>
        </is>
      </c>
      <c r="D240" s="1" t="n">
        <v>44750</v>
      </c>
      <c r="E240" s="1" t="n">
        <v>46223</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s="2" t="inlineStr"/>
    </row>
    <row r="241" ht="15" customHeight="1">
      <c r="A241" t="inlineStr">
        <is>
          <t>A 3120-2022</t>
        </is>
      </c>
      <c r="B241" t="inlineStr">
        <is>
          <t>avverkningsanmälan</t>
        </is>
      </c>
      <c r="C241" t="inlineStr">
        <is>
          <t>Föryngringsavverkning</t>
        </is>
      </c>
      <c r="D241" s="1" t="n">
        <v>44582</v>
      </c>
      <c r="E241" s="1" t="n">
        <v>46223</v>
      </c>
      <c r="F241" t="inlineStr">
        <is>
          <t>ÖREBRO LÄN</t>
        </is>
      </c>
      <c r="G241" t="inlineStr">
        <is>
          <t>ÖREBRO</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58606-2024</t>
        </is>
      </c>
      <c r="B242" t="inlineStr">
        <is>
          <t>avverkningsanmälan</t>
        </is>
      </c>
      <c r="C242" t="inlineStr">
        <is>
          <t>Avverkning för att bevara och utveckla /försöksver</t>
        </is>
      </c>
      <c r="D242" s="1" t="n">
        <v>45635</v>
      </c>
      <c r="E242" s="1" t="n">
        <v>46223</v>
      </c>
      <c r="F242" t="inlineStr">
        <is>
          <t>ÖREBRO LÄN</t>
        </is>
      </c>
      <c r="G242" t="inlineStr">
        <is>
          <t>ÖREBRO</t>
        </is>
      </c>
      <c r="H242" t="inlineStr">
        <is>
          <t>Sveaskog</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51937-2025</t>
        </is>
      </c>
      <c r="B243" t="inlineStr">
        <is>
          <t>avverkningsanmälan</t>
        </is>
      </c>
      <c r="C243" t="inlineStr">
        <is>
          <t>Föryngringsavverkning</t>
        </is>
      </c>
      <c r="D243" s="1" t="n">
        <v>45952</v>
      </c>
      <c r="E243" s="1" t="n">
        <v>46223</v>
      </c>
      <c r="F243" t="inlineStr">
        <is>
          <t>ÖREBRO LÄN</t>
        </is>
      </c>
      <c r="G243" t="inlineStr">
        <is>
          <t>ÖREBRO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26101-2022</t>
        </is>
      </c>
      <c r="B244" t="inlineStr">
        <is>
          <t>avverkningsanmälan</t>
        </is>
      </c>
      <c r="C244" t="inlineStr">
        <is>
          <t>Föryngringsavverkning</t>
        </is>
      </c>
      <c r="D244" s="1" t="n">
        <v>44734</v>
      </c>
      <c r="E244" s="1" t="n">
        <v>46223</v>
      </c>
      <c r="F244" t="inlineStr">
        <is>
          <t>ÖREBRO LÄN</t>
        </is>
      </c>
      <c r="G244" t="inlineStr">
        <is>
          <t>ÖREBRO</t>
        </is>
      </c>
      <c r="I244" t="n">
        <v>15.8</v>
      </c>
      <c r="J244" t="n">
        <v>0</v>
      </c>
      <c r="K244" t="n">
        <v>0</v>
      </c>
      <c r="L244" t="n">
        <v>0</v>
      </c>
      <c r="M244" t="n">
        <v>0</v>
      </c>
      <c r="N244" t="n">
        <v>0</v>
      </c>
      <c r="O244" t="n">
        <v>0</v>
      </c>
      <c r="P244" t="n">
        <v>0</v>
      </c>
      <c r="Q244" t="n">
        <v>0</v>
      </c>
      <c r="R244" t="n">
        <v>0</v>
      </c>
      <c r="S244" t="n">
        <v>0</v>
      </c>
      <c r="T244" t="n">
        <v>0</v>
      </c>
      <c r="U244" s="2" t="inlineStr"/>
    </row>
    <row r="245" ht="15" customHeight="1">
      <c r="A245" t="inlineStr">
        <is>
          <t>A 52135-2025</t>
        </is>
      </c>
      <c r="B245" t="inlineStr">
        <is>
          <t>avverkningsanmälan</t>
        </is>
      </c>
      <c r="C245" t="inlineStr">
        <is>
          <t>Föryngringsavverkning</t>
        </is>
      </c>
      <c r="D245" s="1" t="n">
        <v>45952</v>
      </c>
      <c r="E245" s="1" t="n">
        <v>46223</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35345-2024</t>
        </is>
      </c>
      <c r="B246" t="inlineStr">
        <is>
          <t>avverkningsanmälan</t>
        </is>
      </c>
      <c r="C246" t="inlineStr">
        <is>
          <t>Föryngringsavverkning</t>
        </is>
      </c>
      <c r="D246" s="1" t="n">
        <v>45530</v>
      </c>
      <c r="E246" s="1" t="n">
        <v>46223</v>
      </c>
      <c r="F246" t="inlineStr">
        <is>
          <t>ÖREBRO LÄN</t>
        </is>
      </c>
      <c r="G246" t="inlineStr">
        <is>
          <t>ÖREBRO</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123-2025</t>
        </is>
      </c>
      <c r="B247" t="inlineStr">
        <is>
          <t>avverkningsanmälan</t>
        </is>
      </c>
      <c r="C247" t="inlineStr">
        <is>
          <t>Föryngringsavverkning</t>
        </is>
      </c>
      <c r="D247" s="1" t="n">
        <v>45659</v>
      </c>
      <c r="E247" s="1" t="n">
        <v>46223</v>
      </c>
      <c r="F247" t="inlineStr">
        <is>
          <t>ÖREBRO LÄN</t>
        </is>
      </c>
      <c r="G247" t="inlineStr">
        <is>
          <t>ÖREBRO</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30472-2022</t>
        </is>
      </c>
      <c r="B248" t="inlineStr">
        <is>
          <t>avverkningsanmälan</t>
        </is>
      </c>
      <c r="C248" t="inlineStr">
        <is>
          <t>Föryngringsavverkning</t>
        </is>
      </c>
      <c r="D248" s="1" t="n">
        <v>44761</v>
      </c>
      <c r="E248" s="1" t="n">
        <v>46223</v>
      </c>
      <c r="F248" t="inlineStr">
        <is>
          <t>ÖREBRO LÄN</t>
        </is>
      </c>
      <c r="G248" t="inlineStr">
        <is>
          <t>ÖREBRO</t>
        </is>
      </c>
      <c r="H248" t="inlineStr">
        <is>
          <t>Övriga Aktiebolag</t>
        </is>
      </c>
      <c r="I248" t="n">
        <v>5.6</v>
      </c>
      <c r="J248" t="n">
        <v>0</v>
      </c>
      <c r="K248" t="n">
        <v>0</v>
      </c>
      <c r="L248" t="n">
        <v>0</v>
      </c>
      <c r="M248" t="n">
        <v>0</v>
      </c>
      <c r="N248" t="n">
        <v>0</v>
      </c>
      <c r="O248" t="n">
        <v>0</v>
      </c>
      <c r="P248" t="n">
        <v>0</v>
      </c>
      <c r="Q248" t="n">
        <v>0</v>
      </c>
      <c r="R248" t="n">
        <v>0</v>
      </c>
      <c r="S248" t="n">
        <v>0</v>
      </c>
      <c r="T248" t="n">
        <v>0</v>
      </c>
      <c r="U248" s="2" t="inlineStr"/>
    </row>
    <row r="249" ht="15" customHeight="1">
      <c r="A249" t="inlineStr">
        <is>
          <t>A 6869-2025</t>
        </is>
      </c>
      <c r="B249" t="inlineStr">
        <is>
          <t>avverkningsanmälan</t>
        </is>
      </c>
      <c r="C249" t="inlineStr">
        <is>
          <t>Föryngringsavverkning</t>
        </is>
      </c>
      <c r="D249" s="1" t="n">
        <v>45700</v>
      </c>
      <c r="E249" s="1" t="n">
        <v>46223</v>
      </c>
      <c r="F249" t="inlineStr">
        <is>
          <t>ÖREBRO LÄN</t>
        </is>
      </c>
      <c r="G249" t="inlineStr">
        <is>
          <t>ÖREBRO</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8461-2026</t>
        </is>
      </c>
      <c r="B250" t="inlineStr">
        <is>
          <t>avverkningsanmälan</t>
        </is>
      </c>
      <c r="C250" t="inlineStr">
        <is>
          <t>Föryngringsavverkning</t>
        </is>
      </c>
      <c r="D250" s="1" t="n">
        <v>46065</v>
      </c>
      <c r="E250" s="1" t="n">
        <v>46223</v>
      </c>
      <c r="F250" t="inlineStr">
        <is>
          <t>ÖREBRO LÄN</t>
        </is>
      </c>
      <c r="G250" t="inlineStr">
        <is>
          <t>ÖREBRO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57869-2024</t>
        </is>
      </c>
      <c r="B251" t="inlineStr">
        <is>
          <t>avverkningsanmälan</t>
        </is>
      </c>
      <c r="C251" t="inlineStr">
        <is>
          <t>Föryngringsavverkning</t>
        </is>
      </c>
      <c r="D251" s="1" t="n">
        <v>45631</v>
      </c>
      <c r="E251" s="1" t="n">
        <v>46223</v>
      </c>
      <c r="F251" t="inlineStr">
        <is>
          <t>ÖREBRO LÄN</t>
        </is>
      </c>
      <c r="G251" t="inlineStr">
        <is>
          <t>ÖREBRO</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53343-2025</t>
        </is>
      </c>
      <c r="B252" t="inlineStr">
        <is>
          <t>avverkningsanmälan</t>
        </is>
      </c>
      <c r="C252" t="inlineStr">
        <is>
          <t>Föryngringsavverkning</t>
        </is>
      </c>
      <c r="D252" s="1" t="n">
        <v>45959</v>
      </c>
      <c r="E252" s="1" t="n">
        <v>46223</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9318-2026</t>
        </is>
      </c>
      <c r="B253" t="inlineStr">
        <is>
          <t>avverkningsanmälan</t>
        </is>
      </c>
      <c r="C253" t="inlineStr">
        <is>
          <t>Föryngringsavverkning</t>
        </is>
      </c>
      <c r="D253" s="1" t="n">
        <v>46070</v>
      </c>
      <c r="E253" s="1" t="n">
        <v>46223</v>
      </c>
      <c r="F253" t="inlineStr">
        <is>
          <t>ÖREBRO LÄN</t>
        </is>
      </c>
      <c r="G253" t="inlineStr">
        <is>
          <t>ÖREBRO</t>
        </is>
      </c>
      <c r="H253" t="inlineStr">
        <is>
          <t>Övriga Aktiebolag</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37277-2022</t>
        </is>
      </c>
      <c r="B254" t="inlineStr">
        <is>
          <t>avverkningsanmälan</t>
        </is>
      </c>
      <c r="C254" t="inlineStr">
        <is>
          <t>Föryngringsavverkning</t>
        </is>
      </c>
      <c r="D254" s="1" t="n">
        <v>44807</v>
      </c>
      <c r="E254" s="1" t="n">
        <v>46223</v>
      </c>
      <c r="F254" t="inlineStr">
        <is>
          <t>ÖREBRO LÄN</t>
        </is>
      </c>
      <c r="G254" t="inlineStr">
        <is>
          <t>ÖREBRO</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27956-2023</t>
        </is>
      </c>
      <c r="B255" t="inlineStr">
        <is>
          <t>avverkningsanmälan</t>
        </is>
      </c>
      <c r="C255" t="inlineStr">
        <is>
          <t>Avverkning för annat ändamål</t>
        </is>
      </c>
      <c r="D255" s="1" t="n">
        <v>45098</v>
      </c>
      <c r="E255" s="1" t="n">
        <v>46223</v>
      </c>
      <c r="F255" t="inlineStr">
        <is>
          <t>ÖREBRO LÄN</t>
        </is>
      </c>
      <c r="G255" t="inlineStr">
        <is>
          <t>ÖREBRO</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40588-2021</t>
        </is>
      </c>
      <c r="B256" t="inlineStr">
        <is>
          <t>avverkningsanmälan</t>
        </is>
      </c>
      <c r="C256" t="inlineStr">
        <is>
          <t>Föryngringsavverkning</t>
        </is>
      </c>
      <c r="D256" s="1" t="n">
        <v>44420</v>
      </c>
      <c r="E256" s="1" t="n">
        <v>46223</v>
      </c>
      <c r="F256" t="inlineStr">
        <is>
          <t>ÖREBRO LÄN</t>
        </is>
      </c>
      <c r="G256" t="inlineStr">
        <is>
          <t>ÖREBRO</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54205-2025</t>
        </is>
      </c>
      <c r="B257" t="inlineStr">
        <is>
          <t>avverkningsanmälan</t>
        </is>
      </c>
      <c r="C257" t="inlineStr">
        <is>
          <t>Föryngringsavverkning</t>
        </is>
      </c>
      <c r="D257" s="1" t="n">
        <v>45964</v>
      </c>
      <c r="E257" s="1" t="n">
        <v>46223</v>
      </c>
      <c r="F257" t="inlineStr">
        <is>
          <t>ÖREBRO LÄN</t>
        </is>
      </c>
      <c r="G257" t="inlineStr">
        <is>
          <t>ÖREBRO</t>
        </is>
      </c>
      <c r="I257" t="n">
        <v>24.3</v>
      </c>
      <c r="J257" t="n">
        <v>0</v>
      </c>
      <c r="K257" t="n">
        <v>0</v>
      </c>
      <c r="L257" t="n">
        <v>0</v>
      </c>
      <c r="M257" t="n">
        <v>0</v>
      </c>
      <c r="N257" t="n">
        <v>0</v>
      </c>
      <c r="O257" t="n">
        <v>0</v>
      </c>
      <c r="P257" t="n">
        <v>0</v>
      </c>
      <c r="Q257" t="n">
        <v>0</v>
      </c>
      <c r="R257" t="n">
        <v>0</v>
      </c>
      <c r="S257" t="n">
        <v>0</v>
      </c>
      <c r="T257" t="n">
        <v>0</v>
      </c>
      <c r="U257" s="2" t="inlineStr"/>
    </row>
    <row r="258" ht="15" customHeight="1">
      <c r="A258" t="inlineStr">
        <is>
          <t>A 40231-2022</t>
        </is>
      </c>
      <c r="B258" t="inlineStr">
        <is>
          <t>avverkningsanmälan</t>
        </is>
      </c>
      <c r="C258" t="inlineStr">
        <is>
          <t>Föryngringsavverkning</t>
        </is>
      </c>
      <c r="D258" s="1" t="n">
        <v>44820</v>
      </c>
      <c r="E258" s="1" t="n">
        <v>46223</v>
      </c>
      <c r="F258" t="inlineStr">
        <is>
          <t>ÖREBRO LÄN</t>
        </is>
      </c>
      <c r="G258" t="inlineStr">
        <is>
          <t>ÖREBRO</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10108-2026</t>
        </is>
      </c>
      <c r="B259" t="inlineStr">
        <is>
          <t>avverkningsanmälan</t>
        </is>
      </c>
      <c r="C259" t="inlineStr">
        <is>
          <t>Föryngringsavverkning</t>
        </is>
      </c>
      <c r="D259" s="1" t="n">
        <v>46074</v>
      </c>
      <c r="E259" s="1" t="n">
        <v>46223</v>
      </c>
      <c r="F259" t="inlineStr">
        <is>
          <t>ÖREBRO LÄN</t>
        </is>
      </c>
      <c r="G259" t="inlineStr">
        <is>
          <t>ÖREBRO</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42623-2022</t>
        </is>
      </c>
      <c r="B260" t="inlineStr">
        <is>
          <t>avverkningsanmälan</t>
        </is>
      </c>
      <c r="C260" t="inlineStr">
        <is>
          <t>Föryngringsavverkning</t>
        </is>
      </c>
      <c r="D260" s="1" t="n">
        <v>44831</v>
      </c>
      <c r="E260" s="1" t="n">
        <v>46223</v>
      </c>
      <c r="F260" t="inlineStr">
        <is>
          <t>ÖREBRO LÄN</t>
        </is>
      </c>
      <c r="G260" t="inlineStr">
        <is>
          <t>ÖREBRO</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3763-2025</t>
        </is>
      </c>
      <c r="B261" t="inlineStr">
        <is>
          <t>avverkningsanmälan</t>
        </is>
      </c>
      <c r="C261" t="inlineStr">
        <is>
          <t>Föryngringsavverkning</t>
        </is>
      </c>
      <c r="D261" s="1" t="n">
        <v>45681</v>
      </c>
      <c r="E261" s="1" t="n">
        <v>46223</v>
      </c>
      <c r="F261" t="inlineStr">
        <is>
          <t>ÖREBRO LÄN</t>
        </is>
      </c>
      <c r="G261" t="inlineStr">
        <is>
          <t>ÖREBRO</t>
        </is>
      </c>
      <c r="I261" t="n">
        <v>10.1</v>
      </c>
      <c r="J261" t="n">
        <v>0</v>
      </c>
      <c r="K261" t="n">
        <v>0</v>
      </c>
      <c r="L261" t="n">
        <v>0</v>
      </c>
      <c r="M261" t="n">
        <v>0</v>
      </c>
      <c r="N261" t="n">
        <v>0</v>
      </c>
      <c r="O261" t="n">
        <v>0</v>
      </c>
      <c r="P261" t="n">
        <v>0</v>
      </c>
      <c r="Q261" t="n">
        <v>0</v>
      </c>
      <c r="R261" t="n">
        <v>0</v>
      </c>
      <c r="S261" t="n">
        <v>0</v>
      </c>
      <c r="T261" t="n">
        <v>0</v>
      </c>
      <c r="U261" s="2" t="inlineStr"/>
    </row>
    <row r="262" ht="15" customHeight="1">
      <c r="A262" t="inlineStr">
        <is>
          <t>A 55748-2025</t>
        </is>
      </c>
      <c r="B262" t="inlineStr">
        <is>
          <t>avverkningsanmälan</t>
        </is>
      </c>
      <c r="C262" t="inlineStr">
        <is>
          <t>Föryngringsavverkning</t>
        </is>
      </c>
      <c r="D262" s="1" t="n">
        <v>45972</v>
      </c>
      <c r="E262" s="1" t="n">
        <v>46223</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55750-2025</t>
        </is>
      </c>
      <c r="B263" t="inlineStr">
        <is>
          <t>avverkningsanmälan</t>
        </is>
      </c>
      <c r="C263" t="inlineStr">
        <is>
          <t>Föryngringsavverkning</t>
        </is>
      </c>
      <c r="D263" s="1" t="n">
        <v>45972</v>
      </c>
      <c r="E263" s="1" t="n">
        <v>46223</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10944-2026</t>
        </is>
      </c>
      <c r="B264" t="inlineStr">
        <is>
          <t>avverkningsanmälan</t>
        </is>
      </c>
      <c r="C264" t="inlineStr">
        <is>
          <t>Föryngringsavverkning</t>
        </is>
      </c>
      <c r="D264" s="1" t="n">
        <v>46079</v>
      </c>
      <c r="E264" s="1" t="n">
        <v>46223</v>
      </c>
      <c r="F264" t="inlineStr">
        <is>
          <t>ÖREBRO LÄN</t>
        </is>
      </c>
      <c r="G264" t="inlineStr">
        <is>
          <t>ÖREBRO</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10829-2023</t>
        </is>
      </c>
      <c r="B265" t="inlineStr">
        <is>
          <t>avverkningsanmälan</t>
        </is>
      </c>
      <c r="C265" t="inlineStr">
        <is>
          <t>Föryngringsavverkning</t>
        </is>
      </c>
      <c r="D265" s="1" t="n">
        <v>44990</v>
      </c>
      <c r="E265" s="1" t="n">
        <v>46223</v>
      </c>
      <c r="F265" t="inlineStr">
        <is>
          <t>ÖREBRO LÄN</t>
        </is>
      </c>
      <c r="G265" t="inlineStr">
        <is>
          <t>ÖREBRO</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10831-2023</t>
        </is>
      </c>
      <c r="B266" t="inlineStr">
        <is>
          <t>avverkningsanmälan</t>
        </is>
      </c>
      <c r="C266" t="inlineStr">
        <is>
          <t>Föryngringsavverkning</t>
        </is>
      </c>
      <c r="D266" s="1" t="n">
        <v>44990</v>
      </c>
      <c r="E266" s="1" t="n">
        <v>46223</v>
      </c>
      <c r="F266" t="inlineStr">
        <is>
          <t>ÖREBRO LÄN</t>
        </is>
      </c>
      <c r="G266" t="inlineStr">
        <is>
          <t>ÖREBRO</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10970-2026</t>
        </is>
      </c>
      <c r="B267" t="inlineStr">
        <is>
          <t>avverkningsanmälan</t>
        </is>
      </c>
      <c r="C267" t="inlineStr">
        <is>
          <t>Föryngringsavverkning</t>
        </is>
      </c>
      <c r="D267" s="1" t="n">
        <v>46079</v>
      </c>
      <c r="E267" s="1" t="n">
        <v>46223</v>
      </c>
      <c r="F267" t="inlineStr">
        <is>
          <t>ÖREBRO LÄN</t>
        </is>
      </c>
      <c r="G267" t="inlineStr">
        <is>
          <t>ÖREBRO</t>
        </is>
      </c>
      <c r="I267" t="n">
        <v>6.5</v>
      </c>
      <c r="J267" t="n">
        <v>0</v>
      </c>
      <c r="K267" t="n">
        <v>0</v>
      </c>
      <c r="L267" t="n">
        <v>0</v>
      </c>
      <c r="M267" t="n">
        <v>0</v>
      </c>
      <c r="N267" t="n">
        <v>0</v>
      </c>
      <c r="O267" t="n">
        <v>0</v>
      </c>
      <c r="P267" t="n">
        <v>0</v>
      </c>
      <c r="Q267" t="n">
        <v>0</v>
      </c>
      <c r="R267" t="n">
        <v>0</v>
      </c>
      <c r="S267" t="n">
        <v>0</v>
      </c>
      <c r="T267" t="n">
        <v>0</v>
      </c>
      <c r="U267" s="2" t="inlineStr"/>
    </row>
    <row r="268" ht="15" customHeight="1">
      <c r="A268" t="inlineStr">
        <is>
          <t>A 16165-2023</t>
        </is>
      </c>
      <c r="B268" t="inlineStr">
        <is>
          <t>avverkningsanmälan</t>
        </is>
      </c>
      <c r="C268" t="inlineStr">
        <is>
          <t>Föryngringsavverkning</t>
        </is>
      </c>
      <c r="D268" s="1" t="n">
        <v>45027</v>
      </c>
      <c r="E268" s="1" t="n">
        <v>46223</v>
      </c>
      <c r="F268" t="inlineStr">
        <is>
          <t>ÖREBRO LÄN</t>
        </is>
      </c>
      <c r="G268" t="inlineStr">
        <is>
          <t>ÖREBRO</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57247-2022</t>
        </is>
      </c>
      <c r="B269" t="inlineStr">
        <is>
          <t>avverkningsanmälan</t>
        </is>
      </c>
      <c r="C269" t="inlineStr">
        <is>
          <t>Föryngringsavverkning</t>
        </is>
      </c>
      <c r="D269" s="1" t="n">
        <v>44895</v>
      </c>
      <c r="E269" s="1" t="n">
        <v>46223</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11286-2026</t>
        </is>
      </c>
      <c r="B270" t="inlineStr">
        <is>
          <t>avverkningsanmälan</t>
        </is>
      </c>
      <c r="C270" t="inlineStr">
        <is>
          <t>Föryngringsavverkning</t>
        </is>
      </c>
      <c r="D270" s="1" t="n">
        <v>46080</v>
      </c>
      <c r="E270" s="1" t="n">
        <v>46223</v>
      </c>
      <c r="F270" t="inlineStr">
        <is>
          <t>ÖREBRO LÄN</t>
        </is>
      </c>
      <c r="G270" t="inlineStr">
        <is>
          <t>ÖREBRO</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57537-2025</t>
        </is>
      </c>
      <c r="B271" t="inlineStr">
        <is>
          <t>avverkningsanmälan</t>
        </is>
      </c>
      <c r="C271" t="inlineStr">
        <is>
          <t>Föryngringsavverkning</t>
        </is>
      </c>
      <c r="D271" s="1" t="n">
        <v>45980</v>
      </c>
      <c r="E271" s="1" t="n">
        <v>46223</v>
      </c>
      <c r="F271" t="inlineStr">
        <is>
          <t>ÖREBRO LÄN</t>
        </is>
      </c>
      <c r="G271" t="inlineStr">
        <is>
          <t>ÖREBRO</t>
        </is>
      </c>
      <c r="I271" t="n">
        <v>9.300000000000001</v>
      </c>
      <c r="J271" t="n">
        <v>0</v>
      </c>
      <c r="K271" t="n">
        <v>0</v>
      </c>
      <c r="L271" t="n">
        <v>0</v>
      </c>
      <c r="M271" t="n">
        <v>0</v>
      </c>
      <c r="N271" t="n">
        <v>0</v>
      </c>
      <c r="O271" t="n">
        <v>0</v>
      </c>
      <c r="P271" t="n">
        <v>0</v>
      </c>
      <c r="Q271" t="n">
        <v>0</v>
      </c>
      <c r="R271" t="n">
        <v>0</v>
      </c>
      <c r="S271" t="n">
        <v>0</v>
      </c>
      <c r="T271" t="n">
        <v>0</v>
      </c>
      <c r="U271" s="2" t="inlineStr"/>
    </row>
    <row r="272" ht="15" customHeight="1">
      <c r="A272" t="inlineStr">
        <is>
          <t>A 58587-2025</t>
        </is>
      </c>
      <c r="B272" t="inlineStr">
        <is>
          <t>avverkningsanmälan</t>
        </is>
      </c>
      <c r="C272" t="inlineStr">
        <is>
          <t>Föryngringsavverkning</t>
        </is>
      </c>
      <c r="D272" s="1" t="n">
        <v>45986</v>
      </c>
      <c r="E272" s="1" t="n">
        <v>46223</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46757-2021</t>
        </is>
      </c>
      <c r="B273" t="inlineStr">
        <is>
          <t>avverkningsanmälan</t>
        </is>
      </c>
      <c r="C273" t="inlineStr">
        <is>
          <t>Föryngringsavverkning</t>
        </is>
      </c>
      <c r="D273" s="1" t="n">
        <v>44445</v>
      </c>
      <c r="E273" s="1" t="n">
        <v>46223</v>
      </c>
      <c r="F273" t="inlineStr">
        <is>
          <t>ÖREBRO LÄN</t>
        </is>
      </c>
      <c r="G273" t="inlineStr">
        <is>
          <t>ÖREBRO</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30374-2023</t>
        </is>
      </c>
      <c r="B274" t="inlineStr">
        <is>
          <t>avverkningsanmälan</t>
        </is>
      </c>
      <c r="C274" t="inlineStr">
        <is>
          <t>Föryngringsavverkning</t>
        </is>
      </c>
      <c r="D274" s="1" t="n">
        <v>45111</v>
      </c>
      <c r="E274" s="1" t="n">
        <v>46223</v>
      </c>
      <c r="F274" t="inlineStr">
        <is>
          <t>ÖREBRO LÄN</t>
        </is>
      </c>
      <c r="G274" t="inlineStr">
        <is>
          <t>ÖREBRO</t>
        </is>
      </c>
      <c r="H274" t="inlineStr">
        <is>
          <t>Övriga Aktiebolag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59856-2025</t>
        </is>
      </c>
      <c r="B275" t="inlineStr">
        <is>
          <t>avverkningsanmälan</t>
        </is>
      </c>
      <c r="C275" t="inlineStr">
        <is>
          <t>Föryngringsavverkning</t>
        </is>
      </c>
      <c r="D275" s="1" t="n">
        <v>45992</v>
      </c>
      <c r="E275" s="1" t="n">
        <v>46223</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54678-2023</t>
        </is>
      </c>
      <c r="B276" t="inlineStr">
        <is>
          <t>avverkningsanmälan</t>
        </is>
      </c>
      <c r="C276" t="inlineStr">
        <is>
          <t>Föryngringsavverkning</t>
        </is>
      </c>
      <c r="D276" s="1" t="n">
        <v>45235</v>
      </c>
      <c r="E276" s="1" t="n">
        <v>46223</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12536-2026</t>
        </is>
      </c>
      <c r="B277" t="inlineStr">
        <is>
          <t>avverkningsanmälan</t>
        </is>
      </c>
      <c r="C277" t="inlineStr">
        <is>
          <t>Föryngringsavverkning</t>
        </is>
      </c>
      <c r="D277" s="1" t="n">
        <v>46090</v>
      </c>
      <c r="E277" s="1" t="n">
        <v>46223</v>
      </c>
      <c r="F277" t="inlineStr">
        <is>
          <t>ÖREBRO LÄN</t>
        </is>
      </c>
      <c r="G277" t="inlineStr">
        <is>
          <t>ÖREBRO</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59857-2025</t>
        </is>
      </c>
      <c r="B278" t="inlineStr">
        <is>
          <t>avverkningsanmälan</t>
        </is>
      </c>
      <c r="C278" t="inlineStr">
        <is>
          <t>Föryngringsavverkning</t>
        </is>
      </c>
      <c r="D278" s="1" t="n">
        <v>45992</v>
      </c>
      <c r="E278" s="1" t="n">
        <v>46223</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59858-2025</t>
        </is>
      </c>
      <c r="B279" t="inlineStr">
        <is>
          <t>avverkningsanmälan</t>
        </is>
      </c>
      <c r="C279" t="inlineStr">
        <is>
          <t>Föryngringsavverkning</t>
        </is>
      </c>
      <c r="D279" s="1" t="n">
        <v>45992</v>
      </c>
      <c r="E279" s="1" t="n">
        <v>46223</v>
      </c>
      <c r="F279" t="inlineStr">
        <is>
          <t>ÖREBRO LÄN</t>
        </is>
      </c>
      <c r="G279" t="inlineStr">
        <is>
          <t>ÖREBRO</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59859-2025</t>
        </is>
      </c>
      <c r="B280" t="inlineStr">
        <is>
          <t>avverkningsanmälan</t>
        </is>
      </c>
      <c r="C280" t="inlineStr">
        <is>
          <t>Föryngringsavverkning</t>
        </is>
      </c>
      <c r="D280" s="1" t="n">
        <v>45992</v>
      </c>
      <c r="E280" s="1" t="n">
        <v>46223</v>
      </c>
      <c r="F280" t="inlineStr">
        <is>
          <t>ÖREBRO LÄN</t>
        </is>
      </c>
      <c r="G280" t="inlineStr">
        <is>
          <t>ÖREBRO</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59860-2025</t>
        </is>
      </c>
      <c r="B281" t="inlineStr">
        <is>
          <t>avverkningsanmälan</t>
        </is>
      </c>
      <c r="C281" t="inlineStr">
        <is>
          <t>Föryngringsavverkning</t>
        </is>
      </c>
      <c r="D281" s="1" t="n">
        <v>45992</v>
      </c>
      <c r="E281" s="1" t="n">
        <v>46223</v>
      </c>
      <c r="F281" t="inlineStr">
        <is>
          <t>ÖREBRO LÄN</t>
        </is>
      </c>
      <c r="G281" t="inlineStr">
        <is>
          <t>ÖREBRO</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60555-2025</t>
        </is>
      </c>
      <c r="B282" t="inlineStr">
        <is>
          <t>avverkningsanmälan</t>
        </is>
      </c>
      <c r="C282" t="inlineStr">
        <is>
          <t>Föryngringsavverkning</t>
        </is>
      </c>
      <c r="D282" s="1" t="n">
        <v>45995</v>
      </c>
      <c r="E282" s="1" t="n">
        <v>46223</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60551-2025</t>
        </is>
      </c>
      <c r="B283" t="inlineStr">
        <is>
          <t>avverkningsanmälan</t>
        </is>
      </c>
      <c r="C283" t="inlineStr">
        <is>
          <t>Avverkning för annat ändamål</t>
        </is>
      </c>
      <c r="D283" s="1" t="n">
        <v>45995</v>
      </c>
      <c r="E283" s="1" t="n">
        <v>46223</v>
      </c>
      <c r="F283" t="inlineStr">
        <is>
          <t>ÖREBRO LÄN</t>
        </is>
      </c>
      <c r="G283" t="inlineStr">
        <is>
          <t>ÖREBRO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14032-2026</t>
        </is>
      </c>
      <c r="B284" t="inlineStr">
        <is>
          <t>avverkningsanmälan</t>
        </is>
      </c>
      <c r="C284" t="inlineStr">
        <is>
          <t>Föryngringsavverkning</t>
        </is>
      </c>
      <c r="D284" s="1" t="n">
        <v>46098</v>
      </c>
      <c r="E284" s="1" t="n">
        <v>46223</v>
      </c>
      <c r="F284" t="inlineStr">
        <is>
          <t>ÖREBRO LÄN</t>
        </is>
      </c>
      <c r="G284" t="inlineStr">
        <is>
          <t>ÖREBRO</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42518-2021</t>
        </is>
      </c>
      <c r="B285" t="inlineStr">
        <is>
          <t>avverkningsanmälan</t>
        </is>
      </c>
      <c r="C285" t="inlineStr">
        <is>
          <t>Föryngringsavverkning</t>
        </is>
      </c>
      <c r="D285" s="1" t="n">
        <v>44427</v>
      </c>
      <c r="E285" s="1" t="n">
        <v>46223</v>
      </c>
      <c r="F285" t="inlineStr">
        <is>
          <t>ÖREBRO LÄN</t>
        </is>
      </c>
      <c r="G285" t="inlineStr">
        <is>
          <t>ÖREBRO</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14545-2023</t>
        </is>
      </c>
      <c r="B286" t="inlineStr">
        <is>
          <t>avverkningsanmälan</t>
        </is>
      </c>
      <c r="C286" t="inlineStr">
        <is>
          <t>Föryngringsavverkning</t>
        </is>
      </c>
      <c r="D286" s="1" t="n">
        <v>45013</v>
      </c>
      <c r="E286" s="1" t="n">
        <v>46223</v>
      </c>
      <c r="F286" t="inlineStr">
        <is>
          <t>ÖREBRO LÄN</t>
        </is>
      </c>
      <c r="G286" t="inlineStr">
        <is>
          <t>ÖREBRO</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61525-2025</t>
        </is>
      </c>
      <c r="B287" t="inlineStr">
        <is>
          <t>avverkningsanmälan</t>
        </is>
      </c>
      <c r="C287" t="inlineStr">
        <is>
          <t>Föryngringsavverkning</t>
        </is>
      </c>
      <c r="D287" s="1" t="n">
        <v>46001</v>
      </c>
      <c r="E287" s="1" t="n">
        <v>46223</v>
      </c>
      <c r="F287" t="inlineStr">
        <is>
          <t>ÖREBRO LÄN</t>
        </is>
      </c>
      <c r="G287" t="inlineStr">
        <is>
          <t>ÖREBRO</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27112-2023</t>
        </is>
      </c>
      <c r="B288" t="inlineStr">
        <is>
          <t>avverkningsanmälan</t>
        </is>
      </c>
      <c r="C288" t="inlineStr">
        <is>
          <t>Avverkning för annat ändamål</t>
        </is>
      </c>
      <c r="D288" s="1" t="n">
        <v>45096</v>
      </c>
      <c r="E288" s="1" t="n">
        <v>46223</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14524-2025</t>
        </is>
      </c>
      <c r="B289" t="inlineStr">
        <is>
          <t>avverkningsanmälan</t>
        </is>
      </c>
      <c r="C289" t="inlineStr">
        <is>
          <t>Föryngringsavverkning</t>
        </is>
      </c>
      <c r="D289" s="1" t="n">
        <v>45741</v>
      </c>
      <c r="E289" s="1" t="n">
        <v>46223</v>
      </c>
      <c r="F289" t="inlineStr">
        <is>
          <t>ÖREBRO LÄN</t>
        </is>
      </c>
      <c r="G289" t="inlineStr">
        <is>
          <t>ÖREBRO</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46834-2022</t>
        </is>
      </c>
      <c r="B290" t="inlineStr">
        <is>
          <t>avverkningsanmälan</t>
        </is>
      </c>
      <c r="C290" t="inlineStr">
        <is>
          <t>Föryngringsavverkning</t>
        </is>
      </c>
      <c r="D290" s="1" t="n">
        <v>44851</v>
      </c>
      <c r="E290" s="1" t="n">
        <v>46223</v>
      </c>
      <c r="F290" t="inlineStr">
        <is>
          <t>ÖREBRO LÄN</t>
        </is>
      </c>
      <c r="G290" t="inlineStr">
        <is>
          <t>ÖREBRO</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57638-2022</t>
        </is>
      </c>
      <c r="B291" t="inlineStr">
        <is>
          <t>avverkningsanmälan</t>
        </is>
      </c>
      <c r="C291" t="inlineStr">
        <is>
          <t>Föryngringsavverkning</t>
        </is>
      </c>
      <c r="D291" s="1" t="n">
        <v>44897</v>
      </c>
      <c r="E291" s="1" t="n">
        <v>46223</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61930-2025</t>
        </is>
      </c>
      <c r="B292" t="inlineStr">
        <is>
          <t>avverkningsanmälan</t>
        </is>
      </c>
      <c r="C292" t="inlineStr">
        <is>
          <t>Föryngringsavverkning</t>
        </is>
      </c>
      <c r="D292" s="1" t="n">
        <v>46003</v>
      </c>
      <c r="E292" s="1" t="n">
        <v>46223</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2152-2023</t>
        </is>
      </c>
      <c r="B293" t="inlineStr">
        <is>
          <t>avverkningsanmälan</t>
        </is>
      </c>
      <c r="C293" t="inlineStr">
        <is>
          <t>Föryngringsavverkning</t>
        </is>
      </c>
      <c r="D293" s="1" t="n">
        <v>44941</v>
      </c>
      <c r="E293" s="1" t="n">
        <v>46223</v>
      </c>
      <c r="F293" t="inlineStr">
        <is>
          <t>ÖREBRO LÄN</t>
        </is>
      </c>
      <c r="G293" t="inlineStr">
        <is>
          <t>ÖREBRO</t>
        </is>
      </c>
      <c r="I293" t="n">
        <v>8</v>
      </c>
      <c r="J293" t="n">
        <v>0</v>
      </c>
      <c r="K293" t="n">
        <v>0</v>
      </c>
      <c r="L293" t="n">
        <v>0</v>
      </c>
      <c r="M293" t="n">
        <v>0</v>
      </c>
      <c r="N293" t="n">
        <v>0</v>
      </c>
      <c r="O293" t="n">
        <v>0</v>
      </c>
      <c r="P293" t="n">
        <v>0</v>
      </c>
      <c r="Q293" t="n">
        <v>0</v>
      </c>
      <c r="R293" t="n">
        <v>0</v>
      </c>
      <c r="S293" t="n">
        <v>0</v>
      </c>
      <c r="T293" t="n">
        <v>0</v>
      </c>
      <c r="U293" s="2" t="inlineStr"/>
    </row>
    <row r="294" ht="15" customHeight="1">
      <c r="A294" t="inlineStr">
        <is>
          <t>A 55745-2023</t>
        </is>
      </c>
      <c r="B294" t="inlineStr">
        <is>
          <t>avverkningsanmälan</t>
        </is>
      </c>
      <c r="C294" t="inlineStr">
        <is>
          <t>Föryngringsavverkning</t>
        </is>
      </c>
      <c r="D294" s="1" t="n">
        <v>45239</v>
      </c>
      <c r="E294" s="1" t="n">
        <v>46223</v>
      </c>
      <c r="F294" t="inlineStr">
        <is>
          <t>ÖREBRO LÄN</t>
        </is>
      </c>
      <c r="G294" t="inlineStr">
        <is>
          <t>ÖREBRO</t>
        </is>
      </c>
      <c r="I294" t="n">
        <v>13.3</v>
      </c>
      <c r="J294" t="n">
        <v>0</v>
      </c>
      <c r="K294" t="n">
        <v>0</v>
      </c>
      <c r="L294" t="n">
        <v>0</v>
      </c>
      <c r="M294" t="n">
        <v>0</v>
      </c>
      <c r="N294" t="n">
        <v>0</v>
      </c>
      <c r="O294" t="n">
        <v>0</v>
      </c>
      <c r="P294" t="n">
        <v>0</v>
      </c>
      <c r="Q294" t="n">
        <v>0</v>
      </c>
      <c r="R294" t="n">
        <v>0</v>
      </c>
      <c r="S294" t="n">
        <v>0</v>
      </c>
      <c r="T294" t="n">
        <v>0</v>
      </c>
      <c r="U294" s="2" t="inlineStr"/>
    </row>
    <row r="295" ht="15" customHeight="1">
      <c r="A295" t="inlineStr">
        <is>
          <t>A 62683-2025</t>
        </is>
      </c>
      <c r="B295" t="inlineStr">
        <is>
          <t>avverkningsanmälan</t>
        </is>
      </c>
      <c r="C295" t="inlineStr">
        <is>
          <t>Föryngringsavverkning</t>
        </is>
      </c>
      <c r="D295" s="1" t="n">
        <v>46008</v>
      </c>
      <c r="E295" s="1" t="n">
        <v>46223</v>
      </c>
      <c r="F295" t="inlineStr">
        <is>
          <t>ÖREBRO LÄN</t>
        </is>
      </c>
      <c r="G295" t="inlineStr">
        <is>
          <t>ÖREBRO</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71285-2021</t>
        </is>
      </c>
      <c r="B296" t="inlineStr">
        <is>
          <t>avverkningsanmälan</t>
        </is>
      </c>
      <c r="C296" t="inlineStr">
        <is>
          <t>Föryngringsavverkning</t>
        </is>
      </c>
      <c r="D296" s="1" t="n">
        <v>44539</v>
      </c>
      <c r="E296" s="1" t="n">
        <v>46223</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16258-2022</t>
        </is>
      </c>
      <c r="B297" t="inlineStr">
        <is>
          <t>avverkningsanmälan</t>
        </is>
      </c>
      <c r="C297" t="inlineStr">
        <is>
          <t>Föryngringsavverkning</t>
        </is>
      </c>
      <c r="D297" s="1" t="n">
        <v>44670</v>
      </c>
      <c r="E297" s="1" t="n">
        <v>46223</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60289-2023</t>
        </is>
      </c>
      <c r="B298" t="inlineStr">
        <is>
          <t>avverkningsanmälan</t>
        </is>
      </c>
      <c r="C298" t="inlineStr">
        <is>
          <t>Föryngringsavverkning</t>
        </is>
      </c>
      <c r="D298" s="1" t="n">
        <v>45257</v>
      </c>
      <c r="E298" s="1" t="n">
        <v>46223</v>
      </c>
      <c r="F298" t="inlineStr">
        <is>
          <t>ÖREBRO LÄN</t>
        </is>
      </c>
      <c r="G298" t="inlineStr">
        <is>
          <t>ÖREBRO</t>
        </is>
      </c>
      <c r="I298" t="n">
        <v>10.9</v>
      </c>
      <c r="J298" t="n">
        <v>0</v>
      </c>
      <c r="K298" t="n">
        <v>0</v>
      </c>
      <c r="L298" t="n">
        <v>0</v>
      </c>
      <c r="M298" t="n">
        <v>0</v>
      </c>
      <c r="N298" t="n">
        <v>0</v>
      </c>
      <c r="O298" t="n">
        <v>0</v>
      </c>
      <c r="P298" t="n">
        <v>0</v>
      </c>
      <c r="Q298" t="n">
        <v>0</v>
      </c>
      <c r="R298" t="n">
        <v>0</v>
      </c>
      <c r="S298" t="n">
        <v>0</v>
      </c>
      <c r="T298" t="n">
        <v>0</v>
      </c>
      <c r="U298" s="2" t="inlineStr"/>
    </row>
    <row r="299" ht="15" customHeight="1">
      <c r="A299" t="inlineStr">
        <is>
          <t>A 12099-2023</t>
        </is>
      </c>
      <c r="B299" t="inlineStr">
        <is>
          <t>avverkningsanmälan</t>
        </is>
      </c>
      <c r="C299" t="inlineStr">
        <is>
          <t>Föryngringsavverkning</t>
        </is>
      </c>
      <c r="D299" s="1" t="n">
        <v>44998</v>
      </c>
      <c r="E299" s="1" t="n">
        <v>46223</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63657-2025</t>
        </is>
      </c>
      <c r="B300" t="inlineStr">
        <is>
          <t>avverkningsanmälan</t>
        </is>
      </c>
      <c r="C300" t="inlineStr">
        <is>
          <t>Föryngringsavverkning</t>
        </is>
      </c>
      <c r="D300" s="1" t="n">
        <v>46014</v>
      </c>
      <c r="E300" s="1" t="n">
        <v>46223</v>
      </c>
      <c r="F300" t="inlineStr">
        <is>
          <t>ÖREBRO LÄN</t>
        </is>
      </c>
      <c r="G300" t="inlineStr">
        <is>
          <t>ÖREBRO</t>
        </is>
      </c>
      <c r="H300" t="inlineStr">
        <is>
          <t>Allmännings- och besparingsskogar</t>
        </is>
      </c>
      <c r="I300" t="n">
        <v>3.9</v>
      </c>
      <c r="J300" t="n">
        <v>0</v>
      </c>
      <c r="K300" t="n">
        <v>0</v>
      </c>
      <c r="L300" t="n">
        <v>0</v>
      </c>
      <c r="M300" t="n">
        <v>0</v>
      </c>
      <c r="N300" t="n">
        <v>0</v>
      </c>
      <c r="O300" t="n">
        <v>0</v>
      </c>
      <c r="P300" t="n">
        <v>0</v>
      </c>
      <c r="Q300" t="n">
        <v>0</v>
      </c>
      <c r="R300" t="n">
        <v>0</v>
      </c>
      <c r="S300" t="n">
        <v>0</v>
      </c>
      <c r="T300" t="n">
        <v>0</v>
      </c>
      <c r="U300" s="2" t="inlineStr"/>
    </row>
    <row r="301" ht="15" customHeight="1">
      <c r="A301" t="inlineStr">
        <is>
          <t>A 63666-2025</t>
        </is>
      </c>
      <c r="B301" t="inlineStr">
        <is>
          <t>avverkningsanmälan</t>
        </is>
      </c>
      <c r="C301" t="inlineStr">
        <is>
          <t>Föryngringsavverkning</t>
        </is>
      </c>
      <c r="D301" s="1" t="n">
        <v>46014</v>
      </c>
      <c r="E301" s="1" t="n">
        <v>46223</v>
      </c>
      <c r="F301" t="inlineStr">
        <is>
          <t>ÖREBRO LÄN</t>
        </is>
      </c>
      <c r="G301" t="inlineStr">
        <is>
          <t>ÖREBRO</t>
        </is>
      </c>
      <c r="H301" t="inlineStr">
        <is>
          <t>Allmännings- och besparingsskogar</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63662-2025</t>
        </is>
      </c>
      <c r="B302" t="inlineStr">
        <is>
          <t>avverkningsanmälan</t>
        </is>
      </c>
      <c r="C302" t="inlineStr">
        <is>
          <t>Föryngringsavverkning</t>
        </is>
      </c>
      <c r="D302" s="1" t="n">
        <v>46014</v>
      </c>
      <c r="E302" s="1" t="n">
        <v>46223</v>
      </c>
      <c r="F302" t="inlineStr">
        <is>
          <t>ÖREBRO LÄN</t>
        </is>
      </c>
      <c r="G302" t="inlineStr">
        <is>
          <t>ÖREBRO</t>
        </is>
      </c>
      <c r="H302" t="inlineStr">
        <is>
          <t>Allmännings- och besparingsskogar</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58277-2022</t>
        </is>
      </c>
      <c r="B303" t="inlineStr">
        <is>
          <t>avverkningsanmälan</t>
        </is>
      </c>
      <c r="C303" t="inlineStr">
        <is>
          <t>Föryngringsavverkning</t>
        </is>
      </c>
      <c r="D303" s="1" t="n">
        <v>44901</v>
      </c>
      <c r="E303" s="1" t="n">
        <v>46223</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64019-2025</t>
        </is>
      </c>
      <c r="B304" t="inlineStr">
        <is>
          <t>avverkningsanmälan</t>
        </is>
      </c>
      <c r="C304" t="inlineStr">
        <is>
          <t>Föryngringsavverkning</t>
        </is>
      </c>
      <c r="D304" s="1" t="n">
        <v>46021</v>
      </c>
      <c r="E304" s="1" t="n">
        <v>46223</v>
      </c>
      <c r="F304" t="inlineStr">
        <is>
          <t>ÖREBRO LÄN</t>
        </is>
      </c>
      <c r="G304" t="inlineStr">
        <is>
          <t>ÖREBRO</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31906-2023</t>
        </is>
      </c>
      <c r="B305" t="inlineStr">
        <is>
          <t>avverkningsanmälan</t>
        </is>
      </c>
      <c r="C305" t="inlineStr">
        <is>
          <t>Föryngringsavverkning</t>
        </is>
      </c>
      <c r="D305" s="1" t="n">
        <v>45118</v>
      </c>
      <c r="E305" s="1" t="n">
        <v>46223</v>
      </c>
      <c r="F305" t="inlineStr">
        <is>
          <t>ÖREBRO LÄN</t>
        </is>
      </c>
      <c r="G305" t="inlineStr">
        <is>
          <t>ÖREBRO</t>
        </is>
      </c>
      <c r="I305" t="n">
        <v>9</v>
      </c>
      <c r="J305" t="n">
        <v>0</v>
      </c>
      <c r="K305" t="n">
        <v>0</v>
      </c>
      <c r="L305" t="n">
        <v>0</v>
      </c>
      <c r="M305" t="n">
        <v>0</v>
      </c>
      <c r="N305" t="n">
        <v>0</v>
      </c>
      <c r="O305" t="n">
        <v>0</v>
      </c>
      <c r="P305" t="n">
        <v>0</v>
      </c>
      <c r="Q305" t="n">
        <v>0</v>
      </c>
      <c r="R305" t="n">
        <v>0</v>
      </c>
      <c r="S305" t="n">
        <v>0</v>
      </c>
      <c r="T305" t="n">
        <v>0</v>
      </c>
      <c r="U305" s="2" t="inlineStr"/>
    </row>
    <row r="306" ht="15" customHeight="1">
      <c r="A306" t="inlineStr">
        <is>
          <t>A 10937-2024</t>
        </is>
      </c>
      <c r="B306" t="inlineStr">
        <is>
          <t>avverkningsanmälan</t>
        </is>
      </c>
      <c r="C306" t="inlineStr">
        <is>
          <t>Föryngringsavverkning</t>
        </is>
      </c>
      <c r="D306" s="1" t="n">
        <v>45370</v>
      </c>
      <c r="E306" s="1" t="n">
        <v>46223</v>
      </c>
      <c r="F306" t="inlineStr">
        <is>
          <t>ÖREBRO LÄN</t>
        </is>
      </c>
      <c r="G306" t="inlineStr">
        <is>
          <t>ÖREBRO</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3841-2023</t>
        </is>
      </c>
      <c r="B307" t="inlineStr">
        <is>
          <t>avverkningsanmälan</t>
        </is>
      </c>
      <c r="C307" t="inlineStr">
        <is>
          <t>Föryngringsavverkning</t>
        </is>
      </c>
      <c r="D307" s="1" t="n">
        <v>44951</v>
      </c>
      <c r="E307" s="1" t="n">
        <v>46223</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18550-2025</t>
        </is>
      </c>
      <c r="B308" t="inlineStr">
        <is>
          <t>avverkningsanmälan</t>
        </is>
      </c>
      <c r="C308" t="inlineStr">
        <is>
          <t>Föryngringsavverkning</t>
        </is>
      </c>
      <c r="D308" s="1" t="n">
        <v>45763</v>
      </c>
      <c r="E308" s="1" t="n">
        <v>46223</v>
      </c>
      <c r="F308" t="inlineStr">
        <is>
          <t>ÖREBRO LÄN</t>
        </is>
      </c>
      <c r="G308" t="inlineStr">
        <is>
          <t>ÖREBRO</t>
        </is>
      </c>
      <c r="I308" t="n">
        <v>11.5</v>
      </c>
      <c r="J308" t="n">
        <v>0</v>
      </c>
      <c r="K308" t="n">
        <v>0</v>
      </c>
      <c r="L308" t="n">
        <v>0</v>
      </c>
      <c r="M308" t="n">
        <v>0</v>
      </c>
      <c r="N308" t="n">
        <v>0</v>
      </c>
      <c r="O308" t="n">
        <v>0</v>
      </c>
      <c r="P308" t="n">
        <v>0</v>
      </c>
      <c r="Q308" t="n">
        <v>0</v>
      </c>
      <c r="R308" t="n">
        <v>0</v>
      </c>
      <c r="S308" t="n">
        <v>0</v>
      </c>
      <c r="T308" t="n">
        <v>0</v>
      </c>
      <c r="U308" s="2" t="inlineStr"/>
    </row>
    <row r="309" ht="15" customHeight="1">
      <c r="A309" t="inlineStr">
        <is>
          <t>A 1153-2026</t>
        </is>
      </c>
      <c r="B309" t="inlineStr">
        <is>
          <t>avverkningsanmälan</t>
        </is>
      </c>
      <c r="C309" t="inlineStr">
        <is>
          <t>Föryngringsavverkning</t>
        </is>
      </c>
      <c r="D309" s="1" t="n">
        <v>46031</v>
      </c>
      <c r="E309" s="1" t="n">
        <v>46223</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13778-2026</t>
        </is>
      </c>
      <c r="B310" t="inlineStr">
        <is>
          <t>avverkningsanmälan</t>
        </is>
      </c>
      <c r="C310" t="inlineStr">
        <is>
          <t>Avverkning för annat ändamål</t>
        </is>
      </c>
      <c r="D310" s="1" t="n">
        <v>46097</v>
      </c>
      <c r="E310" s="1" t="n">
        <v>46223</v>
      </c>
      <c r="F310" t="inlineStr">
        <is>
          <t>ÖREBRO LÄN</t>
        </is>
      </c>
      <c r="G310" t="inlineStr">
        <is>
          <t>ÖREBRO</t>
        </is>
      </c>
      <c r="H310" t="inlineStr">
        <is>
          <t>Övriga Aktiebolag</t>
        </is>
      </c>
      <c r="I310" t="n">
        <v>23.7</v>
      </c>
      <c r="J310" t="n">
        <v>0</v>
      </c>
      <c r="K310" t="n">
        <v>0</v>
      </c>
      <c r="L310" t="n">
        <v>0</v>
      </c>
      <c r="M310" t="n">
        <v>0</v>
      </c>
      <c r="N310" t="n">
        <v>0</v>
      </c>
      <c r="O310" t="n">
        <v>0</v>
      </c>
      <c r="P310" t="n">
        <v>0</v>
      </c>
      <c r="Q310" t="n">
        <v>0</v>
      </c>
      <c r="R310" t="n">
        <v>0</v>
      </c>
      <c r="S310" t="n">
        <v>0</v>
      </c>
      <c r="T310" t="n">
        <v>0</v>
      </c>
      <c r="U310" s="2" t="inlineStr"/>
    </row>
    <row r="311" ht="15" customHeight="1">
      <c r="A311" t="inlineStr">
        <is>
          <t>A 38489-2023</t>
        </is>
      </c>
      <c r="B311" t="inlineStr">
        <is>
          <t>avverkningsanmälan</t>
        </is>
      </c>
      <c r="C311" t="inlineStr">
        <is>
          <t>Föryngringsavverkning</t>
        </is>
      </c>
      <c r="D311" s="1" t="n">
        <v>45162</v>
      </c>
      <c r="E311" s="1" t="n">
        <v>46223</v>
      </c>
      <c r="F311" t="inlineStr">
        <is>
          <t>ÖREBRO LÄN</t>
        </is>
      </c>
      <c r="G311" t="inlineStr">
        <is>
          <t>ÖREBRO</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2162-2026</t>
        </is>
      </c>
      <c r="B312" t="inlineStr">
        <is>
          <t>avverkningsanmälan</t>
        </is>
      </c>
      <c r="C312" t="inlineStr">
        <is>
          <t>Föryngringsavverkning</t>
        </is>
      </c>
      <c r="D312" s="1" t="n">
        <v>46036</v>
      </c>
      <c r="E312" s="1" t="n">
        <v>46223</v>
      </c>
      <c r="F312" t="inlineStr">
        <is>
          <t>ÖREBRO LÄN</t>
        </is>
      </c>
      <c r="G312" t="inlineStr">
        <is>
          <t>ÖREBRO</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59515-2025</t>
        </is>
      </c>
      <c r="B313" t="inlineStr">
        <is>
          <t>avverkningsanmälan</t>
        </is>
      </c>
      <c r="C313" t="inlineStr">
        <is>
          <t>Avverkning för att bevara och utveckla /försöksver</t>
        </is>
      </c>
      <c r="D313" s="1" t="n">
        <v>45989</v>
      </c>
      <c r="E313" s="1" t="n">
        <v>46223</v>
      </c>
      <c r="F313" t="inlineStr">
        <is>
          <t>ÖREBRO LÄN</t>
        </is>
      </c>
      <c r="G313" t="inlineStr">
        <is>
          <t>ÖREBRO</t>
        </is>
      </c>
      <c r="H313" t="inlineStr">
        <is>
          <t>Sveaskog</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70719-2021</t>
        </is>
      </c>
      <c r="B314" t="inlineStr">
        <is>
          <t>avverkningsanmälan</t>
        </is>
      </c>
      <c r="C314" t="inlineStr">
        <is>
          <t>Föryngringsavverkning</t>
        </is>
      </c>
      <c r="D314" s="1" t="n">
        <v>44537</v>
      </c>
      <c r="E314" s="1" t="n">
        <v>46223</v>
      </c>
      <c r="F314" t="inlineStr">
        <is>
          <t>ÖREBRO LÄN</t>
        </is>
      </c>
      <c r="G314" t="inlineStr">
        <is>
          <t>ÖREBRO</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38573-2023</t>
        </is>
      </c>
      <c r="B315" t="inlineStr">
        <is>
          <t>avverkningsanmälan</t>
        </is>
      </c>
      <c r="C315" t="inlineStr">
        <is>
          <t>Föryngringsavverkning</t>
        </is>
      </c>
      <c r="D315" s="1" t="n">
        <v>45162</v>
      </c>
      <c r="E315" s="1" t="n">
        <v>46223</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4757-2024</t>
        </is>
      </c>
      <c r="B316" t="inlineStr">
        <is>
          <t>avverkningsanmälan</t>
        </is>
      </c>
      <c r="C316" t="inlineStr">
        <is>
          <t>Föryngringsavverkning</t>
        </is>
      </c>
      <c r="D316" s="1" t="n">
        <v>45328</v>
      </c>
      <c r="E316" s="1" t="n">
        <v>46223</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3033-2026</t>
        </is>
      </c>
      <c r="B317" t="inlineStr">
        <is>
          <t>avverkningsanmälan</t>
        </is>
      </c>
      <c r="C317" t="inlineStr">
        <is>
          <t>Föryngringsavverkning</t>
        </is>
      </c>
      <c r="D317" s="1" t="n">
        <v>46038</v>
      </c>
      <c r="E317" s="1" t="n">
        <v>46223</v>
      </c>
      <c r="F317" t="inlineStr">
        <is>
          <t>ÖREBRO LÄN</t>
        </is>
      </c>
      <c r="G317" t="inlineStr">
        <is>
          <t>ÖREBRO</t>
        </is>
      </c>
      <c r="H317" t="inlineStr">
        <is>
          <t>Övriga Aktiebolag</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2658-2023</t>
        </is>
      </c>
      <c r="B318" t="inlineStr">
        <is>
          <t>avverkningsanmälan</t>
        </is>
      </c>
      <c r="C318" t="inlineStr">
        <is>
          <t>Föryngringsavverkning</t>
        </is>
      </c>
      <c r="D318" s="1" t="n">
        <v>44944</v>
      </c>
      <c r="E318" s="1" t="n">
        <v>46223</v>
      </c>
      <c r="F318" t="inlineStr">
        <is>
          <t>ÖREBRO LÄN</t>
        </is>
      </c>
      <c r="G318" t="inlineStr">
        <is>
          <t>ÖREBRO</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11565-2023</t>
        </is>
      </c>
      <c r="B319" t="inlineStr">
        <is>
          <t>avverkningsanmälan</t>
        </is>
      </c>
      <c r="C319" t="inlineStr">
        <is>
          <t>Föryngringsavverkning</t>
        </is>
      </c>
      <c r="D319" s="1" t="n">
        <v>44994</v>
      </c>
      <c r="E319" s="1" t="n">
        <v>46223</v>
      </c>
      <c r="F319" t="inlineStr">
        <is>
          <t>ÖREBRO LÄN</t>
        </is>
      </c>
      <c r="G319" t="inlineStr">
        <is>
          <t>ÖREBRO</t>
        </is>
      </c>
      <c r="I319" t="n">
        <v>4.7</v>
      </c>
      <c r="J319" t="n">
        <v>0</v>
      </c>
      <c r="K319" t="n">
        <v>0</v>
      </c>
      <c r="L319" t="n">
        <v>0</v>
      </c>
      <c r="M319" t="n">
        <v>0</v>
      </c>
      <c r="N319" t="n">
        <v>0</v>
      </c>
      <c r="O319" t="n">
        <v>0</v>
      </c>
      <c r="P319" t="n">
        <v>0</v>
      </c>
      <c r="Q319" t="n">
        <v>0</v>
      </c>
      <c r="R319" t="n">
        <v>0</v>
      </c>
      <c r="S319" t="n">
        <v>0</v>
      </c>
      <c r="T319" t="n">
        <v>0</v>
      </c>
      <c r="U319" s="2" t="inlineStr"/>
    </row>
    <row r="320" ht="15" customHeight="1">
      <c r="A320" t="inlineStr">
        <is>
          <t>A 2630-2023</t>
        </is>
      </c>
      <c r="B320" t="inlineStr">
        <is>
          <t>avverkningsanmälan</t>
        </is>
      </c>
      <c r="C320" t="inlineStr">
        <is>
          <t>Föryngringsavverkning</t>
        </is>
      </c>
      <c r="D320" s="1" t="n">
        <v>44944</v>
      </c>
      <c r="E320" s="1" t="n">
        <v>46223</v>
      </c>
      <c r="F320" t="inlineStr">
        <is>
          <t>ÖREBRO LÄN</t>
        </is>
      </c>
      <c r="G320" t="inlineStr">
        <is>
          <t>ÖREBRO</t>
        </is>
      </c>
      <c r="I320" t="n">
        <v>6.1</v>
      </c>
      <c r="J320" t="n">
        <v>0</v>
      </c>
      <c r="K320" t="n">
        <v>0</v>
      </c>
      <c r="L320" t="n">
        <v>0</v>
      </c>
      <c r="M320" t="n">
        <v>0</v>
      </c>
      <c r="N320" t="n">
        <v>0</v>
      </c>
      <c r="O320" t="n">
        <v>0</v>
      </c>
      <c r="P320" t="n">
        <v>0</v>
      </c>
      <c r="Q320" t="n">
        <v>0</v>
      </c>
      <c r="R320" t="n">
        <v>0</v>
      </c>
      <c r="S320" t="n">
        <v>0</v>
      </c>
      <c r="T320" t="n">
        <v>0</v>
      </c>
      <c r="U320" s="2" t="inlineStr"/>
    </row>
    <row r="321" ht="15" customHeight="1">
      <c r="A321" t="inlineStr">
        <is>
          <t>A 30015-2023</t>
        </is>
      </c>
      <c r="B321" t="inlineStr">
        <is>
          <t>avverkningsanmälan</t>
        </is>
      </c>
      <c r="C321" t="inlineStr">
        <is>
          <t>Föryngringsavverkning</t>
        </is>
      </c>
      <c r="D321" s="1" t="n">
        <v>45109</v>
      </c>
      <c r="E321" s="1" t="n">
        <v>46223</v>
      </c>
      <c r="F321" t="inlineStr">
        <is>
          <t>ÖREBRO LÄN</t>
        </is>
      </c>
      <c r="G321" t="inlineStr">
        <is>
          <t>ÖREBRO</t>
        </is>
      </c>
      <c r="I321" t="n">
        <v>8.800000000000001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37968-2024</t>
        </is>
      </c>
      <c r="B322" t="inlineStr">
        <is>
          <t>avverkningsanmälan</t>
        </is>
      </c>
      <c r="C322" t="inlineStr">
        <is>
          <t>Föryngringsavverkning</t>
        </is>
      </c>
      <c r="D322" s="1" t="n">
        <v>45544</v>
      </c>
      <c r="E322" s="1" t="n">
        <v>46223</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31326-2024</t>
        </is>
      </c>
      <c r="B323" t="inlineStr">
        <is>
          <t>avverkningsanmälan</t>
        </is>
      </c>
      <c r="C323" t="inlineStr">
        <is>
          <t>Föryngringsavverkning</t>
        </is>
      </c>
      <c r="D323" s="1" t="n">
        <v>45504</v>
      </c>
      <c r="E323" s="1" t="n">
        <v>46223</v>
      </c>
      <c r="F323" t="inlineStr">
        <is>
          <t>ÖREBRO LÄN</t>
        </is>
      </c>
      <c r="G323" t="inlineStr">
        <is>
          <t>ÖREBRO</t>
        </is>
      </c>
      <c r="I323" t="n">
        <v>6.4</v>
      </c>
      <c r="J323" t="n">
        <v>0</v>
      </c>
      <c r="K323" t="n">
        <v>0</v>
      </c>
      <c r="L323" t="n">
        <v>0</v>
      </c>
      <c r="M323" t="n">
        <v>0</v>
      </c>
      <c r="N323" t="n">
        <v>0</v>
      </c>
      <c r="O323" t="n">
        <v>0</v>
      </c>
      <c r="P323" t="n">
        <v>0</v>
      </c>
      <c r="Q323" t="n">
        <v>0</v>
      </c>
      <c r="R323" t="n">
        <v>0</v>
      </c>
      <c r="S323" t="n">
        <v>0</v>
      </c>
      <c r="T323" t="n">
        <v>0</v>
      </c>
      <c r="U323" s="2" t="inlineStr"/>
    </row>
    <row r="324" ht="15" customHeight="1">
      <c r="A324" t="inlineStr">
        <is>
          <t>A 17744-2026</t>
        </is>
      </c>
      <c r="B324" t="inlineStr">
        <is>
          <t>avverkningsanmälan</t>
        </is>
      </c>
      <c r="C324" t="inlineStr">
        <is>
          <t>Föryngringsavverkning</t>
        </is>
      </c>
      <c r="D324" s="1" t="n">
        <v>46122</v>
      </c>
      <c r="E324" s="1" t="n">
        <v>46223</v>
      </c>
      <c r="F324" t="inlineStr">
        <is>
          <t>ÖREBRO LÄN</t>
        </is>
      </c>
      <c r="G324" t="inlineStr">
        <is>
          <t>ÖREBRO</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58684-2023</t>
        </is>
      </c>
      <c r="B325" t="inlineStr">
        <is>
          <t>avverkningsanmälan</t>
        </is>
      </c>
      <c r="C325" t="inlineStr">
        <is>
          <t>Föryngringsavverkning</t>
        </is>
      </c>
      <c r="D325" s="1" t="n">
        <v>45251</v>
      </c>
      <c r="E325" s="1" t="n">
        <v>46223</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38898-2023</t>
        </is>
      </c>
      <c r="B326" t="inlineStr">
        <is>
          <t>avverkningsanmälan</t>
        </is>
      </c>
      <c r="C326" t="inlineStr">
        <is>
          <t>Föryngringsavverkning</t>
        </is>
      </c>
      <c r="D326" s="1" t="n">
        <v>45163</v>
      </c>
      <c r="E326" s="1" t="n">
        <v>46223</v>
      </c>
      <c r="F326" t="inlineStr">
        <is>
          <t>ÖREBRO LÄN</t>
        </is>
      </c>
      <c r="G326" t="inlineStr">
        <is>
          <t>ÖREBRO</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13321-2024</t>
        </is>
      </c>
      <c r="B327" t="inlineStr">
        <is>
          <t>avverkningsanmälan</t>
        </is>
      </c>
      <c r="C327" t="inlineStr">
        <is>
          <t>Föryngringsavverkning</t>
        </is>
      </c>
      <c r="D327" s="1" t="n">
        <v>45386</v>
      </c>
      <c r="E327" s="1" t="n">
        <v>46223</v>
      </c>
      <c r="F327" t="inlineStr">
        <is>
          <t>ÖREBRO LÄN</t>
        </is>
      </c>
      <c r="G327" t="inlineStr">
        <is>
          <t>ÖREBRO</t>
        </is>
      </c>
      <c r="I327" t="n">
        <v>13.1</v>
      </c>
      <c r="J327" t="n">
        <v>0</v>
      </c>
      <c r="K327" t="n">
        <v>0</v>
      </c>
      <c r="L327" t="n">
        <v>0</v>
      </c>
      <c r="M327" t="n">
        <v>0</v>
      </c>
      <c r="N327" t="n">
        <v>0</v>
      </c>
      <c r="O327" t="n">
        <v>0</v>
      </c>
      <c r="P327" t="n">
        <v>0</v>
      </c>
      <c r="Q327" t="n">
        <v>0</v>
      </c>
      <c r="R327" t="n">
        <v>0</v>
      </c>
      <c r="S327" t="n">
        <v>0</v>
      </c>
      <c r="T327" t="n">
        <v>0</v>
      </c>
      <c r="U327" s="2" t="inlineStr"/>
    </row>
    <row r="328" ht="15" customHeight="1">
      <c r="A328" t="inlineStr">
        <is>
          <t>A 14291-2023</t>
        </is>
      </c>
      <c r="B328" t="inlineStr">
        <is>
          <t>avverkningsanmälan</t>
        </is>
      </c>
      <c r="C328" t="inlineStr">
        <is>
          <t>Föryngringsavverkning</t>
        </is>
      </c>
      <c r="D328" s="1" t="n">
        <v>45010</v>
      </c>
      <c r="E328" s="1" t="n">
        <v>46223</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9314-2023</t>
        </is>
      </c>
      <c r="B329" t="inlineStr">
        <is>
          <t>avverkningsanmälan</t>
        </is>
      </c>
      <c r="C329" t="inlineStr">
        <is>
          <t>Föryngringsavverkning</t>
        </is>
      </c>
      <c r="D329" s="1" t="n">
        <v>44980</v>
      </c>
      <c r="E329" s="1" t="n">
        <v>46223</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33455-2023</t>
        </is>
      </c>
      <c r="B330" t="inlineStr">
        <is>
          <t>avverkningsanmälan</t>
        </is>
      </c>
      <c r="C330" t="inlineStr">
        <is>
          <t>Föryngringsavverkning</t>
        </is>
      </c>
      <c r="D330" s="1" t="n">
        <v>45130</v>
      </c>
      <c r="E330" s="1" t="n">
        <v>46223</v>
      </c>
      <c r="F330" t="inlineStr">
        <is>
          <t>ÖREBRO LÄN</t>
        </is>
      </c>
      <c r="G330" t="inlineStr">
        <is>
          <t>ÖREBRO</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7634-2024</t>
        </is>
      </c>
      <c r="B331" t="inlineStr">
        <is>
          <t>avverkningsanmälan</t>
        </is>
      </c>
      <c r="C331" t="inlineStr">
        <is>
          <t>Föryngringsavverkning</t>
        </is>
      </c>
      <c r="D331" s="1" t="n">
        <v>45348</v>
      </c>
      <c r="E331" s="1" t="n">
        <v>46223</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5324-2024</t>
        </is>
      </c>
      <c r="B332" t="inlineStr">
        <is>
          <t>avverkningsanmälan</t>
        </is>
      </c>
      <c r="C332" t="inlineStr">
        <is>
          <t>Föryngringsavverkning</t>
        </is>
      </c>
      <c r="D332" s="1" t="n">
        <v>45331</v>
      </c>
      <c r="E332" s="1" t="n">
        <v>46223</v>
      </c>
      <c r="F332" t="inlineStr">
        <is>
          <t>ÖREBRO LÄN</t>
        </is>
      </c>
      <c r="G332" t="inlineStr">
        <is>
          <t>ÖREBRO</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52401-2024</t>
        </is>
      </c>
      <c r="B333" t="inlineStr">
        <is>
          <t>avverkningsanmälan</t>
        </is>
      </c>
      <c r="C333" t="inlineStr">
        <is>
          <t>Avverkning för att bevara och utveckla /försöksver</t>
        </is>
      </c>
      <c r="D333" s="1" t="n">
        <v>45609</v>
      </c>
      <c r="E333" s="1" t="n">
        <v>46223</v>
      </c>
      <c r="F333" t="inlineStr">
        <is>
          <t>ÖREBRO LÄN</t>
        </is>
      </c>
      <c r="G333" t="inlineStr">
        <is>
          <t>ÖREBRO</t>
        </is>
      </c>
      <c r="H333" t="inlineStr">
        <is>
          <t>Sveaskog</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38422-2023</t>
        </is>
      </c>
      <c r="B334" t="inlineStr">
        <is>
          <t>avverkningsanmälan</t>
        </is>
      </c>
      <c r="C334" t="inlineStr">
        <is>
          <t>Föryngringsavverkning</t>
        </is>
      </c>
      <c r="D334" s="1" t="n">
        <v>45162</v>
      </c>
      <c r="E334" s="1" t="n">
        <v>46223</v>
      </c>
      <c r="F334" t="inlineStr">
        <is>
          <t>ÖREBRO LÄN</t>
        </is>
      </c>
      <c r="G334" t="inlineStr">
        <is>
          <t>ÖREBRO</t>
        </is>
      </c>
      <c r="I334" t="n">
        <v>8</v>
      </c>
      <c r="J334" t="n">
        <v>0</v>
      </c>
      <c r="K334" t="n">
        <v>0</v>
      </c>
      <c r="L334" t="n">
        <v>0</v>
      </c>
      <c r="M334" t="n">
        <v>0</v>
      </c>
      <c r="N334" t="n">
        <v>0</v>
      </c>
      <c r="O334" t="n">
        <v>0</v>
      </c>
      <c r="P334" t="n">
        <v>0</v>
      </c>
      <c r="Q334" t="n">
        <v>0</v>
      </c>
      <c r="R334" t="n">
        <v>0</v>
      </c>
      <c r="S334" t="n">
        <v>0</v>
      </c>
      <c r="T334" t="n">
        <v>0</v>
      </c>
      <c r="U334" s="2" t="inlineStr"/>
    </row>
    <row r="335" ht="15" customHeight="1">
      <c r="A335" t="inlineStr">
        <is>
          <t>A 46518-2023</t>
        </is>
      </c>
      <c r="B335" t="inlineStr">
        <is>
          <t>avverkningsanmälan</t>
        </is>
      </c>
      <c r="C335" t="inlineStr">
        <is>
          <t>Föryngringsavverkning</t>
        </is>
      </c>
      <c r="D335" s="1" t="n">
        <v>45197</v>
      </c>
      <c r="E335" s="1" t="n">
        <v>46223</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7141-2025</t>
        </is>
      </c>
      <c r="B336" t="inlineStr">
        <is>
          <t>avverkningsanmälan</t>
        </is>
      </c>
      <c r="C336" t="inlineStr">
        <is>
          <t>Föryngringsavverkning</t>
        </is>
      </c>
      <c r="D336" s="1" t="n">
        <v>45702</v>
      </c>
      <c r="E336" s="1" t="n">
        <v>46223</v>
      </c>
      <c r="F336" t="inlineStr">
        <is>
          <t>ÖREBRO LÄN</t>
        </is>
      </c>
      <c r="G336" t="inlineStr">
        <is>
          <t>ÖREBRO</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19763-2024</t>
        </is>
      </c>
      <c r="B337" t="inlineStr">
        <is>
          <t>avverkningsanmälan</t>
        </is>
      </c>
      <c r="C337" t="inlineStr">
        <is>
          <t>Föryngringsavverkning</t>
        </is>
      </c>
      <c r="D337" s="1" t="n">
        <v>45432</v>
      </c>
      <c r="E337" s="1" t="n">
        <v>46223</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22755-2025</t>
        </is>
      </c>
      <c r="B338" t="inlineStr">
        <is>
          <t>avverkningsanmälan</t>
        </is>
      </c>
      <c r="C338" t="inlineStr">
        <is>
          <t>Föryngringsavverkning</t>
        </is>
      </c>
      <c r="D338" s="1" t="n">
        <v>45789</v>
      </c>
      <c r="E338" s="1" t="n">
        <v>46223</v>
      </c>
      <c r="F338" t="inlineStr">
        <is>
          <t>ÖREBRO LÄN</t>
        </is>
      </c>
      <c r="G338" t="inlineStr">
        <is>
          <t>ÖREBRO</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20518-2026</t>
        </is>
      </c>
      <c r="B339" t="inlineStr">
        <is>
          <t>avverkningsanmälan</t>
        </is>
      </c>
      <c r="C339" t="inlineStr">
        <is>
          <t>Föryngringsavverkning</t>
        </is>
      </c>
      <c r="D339" s="1" t="n">
        <v>46140</v>
      </c>
      <c r="E339" s="1" t="n">
        <v>46223</v>
      </c>
      <c r="F339" t="inlineStr">
        <is>
          <t>ÖREBRO LÄN</t>
        </is>
      </c>
      <c r="G339" t="inlineStr">
        <is>
          <t>ÖREBRO</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54149-2024</t>
        </is>
      </c>
      <c r="B340" t="inlineStr">
        <is>
          <t>avverkningsanmälan</t>
        </is>
      </c>
      <c r="C340" t="inlineStr">
        <is>
          <t>Föryngringsavverkning</t>
        </is>
      </c>
      <c r="D340" s="1" t="n">
        <v>45616</v>
      </c>
      <c r="E340" s="1" t="n">
        <v>46223</v>
      </c>
      <c r="F340" t="inlineStr">
        <is>
          <t>ÖREBRO LÄN</t>
        </is>
      </c>
      <c r="G340" t="inlineStr">
        <is>
          <t>ÖREBRO</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14963-2025</t>
        </is>
      </c>
      <c r="B341" t="inlineStr">
        <is>
          <t>avverkningsanmälan</t>
        </is>
      </c>
      <c r="C341" t="inlineStr">
        <is>
          <t>Föryngringsavverkning</t>
        </is>
      </c>
      <c r="D341" s="1" t="n">
        <v>45743</v>
      </c>
      <c r="E341" s="1" t="n">
        <v>46223</v>
      </c>
      <c r="F341" t="inlineStr">
        <is>
          <t>ÖREBRO LÄN</t>
        </is>
      </c>
      <c r="G341" t="inlineStr">
        <is>
          <t>ÖREBRO</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41669-2025</t>
        </is>
      </c>
      <c r="B342" t="inlineStr">
        <is>
          <t>avverkningsanmälan</t>
        </is>
      </c>
      <c r="C342" t="inlineStr">
        <is>
          <t>Föryngringsavverkning</t>
        </is>
      </c>
      <c r="D342" s="1" t="n">
        <v>45902</v>
      </c>
      <c r="E342" s="1" t="n">
        <v>46223</v>
      </c>
      <c r="F342" t="inlineStr">
        <is>
          <t>ÖREBRO LÄN</t>
        </is>
      </c>
      <c r="G342" t="inlineStr">
        <is>
          <t>ÖREBRO</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26149-2026</t>
        </is>
      </c>
      <c r="B343" t="inlineStr">
        <is>
          <t>avverkningsanmälan</t>
        </is>
      </c>
      <c r="C343" t="inlineStr">
        <is>
          <t>Föryngringsavverkning</t>
        </is>
      </c>
      <c r="D343" s="1" t="n">
        <v>46181</v>
      </c>
      <c r="E343" s="1" t="n">
        <v>46223</v>
      </c>
      <c r="F343" t="inlineStr">
        <is>
          <t>ÖREBRO LÄN</t>
        </is>
      </c>
      <c r="G343" t="inlineStr">
        <is>
          <t>ÖREBRO</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39003-2025</t>
        </is>
      </c>
      <c r="B344" t="inlineStr">
        <is>
          <t>avverkningsanmälan</t>
        </is>
      </c>
      <c r="C344" t="inlineStr">
        <is>
          <t>Föryngringsavverkning</t>
        </is>
      </c>
      <c r="D344" s="1" t="n">
        <v>45888</v>
      </c>
      <c r="E344" s="1" t="n">
        <v>46223</v>
      </c>
      <c r="F344" t="inlineStr">
        <is>
          <t>ÖREBRO LÄN</t>
        </is>
      </c>
      <c r="G344" t="inlineStr">
        <is>
          <t>ÖREBRO</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49797-2024</t>
        </is>
      </c>
      <c r="B345" t="inlineStr">
        <is>
          <t>avverkningsanmälan</t>
        </is>
      </c>
      <c r="C345" t="inlineStr">
        <is>
          <t>Föryngringsavverkning</t>
        </is>
      </c>
      <c r="D345" s="1" t="n">
        <v>45597</v>
      </c>
      <c r="E345" s="1" t="n">
        <v>46223</v>
      </c>
      <c r="F345" t="inlineStr">
        <is>
          <t>ÖREBRO LÄN</t>
        </is>
      </c>
      <c r="G345" t="inlineStr">
        <is>
          <t>ÖREBRO</t>
        </is>
      </c>
      <c r="I345" t="n">
        <v>11.6</v>
      </c>
      <c r="J345" t="n">
        <v>0</v>
      </c>
      <c r="K345" t="n">
        <v>0</v>
      </c>
      <c r="L345" t="n">
        <v>0</v>
      </c>
      <c r="M345" t="n">
        <v>0</v>
      </c>
      <c r="N345" t="n">
        <v>0</v>
      </c>
      <c r="O345" t="n">
        <v>0</v>
      </c>
      <c r="P345" t="n">
        <v>0</v>
      </c>
      <c r="Q345" t="n">
        <v>0</v>
      </c>
      <c r="R345" t="n">
        <v>0</v>
      </c>
      <c r="S345" t="n">
        <v>0</v>
      </c>
      <c r="T345" t="n">
        <v>0</v>
      </c>
      <c r="U345" s="2" t="inlineStr"/>
    </row>
    <row r="346" ht="15" customHeight="1">
      <c r="A346" t="inlineStr">
        <is>
          <t>A 26137-2026</t>
        </is>
      </c>
      <c r="B346" t="inlineStr">
        <is>
          <t>avverkningsanmälan</t>
        </is>
      </c>
      <c r="C346" t="inlineStr">
        <is>
          <t>Föryngringsavverkning</t>
        </is>
      </c>
      <c r="D346" s="1" t="n">
        <v>46181</v>
      </c>
      <c r="E346" s="1" t="n">
        <v>46223</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32086-2023</t>
        </is>
      </c>
      <c r="B347" t="inlineStr">
        <is>
          <t>avverkningsanmälan</t>
        </is>
      </c>
      <c r="C347" t="inlineStr">
        <is>
          <t>Föryngringsavverkning</t>
        </is>
      </c>
      <c r="D347" s="1" t="n">
        <v>45119</v>
      </c>
      <c r="E347" s="1" t="n">
        <v>46223</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13856-2022</t>
        </is>
      </c>
      <c r="B348" t="inlineStr">
        <is>
          <t>avverkningsanmälan</t>
        </is>
      </c>
      <c r="C348" t="inlineStr">
        <is>
          <t>Föryngringsavverkning</t>
        </is>
      </c>
      <c r="D348" s="1" t="n">
        <v>44649</v>
      </c>
      <c r="E348" s="1" t="n">
        <v>46223</v>
      </c>
      <c r="F348" t="inlineStr">
        <is>
          <t>ÖREBRO LÄN</t>
        </is>
      </c>
      <c r="G348" t="inlineStr">
        <is>
          <t>ÖREBRO</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23863-2023</t>
        </is>
      </c>
      <c r="B349" t="inlineStr">
        <is>
          <t>avverkningsanmälan</t>
        </is>
      </c>
      <c r="C349" t="inlineStr">
        <is>
          <t>Föryngringsavverkning</t>
        </is>
      </c>
      <c r="D349" s="1" t="n">
        <v>45078</v>
      </c>
      <c r="E349" s="1" t="n">
        <v>46223</v>
      </c>
      <c r="F349" t="inlineStr">
        <is>
          <t>ÖREBRO LÄN</t>
        </is>
      </c>
      <c r="G349" t="inlineStr">
        <is>
          <t>ÖREBRO</t>
        </is>
      </c>
      <c r="H349" t="inlineStr">
        <is>
          <t>Övriga Aktiebolag</t>
        </is>
      </c>
      <c r="I349" t="n">
        <v>5.9</v>
      </c>
      <c r="J349" t="n">
        <v>0</v>
      </c>
      <c r="K349" t="n">
        <v>0</v>
      </c>
      <c r="L349" t="n">
        <v>0</v>
      </c>
      <c r="M349" t="n">
        <v>0</v>
      </c>
      <c r="N349" t="n">
        <v>0</v>
      </c>
      <c r="O349" t="n">
        <v>0</v>
      </c>
      <c r="P349" t="n">
        <v>0</v>
      </c>
      <c r="Q349" t="n">
        <v>0</v>
      </c>
      <c r="R349" t="n">
        <v>0</v>
      </c>
      <c r="S349" t="n">
        <v>0</v>
      </c>
      <c r="T349" t="n">
        <v>0</v>
      </c>
      <c r="U349" s="2" t="inlineStr"/>
    </row>
    <row r="350" ht="15" customHeight="1">
      <c r="A350" t="inlineStr">
        <is>
          <t>A 54485-2025</t>
        </is>
      </c>
      <c r="B350" t="inlineStr">
        <is>
          <t>avverkningsanmälan</t>
        </is>
      </c>
      <c r="C350" t="inlineStr">
        <is>
          <t>Föryngringsavverkning</t>
        </is>
      </c>
      <c r="D350" s="1" t="n">
        <v>45965</v>
      </c>
      <c r="E350" s="1" t="n">
        <v>46223</v>
      </c>
      <c r="F350" t="inlineStr">
        <is>
          <t>ÖREBRO LÄN</t>
        </is>
      </c>
      <c r="G350" t="inlineStr">
        <is>
          <t>ÖREBRO</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38583-2023</t>
        </is>
      </c>
      <c r="B351" t="inlineStr">
        <is>
          <t>avverkningsanmälan</t>
        </is>
      </c>
      <c r="C351" t="inlineStr">
        <is>
          <t>Föryngringsavverkning</t>
        </is>
      </c>
      <c r="D351" s="1" t="n">
        <v>45162</v>
      </c>
      <c r="E351" s="1" t="n">
        <v>46223</v>
      </c>
      <c r="F351" t="inlineStr">
        <is>
          <t>ÖREBRO LÄN</t>
        </is>
      </c>
      <c r="G351" t="inlineStr">
        <is>
          <t>ÖREBRO</t>
        </is>
      </c>
      <c r="I351" t="n">
        <v>5.7</v>
      </c>
      <c r="J351" t="n">
        <v>0</v>
      </c>
      <c r="K351" t="n">
        <v>0</v>
      </c>
      <c r="L351" t="n">
        <v>0</v>
      </c>
      <c r="M351" t="n">
        <v>0</v>
      </c>
      <c r="N351" t="n">
        <v>0</v>
      </c>
      <c r="O351" t="n">
        <v>0</v>
      </c>
      <c r="P351" t="n">
        <v>0</v>
      </c>
      <c r="Q351" t="n">
        <v>0</v>
      </c>
      <c r="R351" t="n">
        <v>0</v>
      </c>
      <c r="S351" t="n">
        <v>0</v>
      </c>
      <c r="T351" t="n">
        <v>0</v>
      </c>
      <c r="U351" s="2" t="inlineStr"/>
    </row>
    <row r="352" ht="15" customHeight="1">
      <c r="A352" t="inlineStr">
        <is>
          <t>A 50375-2024</t>
        </is>
      </c>
      <c r="B352" t="inlineStr">
        <is>
          <t>avverkningsanmälan</t>
        </is>
      </c>
      <c r="C352" t="inlineStr">
        <is>
          <t>Föryngringsavverkning</t>
        </is>
      </c>
      <c r="D352" s="1" t="n">
        <v>45601</v>
      </c>
      <c r="E352" s="1" t="n">
        <v>46223</v>
      </c>
      <c r="F352" t="inlineStr">
        <is>
          <t>ÖREBRO LÄN</t>
        </is>
      </c>
      <c r="G352" t="inlineStr">
        <is>
          <t>ÖREBRO</t>
        </is>
      </c>
      <c r="I352" t="n">
        <v>5</v>
      </c>
      <c r="J352" t="n">
        <v>0</v>
      </c>
      <c r="K352" t="n">
        <v>0</v>
      </c>
      <c r="L352" t="n">
        <v>0</v>
      </c>
      <c r="M352" t="n">
        <v>0</v>
      </c>
      <c r="N352" t="n">
        <v>0</v>
      </c>
      <c r="O352" t="n">
        <v>0</v>
      </c>
      <c r="P352" t="n">
        <v>0</v>
      </c>
      <c r="Q352" t="n">
        <v>0</v>
      </c>
      <c r="R352" t="n">
        <v>0</v>
      </c>
      <c r="S352" t="n">
        <v>0</v>
      </c>
      <c r="T352" t="n">
        <v>0</v>
      </c>
      <c r="U352" s="2" t="inlineStr"/>
    </row>
    <row r="353" ht="15" customHeight="1">
      <c r="A353" t="inlineStr">
        <is>
          <t>A 52391-2024</t>
        </is>
      </c>
      <c r="B353" t="inlineStr">
        <is>
          <t>avverkningsanmälan</t>
        </is>
      </c>
      <c r="C353" t="inlineStr">
        <is>
          <t>Föryngringsavverkning</t>
        </is>
      </c>
      <c r="D353" s="1" t="n">
        <v>45609</v>
      </c>
      <c r="E353" s="1" t="n">
        <v>46223</v>
      </c>
      <c r="F353" t="inlineStr">
        <is>
          <t>ÖREBRO LÄN</t>
        </is>
      </c>
      <c r="G353" t="inlineStr">
        <is>
          <t>ÖREBRO</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26140-2026</t>
        </is>
      </c>
      <c r="B354" t="inlineStr">
        <is>
          <t>avverkningsanmälan</t>
        </is>
      </c>
      <c r="C354" t="inlineStr">
        <is>
          <t>Föryngringsavverkning</t>
        </is>
      </c>
      <c r="D354" s="1" t="n">
        <v>46181</v>
      </c>
      <c r="E354" s="1" t="n">
        <v>46223</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51248-2025</t>
        </is>
      </c>
      <c r="B355" t="inlineStr">
        <is>
          <t>avverkningsanmälan</t>
        </is>
      </c>
      <c r="C355" t="inlineStr">
        <is>
          <t>Föryngringsavverkning</t>
        </is>
      </c>
      <c r="D355" s="1" t="n">
        <v>45948</v>
      </c>
      <c r="E355" s="1" t="n">
        <v>46223</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28821-2025</t>
        </is>
      </c>
      <c r="B356" t="inlineStr">
        <is>
          <t>avverkningsanmälan</t>
        </is>
      </c>
      <c r="C356" t="inlineStr">
        <is>
          <t>Föryngringsavverkning</t>
        </is>
      </c>
      <c r="D356" s="1" t="n">
        <v>45820</v>
      </c>
      <c r="E356" s="1" t="n">
        <v>46223</v>
      </c>
      <c r="F356" t="inlineStr">
        <is>
          <t>ÖREBRO LÄN</t>
        </is>
      </c>
      <c r="G356" t="inlineStr">
        <is>
          <t>ÖREBRO</t>
        </is>
      </c>
      <c r="I356" t="n">
        <v>12.6</v>
      </c>
      <c r="J356" t="n">
        <v>0</v>
      </c>
      <c r="K356" t="n">
        <v>0</v>
      </c>
      <c r="L356" t="n">
        <v>0</v>
      </c>
      <c r="M356" t="n">
        <v>0</v>
      </c>
      <c r="N356" t="n">
        <v>0</v>
      </c>
      <c r="O356" t="n">
        <v>0</v>
      </c>
      <c r="P356" t="n">
        <v>0</v>
      </c>
      <c r="Q356" t="n">
        <v>0</v>
      </c>
      <c r="R356" t="n">
        <v>0</v>
      </c>
      <c r="S356" t="n">
        <v>0</v>
      </c>
      <c r="T356" t="n">
        <v>0</v>
      </c>
      <c r="U356" s="2" t="inlineStr"/>
    </row>
    <row r="357" ht="15" customHeight="1">
      <c r="A357" t="inlineStr">
        <is>
          <t>A 58532-2024</t>
        </is>
      </c>
      <c r="B357" t="inlineStr">
        <is>
          <t>avverkningsanmälan</t>
        </is>
      </c>
      <c r="C357" t="inlineStr">
        <is>
          <t>Avverkning för att bevara och utveckla /försöksver</t>
        </is>
      </c>
      <c r="D357" s="1" t="n">
        <v>45635</v>
      </c>
      <c r="E357" s="1" t="n">
        <v>46223</v>
      </c>
      <c r="F357" t="inlineStr">
        <is>
          <t>ÖREBRO LÄN</t>
        </is>
      </c>
      <c r="G357" t="inlineStr">
        <is>
          <t>ÖREBRO</t>
        </is>
      </c>
      <c r="H357" t="inlineStr">
        <is>
          <t>Sveaskog</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49465-2024</t>
        </is>
      </c>
      <c r="B358" t="inlineStr">
        <is>
          <t>avverkningsanmälan</t>
        </is>
      </c>
      <c r="C358" t="inlineStr">
        <is>
          <t>Föryngringsavverkning</t>
        </is>
      </c>
      <c r="D358" s="1" t="n">
        <v>45596</v>
      </c>
      <c r="E358" s="1" t="n">
        <v>46223</v>
      </c>
      <c r="F358" t="inlineStr">
        <is>
          <t>ÖREBRO LÄN</t>
        </is>
      </c>
      <c r="G358" t="inlineStr">
        <is>
          <t>ÖREBRO</t>
        </is>
      </c>
      <c r="H358" t="inlineStr">
        <is>
          <t>Övriga Aktiebolag</t>
        </is>
      </c>
      <c r="I358" t="n">
        <v>21</v>
      </c>
      <c r="J358" t="n">
        <v>0</v>
      </c>
      <c r="K358" t="n">
        <v>0</v>
      </c>
      <c r="L358" t="n">
        <v>0</v>
      </c>
      <c r="M358" t="n">
        <v>0</v>
      </c>
      <c r="N358" t="n">
        <v>0</v>
      </c>
      <c r="O358" t="n">
        <v>0</v>
      </c>
      <c r="P358" t="n">
        <v>0</v>
      </c>
      <c r="Q358" t="n">
        <v>0</v>
      </c>
      <c r="R358" t="n">
        <v>0</v>
      </c>
      <c r="S358" t="n">
        <v>0</v>
      </c>
      <c r="T358" t="n">
        <v>0</v>
      </c>
      <c r="U358" s="2" t="inlineStr"/>
    </row>
    <row r="359" ht="15" customHeight="1">
      <c r="A359" t="inlineStr">
        <is>
          <t>A 8884-2022</t>
        </is>
      </c>
      <c r="B359" t="inlineStr">
        <is>
          <t>avverkningsanmälan</t>
        </is>
      </c>
      <c r="C359" t="inlineStr">
        <is>
          <t>Föryngringsavverkning</t>
        </is>
      </c>
      <c r="D359" s="1" t="n">
        <v>44614</v>
      </c>
      <c r="E359" s="1" t="n">
        <v>46223</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20150-2024</t>
        </is>
      </c>
      <c r="B360" t="inlineStr">
        <is>
          <t>avverkningsanmälan</t>
        </is>
      </c>
      <c r="C360" t="inlineStr">
        <is>
          <t>Föryngringsavverkning</t>
        </is>
      </c>
      <c r="D360" s="1" t="n">
        <v>45434</v>
      </c>
      <c r="E360" s="1" t="n">
        <v>46223</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20520-2026</t>
        </is>
      </c>
      <c r="B361" t="inlineStr">
        <is>
          <t>avverkningsanmälan</t>
        </is>
      </c>
      <c r="C361" t="inlineStr">
        <is>
          <t>Föryngringsavverkning</t>
        </is>
      </c>
      <c r="D361" s="1" t="n">
        <v>46140</v>
      </c>
      <c r="E361" s="1" t="n">
        <v>46223</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7506-2025</t>
        </is>
      </c>
      <c r="B362" t="inlineStr">
        <is>
          <t>avverkningsanmälan</t>
        </is>
      </c>
      <c r="C362" t="inlineStr">
        <is>
          <t>Föryngringsavverkning</t>
        </is>
      </c>
      <c r="D362" s="1" t="n">
        <v>45705</v>
      </c>
      <c r="E362" s="1" t="n">
        <v>46223</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26139-2026</t>
        </is>
      </c>
      <c r="B363" t="inlineStr">
        <is>
          <t>avverkningsanmälan</t>
        </is>
      </c>
      <c r="C363" t="inlineStr">
        <is>
          <t>Föryngringsavverkning</t>
        </is>
      </c>
      <c r="D363" s="1" t="n">
        <v>46181</v>
      </c>
      <c r="E363" s="1" t="n">
        <v>46223</v>
      </c>
      <c r="F363" t="inlineStr">
        <is>
          <t>ÖREBRO LÄN</t>
        </is>
      </c>
      <c r="G363" t="inlineStr">
        <is>
          <t>ÖREBRO</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16300-2022</t>
        </is>
      </c>
      <c r="B364" t="inlineStr">
        <is>
          <t>avverkningsanmälan</t>
        </is>
      </c>
      <c r="C364" t="inlineStr">
        <is>
          <t>Föryngringsavverkning</t>
        </is>
      </c>
      <c r="D364" s="1" t="n">
        <v>44670</v>
      </c>
      <c r="E364" s="1" t="n">
        <v>46223</v>
      </c>
      <c r="F364" t="inlineStr">
        <is>
          <t>ÖREBRO LÄN</t>
        </is>
      </c>
      <c r="G364" t="inlineStr">
        <is>
          <t>ÖREBRO</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16958-2022</t>
        </is>
      </c>
      <c r="B365" t="inlineStr">
        <is>
          <t>avverkningsanmälan</t>
        </is>
      </c>
      <c r="C365" t="inlineStr">
        <is>
          <t>Föryngringsavverkning</t>
        </is>
      </c>
      <c r="D365" s="1" t="n">
        <v>44676</v>
      </c>
      <c r="E365" s="1" t="n">
        <v>46223</v>
      </c>
      <c r="F365" t="inlineStr">
        <is>
          <t>ÖREBRO LÄN</t>
        </is>
      </c>
      <c r="G365" t="inlineStr">
        <is>
          <t>ÖREBRO</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55472-2023</t>
        </is>
      </c>
      <c r="B366" t="inlineStr">
        <is>
          <t>avverkningsanmälan</t>
        </is>
      </c>
      <c r="C366" t="inlineStr">
        <is>
          <t>Föryngringsavverkning</t>
        </is>
      </c>
      <c r="D366" s="1" t="n">
        <v>45238</v>
      </c>
      <c r="E366" s="1" t="n">
        <v>46223</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54925-2023</t>
        </is>
      </c>
      <c r="B367" t="inlineStr">
        <is>
          <t>avverkningsanmälan</t>
        </is>
      </c>
      <c r="C367" t="inlineStr">
        <is>
          <t>Föryngringsavverkning</t>
        </is>
      </c>
      <c r="D367" s="1" t="n">
        <v>45229</v>
      </c>
      <c r="E367" s="1" t="n">
        <v>46223</v>
      </c>
      <c r="F367" t="inlineStr">
        <is>
          <t>ÖREBRO LÄN</t>
        </is>
      </c>
      <c r="G367" t="inlineStr">
        <is>
          <t>ÖREBRO</t>
        </is>
      </c>
      <c r="I367" t="n">
        <v>9.800000000000001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16961-2022</t>
        </is>
      </c>
      <c r="B368" t="inlineStr">
        <is>
          <t>avverkningsanmälan</t>
        </is>
      </c>
      <c r="C368" t="inlineStr">
        <is>
          <t>Föryngringsavverkning</t>
        </is>
      </c>
      <c r="D368" s="1" t="n">
        <v>44676</v>
      </c>
      <c r="E368" s="1" t="n">
        <v>46223</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26402-2026</t>
        </is>
      </c>
      <c r="B369" t="inlineStr">
        <is>
          <t>avverkningsanmälan</t>
        </is>
      </c>
      <c r="C369" t="inlineStr">
        <is>
          <t>Avverkning för annat ändamål</t>
        </is>
      </c>
      <c r="D369" s="1" t="n">
        <v>46183</v>
      </c>
      <c r="E369" s="1" t="n">
        <v>46223</v>
      </c>
      <c r="F369" t="inlineStr">
        <is>
          <t>ÖREBRO LÄN</t>
        </is>
      </c>
      <c r="G369" t="inlineStr">
        <is>
          <t>ÖREBRO</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15424-2022</t>
        </is>
      </c>
      <c r="B370" t="inlineStr">
        <is>
          <t>avverkningsanmälan</t>
        </is>
      </c>
      <c r="C370" t="inlineStr">
        <is>
          <t>Föryngringsavverkning</t>
        </is>
      </c>
      <c r="D370" s="1" t="n">
        <v>44659</v>
      </c>
      <c r="E370" s="1" t="n">
        <v>46223</v>
      </c>
      <c r="F370" t="inlineStr">
        <is>
          <t>ÖREBRO LÄN</t>
        </is>
      </c>
      <c r="G370" t="inlineStr">
        <is>
          <t>ÖREBRO</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21338-2025</t>
        </is>
      </c>
      <c r="B371" t="inlineStr">
        <is>
          <t>avverkningsanmälan</t>
        </is>
      </c>
      <c r="C371" t="inlineStr">
        <is>
          <t>Föryngringsavverkning</t>
        </is>
      </c>
      <c r="D371" s="1" t="n">
        <v>45780</v>
      </c>
      <c r="E371" s="1" t="n">
        <v>46223</v>
      </c>
      <c r="F371" t="inlineStr">
        <is>
          <t>ÖREBRO LÄN</t>
        </is>
      </c>
      <c r="G371" t="inlineStr">
        <is>
          <t>ÖREBRO</t>
        </is>
      </c>
      <c r="I371" t="n">
        <v>3.2</v>
      </c>
      <c r="J371" t="n">
        <v>0</v>
      </c>
      <c r="K371" t="n">
        <v>0</v>
      </c>
      <c r="L371" t="n">
        <v>0</v>
      </c>
      <c r="M371" t="n">
        <v>0</v>
      </c>
      <c r="N371" t="n">
        <v>0</v>
      </c>
      <c r="O371" t="n">
        <v>0</v>
      </c>
      <c r="P371" t="n">
        <v>0</v>
      </c>
      <c r="Q371" t="n">
        <v>0</v>
      </c>
      <c r="R371" t="n">
        <v>0</v>
      </c>
      <c r="S371" t="n">
        <v>0</v>
      </c>
      <c r="T371" t="n">
        <v>0</v>
      </c>
      <c r="U371" s="2" t="inlineStr"/>
    </row>
    <row r="372" ht="15" customHeight="1">
      <c r="A372" t="inlineStr">
        <is>
          <t>A 13700-2024</t>
        </is>
      </c>
      <c r="B372" t="inlineStr">
        <is>
          <t>avverkningsanmälan</t>
        </is>
      </c>
      <c r="C372" t="inlineStr">
        <is>
          <t>Föryngringsavverkning</t>
        </is>
      </c>
      <c r="D372" s="1" t="n">
        <v>45390</v>
      </c>
      <c r="E372" s="1" t="n">
        <v>46223</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31066-2025</t>
        </is>
      </c>
      <c r="B373" t="inlineStr">
        <is>
          <t>avverkningsanmälan</t>
        </is>
      </c>
      <c r="C373" t="inlineStr">
        <is>
          <t>Föryngringsavverkning</t>
        </is>
      </c>
      <c r="D373" s="1" t="n">
        <v>45832</v>
      </c>
      <c r="E373" s="1" t="n">
        <v>46223</v>
      </c>
      <c r="F373" t="inlineStr">
        <is>
          <t>ÖREBRO LÄN</t>
        </is>
      </c>
      <c r="G373" t="inlineStr">
        <is>
          <t>ÖREBRO</t>
        </is>
      </c>
      <c r="I373" t="n">
        <v>11.1</v>
      </c>
      <c r="J373" t="n">
        <v>0</v>
      </c>
      <c r="K373" t="n">
        <v>0</v>
      </c>
      <c r="L373" t="n">
        <v>0</v>
      </c>
      <c r="M373" t="n">
        <v>0</v>
      </c>
      <c r="N373" t="n">
        <v>0</v>
      </c>
      <c r="O373" t="n">
        <v>0</v>
      </c>
      <c r="P373" t="n">
        <v>0</v>
      </c>
      <c r="Q373" t="n">
        <v>0</v>
      </c>
      <c r="R373" t="n">
        <v>0</v>
      </c>
      <c r="S373" t="n">
        <v>0</v>
      </c>
      <c r="T373" t="n">
        <v>0</v>
      </c>
      <c r="U373" s="2" t="inlineStr"/>
    </row>
    <row r="374" ht="15" customHeight="1">
      <c r="A374" t="inlineStr">
        <is>
          <t>A 1014-2024</t>
        </is>
      </c>
      <c r="B374" t="inlineStr">
        <is>
          <t>avverkningsanmälan</t>
        </is>
      </c>
      <c r="C374" t="inlineStr">
        <is>
          <t>Föryngringsavverkning</t>
        </is>
      </c>
      <c r="D374" s="1" t="n">
        <v>45301</v>
      </c>
      <c r="E374" s="1" t="n">
        <v>46223</v>
      </c>
      <c r="F374" t="inlineStr">
        <is>
          <t>ÖREBRO LÄN</t>
        </is>
      </c>
      <c r="G374" t="inlineStr">
        <is>
          <t>ÖREBRO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20996-2026</t>
        </is>
      </c>
      <c r="B375" t="inlineStr">
        <is>
          <t>avverkningsanmälan</t>
        </is>
      </c>
      <c r="C375" t="inlineStr">
        <is>
          <t>Föryngringsavverkning</t>
        </is>
      </c>
      <c r="D375" s="1" t="n">
        <v>46142</v>
      </c>
      <c r="E375" s="1" t="n">
        <v>46223</v>
      </c>
      <c r="F375" t="inlineStr">
        <is>
          <t>ÖREBRO LÄN</t>
        </is>
      </c>
      <c r="G375" t="inlineStr">
        <is>
          <t>ÖREBRO</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26404-2026</t>
        </is>
      </c>
      <c r="B376" t="inlineStr">
        <is>
          <t>avverkningsanmälan</t>
        </is>
      </c>
      <c r="C376" t="inlineStr">
        <is>
          <t>Avverkning för annat ändamål</t>
        </is>
      </c>
      <c r="D376" s="1" t="n">
        <v>46183</v>
      </c>
      <c r="E376" s="1" t="n">
        <v>46223</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44511-2023</t>
        </is>
      </c>
      <c r="B377" t="inlineStr">
        <is>
          <t>avverkningsanmälan</t>
        </is>
      </c>
      <c r="C377" t="inlineStr">
        <is>
          <t>Föryngringsavverkning</t>
        </is>
      </c>
      <c r="D377" s="1" t="n">
        <v>45189</v>
      </c>
      <c r="E377" s="1" t="n">
        <v>46223</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28054-2022</t>
        </is>
      </c>
      <c r="B378" t="inlineStr">
        <is>
          <t>avverkningsanmälan</t>
        </is>
      </c>
      <c r="C378" t="inlineStr">
        <is>
          <t>Föryngringsavverkning</t>
        </is>
      </c>
      <c r="D378" s="1" t="n">
        <v>44746</v>
      </c>
      <c r="E378" s="1" t="n">
        <v>46223</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1647-2024</t>
        </is>
      </c>
      <c r="B379" t="inlineStr">
        <is>
          <t>avverkningsanmälan</t>
        </is>
      </c>
      <c r="C379" t="inlineStr">
        <is>
          <t>Föryngringsavverkning</t>
        </is>
      </c>
      <c r="D379" s="1" t="n">
        <v>45306</v>
      </c>
      <c r="E379" s="1" t="n">
        <v>46223</v>
      </c>
      <c r="F379" t="inlineStr">
        <is>
          <t>ÖREBRO LÄN</t>
        </is>
      </c>
      <c r="G379" t="inlineStr">
        <is>
          <t>ÖREBRO</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57485-2023</t>
        </is>
      </c>
      <c r="B380" t="inlineStr">
        <is>
          <t>avverkningsanmälan</t>
        </is>
      </c>
      <c r="C380" t="inlineStr">
        <is>
          <t>Avverkning för annat ändamål</t>
        </is>
      </c>
      <c r="D380" s="1" t="n">
        <v>45246</v>
      </c>
      <c r="E380" s="1" t="n">
        <v>46223</v>
      </c>
      <c r="F380" t="inlineStr">
        <is>
          <t>ÖREBRO LÄN</t>
        </is>
      </c>
      <c r="G380" t="inlineStr">
        <is>
          <t>ÖREBRO</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58032-2023</t>
        </is>
      </c>
      <c r="B381" t="inlineStr">
        <is>
          <t>avverkningsanmälan</t>
        </is>
      </c>
      <c r="C381" t="inlineStr">
        <is>
          <t>Föryngringsavverkning</t>
        </is>
      </c>
      <c r="D381" s="1" t="n">
        <v>45247</v>
      </c>
      <c r="E381" s="1" t="n">
        <v>46223</v>
      </c>
      <c r="F381" t="inlineStr">
        <is>
          <t>ÖREBRO LÄN</t>
        </is>
      </c>
      <c r="G381" t="inlineStr">
        <is>
          <t>ÖREBRO</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58035-2023</t>
        </is>
      </c>
      <c r="B382" t="inlineStr">
        <is>
          <t>avverkningsanmälan</t>
        </is>
      </c>
      <c r="C382" t="inlineStr">
        <is>
          <t>Föryngringsavverkning</t>
        </is>
      </c>
      <c r="D382" s="1" t="n">
        <v>45247</v>
      </c>
      <c r="E382" s="1" t="n">
        <v>46223</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27127-2026</t>
        </is>
      </c>
      <c r="B383" t="inlineStr">
        <is>
          <t>avverkningsanmälan</t>
        </is>
      </c>
      <c r="C383" t="inlineStr">
        <is>
          <t>Föryngringsavverkning</t>
        </is>
      </c>
      <c r="D383" s="1" t="n">
        <v>46188</v>
      </c>
      <c r="E383" s="1" t="n">
        <v>46223</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21722-2026</t>
        </is>
      </c>
      <c r="B384" t="inlineStr">
        <is>
          <t>avverkningsanmälan</t>
        </is>
      </c>
      <c r="C384" t="inlineStr">
        <is>
          <t>Avverkning för annat ändamål</t>
        </is>
      </c>
      <c r="D384" s="1" t="n">
        <v>46147</v>
      </c>
      <c r="E384" s="1" t="n">
        <v>46223</v>
      </c>
      <c r="F384" t="inlineStr">
        <is>
          <t>ÖREBRO LÄN</t>
        </is>
      </c>
      <c r="G384" t="inlineStr">
        <is>
          <t>ÖREBRO</t>
        </is>
      </c>
      <c r="H384" t="inlineStr">
        <is>
          <t>Kommuner</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14717-2024</t>
        </is>
      </c>
      <c r="B385" t="inlineStr">
        <is>
          <t>avverkningsanmälan</t>
        </is>
      </c>
      <c r="C385" t="inlineStr">
        <is>
          <t>Föryngringsavverkning</t>
        </is>
      </c>
      <c r="D385" s="1" t="n">
        <v>45397</v>
      </c>
      <c r="E385" s="1" t="n">
        <v>46223</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21261-2026</t>
        </is>
      </c>
      <c r="B386" t="inlineStr">
        <is>
          <t>avverkningsanmälan</t>
        </is>
      </c>
      <c r="C386" t="inlineStr">
        <is>
          <t>Föryngringsavverkning</t>
        </is>
      </c>
      <c r="D386" s="1" t="n">
        <v>46147</v>
      </c>
      <c r="E386" s="1" t="n">
        <v>46223</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5133-2024</t>
        </is>
      </c>
      <c r="B387" t="inlineStr">
        <is>
          <t>avverkningsanmälan</t>
        </is>
      </c>
      <c r="C387" t="inlineStr">
        <is>
          <t>Föryngringsavverkning</t>
        </is>
      </c>
      <c r="D387" s="1" t="n">
        <v>45330</v>
      </c>
      <c r="E387" s="1" t="n">
        <v>46223</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14432-2023</t>
        </is>
      </c>
      <c r="B388" t="inlineStr">
        <is>
          <t>avverkningsanmälan</t>
        </is>
      </c>
      <c r="C388" t="inlineStr">
        <is>
          <t>Föryngringsavverkning</t>
        </is>
      </c>
      <c r="D388" s="1" t="n">
        <v>45012</v>
      </c>
      <c r="E388" s="1" t="n">
        <v>46223</v>
      </c>
      <c r="F388" t="inlineStr">
        <is>
          <t>ÖREBRO LÄN</t>
        </is>
      </c>
      <c r="G388" t="inlineStr">
        <is>
          <t>ÖREBRO</t>
        </is>
      </c>
      <c r="I388" t="n">
        <v>3.3</v>
      </c>
      <c r="J388" t="n">
        <v>0</v>
      </c>
      <c r="K388" t="n">
        <v>0</v>
      </c>
      <c r="L388" t="n">
        <v>0</v>
      </c>
      <c r="M388" t="n">
        <v>0</v>
      </c>
      <c r="N388" t="n">
        <v>0</v>
      </c>
      <c r="O388" t="n">
        <v>0</v>
      </c>
      <c r="P388" t="n">
        <v>0</v>
      </c>
      <c r="Q388" t="n">
        <v>0</v>
      </c>
      <c r="R388" t="n">
        <v>0</v>
      </c>
      <c r="S388" t="n">
        <v>0</v>
      </c>
      <c r="T388" t="n">
        <v>0</v>
      </c>
      <c r="U388" s="2" t="inlineStr"/>
    </row>
    <row r="389" ht="15" customHeight="1">
      <c r="A389" t="inlineStr">
        <is>
          <t>A 10339-2023</t>
        </is>
      </c>
      <c r="B389" t="inlineStr">
        <is>
          <t>avverkningsanmälan</t>
        </is>
      </c>
      <c r="C389" t="inlineStr">
        <is>
          <t>Föryngringsavverkning</t>
        </is>
      </c>
      <c r="D389" s="1" t="n">
        <v>44987</v>
      </c>
      <c r="E389" s="1" t="n">
        <v>46223</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62497-2023</t>
        </is>
      </c>
      <c r="B390" t="inlineStr">
        <is>
          <t>avverkningsanmälan</t>
        </is>
      </c>
      <c r="C390" t="inlineStr">
        <is>
          <t>Föryngringsavverkning</t>
        </is>
      </c>
      <c r="D390" s="1" t="n">
        <v>45268</v>
      </c>
      <c r="E390" s="1" t="n">
        <v>46223</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43399-2022</t>
        </is>
      </c>
      <c r="B391" t="inlineStr">
        <is>
          <t>avverkningsanmälan</t>
        </is>
      </c>
      <c r="C391" t="inlineStr">
        <is>
          <t>Föryngringsavverkning</t>
        </is>
      </c>
      <c r="D391" s="1" t="n">
        <v>44834</v>
      </c>
      <c r="E391" s="1" t="n">
        <v>46223</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63142-2023</t>
        </is>
      </c>
      <c r="B392" t="inlineStr">
        <is>
          <t>avverkningsanmälan</t>
        </is>
      </c>
      <c r="C392" t="inlineStr">
        <is>
          <t>Föryngringsavverkning</t>
        </is>
      </c>
      <c r="D392" s="1" t="n">
        <v>45273</v>
      </c>
      <c r="E392" s="1" t="n">
        <v>46223</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21899-2026</t>
        </is>
      </c>
      <c r="B393" t="inlineStr">
        <is>
          <t>avverkningsanmälan</t>
        </is>
      </c>
      <c r="C393" t="inlineStr">
        <is>
          <t>Föryngringsavverkning</t>
        </is>
      </c>
      <c r="D393" s="1" t="n">
        <v>46150</v>
      </c>
      <c r="E393" s="1" t="n">
        <v>46223</v>
      </c>
      <c r="F393" t="inlineStr">
        <is>
          <t>ÖREBRO LÄN</t>
        </is>
      </c>
      <c r="G393" t="inlineStr">
        <is>
          <t>ÖREBRO</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23573-2023</t>
        </is>
      </c>
      <c r="B394" t="inlineStr">
        <is>
          <t>avverkningsanmälan</t>
        </is>
      </c>
      <c r="C394" t="inlineStr">
        <is>
          <t>Föryngringsavverkning</t>
        </is>
      </c>
      <c r="D394" s="1" t="n">
        <v>45077</v>
      </c>
      <c r="E394" s="1" t="n">
        <v>46223</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13762-2023</t>
        </is>
      </c>
      <c r="B395" t="inlineStr">
        <is>
          <t>avverkningsanmälan</t>
        </is>
      </c>
      <c r="C395" t="inlineStr">
        <is>
          <t>Föryngringsavverkning</t>
        </is>
      </c>
      <c r="D395" s="1" t="n">
        <v>45007</v>
      </c>
      <c r="E395" s="1" t="n">
        <v>46223</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5129-2024</t>
        </is>
      </c>
      <c r="B396" t="inlineStr">
        <is>
          <t>avverkningsanmälan</t>
        </is>
      </c>
      <c r="C396" t="inlineStr">
        <is>
          <t>Föryngringsavverkning</t>
        </is>
      </c>
      <c r="D396" s="1" t="n">
        <v>45330</v>
      </c>
      <c r="E396" s="1" t="n">
        <v>46223</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22199-2026</t>
        </is>
      </c>
      <c r="B397" t="inlineStr">
        <is>
          <t>avverkningsanmälan</t>
        </is>
      </c>
      <c r="C397" t="inlineStr">
        <is>
          <t>Föryngringsavverkning</t>
        </is>
      </c>
      <c r="D397" s="1" t="n">
        <v>46153</v>
      </c>
      <c r="E397" s="1" t="n">
        <v>46223</v>
      </c>
      <c r="F397" t="inlineStr">
        <is>
          <t>ÖREBRO LÄN</t>
        </is>
      </c>
      <c r="G397" t="inlineStr">
        <is>
          <t>ÖREBRO</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1492-2022</t>
        </is>
      </c>
      <c r="B398" t="inlineStr">
        <is>
          <t>avverkningsanmälan</t>
        </is>
      </c>
      <c r="C398" t="inlineStr">
        <is>
          <t>Föryngringsavverkning</t>
        </is>
      </c>
      <c r="D398" s="1" t="n">
        <v>44573</v>
      </c>
      <c r="E398" s="1" t="n">
        <v>46223</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59026-2024</t>
        </is>
      </c>
      <c r="B399" t="inlineStr">
        <is>
          <t>avverkningsanmälan</t>
        </is>
      </c>
      <c r="C399" t="inlineStr">
        <is>
          <t>Föryngringsavverkning</t>
        </is>
      </c>
      <c r="D399" s="1" t="n">
        <v>45636</v>
      </c>
      <c r="E399" s="1" t="n">
        <v>46223</v>
      </c>
      <c r="F399" t="inlineStr">
        <is>
          <t>ÖREBRO LÄN</t>
        </is>
      </c>
      <c r="G399" t="inlineStr">
        <is>
          <t>ÖREBRO</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52623-2024</t>
        </is>
      </c>
      <c r="B400" t="inlineStr">
        <is>
          <t>avverkningsanmälan</t>
        </is>
      </c>
      <c r="C400" t="inlineStr">
        <is>
          <t>Föryngringsavverkning</t>
        </is>
      </c>
      <c r="D400" s="1" t="n">
        <v>45609</v>
      </c>
      <c r="E400" s="1" t="n">
        <v>46223</v>
      </c>
      <c r="F400" t="inlineStr">
        <is>
          <t>ÖREBRO LÄN</t>
        </is>
      </c>
      <c r="G400" t="inlineStr">
        <is>
          <t>ÖREBRO</t>
        </is>
      </c>
      <c r="H400" t="inlineStr">
        <is>
          <t>Kommuner</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40522-2024</t>
        </is>
      </c>
      <c r="B401" t="inlineStr">
        <is>
          <t>avverkningsanmälan</t>
        </is>
      </c>
      <c r="C401" t="inlineStr">
        <is>
          <t>Föryngringsavverkning</t>
        </is>
      </c>
      <c r="D401" s="1" t="n">
        <v>45555</v>
      </c>
      <c r="E401" s="1" t="n">
        <v>46223</v>
      </c>
      <c r="F401" t="inlineStr">
        <is>
          <t>ÖREBRO LÄN</t>
        </is>
      </c>
      <c r="G401" t="inlineStr">
        <is>
          <t>ÖREBRO</t>
        </is>
      </c>
      <c r="I401" t="n">
        <v>5.1</v>
      </c>
      <c r="J401" t="n">
        <v>0</v>
      </c>
      <c r="K401" t="n">
        <v>0</v>
      </c>
      <c r="L401" t="n">
        <v>0</v>
      </c>
      <c r="M401" t="n">
        <v>0</v>
      </c>
      <c r="N401" t="n">
        <v>0</v>
      </c>
      <c r="O401" t="n">
        <v>0</v>
      </c>
      <c r="P401" t="n">
        <v>0</v>
      </c>
      <c r="Q401" t="n">
        <v>0</v>
      </c>
      <c r="R401" t="n">
        <v>0</v>
      </c>
      <c r="S401" t="n">
        <v>0</v>
      </c>
      <c r="T401" t="n">
        <v>0</v>
      </c>
      <c r="U401" s="2" t="inlineStr"/>
    </row>
    <row r="402" ht="15" customHeight="1">
      <c r="A402" t="inlineStr">
        <is>
          <t>A 16737-2023</t>
        </is>
      </c>
      <c r="B402" t="inlineStr">
        <is>
          <t>avverkningsanmälan</t>
        </is>
      </c>
      <c r="C402" t="inlineStr">
        <is>
          <t>Föryngringsavverkning</t>
        </is>
      </c>
      <c r="D402" s="1" t="n">
        <v>45030</v>
      </c>
      <c r="E402" s="1" t="n">
        <v>46223</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33577-2023</t>
        </is>
      </c>
      <c r="B403" t="inlineStr">
        <is>
          <t>avverkningsanmälan</t>
        </is>
      </c>
      <c r="C403" t="inlineStr">
        <is>
          <t>Föryngringsavverkning</t>
        </is>
      </c>
      <c r="D403" s="1" t="n">
        <v>45131</v>
      </c>
      <c r="E403" s="1" t="n">
        <v>46223</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13169-2024</t>
        </is>
      </c>
      <c r="B404" t="inlineStr">
        <is>
          <t>avverkningsanmälan</t>
        </is>
      </c>
      <c r="C404" t="inlineStr">
        <is>
          <t>Föryngringsavverkning</t>
        </is>
      </c>
      <c r="D404" s="1" t="n">
        <v>45386</v>
      </c>
      <c r="E404" s="1" t="n">
        <v>46223</v>
      </c>
      <c r="F404" t="inlineStr">
        <is>
          <t>ÖREBRO LÄN</t>
        </is>
      </c>
      <c r="G404" t="inlineStr">
        <is>
          <t>ÖREBRO</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59937-2025</t>
        </is>
      </c>
      <c r="B405" t="inlineStr">
        <is>
          <t>avverkningsanmälan</t>
        </is>
      </c>
      <c r="C405" t="inlineStr">
        <is>
          <t>Föryngringsavverkning</t>
        </is>
      </c>
      <c r="D405" s="1" t="n">
        <v>45993</v>
      </c>
      <c r="E405" s="1" t="n">
        <v>46223</v>
      </c>
      <c r="F405" t="inlineStr">
        <is>
          <t>ÖREBRO LÄN</t>
        </is>
      </c>
      <c r="G405" t="inlineStr">
        <is>
          <t>ÖREBRO</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18360-2024</t>
        </is>
      </c>
      <c r="B406" t="inlineStr">
        <is>
          <t>avverkningsanmälan</t>
        </is>
      </c>
      <c r="C406" t="inlineStr">
        <is>
          <t>Föryngringsavverkning</t>
        </is>
      </c>
      <c r="D406" s="1" t="n">
        <v>45422</v>
      </c>
      <c r="E406" s="1" t="n">
        <v>46223</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7611-2024</t>
        </is>
      </c>
      <c r="B407" t="inlineStr">
        <is>
          <t>avverkningsanmälan</t>
        </is>
      </c>
      <c r="C407" t="inlineStr">
        <is>
          <t>Föryngringsavverkning</t>
        </is>
      </c>
      <c r="D407" s="1" t="n">
        <v>45348</v>
      </c>
      <c r="E407" s="1" t="n">
        <v>46223</v>
      </c>
      <c r="F407" t="inlineStr">
        <is>
          <t>ÖREBRO LÄN</t>
        </is>
      </c>
      <c r="G407" t="inlineStr">
        <is>
          <t>ÖREBRO</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13347-2023</t>
        </is>
      </c>
      <c r="B408" t="inlineStr">
        <is>
          <t>avverkningsanmälan</t>
        </is>
      </c>
      <c r="C408" t="inlineStr">
        <is>
          <t>Föryngringsavverkning</t>
        </is>
      </c>
      <c r="D408" s="1" t="n">
        <v>45004</v>
      </c>
      <c r="E408" s="1" t="n">
        <v>46223</v>
      </c>
      <c r="F408" t="inlineStr">
        <is>
          <t>ÖREBRO LÄN</t>
        </is>
      </c>
      <c r="G408" t="inlineStr">
        <is>
          <t>ÖREBRO</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10832-2023</t>
        </is>
      </c>
      <c r="B409" t="inlineStr">
        <is>
          <t>avverkningsanmälan</t>
        </is>
      </c>
      <c r="C409" t="inlineStr">
        <is>
          <t>Föryngringsavverkning</t>
        </is>
      </c>
      <c r="D409" s="1" t="n">
        <v>44990</v>
      </c>
      <c r="E409" s="1" t="n">
        <v>46223</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10816-2026</t>
        </is>
      </c>
      <c r="B410" t="inlineStr">
        <is>
          <t>avverkningsanmälan</t>
        </is>
      </c>
      <c r="C410" t="inlineStr">
        <is>
          <t>Föryngringsavverkning</t>
        </is>
      </c>
      <c r="D410" s="1" t="n">
        <v>46078</v>
      </c>
      <c r="E410" s="1" t="n">
        <v>46223</v>
      </c>
      <c r="F410" t="inlineStr">
        <is>
          <t>ÖREBRO LÄN</t>
        </is>
      </c>
      <c r="G410" t="inlineStr">
        <is>
          <t>ÖREBRO</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2596-2022</t>
        </is>
      </c>
      <c r="B411" t="inlineStr">
        <is>
          <t>avverkningsanmälan</t>
        </is>
      </c>
      <c r="C411" t="inlineStr">
        <is>
          <t>Föryngringsavverkning</t>
        </is>
      </c>
      <c r="D411" s="1" t="n">
        <v>44580</v>
      </c>
      <c r="E411" s="1" t="n">
        <v>46223</v>
      </c>
      <c r="F411" t="inlineStr">
        <is>
          <t>ÖREBRO LÄN</t>
        </is>
      </c>
      <c r="G411" t="inlineStr">
        <is>
          <t>ÖREBRO</t>
        </is>
      </c>
      <c r="I411" t="n">
        <v>4.3</v>
      </c>
      <c r="J411" t="n">
        <v>0</v>
      </c>
      <c r="K411" t="n">
        <v>0</v>
      </c>
      <c r="L411" t="n">
        <v>0</v>
      </c>
      <c r="M411" t="n">
        <v>0</v>
      </c>
      <c r="N411" t="n">
        <v>0</v>
      </c>
      <c r="O411" t="n">
        <v>0</v>
      </c>
      <c r="P411" t="n">
        <v>0</v>
      </c>
      <c r="Q411" t="n">
        <v>0</v>
      </c>
      <c r="R411" t="n">
        <v>0</v>
      </c>
      <c r="S411" t="n">
        <v>0</v>
      </c>
      <c r="T411" t="n">
        <v>0</v>
      </c>
      <c r="U411" s="2" t="inlineStr"/>
    </row>
    <row r="412" ht="15" customHeight="1">
      <c r="A412" t="inlineStr">
        <is>
          <t>A 5338-2024</t>
        </is>
      </c>
      <c r="B412" t="inlineStr">
        <is>
          <t>avverkningsanmälan</t>
        </is>
      </c>
      <c r="C412" t="inlineStr">
        <is>
          <t>Föryngringsavverkning</t>
        </is>
      </c>
      <c r="D412" s="1" t="n">
        <v>45331</v>
      </c>
      <c r="E412" s="1" t="n">
        <v>46223</v>
      </c>
      <c r="F412" t="inlineStr">
        <is>
          <t>ÖREBRO LÄN</t>
        </is>
      </c>
      <c r="G412" t="inlineStr">
        <is>
          <t>ÖREBRO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14487-2023</t>
        </is>
      </c>
      <c r="B413" t="inlineStr">
        <is>
          <t>avverkningsanmälan</t>
        </is>
      </c>
      <c r="C413" t="inlineStr">
        <is>
          <t>Föryngringsavverkning</t>
        </is>
      </c>
      <c r="D413" s="1" t="n">
        <v>45012</v>
      </c>
      <c r="E413" s="1" t="n">
        <v>46223</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187-2024</t>
        </is>
      </c>
      <c r="B414" t="inlineStr">
        <is>
          <t>avverkningsanmälan</t>
        </is>
      </c>
      <c r="C414" t="inlineStr">
        <is>
          <t>Föryngringsavverkning</t>
        </is>
      </c>
      <c r="D414" s="1" t="n">
        <v>45294</v>
      </c>
      <c r="E414" s="1" t="n">
        <v>46223</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4970-2022</t>
        </is>
      </c>
      <c r="B415" t="inlineStr">
        <is>
          <t>avverkningsanmälan</t>
        </is>
      </c>
      <c r="C415" t="inlineStr">
        <is>
          <t>Föryngringsavverkning</t>
        </is>
      </c>
      <c r="D415" s="1" t="n">
        <v>44593</v>
      </c>
      <c r="E415" s="1" t="n">
        <v>46223</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59938-2025</t>
        </is>
      </c>
      <c r="B416" t="inlineStr">
        <is>
          <t>avverkningsanmälan</t>
        </is>
      </c>
      <c r="C416" t="inlineStr">
        <is>
          <t>Föryngringsavverkning</t>
        </is>
      </c>
      <c r="D416" s="1" t="n">
        <v>45993</v>
      </c>
      <c r="E416" s="1" t="n">
        <v>46223</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18047-2023</t>
        </is>
      </c>
      <c r="B417" t="inlineStr">
        <is>
          <t>avverkningsanmälan</t>
        </is>
      </c>
      <c r="C417" t="inlineStr">
        <is>
          <t>Föryngringsavverkning</t>
        </is>
      </c>
      <c r="D417" s="1" t="n">
        <v>45040</v>
      </c>
      <c r="E417" s="1" t="n">
        <v>46223</v>
      </c>
      <c r="F417" t="inlineStr">
        <is>
          <t>ÖREBRO LÄN</t>
        </is>
      </c>
      <c r="G417" t="inlineStr">
        <is>
          <t>ÖREBRO</t>
        </is>
      </c>
      <c r="I417" t="n">
        <v>3.9</v>
      </c>
      <c r="J417" t="n">
        <v>0</v>
      </c>
      <c r="K417" t="n">
        <v>0</v>
      </c>
      <c r="L417" t="n">
        <v>0</v>
      </c>
      <c r="M417" t="n">
        <v>0</v>
      </c>
      <c r="N417" t="n">
        <v>0</v>
      </c>
      <c r="O417" t="n">
        <v>0</v>
      </c>
      <c r="P417" t="n">
        <v>0</v>
      </c>
      <c r="Q417" t="n">
        <v>0</v>
      </c>
      <c r="R417" t="n">
        <v>0</v>
      </c>
      <c r="S417" t="n">
        <v>0</v>
      </c>
      <c r="T417" t="n">
        <v>0</v>
      </c>
      <c r="U417" s="2" t="inlineStr"/>
    </row>
    <row r="418" ht="15" customHeight="1">
      <c r="A418" t="inlineStr">
        <is>
          <t>A 28120-2025</t>
        </is>
      </c>
      <c r="B418" t="inlineStr">
        <is>
          <t>avverkningsanmälan</t>
        </is>
      </c>
      <c r="C418" t="inlineStr">
        <is>
          <t>Föryngringsavverkning</t>
        </is>
      </c>
      <c r="D418" s="1" t="n">
        <v>45818</v>
      </c>
      <c r="E418" s="1" t="n">
        <v>46223</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10502-2026</t>
        </is>
      </c>
      <c r="B419" t="inlineStr">
        <is>
          <t>avverkningsanmälan</t>
        </is>
      </c>
      <c r="C419" t="inlineStr">
        <is>
          <t>Föryngringsavverkning</t>
        </is>
      </c>
      <c r="D419" s="1" t="n">
        <v>46077</v>
      </c>
      <c r="E419" s="1" t="n">
        <v>46223</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3789-2023</t>
        </is>
      </c>
      <c r="B420" t="inlineStr">
        <is>
          <t>avverkningsanmälan</t>
        </is>
      </c>
      <c r="C420" t="inlineStr">
        <is>
          <t>Föryngringsavverkning</t>
        </is>
      </c>
      <c r="D420" s="1" t="n">
        <v>44951</v>
      </c>
      <c r="E420" s="1" t="n">
        <v>46223</v>
      </c>
      <c r="F420" t="inlineStr">
        <is>
          <t>ÖREBRO LÄN</t>
        </is>
      </c>
      <c r="G420" t="inlineStr">
        <is>
          <t>ÖREBRO</t>
        </is>
      </c>
      <c r="I420" t="n">
        <v>7.5</v>
      </c>
      <c r="J420" t="n">
        <v>0</v>
      </c>
      <c r="K420" t="n">
        <v>0</v>
      </c>
      <c r="L420" t="n">
        <v>0</v>
      </c>
      <c r="M420" t="n">
        <v>0</v>
      </c>
      <c r="N420" t="n">
        <v>0</v>
      </c>
      <c r="O420" t="n">
        <v>0</v>
      </c>
      <c r="P420" t="n">
        <v>0</v>
      </c>
      <c r="Q420" t="n">
        <v>0</v>
      </c>
      <c r="R420" t="n">
        <v>0</v>
      </c>
      <c r="S420" t="n">
        <v>0</v>
      </c>
      <c r="T420" t="n">
        <v>0</v>
      </c>
      <c r="U420" s="2" t="inlineStr"/>
    </row>
    <row r="421" ht="15" customHeight="1">
      <c r="A421" t="inlineStr">
        <is>
          <t>A 61078-2024</t>
        </is>
      </c>
      <c r="B421" t="inlineStr">
        <is>
          <t>avverkningsanmälan</t>
        </is>
      </c>
      <c r="C421" t="inlineStr">
        <is>
          <t>Föryngringsavverkning</t>
        </is>
      </c>
      <c r="D421" s="1" t="n">
        <v>45645</v>
      </c>
      <c r="E421" s="1" t="n">
        <v>46223</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s="2" t="inlineStr"/>
    </row>
    <row r="422" ht="15" customHeight="1">
      <c r="A422" t="inlineStr">
        <is>
          <t>A 5026-2022</t>
        </is>
      </c>
      <c r="B422" t="inlineStr">
        <is>
          <t>avverkningsanmälan</t>
        </is>
      </c>
      <c r="C422" t="inlineStr">
        <is>
          <t>Föryngringsavverkning</t>
        </is>
      </c>
      <c r="D422" s="1" t="n">
        <v>44593</v>
      </c>
      <c r="E422" s="1" t="n">
        <v>46223</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54917-2023</t>
        </is>
      </c>
      <c r="B423" t="inlineStr">
        <is>
          <t>avverkningsanmälan</t>
        </is>
      </c>
      <c r="C423" t="inlineStr">
        <is>
          <t>Föryngringsavverkning</t>
        </is>
      </c>
      <c r="D423" s="1" t="n">
        <v>45229</v>
      </c>
      <c r="E423" s="1" t="n">
        <v>46223</v>
      </c>
      <c r="F423" t="inlineStr">
        <is>
          <t>ÖREBRO LÄN</t>
        </is>
      </c>
      <c r="G423" t="inlineStr">
        <is>
          <t>ÖREBRO</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72329-2021</t>
        </is>
      </c>
      <c r="B424" t="inlineStr">
        <is>
          <t>avverkningsanmälan</t>
        </is>
      </c>
      <c r="C424" t="inlineStr">
        <is>
          <t>Föryngringsavverkning</t>
        </is>
      </c>
      <c r="D424" s="1" t="n">
        <v>44545</v>
      </c>
      <c r="E424" s="1" t="n">
        <v>46223</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15789-2023</t>
        </is>
      </c>
      <c r="B425" t="inlineStr">
        <is>
          <t>avverkningsanmälan</t>
        </is>
      </c>
      <c r="C425" t="inlineStr">
        <is>
          <t>Föryngringsavverkning</t>
        </is>
      </c>
      <c r="D425" s="1" t="n">
        <v>45021</v>
      </c>
      <c r="E425" s="1" t="n">
        <v>46223</v>
      </c>
      <c r="F425" t="inlineStr">
        <is>
          <t>ÖREBRO LÄN</t>
        </is>
      </c>
      <c r="G425" t="inlineStr">
        <is>
          <t>ÖREBRO</t>
        </is>
      </c>
      <c r="H425" t="inlineStr">
        <is>
          <t>Övriga Aktiebolag</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58539-2024</t>
        </is>
      </c>
      <c r="B426" t="inlineStr">
        <is>
          <t>avverkningsanmälan</t>
        </is>
      </c>
      <c r="C426" t="inlineStr">
        <is>
          <t>Avverkning för att bevara och utveckla /försöksver</t>
        </is>
      </c>
      <c r="D426" s="1" t="n">
        <v>45635</v>
      </c>
      <c r="E426" s="1" t="n">
        <v>46223</v>
      </c>
      <c r="F426" t="inlineStr">
        <is>
          <t>ÖREBRO LÄN</t>
        </is>
      </c>
      <c r="G426" t="inlineStr">
        <is>
          <t>ÖREBRO</t>
        </is>
      </c>
      <c r="H426" t="inlineStr">
        <is>
          <t>Sveaskog</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59757-2023</t>
        </is>
      </c>
      <c r="B427" t="inlineStr">
        <is>
          <t>avverkningsanmälan</t>
        </is>
      </c>
      <c r="C427" t="inlineStr">
        <is>
          <t>Föryngringsavverkning</t>
        </is>
      </c>
      <c r="D427" s="1" t="n">
        <v>45257</v>
      </c>
      <c r="E427" s="1" t="n">
        <v>46223</v>
      </c>
      <c r="F427" t="inlineStr">
        <is>
          <t>ÖREBRO LÄN</t>
        </is>
      </c>
      <c r="G427" t="inlineStr">
        <is>
          <t>ÖREBRO</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17869-2024</t>
        </is>
      </c>
      <c r="B428" t="inlineStr">
        <is>
          <t>avverkningsanmälan</t>
        </is>
      </c>
      <c r="C428" t="inlineStr">
        <is>
          <t>Föryngringsavverkning</t>
        </is>
      </c>
      <c r="D428" s="1" t="n">
        <v>45419</v>
      </c>
      <c r="E428" s="1" t="n">
        <v>46223</v>
      </c>
      <c r="F428" t="inlineStr">
        <is>
          <t>ÖREBRO LÄN</t>
        </is>
      </c>
      <c r="G428" t="inlineStr">
        <is>
          <t>ÖREBRO</t>
        </is>
      </c>
      <c r="I428" t="n">
        <v>3.7</v>
      </c>
      <c r="J428" t="n">
        <v>0</v>
      </c>
      <c r="K428" t="n">
        <v>0</v>
      </c>
      <c r="L428" t="n">
        <v>0</v>
      </c>
      <c r="M428" t="n">
        <v>0</v>
      </c>
      <c r="N428" t="n">
        <v>0</v>
      </c>
      <c r="O428" t="n">
        <v>0</v>
      </c>
      <c r="P428" t="n">
        <v>0</v>
      </c>
      <c r="Q428" t="n">
        <v>0</v>
      </c>
      <c r="R428" t="n">
        <v>0</v>
      </c>
      <c r="S428" t="n">
        <v>0</v>
      </c>
      <c r="T428" t="n">
        <v>0</v>
      </c>
      <c r="U428" s="2" t="inlineStr"/>
    </row>
    <row r="429" ht="15" customHeight="1">
      <c r="A429" t="inlineStr">
        <is>
          <t>A 71272-2021</t>
        </is>
      </c>
      <c r="B429" t="inlineStr">
        <is>
          <t>avverkningsanmälan</t>
        </is>
      </c>
      <c r="C429" t="inlineStr">
        <is>
          <t>Föryngringsavverkning</t>
        </is>
      </c>
      <c r="D429" s="1" t="n">
        <v>44539</v>
      </c>
      <c r="E429" s="1" t="n">
        <v>46223</v>
      </c>
      <c r="F429" t="inlineStr">
        <is>
          <t>ÖREBRO LÄN</t>
        </is>
      </c>
      <c r="G429" t="inlineStr">
        <is>
          <t>ÖREBRO</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4557-2023</t>
        </is>
      </c>
      <c r="B430" t="inlineStr">
        <is>
          <t>avverkningsanmälan</t>
        </is>
      </c>
      <c r="C430" t="inlineStr">
        <is>
          <t>Föryngringsavverkning</t>
        </is>
      </c>
      <c r="D430" s="1" t="n">
        <v>44956</v>
      </c>
      <c r="E430" s="1" t="n">
        <v>46223</v>
      </c>
      <c r="F430" t="inlineStr">
        <is>
          <t>ÖREBRO LÄN</t>
        </is>
      </c>
      <c r="G430" t="inlineStr">
        <is>
          <t>ÖREBRO</t>
        </is>
      </c>
      <c r="I430" t="n">
        <v>8.699999999999999</v>
      </c>
      <c r="J430" t="n">
        <v>0</v>
      </c>
      <c r="K430" t="n">
        <v>0</v>
      </c>
      <c r="L430" t="n">
        <v>0</v>
      </c>
      <c r="M430" t="n">
        <v>0</v>
      </c>
      <c r="N430" t="n">
        <v>0</v>
      </c>
      <c r="O430" t="n">
        <v>0</v>
      </c>
      <c r="P430" t="n">
        <v>0</v>
      </c>
      <c r="Q430" t="n">
        <v>0</v>
      </c>
      <c r="R430" t="n">
        <v>0</v>
      </c>
      <c r="S430" t="n">
        <v>0</v>
      </c>
      <c r="T430" t="n">
        <v>0</v>
      </c>
      <c r="U430" s="2" t="inlineStr"/>
    </row>
    <row r="431" ht="15" customHeight="1">
      <c r="A431" t="inlineStr">
        <is>
          <t>A 60100-2022</t>
        </is>
      </c>
      <c r="B431" t="inlineStr">
        <is>
          <t>avverkningsanmälan</t>
        </is>
      </c>
      <c r="C431" t="inlineStr">
        <is>
          <t>Föryngringsavverkning</t>
        </is>
      </c>
      <c r="D431" s="1" t="n">
        <v>44902</v>
      </c>
      <c r="E431" s="1" t="n">
        <v>46223</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17465-2023</t>
        </is>
      </c>
      <c r="B432" t="inlineStr">
        <is>
          <t>avverkningsanmälan</t>
        </is>
      </c>
      <c r="C432" t="inlineStr">
        <is>
          <t>Föryngringsavverkning</t>
        </is>
      </c>
      <c r="D432" s="1" t="n">
        <v>45036</v>
      </c>
      <c r="E432" s="1" t="n">
        <v>46223</v>
      </c>
      <c r="F432" t="inlineStr">
        <is>
          <t>ÖREBRO LÄN</t>
        </is>
      </c>
      <c r="G432" t="inlineStr">
        <is>
          <t>ÖREBRO</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52016-2024</t>
        </is>
      </c>
      <c r="B433" t="inlineStr">
        <is>
          <t>avverkningsanmälan</t>
        </is>
      </c>
      <c r="C433" t="inlineStr">
        <is>
          <t>Föryngringsavverkning</t>
        </is>
      </c>
      <c r="D433" s="1" t="n">
        <v>45607</v>
      </c>
      <c r="E433" s="1" t="n">
        <v>46223</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52477-2024</t>
        </is>
      </c>
      <c r="B434" t="inlineStr">
        <is>
          <t>avverkningsanmälan</t>
        </is>
      </c>
      <c r="C434" t="inlineStr">
        <is>
          <t>Föryngringsavverkning</t>
        </is>
      </c>
      <c r="D434" s="1" t="n">
        <v>45609</v>
      </c>
      <c r="E434" s="1" t="n">
        <v>46223</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23033-2026</t>
        </is>
      </c>
      <c r="B435" t="inlineStr">
        <is>
          <t>avverkningsanmälan</t>
        </is>
      </c>
      <c r="C435" t="inlineStr">
        <is>
          <t>Föryngringsavverkning</t>
        </is>
      </c>
      <c r="D435" s="1" t="n">
        <v>46161</v>
      </c>
      <c r="E435" s="1" t="n">
        <v>46223</v>
      </c>
      <c r="F435" t="inlineStr">
        <is>
          <t>ÖREBRO LÄN</t>
        </is>
      </c>
      <c r="G435" t="inlineStr">
        <is>
          <t>ÖREBRO</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23053-2026</t>
        </is>
      </c>
      <c r="B436" t="inlineStr">
        <is>
          <t>avverkningsanmälan</t>
        </is>
      </c>
      <c r="C436" t="inlineStr">
        <is>
          <t>Föryngringsavverkning</t>
        </is>
      </c>
      <c r="D436" s="1" t="n">
        <v>46161</v>
      </c>
      <c r="E436" s="1" t="n">
        <v>46223</v>
      </c>
      <c r="F436" t="inlineStr">
        <is>
          <t>ÖREBRO LÄN</t>
        </is>
      </c>
      <c r="G436" t="inlineStr">
        <is>
          <t>ÖREBRO</t>
        </is>
      </c>
      <c r="I436" t="n">
        <v>6.3</v>
      </c>
      <c r="J436" t="n">
        <v>0</v>
      </c>
      <c r="K436" t="n">
        <v>0</v>
      </c>
      <c r="L436" t="n">
        <v>0</v>
      </c>
      <c r="M436" t="n">
        <v>0</v>
      </c>
      <c r="N436" t="n">
        <v>0</v>
      </c>
      <c r="O436" t="n">
        <v>0</v>
      </c>
      <c r="P436" t="n">
        <v>0</v>
      </c>
      <c r="Q436" t="n">
        <v>0</v>
      </c>
      <c r="R436" t="n">
        <v>0</v>
      </c>
      <c r="S436" t="n">
        <v>0</v>
      </c>
      <c r="T436" t="n">
        <v>0</v>
      </c>
      <c r="U436" s="2" t="inlineStr"/>
    </row>
    <row r="437" ht="15" customHeight="1">
      <c r="A437" t="inlineStr">
        <is>
          <t>A 38057-2025</t>
        </is>
      </c>
      <c r="B437" t="inlineStr">
        <is>
          <t>avverkningsanmälan</t>
        </is>
      </c>
      <c r="C437" t="inlineStr">
        <is>
          <t>Föryngringsavverkning</t>
        </is>
      </c>
      <c r="D437" s="1" t="n">
        <v>45882</v>
      </c>
      <c r="E437" s="1" t="n">
        <v>46223</v>
      </c>
      <c r="F437" t="inlineStr">
        <is>
          <t>ÖREBRO LÄN</t>
        </is>
      </c>
      <c r="G437" t="inlineStr">
        <is>
          <t>ÖREBRO</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30743-2025</t>
        </is>
      </c>
      <c r="B438" t="inlineStr">
        <is>
          <t>avverkningsanmälan</t>
        </is>
      </c>
      <c r="C438" t="inlineStr">
        <is>
          <t>Föryngringsavverkning</t>
        </is>
      </c>
      <c r="D438" s="1" t="n">
        <v>45831</v>
      </c>
      <c r="E438" s="1" t="n">
        <v>46223</v>
      </c>
      <c r="F438" t="inlineStr">
        <is>
          <t>ÖREBRO LÄN</t>
        </is>
      </c>
      <c r="G438" t="inlineStr">
        <is>
          <t>ÖREBRO</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35843-2022</t>
        </is>
      </c>
      <c r="B439" t="inlineStr">
        <is>
          <t>avverkningsanmälan</t>
        </is>
      </c>
      <c r="C439" t="inlineStr">
        <is>
          <t>Föryngringsavverkning</t>
        </is>
      </c>
      <c r="D439" s="1" t="n">
        <v>44802</v>
      </c>
      <c r="E439" s="1" t="n">
        <v>46223</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51373-2023</t>
        </is>
      </c>
      <c r="B440" t="inlineStr">
        <is>
          <t>avverkningsanmälan</t>
        </is>
      </c>
      <c r="C440" t="inlineStr">
        <is>
          <t>Föryngringsavverkning</t>
        </is>
      </c>
      <c r="D440" s="1" t="n">
        <v>45213</v>
      </c>
      <c r="E440" s="1" t="n">
        <v>46223</v>
      </c>
      <c r="F440" t="inlineStr">
        <is>
          <t>ÖREBRO LÄN</t>
        </is>
      </c>
      <c r="G440" t="inlineStr">
        <is>
          <t>ÖREBRO</t>
        </is>
      </c>
      <c r="I440" t="n">
        <v>5.9</v>
      </c>
      <c r="J440" t="n">
        <v>0</v>
      </c>
      <c r="K440" t="n">
        <v>0</v>
      </c>
      <c r="L440" t="n">
        <v>0</v>
      </c>
      <c r="M440" t="n">
        <v>0</v>
      </c>
      <c r="N440" t="n">
        <v>0</v>
      </c>
      <c r="O440" t="n">
        <v>0</v>
      </c>
      <c r="P440" t="n">
        <v>0</v>
      </c>
      <c r="Q440" t="n">
        <v>0</v>
      </c>
      <c r="R440" t="n">
        <v>0</v>
      </c>
      <c r="S440" t="n">
        <v>0</v>
      </c>
      <c r="T440" t="n">
        <v>0</v>
      </c>
      <c r="U440" s="2" t="inlineStr"/>
    </row>
    <row r="441" ht="15" customHeight="1">
      <c r="A441" t="inlineStr">
        <is>
          <t>A 1257-2022</t>
        </is>
      </c>
      <c r="B441" t="inlineStr">
        <is>
          <t>avverkningsanmälan</t>
        </is>
      </c>
      <c r="C441" t="inlineStr">
        <is>
          <t>Föryngringsavverkning</t>
        </is>
      </c>
      <c r="D441" s="1" t="n">
        <v>44572</v>
      </c>
      <c r="E441" s="1" t="n">
        <v>46223</v>
      </c>
      <c r="F441" t="inlineStr">
        <is>
          <t>ÖREBRO LÄN</t>
        </is>
      </c>
      <c r="G441" t="inlineStr">
        <is>
          <t>ÖREBRO</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40656-2023</t>
        </is>
      </c>
      <c r="B442" t="inlineStr">
        <is>
          <t>avverkningsanmälan</t>
        </is>
      </c>
      <c r="C442" t="inlineStr">
        <is>
          <t>Avverkning för annat ändamål</t>
        </is>
      </c>
      <c r="D442" s="1" t="n">
        <v>45170</v>
      </c>
      <c r="E442" s="1" t="n">
        <v>46223</v>
      </c>
      <c r="F442" t="inlineStr">
        <is>
          <t>ÖREBRO LÄN</t>
        </is>
      </c>
      <c r="G442" t="inlineStr">
        <is>
          <t>ÖREBRO</t>
        </is>
      </c>
      <c r="H442" t="inlineStr">
        <is>
          <t>Övriga Aktiebolag</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22677-2022</t>
        </is>
      </c>
      <c r="B443" t="inlineStr">
        <is>
          <t>avverkningsanmälan</t>
        </is>
      </c>
      <c r="C443" t="inlineStr">
        <is>
          <t>Föryngringsavverkning</t>
        </is>
      </c>
      <c r="D443" s="1" t="n">
        <v>44714</v>
      </c>
      <c r="E443" s="1" t="n">
        <v>46223</v>
      </c>
      <c r="F443" t="inlineStr">
        <is>
          <t>ÖREBRO LÄN</t>
        </is>
      </c>
      <c r="G443" t="inlineStr">
        <is>
          <t>ÖREBRO</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71288-2021</t>
        </is>
      </c>
      <c r="B444" t="inlineStr">
        <is>
          <t>avverkningsanmälan</t>
        </is>
      </c>
      <c r="C444" t="inlineStr">
        <is>
          <t>Föryngringsavverkning</t>
        </is>
      </c>
      <c r="D444" s="1" t="n">
        <v>44539</v>
      </c>
      <c r="E444" s="1" t="n">
        <v>46223</v>
      </c>
      <c r="F444" t="inlineStr">
        <is>
          <t>ÖREBRO LÄN</t>
        </is>
      </c>
      <c r="G444" t="inlineStr">
        <is>
          <t>ÖREBRO</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10830-2023</t>
        </is>
      </c>
      <c r="B445" t="inlineStr">
        <is>
          <t>avverkningsanmälan</t>
        </is>
      </c>
      <c r="C445" t="inlineStr">
        <is>
          <t>Föryngringsavverkning</t>
        </is>
      </c>
      <c r="D445" s="1" t="n">
        <v>44990</v>
      </c>
      <c r="E445" s="1" t="n">
        <v>46223</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7692-2023</t>
        </is>
      </c>
      <c r="B446" t="inlineStr">
        <is>
          <t>avverkningsanmälan</t>
        </is>
      </c>
      <c r="C446" t="inlineStr">
        <is>
          <t>Föryngringsavverkning</t>
        </is>
      </c>
      <c r="D446" s="1" t="n">
        <v>44972</v>
      </c>
      <c r="E446" s="1" t="n">
        <v>46223</v>
      </c>
      <c r="F446" t="inlineStr">
        <is>
          <t>ÖREBRO LÄN</t>
        </is>
      </c>
      <c r="G446" t="inlineStr">
        <is>
          <t>ÖREBRO</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50026-2024</t>
        </is>
      </c>
      <c r="B447" t="inlineStr">
        <is>
          <t>avverkningsanmälan</t>
        </is>
      </c>
      <c r="C447" t="inlineStr">
        <is>
          <t>Föryngringsavverkning</t>
        </is>
      </c>
      <c r="D447" s="1" t="n">
        <v>45599</v>
      </c>
      <c r="E447" s="1" t="n">
        <v>46223</v>
      </c>
      <c r="F447" t="inlineStr">
        <is>
          <t>ÖREBRO LÄN</t>
        </is>
      </c>
      <c r="G447" t="inlineStr">
        <is>
          <t>ÖREBRO</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18449-2023</t>
        </is>
      </c>
      <c r="B448" t="inlineStr">
        <is>
          <t>avverkningsanmälan</t>
        </is>
      </c>
      <c r="C448" t="inlineStr">
        <is>
          <t>Föryngringsavverkning</t>
        </is>
      </c>
      <c r="D448" s="1" t="n">
        <v>45042</v>
      </c>
      <c r="E448" s="1" t="n">
        <v>46223</v>
      </c>
      <c r="F448" t="inlineStr">
        <is>
          <t>ÖREBRO LÄN</t>
        </is>
      </c>
      <c r="G448" t="inlineStr">
        <is>
          <t>ÖREBRO</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16936-2023</t>
        </is>
      </c>
      <c r="B449" t="inlineStr">
        <is>
          <t>avverkningsanmälan</t>
        </is>
      </c>
      <c r="C449" t="inlineStr">
        <is>
          <t>Föryngringsavverkning</t>
        </is>
      </c>
      <c r="D449" s="1" t="n">
        <v>45033</v>
      </c>
      <c r="E449" s="1" t="n">
        <v>46223</v>
      </c>
      <c r="F449" t="inlineStr">
        <is>
          <t>ÖREBRO LÄN</t>
        </is>
      </c>
      <c r="G449" t="inlineStr">
        <is>
          <t>ÖREBRO</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64730-2023</t>
        </is>
      </c>
      <c r="B450" t="inlineStr">
        <is>
          <t>avverkningsanmälan</t>
        </is>
      </c>
      <c r="C450" t="inlineStr">
        <is>
          <t>Föryngringsavverkning</t>
        </is>
      </c>
      <c r="D450" s="1" t="n">
        <v>45281</v>
      </c>
      <c r="E450" s="1" t="n">
        <v>46223</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44284-2022</t>
        </is>
      </c>
      <c r="B451" t="inlineStr">
        <is>
          <t>avverkningsanmälan</t>
        </is>
      </c>
      <c r="C451" t="inlineStr">
        <is>
          <t>Föryngringsavverkning</t>
        </is>
      </c>
      <c r="D451" s="1" t="n">
        <v>44839</v>
      </c>
      <c r="E451" s="1" t="n">
        <v>46223</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53234-2023</t>
        </is>
      </c>
      <c r="B452" t="inlineStr">
        <is>
          <t>avverkningsanmälan</t>
        </is>
      </c>
      <c r="C452" t="inlineStr">
        <is>
          <t>Föryngringsavverkning</t>
        </is>
      </c>
      <c r="D452" s="1" t="n">
        <v>45229</v>
      </c>
      <c r="E452" s="1" t="n">
        <v>46223</v>
      </c>
      <c r="F452" t="inlineStr">
        <is>
          <t>ÖREBRO LÄN</t>
        </is>
      </c>
      <c r="G452" t="inlineStr">
        <is>
          <t>ÖREBRO</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14544-2023</t>
        </is>
      </c>
      <c r="B453" t="inlineStr">
        <is>
          <t>avverkningsanmälan</t>
        </is>
      </c>
      <c r="C453" t="inlineStr">
        <is>
          <t>Föryngringsavverkning</t>
        </is>
      </c>
      <c r="D453" s="1" t="n">
        <v>45013</v>
      </c>
      <c r="E453" s="1" t="n">
        <v>46223</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3252-2026</t>
        </is>
      </c>
      <c r="B454" t="inlineStr">
        <is>
          <t>avverkningsanmälan</t>
        </is>
      </c>
      <c r="C454" t="inlineStr">
        <is>
          <t>Föryngringsavverkning</t>
        </is>
      </c>
      <c r="D454" s="1" t="n">
        <v>46041</v>
      </c>
      <c r="E454" s="1" t="n">
        <v>46223</v>
      </c>
      <c r="F454" t="inlineStr">
        <is>
          <t>ÖREBRO LÄN</t>
        </is>
      </c>
      <c r="G454" t="inlineStr">
        <is>
          <t>ÖREBRO</t>
        </is>
      </c>
      <c r="H454" t="inlineStr">
        <is>
          <t>Övriga Aktiebolag</t>
        </is>
      </c>
      <c r="I454" t="n">
        <v>9.199999999999999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15682-2023</t>
        </is>
      </c>
      <c r="B455" t="inlineStr">
        <is>
          <t>avverkningsanmälan</t>
        </is>
      </c>
      <c r="C455" t="inlineStr">
        <is>
          <t>Föryngringsavverkning</t>
        </is>
      </c>
      <c r="D455" s="1" t="n">
        <v>45021</v>
      </c>
      <c r="E455" s="1" t="n">
        <v>46223</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30469-2026</t>
        </is>
      </c>
      <c r="B456" t="inlineStr">
        <is>
          <t>avverkningsanmälan</t>
        </is>
      </c>
      <c r="C456" t="inlineStr">
        <is>
          <t>Avverkning för annat ändamål</t>
        </is>
      </c>
      <c r="D456" s="1" t="n">
        <v>46209</v>
      </c>
      <c r="E456" s="1" t="n">
        <v>46223</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4416-2023</t>
        </is>
      </c>
      <c r="B457" t="inlineStr">
        <is>
          <t>avverkningsanmälan</t>
        </is>
      </c>
      <c r="C457" t="inlineStr">
        <is>
          <t>Föryngringsavverkning</t>
        </is>
      </c>
      <c r="D457" s="1" t="n">
        <v>44956</v>
      </c>
      <c r="E457" s="1" t="n">
        <v>46223</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49062-2023</t>
        </is>
      </c>
      <c r="B458" t="inlineStr">
        <is>
          <t>avverkningsanmälan</t>
        </is>
      </c>
      <c r="C458" t="inlineStr">
        <is>
          <t>Föryngringsavverkning</t>
        </is>
      </c>
      <c r="D458" s="1" t="n">
        <v>45210</v>
      </c>
      <c r="E458" s="1" t="n">
        <v>46223</v>
      </c>
      <c r="F458" t="inlineStr">
        <is>
          <t>ÖREBRO LÄN</t>
        </is>
      </c>
      <c r="G458" t="inlineStr">
        <is>
          <t>ÖREBRO</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30646-2026</t>
        </is>
      </c>
      <c r="B459" t="inlineStr">
        <is>
          <t>avverkningsanmälan</t>
        </is>
      </c>
      <c r="C459" t="inlineStr">
        <is>
          <t>Föryngringsavverkning</t>
        </is>
      </c>
      <c r="D459" s="1" t="n">
        <v>46211</v>
      </c>
      <c r="E459" s="1" t="n">
        <v>46223</v>
      </c>
      <c r="F459" t="inlineStr">
        <is>
          <t>ÖREBRO LÄN</t>
        </is>
      </c>
      <c r="G459" t="inlineStr">
        <is>
          <t>ÖREBRO</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32321-2023</t>
        </is>
      </c>
      <c r="B460" t="inlineStr">
        <is>
          <t>avverkningsanmälan</t>
        </is>
      </c>
      <c r="C460" t="inlineStr">
        <is>
          <t>Föryngringsavverkning</t>
        </is>
      </c>
      <c r="D460" s="1" t="n">
        <v>45120</v>
      </c>
      <c r="E460" s="1" t="n">
        <v>46223</v>
      </c>
      <c r="F460" t="inlineStr">
        <is>
          <t>ÖREBRO LÄN</t>
        </is>
      </c>
      <c r="G460" t="inlineStr">
        <is>
          <t>ÖREBRO</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71275-2021</t>
        </is>
      </c>
      <c r="B461" t="inlineStr">
        <is>
          <t>avverkningsanmälan</t>
        </is>
      </c>
      <c r="C461" t="inlineStr">
        <is>
          <t>Föryngringsavverkning</t>
        </is>
      </c>
      <c r="D461" s="1" t="n">
        <v>44539</v>
      </c>
      <c r="E461" s="1" t="n">
        <v>46223</v>
      </c>
      <c r="F461" t="inlineStr">
        <is>
          <t>ÖREBRO LÄN</t>
        </is>
      </c>
      <c r="G461" t="inlineStr">
        <is>
          <t>ÖREBRO</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58608-2024</t>
        </is>
      </c>
      <c r="B462" t="inlineStr">
        <is>
          <t>avverkningsanmälan</t>
        </is>
      </c>
      <c r="C462" t="inlineStr">
        <is>
          <t>Avverkning för att bevara och utveckla /försöksver</t>
        </is>
      </c>
      <c r="D462" s="1" t="n">
        <v>45635</v>
      </c>
      <c r="E462" s="1" t="n">
        <v>46223</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s="2" t="inlineStr"/>
    </row>
    <row r="463" ht="15" customHeight="1">
      <c r="A463" t="inlineStr">
        <is>
          <t>A 2153-2023</t>
        </is>
      </c>
      <c r="B463" t="inlineStr">
        <is>
          <t>avverkningsanmälan</t>
        </is>
      </c>
      <c r="C463" t="inlineStr">
        <is>
          <t>Föryngringsavverkning</t>
        </is>
      </c>
      <c r="D463" s="1" t="n">
        <v>44941</v>
      </c>
      <c r="E463" s="1" t="n">
        <v>46223</v>
      </c>
      <c r="F463" t="inlineStr">
        <is>
          <t>ÖREBRO LÄN</t>
        </is>
      </c>
      <c r="G463" t="inlineStr">
        <is>
          <t>ÖREBRO</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2069-2025</t>
        </is>
      </c>
      <c r="B464" t="inlineStr">
        <is>
          <t>avverkningsanmälan</t>
        </is>
      </c>
      <c r="C464" t="inlineStr">
        <is>
          <t>Föryngringsavverkning</t>
        </is>
      </c>
      <c r="D464" s="1" t="n">
        <v>45672</v>
      </c>
      <c r="E464" s="1" t="n">
        <v>46223</v>
      </c>
      <c r="F464" t="inlineStr">
        <is>
          <t>ÖREBRO LÄN</t>
        </is>
      </c>
      <c r="G464" t="inlineStr">
        <is>
          <t>ÖREBRO</t>
        </is>
      </c>
      <c r="I464" t="n">
        <v>3.8</v>
      </c>
      <c r="J464" t="n">
        <v>0</v>
      </c>
      <c r="K464" t="n">
        <v>0</v>
      </c>
      <c r="L464" t="n">
        <v>0</v>
      </c>
      <c r="M464" t="n">
        <v>0</v>
      </c>
      <c r="N464" t="n">
        <v>0</v>
      </c>
      <c r="O464" t="n">
        <v>0</v>
      </c>
      <c r="P464" t="n">
        <v>0</v>
      </c>
      <c r="Q464" t="n">
        <v>0</v>
      </c>
      <c r="R464" t="n">
        <v>0</v>
      </c>
      <c r="S464" t="n">
        <v>0</v>
      </c>
      <c r="T464" t="n">
        <v>0</v>
      </c>
      <c r="U464" s="2" t="inlineStr"/>
    </row>
    <row r="465" ht="15" customHeight="1">
      <c r="A465" t="inlineStr">
        <is>
          <t>A 852-2025</t>
        </is>
      </c>
      <c r="B465" t="inlineStr">
        <is>
          <t>avverkningsanmälan</t>
        </is>
      </c>
      <c r="C465" t="inlineStr">
        <is>
          <t>Föryngringsavverkning</t>
        </is>
      </c>
      <c r="D465" s="1" t="n">
        <v>45665</v>
      </c>
      <c r="E465" s="1" t="n">
        <v>46223</v>
      </c>
      <c r="F465" t="inlineStr">
        <is>
          <t>ÖREBRO LÄN</t>
        </is>
      </c>
      <c r="G465" t="inlineStr">
        <is>
          <t>ÖREBRO</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50398-2022</t>
        </is>
      </c>
      <c r="B466" t="inlineStr">
        <is>
          <t>avverkningsanmälan</t>
        </is>
      </c>
      <c r="C466" t="inlineStr">
        <is>
          <t>Föryngringsavverkning</t>
        </is>
      </c>
      <c r="D466" s="1" t="n">
        <v>44861</v>
      </c>
      <c r="E466" s="1" t="n">
        <v>46223</v>
      </c>
      <c r="F466" t="inlineStr">
        <is>
          <t>ÖREBRO LÄN</t>
        </is>
      </c>
      <c r="G466" t="inlineStr">
        <is>
          <t>ÖREBRO</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52499-2024</t>
        </is>
      </c>
      <c r="B467" t="inlineStr">
        <is>
          <t>avverkningsanmälan</t>
        </is>
      </c>
      <c r="C467" t="inlineStr">
        <is>
          <t>Avverkning för att bevara och utveckla /försöksver</t>
        </is>
      </c>
      <c r="D467" s="1" t="n">
        <v>45609</v>
      </c>
      <c r="E467" s="1" t="n">
        <v>46223</v>
      </c>
      <c r="F467" t="inlineStr">
        <is>
          <t>ÖREBRO LÄN</t>
        </is>
      </c>
      <c r="G467" t="inlineStr">
        <is>
          <t>ÖREBRO</t>
        </is>
      </c>
      <c r="H467" t="inlineStr">
        <is>
          <t>Sveaskog</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8008-2024</t>
        </is>
      </c>
      <c r="B468" t="inlineStr">
        <is>
          <t>avverkningsanmälan</t>
        </is>
      </c>
      <c r="C468" t="inlineStr">
        <is>
          <t>Föryngringsavverkning</t>
        </is>
      </c>
      <c r="D468" s="1" t="n">
        <v>45350</v>
      </c>
      <c r="E468" s="1" t="n">
        <v>46223</v>
      </c>
      <c r="F468" t="inlineStr">
        <is>
          <t>ÖREBRO LÄN</t>
        </is>
      </c>
      <c r="G468" t="inlineStr">
        <is>
          <t>ÖREBRO</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18181-2024</t>
        </is>
      </c>
      <c r="B469" t="inlineStr">
        <is>
          <t>avverkningsanmälan</t>
        </is>
      </c>
      <c r="C469" t="inlineStr">
        <is>
          <t>Föryngringsavverkning</t>
        </is>
      </c>
      <c r="D469" s="1" t="n">
        <v>45420</v>
      </c>
      <c r="E469" s="1" t="n">
        <v>46223</v>
      </c>
      <c r="F469" t="inlineStr">
        <is>
          <t>ÖREBRO LÄN</t>
        </is>
      </c>
      <c r="G469" t="inlineStr">
        <is>
          <t>ÖREBRO</t>
        </is>
      </c>
      <c r="I469" t="n">
        <v>7.6</v>
      </c>
      <c r="J469" t="n">
        <v>0</v>
      </c>
      <c r="K469" t="n">
        <v>0</v>
      </c>
      <c r="L469" t="n">
        <v>0</v>
      </c>
      <c r="M469" t="n">
        <v>0</v>
      </c>
      <c r="N469" t="n">
        <v>0</v>
      </c>
      <c r="O469" t="n">
        <v>0</v>
      </c>
      <c r="P469" t="n">
        <v>0</v>
      </c>
      <c r="Q469" t="n">
        <v>0</v>
      </c>
      <c r="R469" t="n">
        <v>0</v>
      </c>
      <c r="S469" t="n">
        <v>0</v>
      </c>
      <c r="T469" t="n">
        <v>0</v>
      </c>
      <c r="U469" s="2" t="inlineStr"/>
    </row>
    <row r="470" ht="15" customHeight="1">
      <c r="A470" t="inlineStr">
        <is>
          <t>A 24496-2026</t>
        </is>
      </c>
      <c r="B470" t="inlineStr">
        <is>
          <t>avverkningsanmälan</t>
        </is>
      </c>
      <c r="C470" t="inlineStr">
        <is>
          <t>Avverkning för annat ändamål</t>
        </is>
      </c>
      <c r="D470" s="1" t="n">
        <v>46170</v>
      </c>
      <c r="E470" s="1" t="n">
        <v>46223</v>
      </c>
      <c r="F470" t="inlineStr">
        <is>
          <t>ÖREBRO LÄN</t>
        </is>
      </c>
      <c r="G470" t="inlineStr">
        <is>
          <t>ÖREBRO</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38415-2023</t>
        </is>
      </c>
      <c r="B471" t="inlineStr">
        <is>
          <t>avverkningsanmälan</t>
        </is>
      </c>
      <c r="C471" t="inlineStr">
        <is>
          <t>Föryngringsavverkning</t>
        </is>
      </c>
      <c r="D471" s="1" t="n">
        <v>45162</v>
      </c>
      <c r="E471" s="1" t="n">
        <v>46223</v>
      </c>
      <c r="F471" t="inlineStr">
        <is>
          <t>ÖREBRO LÄN</t>
        </is>
      </c>
      <c r="G471" t="inlineStr">
        <is>
          <t>ÖREBRO</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16374-2022</t>
        </is>
      </c>
      <c r="B472" t="inlineStr">
        <is>
          <t>avverkningsanmälan</t>
        </is>
      </c>
      <c r="C472" t="inlineStr">
        <is>
          <t>Föryngringsavverkning</t>
        </is>
      </c>
      <c r="D472" s="1" t="n">
        <v>44671</v>
      </c>
      <c r="E472" s="1" t="n">
        <v>46223</v>
      </c>
      <c r="F472" t="inlineStr">
        <is>
          <t>ÖREBRO LÄN</t>
        </is>
      </c>
      <c r="G472" t="inlineStr">
        <is>
          <t>ÖREBRO</t>
        </is>
      </c>
      <c r="H472" t="inlineStr">
        <is>
          <t>Övriga Aktiebolag</t>
        </is>
      </c>
      <c r="I472" t="n">
        <v>30.3</v>
      </c>
      <c r="J472" t="n">
        <v>0</v>
      </c>
      <c r="K472" t="n">
        <v>0</v>
      </c>
      <c r="L472" t="n">
        <v>0</v>
      </c>
      <c r="M472" t="n">
        <v>0</v>
      </c>
      <c r="N472" t="n">
        <v>0</v>
      </c>
      <c r="O472" t="n">
        <v>0</v>
      </c>
      <c r="P472" t="n">
        <v>0</v>
      </c>
      <c r="Q472" t="n">
        <v>0</v>
      </c>
      <c r="R472" t="n">
        <v>0</v>
      </c>
      <c r="S472" t="n">
        <v>0</v>
      </c>
      <c r="T472" t="n">
        <v>0</v>
      </c>
      <c r="U472" s="2" t="inlineStr"/>
    </row>
    <row r="473" ht="15" customHeight="1">
      <c r="A473" t="inlineStr">
        <is>
          <t>A 9704-2023</t>
        </is>
      </c>
      <c r="B473" t="inlineStr">
        <is>
          <t>avverkningsanmälan</t>
        </is>
      </c>
      <c r="C473" t="inlineStr">
        <is>
          <t>Föryngringsavverkning</t>
        </is>
      </c>
      <c r="D473" s="1" t="n">
        <v>44984</v>
      </c>
      <c r="E473" s="1" t="n">
        <v>46223</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58527-2024</t>
        </is>
      </c>
      <c r="B474" t="inlineStr">
        <is>
          <t>avverkningsanmälan</t>
        </is>
      </c>
      <c r="C474" t="inlineStr">
        <is>
          <t>Avverkning för att bevara och utveckla /försöksver</t>
        </is>
      </c>
      <c r="D474" s="1" t="n">
        <v>45635</v>
      </c>
      <c r="E474" s="1" t="n">
        <v>46223</v>
      </c>
      <c r="F474" t="inlineStr">
        <is>
          <t>ÖREBRO LÄN</t>
        </is>
      </c>
      <c r="G474" t="inlineStr">
        <is>
          <t>ÖREBRO</t>
        </is>
      </c>
      <c r="H474" t="inlineStr">
        <is>
          <t>Sveaskog</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37022-2024</t>
        </is>
      </c>
      <c r="B475" t="inlineStr">
        <is>
          <t>avverkningsanmälan</t>
        </is>
      </c>
      <c r="C475" t="inlineStr">
        <is>
          <t>Föryngringsavverkning</t>
        </is>
      </c>
      <c r="D475" s="1" t="n">
        <v>45539</v>
      </c>
      <c r="E475" s="1" t="n">
        <v>46223</v>
      </c>
      <c r="F475" t="inlineStr">
        <is>
          <t>ÖREBRO LÄN</t>
        </is>
      </c>
      <c r="G475" t="inlineStr">
        <is>
          <t>ÖREBRO</t>
        </is>
      </c>
      <c r="H475" t="inlineStr">
        <is>
          <t>Sveaskog</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38075-2022</t>
        </is>
      </c>
      <c r="B476" t="inlineStr">
        <is>
          <t>avverkningsanmälan</t>
        </is>
      </c>
      <c r="C476" t="inlineStr">
        <is>
          <t>Avverkning för annat ändamål</t>
        </is>
      </c>
      <c r="D476" s="1" t="n">
        <v>44811</v>
      </c>
      <c r="E476" s="1" t="n">
        <v>46223</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s="2" t="inlineStr"/>
    </row>
    <row r="477" ht="15" customHeight="1">
      <c r="A477" t="inlineStr">
        <is>
          <t>A 11382-2023</t>
        </is>
      </c>
      <c r="B477" t="inlineStr">
        <is>
          <t>avverkningsanmälan</t>
        </is>
      </c>
      <c r="C477" t="inlineStr">
        <is>
          <t>Föryngringsavverkning</t>
        </is>
      </c>
      <c r="D477" s="1" t="n">
        <v>44993</v>
      </c>
      <c r="E477" s="1" t="n">
        <v>46223</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s="2" t="inlineStr"/>
    </row>
    <row r="478" ht="15" customHeight="1">
      <c r="A478" t="inlineStr">
        <is>
          <t>A 20121-2024</t>
        </is>
      </c>
      <c r="B478" t="inlineStr">
        <is>
          <t>avverkningsanmälan</t>
        </is>
      </c>
      <c r="C478" t="inlineStr">
        <is>
          <t>Föryngringsavverkning</t>
        </is>
      </c>
      <c r="D478" s="1" t="n">
        <v>45434</v>
      </c>
      <c r="E478" s="1" t="n">
        <v>46223</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25649-2026</t>
        </is>
      </c>
      <c r="B479" t="inlineStr">
        <is>
          <t>avverkningsanmälan</t>
        </is>
      </c>
      <c r="C479" t="inlineStr">
        <is>
          <t>Föryngringsavverkning</t>
        </is>
      </c>
      <c r="D479" s="1" t="n">
        <v>46177</v>
      </c>
      <c r="E479" s="1" t="n">
        <v>46223</v>
      </c>
      <c r="F479" t="inlineStr">
        <is>
          <t>ÖREBRO LÄN</t>
        </is>
      </c>
      <c r="G479" t="inlineStr">
        <is>
          <t>ÖREBRO</t>
        </is>
      </c>
      <c r="H479" t="inlineStr">
        <is>
          <t>Övriga Aktiebolag</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55943-2024</t>
        </is>
      </c>
      <c r="B480" t="inlineStr">
        <is>
          <t>avverkningsanmälan</t>
        </is>
      </c>
      <c r="C480" t="inlineStr">
        <is>
          <t>Föryngringsavverkning</t>
        </is>
      </c>
      <c r="D480" s="1" t="n">
        <v>45623</v>
      </c>
      <c r="E480" s="1" t="n">
        <v>46223</v>
      </c>
      <c r="F480" t="inlineStr">
        <is>
          <t>ÖREBRO LÄN</t>
        </is>
      </c>
      <c r="G480" t="inlineStr">
        <is>
          <t>ÖREBRO</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1013-2024</t>
        </is>
      </c>
      <c r="B481" t="inlineStr">
        <is>
          <t>avverkningsanmälan</t>
        </is>
      </c>
      <c r="C481" t="inlineStr">
        <is>
          <t>Föryngringsavverkning</t>
        </is>
      </c>
      <c r="D481" s="1" t="n">
        <v>45301</v>
      </c>
      <c r="E481" s="1" t="n">
        <v>46223</v>
      </c>
      <c r="F481" t="inlineStr">
        <is>
          <t>ÖREBRO LÄN</t>
        </is>
      </c>
      <c r="G481" t="inlineStr">
        <is>
          <t>ÖREBRO</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13623-2024</t>
        </is>
      </c>
      <c r="B482" t="inlineStr">
        <is>
          <t>avverkningsanmälan</t>
        </is>
      </c>
      <c r="C482" t="inlineStr">
        <is>
          <t>Föryngringsavverkning</t>
        </is>
      </c>
      <c r="D482" s="1" t="n">
        <v>45390</v>
      </c>
      <c r="E482" s="1" t="n">
        <v>46223</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5330-2024</t>
        </is>
      </c>
      <c r="B483" t="inlineStr">
        <is>
          <t>avverkningsanmälan</t>
        </is>
      </c>
      <c r="C483" t="inlineStr">
        <is>
          <t>Föryngringsavverkning</t>
        </is>
      </c>
      <c r="D483" s="1" t="n">
        <v>45331</v>
      </c>
      <c r="E483" s="1" t="n">
        <v>46223</v>
      </c>
      <c r="F483" t="inlineStr">
        <is>
          <t>ÖREBRO LÄN</t>
        </is>
      </c>
      <c r="G483" t="inlineStr">
        <is>
          <t>ÖREBRO</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6794-2025</t>
        </is>
      </c>
      <c r="B484" t="inlineStr">
        <is>
          <t>avverkningsanmälan</t>
        </is>
      </c>
      <c r="C484" t="inlineStr">
        <is>
          <t>Föryngringsavverkning</t>
        </is>
      </c>
      <c r="D484" s="1" t="n">
        <v>45700</v>
      </c>
      <c r="E484" s="1" t="n">
        <v>46223</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3-2024</t>
        </is>
      </c>
      <c r="B485" t="inlineStr">
        <is>
          <t>avverkningsanmälan</t>
        </is>
      </c>
      <c r="C485" t="inlineStr">
        <is>
          <t>Föryngringsavverkning</t>
        </is>
      </c>
      <c r="D485" s="1" t="n">
        <v>45292</v>
      </c>
      <c r="E485" s="1" t="n">
        <v>46223</v>
      </c>
      <c r="F485" t="inlineStr">
        <is>
          <t>ÖREBRO LÄN</t>
        </is>
      </c>
      <c r="G485" t="inlineStr">
        <is>
          <t>ÖREBRO</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5619-2023</t>
        </is>
      </c>
      <c r="B486" t="inlineStr">
        <is>
          <t>avverkningsanmälan</t>
        </is>
      </c>
      <c r="C486" t="inlineStr">
        <is>
          <t>Avverkning för annat ändamål</t>
        </is>
      </c>
      <c r="D486" s="1" t="n">
        <v>44958</v>
      </c>
      <c r="E486" s="1" t="n">
        <v>46223</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5578-2024</t>
        </is>
      </c>
      <c r="B487" t="inlineStr">
        <is>
          <t>avverkningsanmälan</t>
        </is>
      </c>
      <c r="C487" t="inlineStr">
        <is>
          <t>Föryngringsavverkning</t>
        </is>
      </c>
      <c r="D487" s="1" t="n">
        <v>45334</v>
      </c>
      <c r="E487" s="1" t="n">
        <v>46223</v>
      </c>
      <c r="F487" t="inlineStr">
        <is>
          <t>ÖREBRO LÄN</t>
        </is>
      </c>
      <c r="G487" t="inlineStr">
        <is>
          <t>ÖREBRO</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58615-2024</t>
        </is>
      </c>
      <c r="B488" t="inlineStr">
        <is>
          <t>avverkningsanmälan</t>
        </is>
      </c>
      <c r="C488" t="inlineStr">
        <is>
          <t>Avverkning för att bevara och utveckla /försöksver</t>
        </is>
      </c>
      <c r="D488" s="1" t="n">
        <v>45635</v>
      </c>
      <c r="E488" s="1" t="n">
        <v>46223</v>
      </c>
      <c r="F488" t="inlineStr">
        <is>
          <t>ÖREBRO LÄN</t>
        </is>
      </c>
      <c r="G488" t="inlineStr">
        <is>
          <t>ÖREBRO</t>
        </is>
      </c>
      <c r="H488" t="inlineStr">
        <is>
          <t>Sveaskog</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45517-2023</t>
        </is>
      </c>
      <c r="B489" t="inlineStr">
        <is>
          <t>avverkningsanmälan</t>
        </is>
      </c>
      <c r="C489" t="inlineStr">
        <is>
          <t>Föryngringsavverkning</t>
        </is>
      </c>
      <c r="D489" s="1" t="n">
        <v>45194</v>
      </c>
      <c r="E489" s="1" t="n">
        <v>46223</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3652-2022</t>
        </is>
      </c>
      <c r="B490" t="inlineStr">
        <is>
          <t>avverkningsanmälan</t>
        </is>
      </c>
      <c r="C490" t="inlineStr">
        <is>
          <t>Föryngringsavverkning</t>
        </is>
      </c>
      <c r="D490" s="1" t="n">
        <v>44586</v>
      </c>
      <c r="E490" s="1" t="n">
        <v>46223</v>
      </c>
      <c r="F490" t="inlineStr">
        <is>
          <t>ÖREBRO LÄN</t>
        </is>
      </c>
      <c r="G490" t="inlineStr">
        <is>
          <t>ÖREBRO</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12245-2023</t>
        </is>
      </c>
      <c r="B491" t="inlineStr">
        <is>
          <t>avverkningsanmälan</t>
        </is>
      </c>
      <c r="C491" t="inlineStr">
        <is>
          <t>Föryngringsavverkning</t>
        </is>
      </c>
      <c r="D491" s="1" t="n">
        <v>44998</v>
      </c>
      <c r="E491" s="1" t="n">
        <v>46223</v>
      </c>
      <c r="F491" t="inlineStr">
        <is>
          <t>ÖREBRO LÄN</t>
        </is>
      </c>
      <c r="G491" t="inlineStr">
        <is>
          <t>ÖREBRO</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30903-2024</t>
        </is>
      </c>
      <c r="B492" t="inlineStr">
        <is>
          <t>avverkningsanmälan</t>
        </is>
      </c>
      <c r="C492" t="inlineStr">
        <is>
          <t>Föryngringsavverkning</t>
        </is>
      </c>
      <c r="D492" s="1" t="n">
        <v>45498</v>
      </c>
      <c r="E492" s="1" t="n">
        <v>46223</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58611-2024</t>
        </is>
      </c>
      <c r="B493" t="inlineStr">
        <is>
          <t>avverkningsanmälan</t>
        </is>
      </c>
      <c r="C493" t="inlineStr">
        <is>
          <t>Avverkning för att bevara och utveckla /försöksver</t>
        </is>
      </c>
      <c r="D493" s="1" t="n">
        <v>45635</v>
      </c>
      <c r="E493" s="1" t="n">
        <v>46223</v>
      </c>
      <c r="F493" t="inlineStr">
        <is>
          <t>ÖREBRO LÄN</t>
        </is>
      </c>
      <c r="G493" t="inlineStr">
        <is>
          <t>ÖREBRO</t>
        </is>
      </c>
      <c r="H493" t="inlineStr">
        <is>
          <t>Sveaskog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A 20146-2024</t>
        </is>
      </c>
      <c r="B494" t="inlineStr">
        <is>
          <t>avverkningsanmälan</t>
        </is>
      </c>
      <c r="C494" t="inlineStr">
        <is>
          <t>Föryngringsavverkning</t>
        </is>
      </c>
      <c r="D494" s="1" t="n">
        <v>45434</v>
      </c>
      <c r="E494" s="1" t="n">
        <v>46223</v>
      </c>
      <c r="F494" t="inlineStr">
        <is>
          <t>ÖREBRO LÄN</t>
        </is>
      </c>
      <c r="G494" t="inlineStr">
        <is>
          <t>ÖREBRO</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53143-2023</t>
        </is>
      </c>
      <c r="B495" t="inlineStr">
        <is>
          <t>avverkningsanmälan</t>
        </is>
      </c>
      <c r="C495" t="inlineStr">
        <is>
          <t>Föryngringsavverkning</t>
        </is>
      </c>
      <c r="D495" s="1" t="n">
        <v>45229</v>
      </c>
      <c r="E495" s="1" t="n">
        <v>46223</v>
      </c>
      <c r="F495" t="inlineStr">
        <is>
          <t>ÖREBRO LÄN</t>
        </is>
      </c>
      <c r="G495" t="inlineStr">
        <is>
          <t>ÖREBRO</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62794-2021</t>
        </is>
      </c>
      <c r="B496" t="inlineStr">
        <is>
          <t>avverkningsanmälan</t>
        </is>
      </c>
      <c r="C496" t="inlineStr">
        <is>
          <t>Föryngringsavverkning</t>
        </is>
      </c>
      <c r="D496" s="1" t="n">
        <v>44504</v>
      </c>
      <c r="E496" s="1" t="n">
        <v>46223</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s="2" t="inlineStr"/>
    </row>
    <row r="497" ht="15" customHeight="1">
      <c r="A497" t="inlineStr">
        <is>
          <t>A 52612-2024</t>
        </is>
      </c>
      <c r="B497" t="inlineStr">
        <is>
          <t>avverkningsanmälan</t>
        </is>
      </c>
      <c r="C497" t="inlineStr">
        <is>
          <t>Föryngringsavverkning</t>
        </is>
      </c>
      <c r="D497" s="1" t="n">
        <v>45609</v>
      </c>
      <c r="E497" s="1" t="n">
        <v>46223</v>
      </c>
      <c r="F497" t="inlineStr">
        <is>
          <t>ÖREBRO LÄN</t>
        </is>
      </c>
      <c r="G497" t="inlineStr">
        <is>
          <t>ÖREBRO</t>
        </is>
      </c>
      <c r="H497" t="inlineStr">
        <is>
          <t>Kommuner</t>
        </is>
      </c>
      <c r="I497" t="n">
        <v>5.5</v>
      </c>
      <c r="J497" t="n">
        <v>0</v>
      </c>
      <c r="K497" t="n">
        <v>0</v>
      </c>
      <c r="L497" t="n">
        <v>0</v>
      </c>
      <c r="M497" t="n">
        <v>0</v>
      </c>
      <c r="N497" t="n">
        <v>0</v>
      </c>
      <c r="O497" t="n">
        <v>0</v>
      </c>
      <c r="P497" t="n">
        <v>0</v>
      </c>
      <c r="Q497" t="n">
        <v>0</v>
      </c>
      <c r="R497" t="n">
        <v>0</v>
      </c>
      <c r="S497" t="n">
        <v>0</v>
      </c>
      <c r="T497" t="n">
        <v>0</v>
      </c>
      <c r="U497" s="2" t="inlineStr"/>
    </row>
    <row r="498" ht="15" customHeight="1">
      <c r="A498" t="inlineStr">
        <is>
          <t>A 5795-2024</t>
        </is>
      </c>
      <c r="B498" t="inlineStr">
        <is>
          <t>avverkningsanmälan</t>
        </is>
      </c>
      <c r="C498" t="inlineStr">
        <is>
          <t>Föryngringsavverkning</t>
        </is>
      </c>
      <c r="D498" s="1" t="n">
        <v>45335</v>
      </c>
      <c r="E498" s="1" t="n">
        <v>46223</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37771-2024</t>
        </is>
      </c>
      <c r="B499" t="inlineStr">
        <is>
          <t>avverkningsanmälan</t>
        </is>
      </c>
      <c r="C499" t="inlineStr">
        <is>
          <t>Föryngringsavverkning</t>
        </is>
      </c>
      <c r="D499" s="1" t="n">
        <v>45542</v>
      </c>
      <c r="E499" s="1" t="n">
        <v>46223</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15652-2025</t>
        </is>
      </c>
      <c r="B500" t="inlineStr">
        <is>
          <t>avverkningsanmälan</t>
        </is>
      </c>
      <c r="C500" t="inlineStr">
        <is>
          <t>Föryngringsavverkning</t>
        </is>
      </c>
      <c r="D500" s="1" t="n">
        <v>45748</v>
      </c>
      <c r="E500" s="1" t="n">
        <v>46223</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2076-2025</t>
        </is>
      </c>
      <c r="B501" t="inlineStr">
        <is>
          <t>avverkningsanmälan</t>
        </is>
      </c>
      <c r="C501" t="inlineStr">
        <is>
          <t>Föryngringsavverkning</t>
        </is>
      </c>
      <c r="D501" s="1" t="n">
        <v>45672</v>
      </c>
      <c r="E501" s="1" t="n">
        <v>46223</v>
      </c>
      <c r="F501" t="inlineStr">
        <is>
          <t>ÖREBRO LÄN</t>
        </is>
      </c>
      <c r="G501" t="inlineStr">
        <is>
          <t>ÖREBRO</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35819-2024</t>
        </is>
      </c>
      <c r="B502" t="inlineStr">
        <is>
          <t>avverkningsanmälan</t>
        </is>
      </c>
      <c r="C502" t="inlineStr">
        <is>
          <t>Föryngringsavverkning</t>
        </is>
      </c>
      <c r="D502" s="1" t="n">
        <v>45532</v>
      </c>
      <c r="E502" s="1" t="n">
        <v>46223</v>
      </c>
      <c r="F502" t="inlineStr">
        <is>
          <t>ÖREBRO LÄN</t>
        </is>
      </c>
      <c r="G502" t="inlineStr">
        <is>
          <t>ÖREBRO</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32076-2023</t>
        </is>
      </c>
      <c r="B503" t="inlineStr">
        <is>
          <t>avverkningsanmälan</t>
        </is>
      </c>
      <c r="C503" t="inlineStr">
        <is>
          <t>Föryngringsavverkning</t>
        </is>
      </c>
      <c r="D503" s="1" t="n">
        <v>45119</v>
      </c>
      <c r="E503" s="1" t="n">
        <v>46223</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764-2024</t>
        </is>
      </c>
      <c r="B504" t="inlineStr">
        <is>
          <t>avverkningsanmälan</t>
        </is>
      </c>
      <c r="C504" t="inlineStr">
        <is>
          <t>Föryngringsavverkning</t>
        </is>
      </c>
      <c r="D504" s="1" t="n">
        <v>45300</v>
      </c>
      <c r="E504" s="1" t="n">
        <v>46223</v>
      </c>
      <c r="F504" t="inlineStr">
        <is>
          <t>ÖREBRO LÄN</t>
        </is>
      </c>
      <c r="G504" t="inlineStr">
        <is>
          <t>ÖREBRO</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58644-2023</t>
        </is>
      </c>
      <c r="B505" t="inlineStr">
        <is>
          <t>avverkningsanmälan</t>
        </is>
      </c>
      <c r="C505" t="inlineStr">
        <is>
          <t>Föryngringsavverkning</t>
        </is>
      </c>
      <c r="D505" s="1" t="n">
        <v>45251</v>
      </c>
      <c r="E505" s="1" t="n">
        <v>46223</v>
      </c>
      <c r="F505" t="inlineStr">
        <is>
          <t>ÖREBRO LÄN</t>
        </is>
      </c>
      <c r="G505" t="inlineStr">
        <is>
          <t>ÖREBRO</t>
        </is>
      </c>
      <c r="H505" t="inlineStr">
        <is>
          <t>Övriga Aktiebolag</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44199-2024</t>
        </is>
      </c>
      <c r="B506" t="inlineStr">
        <is>
          <t>avverkningsanmälan</t>
        </is>
      </c>
      <c r="C506" t="inlineStr">
        <is>
          <t>Avverkning för annat ändamål</t>
        </is>
      </c>
      <c r="D506" s="1" t="n">
        <v>45573</v>
      </c>
      <c r="E506" s="1" t="n">
        <v>46223</v>
      </c>
      <c r="F506" t="inlineStr">
        <is>
          <t>ÖREBRO LÄN</t>
        </is>
      </c>
      <c r="G506" t="inlineStr">
        <is>
          <t>ÖREBRO</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34336-2024</t>
        </is>
      </c>
      <c r="B507" t="inlineStr">
        <is>
          <t>avverkningsanmälan</t>
        </is>
      </c>
      <c r="C507" t="inlineStr">
        <is>
          <t>Föryngringsavverkning</t>
        </is>
      </c>
      <c r="D507" s="1" t="n">
        <v>45524</v>
      </c>
      <c r="E507" s="1" t="n">
        <v>46223</v>
      </c>
      <c r="F507" t="inlineStr">
        <is>
          <t>ÖREBRO LÄN</t>
        </is>
      </c>
      <c r="G507" t="inlineStr">
        <is>
          <t>ÖREBRO</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26443-2024</t>
        </is>
      </c>
      <c r="B508" t="inlineStr">
        <is>
          <t>avverkningsanmälan</t>
        </is>
      </c>
      <c r="C508" t="inlineStr">
        <is>
          <t>Föryngringsavverkning</t>
        </is>
      </c>
      <c r="D508" s="1" t="n">
        <v>45469</v>
      </c>
      <c r="E508" s="1" t="n">
        <v>46223</v>
      </c>
      <c r="F508" t="inlineStr">
        <is>
          <t>ÖREBRO LÄN</t>
        </is>
      </c>
      <c r="G508" t="inlineStr">
        <is>
          <t>ÖREBRO</t>
        </is>
      </c>
      <c r="I508" t="n">
        <v>5.7</v>
      </c>
      <c r="J508" t="n">
        <v>0</v>
      </c>
      <c r="K508" t="n">
        <v>0</v>
      </c>
      <c r="L508" t="n">
        <v>0</v>
      </c>
      <c r="M508" t="n">
        <v>0</v>
      </c>
      <c r="N508" t="n">
        <v>0</v>
      </c>
      <c r="O508" t="n">
        <v>0</v>
      </c>
      <c r="P508" t="n">
        <v>0</v>
      </c>
      <c r="Q508" t="n">
        <v>0</v>
      </c>
      <c r="R508" t="n">
        <v>0</v>
      </c>
      <c r="S508" t="n">
        <v>0</v>
      </c>
      <c r="T508" t="n">
        <v>0</v>
      </c>
      <c r="U508" s="2" t="inlineStr"/>
    </row>
    <row r="509" ht="15" customHeight="1">
      <c r="A509" t="inlineStr">
        <is>
          <t>A 35477-2024</t>
        </is>
      </c>
      <c r="B509" t="inlineStr">
        <is>
          <t>avverkningsanmälan</t>
        </is>
      </c>
      <c r="C509" t="inlineStr">
        <is>
          <t>Avverkning för annat ändamål</t>
        </is>
      </c>
      <c r="D509" s="1" t="n">
        <v>45531</v>
      </c>
      <c r="E509" s="1" t="n">
        <v>46223</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22719-2025</t>
        </is>
      </c>
      <c r="B510" t="inlineStr">
        <is>
          <t>avverkningsanmälan</t>
        </is>
      </c>
      <c r="C510" t="inlineStr">
        <is>
          <t>Föryngringsavverkning</t>
        </is>
      </c>
      <c r="D510" s="1" t="n">
        <v>45789</v>
      </c>
      <c r="E510" s="1" t="n">
        <v>46223</v>
      </c>
      <c r="F510" t="inlineStr">
        <is>
          <t>ÖREBRO LÄN</t>
        </is>
      </c>
      <c r="G510" t="inlineStr">
        <is>
          <t>ÖREBRO</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30316-2024</t>
        </is>
      </c>
      <c r="B511" t="inlineStr">
        <is>
          <t>avverkningsanmälan</t>
        </is>
      </c>
      <c r="C511" t="inlineStr">
        <is>
          <t>Föryngringsavverkning</t>
        </is>
      </c>
      <c r="D511" s="1" t="n">
        <v>45490</v>
      </c>
      <c r="E511" s="1" t="n">
        <v>46223</v>
      </c>
      <c r="F511" t="inlineStr">
        <is>
          <t>ÖREBRO LÄN</t>
        </is>
      </c>
      <c r="G511" t="inlineStr">
        <is>
          <t>ÖREBRO</t>
        </is>
      </c>
      <c r="I511" t="n">
        <v>5.5</v>
      </c>
      <c r="J511" t="n">
        <v>0</v>
      </c>
      <c r="K511" t="n">
        <v>0</v>
      </c>
      <c r="L511" t="n">
        <v>0</v>
      </c>
      <c r="M511" t="n">
        <v>0</v>
      </c>
      <c r="N511" t="n">
        <v>0</v>
      </c>
      <c r="O511" t="n">
        <v>0</v>
      </c>
      <c r="P511" t="n">
        <v>0</v>
      </c>
      <c r="Q511" t="n">
        <v>0</v>
      </c>
      <c r="R511" t="n">
        <v>0</v>
      </c>
      <c r="S511" t="n">
        <v>0</v>
      </c>
      <c r="T511" t="n">
        <v>0</v>
      </c>
      <c r="U511" s="2" t="inlineStr"/>
    </row>
    <row r="512" ht="15" customHeight="1">
      <c r="A512" t="inlineStr">
        <is>
          <t>A 38790-2024</t>
        </is>
      </c>
      <c r="B512" t="inlineStr">
        <is>
          <t>avverkningsanmälan</t>
        </is>
      </c>
      <c r="C512" t="inlineStr">
        <is>
          <t>Föryngringsavverkning</t>
        </is>
      </c>
      <c r="D512" s="1" t="n">
        <v>45547</v>
      </c>
      <c r="E512" s="1" t="n">
        <v>46223</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61279-2024</t>
        </is>
      </c>
      <c r="B513" t="inlineStr">
        <is>
          <t>avverkningsanmälan</t>
        </is>
      </c>
      <c r="C513" t="inlineStr">
        <is>
          <t>Avverkning för annat ändamål</t>
        </is>
      </c>
      <c r="D513" s="1" t="n">
        <v>45645</v>
      </c>
      <c r="E513" s="1" t="n">
        <v>46223</v>
      </c>
      <c r="F513" t="inlineStr">
        <is>
          <t>ÖREBRO LÄN</t>
        </is>
      </c>
      <c r="G513" t="inlineStr">
        <is>
          <t>ÖREBRO</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71269-2021</t>
        </is>
      </c>
      <c r="B514" t="inlineStr">
        <is>
          <t>avverkningsanmälan</t>
        </is>
      </c>
      <c r="C514" t="inlineStr">
        <is>
          <t>Föryngringsavverkning</t>
        </is>
      </c>
      <c r="D514" s="1" t="n">
        <v>44539</v>
      </c>
      <c r="E514" s="1" t="n">
        <v>46223</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15555-2025</t>
        </is>
      </c>
      <c r="B515" t="inlineStr">
        <is>
          <t>avverkningsanmälan</t>
        </is>
      </c>
      <c r="C515" t="inlineStr">
        <is>
          <t>Föryngringsavverkning</t>
        </is>
      </c>
      <c r="D515" s="1" t="n">
        <v>45747</v>
      </c>
      <c r="E515" s="1" t="n">
        <v>46223</v>
      </c>
      <c r="F515" t="inlineStr">
        <is>
          <t>ÖREBRO LÄN</t>
        </is>
      </c>
      <c r="G515" t="inlineStr">
        <is>
          <t>ÖREBRO</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5136-2024</t>
        </is>
      </c>
      <c r="B516" t="inlineStr">
        <is>
          <t>avverkningsanmälan</t>
        </is>
      </c>
      <c r="C516" t="inlineStr">
        <is>
          <t>Föryngringsavverkning</t>
        </is>
      </c>
      <c r="D516" s="1" t="n">
        <v>45330</v>
      </c>
      <c r="E516" s="1" t="n">
        <v>46223</v>
      </c>
      <c r="F516" t="inlineStr">
        <is>
          <t>ÖREBRO LÄN</t>
        </is>
      </c>
      <c r="G516" t="inlineStr">
        <is>
          <t>ÖREBRO</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4380-2025</t>
        </is>
      </c>
      <c r="B517" t="inlineStr">
        <is>
          <t>avverkningsanmälan</t>
        </is>
      </c>
      <c r="C517" t="inlineStr">
        <is>
          <t>Föryngringsavverkning</t>
        </is>
      </c>
      <c r="D517" s="1" t="n">
        <v>45686</v>
      </c>
      <c r="E517" s="1" t="n">
        <v>46223</v>
      </c>
      <c r="F517" t="inlineStr">
        <is>
          <t>ÖREBRO LÄN</t>
        </is>
      </c>
      <c r="G517" t="inlineStr">
        <is>
          <t>ÖREBRO</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34358-2022</t>
        </is>
      </c>
      <c r="B518" t="inlineStr">
        <is>
          <t>avverkningsanmälan</t>
        </is>
      </c>
      <c r="C518" t="inlineStr">
        <is>
          <t>Föryngringsavverkning</t>
        </is>
      </c>
      <c r="D518" s="1" t="n">
        <v>44792</v>
      </c>
      <c r="E518" s="1" t="n">
        <v>46223</v>
      </c>
      <c r="F518" t="inlineStr">
        <is>
          <t>ÖREBRO LÄN</t>
        </is>
      </c>
      <c r="G518" t="inlineStr">
        <is>
          <t>ÖREBRO</t>
        </is>
      </c>
      <c r="H518" t="inlineStr">
        <is>
          <t>Övriga Aktiebolag</t>
        </is>
      </c>
      <c r="I518" t="n">
        <v>3.4</v>
      </c>
      <c r="J518" t="n">
        <v>0</v>
      </c>
      <c r="K518" t="n">
        <v>0</v>
      </c>
      <c r="L518" t="n">
        <v>0</v>
      </c>
      <c r="M518" t="n">
        <v>0</v>
      </c>
      <c r="N518" t="n">
        <v>0</v>
      </c>
      <c r="O518" t="n">
        <v>0</v>
      </c>
      <c r="P518" t="n">
        <v>0</v>
      </c>
      <c r="Q518" t="n">
        <v>0</v>
      </c>
      <c r="R518" t="n">
        <v>0</v>
      </c>
      <c r="S518" t="n">
        <v>0</v>
      </c>
      <c r="T518" t="n">
        <v>0</v>
      </c>
      <c r="U518" s="2" t="inlineStr"/>
    </row>
    <row r="519" ht="15" customHeight="1">
      <c r="A519" t="inlineStr">
        <is>
          <t>A 15695-2024</t>
        </is>
      </c>
      <c r="B519" t="inlineStr">
        <is>
          <t>avverkningsanmälan</t>
        </is>
      </c>
      <c r="C519" t="inlineStr">
        <is>
          <t>Föryngringsavverkning</t>
        </is>
      </c>
      <c r="D519" s="1" t="n">
        <v>45404</v>
      </c>
      <c r="E519" s="1" t="n">
        <v>46223</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5406-2025</t>
        </is>
      </c>
      <c r="B520" t="inlineStr">
        <is>
          <t>avverkningsanmälan</t>
        </is>
      </c>
      <c r="C520" t="inlineStr">
        <is>
          <t>Föryngringsavverkning</t>
        </is>
      </c>
      <c r="D520" s="1" t="n">
        <v>45692</v>
      </c>
      <c r="E520" s="1" t="n">
        <v>46223</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22348-2024</t>
        </is>
      </c>
      <c r="B521" t="inlineStr">
        <is>
          <t>avverkningsanmälan</t>
        </is>
      </c>
      <c r="C521" t="inlineStr">
        <is>
          <t>Föryngringsavverkning</t>
        </is>
      </c>
      <c r="D521" s="1" t="n">
        <v>45446</v>
      </c>
      <c r="E521" s="1" t="n">
        <v>46223</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52018-2024</t>
        </is>
      </c>
      <c r="B522" t="inlineStr">
        <is>
          <t>avverkningsanmälan</t>
        </is>
      </c>
      <c r="C522" t="inlineStr">
        <is>
          <t>Föryngringsavverkning</t>
        </is>
      </c>
      <c r="D522" s="1" t="n">
        <v>45607</v>
      </c>
      <c r="E522" s="1" t="n">
        <v>46223</v>
      </c>
      <c r="F522" t="inlineStr">
        <is>
          <t>ÖREBRO LÄN</t>
        </is>
      </c>
      <c r="G522" t="inlineStr">
        <is>
          <t>ÖREBRO</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30089-2024</t>
        </is>
      </c>
      <c r="B523" t="inlineStr">
        <is>
          <t>avverkningsanmälan</t>
        </is>
      </c>
      <c r="C523" t="inlineStr">
        <is>
          <t>Föryngringsavverkning</t>
        </is>
      </c>
      <c r="D523" s="1" t="n">
        <v>45485</v>
      </c>
      <c r="E523" s="1" t="n">
        <v>46223</v>
      </c>
      <c r="F523" t="inlineStr">
        <is>
          <t>ÖREBRO LÄN</t>
        </is>
      </c>
      <c r="G523" t="inlineStr">
        <is>
          <t>ÖREBRO</t>
        </is>
      </c>
      <c r="I523" t="n">
        <v>2.2</v>
      </c>
      <c r="J523" t="n">
        <v>0</v>
      </c>
      <c r="K523" t="n">
        <v>0</v>
      </c>
      <c r="L523" t="n">
        <v>0</v>
      </c>
      <c r="M523" t="n">
        <v>0</v>
      </c>
      <c r="N523" t="n">
        <v>0</v>
      </c>
      <c r="O523" t="n">
        <v>0</v>
      </c>
      <c r="P523" t="n">
        <v>0</v>
      </c>
      <c r="Q523" t="n">
        <v>0</v>
      </c>
      <c r="R523" t="n">
        <v>0</v>
      </c>
      <c r="S523" t="n">
        <v>0</v>
      </c>
      <c r="T523" t="n">
        <v>0</v>
      </c>
      <c r="U523" s="2" t="inlineStr"/>
    </row>
    <row r="524" ht="15" customHeight="1">
      <c r="A524" t="inlineStr">
        <is>
          <t>A 71295-2021</t>
        </is>
      </c>
      <c r="B524" t="inlineStr">
        <is>
          <t>avverkningsanmälan</t>
        </is>
      </c>
      <c r="C524" t="inlineStr">
        <is>
          <t>Föryngringsavverkning</t>
        </is>
      </c>
      <c r="D524" s="1" t="n">
        <v>44539</v>
      </c>
      <c r="E524" s="1" t="n">
        <v>46223</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46030-2024</t>
        </is>
      </c>
      <c r="B525" t="inlineStr">
        <is>
          <t>avverkningsanmälan</t>
        </is>
      </c>
      <c r="C525" t="inlineStr">
        <is>
          <t>Föryngringsavverkning</t>
        </is>
      </c>
      <c r="D525" s="1" t="n">
        <v>45580</v>
      </c>
      <c r="E525" s="1" t="n">
        <v>46223</v>
      </c>
      <c r="F525" t="inlineStr">
        <is>
          <t>ÖREBRO LÄN</t>
        </is>
      </c>
      <c r="G525" t="inlineStr">
        <is>
          <t>ÖREBRO</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5643-2025</t>
        </is>
      </c>
      <c r="B526" t="inlineStr">
        <is>
          <t>avverkningsanmälan</t>
        </is>
      </c>
      <c r="C526" t="inlineStr">
        <is>
          <t>Föryngringsavverkning</t>
        </is>
      </c>
      <c r="D526" s="1" t="n">
        <v>45693</v>
      </c>
      <c r="E526" s="1" t="n">
        <v>46223</v>
      </c>
      <c r="F526" t="inlineStr">
        <is>
          <t>ÖREBRO LÄN</t>
        </is>
      </c>
      <c r="G526" t="inlineStr">
        <is>
          <t>ÖREBRO</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11516-2024</t>
        </is>
      </c>
      <c r="B527" t="inlineStr">
        <is>
          <t>avverkningsanmälan</t>
        </is>
      </c>
      <c r="C527" t="inlineStr">
        <is>
          <t>Föryngringsavverkning</t>
        </is>
      </c>
      <c r="D527" s="1" t="n">
        <v>45372</v>
      </c>
      <c r="E527" s="1" t="n">
        <v>46223</v>
      </c>
      <c r="F527" t="inlineStr">
        <is>
          <t>ÖREBRO LÄN</t>
        </is>
      </c>
      <c r="G527" t="inlineStr">
        <is>
          <t>ÖREBRO</t>
        </is>
      </c>
      <c r="I527" t="n">
        <v>10.7</v>
      </c>
      <c r="J527" t="n">
        <v>0</v>
      </c>
      <c r="K527" t="n">
        <v>0</v>
      </c>
      <c r="L527" t="n">
        <v>0</v>
      </c>
      <c r="M527" t="n">
        <v>0</v>
      </c>
      <c r="N527" t="n">
        <v>0</v>
      </c>
      <c r="O527" t="n">
        <v>0</v>
      </c>
      <c r="P527" t="n">
        <v>0</v>
      </c>
      <c r="Q527" t="n">
        <v>0</v>
      </c>
      <c r="R527" t="n">
        <v>0</v>
      </c>
      <c r="S527" t="n">
        <v>0</v>
      </c>
      <c r="T527" t="n">
        <v>0</v>
      </c>
      <c r="U527" s="2" t="inlineStr"/>
    </row>
    <row r="528" ht="15" customHeight="1">
      <c r="A528" t="inlineStr">
        <is>
          <t>A 5342-2024</t>
        </is>
      </c>
      <c r="B528" t="inlineStr">
        <is>
          <t>avverkningsanmälan</t>
        </is>
      </c>
      <c r="C528" t="inlineStr">
        <is>
          <t>Föryngringsavverkning</t>
        </is>
      </c>
      <c r="D528" s="1" t="n">
        <v>45331</v>
      </c>
      <c r="E528" s="1" t="n">
        <v>46223</v>
      </c>
      <c r="F528" t="inlineStr">
        <is>
          <t>ÖREBRO LÄN</t>
        </is>
      </c>
      <c r="G528" t="inlineStr">
        <is>
          <t>ÖREBRO</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25519-2025</t>
        </is>
      </c>
      <c r="B529" t="inlineStr">
        <is>
          <t>avverkningsanmälan</t>
        </is>
      </c>
      <c r="C529" t="inlineStr">
        <is>
          <t>Föryngringsavverkning</t>
        </is>
      </c>
      <c r="D529" s="1" t="n">
        <v>45803</v>
      </c>
      <c r="E529" s="1" t="n">
        <v>46223</v>
      </c>
      <c r="F529" t="inlineStr">
        <is>
          <t>ÖREBRO LÄN</t>
        </is>
      </c>
      <c r="G529" t="inlineStr">
        <is>
          <t>ÖREBRO</t>
        </is>
      </c>
      <c r="I529" t="n">
        <v>7.4</v>
      </c>
      <c r="J529" t="n">
        <v>0</v>
      </c>
      <c r="K529" t="n">
        <v>0</v>
      </c>
      <c r="L529" t="n">
        <v>0</v>
      </c>
      <c r="M529" t="n">
        <v>0</v>
      </c>
      <c r="N529" t="n">
        <v>0</v>
      </c>
      <c r="O529" t="n">
        <v>0</v>
      </c>
      <c r="P529" t="n">
        <v>0</v>
      </c>
      <c r="Q529" t="n">
        <v>0</v>
      </c>
      <c r="R529" t="n">
        <v>0</v>
      </c>
      <c r="S529" t="n">
        <v>0</v>
      </c>
      <c r="T529" t="n">
        <v>0</v>
      </c>
      <c r="U529" s="2" t="inlineStr"/>
    </row>
    <row r="530" ht="15" customHeight="1">
      <c r="A530" t="inlineStr">
        <is>
          <t>S 1721-2020</t>
        </is>
      </c>
      <c r="B530" t="inlineStr">
        <is>
          <t>samrådsanmälan</t>
        </is>
      </c>
      <c r="C530" t="inlineStr">
        <is>
          <t>Åtgärd i nyckelbiotop</t>
        </is>
      </c>
      <c r="D530" s="1" t="n">
        <v>44038</v>
      </c>
      <c r="E530" s="1" t="n">
        <v>46223</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46223</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2507-2023</t>
        </is>
      </c>
      <c r="B532" t="inlineStr">
        <is>
          <t>samrådsanmälan</t>
        </is>
      </c>
      <c r="C532" t="inlineStr">
        <is>
          <t>Annan skogsbruksåtgärd</t>
        </is>
      </c>
      <c r="D532" s="1" t="n">
        <v>45134</v>
      </c>
      <c r="E532" s="1" t="n">
        <v>46223</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S 1185-2023</t>
        </is>
      </c>
      <c r="B533" t="inlineStr">
        <is>
          <t>samrådsanmälan</t>
        </is>
      </c>
      <c r="C533" t="inlineStr">
        <is>
          <t>Annan skogsbruksåtgärd</t>
        </is>
      </c>
      <c r="D533" s="1" t="n">
        <v>45021</v>
      </c>
      <c r="E533" s="1" t="n">
        <v>46223</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S 2508-2023</t>
        </is>
      </c>
      <c r="B534" t="inlineStr">
        <is>
          <t>samrådsanmälan</t>
        </is>
      </c>
      <c r="C534" t="inlineStr">
        <is>
          <t>Annan skogsbruksåtgärd</t>
        </is>
      </c>
      <c r="D534" s="1" t="n">
        <v>45134</v>
      </c>
      <c r="E534" s="1" t="n">
        <v>46223</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s="2" t="inlineStr"/>
    </row>
    <row r="535" ht="15" customHeight="1">
      <c r="A535" t="inlineStr">
        <is>
          <t>S 1898-2023</t>
        </is>
      </c>
      <c r="B535" t="inlineStr">
        <is>
          <t>samrådsanmälan</t>
        </is>
      </c>
      <c r="C535" t="inlineStr">
        <is>
          <t>Annan skogsbruksåtgärd</t>
        </is>
      </c>
      <c r="D535" s="1" t="n">
        <v>45083</v>
      </c>
      <c r="E535" s="1" t="n">
        <v>46223</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s="2" t="inlineStr"/>
    </row>
    <row r="536" ht="15" customHeight="1">
      <c r="A536" t="inlineStr">
        <is>
          <t>S 2509-2023</t>
        </is>
      </c>
      <c r="B536" t="inlineStr">
        <is>
          <t>samrådsanmälan</t>
        </is>
      </c>
      <c r="C536" t="inlineStr">
        <is>
          <t>Annan skogsbruksåtgärd</t>
        </is>
      </c>
      <c r="D536" s="1" t="n">
        <v>45134</v>
      </c>
      <c r="E536" s="1" t="n">
        <v>46223</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s="2" t="inlineStr"/>
    </row>
    <row r="537" ht="15" customHeight="1">
      <c r="A537" t="inlineStr">
        <is>
          <t>S 1003-2024</t>
        </is>
      </c>
      <c r="B537" t="inlineStr">
        <is>
          <t>samrådsanmälan</t>
        </is>
      </c>
      <c r="C537" t="inlineStr">
        <is>
          <t>Annan skogsbruksåtgärd</t>
        </is>
      </c>
      <c r="D537" s="1" t="n">
        <v>45386</v>
      </c>
      <c r="E537" s="1" t="n">
        <v>46223</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S 1669-2025</t>
        </is>
      </c>
      <c r="B538" t="inlineStr">
        <is>
          <t>samrådsanmälan</t>
        </is>
      </c>
      <c r="C538" t="inlineStr">
        <is>
          <t>Annan skogsbruksåtgärd</t>
        </is>
      </c>
      <c r="D538" s="1" t="n">
        <v>45803</v>
      </c>
      <c r="E538" s="1" t="n">
        <v>46223</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S 914-2025</t>
        </is>
      </c>
      <c r="B539" t="inlineStr">
        <is>
          <t>samrådsanmälan</t>
        </is>
      </c>
      <c r="C539" t="inlineStr">
        <is>
          <t>Annan skogsbruksåtgärd</t>
        </is>
      </c>
      <c r="D539" s="1" t="n">
        <v>45737</v>
      </c>
      <c r="E539" s="1" t="n">
        <v>46223</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S 3336-2025</t>
        </is>
      </c>
      <c r="B540" t="inlineStr">
        <is>
          <t>samrådsanmälan</t>
        </is>
      </c>
      <c r="C540" t="inlineStr">
        <is>
          <t>Annan skogsbruksåtgärd</t>
        </is>
      </c>
      <c r="D540" s="1" t="n">
        <v>45989</v>
      </c>
      <c r="E540" s="1" t="n">
        <v>46223</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S 1758-2026</t>
        </is>
      </c>
      <c r="B541" t="inlineStr">
        <is>
          <t>samrådsanmälan</t>
        </is>
      </c>
      <c r="C541" t="inlineStr">
        <is>
          <t>Annan skogsbruksåtgärd</t>
        </is>
      </c>
      <c r="D541" s="1" t="n">
        <v>46188</v>
      </c>
      <c r="E541" s="1" t="n">
        <v>46223</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s="2" t="inlineStr"/>
    </row>
    <row r="542">
      <c r="A542" t="inlineStr">
        <is>
          <t>S 1501-2026</t>
        </is>
      </c>
      <c r="B542" t="inlineStr">
        <is>
          <t>samrådsanmälan</t>
        </is>
      </c>
      <c r="C542" t="inlineStr">
        <is>
          <t>Annan skogsbruksåtgärd</t>
        </is>
      </c>
      <c r="D542" s="1" t="n">
        <v>46163</v>
      </c>
      <c r="E542" s="1" t="n">
        <v>46223</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2026-07-20T01:50:51Z</dcterms:created>
  <dcterms:modified xmlns:dcterms="http://purl.org/dc/terms/" xmlns:xsi="http://www.w3.org/2001/XMLSchema-instance" xsi:type="dcterms:W3CDTF">2026-07-20T01:50:52Z</dcterms:modified>
</cp:coreProperties>
</file>