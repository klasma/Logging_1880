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45568</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45568</v>
      </c>
      <c r="D3" t="inlineStr">
        <is>
          <t>ÖREBRO LÄN</t>
        </is>
      </c>
      <c r="E3" t="inlineStr">
        <is>
          <t>ÖREBRO</t>
        </is>
      </c>
      <c r="G3" t="n">
        <v>2.4</v>
      </c>
      <c r="H3" t="n">
        <v>2</v>
      </c>
      <c r="I3" t="n">
        <v>14</v>
      </c>
      <c r="J3" t="n">
        <v>7</v>
      </c>
      <c r="K3" t="n">
        <v>4</v>
      </c>
      <c r="L3" t="n">
        <v>0</v>
      </c>
      <c r="M3" t="n">
        <v>0</v>
      </c>
      <c r="N3" t="n">
        <v>0</v>
      </c>
      <c r="O3" t="n">
        <v>11</v>
      </c>
      <c r="P3" t="n">
        <v>4</v>
      </c>
      <c r="Q3" t="n">
        <v>25</v>
      </c>
      <c r="R3"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45568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45568</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45568</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45568</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45568</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45568</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45568</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45568</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45568</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45568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45568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45568</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45568</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45568</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45568</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45568</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45568</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45568</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45568</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45568</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45568</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45568</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45568</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45568</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45568</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45568</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45568</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45568</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45568</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45568</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45568</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45568</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45568</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45568</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45568</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45568</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45568</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45568</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45568</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45568</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49552-2022</t>
        </is>
      </c>
      <c r="B44" s="1" t="n">
        <v>44862</v>
      </c>
      <c r="C44" s="1" t="n">
        <v>45568</v>
      </c>
      <c r="D44" t="inlineStr">
        <is>
          <t>ÖREBRO LÄN</t>
        </is>
      </c>
      <c r="E44" t="inlineStr">
        <is>
          <t>ÖREBRO</t>
        </is>
      </c>
      <c r="G44" t="n">
        <v>2.1</v>
      </c>
      <c r="H44" t="n">
        <v>0</v>
      </c>
      <c r="I44" t="n">
        <v>0</v>
      </c>
      <c r="J44" t="n">
        <v>1</v>
      </c>
      <c r="K44" t="n">
        <v>1</v>
      </c>
      <c r="L44" t="n">
        <v>0</v>
      </c>
      <c r="M44" t="n">
        <v>0</v>
      </c>
      <c r="N44" t="n">
        <v>0</v>
      </c>
      <c r="O44" t="n">
        <v>2</v>
      </c>
      <c r="P44" t="n">
        <v>1</v>
      </c>
      <c r="Q44" t="n">
        <v>2</v>
      </c>
      <c r="R44" s="2" t="inlineStr">
        <is>
          <t>Ulltickeporing
Ullticka</t>
        </is>
      </c>
      <c r="S44">
        <f>HYPERLINK("https://klasma.github.io/Logging_1880/artfynd/A 49552-2022 artfynd.xlsx", "A 49552-2022")</f>
        <v/>
      </c>
      <c r="T44">
        <f>HYPERLINK("https://klasma.github.io/Logging_1880/kartor/A 49552-2022 karta.png", "A 49552-2022")</f>
        <v/>
      </c>
      <c r="V44">
        <f>HYPERLINK("https://klasma.github.io/Logging_1880/klagomål/A 49552-2022 FSC-klagomål.docx", "A 49552-2022")</f>
        <v/>
      </c>
      <c r="W44">
        <f>HYPERLINK("https://klasma.github.io/Logging_1880/klagomålsmail/A 49552-2022 FSC-klagomål mail.docx", "A 49552-2022")</f>
        <v/>
      </c>
      <c r="X44">
        <f>HYPERLINK("https://klasma.github.io/Logging_1880/tillsyn/A 49552-2022 tillsynsbegäran.docx", "A 49552-2022")</f>
        <v/>
      </c>
      <c r="Y44">
        <f>HYPERLINK("https://klasma.github.io/Logging_1880/tillsynsmail/A 49552-2022 tillsynsbegäran mail.docx", "A 49552-2022")</f>
        <v/>
      </c>
    </row>
    <row r="45" ht="15" customHeight="1">
      <c r="A45" t="inlineStr">
        <is>
          <t>A 31234-2023</t>
        </is>
      </c>
      <c r="B45" s="1" t="n">
        <v>45114</v>
      </c>
      <c r="C45" s="1" t="n">
        <v>45568</v>
      </c>
      <c r="D45" t="inlineStr">
        <is>
          <t>ÖREBRO LÄN</t>
        </is>
      </c>
      <c r="E45" t="inlineStr">
        <is>
          <t>ÖREBRO</t>
        </is>
      </c>
      <c r="F45" t="inlineStr">
        <is>
          <t>Allmännings- och besparingsskogar</t>
        </is>
      </c>
      <c r="G45" t="n">
        <v>30.5</v>
      </c>
      <c r="H45" t="n">
        <v>2</v>
      </c>
      <c r="I45" t="n">
        <v>0</v>
      </c>
      <c r="J45" t="n">
        <v>2</v>
      </c>
      <c r="K45" t="n">
        <v>0</v>
      </c>
      <c r="L45" t="n">
        <v>0</v>
      </c>
      <c r="M45" t="n">
        <v>0</v>
      </c>
      <c r="N45" t="n">
        <v>0</v>
      </c>
      <c r="O45" t="n">
        <v>2</v>
      </c>
      <c r="P45" t="n">
        <v>0</v>
      </c>
      <c r="Q45" t="n">
        <v>2</v>
      </c>
      <c r="R45" s="2" t="inlineStr">
        <is>
          <t>Havsörn
Spillkråka</t>
        </is>
      </c>
      <c r="S45">
        <f>HYPERLINK("https://klasma.github.io/Logging_1880/artfynd/A 31234-2023 artfynd.xlsx", "A 31234-2023")</f>
        <v/>
      </c>
      <c r="T45">
        <f>HYPERLINK("https://klasma.github.io/Logging_1880/kartor/A 31234-2023 karta.png", "A 31234-2023")</f>
        <v/>
      </c>
      <c r="V45">
        <f>HYPERLINK("https://klasma.github.io/Logging_1880/klagomål/A 31234-2023 FSC-klagomål.docx", "A 31234-2023")</f>
        <v/>
      </c>
      <c r="W45">
        <f>HYPERLINK("https://klasma.github.io/Logging_1880/klagomålsmail/A 31234-2023 FSC-klagomål mail.docx", "A 31234-2023")</f>
        <v/>
      </c>
      <c r="X45">
        <f>HYPERLINK("https://klasma.github.io/Logging_1880/tillsyn/A 31234-2023 tillsynsbegäran.docx", "A 31234-2023")</f>
        <v/>
      </c>
      <c r="Y45">
        <f>HYPERLINK("https://klasma.github.io/Logging_1880/tillsynsmail/A 31234-2023 tillsynsbegäran mail.docx", "A 31234-2023")</f>
        <v/>
      </c>
      <c r="Z45">
        <f>HYPERLINK("https://klasma.github.io/Logging_1880/fåglar/A 31234-2023 prioriterade fågelarter.docx", "A 31234-2023")</f>
        <v/>
      </c>
    </row>
    <row r="46" ht="15" customHeight="1">
      <c r="A46" t="inlineStr">
        <is>
          <t>A 587-2024</t>
        </is>
      </c>
      <c r="B46" s="1" t="n">
        <v>45299</v>
      </c>
      <c r="C46" s="1" t="n">
        <v>45568</v>
      </c>
      <c r="D46" t="inlineStr">
        <is>
          <t>ÖREBRO LÄN</t>
        </is>
      </c>
      <c r="E46" t="inlineStr">
        <is>
          <t>ÖREBRO</t>
        </is>
      </c>
      <c r="F46" t="inlineStr">
        <is>
          <t>Övriga Aktiebolag</t>
        </is>
      </c>
      <c r="G46" t="n">
        <v>6.4</v>
      </c>
      <c r="H46" t="n">
        <v>2</v>
      </c>
      <c r="I46" t="n">
        <v>0</v>
      </c>
      <c r="J46" t="n">
        <v>2</v>
      </c>
      <c r="K46" t="n">
        <v>0</v>
      </c>
      <c r="L46" t="n">
        <v>0</v>
      </c>
      <c r="M46" t="n">
        <v>0</v>
      </c>
      <c r="N46" t="n">
        <v>0</v>
      </c>
      <c r="O46" t="n">
        <v>2</v>
      </c>
      <c r="P46" t="n">
        <v>0</v>
      </c>
      <c r="Q46" t="n">
        <v>2</v>
      </c>
      <c r="R46" s="2" t="inlineStr">
        <is>
          <t>Rödvingetrast
Spillkråka</t>
        </is>
      </c>
      <c r="S46">
        <f>HYPERLINK("https://klasma.github.io/Logging_1880/artfynd/A 587-2024 artfynd.xlsx", "A 587-2024")</f>
        <v/>
      </c>
      <c r="T46">
        <f>HYPERLINK("https://klasma.github.io/Logging_1880/kartor/A 587-2024 karta.png", "A 587-2024")</f>
        <v/>
      </c>
      <c r="V46">
        <f>HYPERLINK("https://klasma.github.io/Logging_1880/klagomål/A 587-2024 FSC-klagomål.docx", "A 587-2024")</f>
        <v/>
      </c>
      <c r="W46">
        <f>HYPERLINK("https://klasma.github.io/Logging_1880/klagomålsmail/A 587-2024 FSC-klagomål mail.docx", "A 587-2024")</f>
        <v/>
      </c>
      <c r="X46">
        <f>HYPERLINK("https://klasma.github.io/Logging_1880/tillsyn/A 587-2024 tillsynsbegäran.docx", "A 587-2024")</f>
        <v/>
      </c>
      <c r="Y46">
        <f>HYPERLINK("https://klasma.github.io/Logging_1880/tillsynsmail/A 587-2024 tillsynsbegäran mail.docx", "A 587-2024")</f>
        <v/>
      </c>
      <c r="Z46">
        <f>HYPERLINK("https://klasma.github.io/Logging_1880/fåglar/A 587-2024 prioriterade fågelarter.docx", "A 587-2024")</f>
        <v/>
      </c>
    </row>
    <row r="47" ht="15" customHeight="1">
      <c r="A47" t="inlineStr">
        <is>
          <t>A 7608-2024</t>
        </is>
      </c>
      <c r="B47" s="1" t="n">
        <v>45348</v>
      </c>
      <c r="C47" s="1" t="n">
        <v>45568</v>
      </c>
      <c r="D47" t="inlineStr">
        <is>
          <t>ÖREBRO LÄN</t>
        </is>
      </c>
      <c r="E47" t="inlineStr">
        <is>
          <t>ÖREBRO</t>
        </is>
      </c>
      <c r="G47" t="n">
        <v>4.3</v>
      </c>
      <c r="H47" t="n">
        <v>2</v>
      </c>
      <c r="I47" t="n">
        <v>0</v>
      </c>
      <c r="J47" t="n">
        <v>1</v>
      </c>
      <c r="K47" t="n">
        <v>1</v>
      </c>
      <c r="L47" t="n">
        <v>0</v>
      </c>
      <c r="M47" t="n">
        <v>0</v>
      </c>
      <c r="N47" t="n">
        <v>0</v>
      </c>
      <c r="O47" t="n">
        <v>2</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45568</v>
      </c>
      <c r="D48" t="inlineStr">
        <is>
          <t>ÖREBRO LÄN</t>
        </is>
      </c>
      <c r="E48" t="inlineStr">
        <is>
          <t>ÖREBRO</t>
        </is>
      </c>
      <c r="G48" t="n">
        <v>1.8</v>
      </c>
      <c r="H48" t="n">
        <v>1</v>
      </c>
      <c r="I48" t="n">
        <v>0</v>
      </c>
      <c r="J48" t="n">
        <v>2</v>
      </c>
      <c r="K48" t="n">
        <v>0</v>
      </c>
      <c r="L48" t="n">
        <v>0</v>
      </c>
      <c r="M48" t="n">
        <v>0</v>
      </c>
      <c r="N48" t="n">
        <v>0</v>
      </c>
      <c r="O48" t="n">
        <v>2</v>
      </c>
      <c r="P48" t="n">
        <v>0</v>
      </c>
      <c r="Q48" t="n">
        <v>2</v>
      </c>
      <c r="R48" s="2" t="inlineStr">
        <is>
          <t>Spillkråka
Ullticka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32410-2019</t>
        </is>
      </c>
      <c r="B49" s="1" t="n">
        <v>43644</v>
      </c>
      <c r="C49" s="1" t="n">
        <v>45568</v>
      </c>
      <c r="D49" t="inlineStr">
        <is>
          <t>ÖREBRO LÄN</t>
        </is>
      </c>
      <c r="E49" t="inlineStr">
        <is>
          <t>ÖREBRO</t>
        </is>
      </c>
      <c r="G49" t="n">
        <v>1.1</v>
      </c>
      <c r="H49" t="n">
        <v>1</v>
      </c>
      <c r="I49" t="n">
        <v>0</v>
      </c>
      <c r="J49" t="n">
        <v>0</v>
      </c>
      <c r="K49" t="n">
        <v>0</v>
      </c>
      <c r="L49" t="n">
        <v>0</v>
      </c>
      <c r="M49" t="n">
        <v>0</v>
      </c>
      <c r="N49" t="n">
        <v>0</v>
      </c>
      <c r="O49" t="n">
        <v>0</v>
      </c>
      <c r="P49" t="n">
        <v>0</v>
      </c>
      <c r="Q49" t="n">
        <v>1</v>
      </c>
      <c r="R49" s="2" t="inlineStr">
        <is>
          <t>Grönsiska</t>
        </is>
      </c>
      <c r="S49">
        <f>HYPERLINK("https://klasma.github.io/Logging_1880/artfynd/A 32410-2019 artfynd.xlsx", "A 32410-2019")</f>
        <v/>
      </c>
      <c r="T49">
        <f>HYPERLINK("https://klasma.github.io/Logging_1880/kartor/A 32410-2019 karta.png", "A 32410-2019")</f>
        <v/>
      </c>
      <c r="V49">
        <f>HYPERLINK("https://klasma.github.io/Logging_1880/klagomål/A 32410-2019 FSC-klagomål.docx", "A 32410-2019")</f>
        <v/>
      </c>
      <c r="W49">
        <f>HYPERLINK("https://klasma.github.io/Logging_1880/klagomålsmail/A 32410-2019 FSC-klagomål mail.docx", "A 32410-2019")</f>
        <v/>
      </c>
      <c r="X49">
        <f>HYPERLINK("https://klasma.github.io/Logging_1880/tillsyn/A 32410-2019 tillsynsbegäran.docx", "A 32410-2019")</f>
        <v/>
      </c>
      <c r="Y49">
        <f>HYPERLINK("https://klasma.github.io/Logging_1880/tillsynsmail/A 32410-2019 tillsynsbegäran mail.docx", "A 32410-2019")</f>
        <v/>
      </c>
      <c r="Z49">
        <f>HYPERLINK("https://klasma.github.io/Logging_1880/fåglar/A 32410-2019 prioriterade fågelarter.docx", "A 32410-2019")</f>
        <v/>
      </c>
    </row>
    <row r="50" ht="15" customHeight="1">
      <c r="A50" t="inlineStr">
        <is>
          <t>A 33605-2019</t>
        </is>
      </c>
      <c r="B50" s="1" t="n">
        <v>43644</v>
      </c>
      <c r="C50" s="1" t="n">
        <v>45568</v>
      </c>
      <c r="D50" t="inlineStr">
        <is>
          <t>ÖREBRO LÄN</t>
        </is>
      </c>
      <c r="E50" t="inlineStr">
        <is>
          <t>ÖREBRO</t>
        </is>
      </c>
      <c r="F50" t="inlineStr">
        <is>
          <t>Kommuner</t>
        </is>
      </c>
      <c r="G50" t="n">
        <v>1.5</v>
      </c>
      <c r="H50" t="n">
        <v>0</v>
      </c>
      <c r="I50" t="n">
        <v>0</v>
      </c>
      <c r="J50" t="n">
        <v>1</v>
      </c>
      <c r="K50" t="n">
        <v>0</v>
      </c>
      <c r="L50" t="n">
        <v>0</v>
      </c>
      <c r="M50" t="n">
        <v>0</v>
      </c>
      <c r="N50" t="n">
        <v>0</v>
      </c>
      <c r="O50" t="n">
        <v>1</v>
      </c>
      <c r="P50" t="n">
        <v>0</v>
      </c>
      <c r="Q50" t="n">
        <v>1</v>
      </c>
      <c r="R50" s="2" t="inlineStr">
        <is>
          <t>Tallticka</t>
        </is>
      </c>
      <c r="S50">
        <f>HYPERLINK("https://klasma.github.io/Logging_1880/artfynd/A 33605-2019 artfynd.xlsx", "A 33605-2019")</f>
        <v/>
      </c>
      <c r="T50">
        <f>HYPERLINK("https://klasma.github.io/Logging_1880/kartor/A 33605-2019 karta.png", "A 33605-2019")</f>
        <v/>
      </c>
      <c r="V50">
        <f>HYPERLINK("https://klasma.github.io/Logging_1880/klagomål/A 33605-2019 FSC-klagomål.docx", "A 33605-2019")</f>
        <v/>
      </c>
      <c r="W50">
        <f>HYPERLINK("https://klasma.github.io/Logging_1880/klagomålsmail/A 33605-2019 FSC-klagomål mail.docx", "A 33605-2019")</f>
        <v/>
      </c>
      <c r="X50">
        <f>HYPERLINK("https://klasma.github.io/Logging_1880/tillsyn/A 33605-2019 tillsynsbegäran.docx", "A 33605-2019")</f>
        <v/>
      </c>
      <c r="Y50">
        <f>HYPERLINK("https://klasma.github.io/Logging_1880/tillsynsmail/A 33605-2019 tillsynsbegäran mail.docx", "A 33605-2019")</f>
        <v/>
      </c>
    </row>
    <row r="51" ht="15" customHeight="1">
      <c r="A51" t="inlineStr">
        <is>
          <t>A 41505-2019</t>
        </is>
      </c>
      <c r="B51" s="1" t="n">
        <v>43696</v>
      </c>
      <c r="C51" s="1" t="n">
        <v>45568</v>
      </c>
      <c r="D51" t="inlineStr">
        <is>
          <t>ÖREBRO LÄN</t>
        </is>
      </c>
      <c r="E51" t="inlineStr">
        <is>
          <t>ÖREBRO</t>
        </is>
      </c>
      <c r="F51" t="inlineStr">
        <is>
          <t>Kommuner</t>
        </is>
      </c>
      <c r="G51" t="n">
        <v>2.9</v>
      </c>
      <c r="H51" t="n">
        <v>0</v>
      </c>
      <c r="I51" t="n">
        <v>0</v>
      </c>
      <c r="J51" t="n">
        <v>1</v>
      </c>
      <c r="K51" t="n">
        <v>0</v>
      </c>
      <c r="L51" t="n">
        <v>0</v>
      </c>
      <c r="M51" t="n">
        <v>0</v>
      </c>
      <c r="N51" t="n">
        <v>0</v>
      </c>
      <c r="O51" t="n">
        <v>1</v>
      </c>
      <c r="P51" t="n">
        <v>0</v>
      </c>
      <c r="Q51" t="n">
        <v>1</v>
      </c>
      <c r="R51" s="2" t="inlineStr">
        <is>
          <t>Tallticka</t>
        </is>
      </c>
      <c r="S51">
        <f>HYPERLINK("https://klasma.github.io/Logging_1880/artfynd/A 41505-2019 artfynd.xlsx", "A 41505-2019")</f>
        <v/>
      </c>
      <c r="T51">
        <f>HYPERLINK("https://klasma.github.io/Logging_1880/kartor/A 41505-2019 karta.png", "A 41505-2019")</f>
        <v/>
      </c>
      <c r="V51">
        <f>HYPERLINK("https://klasma.github.io/Logging_1880/klagomål/A 41505-2019 FSC-klagomål.docx", "A 41505-2019")</f>
        <v/>
      </c>
      <c r="W51">
        <f>HYPERLINK("https://klasma.github.io/Logging_1880/klagomålsmail/A 41505-2019 FSC-klagomål mail.docx", "A 41505-2019")</f>
        <v/>
      </c>
      <c r="X51">
        <f>HYPERLINK("https://klasma.github.io/Logging_1880/tillsyn/A 41505-2019 tillsynsbegäran.docx", "A 41505-2019")</f>
        <v/>
      </c>
      <c r="Y51">
        <f>HYPERLINK("https://klasma.github.io/Logging_1880/tillsynsmail/A 41505-2019 tillsynsbegäran mail.docx", "A 41505-2019")</f>
        <v/>
      </c>
    </row>
    <row r="52" ht="15" customHeight="1">
      <c r="A52" t="inlineStr">
        <is>
          <t>A 48989-2019</t>
        </is>
      </c>
      <c r="B52" s="1" t="n">
        <v>43729</v>
      </c>
      <c r="C52" s="1" t="n">
        <v>45568</v>
      </c>
      <c r="D52" t="inlineStr">
        <is>
          <t>ÖREBRO LÄN</t>
        </is>
      </c>
      <c r="E52" t="inlineStr">
        <is>
          <t>ÖREBRO</t>
        </is>
      </c>
      <c r="G52" t="n">
        <v>3.8</v>
      </c>
      <c r="H52" t="n">
        <v>1</v>
      </c>
      <c r="I52" t="n">
        <v>0</v>
      </c>
      <c r="J52" t="n">
        <v>1</v>
      </c>
      <c r="K52" t="n">
        <v>0</v>
      </c>
      <c r="L52" t="n">
        <v>0</v>
      </c>
      <c r="M52" t="n">
        <v>0</v>
      </c>
      <c r="N52" t="n">
        <v>0</v>
      </c>
      <c r="O52" t="n">
        <v>1</v>
      </c>
      <c r="P52" t="n">
        <v>0</v>
      </c>
      <c r="Q52" t="n">
        <v>1</v>
      </c>
      <c r="R52" s="2" t="inlineStr">
        <is>
          <t>Havsörn</t>
        </is>
      </c>
      <c r="S52">
        <f>HYPERLINK("https://klasma.github.io/Logging_1880/artfynd/A 48989-2019 artfynd.xlsx", "A 48989-2019")</f>
        <v/>
      </c>
      <c r="T52">
        <f>HYPERLINK("https://klasma.github.io/Logging_1880/kartor/A 48989-2019 karta.png", "A 48989-2019")</f>
        <v/>
      </c>
      <c r="V52">
        <f>HYPERLINK("https://klasma.github.io/Logging_1880/klagomål/A 48989-2019 FSC-klagomål.docx", "A 48989-2019")</f>
        <v/>
      </c>
      <c r="W52">
        <f>HYPERLINK("https://klasma.github.io/Logging_1880/klagomålsmail/A 48989-2019 FSC-klagomål mail.docx", "A 48989-2019")</f>
        <v/>
      </c>
      <c r="X52">
        <f>HYPERLINK("https://klasma.github.io/Logging_1880/tillsyn/A 48989-2019 tillsynsbegäran.docx", "A 48989-2019")</f>
        <v/>
      </c>
      <c r="Y52">
        <f>HYPERLINK("https://klasma.github.io/Logging_1880/tillsynsmail/A 48989-2019 tillsynsbegäran mail.docx", "A 48989-2019")</f>
        <v/>
      </c>
      <c r="Z52">
        <f>HYPERLINK("https://klasma.github.io/Logging_1880/fåglar/A 48989-2019 prioriterade fågelarter.docx", "A 48989-2019")</f>
        <v/>
      </c>
    </row>
    <row r="53" ht="15" customHeight="1">
      <c r="A53" t="inlineStr">
        <is>
          <t>A 1512-2020</t>
        </is>
      </c>
      <c r="B53" s="1" t="n">
        <v>43826</v>
      </c>
      <c r="C53" s="1" t="n">
        <v>45568</v>
      </c>
      <c r="D53" t="inlineStr">
        <is>
          <t>ÖREBRO LÄN</t>
        </is>
      </c>
      <c r="E53" t="inlineStr">
        <is>
          <t>ÖREBRO</t>
        </is>
      </c>
      <c r="G53" t="n">
        <v>6</v>
      </c>
      <c r="H53" t="n">
        <v>1</v>
      </c>
      <c r="I53" t="n">
        <v>0</v>
      </c>
      <c r="J53" t="n">
        <v>0</v>
      </c>
      <c r="K53" t="n">
        <v>0</v>
      </c>
      <c r="L53" t="n">
        <v>0</v>
      </c>
      <c r="M53" t="n">
        <v>0</v>
      </c>
      <c r="N53" t="n">
        <v>0</v>
      </c>
      <c r="O53" t="n">
        <v>0</v>
      </c>
      <c r="P53" t="n">
        <v>0</v>
      </c>
      <c r="Q53" t="n">
        <v>1</v>
      </c>
      <c r="R53" s="2" t="inlineStr">
        <is>
          <t>Revlummer</t>
        </is>
      </c>
      <c r="S53">
        <f>HYPERLINK("https://klasma.github.io/Logging_1880/artfynd/A 1512-2020 artfynd.xlsx", "A 1512-2020")</f>
        <v/>
      </c>
      <c r="T53">
        <f>HYPERLINK("https://klasma.github.io/Logging_1880/kartor/A 1512-2020 karta.png", "A 1512-2020")</f>
        <v/>
      </c>
      <c r="V53">
        <f>HYPERLINK("https://klasma.github.io/Logging_1880/klagomål/A 1512-2020 FSC-klagomål.docx", "A 1512-2020")</f>
        <v/>
      </c>
      <c r="W53">
        <f>HYPERLINK("https://klasma.github.io/Logging_1880/klagomålsmail/A 1512-2020 FSC-klagomål mail.docx", "A 1512-2020")</f>
        <v/>
      </c>
      <c r="X53">
        <f>HYPERLINK("https://klasma.github.io/Logging_1880/tillsyn/A 1512-2020 tillsynsbegäran.docx", "A 1512-2020")</f>
        <v/>
      </c>
      <c r="Y53">
        <f>HYPERLINK("https://klasma.github.io/Logging_1880/tillsynsmail/A 1512-2020 tillsynsbegäran mail.docx", "A 1512-2020")</f>
        <v/>
      </c>
    </row>
    <row r="54" ht="15" customHeight="1">
      <c r="A54" t="inlineStr">
        <is>
          <t>A 2697-2020</t>
        </is>
      </c>
      <c r="B54" s="1" t="n">
        <v>43843</v>
      </c>
      <c r="C54" s="1" t="n">
        <v>45568</v>
      </c>
      <c r="D54" t="inlineStr">
        <is>
          <t>ÖREBRO LÄN</t>
        </is>
      </c>
      <c r="E54" t="inlineStr">
        <is>
          <t>ÖREBRO</t>
        </is>
      </c>
      <c r="G54" t="n">
        <v>5</v>
      </c>
      <c r="H54" t="n">
        <v>0</v>
      </c>
      <c r="I54" t="n">
        <v>1</v>
      </c>
      <c r="J54" t="n">
        <v>0</v>
      </c>
      <c r="K54" t="n">
        <v>0</v>
      </c>
      <c r="L54" t="n">
        <v>0</v>
      </c>
      <c r="M54" t="n">
        <v>0</v>
      </c>
      <c r="N54" t="n">
        <v>0</v>
      </c>
      <c r="O54" t="n">
        <v>0</v>
      </c>
      <c r="P54" t="n">
        <v>0</v>
      </c>
      <c r="Q54" t="n">
        <v>1</v>
      </c>
      <c r="R54" s="2" t="inlineStr">
        <is>
          <t>Springkorn</t>
        </is>
      </c>
      <c r="S54">
        <f>HYPERLINK("https://klasma.github.io/Logging_1880/artfynd/A 2697-2020 artfynd.xlsx", "A 2697-2020")</f>
        <v/>
      </c>
      <c r="T54">
        <f>HYPERLINK("https://klasma.github.io/Logging_1880/kartor/A 2697-2020 karta.png", "A 2697-2020")</f>
        <v/>
      </c>
      <c r="V54">
        <f>HYPERLINK("https://klasma.github.io/Logging_1880/klagomål/A 2697-2020 FSC-klagomål.docx", "A 2697-2020")</f>
        <v/>
      </c>
      <c r="W54">
        <f>HYPERLINK("https://klasma.github.io/Logging_1880/klagomålsmail/A 2697-2020 FSC-klagomål mail.docx", "A 2697-2020")</f>
        <v/>
      </c>
      <c r="X54">
        <f>HYPERLINK("https://klasma.github.io/Logging_1880/tillsyn/A 2697-2020 tillsynsbegäran.docx", "A 2697-2020")</f>
        <v/>
      </c>
      <c r="Y54">
        <f>HYPERLINK("https://klasma.github.io/Logging_1880/tillsynsmail/A 2697-2020 tillsynsbegäran mail.docx", "A 2697-2020")</f>
        <v/>
      </c>
    </row>
    <row r="55" ht="15" customHeight="1">
      <c r="A55" t="inlineStr">
        <is>
          <t>A 1571-2020</t>
        </is>
      </c>
      <c r="B55" s="1" t="n">
        <v>43844</v>
      </c>
      <c r="C55" s="1" t="n">
        <v>45568</v>
      </c>
      <c r="D55" t="inlineStr">
        <is>
          <t>ÖREBRO LÄN</t>
        </is>
      </c>
      <c r="E55" t="inlineStr">
        <is>
          <t>ÖREBRO</t>
        </is>
      </c>
      <c r="G55" t="n">
        <v>2</v>
      </c>
      <c r="H55" t="n">
        <v>0</v>
      </c>
      <c r="I55" t="n">
        <v>0</v>
      </c>
      <c r="J55" t="n">
        <v>1</v>
      </c>
      <c r="K55" t="n">
        <v>0</v>
      </c>
      <c r="L55" t="n">
        <v>0</v>
      </c>
      <c r="M55" t="n">
        <v>0</v>
      </c>
      <c r="N55" t="n">
        <v>0</v>
      </c>
      <c r="O55" t="n">
        <v>1</v>
      </c>
      <c r="P55" t="n">
        <v>0</v>
      </c>
      <c r="Q55" t="n">
        <v>1</v>
      </c>
      <c r="R55" s="2" t="inlineStr">
        <is>
          <t>Ullticka</t>
        </is>
      </c>
      <c r="S55">
        <f>HYPERLINK("https://klasma.github.io/Logging_1880/artfynd/A 1571-2020 artfynd.xlsx", "A 1571-2020")</f>
        <v/>
      </c>
      <c r="T55">
        <f>HYPERLINK("https://klasma.github.io/Logging_1880/kartor/A 1571-2020 karta.png", "A 1571-2020")</f>
        <v/>
      </c>
      <c r="V55">
        <f>HYPERLINK("https://klasma.github.io/Logging_1880/klagomål/A 1571-2020 FSC-klagomål.docx", "A 1571-2020")</f>
        <v/>
      </c>
      <c r="W55">
        <f>HYPERLINK("https://klasma.github.io/Logging_1880/klagomålsmail/A 1571-2020 FSC-klagomål mail.docx", "A 1571-2020")</f>
        <v/>
      </c>
      <c r="X55">
        <f>HYPERLINK("https://klasma.github.io/Logging_1880/tillsyn/A 1571-2020 tillsynsbegäran.docx", "A 1571-2020")</f>
        <v/>
      </c>
      <c r="Y55">
        <f>HYPERLINK("https://klasma.github.io/Logging_1880/tillsynsmail/A 1571-2020 tillsynsbegäran mail.docx", "A 1571-2020")</f>
        <v/>
      </c>
    </row>
    <row r="56" ht="15" customHeight="1">
      <c r="A56" t="inlineStr">
        <is>
          <t>A 13831-2020</t>
        </is>
      </c>
      <c r="B56" s="1" t="n">
        <v>43905</v>
      </c>
      <c r="C56" s="1" t="n">
        <v>45568</v>
      </c>
      <c r="D56" t="inlineStr">
        <is>
          <t>ÖREBRO LÄN</t>
        </is>
      </c>
      <c r="E56" t="inlineStr">
        <is>
          <t>ÖREBRO</t>
        </is>
      </c>
      <c r="G56" t="n">
        <v>7.5</v>
      </c>
      <c r="H56" t="n">
        <v>0</v>
      </c>
      <c r="I56" t="n">
        <v>1</v>
      </c>
      <c r="J56" t="n">
        <v>0</v>
      </c>
      <c r="K56" t="n">
        <v>0</v>
      </c>
      <c r="L56" t="n">
        <v>0</v>
      </c>
      <c r="M56" t="n">
        <v>0</v>
      </c>
      <c r="N56" t="n">
        <v>0</v>
      </c>
      <c r="O56" t="n">
        <v>0</v>
      </c>
      <c r="P56" t="n">
        <v>0</v>
      </c>
      <c r="Q56" t="n">
        <v>1</v>
      </c>
      <c r="R56" s="2" t="inlineStr">
        <is>
          <t>Vätteros</t>
        </is>
      </c>
      <c r="S56">
        <f>HYPERLINK("https://klasma.github.io/Logging_1880/artfynd/A 13831-2020 artfynd.xlsx", "A 13831-2020")</f>
        <v/>
      </c>
      <c r="T56">
        <f>HYPERLINK("https://klasma.github.io/Logging_1880/kartor/A 13831-2020 karta.png", "A 13831-2020")</f>
        <v/>
      </c>
      <c r="V56">
        <f>HYPERLINK("https://klasma.github.io/Logging_1880/klagomål/A 13831-2020 FSC-klagomål.docx", "A 13831-2020")</f>
        <v/>
      </c>
      <c r="W56">
        <f>HYPERLINK("https://klasma.github.io/Logging_1880/klagomålsmail/A 13831-2020 FSC-klagomål mail.docx", "A 13831-2020")</f>
        <v/>
      </c>
      <c r="X56">
        <f>HYPERLINK("https://klasma.github.io/Logging_1880/tillsyn/A 13831-2020 tillsynsbegäran.docx", "A 13831-2020")</f>
        <v/>
      </c>
      <c r="Y56">
        <f>HYPERLINK("https://klasma.github.io/Logging_1880/tillsynsmail/A 13831-2020 tillsynsbegäran mail.docx", "A 13831-2020")</f>
        <v/>
      </c>
    </row>
    <row r="57" ht="15" customHeight="1">
      <c r="A57" t="inlineStr">
        <is>
          <t>A 25192-2020</t>
        </is>
      </c>
      <c r="B57" s="1" t="n">
        <v>43980</v>
      </c>
      <c r="C57" s="1" t="n">
        <v>45568</v>
      </c>
      <c r="D57" t="inlineStr">
        <is>
          <t>ÖREBRO LÄN</t>
        </is>
      </c>
      <c r="E57" t="inlineStr">
        <is>
          <t>ÖREBRO</t>
        </is>
      </c>
      <c r="F57" t="inlineStr">
        <is>
          <t>Övriga Aktiebolag</t>
        </is>
      </c>
      <c r="G57" t="n">
        <v>1.5</v>
      </c>
      <c r="H57" t="n">
        <v>1</v>
      </c>
      <c r="I57" t="n">
        <v>1</v>
      </c>
      <c r="J57" t="n">
        <v>0</v>
      </c>
      <c r="K57" t="n">
        <v>0</v>
      </c>
      <c r="L57" t="n">
        <v>0</v>
      </c>
      <c r="M57" t="n">
        <v>0</v>
      </c>
      <c r="N57" t="n">
        <v>0</v>
      </c>
      <c r="O57" t="n">
        <v>0</v>
      </c>
      <c r="P57" t="n">
        <v>0</v>
      </c>
      <c r="Q57" t="n">
        <v>1</v>
      </c>
      <c r="R57" s="2" t="inlineStr">
        <is>
          <t>Spindelblomster</t>
        </is>
      </c>
      <c r="S57">
        <f>HYPERLINK("https://klasma.github.io/Logging_1880/artfynd/A 25192-2020 artfynd.xlsx", "A 25192-2020")</f>
        <v/>
      </c>
      <c r="T57">
        <f>HYPERLINK("https://klasma.github.io/Logging_1880/kartor/A 25192-2020 karta.png", "A 25192-2020")</f>
        <v/>
      </c>
      <c r="V57">
        <f>HYPERLINK("https://klasma.github.io/Logging_1880/klagomål/A 25192-2020 FSC-klagomål.docx", "A 25192-2020")</f>
        <v/>
      </c>
      <c r="W57">
        <f>HYPERLINK("https://klasma.github.io/Logging_1880/klagomålsmail/A 25192-2020 FSC-klagomål mail.docx", "A 25192-2020")</f>
        <v/>
      </c>
      <c r="X57">
        <f>HYPERLINK("https://klasma.github.io/Logging_1880/tillsyn/A 25192-2020 tillsynsbegäran.docx", "A 25192-2020")</f>
        <v/>
      </c>
      <c r="Y57">
        <f>HYPERLINK("https://klasma.github.io/Logging_1880/tillsynsmail/A 25192-2020 tillsynsbegäran mail.docx", "A 25192-2020")</f>
        <v/>
      </c>
    </row>
    <row r="58" ht="15" customHeight="1">
      <c r="A58" t="inlineStr">
        <is>
          <t>A 26426-2020</t>
        </is>
      </c>
      <c r="B58" s="1" t="n">
        <v>43986</v>
      </c>
      <c r="C58" s="1" t="n">
        <v>45568</v>
      </c>
      <c r="D58" t="inlineStr">
        <is>
          <t>ÖREBRO LÄN</t>
        </is>
      </c>
      <c r="E58" t="inlineStr">
        <is>
          <t>ÖREBRO</t>
        </is>
      </c>
      <c r="G58" t="n">
        <v>1</v>
      </c>
      <c r="H58" t="n">
        <v>0</v>
      </c>
      <c r="I58" t="n">
        <v>0</v>
      </c>
      <c r="J58" t="n">
        <v>0</v>
      </c>
      <c r="K58" t="n">
        <v>1</v>
      </c>
      <c r="L58" t="n">
        <v>0</v>
      </c>
      <c r="M58" t="n">
        <v>0</v>
      </c>
      <c r="N58" t="n">
        <v>0</v>
      </c>
      <c r="O58" t="n">
        <v>1</v>
      </c>
      <c r="P58" t="n">
        <v>1</v>
      </c>
      <c r="Q58" t="n">
        <v>1</v>
      </c>
      <c r="R58" s="2" t="inlineStr">
        <is>
          <t>Slöjröksvamp</t>
        </is>
      </c>
      <c r="S58">
        <f>HYPERLINK("https://klasma.github.io/Logging_1880/artfynd/A 26426-2020 artfynd.xlsx", "A 26426-2020")</f>
        <v/>
      </c>
      <c r="T58">
        <f>HYPERLINK("https://klasma.github.io/Logging_1880/kartor/A 26426-2020 karta.png", "A 26426-2020")</f>
        <v/>
      </c>
      <c r="V58">
        <f>HYPERLINK("https://klasma.github.io/Logging_1880/klagomål/A 26426-2020 FSC-klagomål.docx", "A 26426-2020")</f>
        <v/>
      </c>
      <c r="W58">
        <f>HYPERLINK("https://klasma.github.io/Logging_1880/klagomålsmail/A 26426-2020 FSC-klagomål mail.docx", "A 26426-2020")</f>
        <v/>
      </c>
      <c r="X58">
        <f>HYPERLINK("https://klasma.github.io/Logging_1880/tillsyn/A 26426-2020 tillsynsbegäran.docx", "A 26426-2020")</f>
        <v/>
      </c>
      <c r="Y58">
        <f>HYPERLINK("https://klasma.github.io/Logging_1880/tillsynsmail/A 26426-2020 tillsynsbegäran mail.docx", "A 26426-2020")</f>
        <v/>
      </c>
    </row>
    <row r="59" ht="15" customHeight="1">
      <c r="A59" t="inlineStr">
        <is>
          <t>A 28103-2020</t>
        </is>
      </c>
      <c r="B59" s="1" t="n">
        <v>43997</v>
      </c>
      <c r="C59" s="1" t="n">
        <v>45568</v>
      </c>
      <c r="D59" t="inlineStr">
        <is>
          <t>ÖREBRO LÄN</t>
        </is>
      </c>
      <c r="E59" t="inlineStr">
        <is>
          <t>ÖREBRO</t>
        </is>
      </c>
      <c r="G59" t="n">
        <v>1.6</v>
      </c>
      <c r="H59" t="n">
        <v>1</v>
      </c>
      <c r="I59" t="n">
        <v>0</v>
      </c>
      <c r="J59" t="n">
        <v>0</v>
      </c>
      <c r="K59" t="n">
        <v>1</v>
      </c>
      <c r="L59" t="n">
        <v>0</v>
      </c>
      <c r="M59" t="n">
        <v>0</v>
      </c>
      <c r="N59" t="n">
        <v>0</v>
      </c>
      <c r="O59" t="n">
        <v>1</v>
      </c>
      <c r="P59" t="n">
        <v>1</v>
      </c>
      <c r="Q59" t="n">
        <v>1</v>
      </c>
      <c r="R59" s="2" t="inlineStr">
        <is>
          <t>Knärot</t>
        </is>
      </c>
      <c r="S59">
        <f>HYPERLINK("https://klasma.github.io/Logging_1880/artfynd/A 28103-2020 artfynd.xlsx", "A 28103-2020")</f>
        <v/>
      </c>
      <c r="T59">
        <f>HYPERLINK("https://klasma.github.io/Logging_1880/kartor/A 28103-2020 karta.png", "A 28103-2020")</f>
        <v/>
      </c>
      <c r="U59">
        <f>HYPERLINK("https://klasma.github.io/Logging_1880/knärot/A 28103-2020 karta knärot.png", "A 28103-2020")</f>
        <v/>
      </c>
      <c r="V59">
        <f>HYPERLINK("https://klasma.github.io/Logging_1880/klagomål/A 28103-2020 FSC-klagomål.docx", "A 28103-2020")</f>
        <v/>
      </c>
      <c r="W59">
        <f>HYPERLINK("https://klasma.github.io/Logging_1880/klagomålsmail/A 28103-2020 FSC-klagomål mail.docx", "A 28103-2020")</f>
        <v/>
      </c>
      <c r="X59">
        <f>HYPERLINK("https://klasma.github.io/Logging_1880/tillsyn/A 28103-2020 tillsynsbegäran.docx", "A 28103-2020")</f>
        <v/>
      </c>
      <c r="Y59">
        <f>HYPERLINK("https://klasma.github.io/Logging_1880/tillsynsmail/A 28103-2020 tillsynsbegäran mail.docx", "A 28103-2020")</f>
        <v/>
      </c>
    </row>
    <row r="60" ht="15" customHeight="1">
      <c r="A60" t="inlineStr">
        <is>
          <t>A 28710-2020</t>
        </is>
      </c>
      <c r="B60" s="1" t="n">
        <v>43998</v>
      </c>
      <c r="C60" s="1" t="n">
        <v>45568</v>
      </c>
      <c r="D60" t="inlineStr">
        <is>
          <t>ÖREBRO LÄN</t>
        </is>
      </c>
      <c r="E60" t="inlineStr">
        <is>
          <t>ÖREBRO</t>
        </is>
      </c>
      <c r="F60" t="inlineStr">
        <is>
          <t>Kommuner</t>
        </is>
      </c>
      <c r="G60" t="n">
        <v>1</v>
      </c>
      <c r="H60" t="n">
        <v>0</v>
      </c>
      <c r="I60" t="n">
        <v>0</v>
      </c>
      <c r="J60" t="n">
        <v>1</v>
      </c>
      <c r="K60" t="n">
        <v>0</v>
      </c>
      <c r="L60" t="n">
        <v>0</v>
      </c>
      <c r="M60" t="n">
        <v>0</v>
      </c>
      <c r="N60" t="n">
        <v>0</v>
      </c>
      <c r="O60" t="n">
        <v>1</v>
      </c>
      <c r="P60" t="n">
        <v>0</v>
      </c>
      <c r="Q60" t="n">
        <v>1</v>
      </c>
      <c r="R60" s="2" t="inlineStr">
        <is>
          <t>Ullticka</t>
        </is>
      </c>
      <c r="S60">
        <f>HYPERLINK("https://klasma.github.io/Logging_1880/artfynd/A 28710-2020 artfynd.xlsx", "A 28710-2020")</f>
        <v/>
      </c>
      <c r="T60">
        <f>HYPERLINK("https://klasma.github.io/Logging_1880/kartor/A 28710-2020 karta.png", "A 28710-2020")</f>
        <v/>
      </c>
      <c r="V60">
        <f>HYPERLINK("https://klasma.github.io/Logging_1880/klagomål/A 28710-2020 FSC-klagomål.docx", "A 28710-2020")</f>
        <v/>
      </c>
      <c r="W60">
        <f>HYPERLINK("https://klasma.github.io/Logging_1880/klagomålsmail/A 28710-2020 FSC-klagomål mail.docx", "A 28710-2020")</f>
        <v/>
      </c>
      <c r="X60">
        <f>HYPERLINK("https://klasma.github.io/Logging_1880/tillsyn/A 28710-2020 tillsynsbegäran.docx", "A 28710-2020")</f>
        <v/>
      </c>
      <c r="Y60">
        <f>HYPERLINK("https://klasma.github.io/Logging_1880/tillsynsmail/A 28710-2020 tillsynsbegäran mail.docx", "A 28710-2020")</f>
        <v/>
      </c>
    </row>
    <row r="61" ht="15" customHeight="1">
      <c r="A61" t="inlineStr">
        <is>
          <t>A 29454-2020</t>
        </is>
      </c>
      <c r="B61" s="1" t="n">
        <v>44004</v>
      </c>
      <c r="C61" s="1" t="n">
        <v>45568</v>
      </c>
      <c r="D61" t="inlineStr">
        <is>
          <t>ÖREBRO LÄN</t>
        </is>
      </c>
      <c r="E61" t="inlineStr">
        <is>
          <t>ÖREBRO</t>
        </is>
      </c>
      <c r="G61" t="n">
        <v>5</v>
      </c>
      <c r="H61" t="n">
        <v>0</v>
      </c>
      <c r="I61" t="n">
        <v>0</v>
      </c>
      <c r="J61" t="n">
        <v>1</v>
      </c>
      <c r="K61" t="n">
        <v>0</v>
      </c>
      <c r="L61" t="n">
        <v>0</v>
      </c>
      <c r="M61" t="n">
        <v>0</v>
      </c>
      <c r="N61" t="n">
        <v>0</v>
      </c>
      <c r="O61" t="n">
        <v>1</v>
      </c>
      <c r="P61" t="n">
        <v>0</v>
      </c>
      <c r="Q61" t="n">
        <v>1</v>
      </c>
      <c r="R61" s="2" t="inlineStr">
        <is>
          <t>Stornopping</t>
        </is>
      </c>
      <c r="S61">
        <f>HYPERLINK("https://klasma.github.io/Logging_1880/artfynd/A 29454-2020 artfynd.xlsx", "A 29454-2020")</f>
        <v/>
      </c>
      <c r="T61">
        <f>HYPERLINK("https://klasma.github.io/Logging_1880/kartor/A 29454-2020 karta.png", "A 29454-2020")</f>
        <v/>
      </c>
      <c r="V61">
        <f>HYPERLINK("https://klasma.github.io/Logging_1880/klagomål/A 29454-2020 FSC-klagomål.docx", "A 29454-2020")</f>
        <v/>
      </c>
      <c r="W61">
        <f>HYPERLINK("https://klasma.github.io/Logging_1880/klagomålsmail/A 29454-2020 FSC-klagomål mail.docx", "A 29454-2020")</f>
        <v/>
      </c>
      <c r="X61">
        <f>HYPERLINK("https://klasma.github.io/Logging_1880/tillsyn/A 29454-2020 tillsynsbegäran.docx", "A 29454-2020")</f>
        <v/>
      </c>
      <c r="Y61">
        <f>HYPERLINK("https://klasma.github.io/Logging_1880/tillsynsmail/A 29454-2020 tillsynsbegäran mail.docx", "A 29454-2020")</f>
        <v/>
      </c>
    </row>
    <row r="62" ht="15" customHeight="1">
      <c r="A62" t="inlineStr">
        <is>
          <t>A 58966-2020</t>
        </is>
      </c>
      <c r="B62" s="1" t="n">
        <v>44146</v>
      </c>
      <c r="C62" s="1" t="n">
        <v>45568</v>
      </c>
      <c r="D62" t="inlineStr">
        <is>
          <t>ÖREBRO LÄN</t>
        </is>
      </c>
      <c r="E62" t="inlineStr">
        <is>
          <t>ÖREBRO</t>
        </is>
      </c>
      <c r="F62" t="inlineStr">
        <is>
          <t>Övriga Aktiebolag</t>
        </is>
      </c>
      <c r="G62" t="n">
        <v>1.2</v>
      </c>
      <c r="H62" t="n">
        <v>1</v>
      </c>
      <c r="I62" t="n">
        <v>0</v>
      </c>
      <c r="J62" t="n">
        <v>1</v>
      </c>
      <c r="K62" t="n">
        <v>0</v>
      </c>
      <c r="L62" t="n">
        <v>0</v>
      </c>
      <c r="M62" t="n">
        <v>0</v>
      </c>
      <c r="N62" t="n">
        <v>0</v>
      </c>
      <c r="O62" t="n">
        <v>1</v>
      </c>
      <c r="P62" t="n">
        <v>0</v>
      </c>
      <c r="Q62" t="n">
        <v>1</v>
      </c>
      <c r="R62" s="2" t="inlineStr">
        <is>
          <t>Kråka</t>
        </is>
      </c>
      <c r="S62">
        <f>HYPERLINK("https://klasma.github.io/Logging_1880/artfynd/A 58966-2020 artfynd.xlsx", "A 58966-2020")</f>
        <v/>
      </c>
      <c r="T62">
        <f>HYPERLINK("https://klasma.github.io/Logging_1880/kartor/A 58966-2020 karta.png", "A 58966-2020")</f>
        <v/>
      </c>
      <c r="V62">
        <f>HYPERLINK("https://klasma.github.io/Logging_1880/klagomål/A 58966-2020 FSC-klagomål.docx", "A 58966-2020")</f>
        <v/>
      </c>
      <c r="W62">
        <f>HYPERLINK("https://klasma.github.io/Logging_1880/klagomålsmail/A 58966-2020 FSC-klagomål mail.docx", "A 58966-2020")</f>
        <v/>
      </c>
      <c r="X62">
        <f>HYPERLINK("https://klasma.github.io/Logging_1880/tillsyn/A 58966-2020 tillsynsbegäran.docx", "A 58966-2020")</f>
        <v/>
      </c>
      <c r="Y62">
        <f>HYPERLINK("https://klasma.github.io/Logging_1880/tillsynsmail/A 58966-2020 tillsynsbegäran mail.docx", "A 58966-2020")</f>
        <v/>
      </c>
      <c r="Z62">
        <f>HYPERLINK("https://klasma.github.io/Logging_1880/fåglar/A 58966-2020 prioriterade fågelarter.docx", "A 58966-2020")</f>
        <v/>
      </c>
    </row>
    <row r="63" ht="15" customHeight="1">
      <c r="A63" t="inlineStr">
        <is>
          <t>A 4014-2021</t>
        </is>
      </c>
      <c r="B63" s="1" t="n">
        <v>44218</v>
      </c>
      <c r="C63" s="1" t="n">
        <v>45568</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6926-2021</t>
        </is>
      </c>
      <c r="B64" s="1" t="n">
        <v>44237</v>
      </c>
      <c r="C64" s="1" t="n">
        <v>45568</v>
      </c>
      <c r="D64" t="inlineStr">
        <is>
          <t>ÖREBRO LÄN</t>
        </is>
      </c>
      <c r="E64" t="inlineStr">
        <is>
          <t>ÖREBRO</t>
        </is>
      </c>
      <c r="G64" t="n">
        <v>0.9</v>
      </c>
      <c r="H64" t="n">
        <v>1</v>
      </c>
      <c r="I64" t="n">
        <v>1</v>
      </c>
      <c r="J64" t="n">
        <v>0</v>
      </c>
      <c r="K64" t="n">
        <v>0</v>
      </c>
      <c r="L64" t="n">
        <v>0</v>
      </c>
      <c r="M64" t="n">
        <v>0</v>
      </c>
      <c r="N64" t="n">
        <v>0</v>
      </c>
      <c r="O64" t="n">
        <v>0</v>
      </c>
      <c r="P64" t="n">
        <v>0</v>
      </c>
      <c r="Q64" t="n">
        <v>1</v>
      </c>
      <c r="R64" s="2" t="inlineStr">
        <is>
          <t>Skogsknipprot</t>
        </is>
      </c>
      <c r="S64">
        <f>HYPERLINK("https://klasma.github.io/Logging_1880/artfynd/A 6926-2021 artfynd.xlsx", "A 6926-2021")</f>
        <v/>
      </c>
      <c r="T64">
        <f>HYPERLINK("https://klasma.github.io/Logging_1880/kartor/A 6926-2021 karta.png", "A 6926-2021")</f>
        <v/>
      </c>
      <c r="V64">
        <f>HYPERLINK("https://klasma.github.io/Logging_1880/klagomål/A 6926-2021 FSC-klagomål.docx", "A 6926-2021")</f>
        <v/>
      </c>
      <c r="W64">
        <f>HYPERLINK("https://klasma.github.io/Logging_1880/klagomålsmail/A 6926-2021 FSC-klagomål mail.docx", "A 6926-2021")</f>
        <v/>
      </c>
      <c r="X64">
        <f>HYPERLINK("https://klasma.github.io/Logging_1880/tillsyn/A 6926-2021 tillsynsbegäran.docx", "A 6926-2021")</f>
        <v/>
      </c>
      <c r="Y64">
        <f>HYPERLINK("https://klasma.github.io/Logging_1880/tillsynsmail/A 6926-2021 tillsynsbegäran mail.docx", "A 6926-2021")</f>
        <v/>
      </c>
    </row>
    <row r="65" ht="15" customHeight="1">
      <c r="A65" t="inlineStr">
        <is>
          <t>A 8256-2021</t>
        </is>
      </c>
      <c r="B65" s="1" t="n">
        <v>44244</v>
      </c>
      <c r="C65" s="1" t="n">
        <v>45568</v>
      </c>
      <c r="D65" t="inlineStr">
        <is>
          <t>ÖREBRO LÄN</t>
        </is>
      </c>
      <c r="E65" t="inlineStr">
        <is>
          <t>ÖREBRO</t>
        </is>
      </c>
      <c r="G65" t="n">
        <v>1</v>
      </c>
      <c r="H65" t="n">
        <v>0</v>
      </c>
      <c r="I65" t="n">
        <v>1</v>
      </c>
      <c r="J65" t="n">
        <v>0</v>
      </c>
      <c r="K65" t="n">
        <v>0</v>
      </c>
      <c r="L65" t="n">
        <v>0</v>
      </c>
      <c r="M65" t="n">
        <v>0</v>
      </c>
      <c r="N65" t="n">
        <v>0</v>
      </c>
      <c r="O65" t="n">
        <v>0</v>
      </c>
      <c r="P65" t="n">
        <v>0</v>
      </c>
      <c r="Q65" t="n">
        <v>1</v>
      </c>
      <c r="R65" s="2" t="inlineStr">
        <is>
          <t>Svart trolldruva</t>
        </is>
      </c>
      <c r="S65">
        <f>HYPERLINK("https://klasma.github.io/Logging_1880/artfynd/A 8256-2021 artfynd.xlsx", "A 8256-2021")</f>
        <v/>
      </c>
      <c r="T65">
        <f>HYPERLINK("https://klasma.github.io/Logging_1880/kartor/A 8256-2021 karta.png", "A 8256-2021")</f>
        <v/>
      </c>
      <c r="V65">
        <f>HYPERLINK("https://klasma.github.io/Logging_1880/klagomål/A 8256-2021 FSC-klagomål.docx", "A 8256-2021")</f>
        <v/>
      </c>
      <c r="W65">
        <f>HYPERLINK("https://klasma.github.io/Logging_1880/klagomålsmail/A 8256-2021 FSC-klagomål mail.docx", "A 8256-2021")</f>
        <v/>
      </c>
      <c r="X65">
        <f>HYPERLINK("https://klasma.github.io/Logging_1880/tillsyn/A 8256-2021 tillsynsbegäran.docx", "A 8256-2021")</f>
        <v/>
      </c>
      <c r="Y65">
        <f>HYPERLINK("https://klasma.github.io/Logging_1880/tillsynsmail/A 8256-2021 tillsynsbegäran mail.docx", "A 8256-2021")</f>
        <v/>
      </c>
    </row>
    <row r="66" ht="15" customHeight="1">
      <c r="A66" t="inlineStr">
        <is>
          <t>A 8577-2021</t>
        </is>
      </c>
      <c r="B66" s="1" t="n">
        <v>44245</v>
      </c>
      <c r="C66" s="1" t="n">
        <v>45568</v>
      </c>
      <c r="D66" t="inlineStr">
        <is>
          <t>ÖREBRO LÄN</t>
        </is>
      </c>
      <c r="E66" t="inlineStr">
        <is>
          <t>ÖREBRO</t>
        </is>
      </c>
      <c r="G66" t="n">
        <v>6.5</v>
      </c>
      <c r="H66" t="n">
        <v>0</v>
      </c>
      <c r="I66" t="n">
        <v>1</v>
      </c>
      <c r="J66" t="n">
        <v>0</v>
      </c>
      <c r="K66" t="n">
        <v>0</v>
      </c>
      <c r="L66" t="n">
        <v>0</v>
      </c>
      <c r="M66" t="n">
        <v>0</v>
      </c>
      <c r="N66" t="n">
        <v>0</v>
      </c>
      <c r="O66" t="n">
        <v>0</v>
      </c>
      <c r="P66" t="n">
        <v>0</v>
      </c>
      <c r="Q66" t="n">
        <v>1</v>
      </c>
      <c r="R66" s="2" t="inlineStr">
        <is>
          <t>Spädstarr</t>
        </is>
      </c>
      <c r="S66">
        <f>HYPERLINK("https://klasma.github.io/Logging_1880/artfynd/A 8577-2021 artfynd.xlsx", "A 8577-2021")</f>
        <v/>
      </c>
      <c r="T66">
        <f>HYPERLINK("https://klasma.github.io/Logging_1880/kartor/A 8577-2021 karta.png", "A 8577-2021")</f>
        <v/>
      </c>
      <c r="V66">
        <f>HYPERLINK("https://klasma.github.io/Logging_1880/klagomål/A 8577-2021 FSC-klagomål.docx", "A 8577-2021")</f>
        <v/>
      </c>
      <c r="W66">
        <f>HYPERLINK("https://klasma.github.io/Logging_1880/klagomålsmail/A 8577-2021 FSC-klagomål mail.docx", "A 8577-2021")</f>
        <v/>
      </c>
      <c r="X66">
        <f>HYPERLINK("https://klasma.github.io/Logging_1880/tillsyn/A 8577-2021 tillsynsbegäran.docx", "A 8577-2021")</f>
        <v/>
      </c>
      <c r="Y66">
        <f>HYPERLINK("https://klasma.github.io/Logging_1880/tillsynsmail/A 8577-2021 tillsynsbegäran mail.docx", "A 8577-2021")</f>
        <v/>
      </c>
    </row>
    <row r="67" ht="15" customHeight="1">
      <c r="A67" t="inlineStr">
        <is>
          <t>A 15621-2021</t>
        </is>
      </c>
      <c r="B67" s="1" t="n">
        <v>44285</v>
      </c>
      <c r="C67" s="1" t="n">
        <v>45568</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32595-2021</t>
        </is>
      </c>
      <c r="B68" s="1" t="n">
        <v>44375</v>
      </c>
      <c r="C68" s="1" t="n">
        <v>45568</v>
      </c>
      <c r="D68" t="inlineStr">
        <is>
          <t>ÖREBRO LÄN</t>
        </is>
      </c>
      <c r="E68" t="inlineStr">
        <is>
          <t>ÖREBRO</t>
        </is>
      </c>
      <c r="F68" t="inlineStr">
        <is>
          <t>Kommuner</t>
        </is>
      </c>
      <c r="G68" t="n">
        <v>2.7</v>
      </c>
      <c r="H68" t="n">
        <v>1</v>
      </c>
      <c r="I68" t="n">
        <v>1</v>
      </c>
      <c r="J68" t="n">
        <v>0</v>
      </c>
      <c r="K68" t="n">
        <v>0</v>
      </c>
      <c r="L68" t="n">
        <v>0</v>
      </c>
      <c r="M68" t="n">
        <v>0</v>
      </c>
      <c r="N68" t="n">
        <v>0</v>
      </c>
      <c r="O68" t="n">
        <v>0</v>
      </c>
      <c r="P68" t="n">
        <v>0</v>
      </c>
      <c r="Q68" t="n">
        <v>1</v>
      </c>
      <c r="R68" s="2" t="inlineStr">
        <is>
          <t>Purpurknipprot</t>
        </is>
      </c>
      <c r="S68">
        <f>HYPERLINK("https://klasma.github.io/Logging_1880/artfynd/A 32595-2021 artfynd.xlsx", "A 32595-2021")</f>
        <v/>
      </c>
      <c r="T68">
        <f>HYPERLINK("https://klasma.github.io/Logging_1880/kartor/A 32595-2021 karta.png", "A 32595-2021")</f>
        <v/>
      </c>
      <c r="V68">
        <f>HYPERLINK("https://klasma.github.io/Logging_1880/klagomål/A 32595-2021 FSC-klagomål.docx", "A 32595-2021")</f>
        <v/>
      </c>
      <c r="W68">
        <f>HYPERLINK("https://klasma.github.io/Logging_1880/klagomålsmail/A 32595-2021 FSC-klagomål mail.docx", "A 32595-2021")</f>
        <v/>
      </c>
      <c r="X68">
        <f>HYPERLINK("https://klasma.github.io/Logging_1880/tillsyn/A 32595-2021 tillsynsbegäran.docx", "A 32595-2021")</f>
        <v/>
      </c>
      <c r="Y68">
        <f>HYPERLINK("https://klasma.github.io/Logging_1880/tillsynsmail/A 32595-2021 tillsynsbegäran mail.docx", "A 32595-2021")</f>
        <v/>
      </c>
    </row>
    <row r="69" ht="15" customHeight="1">
      <c r="A69" t="inlineStr">
        <is>
          <t>A 44052-2021</t>
        </is>
      </c>
      <c r="B69" s="1" t="n">
        <v>44434</v>
      </c>
      <c r="C69" s="1" t="n">
        <v>45568</v>
      </c>
      <c r="D69" t="inlineStr">
        <is>
          <t>ÖREBRO LÄN</t>
        </is>
      </c>
      <c r="E69" t="inlineStr">
        <is>
          <t>ÖREBRO</t>
        </is>
      </c>
      <c r="G69" t="n">
        <v>2.5</v>
      </c>
      <c r="H69" t="n">
        <v>1</v>
      </c>
      <c r="I69" t="n">
        <v>0</v>
      </c>
      <c r="J69" t="n">
        <v>1</v>
      </c>
      <c r="K69" t="n">
        <v>0</v>
      </c>
      <c r="L69" t="n">
        <v>0</v>
      </c>
      <c r="M69" t="n">
        <v>0</v>
      </c>
      <c r="N69" t="n">
        <v>0</v>
      </c>
      <c r="O69" t="n">
        <v>1</v>
      </c>
      <c r="P69" t="n">
        <v>0</v>
      </c>
      <c r="Q69" t="n">
        <v>1</v>
      </c>
      <c r="R69" s="2" t="inlineStr">
        <is>
          <t>Spillkråka</t>
        </is>
      </c>
      <c r="S69">
        <f>HYPERLINK("https://klasma.github.io/Logging_1880/artfynd/A 44052-2021 artfynd.xlsx", "A 44052-2021")</f>
        <v/>
      </c>
      <c r="T69">
        <f>HYPERLINK("https://klasma.github.io/Logging_1880/kartor/A 44052-2021 karta.png", "A 44052-2021")</f>
        <v/>
      </c>
      <c r="V69">
        <f>HYPERLINK("https://klasma.github.io/Logging_1880/klagomål/A 44052-2021 FSC-klagomål.docx", "A 44052-2021")</f>
        <v/>
      </c>
      <c r="W69">
        <f>HYPERLINK("https://klasma.github.io/Logging_1880/klagomålsmail/A 44052-2021 FSC-klagomål mail.docx", "A 44052-2021")</f>
        <v/>
      </c>
      <c r="X69">
        <f>HYPERLINK("https://klasma.github.io/Logging_1880/tillsyn/A 44052-2021 tillsynsbegäran.docx", "A 44052-2021")</f>
        <v/>
      </c>
      <c r="Y69">
        <f>HYPERLINK("https://klasma.github.io/Logging_1880/tillsynsmail/A 44052-2021 tillsynsbegäran mail.docx", "A 44052-2021")</f>
        <v/>
      </c>
      <c r="Z69">
        <f>HYPERLINK("https://klasma.github.io/Logging_1880/fåglar/A 44052-2021 prioriterade fågelarter.docx", "A 44052-2021")</f>
        <v/>
      </c>
    </row>
    <row r="70" ht="15" customHeight="1">
      <c r="A70" t="inlineStr">
        <is>
          <t>A 44389-2021</t>
        </is>
      </c>
      <c r="B70" s="1" t="n">
        <v>44435</v>
      </c>
      <c r="C70" s="1" t="n">
        <v>45568</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57108-2021</t>
        </is>
      </c>
      <c r="B71" s="1" t="n">
        <v>44482</v>
      </c>
      <c r="C71" s="1" t="n">
        <v>45568</v>
      </c>
      <c r="D71" t="inlineStr">
        <is>
          <t>ÖREBRO LÄN</t>
        </is>
      </c>
      <c r="E71" t="inlineStr">
        <is>
          <t>ÖREBRO</t>
        </is>
      </c>
      <c r="F71" t="inlineStr">
        <is>
          <t>Sveaskog</t>
        </is>
      </c>
      <c r="G71" t="n">
        <v>0.6</v>
      </c>
      <c r="H71" t="n">
        <v>1</v>
      </c>
      <c r="I71" t="n">
        <v>0</v>
      </c>
      <c r="J71" t="n">
        <v>0</v>
      </c>
      <c r="K71" t="n">
        <v>0</v>
      </c>
      <c r="L71" t="n">
        <v>0</v>
      </c>
      <c r="M71" t="n">
        <v>0</v>
      </c>
      <c r="N71" t="n">
        <v>0</v>
      </c>
      <c r="O71" t="n">
        <v>0</v>
      </c>
      <c r="P71" t="n">
        <v>0</v>
      </c>
      <c r="Q71" t="n">
        <v>1</v>
      </c>
      <c r="R71" s="2" t="inlineStr">
        <is>
          <t>Huggorm</t>
        </is>
      </c>
      <c r="S71">
        <f>HYPERLINK("https://klasma.github.io/Logging_1880/artfynd/A 57108-2021 artfynd.xlsx", "A 57108-2021")</f>
        <v/>
      </c>
      <c r="T71">
        <f>HYPERLINK("https://klasma.github.io/Logging_1880/kartor/A 57108-2021 karta.png", "A 57108-2021")</f>
        <v/>
      </c>
      <c r="V71">
        <f>HYPERLINK("https://klasma.github.io/Logging_1880/klagomål/A 57108-2021 FSC-klagomål.docx", "A 57108-2021")</f>
        <v/>
      </c>
      <c r="W71">
        <f>HYPERLINK("https://klasma.github.io/Logging_1880/klagomålsmail/A 57108-2021 FSC-klagomål mail.docx", "A 57108-2021")</f>
        <v/>
      </c>
      <c r="X71">
        <f>HYPERLINK("https://klasma.github.io/Logging_1880/tillsyn/A 57108-2021 tillsynsbegäran.docx", "A 57108-2021")</f>
        <v/>
      </c>
      <c r="Y71">
        <f>HYPERLINK("https://klasma.github.io/Logging_1880/tillsynsmail/A 57108-2021 tillsynsbegäran mail.docx", "A 57108-2021")</f>
        <v/>
      </c>
    </row>
    <row r="72" ht="15" customHeight="1">
      <c r="A72" t="inlineStr">
        <is>
          <t>A 4943-2022</t>
        </is>
      </c>
      <c r="B72" s="1" t="n">
        <v>44593</v>
      </c>
      <c r="C72" s="1" t="n">
        <v>45568</v>
      </c>
      <c r="D72" t="inlineStr">
        <is>
          <t>ÖREBRO LÄN</t>
        </is>
      </c>
      <c r="E72" t="inlineStr">
        <is>
          <t>ÖREBRO</t>
        </is>
      </c>
      <c r="G72" t="n">
        <v>1.1</v>
      </c>
      <c r="H72" t="n">
        <v>0</v>
      </c>
      <c r="I72" t="n">
        <v>0</v>
      </c>
      <c r="J72" t="n">
        <v>1</v>
      </c>
      <c r="K72" t="n">
        <v>0</v>
      </c>
      <c r="L72" t="n">
        <v>0</v>
      </c>
      <c r="M72" t="n">
        <v>0</v>
      </c>
      <c r="N72" t="n">
        <v>0</v>
      </c>
      <c r="O72" t="n">
        <v>1</v>
      </c>
      <c r="P72" t="n">
        <v>0</v>
      </c>
      <c r="Q72" t="n">
        <v>1</v>
      </c>
      <c r="R72" s="2" t="inlineStr">
        <is>
          <t>Skinntagging</t>
        </is>
      </c>
      <c r="S72">
        <f>HYPERLINK("https://klasma.github.io/Logging_1880/artfynd/A 4943-2022 artfynd.xlsx", "A 4943-2022")</f>
        <v/>
      </c>
      <c r="T72">
        <f>HYPERLINK("https://klasma.github.io/Logging_1880/kartor/A 4943-2022 karta.png", "A 4943-2022")</f>
        <v/>
      </c>
      <c r="V72">
        <f>HYPERLINK("https://klasma.github.io/Logging_1880/klagomål/A 4943-2022 FSC-klagomål.docx", "A 4943-2022")</f>
        <v/>
      </c>
      <c r="W72">
        <f>HYPERLINK("https://klasma.github.io/Logging_1880/klagomålsmail/A 4943-2022 FSC-klagomål mail.docx", "A 4943-2022")</f>
        <v/>
      </c>
      <c r="X72">
        <f>HYPERLINK("https://klasma.github.io/Logging_1880/tillsyn/A 4943-2022 tillsynsbegäran.docx", "A 4943-2022")</f>
        <v/>
      </c>
      <c r="Y72">
        <f>HYPERLINK("https://klasma.github.io/Logging_1880/tillsynsmail/A 4943-2022 tillsynsbegäran mail.docx", "A 4943-2022")</f>
        <v/>
      </c>
    </row>
    <row r="73" ht="15" customHeight="1">
      <c r="A73" t="inlineStr">
        <is>
          <t>A 12974-2022</t>
        </is>
      </c>
      <c r="B73" s="1" t="n">
        <v>44643</v>
      </c>
      <c r="C73" s="1" t="n">
        <v>45568</v>
      </c>
      <c r="D73" t="inlineStr">
        <is>
          <t>ÖREBRO LÄN</t>
        </is>
      </c>
      <c r="E73" t="inlineStr">
        <is>
          <t>ÖREBRO</t>
        </is>
      </c>
      <c r="G73" t="n">
        <v>3.3</v>
      </c>
      <c r="H73" t="n">
        <v>1</v>
      </c>
      <c r="I73" t="n">
        <v>0</v>
      </c>
      <c r="J73" t="n">
        <v>1</v>
      </c>
      <c r="K73" t="n">
        <v>0</v>
      </c>
      <c r="L73" t="n">
        <v>0</v>
      </c>
      <c r="M73" t="n">
        <v>0</v>
      </c>
      <c r="N73" t="n">
        <v>0</v>
      </c>
      <c r="O73" t="n">
        <v>1</v>
      </c>
      <c r="P73" t="n">
        <v>0</v>
      </c>
      <c r="Q73" t="n">
        <v>1</v>
      </c>
      <c r="R73" s="2" t="inlineStr">
        <is>
          <t>Duvhök</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26890-2022</t>
        </is>
      </c>
      <c r="B74" s="1" t="n">
        <v>44740</v>
      </c>
      <c r="C74" s="1" t="n">
        <v>45568</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45568</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45568</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45568</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45568</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45568</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45568</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45568</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45568</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45568</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45568</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45568</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45568</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45568</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45568</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45568</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45568</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45568</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45568</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45568</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45568</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45568</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45568</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45568</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45568</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45568</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45568</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45568</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45568</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45568</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45568</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45568</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45568</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45568</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45568</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45568</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45568</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45568</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45568</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45568</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45568</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45568</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45568</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45568</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45568</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45568</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45568</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45568</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45568</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45568</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45568</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45568</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45568</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45568</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45568</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45568</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45568</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45568</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45568</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45568</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45568</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45568</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45568</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45568</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45568</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45568</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45568</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45568</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45568</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45568</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45568</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45568</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45568</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45568</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45568</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45568</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45568</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45568</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45568</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45568</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45568</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45568</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45568</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45568</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45568</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45568</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45568</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45568</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45568</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45568</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45568</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45568</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45568</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45568</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45568</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45568</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45568</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45568</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45568</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45568</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45568</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45568</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45568</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45568</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45568</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45568</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45568</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45568</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45568</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45568</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45568</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45568</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45568</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45568</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45568</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45568</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45568</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45568</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45568</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45568</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45568</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45568</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45568</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45568</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45568</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45568</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45568</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45568</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45568</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45568</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45568</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45568</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45568</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45568</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45568</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45568</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45568</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45568</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45568</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45568</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45568</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45568</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45568</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45568</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45568</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45568</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45568</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45568</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45568</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45568</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45568</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45568</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45568</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45568</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45568</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45568</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45568</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45568</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45568</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45568</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45568</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45568</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45568</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45568</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45568</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45568</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45568</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45568</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45568</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45568</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45568</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45568</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45568</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45568</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45568</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45568</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45568</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45568</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45568</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45568</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45568</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45568</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45568</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45568</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45568</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45568</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45568</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45568</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45568</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45568</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45568</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45568</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45568</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45568</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45568</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45568</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45568</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45568</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45568</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45568</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45568</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45568</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45568</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45568</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45568</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45568</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45568</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45568</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45568</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45568</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45568</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45568</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45568</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45568</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45568</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45568</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45568</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45568</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45568</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45568</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45568</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45568</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45568</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45568</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45568</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45568</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45568</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45568</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45568</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45568</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45568</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45568</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45568</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45568</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45568</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45568</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45568</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45568</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45568</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45568</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45568</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45568</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45568</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45568</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45568</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45568</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45568</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45568</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45568</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45568</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45568</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45568</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45568</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45568</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45568</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45568</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45568</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45568</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45568</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45568</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45568</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45568</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45568</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45568</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45568</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45568</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45568</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45568</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45568</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45568</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45568</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45568</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45568</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45568</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45568</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45568</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45568</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45568</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45568</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45568</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45568</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45568</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45568</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45568</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45568</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45568</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45568</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45568</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45568</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45568</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45568</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45568</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45568</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45568</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45568</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45568</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45568</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45568</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45568</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45568</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45568</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45568</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45568</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45568</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45568</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45568</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45568</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45568</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45568</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45568</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45568</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45568</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45568</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45568</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45568</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45568</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45568</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45568</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45568</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45568</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45568</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45568</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45568</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45568</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45568</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45568</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45568</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45568</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45568</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45568</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45568</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45568</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45568</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45568</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45568</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45568</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45568</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45568</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45568</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45568</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45568</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45568</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45568</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45568</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45568</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45568</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45568</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45568</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45568</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45568</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45568</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45568</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45568</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45568</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45568</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45568</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45568</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45568</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45568</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45568</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45568</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45568</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45568</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45568</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45568</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45568</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45568</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45568</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45568</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45568</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45568</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45568</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45568</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45568</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45568</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45568</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45568</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45568</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45568</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45568</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45568</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45568</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45568</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45568</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45568</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45568</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45568</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45568</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45568</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45568</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45568</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45568</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45568</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45568</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45568</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45568</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45568</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45568</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45568</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45568</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45568</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45568</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45568</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45568</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45568</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45568</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45568</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45568</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45568</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45568</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45568</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45568</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45568</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45568</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45568</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45568</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45568</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45568</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45568</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45568</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45568</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45568</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45568</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45568</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45568</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45568</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45568</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45568</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45568</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45568</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45568</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45568</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45568</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45568</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45568</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45568</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45568</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45568</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45568</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45568</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45568</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45568</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45568</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45568</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45568</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45568</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45568</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45568</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45568</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45568</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45568</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45568</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45568</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45568</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45568</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45568</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45568</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45568</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45568</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45568</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45568</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45568</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45568</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45568</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45568</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45568</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45568</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45568</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45568</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45568</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45568</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45568</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45568</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45568</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45568</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45568</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45568</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45568</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45568</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45568</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45568</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45568</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45568</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45568</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45568</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45568</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45568</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45568</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45568</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45568</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45568</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45568</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45568</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45568</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45568</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45568</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45568</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45568</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45568</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45568</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45568</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45568</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45568</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45568</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45568</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45568</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45568</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45568</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45568</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45568</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45568</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45568</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45568</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45568</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45568</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45568</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45568</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45568</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45568</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45568</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45568</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45568</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45568</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45568</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45568</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45568</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45568</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45568</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45568</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45568</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45568</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45568</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45568</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45568</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45568</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45568</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45568</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45568</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45568</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45568</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45568</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45568</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45568</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45568</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45568</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45568</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45568</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45568</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45568</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45568</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45568</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45568</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45568</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45568</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45568</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45568</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45568</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45568</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45568</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45568</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45568</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45568</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45568</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45568</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45568</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45568</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45568</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45568</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45568</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45568</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45568</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45568</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45568</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45568</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45568</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45568</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45568</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45568</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45568</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45568</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45568</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45568</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45568</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45568</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45568</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45568</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45568</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45568</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45568</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45568</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45568</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45568</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45568</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45568</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45568</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45568</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45568</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45568</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45568</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45568</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45568</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45568</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45568</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45568</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45568</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45568</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45568</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45568</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45568</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45568</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45568</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45568</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45568</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45568</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45568</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45568</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45568</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45568</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45568</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45568</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45568</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45568</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45568</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45568</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45568</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45568</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45568</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45568</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45568</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45568</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45568</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45568</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45568</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45568</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45568</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45568</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45568</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45568</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45568</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45568</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45568</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45568</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45568</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45568</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45568</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45568</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45568</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45568</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45568</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45568</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45568</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45568</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45568</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45568</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45568</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45568</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45568</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45568</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45568</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45568</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45568</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45568</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45568</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45568</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45568</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45568</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45568</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45568</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45568</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45568</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45568</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45568</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45568</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45568</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45568</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45568</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45568</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45568</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45568</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45568</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45568</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45568</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45568</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45568</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45568</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45568</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45568</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45568</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45568</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45568</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45568</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45568</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45568</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45568</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45568</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45568</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45568</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45568</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45568</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45568</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45568</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45568</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45568</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45568</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45568</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45568</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45568</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45568</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45568</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45568</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45568</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45568</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45568</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45568</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45568</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45568</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45568</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45568</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45568</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45568</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45568</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45568</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45568</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45568</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45568</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45568</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45568</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45568</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45568</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45568</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45568</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45568</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45568</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45568</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45568</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45568</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45568</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45568</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45568</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45568</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45568</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45568</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45568</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45568</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45568</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45568</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45568</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45568</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45568</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45568</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45568</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45568</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45568</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45568</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45568</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45568</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45568</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45568</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45568</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45568</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45568</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45568</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45568</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45568</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45568</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45568</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45568</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45568</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45568</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45568</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45568</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45568</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45568</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45568</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45568</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45568</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45568</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45568</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45568</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45568</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45568</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45568</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45568</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45568</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45568</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45568</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45568</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45568</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45568</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45568</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45568</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45568</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45568</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45568</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45568</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45568</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45568</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45568</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45568</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45568</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45568</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45568</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45568</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45568</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45568</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45568</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45568</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45568</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45568</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45568</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45568</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45568</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45568</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45568</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45568</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45568</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45568</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45568</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45568</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45568</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45568</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45568</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45568</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45568</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45568</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45568</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45568</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45568</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45568</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45568</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45568</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45568</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45568</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45568</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45568</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45568</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45568</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45568</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45568</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45568</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45568</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45568</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45568</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45568</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45568</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45568</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45568</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45568</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45568</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45568</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45568</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45568</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45568</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45568</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45568</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45568</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45568</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45568</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45568</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45568</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45568</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45568</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45568</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45568</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45568</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45568</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45568</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45568</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45568</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45568</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45568</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45568</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45568</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45568</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45568</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45568</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45568</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45568</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45568</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45568</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45568</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45568</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45568</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45568</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45568</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45568</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45568</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45568</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45568</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45568</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45568</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45568</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45568</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45568</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45568</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45568</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45568</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45568</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45568</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45568</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45568</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45568</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45568</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45568</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45568</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45568</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45568</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45568</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37022-2024</t>
        </is>
      </c>
      <c r="B982" s="1" t="n">
        <v>45539</v>
      </c>
      <c r="C982" s="1" t="n">
        <v>45568</v>
      </c>
      <c r="D982" t="inlineStr">
        <is>
          <t>ÖREBRO LÄN</t>
        </is>
      </c>
      <c r="E982" t="inlineStr">
        <is>
          <t>ÖREBRO</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37012-2024</t>
        </is>
      </c>
      <c r="B983" s="1" t="n">
        <v>45539</v>
      </c>
      <c r="C983" s="1" t="n">
        <v>45568</v>
      </c>
      <c r="D983" t="inlineStr">
        <is>
          <t>ÖREBRO LÄN</t>
        </is>
      </c>
      <c r="E983" t="inlineStr">
        <is>
          <t>ÖREBRO</t>
        </is>
      </c>
      <c r="G983" t="n">
        <v>4.1</v>
      </c>
      <c r="H983" t="n">
        <v>0</v>
      </c>
      <c r="I983" t="n">
        <v>0</v>
      </c>
      <c r="J983" t="n">
        <v>0</v>
      </c>
      <c r="K983" t="n">
        <v>0</v>
      </c>
      <c r="L983" t="n">
        <v>0</v>
      </c>
      <c r="M983" t="n">
        <v>0</v>
      </c>
      <c r="N983" t="n">
        <v>0</v>
      </c>
      <c r="O983" t="n">
        <v>0</v>
      </c>
      <c r="P983" t="n">
        <v>0</v>
      </c>
      <c r="Q983" t="n">
        <v>0</v>
      </c>
      <c r="R983" s="2" t="inlineStr"/>
    </row>
    <row r="984" ht="15" customHeight="1">
      <c r="A984" t="inlineStr">
        <is>
          <t>A 37020-2024</t>
        </is>
      </c>
      <c r="B984" s="1" t="n">
        <v>45539</v>
      </c>
      <c r="C984" s="1" t="n">
        <v>45568</v>
      </c>
      <c r="D984" t="inlineStr">
        <is>
          <t>ÖREBRO LÄN</t>
        </is>
      </c>
      <c r="E984" t="inlineStr">
        <is>
          <t>ÖREBRO</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37024-2024</t>
        </is>
      </c>
      <c r="B985" s="1" t="n">
        <v>45539</v>
      </c>
      <c r="C985" s="1" t="n">
        <v>45568</v>
      </c>
      <c r="D985" t="inlineStr">
        <is>
          <t>ÖREBRO LÄN</t>
        </is>
      </c>
      <c r="E985" t="inlineStr">
        <is>
          <t>ÖREBRO</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37027-2024</t>
        </is>
      </c>
      <c r="B986" s="1" t="n">
        <v>45539</v>
      </c>
      <c r="C986" s="1" t="n">
        <v>45568</v>
      </c>
      <c r="D986" t="inlineStr">
        <is>
          <t>ÖREBRO LÄN</t>
        </is>
      </c>
      <c r="E986" t="inlineStr">
        <is>
          <t>ÖREBRO</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37021-2024</t>
        </is>
      </c>
      <c r="B987" s="1" t="n">
        <v>45539</v>
      </c>
      <c r="C987" s="1" t="n">
        <v>45568</v>
      </c>
      <c r="D987" t="inlineStr">
        <is>
          <t>ÖREBRO LÄN</t>
        </is>
      </c>
      <c r="E987" t="inlineStr">
        <is>
          <t>ÖREBRO</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37025-2024</t>
        </is>
      </c>
      <c r="B988" s="1" t="n">
        <v>45539</v>
      </c>
      <c r="C988" s="1" t="n">
        <v>45568</v>
      </c>
      <c r="D988" t="inlineStr">
        <is>
          <t>ÖREBRO LÄN</t>
        </is>
      </c>
      <c r="E988" t="inlineStr">
        <is>
          <t>ÖREBRO</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45568</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37772-2024</t>
        </is>
      </c>
      <c r="B990" s="1" t="n">
        <v>45542</v>
      </c>
      <c r="C990" s="1" t="n">
        <v>45568</v>
      </c>
      <c r="D990" t="inlineStr">
        <is>
          <t>ÖREBRO LÄN</t>
        </is>
      </c>
      <c r="E990" t="inlineStr">
        <is>
          <t>ÖREBRO</t>
        </is>
      </c>
      <c r="G990" t="n">
        <v>3.2</v>
      </c>
      <c r="H990" t="n">
        <v>0</v>
      </c>
      <c r="I990" t="n">
        <v>0</v>
      </c>
      <c r="J990" t="n">
        <v>0</v>
      </c>
      <c r="K990" t="n">
        <v>0</v>
      </c>
      <c r="L990" t="n">
        <v>0</v>
      </c>
      <c r="M990" t="n">
        <v>0</v>
      </c>
      <c r="N990" t="n">
        <v>0</v>
      </c>
      <c r="O990" t="n">
        <v>0</v>
      </c>
      <c r="P990" t="n">
        <v>0</v>
      </c>
      <c r="Q990" t="n">
        <v>0</v>
      </c>
      <c r="R990" s="2" t="inlineStr"/>
    </row>
    <row r="991" ht="15" customHeight="1">
      <c r="A991" t="inlineStr">
        <is>
          <t>A 37784-2024</t>
        </is>
      </c>
      <c r="B991" s="1" t="n">
        <v>45542</v>
      </c>
      <c r="C991" s="1" t="n">
        <v>45568</v>
      </c>
      <c r="D991" t="inlineStr">
        <is>
          <t>ÖREBRO LÄN</t>
        </is>
      </c>
      <c r="E991" t="inlineStr">
        <is>
          <t>ÖREBRO</t>
        </is>
      </c>
      <c r="G991" t="n">
        <v>8.6</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45568</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37771-2024</t>
        </is>
      </c>
      <c r="B993" s="1" t="n">
        <v>45542</v>
      </c>
      <c r="C993" s="1" t="n">
        <v>45568</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37773-2024</t>
        </is>
      </c>
      <c r="B994" s="1" t="n">
        <v>45542</v>
      </c>
      <c r="C994" s="1" t="n">
        <v>45568</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45568</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45568</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45568</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45568</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45568</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45568</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45568</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41543-2024</t>
        </is>
      </c>
      <c r="B1002" s="1" t="n">
        <v>45560</v>
      </c>
      <c r="C1002" s="1" t="n">
        <v>45568</v>
      </c>
      <c r="D1002" t="inlineStr">
        <is>
          <t>ÖREBRO LÄN</t>
        </is>
      </c>
      <c r="E1002" t="inlineStr">
        <is>
          <t>ÖREBRO</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41703-2024</t>
        </is>
      </c>
      <c r="B1003" s="1" t="n">
        <v>45560</v>
      </c>
      <c r="C1003" s="1" t="n">
        <v>45568</v>
      </c>
      <c r="D1003" t="inlineStr">
        <is>
          <t>ÖREBRO LÄN</t>
        </is>
      </c>
      <c r="E1003" t="inlineStr">
        <is>
          <t>ÖREBRO</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45568</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45568</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45568</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2024-10-03T12:36:32Z</dcterms:created>
  <dcterms:modified xmlns:dcterms="http://purl.org/dc/terms/" xmlns:xsi="http://www.w3.org/2001/XMLSchema-instance" xsi:type="dcterms:W3CDTF">2024-10-03T12:36:33Z</dcterms:modified>
</cp:coreProperties>
</file>