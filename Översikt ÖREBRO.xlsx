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46131</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46131</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46131</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46131</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46131</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46131</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46131</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46131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46131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46131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46131</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46131</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46131</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46131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46131</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46131</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46131</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46131</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46131</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46131</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46131</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46131</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46131</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575-2024</t>
        </is>
      </c>
      <c r="B30" s="1" t="n">
        <v>45299</v>
      </c>
      <c r="C30" s="1" t="n">
        <v>46131</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46131</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46131</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51550-2025</t>
        </is>
      </c>
      <c r="B35" s="1" t="n">
        <v>45950.83359953704</v>
      </c>
      <c r="C35" s="1" t="n">
        <v>46131</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22577-2024</t>
        </is>
      </c>
      <c r="B36" s="1" t="n">
        <v>45447</v>
      </c>
      <c r="C36" s="1" t="n">
        <v>46131</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46131</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60557-2025</t>
        </is>
      </c>
      <c r="B38" s="1" t="n">
        <v>45995.74444444444</v>
      </c>
      <c r="C38" s="1" t="n">
        <v>46131</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46131</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13395-2024</t>
        </is>
      </c>
      <c r="B40" s="1" t="n">
        <v>45387.42296296296</v>
      </c>
      <c r="C40" s="1" t="n">
        <v>46131</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2998-2026</t>
        </is>
      </c>
      <c r="B41" s="1" t="n">
        <v>46038.64835648148</v>
      </c>
      <c r="C41" s="1" t="n">
        <v>46131</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46131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46131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46131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46131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46131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46131</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46131</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46131</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46131</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46131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52382-2025</t>
        </is>
      </c>
      <c r="B52" s="1" t="n">
        <v>45953.9559837963</v>
      </c>
      <c r="C52" s="1" t="n">
        <v>46131</v>
      </c>
      <c r="D52" t="inlineStr">
        <is>
          <t>ÖREBRO LÄN</t>
        </is>
      </c>
      <c r="E52" t="inlineStr">
        <is>
          <t>ÖREBRO</t>
        </is>
      </c>
      <c r="F52" t="inlineStr">
        <is>
          <t>Sveaskog</t>
        </is>
      </c>
      <c r="G52" t="n">
        <v>3.4</v>
      </c>
      <c r="H52" t="n">
        <v>0</v>
      </c>
      <c r="I52" t="n">
        <v>0</v>
      </c>
      <c r="J52" t="n">
        <v>1</v>
      </c>
      <c r="K52" t="n">
        <v>0</v>
      </c>
      <c r="L52" t="n">
        <v>0</v>
      </c>
      <c r="M52" t="n">
        <v>0</v>
      </c>
      <c r="N52" t="n">
        <v>0</v>
      </c>
      <c r="O52" t="n">
        <v>1</v>
      </c>
      <c r="P52" t="n">
        <v>0</v>
      </c>
      <c r="Q52" t="n">
        <v>1</v>
      </c>
      <c r="R52" s="2" t="inlineStr">
        <is>
          <t>Grantaggsvamp</t>
        </is>
      </c>
      <c r="S52">
        <f>HYPERLINK("https://klasma.github.io/Logging_1880/artfynd/A 52382-2025 artfynd.xlsx", "A 52382-2025")</f>
        <v/>
      </c>
      <c r="T52">
        <f>HYPERLINK("https://klasma.github.io/Logging_1880/kartor/A 52382-2025 karta.png", "A 52382-2025")</f>
        <v/>
      </c>
      <c r="V52">
        <f>HYPERLINK("https://klasma.github.io/Logging_1880/klagomål/A 52382-2025 FSC-klagomål.docx", "A 52382-2025")</f>
        <v/>
      </c>
      <c r="W52">
        <f>HYPERLINK("https://klasma.github.io/Logging_1880/klagomålsmail/A 52382-2025 FSC-klagomål mail.docx", "A 52382-2025")</f>
        <v/>
      </c>
      <c r="X52">
        <f>HYPERLINK("https://klasma.github.io/Logging_1880/tillsyn/A 52382-2025 tillsynsbegäran.docx", "A 52382-2025")</f>
        <v/>
      </c>
      <c r="Y52">
        <f>HYPERLINK("https://klasma.github.io/Logging_1880/tillsynsmail/A 52382-2025 tillsynsbegäran mail.docx", "A 52382-2025")</f>
        <v/>
      </c>
    </row>
    <row r="53" ht="15" customHeight="1">
      <c r="A53" t="inlineStr">
        <is>
          <t>A 11501-2025</t>
        </is>
      </c>
      <c r="B53" s="1" t="n">
        <v>45726</v>
      </c>
      <c r="C53" s="1" t="n">
        <v>46131</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28936-2025</t>
        </is>
      </c>
      <c r="B54" s="1" t="n">
        <v>45820.69287037037</v>
      </c>
      <c r="C54" s="1" t="n">
        <v>46131</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46131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46131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50499-2025</t>
        </is>
      </c>
      <c r="B57" s="1" t="n">
        <v>45945.41712962963</v>
      </c>
      <c r="C57" s="1" t="n">
        <v>46131</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32105-2023</t>
        </is>
      </c>
      <c r="B58" s="1" t="n">
        <v>45119</v>
      </c>
      <c r="C58" s="1" t="n">
        <v>46131</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58838-2025</t>
        </is>
      </c>
      <c r="B59" s="1" t="n">
        <v>45987.35973379629</v>
      </c>
      <c r="C59" s="1" t="n">
        <v>46131</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20032-2023</t>
        </is>
      </c>
      <c r="B60" s="1" t="n">
        <v>45054</v>
      </c>
      <c r="C60" s="1" t="n">
        <v>46131</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63199-2025</t>
        </is>
      </c>
      <c r="B61" s="1" t="n">
        <v>46010.46091435185</v>
      </c>
      <c r="C61" s="1" t="n">
        <v>46131</v>
      </c>
      <c r="D61" t="inlineStr">
        <is>
          <t>ÖREBRO LÄN</t>
        </is>
      </c>
      <c r="E61" t="inlineStr">
        <is>
          <t>ÖREBRO</t>
        </is>
      </c>
      <c r="F61" t="inlineStr">
        <is>
          <t>Sveaskog</t>
        </is>
      </c>
      <c r="G61" t="n">
        <v>0.9</v>
      </c>
      <c r="H61" t="n">
        <v>1</v>
      </c>
      <c r="I61" t="n">
        <v>0</v>
      </c>
      <c r="J61" t="n">
        <v>0</v>
      </c>
      <c r="K61" t="n">
        <v>0</v>
      </c>
      <c r="L61" t="n">
        <v>0</v>
      </c>
      <c r="M61" t="n">
        <v>0</v>
      </c>
      <c r="N61" t="n">
        <v>0</v>
      </c>
      <c r="O61" t="n">
        <v>0</v>
      </c>
      <c r="P61" t="n">
        <v>0</v>
      </c>
      <c r="Q61" t="n">
        <v>1</v>
      </c>
      <c r="R61" s="2" t="inlineStr">
        <is>
          <t>Gullviva</t>
        </is>
      </c>
      <c r="S61">
        <f>HYPERLINK("https://klasma.github.io/Logging_1880/artfynd/A 63199-2025 artfynd.xlsx", "A 63199-2025")</f>
        <v/>
      </c>
      <c r="T61">
        <f>HYPERLINK("https://klasma.github.io/Logging_1880/kartor/A 63199-2025 karta.png", "A 63199-2025")</f>
        <v/>
      </c>
      <c r="V61">
        <f>HYPERLINK("https://klasma.github.io/Logging_1880/klagomål/A 63199-2025 FSC-klagomål.docx", "A 63199-2025")</f>
        <v/>
      </c>
      <c r="W61">
        <f>HYPERLINK("https://klasma.github.io/Logging_1880/klagomålsmail/A 63199-2025 FSC-klagomål mail.docx", "A 63199-2025")</f>
        <v/>
      </c>
      <c r="X61">
        <f>HYPERLINK("https://klasma.github.io/Logging_1880/tillsyn/A 63199-2025 tillsynsbegäran.docx", "A 63199-2025")</f>
        <v/>
      </c>
      <c r="Y61">
        <f>HYPERLINK("https://klasma.github.io/Logging_1880/tillsynsmail/A 63199-2025 tillsynsbegäran mail.docx", "A 63199-2025")</f>
        <v/>
      </c>
    </row>
    <row r="62" ht="15" customHeight="1">
      <c r="A62" t="inlineStr">
        <is>
          <t>A 22604-2024</t>
        </is>
      </c>
      <c r="B62" s="1" t="n">
        <v>45447</v>
      </c>
      <c r="C62" s="1" t="n">
        <v>46131</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59516-2025</t>
        </is>
      </c>
      <c r="B63" s="1" t="n">
        <v>45989.65396990741</v>
      </c>
      <c r="C63" s="1" t="n">
        <v>46131</v>
      </c>
      <c r="D63" t="inlineStr">
        <is>
          <t>ÖREBRO LÄN</t>
        </is>
      </c>
      <c r="E63" t="inlineStr">
        <is>
          <t>ÖREBRO</t>
        </is>
      </c>
      <c r="F63" t="inlineStr">
        <is>
          <t>Sveaskog</t>
        </is>
      </c>
      <c r="G63" t="n">
        <v>1.9</v>
      </c>
      <c r="H63" t="n">
        <v>0</v>
      </c>
      <c r="I63" t="n">
        <v>1</v>
      </c>
      <c r="J63" t="n">
        <v>0</v>
      </c>
      <c r="K63" t="n">
        <v>0</v>
      </c>
      <c r="L63" t="n">
        <v>0</v>
      </c>
      <c r="M63" t="n">
        <v>0</v>
      </c>
      <c r="N63" t="n">
        <v>0</v>
      </c>
      <c r="O63" t="n">
        <v>0</v>
      </c>
      <c r="P63" t="n">
        <v>0</v>
      </c>
      <c r="Q63" t="n">
        <v>1</v>
      </c>
      <c r="R63" s="2" t="inlineStr">
        <is>
          <t>Tibast</t>
        </is>
      </c>
      <c r="S63">
        <f>HYPERLINK("https://klasma.github.io/Logging_1880/artfynd/A 59516-2025 artfynd.xlsx", "A 59516-2025")</f>
        <v/>
      </c>
      <c r="T63">
        <f>HYPERLINK("https://klasma.github.io/Logging_1880/kartor/A 59516-2025 karta.png", "A 59516-2025")</f>
        <v/>
      </c>
      <c r="V63">
        <f>HYPERLINK("https://klasma.github.io/Logging_1880/klagomål/A 59516-2025 FSC-klagomål.docx", "A 59516-2025")</f>
        <v/>
      </c>
      <c r="W63">
        <f>HYPERLINK("https://klasma.github.io/Logging_1880/klagomålsmail/A 59516-2025 FSC-klagomål mail.docx", "A 59516-2025")</f>
        <v/>
      </c>
      <c r="X63">
        <f>HYPERLINK("https://klasma.github.io/Logging_1880/tillsyn/A 59516-2025 tillsynsbegäran.docx", "A 59516-2025")</f>
        <v/>
      </c>
      <c r="Y63">
        <f>HYPERLINK("https://klasma.github.io/Logging_1880/tillsynsmail/A 59516-2025 tillsynsbegäran mail.docx", "A 59516-2025")</f>
        <v/>
      </c>
    </row>
    <row r="64" ht="15" customHeight="1">
      <c r="A64" t="inlineStr">
        <is>
          <t>A 3006-2026</t>
        </is>
      </c>
      <c r="B64" s="1" t="n">
        <v>46038.65719907408</v>
      </c>
      <c r="C64" s="1" t="n">
        <v>46131</v>
      </c>
      <c r="D64" t="inlineStr">
        <is>
          <t>ÖREBRO LÄN</t>
        </is>
      </c>
      <c r="E64" t="inlineStr">
        <is>
          <t>ÖREBRO</t>
        </is>
      </c>
      <c r="F64" t="inlineStr">
        <is>
          <t>Övriga Aktiebolag</t>
        </is>
      </c>
      <c r="G64" t="n">
        <v>1</v>
      </c>
      <c r="H64" t="n">
        <v>1</v>
      </c>
      <c r="I64" t="n">
        <v>0</v>
      </c>
      <c r="J64" t="n">
        <v>1</v>
      </c>
      <c r="K64" t="n">
        <v>0</v>
      </c>
      <c r="L64" t="n">
        <v>0</v>
      </c>
      <c r="M64" t="n">
        <v>0</v>
      </c>
      <c r="N64" t="n">
        <v>0</v>
      </c>
      <c r="O64" t="n">
        <v>1</v>
      </c>
      <c r="P64" t="n">
        <v>0</v>
      </c>
      <c r="Q64" t="n">
        <v>1</v>
      </c>
      <c r="R64" s="2" t="inlineStr">
        <is>
          <t>Gulsparv</t>
        </is>
      </c>
      <c r="S64">
        <f>HYPERLINK("https://klasma.github.io/Logging_1880/artfynd/A 3006-2026 artfynd.xlsx", "A 3006-2026")</f>
        <v/>
      </c>
      <c r="T64">
        <f>HYPERLINK("https://klasma.github.io/Logging_1880/kartor/A 3006-2026 karta.png", "A 3006-2026")</f>
        <v/>
      </c>
      <c r="V64">
        <f>HYPERLINK("https://klasma.github.io/Logging_1880/klagomål/A 3006-2026 FSC-klagomål.docx", "A 3006-2026")</f>
        <v/>
      </c>
      <c r="W64">
        <f>HYPERLINK("https://klasma.github.io/Logging_1880/klagomålsmail/A 3006-2026 FSC-klagomål mail.docx", "A 3006-2026")</f>
        <v/>
      </c>
      <c r="X64">
        <f>HYPERLINK("https://klasma.github.io/Logging_1880/tillsyn/A 3006-2026 tillsynsbegäran.docx", "A 3006-2026")</f>
        <v/>
      </c>
      <c r="Y64">
        <f>HYPERLINK("https://klasma.github.io/Logging_1880/tillsynsmail/A 3006-2026 tillsynsbegäran mail.docx", "A 3006-2026")</f>
        <v/>
      </c>
      <c r="Z64">
        <f>HYPERLINK("https://klasma.github.io/Logging_1880/fåglar/A 3006-2026 prioriterade fågelarter.docx", "A 3006-2026")</f>
        <v/>
      </c>
    </row>
    <row r="65" ht="15" customHeight="1">
      <c r="A65" t="inlineStr">
        <is>
          <t>A 30725-2023</t>
        </is>
      </c>
      <c r="B65" s="1" t="n">
        <v>45112.61451388889</v>
      </c>
      <c r="C65" s="1" t="n">
        <v>46131</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46131</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46131</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46131</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46131</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46131</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46131</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46131</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46131</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46131</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46131</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46131</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46131</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46131</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46131</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46131</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46131</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46131</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46131</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46131</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46131</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46131</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46131</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46131</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46131</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46131</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46131</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46131</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46131</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46131</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46131</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46131</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25660-2021</t>
        </is>
      </c>
      <c r="B97" s="1" t="n">
        <v>44343.5619212963</v>
      </c>
      <c r="C97" s="1" t="n">
        <v>46131</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46131</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46131</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46131</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46131</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46131</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46131</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46131</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46131</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46131</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21567-2022</t>
        </is>
      </c>
      <c r="B107" s="1" t="n">
        <v>44706</v>
      </c>
      <c r="C107" s="1" t="n">
        <v>46131</v>
      </c>
      <c r="D107" t="inlineStr">
        <is>
          <t>ÖREBRO LÄN</t>
        </is>
      </c>
      <c r="E107" t="inlineStr">
        <is>
          <t>ÖREBRO</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46131</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46131</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46131</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46131</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46131</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46131</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46131</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46131</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46131</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46131</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46131</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46131</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46131</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46131</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46131</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13631-2022</t>
        </is>
      </c>
      <c r="B124" s="1" t="n">
        <v>44648</v>
      </c>
      <c r="C124" s="1" t="n">
        <v>46131</v>
      </c>
      <c r="D124" t="inlineStr">
        <is>
          <t>ÖREBRO LÄN</t>
        </is>
      </c>
      <c r="E124" t="inlineStr">
        <is>
          <t>ÖREBRO</t>
        </is>
      </c>
      <c r="G124" t="n">
        <v>10.4</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46131</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46131</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46131</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46131</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46131</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44165-2022</t>
        </is>
      </c>
      <c r="B130" s="1" t="n">
        <v>44839</v>
      </c>
      <c r="C130" s="1" t="n">
        <v>46131</v>
      </c>
      <c r="D130" t="inlineStr">
        <is>
          <t>ÖREBRO LÄN</t>
        </is>
      </c>
      <c r="E130" t="inlineStr">
        <is>
          <t>ÖREBRO</t>
        </is>
      </c>
      <c r="G130" t="n">
        <v>0.5</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46131</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46131</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46131</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46131</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46131</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46131</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46131</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46131</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46131</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46131</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19831-2021</t>
        </is>
      </c>
      <c r="B141" s="1" t="n">
        <v>44313</v>
      </c>
      <c r="C141" s="1" t="n">
        <v>46131</v>
      </c>
      <c r="D141" t="inlineStr">
        <is>
          <t>ÖREBRO LÄN</t>
        </is>
      </c>
      <c r="E141" t="inlineStr">
        <is>
          <t>ÖREBRO</t>
        </is>
      </c>
      <c r="G141" t="n">
        <v>3.2</v>
      </c>
      <c r="H141" t="n">
        <v>0</v>
      </c>
      <c r="I141" t="n">
        <v>0</v>
      </c>
      <c r="J141" t="n">
        <v>0</v>
      </c>
      <c r="K141" t="n">
        <v>0</v>
      </c>
      <c r="L141" t="n">
        <v>0</v>
      </c>
      <c r="M141" t="n">
        <v>0</v>
      </c>
      <c r="N141" t="n">
        <v>0</v>
      </c>
      <c r="O141" t="n">
        <v>0</v>
      </c>
      <c r="P141" t="n">
        <v>0</v>
      </c>
      <c r="Q141" t="n">
        <v>0</v>
      </c>
      <c r="R141" s="2" t="inlineStr"/>
    </row>
    <row r="142" ht="15" customHeight="1">
      <c r="A142" t="inlineStr">
        <is>
          <t>A 13169-2024</t>
        </is>
      </c>
      <c r="B142" s="1" t="n">
        <v>45386.40489583334</v>
      </c>
      <c r="C142" s="1" t="n">
        <v>46131</v>
      </c>
      <c r="D142" t="inlineStr">
        <is>
          <t>ÖREBRO LÄN</t>
        </is>
      </c>
      <c r="E142" t="inlineStr">
        <is>
          <t>ÖREBRO</t>
        </is>
      </c>
      <c r="G142" t="n">
        <v>4.3</v>
      </c>
      <c r="H142" t="n">
        <v>0</v>
      </c>
      <c r="I142" t="n">
        <v>0</v>
      </c>
      <c r="J142" t="n">
        <v>0</v>
      </c>
      <c r="K142" t="n">
        <v>0</v>
      </c>
      <c r="L142" t="n">
        <v>0</v>
      </c>
      <c r="M142" t="n">
        <v>0</v>
      </c>
      <c r="N142" t="n">
        <v>0</v>
      </c>
      <c r="O142" t="n">
        <v>0</v>
      </c>
      <c r="P142" t="n">
        <v>0</v>
      </c>
      <c r="Q142" t="n">
        <v>0</v>
      </c>
      <c r="R142" s="2" t="inlineStr"/>
    </row>
    <row r="143" ht="15" customHeight="1">
      <c r="A143" t="inlineStr">
        <is>
          <t>A 15354-2024</t>
        </is>
      </c>
      <c r="B143" s="1" t="n">
        <v>45400.85319444445</v>
      </c>
      <c r="C143" s="1" t="n">
        <v>46131</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11067-2025</t>
        </is>
      </c>
      <c r="B144" s="1" t="n">
        <v>45723</v>
      </c>
      <c r="C144" s="1" t="n">
        <v>46131</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5357-2024</t>
        </is>
      </c>
      <c r="B145" s="1" t="n">
        <v>45331</v>
      </c>
      <c r="C145" s="1" t="n">
        <v>46131</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9585-2025</t>
        </is>
      </c>
      <c r="B146" s="1" t="n">
        <v>45715.63409722222</v>
      </c>
      <c r="C146" s="1" t="n">
        <v>46131</v>
      </c>
      <c r="D146" t="inlineStr">
        <is>
          <t>ÖREBRO LÄN</t>
        </is>
      </c>
      <c r="E146" t="inlineStr">
        <is>
          <t>ÖREBRO</t>
        </is>
      </c>
      <c r="G146" t="n">
        <v>3.4</v>
      </c>
      <c r="H146" t="n">
        <v>0</v>
      </c>
      <c r="I146" t="n">
        <v>0</v>
      </c>
      <c r="J146" t="n">
        <v>0</v>
      </c>
      <c r="K146" t="n">
        <v>0</v>
      </c>
      <c r="L146" t="n">
        <v>0</v>
      </c>
      <c r="M146" t="n">
        <v>0</v>
      </c>
      <c r="N146" t="n">
        <v>0</v>
      </c>
      <c r="O146" t="n">
        <v>0</v>
      </c>
      <c r="P146" t="n">
        <v>0</v>
      </c>
      <c r="Q146" t="n">
        <v>0</v>
      </c>
      <c r="R146" s="2" t="inlineStr"/>
    </row>
    <row r="147" ht="15" customHeight="1">
      <c r="A147" t="inlineStr">
        <is>
          <t>A 6879-2024</t>
        </is>
      </c>
      <c r="B147" s="1" t="n">
        <v>45342.85280092592</v>
      </c>
      <c r="C147" s="1" t="n">
        <v>46131</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5125-2024</t>
        </is>
      </c>
      <c r="B148" s="1" t="n">
        <v>45330</v>
      </c>
      <c r="C148" s="1" t="n">
        <v>46131</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681-2024</t>
        </is>
      </c>
      <c r="B149" s="1" t="n">
        <v>45300</v>
      </c>
      <c r="C149" s="1" t="n">
        <v>46131</v>
      </c>
      <c r="D149" t="inlineStr">
        <is>
          <t>ÖREBRO LÄN</t>
        </is>
      </c>
      <c r="E149" t="inlineStr">
        <is>
          <t>ÖREBRO</t>
        </is>
      </c>
      <c r="G149" t="n">
        <v>3.3</v>
      </c>
      <c r="H149" t="n">
        <v>0</v>
      </c>
      <c r="I149" t="n">
        <v>0</v>
      </c>
      <c r="J149" t="n">
        <v>0</v>
      </c>
      <c r="K149" t="n">
        <v>0</v>
      </c>
      <c r="L149" t="n">
        <v>0</v>
      </c>
      <c r="M149" t="n">
        <v>0</v>
      </c>
      <c r="N149" t="n">
        <v>0</v>
      </c>
      <c r="O149" t="n">
        <v>0</v>
      </c>
      <c r="P149" t="n">
        <v>0</v>
      </c>
      <c r="Q149" t="n">
        <v>0</v>
      </c>
      <c r="R149" s="2" t="inlineStr"/>
    </row>
    <row r="150" ht="15" customHeight="1">
      <c r="A150" t="inlineStr">
        <is>
          <t>A 14234-2024</t>
        </is>
      </c>
      <c r="B150" s="1" t="n">
        <v>45393.46980324074</v>
      </c>
      <c r="C150" s="1" t="n">
        <v>46131</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52256-2023</t>
        </is>
      </c>
      <c r="B151" s="1" t="n">
        <v>45224.51471064815</v>
      </c>
      <c r="C151" s="1" t="n">
        <v>46131</v>
      </c>
      <c r="D151" t="inlineStr">
        <is>
          <t>ÖREBRO LÄN</t>
        </is>
      </c>
      <c r="E151" t="inlineStr">
        <is>
          <t>ÖREBRO</t>
        </is>
      </c>
      <c r="G151" t="n">
        <v>2.8</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46131</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55593-2022</t>
        </is>
      </c>
      <c r="B153" s="1" t="n">
        <v>44888</v>
      </c>
      <c r="C153" s="1" t="n">
        <v>46131</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50446-2023</t>
        </is>
      </c>
      <c r="B154" s="1" t="n">
        <v>45216</v>
      </c>
      <c r="C154" s="1" t="n">
        <v>46131</v>
      </c>
      <c r="D154" t="inlineStr">
        <is>
          <t>ÖREBRO LÄN</t>
        </is>
      </c>
      <c r="E154" t="inlineStr">
        <is>
          <t>ÖREBRO</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50450-2023</t>
        </is>
      </c>
      <c r="B155" s="1" t="n">
        <v>45216.73533564815</v>
      </c>
      <c r="C155" s="1" t="n">
        <v>46131</v>
      </c>
      <c r="D155" t="inlineStr">
        <is>
          <t>ÖREBRO LÄN</t>
        </is>
      </c>
      <c r="E155" t="inlineStr">
        <is>
          <t>ÖREBRO</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35819-2024</t>
        </is>
      </c>
      <c r="B156" s="1" t="n">
        <v>45532</v>
      </c>
      <c r="C156" s="1" t="n">
        <v>46131</v>
      </c>
      <c r="D156" t="inlineStr">
        <is>
          <t>ÖREBRO LÄN</t>
        </is>
      </c>
      <c r="E156" t="inlineStr">
        <is>
          <t>ÖREBRO</t>
        </is>
      </c>
      <c r="G156" t="n">
        <v>6.4</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46131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32076-2023</t>
        </is>
      </c>
      <c r="B158" s="1" t="n">
        <v>45119.58324074074</v>
      </c>
      <c r="C158" s="1" t="n">
        <v>46131</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764-2024</t>
        </is>
      </c>
      <c r="B159" s="1" t="n">
        <v>45300.51512731481</v>
      </c>
      <c r="C159" s="1" t="n">
        <v>46131</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46131</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46131</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51925-2025</t>
        </is>
      </c>
      <c r="B162" s="1" t="n">
        <v>45952.49476851852</v>
      </c>
      <c r="C162" s="1" t="n">
        <v>46131</v>
      </c>
      <c r="D162" t="inlineStr">
        <is>
          <t>ÖREBRO LÄN</t>
        </is>
      </c>
      <c r="E162" t="inlineStr">
        <is>
          <t>ÖREBRO</t>
        </is>
      </c>
      <c r="G162" t="n">
        <v>0.9</v>
      </c>
      <c r="H162" t="n">
        <v>0</v>
      </c>
      <c r="I162" t="n">
        <v>0</v>
      </c>
      <c r="J162" t="n">
        <v>0</v>
      </c>
      <c r="K162" t="n">
        <v>0</v>
      </c>
      <c r="L162" t="n">
        <v>0</v>
      </c>
      <c r="M162" t="n">
        <v>0</v>
      </c>
      <c r="N162" t="n">
        <v>0</v>
      </c>
      <c r="O162" t="n">
        <v>0</v>
      </c>
      <c r="P162" t="n">
        <v>0</v>
      </c>
      <c r="Q162" t="n">
        <v>0</v>
      </c>
      <c r="R162" s="2" t="inlineStr"/>
    </row>
    <row r="163" ht="15" customHeight="1">
      <c r="A163" t="inlineStr">
        <is>
          <t>A 58644-2023</t>
        </is>
      </c>
      <c r="B163" s="1" t="n">
        <v>45251.58716435185</v>
      </c>
      <c r="C163" s="1" t="n">
        <v>46131</v>
      </c>
      <c r="D163" t="inlineStr">
        <is>
          <t>ÖREBRO LÄN</t>
        </is>
      </c>
      <c r="E163" t="inlineStr">
        <is>
          <t>ÖREBRO</t>
        </is>
      </c>
      <c r="F163" t="inlineStr">
        <is>
          <t>Övriga Aktiebolag</t>
        </is>
      </c>
      <c r="G163" t="n">
        <v>1.9</v>
      </c>
      <c r="H163" t="n">
        <v>0</v>
      </c>
      <c r="I163" t="n">
        <v>0</v>
      </c>
      <c r="J163" t="n">
        <v>0</v>
      </c>
      <c r="K163" t="n">
        <v>0</v>
      </c>
      <c r="L163" t="n">
        <v>0</v>
      </c>
      <c r="M163" t="n">
        <v>0</v>
      </c>
      <c r="N163" t="n">
        <v>0</v>
      </c>
      <c r="O163" t="n">
        <v>0</v>
      </c>
      <c r="P163" t="n">
        <v>0</v>
      </c>
      <c r="Q163" t="n">
        <v>0</v>
      </c>
      <c r="R163" s="2" t="inlineStr"/>
    </row>
    <row r="164" ht="15" customHeight="1">
      <c r="A164" t="inlineStr">
        <is>
          <t>A 61593-2023</t>
        </is>
      </c>
      <c r="B164" s="1" t="n">
        <v>45265</v>
      </c>
      <c r="C164" s="1" t="n">
        <v>46131</v>
      </c>
      <c r="D164" t="inlineStr">
        <is>
          <t>ÖREBRO LÄN</t>
        </is>
      </c>
      <c r="E164" t="inlineStr">
        <is>
          <t>ÖREBRO</t>
        </is>
      </c>
      <c r="G164" t="n">
        <v>2.5</v>
      </c>
      <c r="H164" t="n">
        <v>0</v>
      </c>
      <c r="I164" t="n">
        <v>0</v>
      </c>
      <c r="J164" t="n">
        <v>0</v>
      </c>
      <c r="K164" t="n">
        <v>0</v>
      </c>
      <c r="L164" t="n">
        <v>0</v>
      </c>
      <c r="M164" t="n">
        <v>0</v>
      </c>
      <c r="N164" t="n">
        <v>0</v>
      </c>
      <c r="O164" t="n">
        <v>0</v>
      </c>
      <c r="P164" t="n">
        <v>0</v>
      </c>
      <c r="Q164" t="n">
        <v>0</v>
      </c>
      <c r="R164" s="2" t="inlineStr"/>
    </row>
    <row r="165" ht="15" customHeight="1">
      <c r="A165" t="inlineStr">
        <is>
          <t>A 21338-2025</t>
        </is>
      </c>
      <c r="B165" s="1" t="n">
        <v>45780</v>
      </c>
      <c r="C165" s="1" t="n">
        <v>46131</v>
      </c>
      <c r="D165" t="inlineStr">
        <is>
          <t>ÖREBRO LÄN</t>
        </is>
      </c>
      <c r="E165" t="inlineStr">
        <is>
          <t>ÖREBRO</t>
        </is>
      </c>
      <c r="G165" t="n">
        <v>3.2</v>
      </c>
      <c r="H165" t="n">
        <v>0</v>
      </c>
      <c r="I165" t="n">
        <v>0</v>
      </c>
      <c r="J165" t="n">
        <v>0</v>
      </c>
      <c r="K165" t="n">
        <v>0</v>
      </c>
      <c r="L165" t="n">
        <v>0</v>
      </c>
      <c r="M165" t="n">
        <v>0</v>
      </c>
      <c r="N165" t="n">
        <v>0</v>
      </c>
      <c r="O165" t="n">
        <v>0</v>
      </c>
      <c r="P165" t="n">
        <v>0</v>
      </c>
      <c r="Q165" t="n">
        <v>0</v>
      </c>
      <c r="R165" s="2" t="inlineStr"/>
    </row>
    <row r="166" ht="15" customHeight="1">
      <c r="A166" t="inlineStr">
        <is>
          <t>A 51923-2025</t>
        </is>
      </c>
      <c r="B166" s="1" t="n">
        <v>45952.49300925926</v>
      </c>
      <c r="C166" s="1" t="n">
        <v>46131</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51937-2025</t>
        </is>
      </c>
      <c r="B167" s="1" t="n">
        <v>45952.51270833334</v>
      </c>
      <c r="C167" s="1" t="n">
        <v>46131</v>
      </c>
      <c r="D167" t="inlineStr">
        <is>
          <t>ÖREBRO LÄN</t>
        </is>
      </c>
      <c r="E167" t="inlineStr">
        <is>
          <t>ÖREBRO</t>
        </is>
      </c>
      <c r="G167" t="n">
        <v>1</v>
      </c>
      <c r="H167" t="n">
        <v>0</v>
      </c>
      <c r="I167" t="n">
        <v>0</v>
      </c>
      <c r="J167" t="n">
        <v>0</v>
      </c>
      <c r="K167" t="n">
        <v>0</v>
      </c>
      <c r="L167" t="n">
        <v>0</v>
      </c>
      <c r="M167" t="n">
        <v>0</v>
      </c>
      <c r="N167" t="n">
        <v>0</v>
      </c>
      <c r="O167" t="n">
        <v>0</v>
      </c>
      <c r="P167" t="n">
        <v>0</v>
      </c>
      <c r="Q167" t="n">
        <v>0</v>
      </c>
      <c r="R167" s="2" t="inlineStr"/>
    </row>
    <row r="168" ht="15" customHeight="1">
      <c r="A168" t="inlineStr">
        <is>
          <t>A 38842-2022</t>
        </is>
      </c>
      <c r="B168" s="1" t="n">
        <v>44814</v>
      </c>
      <c r="C168" s="1" t="n">
        <v>46131</v>
      </c>
      <c r="D168" t="inlineStr">
        <is>
          <t>ÖREBRO LÄN</t>
        </is>
      </c>
      <c r="E168" t="inlineStr">
        <is>
          <t>ÖREBRO</t>
        </is>
      </c>
      <c r="G168" t="n">
        <v>5</v>
      </c>
      <c r="H168" t="n">
        <v>0</v>
      </c>
      <c r="I168" t="n">
        <v>0</v>
      </c>
      <c r="J168" t="n">
        <v>0</v>
      </c>
      <c r="K168" t="n">
        <v>0</v>
      </c>
      <c r="L168" t="n">
        <v>0</v>
      </c>
      <c r="M168" t="n">
        <v>0</v>
      </c>
      <c r="N168" t="n">
        <v>0</v>
      </c>
      <c r="O168" t="n">
        <v>0</v>
      </c>
      <c r="P168" t="n">
        <v>0</v>
      </c>
      <c r="Q168" t="n">
        <v>0</v>
      </c>
      <c r="R168" s="2" t="inlineStr"/>
    </row>
    <row r="169" ht="15" customHeight="1">
      <c r="A169" t="inlineStr">
        <is>
          <t>A 52135-2025</t>
        </is>
      </c>
      <c r="B169" s="1" t="n">
        <v>45952.84231481481</v>
      </c>
      <c r="C169" s="1" t="n">
        <v>46131</v>
      </c>
      <c r="D169" t="inlineStr">
        <is>
          <t>ÖREBRO LÄN</t>
        </is>
      </c>
      <c r="E169" t="inlineStr">
        <is>
          <t>ÖREBRO</t>
        </is>
      </c>
      <c r="G169" t="n">
        <v>4</v>
      </c>
      <c r="H169" t="n">
        <v>0</v>
      </c>
      <c r="I169" t="n">
        <v>0</v>
      </c>
      <c r="J169" t="n">
        <v>0</v>
      </c>
      <c r="K169" t="n">
        <v>0</v>
      </c>
      <c r="L169" t="n">
        <v>0</v>
      </c>
      <c r="M169" t="n">
        <v>0</v>
      </c>
      <c r="N169" t="n">
        <v>0</v>
      </c>
      <c r="O169" t="n">
        <v>0</v>
      </c>
      <c r="P169" t="n">
        <v>0</v>
      </c>
      <c r="Q169" t="n">
        <v>0</v>
      </c>
      <c r="R169" s="2" t="inlineStr"/>
    </row>
    <row r="170" ht="15" customHeight="1">
      <c r="A170" t="inlineStr">
        <is>
          <t>A 40597-2021</t>
        </is>
      </c>
      <c r="B170" s="1" t="n">
        <v>44420</v>
      </c>
      <c r="C170" s="1" t="n">
        <v>46131</v>
      </c>
      <c r="D170" t="inlineStr">
        <is>
          <t>ÖREBRO LÄN</t>
        </is>
      </c>
      <c r="E170" t="inlineStr">
        <is>
          <t>ÖREBRO</t>
        </is>
      </c>
      <c r="G170" t="n">
        <v>2.1</v>
      </c>
      <c r="H170" t="n">
        <v>0</v>
      </c>
      <c r="I170" t="n">
        <v>0</v>
      </c>
      <c r="J170" t="n">
        <v>0</v>
      </c>
      <c r="K170" t="n">
        <v>0</v>
      </c>
      <c r="L170" t="n">
        <v>0</v>
      </c>
      <c r="M170" t="n">
        <v>0</v>
      </c>
      <c r="N170" t="n">
        <v>0</v>
      </c>
      <c r="O170" t="n">
        <v>0</v>
      </c>
      <c r="P170" t="n">
        <v>0</v>
      </c>
      <c r="Q170" t="n">
        <v>0</v>
      </c>
      <c r="R170" s="2" t="inlineStr"/>
    </row>
    <row r="171" ht="15" customHeight="1">
      <c r="A171" t="inlineStr">
        <is>
          <t>A 22755-2025</t>
        </is>
      </c>
      <c r="B171" s="1" t="n">
        <v>45789.61872685186</v>
      </c>
      <c r="C171" s="1" t="n">
        <v>46131</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44199-2024</t>
        </is>
      </c>
      <c r="B172" s="1" t="n">
        <v>45573</v>
      </c>
      <c r="C172" s="1" t="n">
        <v>46131</v>
      </c>
      <c r="D172" t="inlineStr">
        <is>
          <t>ÖREBRO LÄN</t>
        </is>
      </c>
      <c r="E172" t="inlineStr">
        <is>
          <t>ÖREBRO</t>
        </is>
      </c>
      <c r="G172" t="n">
        <v>4.3</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46131</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26443-2024</t>
        </is>
      </c>
      <c r="B174" s="1" t="n">
        <v>45469.49901620371</v>
      </c>
      <c r="C174" s="1" t="n">
        <v>46131</v>
      </c>
      <c r="D174" t="inlineStr">
        <is>
          <t>ÖREBRO LÄN</t>
        </is>
      </c>
      <c r="E174" t="inlineStr">
        <is>
          <t>ÖREBRO</t>
        </is>
      </c>
      <c r="G174" t="n">
        <v>5.7</v>
      </c>
      <c r="H174" t="n">
        <v>0</v>
      </c>
      <c r="I174" t="n">
        <v>0</v>
      </c>
      <c r="J174" t="n">
        <v>0</v>
      </c>
      <c r="K174" t="n">
        <v>0</v>
      </c>
      <c r="L174" t="n">
        <v>0</v>
      </c>
      <c r="M174" t="n">
        <v>0</v>
      </c>
      <c r="N174" t="n">
        <v>0</v>
      </c>
      <c r="O174" t="n">
        <v>0</v>
      </c>
      <c r="P174" t="n">
        <v>0</v>
      </c>
      <c r="Q174" t="n">
        <v>0</v>
      </c>
      <c r="R174" s="2" t="inlineStr"/>
    </row>
    <row r="175" ht="15" customHeight="1">
      <c r="A175" t="inlineStr">
        <is>
          <t>A 35477-2024</t>
        </is>
      </c>
      <c r="B175" s="1" t="n">
        <v>45531</v>
      </c>
      <c r="C175" s="1" t="n">
        <v>46131</v>
      </c>
      <c r="D175" t="inlineStr">
        <is>
          <t>ÖREBRO LÄN</t>
        </is>
      </c>
      <c r="E175" t="inlineStr">
        <is>
          <t>ÖREBRO</t>
        </is>
      </c>
      <c r="G175" t="n">
        <v>2.4</v>
      </c>
      <c r="H175" t="n">
        <v>0</v>
      </c>
      <c r="I175" t="n">
        <v>0</v>
      </c>
      <c r="J175" t="n">
        <v>0</v>
      </c>
      <c r="K175" t="n">
        <v>0</v>
      </c>
      <c r="L175" t="n">
        <v>0</v>
      </c>
      <c r="M175" t="n">
        <v>0</v>
      </c>
      <c r="N175" t="n">
        <v>0</v>
      </c>
      <c r="O175" t="n">
        <v>0</v>
      </c>
      <c r="P175" t="n">
        <v>0</v>
      </c>
      <c r="Q175" t="n">
        <v>0</v>
      </c>
      <c r="R175" s="2" t="inlineStr"/>
    </row>
    <row r="176" ht="15" customHeight="1">
      <c r="A176" t="inlineStr">
        <is>
          <t>A 41678-2024</t>
        </is>
      </c>
      <c r="B176" s="1" t="n">
        <v>45560</v>
      </c>
      <c r="C176" s="1" t="n">
        <v>46131</v>
      </c>
      <c r="D176" t="inlineStr">
        <is>
          <t>ÖREBRO LÄN</t>
        </is>
      </c>
      <c r="E176" t="inlineStr">
        <is>
          <t>ÖREBRO</t>
        </is>
      </c>
      <c r="G176" t="n">
        <v>11.3</v>
      </c>
      <c r="H176" t="n">
        <v>0</v>
      </c>
      <c r="I176" t="n">
        <v>0</v>
      </c>
      <c r="J176" t="n">
        <v>0</v>
      </c>
      <c r="K176" t="n">
        <v>0</v>
      </c>
      <c r="L176" t="n">
        <v>0</v>
      </c>
      <c r="M176" t="n">
        <v>0</v>
      </c>
      <c r="N176" t="n">
        <v>0</v>
      </c>
      <c r="O176" t="n">
        <v>0</v>
      </c>
      <c r="P176" t="n">
        <v>0</v>
      </c>
      <c r="Q176" t="n">
        <v>0</v>
      </c>
      <c r="R176" s="2" t="inlineStr"/>
    </row>
    <row r="177" ht="15" customHeight="1">
      <c r="A177" t="inlineStr">
        <is>
          <t>A 26338-2021</t>
        </is>
      </c>
      <c r="B177" s="1" t="n">
        <v>44347</v>
      </c>
      <c r="C177" s="1" t="n">
        <v>46131</v>
      </c>
      <c r="D177" t="inlineStr">
        <is>
          <t>ÖREBRO LÄN</t>
        </is>
      </c>
      <c r="E177" t="inlineStr">
        <is>
          <t>ÖREBRO</t>
        </is>
      </c>
      <c r="G177" t="n">
        <v>0.5</v>
      </c>
      <c r="H177" t="n">
        <v>0</v>
      </c>
      <c r="I177" t="n">
        <v>0</v>
      </c>
      <c r="J177" t="n">
        <v>0</v>
      </c>
      <c r="K177" t="n">
        <v>0</v>
      </c>
      <c r="L177" t="n">
        <v>0</v>
      </c>
      <c r="M177" t="n">
        <v>0</v>
      </c>
      <c r="N177" t="n">
        <v>0</v>
      </c>
      <c r="O177" t="n">
        <v>0</v>
      </c>
      <c r="P177" t="n">
        <v>0</v>
      </c>
      <c r="Q177" t="n">
        <v>0</v>
      </c>
      <c r="R177" s="2" t="inlineStr"/>
    </row>
    <row r="178" ht="15" customHeight="1">
      <c r="A178" t="inlineStr">
        <is>
          <t>A 39003-2025</t>
        </is>
      </c>
      <c r="B178" s="1" t="n">
        <v>45888.34467592592</v>
      </c>
      <c r="C178" s="1" t="n">
        <v>46131</v>
      </c>
      <c r="D178" t="inlineStr">
        <is>
          <t>ÖREBRO LÄN</t>
        </is>
      </c>
      <c r="E178" t="inlineStr">
        <is>
          <t>ÖREBRO</t>
        </is>
      </c>
      <c r="G178" t="n">
        <v>3.7</v>
      </c>
      <c r="H178" t="n">
        <v>0</v>
      </c>
      <c r="I178" t="n">
        <v>0</v>
      </c>
      <c r="J178" t="n">
        <v>0</v>
      </c>
      <c r="K178" t="n">
        <v>0</v>
      </c>
      <c r="L178" t="n">
        <v>0</v>
      </c>
      <c r="M178" t="n">
        <v>0</v>
      </c>
      <c r="N178" t="n">
        <v>0</v>
      </c>
      <c r="O178" t="n">
        <v>0</v>
      </c>
      <c r="P178" t="n">
        <v>0</v>
      </c>
      <c r="Q178" t="n">
        <v>0</v>
      </c>
      <c r="R178" s="2" t="inlineStr"/>
    </row>
    <row r="179" ht="15" customHeight="1">
      <c r="A179" t="inlineStr">
        <is>
          <t>A 15422-2022</t>
        </is>
      </c>
      <c r="B179" s="1" t="n">
        <v>44659.63753472222</v>
      </c>
      <c r="C179" s="1" t="n">
        <v>46131</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71266-2021</t>
        </is>
      </c>
      <c r="B180" s="1" t="n">
        <v>44539</v>
      </c>
      <c r="C180" s="1" t="n">
        <v>46131</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71267-2021</t>
        </is>
      </c>
      <c r="B181" s="1" t="n">
        <v>44539</v>
      </c>
      <c r="C181" s="1" t="n">
        <v>46131</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71280-2021</t>
        </is>
      </c>
      <c r="B182" s="1" t="n">
        <v>44539</v>
      </c>
      <c r="C182" s="1" t="n">
        <v>46131</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46131</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46131</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46131</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30316-2024</t>
        </is>
      </c>
      <c r="B186" s="1" t="n">
        <v>45490</v>
      </c>
      <c r="C186" s="1" t="n">
        <v>46131</v>
      </c>
      <c r="D186" t="inlineStr">
        <is>
          <t>ÖREBRO LÄN</t>
        </is>
      </c>
      <c r="E186" t="inlineStr">
        <is>
          <t>ÖREBRO</t>
        </is>
      </c>
      <c r="G186" t="n">
        <v>5.5</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46131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61279-2024</t>
        </is>
      </c>
      <c r="B188" s="1" t="n">
        <v>45645</v>
      </c>
      <c r="C188" s="1" t="n">
        <v>46131</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46131</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46131</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46131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15555-2025</t>
        </is>
      </c>
      <c r="B192" s="1" t="n">
        <v>45747.67768518518</v>
      </c>
      <c r="C192" s="1" t="n">
        <v>46131</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5136-2024</t>
        </is>
      </c>
      <c r="B193" s="1" t="n">
        <v>45330</v>
      </c>
      <c r="C193" s="1" t="n">
        <v>46131</v>
      </c>
      <c r="D193" t="inlineStr">
        <is>
          <t>ÖREBRO LÄN</t>
        </is>
      </c>
      <c r="E193" t="inlineStr">
        <is>
          <t>ÖREBRO</t>
        </is>
      </c>
      <c r="G193" t="n">
        <v>2.1</v>
      </c>
      <c r="H193" t="n">
        <v>0</v>
      </c>
      <c r="I193" t="n">
        <v>0</v>
      </c>
      <c r="J193" t="n">
        <v>0</v>
      </c>
      <c r="K193" t="n">
        <v>0</v>
      </c>
      <c r="L193" t="n">
        <v>0</v>
      </c>
      <c r="M193" t="n">
        <v>0</v>
      </c>
      <c r="N193" t="n">
        <v>0</v>
      </c>
      <c r="O193" t="n">
        <v>0</v>
      </c>
      <c r="P193" t="n">
        <v>0</v>
      </c>
      <c r="Q193" t="n">
        <v>0</v>
      </c>
      <c r="R193" s="2" t="inlineStr"/>
    </row>
    <row r="194" ht="15" customHeight="1">
      <c r="A194" t="inlineStr">
        <is>
          <t>A 48644-2024</t>
        </is>
      </c>
      <c r="B194" s="1" t="n">
        <v>45593.47466435185</v>
      </c>
      <c r="C194" s="1" t="n">
        <v>46131</v>
      </c>
      <c r="D194" t="inlineStr">
        <is>
          <t>ÖREBRO LÄN</t>
        </is>
      </c>
      <c r="E194" t="inlineStr">
        <is>
          <t>ÖREBRO</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48581-2024</t>
        </is>
      </c>
      <c r="B195" s="1" t="n">
        <v>45593.41642361111</v>
      </c>
      <c r="C195" s="1" t="n">
        <v>46131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4380-2025</t>
        </is>
      </c>
      <c r="B196" s="1" t="n">
        <v>45686.3959375</v>
      </c>
      <c r="C196" s="1" t="n">
        <v>46131</v>
      </c>
      <c r="D196" t="inlineStr">
        <is>
          <t>ÖREBRO LÄN</t>
        </is>
      </c>
      <c r="E196" t="inlineStr">
        <is>
          <t>ÖREBRO</t>
        </is>
      </c>
      <c r="G196" t="n">
        <v>3.2</v>
      </c>
      <c r="H196" t="n">
        <v>0</v>
      </c>
      <c r="I196" t="n">
        <v>0</v>
      </c>
      <c r="J196" t="n">
        <v>0</v>
      </c>
      <c r="K196" t="n">
        <v>0</v>
      </c>
      <c r="L196" t="n">
        <v>0</v>
      </c>
      <c r="M196" t="n">
        <v>0</v>
      </c>
      <c r="N196" t="n">
        <v>0</v>
      </c>
      <c r="O196" t="n">
        <v>0</v>
      </c>
      <c r="P196" t="n">
        <v>0</v>
      </c>
      <c r="Q196" t="n">
        <v>0</v>
      </c>
      <c r="R196" s="2" t="inlineStr"/>
    </row>
    <row r="197" ht="15" customHeight="1">
      <c r="A197" t="inlineStr">
        <is>
          <t>A 47047-2022</t>
        </is>
      </c>
      <c r="B197" s="1" t="n">
        <v>44852.39063657408</v>
      </c>
      <c r="C197" s="1" t="n">
        <v>46131</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21036-2024</t>
        </is>
      </c>
      <c r="B198" s="1" t="n">
        <v>45439.65954861111</v>
      </c>
      <c r="C198" s="1" t="n">
        <v>46131</v>
      </c>
      <c r="D198" t="inlineStr">
        <is>
          <t>ÖREBRO LÄN</t>
        </is>
      </c>
      <c r="E198" t="inlineStr">
        <is>
          <t>ÖREBRO</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46131</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46131</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46131</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40330-2025</t>
        </is>
      </c>
      <c r="B202" s="1" t="n">
        <v>45895.4531712963</v>
      </c>
      <c r="C202" s="1" t="n">
        <v>46131</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40332-2025</t>
        </is>
      </c>
      <c r="B203" s="1" t="n">
        <v>45895.46060185185</v>
      </c>
      <c r="C203" s="1" t="n">
        <v>46131</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30743-2025</t>
        </is>
      </c>
      <c r="B204" s="1" t="n">
        <v>45831</v>
      </c>
      <c r="C204" s="1" t="n">
        <v>46131</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22348-2024</t>
        </is>
      </c>
      <c r="B205" s="1" t="n">
        <v>45446.61256944444</v>
      </c>
      <c r="C205" s="1" t="n">
        <v>46131</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52018-2024</t>
        </is>
      </c>
      <c r="B206" s="1" t="n">
        <v>45607.82974537037</v>
      </c>
      <c r="C206" s="1" t="n">
        <v>46131</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30089-2024</t>
        </is>
      </c>
      <c r="B207" s="1" t="n">
        <v>45485</v>
      </c>
      <c r="C207" s="1" t="n">
        <v>46131</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16739-2023</t>
        </is>
      </c>
      <c r="B208" s="1" t="n">
        <v>45030.72627314815</v>
      </c>
      <c r="C208" s="1" t="n">
        <v>46131</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71295-2021</t>
        </is>
      </c>
      <c r="B209" s="1" t="n">
        <v>44539.63009259259</v>
      </c>
      <c r="C209" s="1" t="n">
        <v>46131</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46030-2024</t>
        </is>
      </c>
      <c r="B210" s="1" t="n">
        <v>45580.70377314815</v>
      </c>
      <c r="C210" s="1" t="n">
        <v>46131</v>
      </c>
      <c r="D210" t="inlineStr">
        <is>
          <t>ÖREBRO LÄN</t>
        </is>
      </c>
      <c r="E210" t="inlineStr">
        <is>
          <t>ÖREBRO</t>
        </is>
      </c>
      <c r="G210" t="n">
        <v>3.9</v>
      </c>
      <c r="H210" t="n">
        <v>0</v>
      </c>
      <c r="I210" t="n">
        <v>0</v>
      </c>
      <c r="J210" t="n">
        <v>0</v>
      </c>
      <c r="K210" t="n">
        <v>0</v>
      </c>
      <c r="L210" t="n">
        <v>0</v>
      </c>
      <c r="M210" t="n">
        <v>0</v>
      </c>
      <c r="N210" t="n">
        <v>0</v>
      </c>
      <c r="O210" t="n">
        <v>0</v>
      </c>
      <c r="P210" t="n">
        <v>0</v>
      </c>
      <c r="Q210" t="n">
        <v>0</v>
      </c>
      <c r="R210" s="2" t="inlineStr"/>
    </row>
    <row r="211" ht="15" customHeight="1">
      <c r="A211" t="inlineStr">
        <is>
          <t>A 2771-2023</t>
        </is>
      </c>
      <c r="B211" s="1" t="n">
        <v>44944.64704861111</v>
      </c>
      <c r="C211" s="1" t="n">
        <v>46131</v>
      </c>
      <c r="D211" t="inlineStr">
        <is>
          <t>ÖREBRO LÄN</t>
        </is>
      </c>
      <c r="E211" t="inlineStr">
        <is>
          <t>ÖREBRO</t>
        </is>
      </c>
      <c r="G211" t="n">
        <v>15.4</v>
      </c>
      <c r="H211" t="n">
        <v>0</v>
      </c>
      <c r="I211" t="n">
        <v>0</v>
      </c>
      <c r="J211" t="n">
        <v>0</v>
      </c>
      <c r="K211" t="n">
        <v>0</v>
      </c>
      <c r="L211" t="n">
        <v>0</v>
      </c>
      <c r="M211" t="n">
        <v>0</v>
      </c>
      <c r="N211" t="n">
        <v>0</v>
      </c>
      <c r="O211" t="n">
        <v>0</v>
      </c>
      <c r="P211" t="n">
        <v>0</v>
      </c>
      <c r="Q211" t="n">
        <v>0</v>
      </c>
      <c r="R211" s="2" t="inlineStr"/>
    </row>
    <row r="212" ht="15" customHeight="1">
      <c r="A212" t="inlineStr">
        <is>
          <t>A 5643-2025</t>
        </is>
      </c>
      <c r="B212" s="1" t="n">
        <v>45693</v>
      </c>
      <c r="C212" s="1" t="n">
        <v>46131</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11516-2024</t>
        </is>
      </c>
      <c r="B213" s="1" t="n">
        <v>45372</v>
      </c>
      <c r="C213" s="1" t="n">
        <v>46131</v>
      </c>
      <c r="D213" t="inlineStr">
        <is>
          <t>ÖREBRO LÄN</t>
        </is>
      </c>
      <c r="E213" t="inlineStr">
        <is>
          <t>ÖREBRO</t>
        </is>
      </c>
      <c r="G213" t="n">
        <v>10.7</v>
      </c>
      <c r="H213" t="n">
        <v>0</v>
      </c>
      <c r="I213" t="n">
        <v>0</v>
      </c>
      <c r="J213" t="n">
        <v>0</v>
      </c>
      <c r="K213" t="n">
        <v>0</v>
      </c>
      <c r="L213" t="n">
        <v>0</v>
      </c>
      <c r="M213" t="n">
        <v>0</v>
      </c>
      <c r="N213" t="n">
        <v>0</v>
      </c>
      <c r="O213" t="n">
        <v>0</v>
      </c>
      <c r="P213" t="n">
        <v>0</v>
      </c>
      <c r="Q213" t="n">
        <v>0</v>
      </c>
      <c r="R213" s="2" t="inlineStr"/>
    </row>
    <row r="214" ht="15" customHeight="1">
      <c r="A214" t="inlineStr">
        <is>
          <t>A 5342-2024</t>
        </is>
      </c>
      <c r="B214" s="1" t="n">
        <v>45331.44145833333</v>
      </c>
      <c r="C214" s="1" t="n">
        <v>46131</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12017-2024</t>
        </is>
      </c>
      <c r="B215" s="1" t="n">
        <v>45377</v>
      </c>
      <c r="C215" s="1" t="n">
        <v>46131</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56077-2022</t>
        </is>
      </c>
      <c r="B216" s="1" t="n">
        <v>44889.60872685185</v>
      </c>
      <c r="C216" s="1" t="n">
        <v>46131</v>
      </c>
      <c r="D216" t="inlineStr">
        <is>
          <t>ÖREBRO LÄN</t>
        </is>
      </c>
      <c r="E216" t="inlineStr">
        <is>
          <t>ÖREBRO</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9609-2023</t>
        </is>
      </c>
      <c r="B217" s="1" t="n">
        <v>44983.93344907407</v>
      </c>
      <c r="C217" s="1" t="n">
        <v>46131</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70707-2021</t>
        </is>
      </c>
      <c r="B218" s="1" t="n">
        <v>44537</v>
      </c>
      <c r="C218" s="1" t="n">
        <v>46131</v>
      </c>
      <c r="D218" t="inlineStr">
        <is>
          <t>ÖREBRO LÄN</t>
        </is>
      </c>
      <c r="E218" t="inlineStr">
        <is>
          <t>ÖREBRO</t>
        </is>
      </c>
      <c r="G218" t="n">
        <v>13.2</v>
      </c>
      <c r="H218" t="n">
        <v>0</v>
      </c>
      <c r="I218" t="n">
        <v>0</v>
      </c>
      <c r="J218" t="n">
        <v>0</v>
      </c>
      <c r="K218" t="n">
        <v>0</v>
      </c>
      <c r="L218" t="n">
        <v>0</v>
      </c>
      <c r="M218" t="n">
        <v>0</v>
      </c>
      <c r="N218" t="n">
        <v>0</v>
      </c>
      <c r="O218" t="n">
        <v>0</v>
      </c>
      <c r="P218" t="n">
        <v>0</v>
      </c>
      <c r="Q218" t="n">
        <v>0</v>
      </c>
      <c r="R218" s="2" t="inlineStr"/>
    </row>
    <row r="219" ht="15" customHeight="1">
      <c r="A219" t="inlineStr">
        <is>
          <t>A 41669-2025</t>
        </is>
      </c>
      <c r="B219" s="1" t="n">
        <v>45902.36149305556</v>
      </c>
      <c r="C219" s="1" t="n">
        <v>46131</v>
      </c>
      <c r="D219" t="inlineStr">
        <is>
          <t>ÖREBRO LÄN</t>
        </is>
      </c>
      <c r="E219" t="inlineStr">
        <is>
          <t>ÖREBRO</t>
        </is>
      </c>
      <c r="G219" t="n">
        <v>2.8</v>
      </c>
      <c r="H219" t="n">
        <v>0</v>
      </c>
      <c r="I219" t="n">
        <v>0</v>
      </c>
      <c r="J219" t="n">
        <v>0</v>
      </c>
      <c r="K219" t="n">
        <v>0</v>
      </c>
      <c r="L219" t="n">
        <v>0</v>
      </c>
      <c r="M219" t="n">
        <v>0</v>
      </c>
      <c r="N219" t="n">
        <v>0</v>
      </c>
      <c r="O219" t="n">
        <v>0</v>
      </c>
      <c r="P219" t="n">
        <v>0</v>
      </c>
      <c r="Q219" t="n">
        <v>0</v>
      </c>
      <c r="R219" s="2" t="inlineStr"/>
    </row>
    <row r="220" ht="15" customHeight="1">
      <c r="A220" t="inlineStr">
        <is>
          <t>A 41412-2025</t>
        </is>
      </c>
      <c r="B220" s="1" t="n">
        <v>45901.3549537037</v>
      </c>
      <c r="C220" s="1" t="n">
        <v>46131</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57243-2022</t>
        </is>
      </c>
      <c r="B221" s="1" t="n">
        <v>44895.71835648148</v>
      </c>
      <c r="C221" s="1" t="n">
        <v>46131</v>
      </c>
      <c r="D221" t="inlineStr">
        <is>
          <t>ÖREBRO LÄN</t>
        </is>
      </c>
      <c r="E221" t="inlineStr">
        <is>
          <t>ÖREBRO</t>
        </is>
      </c>
      <c r="G221" t="n">
        <v>6</v>
      </c>
      <c r="H221" t="n">
        <v>0</v>
      </c>
      <c r="I221" t="n">
        <v>0</v>
      </c>
      <c r="J221" t="n">
        <v>0</v>
      </c>
      <c r="K221" t="n">
        <v>0</v>
      </c>
      <c r="L221" t="n">
        <v>0</v>
      </c>
      <c r="M221" t="n">
        <v>0</v>
      </c>
      <c r="N221" t="n">
        <v>0</v>
      </c>
      <c r="O221" t="n">
        <v>0</v>
      </c>
      <c r="P221" t="n">
        <v>0</v>
      </c>
      <c r="Q221" t="n">
        <v>0</v>
      </c>
      <c r="R221" s="2" t="inlineStr"/>
    </row>
    <row r="222" ht="15" customHeight="1">
      <c r="A222" t="inlineStr">
        <is>
          <t>A 58621-2024</t>
        </is>
      </c>
      <c r="B222" s="1" t="n">
        <v>45635.56321759259</v>
      </c>
      <c r="C222" s="1" t="n">
        <v>46131</v>
      </c>
      <c r="D222" t="inlineStr">
        <is>
          <t>ÖREBRO LÄN</t>
        </is>
      </c>
      <c r="E222" t="inlineStr">
        <is>
          <t>ÖREBRO</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58216-2024</t>
        </is>
      </c>
      <c r="B223" s="1" t="n">
        <v>45632</v>
      </c>
      <c r="C223" s="1" t="n">
        <v>46131</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25578-2025</t>
        </is>
      </c>
      <c r="B224" s="1" t="n">
        <v>45803.47803240741</v>
      </c>
      <c r="C224" s="1" t="n">
        <v>46131</v>
      </c>
      <c r="D224" t="inlineStr">
        <is>
          <t>ÖREBRO LÄN</t>
        </is>
      </c>
      <c r="E224" t="inlineStr">
        <is>
          <t>ÖREBRO</t>
        </is>
      </c>
      <c r="G224" t="n">
        <v>0.9</v>
      </c>
      <c r="H224" t="n">
        <v>0</v>
      </c>
      <c r="I224" t="n">
        <v>0</v>
      </c>
      <c r="J224" t="n">
        <v>0</v>
      </c>
      <c r="K224" t="n">
        <v>0</v>
      </c>
      <c r="L224" t="n">
        <v>0</v>
      </c>
      <c r="M224" t="n">
        <v>0</v>
      </c>
      <c r="N224" t="n">
        <v>0</v>
      </c>
      <c r="O224" t="n">
        <v>0</v>
      </c>
      <c r="P224" t="n">
        <v>0</v>
      </c>
      <c r="Q224" t="n">
        <v>0</v>
      </c>
      <c r="R224" s="2" t="inlineStr"/>
    </row>
    <row r="225" ht="15" customHeight="1">
      <c r="A225" t="inlineStr">
        <is>
          <t>A 25519-2025</t>
        </is>
      </c>
      <c r="B225" s="1" t="n">
        <v>45803.38447916666</v>
      </c>
      <c r="C225" s="1" t="n">
        <v>46131</v>
      </c>
      <c r="D225" t="inlineStr">
        <is>
          <t>ÖREBRO LÄN</t>
        </is>
      </c>
      <c r="E225" t="inlineStr">
        <is>
          <t>ÖREBRO</t>
        </is>
      </c>
      <c r="G225" t="n">
        <v>7.4</v>
      </c>
      <c r="H225" t="n">
        <v>0</v>
      </c>
      <c r="I225" t="n">
        <v>0</v>
      </c>
      <c r="J225" t="n">
        <v>0</v>
      </c>
      <c r="K225" t="n">
        <v>0</v>
      </c>
      <c r="L225" t="n">
        <v>0</v>
      </c>
      <c r="M225" t="n">
        <v>0</v>
      </c>
      <c r="N225" t="n">
        <v>0</v>
      </c>
      <c r="O225" t="n">
        <v>0</v>
      </c>
      <c r="P225" t="n">
        <v>0</v>
      </c>
      <c r="Q225" t="n">
        <v>0</v>
      </c>
      <c r="R225" s="2" t="inlineStr"/>
    </row>
    <row r="226" ht="15" customHeight="1">
      <c r="A226" t="inlineStr">
        <is>
          <t>A 37012-2024</t>
        </is>
      </c>
      <c r="B226" s="1" t="n">
        <v>45539</v>
      </c>
      <c r="C226" s="1" t="n">
        <v>46131</v>
      </c>
      <c r="D226" t="inlineStr">
        <is>
          <t>ÖREBRO LÄN</t>
        </is>
      </c>
      <c r="E226" t="inlineStr">
        <is>
          <t>ÖREBRO</t>
        </is>
      </c>
      <c r="G226" t="n">
        <v>4.1</v>
      </c>
      <c r="H226" t="n">
        <v>0</v>
      </c>
      <c r="I226" t="n">
        <v>0</v>
      </c>
      <c r="J226" t="n">
        <v>0</v>
      </c>
      <c r="K226" t="n">
        <v>0</v>
      </c>
      <c r="L226" t="n">
        <v>0</v>
      </c>
      <c r="M226" t="n">
        <v>0</v>
      </c>
      <c r="N226" t="n">
        <v>0</v>
      </c>
      <c r="O226" t="n">
        <v>0</v>
      </c>
      <c r="P226" t="n">
        <v>0</v>
      </c>
      <c r="Q226" t="n">
        <v>0</v>
      </c>
      <c r="R226" s="2" t="inlineStr"/>
    </row>
    <row r="227" ht="15" customHeight="1">
      <c r="A227" t="inlineStr">
        <is>
          <t>A 37020-2024</t>
        </is>
      </c>
      <c r="B227" s="1" t="n">
        <v>45539.38059027777</v>
      </c>
      <c r="C227" s="1" t="n">
        <v>46131</v>
      </c>
      <c r="D227" t="inlineStr">
        <is>
          <t>ÖREBRO LÄN</t>
        </is>
      </c>
      <c r="E227" t="inlineStr">
        <is>
          <t>ÖREBRO</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55353-2024</t>
        </is>
      </c>
      <c r="B228" s="1" t="n">
        <v>45621.79526620371</v>
      </c>
      <c r="C228" s="1" t="n">
        <v>46131</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541-2025</t>
        </is>
      </c>
      <c r="B229" s="1" t="n">
        <v>45664.52034722222</v>
      </c>
      <c r="C229" s="1" t="n">
        <v>46131</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53350-2025</t>
        </is>
      </c>
      <c r="B230" s="1" t="n">
        <v>45959.43827546296</v>
      </c>
      <c r="C230" s="1" t="n">
        <v>46131</v>
      </c>
      <c r="D230" t="inlineStr">
        <is>
          <t>ÖREBRO LÄN</t>
        </is>
      </c>
      <c r="E230" t="inlineStr">
        <is>
          <t>ÖREBRO</t>
        </is>
      </c>
      <c r="G230" t="n">
        <v>4.1</v>
      </c>
      <c r="H230" t="n">
        <v>0</v>
      </c>
      <c r="I230" t="n">
        <v>0</v>
      </c>
      <c r="J230" t="n">
        <v>0</v>
      </c>
      <c r="K230" t="n">
        <v>0</v>
      </c>
      <c r="L230" t="n">
        <v>0</v>
      </c>
      <c r="M230" t="n">
        <v>0</v>
      </c>
      <c r="N230" t="n">
        <v>0</v>
      </c>
      <c r="O230" t="n">
        <v>0</v>
      </c>
      <c r="P230" t="n">
        <v>0</v>
      </c>
      <c r="Q230" t="n">
        <v>0</v>
      </c>
      <c r="R230" s="2" t="inlineStr"/>
    </row>
    <row r="231" ht="15" customHeight="1">
      <c r="A231" t="inlineStr">
        <is>
          <t>A 53715-2025</t>
        </is>
      </c>
      <c r="B231" s="1" t="n">
        <v>45960.61763888889</v>
      </c>
      <c r="C231" s="1" t="n">
        <v>46131</v>
      </c>
      <c r="D231" t="inlineStr">
        <is>
          <t>ÖREBRO LÄN</t>
        </is>
      </c>
      <c r="E231" t="inlineStr">
        <is>
          <t>ÖREBRO</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53719-2025</t>
        </is>
      </c>
      <c r="B232" s="1" t="n">
        <v>45960.62042824074</v>
      </c>
      <c r="C232" s="1" t="n">
        <v>46131</v>
      </c>
      <c r="D232" t="inlineStr">
        <is>
          <t>ÖREBRO LÄN</t>
        </is>
      </c>
      <c r="E232" t="inlineStr">
        <is>
          <t>ÖREBRO</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19553-2023</t>
        </is>
      </c>
      <c r="B233" s="1" t="n">
        <v>45050</v>
      </c>
      <c r="C233" s="1" t="n">
        <v>46131</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53343-2025</t>
        </is>
      </c>
      <c r="B234" s="1" t="n">
        <v>45959.42025462963</v>
      </c>
      <c r="C234" s="1" t="n">
        <v>46131</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37025-2024</t>
        </is>
      </c>
      <c r="B235" s="1" t="n">
        <v>45539.3840162037</v>
      </c>
      <c r="C235" s="1" t="n">
        <v>46131</v>
      </c>
      <c r="D235" t="inlineStr">
        <is>
          <t>ÖREBRO LÄN</t>
        </is>
      </c>
      <c r="E235" t="inlineStr">
        <is>
          <t>ÖREBRO</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37027-2024</t>
        </is>
      </c>
      <c r="B236" s="1" t="n">
        <v>45539.38487268519</v>
      </c>
      <c r="C236" s="1" t="n">
        <v>46131</v>
      </c>
      <c r="D236" t="inlineStr">
        <is>
          <t>ÖREBRO LÄN</t>
        </is>
      </c>
      <c r="E236" t="inlineStr">
        <is>
          <t>ÖREBRO</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23594-2023</t>
        </is>
      </c>
      <c r="B237" s="1" t="n">
        <v>45077</v>
      </c>
      <c r="C237" s="1" t="n">
        <v>46131</v>
      </c>
      <c r="D237" t="inlineStr">
        <is>
          <t>ÖREBRO LÄN</t>
        </is>
      </c>
      <c r="E237" t="inlineStr">
        <is>
          <t>ÖREBRO</t>
        </is>
      </c>
      <c r="G237" t="n">
        <v>9.9</v>
      </c>
      <c r="H237" t="n">
        <v>0</v>
      </c>
      <c r="I237" t="n">
        <v>0</v>
      </c>
      <c r="J237" t="n">
        <v>0</v>
      </c>
      <c r="K237" t="n">
        <v>0</v>
      </c>
      <c r="L237" t="n">
        <v>0</v>
      </c>
      <c r="M237" t="n">
        <v>0</v>
      </c>
      <c r="N237" t="n">
        <v>0</v>
      </c>
      <c r="O237" t="n">
        <v>0</v>
      </c>
      <c r="P237" t="n">
        <v>0</v>
      </c>
      <c r="Q237" t="n">
        <v>0</v>
      </c>
      <c r="R237" s="2" t="inlineStr"/>
    </row>
    <row r="238" ht="15" customHeight="1">
      <c r="A238" t="inlineStr">
        <is>
          <t>A 8022-2022</t>
        </is>
      </c>
      <c r="B238" s="1" t="n">
        <v>44609</v>
      </c>
      <c r="C238" s="1" t="n">
        <v>46131</v>
      </c>
      <c r="D238" t="inlineStr">
        <is>
          <t>ÖREBRO LÄN</t>
        </is>
      </c>
      <c r="E238" t="inlineStr">
        <is>
          <t>ÖREBRO</t>
        </is>
      </c>
      <c r="G238" t="n">
        <v>5.6</v>
      </c>
      <c r="H238" t="n">
        <v>0</v>
      </c>
      <c r="I238" t="n">
        <v>0</v>
      </c>
      <c r="J238" t="n">
        <v>0</v>
      </c>
      <c r="K238" t="n">
        <v>0</v>
      </c>
      <c r="L238" t="n">
        <v>0</v>
      </c>
      <c r="M238" t="n">
        <v>0</v>
      </c>
      <c r="N238" t="n">
        <v>0</v>
      </c>
      <c r="O238" t="n">
        <v>0</v>
      </c>
      <c r="P238" t="n">
        <v>0</v>
      </c>
      <c r="Q238" t="n">
        <v>0</v>
      </c>
      <c r="R238" s="2" t="inlineStr"/>
    </row>
    <row r="239" ht="15" customHeight="1">
      <c r="A239" t="inlineStr">
        <is>
          <t>A 47193-2023</t>
        </is>
      </c>
      <c r="B239" s="1" t="n">
        <v>45202.3074537037</v>
      </c>
      <c r="C239" s="1" t="n">
        <v>46131</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58598-2022</t>
        </is>
      </c>
      <c r="B240" s="1" t="n">
        <v>44902</v>
      </c>
      <c r="C240" s="1" t="n">
        <v>46131</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53437-2025</t>
        </is>
      </c>
      <c r="B241" s="1" t="n">
        <v>45959.63440972222</v>
      </c>
      <c r="C241" s="1" t="n">
        <v>46131</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53342-2025</t>
        </is>
      </c>
      <c r="B242" s="1" t="n">
        <v>45959.41769675926</v>
      </c>
      <c r="C242" s="1" t="n">
        <v>46131</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53443-2025</t>
        </is>
      </c>
      <c r="B243" s="1" t="n">
        <v>45959.6444675926</v>
      </c>
      <c r="C243" s="1" t="n">
        <v>46131</v>
      </c>
      <c r="D243" t="inlineStr">
        <is>
          <t>ÖREBRO LÄN</t>
        </is>
      </c>
      <c r="E243" t="inlineStr">
        <is>
          <t>ÖREBRO</t>
        </is>
      </c>
      <c r="G243" t="n">
        <v>2.8</v>
      </c>
      <c r="H243" t="n">
        <v>0</v>
      </c>
      <c r="I243" t="n">
        <v>0</v>
      </c>
      <c r="J243" t="n">
        <v>0</v>
      </c>
      <c r="K243" t="n">
        <v>0</v>
      </c>
      <c r="L243" t="n">
        <v>0</v>
      </c>
      <c r="M243" t="n">
        <v>0</v>
      </c>
      <c r="N243" t="n">
        <v>0</v>
      </c>
      <c r="O243" t="n">
        <v>0</v>
      </c>
      <c r="P243" t="n">
        <v>0</v>
      </c>
      <c r="Q243" t="n">
        <v>0</v>
      </c>
      <c r="R243" s="2" t="inlineStr"/>
    </row>
    <row r="244" ht="15" customHeight="1">
      <c r="A244" t="inlineStr">
        <is>
          <t>A 54205-2025</t>
        </is>
      </c>
      <c r="B244" s="1" t="n">
        <v>45964.58512731481</v>
      </c>
      <c r="C244" s="1" t="n">
        <v>46131</v>
      </c>
      <c r="D244" t="inlineStr">
        <is>
          <t>ÖREBRO LÄN</t>
        </is>
      </c>
      <c r="E244" t="inlineStr">
        <is>
          <t>ÖREBRO</t>
        </is>
      </c>
      <c r="G244" t="n">
        <v>24.3</v>
      </c>
      <c r="H244" t="n">
        <v>0</v>
      </c>
      <c r="I244" t="n">
        <v>0</v>
      </c>
      <c r="J244" t="n">
        <v>0</v>
      </c>
      <c r="K244" t="n">
        <v>0</v>
      </c>
      <c r="L244" t="n">
        <v>0</v>
      </c>
      <c r="M244" t="n">
        <v>0</v>
      </c>
      <c r="N244" t="n">
        <v>0</v>
      </c>
      <c r="O244" t="n">
        <v>0</v>
      </c>
      <c r="P244" t="n">
        <v>0</v>
      </c>
      <c r="Q244" t="n">
        <v>0</v>
      </c>
      <c r="R244" s="2" t="inlineStr"/>
    </row>
    <row r="245" ht="15" customHeight="1">
      <c r="A245" t="inlineStr">
        <is>
          <t>A 71206-2021</t>
        </is>
      </c>
      <c r="B245" s="1" t="n">
        <v>44539</v>
      </c>
      <c r="C245" s="1" t="n">
        <v>46131</v>
      </c>
      <c r="D245" t="inlineStr">
        <is>
          <t>ÖREBRO LÄN</t>
        </is>
      </c>
      <c r="E245" t="inlineStr">
        <is>
          <t>ÖREBRO</t>
        </is>
      </c>
      <c r="G245" t="n">
        <v>2.5</v>
      </c>
      <c r="H245" t="n">
        <v>0</v>
      </c>
      <c r="I245" t="n">
        <v>0</v>
      </c>
      <c r="J245" t="n">
        <v>0</v>
      </c>
      <c r="K245" t="n">
        <v>0</v>
      </c>
      <c r="L245" t="n">
        <v>0</v>
      </c>
      <c r="M245" t="n">
        <v>0</v>
      </c>
      <c r="N245" t="n">
        <v>0</v>
      </c>
      <c r="O245" t="n">
        <v>0</v>
      </c>
      <c r="P245" t="n">
        <v>0</v>
      </c>
      <c r="Q245" t="n">
        <v>0</v>
      </c>
      <c r="R245" s="2" t="inlineStr"/>
    </row>
    <row r="246" ht="15" customHeight="1">
      <c r="A246" t="inlineStr">
        <is>
          <t>A 54485-2025</t>
        </is>
      </c>
      <c r="B246" s="1" t="n">
        <v>45965.59295138889</v>
      </c>
      <c r="C246" s="1" t="n">
        <v>46131</v>
      </c>
      <c r="D246" t="inlineStr">
        <is>
          <t>ÖREBRO LÄN</t>
        </is>
      </c>
      <c r="E246" t="inlineStr">
        <is>
          <t>ÖREBRO</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46131</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16739-2022</t>
        </is>
      </c>
      <c r="B248" s="1" t="n">
        <v>44673</v>
      </c>
      <c r="C248" s="1" t="n">
        <v>46131</v>
      </c>
      <c r="D248" t="inlineStr">
        <is>
          <t>ÖREBRO LÄN</t>
        </is>
      </c>
      <c r="E248" t="inlineStr">
        <is>
          <t>ÖREBRO</t>
        </is>
      </c>
      <c r="G248" t="n">
        <v>4.7</v>
      </c>
      <c r="H248" t="n">
        <v>0</v>
      </c>
      <c r="I248" t="n">
        <v>0</v>
      </c>
      <c r="J248" t="n">
        <v>0</v>
      </c>
      <c r="K248" t="n">
        <v>0</v>
      </c>
      <c r="L248" t="n">
        <v>0</v>
      </c>
      <c r="M248" t="n">
        <v>0</v>
      </c>
      <c r="N248" t="n">
        <v>0</v>
      </c>
      <c r="O248" t="n">
        <v>0</v>
      </c>
      <c r="P248" t="n">
        <v>0</v>
      </c>
      <c r="Q248" t="n">
        <v>0</v>
      </c>
      <c r="R248" s="2" t="inlineStr"/>
    </row>
    <row r="249" ht="15" customHeight="1">
      <c r="A249" t="inlineStr">
        <is>
          <t>A 27180-2025</t>
        </is>
      </c>
      <c r="B249" s="1" t="n">
        <v>45812.35736111111</v>
      </c>
      <c r="C249" s="1" t="n">
        <v>46131</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27215-2025</t>
        </is>
      </c>
      <c r="B250" s="1" t="n">
        <v>45812.41869212963</v>
      </c>
      <c r="C250" s="1" t="n">
        <v>46131</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27225-2025</t>
        </is>
      </c>
      <c r="B251" s="1" t="n">
        <v>45812.42856481481</v>
      </c>
      <c r="C251" s="1" t="n">
        <v>46131</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44875-2025</t>
        </is>
      </c>
      <c r="B252" s="1" t="n">
        <v>45918.47043981482</v>
      </c>
      <c r="C252" s="1" t="n">
        <v>46131</v>
      </c>
      <c r="D252" t="inlineStr">
        <is>
          <t>ÖREBRO LÄN</t>
        </is>
      </c>
      <c r="E252" t="inlineStr">
        <is>
          <t>ÖREBRO</t>
        </is>
      </c>
      <c r="G252" t="n">
        <v>1.4</v>
      </c>
      <c r="H252" t="n">
        <v>0</v>
      </c>
      <c r="I252" t="n">
        <v>0</v>
      </c>
      <c r="J252" t="n">
        <v>0</v>
      </c>
      <c r="K252" t="n">
        <v>0</v>
      </c>
      <c r="L252" t="n">
        <v>0</v>
      </c>
      <c r="M252" t="n">
        <v>0</v>
      </c>
      <c r="N252" t="n">
        <v>0</v>
      </c>
      <c r="O252" t="n">
        <v>0</v>
      </c>
      <c r="P252" t="n">
        <v>0</v>
      </c>
      <c r="Q252" t="n">
        <v>0</v>
      </c>
      <c r="R252" s="2" t="inlineStr"/>
    </row>
    <row r="253" ht="15" customHeight="1">
      <c r="A253" t="inlineStr">
        <is>
          <t>A 44960-2025</t>
        </is>
      </c>
      <c r="B253" s="1" t="n">
        <v>45918.61577546296</v>
      </c>
      <c r="C253" s="1" t="n">
        <v>46131</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9379-2024</t>
        </is>
      </c>
      <c r="B254" s="1" t="n">
        <v>45359.37298611111</v>
      </c>
      <c r="C254" s="1" t="n">
        <v>46131</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5398-2022</t>
        </is>
      </c>
      <c r="B255" s="1" t="n">
        <v>44595.3353587963</v>
      </c>
      <c r="C255" s="1" t="n">
        <v>46131</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28120-2025</t>
        </is>
      </c>
      <c r="B256" s="1" t="n">
        <v>45818.30459490741</v>
      </c>
      <c r="C256" s="1" t="n">
        <v>46131</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41995-2024</t>
        </is>
      </c>
      <c r="B257" s="1" t="n">
        <v>45561.6475462963</v>
      </c>
      <c r="C257" s="1" t="n">
        <v>46131</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55748-2025</t>
        </is>
      </c>
      <c r="B258" s="1" t="n">
        <v>45972.57893518519</v>
      </c>
      <c r="C258" s="1" t="n">
        <v>46131</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55750-2025</t>
        </is>
      </c>
      <c r="B259" s="1" t="n">
        <v>45972.58171296296</v>
      </c>
      <c r="C259" s="1" t="n">
        <v>46131</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16737-2023</t>
        </is>
      </c>
      <c r="B260" s="1" t="n">
        <v>45030.72472222222</v>
      </c>
      <c r="C260" s="1" t="n">
        <v>46131</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46131</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2318-2023</t>
        </is>
      </c>
      <c r="B262" s="1" t="n">
        <v>44942</v>
      </c>
      <c r="C262" s="1" t="n">
        <v>46131</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5764-2022</t>
        </is>
      </c>
      <c r="B263" s="1" t="n">
        <v>44596</v>
      </c>
      <c r="C263" s="1" t="n">
        <v>46131</v>
      </c>
      <c r="D263" t="inlineStr">
        <is>
          <t>ÖREBRO LÄN</t>
        </is>
      </c>
      <c r="E263" t="inlineStr">
        <is>
          <t>ÖREBRO</t>
        </is>
      </c>
      <c r="G263" t="n">
        <v>3.5</v>
      </c>
      <c r="H263" t="n">
        <v>0</v>
      </c>
      <c r="I263" t="n">
        <v>0</v>
      </c>
      <c r="J263" t="n">
        <v>0</v>
      </c>
      <c r="K263" t="n">
        <v>0</v>
      </c>
      <c r="L263" t="n">
        <v>0</v>
      </c>
      <c r="M263" t="n">
        <v>0</v>
      </c>
      <c r="N263" t="n">
        <v>0</v>
      </c>
      <c r="O263" t="n">
        <v>0</v>
      </c>
      <c r="P263" t="n">
        <v>0</v>
      </c>
      <c r="Q263" t="n">
        <v>0</v>
      </c>
      <c r="R263" s="2" t="inlineStr"/>
    </row>
    <row r="264" ht="15" customHeight="1">
      <c r="A264" t="inlineStr">
        <is>
          <t>A 45027-2024</t>
        </is>
      </c>
      <c r="B264" s="1" t="n">
        <v>45575</v>
      </c>
      <c r="C264" s="1" t="n">
        <v>46131</v>
      </c>
      <c r="D264" t="inlineStr">
        <is>
          <t>ÖREBRO LÄN</t>
        </is>
      </c>
      <c r="E264" t="inlineStr">
        <is>
          <t>ÖREBRO</t>
        </is>
      </c>
      <c r="G264" t="n">
        <v>6.3</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46131</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28938-2025</t>
        </is>
      </c>
      <c r="B266" s="1" t="n">
        <v>45820.70626157407</v>
      </c>
      <c r="C266" s="1" t="n">
        <v>46131</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41543-2024</t>
        </is>
      </c>
      <c r="B267" s="1" t="n">
        <v>45560</v>
      </c>
      <c r="C267" s="1" t="n">
        <v>46131</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10799-2024</t>
        </is>
      </c>
      <c r="B268" s="1" t="n">
        <v>45369</v>
      </c>
      <c r="C268" s="1" t="n">
        <v>46131</v>
      </c>
      <c r="D268" t="inlineStr">
        <is>
          <t>ÖREBRO LÄN</t>
        </is>
      </c>
      <c r="E268" t="inlineStr">
        <is>
          <t>ÖREBRO</t>
        </is>
      </c>
      <c r="G268" t="n">
        <v>5.8</v>
      </c>
      <c r="H268" t="n">
        <v>0</v>
      </c>
      <c r="I268" t="n">
        <v>0</v>
      </c>
      <c r="J268" t="n">
        <v>0</v>
      </c>
      <c r="K268" t="n">
        <v>0</v>
      </c>
      <c r="L268" t="n">
        <v>0</v>
      </c>
      <c r="M268" t="n">
        <v>0</v>
      </c>
      <c r="N268" t="n">
        <v>0</v>
      </c>
      <c r="O268" t="n">
        <v>0</v>
      </c>
      <c r="P268" t="n">
        <v>0</v>
      </c>
      <c r="Q268" t="n">
        <v>0</v>
      </c>
      <c r="R268" s="2" t="inlineStr"/>
    </row>
    <row r="269" ht="15" customHeight="1">
      <c r="A269" t="inlineStr">
        <is>
          <t>A 28920-2025</t>
        </is>
      </c>
      <c r="B269" s="1" t="n">
        <v>45820.66532407407</v>
      </c>
      <c r="C269" s="1" t="n">
        <v>46131</v>
      </c>
      <c r="D269" t="inlineStr">
        <is>
          <t>ÖREBRO LÄN</t>
        </is>
      </c>
      <c r="E269" t="inlineStr">
        <is>
          <t>ÖREBRO</t>
        </is>
      </c>
      <c r="G269" t="n">
        <v>3</v>
      </c>
      <c r="H269" t="n">
        <v>0</v>
      </c>
      <c r="I269" t="n">
        <v>0</v>
      </c>
      <c r="J269" t="n">
        <v>0</v>
      </c>
      <c r="K269" t="n">
        <v>0</v>
      </c>
      <c r="L269" t="n">
        <v>0</v>
      </c>
      <c r="M269" t="n">
        <v>0</v>
      </c>
      <c r="N269" t="n">
        <v>0</v>
      </c>
      <c r="O269" t="n">
        <v>0</v>
      </c>
      <c r="P269" t="n">
        <v>0</v>
      </c>
      <c r="Q269" t="n">
        <v>0</v>
      </c>
      <c r="R269" s="2" t="inlineStr"/>
    </row>
    <row r="270" ht="15" customHeight="1">
      <c r="A270" t="inlineStr">
        <is>
          <t>A 16694-2025</t>
        </is>
      </c>
      <c r="B270" s="1" t="n">
        <v>45754.46480324074</v>
      </c>
      <c r="C270" s="1" t="n">
        <v>46131</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29286-2025</t>
        </is>
      </c>
      <c r="B271" s="1" t="n">
        <v>45824.43502314815</v>
      </c>
      <c r="C271" s="1" t="n">
        <v>46131</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29339-2025</t>
        </is>
      </c>
      <c r="B272" s="1" t="n">
        <v>45824.5044212963</v>
      </c>
      <c r="C272" s="1" t="n">
        <v>46131</v>
      </c>
      <c r="D272" t="inlineStr">
        <is>
          <t>ÖREBRO LÄN</t>
        </is>
      </c>
      <c r="E272" t="inlineStr">
        <is>
          <t>ÖREBRO</t>
        </is>
      </c>
      <c r="G272" t="n">
        <v>4.3</v>
      </c>
      <c r="H272" t="n">
        <v>0</v>
      </c>
      <c r="I272" t="n">
        <v>0</v>
      </c>
      <c r="J272" t="n">
        <v>0</v>
      </c>
      <c r="K272" t="n">
        <v>0</v>
      </c>
      <c r="L272" t="n">
        <v>0</v>
      </c>
      <c r="M272" t="n">
        <v>0</v>
      </c>
      <c r="N272" t="n">
        <v>0</v>
      </c>
      <c r="O272" t="n">
        <v>0</v>
      </c>
      <c r="P272" t="n">
        <v>0</v>
      </c>
      <c r="Q272" t="n">
        <v>0</v>
      </c>
      <c r="R272" s="2" t="inlineStr"/>
    </row>
    <row r="273" ht="15" customHeight="1">
      <c r="A273" t="inlineStr">
        <is>
          <t>A 49465-2024</t>
        </is>
      </c>
      <c r="B273" s="1" t="n">
        <v>45596</v>
      </c>
      <c r="C273" s="1" t="n">
        <v>46131</v>
      </c>
      <c r="D273" t="inlineStr">
        <is>
          <t>ÖREBRO LÄN</t>
        </is>
      </c>
      <c r="E273" t="inlineStr">
        <is>
          <t>ÖREBRO</t>
        </is>
      </c>
      <c r="F273" t="inlineStr">
        <is>
          <t>Övriga Aktiebolag</t>
        </is>
      </c>
      <c r="G273" t="n">
        <v>21</v>
      </c>
      <c r="H273" t="n">
        <v>0</v>
      </c>
      <c r="I273" t="n">
        <v>0</v>
      </c>
      <c r="J273" t="n">
        <v>0</v>
      </c>
      <c r="K273" t="n">
        <v>0</v>
      </c>
      <c r="L273" t="n">
        <v>0</v>
      </c>
      <c r="M273" t="n">
        <v>0</v>
      </c>
      <c r="N273" t="n">
        <v>0</v>
      </c>
      <c r="O273" t="n">
        <v>0</v>
      </c>
      <c r="P273" t="n">
        <v>0</v>
      </c>
      <c r="Q273" t="n">
        <v>0</v>
      </c>
      <c r="R273" s="2" t="inlineStr"/>
    </row>
    <row r="274" ht="15" customHeight="1">
      <c r="A274" t="inlineStr">
        <is>
          <t>A 60059-2023</t>
        </is>
      </c>
      <c r="B274" s="1" t="n">
        <v>45258.38157407408</v>
      </c>
      <c r="C274" s="1" t="n">
        <v>46131</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26858-2024</t>
        </is>
      </c>
      <c r="B275" s="1" t="n">
        <v>45470</v>
      </c>
      <c r="C275" s="1" t="n">
        <v>46131</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29701-2025</t>
        </is>
      </c>
      <c r="B276" s="1" t="n">
        <v>45825.55261574074</v>
      </c>
      <c r="C276" s="1" t="n">
        <v>46131</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59121-2024</t>
        </is>
      </c>
      <c r="B277" s="1" t="n">
        <v>45637.37755787037</v>
      </c>
      <c r="C277" s="1" t="n">
        <v>46131</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49215-2023</t>
        </is>
      </c>
      <c r="B278" s="1" t="n">
        <v>45210.61050925926</v>
      </c>
      <c r="C278" s="1" t="n">
        <v>46131</v>
      </c>
      <c r="D278" t="inlineStr">
        <is>
          <t>ÖREBRO LÄN</t>
        </is>
      </c>
      <c r="E278" t="inlineStr">
        <is>
          <t>ÖREBRO</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17983-2025</t>
        </is>
      </c>
      <c r="B279" s="1" t="n">
        <v>45761.38829861111</v>
      </c>
      <c r="C279" s="1" t="n">
        <v>46131</v>
      </c>
      <c r="D279" t="inlineStr">
        <is>
          <t>ÖREBRO LÄN</t>
        </is>
      </c>
      <c r="E279" t="inlineStr">
        <is>
          <t>ÖREBRO</t>
        </is>
      </c>
      <c r="G279" t="n">
        <v>0.8</v>
      </c>
      <c r="H279" t="n">
        <v>0</v>
      </c>
      <c r="I279" t="n">
        <v>0</v>
      </c>
      <c r="J279" t="n">
        <v>0</v>
      </c>
      <c r="K279" t="n">
        <v>0</v>
      </c>
      <c r="L279" t="n">
        <v>0</v>
      </c>
      <c r="M279" t="n">
        <v>0</v>
      </c>
      <c r="N279" t="n">
        <v>0</v>
      </c>
      <c r="O279" t="n">
        <v>0</v>
      </c>
      <c r="P279" t="n">
        <v>0</v>
      </c>
      <c r="Q279" t="n">
        <v>0</v>
      </c>
      <c r="R279" s="2" t="inlineStr"/>
    </row>
    <row r="280" ht="15" customHeight="1">
      <c r="A280" t="inlineStr">
        <is>
          <t>A 30550-2025</t>
        </is>
      </c>
      <c r="B280" s="1" t="n">
        <v>45831.38224537037</v>
      </c>
      <c r="C280" s="1" t="n">
        <v>46131</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30731-2025</t>
        </is>
      </c>
      <c r="B281" s="1" t="n">
        <v>45831.57280092593</v>
      </c>
      <c r="C281" s="1" t="n">
        <v>46131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11663-2024</t>
        </is>
      </c>
      <c r="B282" s="1" t="n">
        <v>45373</v>
      </c>
      <c r="C282" s="1" t="n">
        <v>46131</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30951-2025</t>
        </is>
      </c>
      <c r="B283" s="1" t="n">
        <v>45832.43225694444</v>
      </c>
      <c r="C283" s="1" t="n">
        <v>46131</v>
      </c>
      <c r="D283" t="inlineStr">
        <is>
          <t>ÖREBRO LÄN</t>
        </is>
      </c>
      <c r="E283" t="inlineStr">
        <is>
          <t>ÖREBRO</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46131</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48454-2025</t>
        </is>
      </c>
      <c r="B285" s="1" t="n">
        <v>45935.80164351852</v>
      </c>
      <c r="C285" s="1" t="n">
        <v>46131</v>
      </c>
      <c r="D285" t="inlineStr">
        <is>
          <t>ÖREBRO LÄN</t>
        </is>
      </c>
      <c r="E285" t="inlineStr">
        <is>
          <t>ÖREBRO</t>
        </is>
      </c>
      <c r="F285" t="inlineStr">
        <is>
          <t>Övriga Aktiebolag</t>
        </is>
      </c>
      <c r="G285" t="n">
        <v>18.1</v>
      </c>
      <c r="H285" t="n">
        <v>0</v>
      </c>
      <c r="I285" t="n">
        <v>0</v>
      </c>
      <c r="J285" t="n">
        <v>0</v>
      </c>
      <c r="K285" t="n">
        <v>0</v>
      </c>
      <c r="L285" t="n">
        <v>0</v>
      </c>
      <c r="M285" t="n">
        <v>0</v>
      </c>
      <c r="N285" t="n">
        <v>0</v>
      </c>
      <c r="O285" t="n">
        <v>0</v>
      </c>
      <c r="P285" t="n">
        <v>0</v>
      </c>
      <c r="Q285" t="n">
        <v>0</v>
      </c>
      <c r="R285" s="2" t="inlineStr"/>
    </row>
    <row r="286" ht="15" customHeight="1">
      <c r="A286" t="inlineStr">
        <is>
          <t>A 55692-2023</t>
        </is>
      </c>
      <c r="B286" s="1" t="n">
        <v>45239</v>
      </c>
      <c r="C286" s="1" t="n">
        <v>46131</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14715-2024</t>
        </is>
      </c>
      <c r="B287" s="1" t="n">
        <v>45397.5500462963</v>
      </c>
      <c r="C287" s="1" t="n">
        <v>46131</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12682-2023</t>
        </is>
      </c>
      <c r="B288" s="1" t="n">
        <v>45000.6115625</v>
      </c>
      <c r="C288" s="1" t="n">
        <v>46131</v>
      </c>
      <c r="D288" t="inlineStr">
        <is>
          <t>ÖREBRO LÄN</t>
        </is>
      </c>
      <c r="E288" t="inlineStr">
        <is>
          <t>ÖREBRO</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13592-2023</t>
        </is>
      </c>
      <c r="B289" s="1" t="n">
        <v>45006.56870370371</v>
      </c>
      <c r="C289" s="1" t="n">
        <v>46131</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31233-2025</t>
        </is>
      </c>
      <c r="B290" s="1" t="n">
        <v>45832.83341435185</v>
      </c>
      <c r="C290" s="1" t="n">
        <v>46131</v>
      </c>
      <c r="D290" t="inlineStr">
        <is>
          <t>ÖREBRO LÄN</t>
        </is>
      </c>
      <c r="E290" t="inlineStr">
        <is>
          <t>ÖREBRO</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31232-2025</t>
        </is>
      </c>
      <c r="B291" s="1" t="n">
        <v>45832.8252199074</v>
      </c>
      <c r="C291" s="1" t="n">
        <v>46131</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31237-2025</t>
        </is>
      </c>
      <c r="B292" s="1" t="n">
        <v>45832.84313657408</v>
      </c>
      <c r="C292" s="1" t="n">
        <v>46131</v>
      </c>
      <c r="D292" t="inlineStr">
        <is>
          <t>ÖREBRO LÄN</t>
        </is>
      </c>
      <c r="E292" t="inlineStr">
        <is>
          <t>ÖREBRO</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55879-2025</t>
        </is>
      </c>
      <c r="B293" s="1" t="n">
        <v>45973.36508101852</v>
      </c>
      <c r="C293" s="1" t="n">
        <v>46131</v>
      </c>
      <c r="D293" t="inlineStr">
        <is>
          <t>ÖREBRO LÄN</t>
        </is>
      </c>
      <c r="E293" t="inlineStr">
        <is>
          <t>ÖREBRO</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59736-2023</t>
        </is>
      </c>
      <c r="B294" s="1" t="n">
        <v>45257.374375</v>
      </c>
      <c r="C294" s="1" t="n">
        <v>46131</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55355-2024</t>
        </is>
      </c>
      <c r="B295" s="1" t="n">
        <v>45621.80475694445</v>
      </c>
      <c r="C295" s="1" t="n">
        <v>46131</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46131</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32218-2025</t>
        </is>
      </c>
      <c r="B297" s="1" t="n">
        <v>45835.58880787037</v>
      </c>
      <c r="C297" s="1" t="n">
        <v>46131</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20115-2024</t>
        </is>
      </c>
      <c r="B298" s="1" t="n">
        <v>45434</v>
      </c>
      <c r="C298" s="1" t="n">
        <v>46131</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55875-2024</t>
        </is>
      </c>
      <c r="B299" s="1" t="n">
        <v>45623.55375</v>
      </c>
      <c r="C299" s="1" t="n">
        <v>46131</v>
      </c>
      <c r="D299" t="inlineStr">
        <is>
          <t>ÖREBRO LÄN</t>
        </is>
      </c>
      <c r="E299" t="inlineStr">
        <is>
          <t>ÖREBRO</t>
        </is>
      </c>
      <c r="G299" t="n">
        <v>3.5</v>
      </c>
      <c r="H299" t="n">
        <v>0</v>
      </c>
      <c r="I299" t="n">
        <v>0</v>
      </c>
      <c r="J299" t="n">
        <v>0</v>
      </c>
      <c r="K299" t="n">
        <v>0</v>
      </c>
      <c r="L299" t="n">
        <v>0</v>
      </c>
      <c r="M299" t="n">
        <v>0</v>
      </c>
      <c r="N299" t="n">
        <v>0</v>
      </c>
      <c r="O299" t="n">
        <v>0</v>
      </c>
      <c r="P299" t="n">
        <v>0</v>
      </c>
      <c r="Q299" t="n">
        <v>0</v>
      </c>
      <c r="R299" s="2" t="inlineStr"/>
    </row>
    <row r="300" ht="15" customHeight="1">
      <c r="A300" t="inlineStr">
        <is>
          <t>A 32188-2025</t>
        </is>
      </c>
      <c r="B300" s="1" t="n">
        <v>45835.56965277778</v>
      </c>
      <c r="C300" s="1" t="n">
        <v>46131</v>
      </c>
      <c r="D300" t="inlineStr">
        <is>
          <t>ÖREBRO LÄN</t>
        </is>
      </c>
      <c r="E300" t="inlineStr">
        <is>
          <t>ÖREBRO</t>
        </is>
      </c>
      <c r="G300" t="n">
        <v>2.9</v>
      </c>
      <c r="H300" t="n">
        <v>0</v>
      </c>
      <c r="I300" t="n">
        <v>0</v>
      </c>
      <c r="J300" t="n">
        <v>0</v>
      </c>
      <c r="K300" t="n">
        <v>0</v>
      </c>
      <c r="L300" t="n">
        <v>0</v>
      </c>
      <c r="M300" t="n">
        <v>0</v>
      </c>
      <c r="N300" t="n">
        <v>0</v>
      </c>
      <c r="O300" t="n">
        <v>0</v>
      </c>
      <c r="P300" t="n">
        <v>0</v>
      </c>
      <c r="Q300" t="n">
        <v>0</v>
      </c>
      <c r="R300" s="2" t="inlineStr"/>
    </row>
    <row r="301" ht="15" customHeight="1">
      <c r="A301" t="inlineStr">
        <is>
          <t>A 32195-2025</t>
        </is>
      </c>
      <c r="B301" s="1" t="n">
        <v>45835.57407407407</v>
      </c>
      <c r="C301" s="1" t="n">
        <v>46131</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23710-2022</t>
        </is>
      </c>
      <c r="B302" s="1" t="n">
        <v>44722</v>
      </c>
      <c r="C302" s="1" t="n">
        <v>46131</v>
      </c>
      <c r="D302" t="inlineStr">
        <is>
          <t>ÖREBRO LÄN</t>
        </is>
      </c>
      <c r="E302" t="inlineStr">
        <is>
          <t>ÖREBRO</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33191-2025</t>
        </is>
      </c>
      <c r="B303" s="1" t="n">
        <v>45840.6003587963</v>
      </c>
      <c r="C303" s="1" t="n">
        <v>46131</v>
      </c>
      <c r="D303" t="inlineStr">
        <is>
          <t>ÖREBRO LÄN</t>
        </is>
      </c>
      <c r="E303" t="inlineStr">
        <is>
          <t>ÖREBRO</t>
        </is>
      </c>
      <c r="G303" t="n">
        <v>2.6</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46131</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46131</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46131</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46131</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46131</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50311-2025</t>
        </is>
      </c>
      <c r="B309" s="1" t="n">
        <v>45944</v>
      </c>
      <c r="C309" s="1" t="n">
        <v>46131</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6522-2023</t>
        </is>
      </c>
      <c r="B310" s="1" t="n">
        <v>44966</v>
      </c>
      <c r="C310" s="1" t="n">
        <v>46131</v>
      </c>
      <c r="D310" t="inlineStr">
        <is>
          <t>ÖREBRO LÄN</t>
        </is>
      </c>
      <c r="E310" t="inlineStr">
        <is>
          <t>ÖREBRO</t>
        </is>
      </c>
      <c r="G310" t="n">
        <v>4.4</v>
      </c>
      <c r="H310" t="n">
        <v>0</v>
      </c>
      <c r="I310" t="n">
        <v>0</v>
      </c>
      <c r="J310" t="n">
        <v>0</v>
      </c>
      <c r="K310" t="n">
        <v>0</v>
      </c>
      <c r="L310" t="n">
        <v>0</v>
      </c>
      <c r="M310" t="n">
        <v>0</v>
      </c>
      <c r="N310" t="n">
        <v>0</v>
      </c>
      <c r="O310" t="n">
        <v>0</v>
      </c>
      <c r="P310" t="n">
        <v>0</v>
      </c>
      <c r="Q310" t="n">
        <v>0</v>
      </c>
      <c r="R310" s="2" t="inlineStr"/>
    </row>
    <row r="311" ht="15" customHeight="1">
      <c r="A311" t="inlineStr">
        <is>
          <t>A 56040-2024</t>
        </is>
      </c>
      <c r="B311" s="1" t="n">
        <v>45624.3344212963</v>
      </c>
      <c r="C311" s="1" t="n">
        <v>46131</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52444-2024</t>
        </is>
      </c>
      <c r="B312" s="1" t="n">
        <v>45609.48894675926</v>
      </c>
      <c r="C312" s="1" t="n">
        <v>46131</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60128-2023</t>
        </is>
      </c>
      <c r="B313" s="1" t="n">
        <v>45258</v>
      </c>
      <c r="C313" s="1" t="n">
        <v>46131</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16140-2023</t>
        </is>
      </c>
      <c r="B314" s="1" t="n">
        <v>45027.6433912037</v>
      </c>
      <c r="C314" s="1" t="n">
        <v>46131</v>
      </c>
      <c r="D314" t="inlineStr">
        <is>
          <t>ÖREBRO LÄN</t>
        </is>
      </c>
      <c r="E314" t="inlineStr">
        <is>
          <t>ÖREBRO</t>
        </is>
      </c>
      <c r="G314" t="n">
        <v>2</v>
      </c>
      <c r="H314" t="n">
        <v>0</v>
      </c>
      <c r="I314" t="n">
        <v>0</v>
      </c>
      <c r="J314" t="n">
        <v>0</v>
      </c>
      <c r="K314" t="n">
        <v>0</v>
      </c>
      <c r="L314" t="n">
        <v>0</v>
      </c>
      <c r="M314" t="n">
        <v>0</v>
      </c>
      <c r="N314" t="n">
        <v>0</v>
      </c>
      <c r="O314" t="n">
        <v>0</v>
      </c>
      <c r="P314" t="n">
        <v>0</v>
      </c>
      <c r="Q314" t="n">
        <v>0</v>
      </c>
      <c r="R314" s="2" t="inlineStr"/>
    </row>
    <row r="315" ht="15" customHeight="1">
      <c r="A315" t="inlineStr">
        <is>
          <t>A 51249-2025</t>
        </is>
      </c>
      <c r="B315" s="1" t="n">
        <v>45948.45704861111</v>
      </c>
      <c r="C315" s="1" t="n">
        <v>46131</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51248-2025</t>
        </is>
      </c>
      <c r="B316" s="1" t="n">
        <v>45948.450625</v>
      </c>
      <c r="C316" s="1" t="n">
        <v>46131</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55888-2025</t>
        </is>
      </c>
      <c r="B317" s="1" t="n">
        <v>45973.37163194444</v>
      </c>
      <c r="C317" s="1" t="n">
        <v>46131</v>
      </c>
      <c r="D317" t="inlineStr">
        <is>
          <t>ÖREBRO LÄN</t>
        </is>
      </c>
      <c r="E317" t="inlineStr">
        <is>
          <t>ÖREBRO</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6752-2022</t>
        </is>
      </c>
      <c r="B318" s="1" t="n">
        <v>44602.48082175926</v>
      </c>
      <c r="C318" s="1" t="n">
        <v>46131</v>
      </c>
      <c r="D318" t="inlineStr">
        <is>
          <t>ÖREBRO LÄN</t>
        </is>
      </c>
      <c r="E318" t="inlineStr">
        <is>
          <t>ÖREBRO</t>
        </is>
      </c>
      <c r="G318" t="n">
        <v>3.1</v>
      </c>
      <c r="H318" t="n">
        <v>0</v>
      </c>
      <c r="I318" t="n">
        <v>0</v>
      </c>
      <c r="J318" t="n">
        <v>0</v>
      </c>
      <c r="K318" t="n">
        <v>0</v>
      </c>
      <c r="L318" t="n">
        <v>0</v>
      </c>
      <c r="M318" t="n">
        <v>0</v>
      </c>
      <c r="N318" t="n">
        <v>0</v>
      </c>
      <c r="O318" t="n">
        <v>0</v>
      </c>
      <c r="P318" t="n">
        <v>0</v>
      </c>
      <c r="Q318" t="n">
        <v>0</v>
      </c>
      <c r="R318" s="2" t="inlineStr"/>
    </row>
    <row r="319" ht="15" customHeight="1">
      <c r="A319" t="inlineStr">
        <is>
          <t>A 48687-2024</t>
        </is>
      </c>
      <c r="B319" s="1" t="n">
        <v>45593.49899305555</v>
      </c>
      <c r="C319" s="1" t="n">
        <v>46131</v>
      </c>
      <c r="D319" t="inlineStr">
        <is>
          <t>ÖREBRO LÄN</t>
        </is>
      </c>
      <c r="E319" t="inlineStr">
        <is>
          <t>ÖREBRO</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34056-2023</t>
        </is>
      </c>
      <c r="B320" s="1" t="n">
        <v>45135</v>
      </c>
      <c r="C320" s="1" t="n">
        <v>46131</v>
      </c>
      <c r="D320" t="inlineStr">
        <is>
          <t>ÖREBRO LÄN</t>
        </is>
      </c>
      <c r="E320" t="inlineStr">
        <is>
          <t>ÖREBRO</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33457-2023</t>
        </is>
      </c>
      <c r="B321" s="1" t="n">
        <v>45131</v>
      </c>
      <c r="C321" s="1" t="n">
        <v>46131</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45237-2023</t>
        </is>
      </c>
      <c r="B322" s="1" t="n">
        <v>45191</v>
      </c>
      <c r="C322" s="1" t="n">
        <v>46131</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51180-2023</t>
        </is>
      </c>
      <c r="B323" s="1" t="n">
        <v>45219</v>
      </c>
      <c r="C323" s="1" t="n">
        <v>46131</v>
      </c>
      <c r="D323" t="inlineStr">
        <is>
          <t>ÖREBRO LÄN</t>
        </is>
      </c>
      <c r="E323" t="inlineStr">
        <is>
          <t>ÖREBRO</t>
        </is>
      </c>
      <c r="G323" t="n">
        <v>6.5</v>
      </c>
      <c r="H323" t="n">
        <v>0</v>
      </c>
      <c r="I323" t="n">
        <v>0</v>
      </c>
      <c r="J323" t="n">
        <v>0</v>
      </c>
      <c r="K323" t="n">
        <v>0</v>
      </c>
      <c r="L323" t="n">
        <v>0</v>
      </c>
      <c r="M323" t="n">
        <v>0</v>
      </c>
      <c r="N323" t="n">
        <v>0</v>
      </c>
      <c r="O323" t="n">
        <v>0</v>
      </c>
      <c r="P323" t="n">
        <v>0</v>
      </c>
      <c r="Q323" t="n">
        <v>0</v>
      </c>
      <c r="R323" s="2" t="inlineStr"/>
    </row>
    <row r="324" ht="15" customHeight="1">
      <c r="A324" t="inlineStr">
        <is>
          <t>A 60028-2024</t>
        </is>
      </c>
      <c r="B324" s="1" t="n">
        <v>45642</v>
      </c>
      <c r="C324" s="1" t="n">
        <v>46131</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33294-2023</t>
        </is>
      </c>
      <c r="B325" s="1" t="n">
        <v>45127</v>
      </c>
      <c r="C325" s="1" t="n">
        <v>46131</v>
      </c>
      <c r="D325" t="inlineStr">
        <is>
          <t>ÖREBRO LÄN</t>
        </is>
      </c>
      <c r="E325" t="inlineStr">
        <is>
          <t>ÖREBRO</t>
        </is>
      </c>
      <c r="F325" t="inlineStr">
        <is>
          <t>Övriga Aktiebolag</t>
        </is>
      </c>
      <c r="G325" t="n">
        <v>6.7</v>
      </c>
      <c r="H325" t="n">
        <v>0</v>
      </c>
      <c r="I325" t="n">
        <v>0</v>
      </c>
      <c r="J325" t="n">
        <v>0</v>
      </c>
      <c r="K325" t="n">
        <v>0</v>
      </c>
      <c r="L325" t="n">
        <v>0</v>
      </c>
      <c r="M325" t="n">
        <v>0</v>
      </c>
      <c r="N325" t="n">
        <v>0</v>
      </c>
      <c r="O325" t="n">
        <v>0</v>
      </c>
      <c r="P325" t="n">
        <v>0</v>
      </c>
      <c r="Q325" t="n">
        <v>0</v>
      </c>
      <c r="R325" s="2" t="inlineStr"/>
    </row>
    <row r="326" ht="15" customHeight="1">
      <c r="A326" t="inlineStr">
        <is>
          <t>A 35062-2025</t>
        </is>
      </c>
      <c r="B326" s="1" t="n">
        <v>45852</v>
      </c>
      <c r="C326" s="1" t="n">
        <v>46131</v>
      </c>
      <c r="D326" t="inlineStr">
        <is>
          <t>ÖREBRO LÄN</t>
        </is>
      </c>
      <c r="E326" t="inlineStr">
        <is>
          <t>ÖREBRO</t>
        </is>
      </c>
      <c r="G326" t="n">
        <v>2.8</v>
      </c>
      <c r="H326" t="n">
        <v>0</v>
      </c>
      <c r="I326" t="n">
        <v>0</v>
      </c>
      <c r="J326" t="n">
        <v>0</v>
      </c>
      <c r="K326" t="n">
        <v>0</v>
      </c>
      <c r="L326" t="n">
        <v>0</v>
      </c>
      <c r="M326" t="n">
        <v>0</v>
      </c>
      <c r="N326" t="n">
        <v>0</v>
      </c>
      <c r="O326" t="n">
        <v>0</v>
      </c>
      <c r="P326" t="n">
        <v>0</v>
      </c>
      <c r="Q326" t="n">
        <v>0</v>
      </c>
      <c r="R326" s="2" t="inlineStr"/>
    </row>
    <row r="327" ht="15" customHeight="1">
      <c r="A327" t="inlineStr">
        <is>
          <t>A 13857-2022</t>
        </is>
      </c>
      <c r="B327" s="1" t="n">
        <v>44649</v>
      </c>
      <c r="C327" s="1" t="n">
        <v>46131</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61078-2024</t>
        </is>
      </c>
      <c r="B328" s="1" t="n">
        <v>45645.51034722223</v>
      </c>
      <c r="C328" s="1" t="n">
        <v>46131</v>
      </c>
      <c r="D328" t="inlineStr">
        <is>
          <t>ÖREBRO LÄN</t>
        </is>
      </c>
      <c r="E328" t="inlineStr">
        <is>
          <t>ÖREBRO</t>
        </is>
      </c>
      <c r="G328" t="n">
        <v>4.1</v>
      </c>
      <c r="H328" t="n">
        <v>0</v>
      </c>
      <c r="I328" t="n">
        <v>0</v>
      </c>
      <c r="J328" t="n">
        <v>0</v>
      </c>
      <c r="K328" t="n">
        <v>0</v>
      </c>
      <c r="L328" t="n">
        <v>0</v>
      </c>
      <c r="M328" t="n">
        <v>0</v>
      </c>
      <c r="N328" t="n">
        <v>0</v>
      </c>
      <c r="O328" t="n">
        <v>0</v>
      </c>
      <c r="P328" t="n">
        <v>0</v>
      </c>
      <c r="Q328" t="n">
        <v>0</v>
      </c>
      <c r="R328" s="2" t="inlineStr"/>
    </row>
    <row r="329" ht="15" customHeight="1">
      <c r="A329" t="inlineStr">
        <is>
          <t>A 13158-2024</t>
        </is>
      </c>
      <c r="B329" s="1" t="n">
        <v>45386.38728009259</v>
      </c>
      <c r="C329" s="1" t="n">
        <v>46131</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28821-2025</t>
        </is>
      </c>
      <c r="B330" s="1" t="n">
        <v>45820</v>
      </c>
      <c r="C330" s="1" t="n">
        <v>46131</v>
      </c>
      <c r="D330" t="inlineStr">
        <is>
          <t>ÖREBRO LÄN</t>
        </is>
      </c>
      <c r="E330" t="inlineStr">
        <is>
          <t>ÖREBRO</t>
        </is>
      </c>
      <c r="G330" t="n">
        <v>12.6</v>
      </c>
      <c r="H330" t="n">
        <v>0</v>
      </c>
      <c r="I330" t="n">
        <v>0</v>
      </c>
      <c r="J330" t="n">
        <v>0</v>
      </c>
      <c r="K330" t="n">
        <v>0</v>
      </c>
      <c r="L330" t="n">
        <v>0</v>
      </c>
      <c r="M330" t="n">
        <v>0</v>
      </c>
      <c r="N330" t="n">
        <v>0</v>
      </c>
      <c r="O330" t="n">
        <v>0</v>
      </c>
      <c r="P330" t="n">
        <v>0</v>
      </c>
      <c r="Q330" t="n">
        <v>0</v>
      </c>
      <c r="R330" s="2" t="inlineStr"/>
    </row>
    <row r="331" ht="15" customHeight="1">
      <c r="A331" t="inlineStr">
        <is>
          <t>A 13181-2023</t>
        </is>
      </c>
      <c r="B331" s="1" t="n">
        <v>45002.60659722222</v>
      </c>
      <c r="C331" s="1" t="n">
        <v>46131</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25996-2024</t>
        </is>
      </c>
      <c r="B332" s="1" t="n">
        <v>45467.89081018518</v>
      </c>
      <c r="C332" s="1" t="n">
        <v>46131</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16676-2025</t>
        </is>
      </c>
      <c r="B333" s="1" t="n">
        <v>45754.44658564815</v>
      </c>
      <c r="C333" s="1" t="n">
        <v>46131</v>
      </c>
      <c r="D333" t="inlineStr">
        <is>
          <t>ÖREBRO LÄN</t>
        </is>
      </c>
      <c r="E333" t="inlineStr">
        <is>
          <t>ÖREBRO</t>
        </is>
      </c>
      <c r="G333" t="n">
        <v>5.8</v>
      </c>
      <c r="H333" t="n">
        <v>0</v>
      </c>
      <c r="I333" t="n">
        <v>0</v>
      </c>
      <c r="J333" t="n">
        <v>0</v>
      </c>
      <c r="K333" t="n">
        <v>0</v>
      </c>
      <c r="L333" t="n">
        <v>0</v>
      </c>
      <c r="M333" t="n">
        <v>0</v>
      </c>
      <c r="N333" t="n">
        <v>0</v>
      </c>
      <c r="O333" t="n">
        <v>0</v>
      </c>
      <c r="P333" t="n">
        <v>0</v>
      </c>
      <c r="Q333" t="n">
        <v>0</v>
      </c>
      <c r="R333" s="2" t="inlineStr"/>
    </row>
    <row r="334" ht="15" customHeight="1">
      <c r="A334" t="inlineStr">
        <is>
          <t>A 35637-2025</t>
        </is>
      </c>
      <c r="B334" s="1" t="n">
        <v>45859.46859953704</v>
      </c>
      <c r="C334" s="1" t="n">
        <v>46131</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23741-2022</t>
        </is>
      </c>
      <c r="B335" s="1" t="n">
        <v>44722</v>
      </c>
      <c r="C335" s="1" t="n">
        <v>46131</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8274-2025</t>
        </is>
      </c>
      <c r="B336" s="1" t="n">
        <v>45708</v>
      </c>
      <c r="C336" s="1" t="n">
        <v>46131</v>
      </c>
      <c r="D336" t="inlineStr">
        <is>
          <t>ÖREBRO LÄN</t>
        </is>
      </c>
      <c r="E336" t="inlineStr">
        <is>
          <t>ÖREBRO</t>
        </is>
      </c>
      <c r="G336" t="n">
        <v>5.8</v>
      </c>
      <c r="H336" t="n">
        <v>0</v>
      </c>
      <c r="I336" t="n">
        <v>0</v>
      </c>
      <c r="J336" t="n">
        <v>0</v>
      </c>
      <c r="K336" t="n">
        <v>0</v>
      </c>
      <c r="L336" t="n">
        <v>0</v>
      </c>
      <c r="M336" t="n">
        <v>0</v>
      </c>
      <c r="N336" t="n">
        <v>0</v>
      </c>
      <c r="O336" t="n">
        <v>0</v>
      </c>
      <c r="P336" t="n">
        <v>0</v>
      </c>
      <c r="Q336" t="n">
        <v>0</v>
      </c>
      <c r="R336" s="2" t="inlineStr"/>
    </row>
    <row r="337" ht="15" customHeight="1">
      <c r="A337" t="inlineStr">
        <is>
          <t>A 58620-2024</t>
        </is>
      </c>
      <c r="B337" s="1" t="n">
        <v>45635.56246527778</v>
      </c>
      <c r="C337" s="1" t="n">
        <v>46131</v>
      </c>
      <c r="D337" t="inlineStr">
        <is>
          <t>ÖREBRO LÄN</t>
        </is>
      </c>
      <c r="E337" t="inlineStr">
        <is>
          <t>ÖREBRO</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35928-2025</t>
        </is>
      </c>
      <c r="B338" s="1" t="n">
        <v>45862</v>
      </c>
      <c r="C338" s="1" t="n">
        <v>46131</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55453-2024</t>
        </is>
      </c>
      <c r="B339" s="1" t="n">
        <v>45622.42097222222</v>
      </c>
      <c r="C339" s="1" t="n">
        <v>46131</v>
      </c>
      <c r="D339" t="inlineStr">
        <is>
          <t>ÖREBRO LÄN</t>
        </is>
      </c>
      <c r="E339" t="inlineStr">
        <is>
          <t>ÖREBRO</t>
        </is>
      </c>
      <c r="G339" t="n">
        <v>8.5</v>
      </c>
      <c r="H339" t="n">
        <v>0</v>
      </c>
      <c r="I339" t="n">
        <v>0</v>
      </c>
      <c r="J339" t="n">
        <v>0</v>
      </c>
      <c r="K339" t="n">
        <v>0</v>
      </c>
      <c r="L339" t="n">
        <v>0</v>
      </c>
      <c r="M339" t="n">
        <v>0</v>
      </c>
      <c r="N339" t="n">
        <v>0</v>
      </c>
      <c r="O339" t="n">
        <v>0</v>
      </c>
      <c r="P339" t="n">
        <v>0</v>
      </c>
      <c r="Q339" t="n">
        <v>0</v>
      </c>
      <c r="R339" s="2" t="inlineStr"/>
    </row>
    <row r="340" ht="15" customHeight="1">
      <c r="A340" t="inlineStr">
        <is>
          <t>A 7141-2025</t>
        </is>
      </c>
      <c r="B340" s="1" t="n">
        <v>45702</v>
      </c>
      <c r="C340" s="1" t="n">
        <v>46131</v>
      </c>
      <c r="D340" t="inlineStr">
        <is>
          <t>ÖREBRO LÄN</t>
        </is>
      </c>
      <c r="E340" t="inlineStr">
        <is>
          <t>ÖREBRO</t>
        </is>
      </c>
      <c r="G340" t="n">
        <v>2.9</v>
      </c>
      <c r="H340" t="n">
        <v>0</v>
      </c>
      <c r="I340" t="n">
        <v>0</v>
      </c>
      <c r="J340" t="n">
        <v>0</v>
      </c>
      <c r="K340" t="n">
        <v>0</v>
      </c>
      <c r="L340" t="n">
        <v>0</v>
      </c>
      <c r="M340" t="n">
        <v>0</v>
      </c>
      <c r="N340" t="n">
        <v>0</v>
      </c>
      <c r="O340" t="n">
        <v>0</v>
      </c>
      <c r="P340" t="n">
        <v>0</v>
      </c>
      <c r="Q340" t="n">
        <v>0</v>
      </c>
      <c r="R340" s="2" t="inlineStr"/>
    </row>
    <row r="341" ht="15" customHeight="1">
      <c r="A341" t="inlineStr">
        <is>
          <t>A 59024-2024</t>
        </is>
      </c>
      <c r="B341" s="1" t="n">
        <v>45636.68505787037</v>
      </c>
      <c r="C341" s="1" t="n">
        <v>46131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32025-2024</t>
        </is>
      </c>
      <c r="B342" s="1" t="n">
        <v>45510.65754629629</v>
      </c>
      <c r="C342" s="1" t="n">
        <v>46131</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57537-2025</t>
        </is>
      </c>
      <c r="B343" s="1" t="n">
        <v>45980.6446875</v>
      </c>
      <c r="C343" s="1" t="n">
        <v>46131</v>
      </c>
      <c r="D343" t="inlineStr">
        <is>
          <t>ÖREBRO LÄN</t>
        </is>
      </c>
      <c r="E343" t="inlineStr">
        <is>
          <t>ÖREBRO</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13657-2025</t>
        </is>
      </c>
      <c r="B344" s="1" t="n">
        <v>45736.7427662037</v>
      </c>
      <c r="C344" s="1" t="n">
        <v>46131</v>
      </c>
      <c r="D344" t="inlineStr">
        <is>
          <t>ÖREBRO LÄN</t>
        </is>
      </c>
      <c r="E344" t="inlineStr">
        <is>
          <t>ÖREBRO</t>
        </is>
      </c>
      <c r="G344" t="n">
        <v>3.8</v>
      </c>
      <c r="H344" t="n">
        <v>0</v>
      </c>
      <c r="I344" t="n">
        <v>0</v>
      </c>
      <c r="J344" t="n">
        <v>0</v>
      </c>
      <c r="K344" t="n">
        <v>0</v>
      </c>
      <c r="L344" t="n">
        <v>0</v>
      </c>
      <c r="M344" t="n">
        <v>0</v>
      </c>
      <c r="N344" t="n">
        <v>0</v>
      </c>
      <c r="O344" t="n">
        <v>0</v>
      </c>
      <c r="P344" t="n">
        <v>0</v>
      </c>
      <c r="Q344" t="n">
        <v>0</v>
      </c>
      <c r="R344" s="2" t="inlineStr"/>
    </row>
    <row r="345" ht="15" customHeight="1">
      <c r="A345" t="inlineStr">
        <is>
          <t>A 57867-2024</t>
        </is>
      </c>
      <c r="B345" s="1" t="n">
        <v>45631.43864583333</v>
      </c>
      <c r="C345" s="1" t="n">
        <v>46131</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29138-2022</t>
        </is>
      </c>
      <c r="B346" s="1" t="n">
        <v>44750</v>
      </c>
      <c r="C346" s="1" t="n">
        <v>46131</v>
      </c>
      <c r="D346" t="inlineStr">
        <is>
          <t>ÖREBRO LÄN</t>
        </is>
      </c>
      <c r="E346" t="inlineStr">
        <is>
          <t>ÖREBRO</t>
        </is>
      </c>
      <c r="G346" t="n">
        <v>3.3</v>
      </c>
      <c r="H346" t="n">
        <v>0</v>
      </c>
      <c r="I346" t="n">
        <v>0</v>
      </c>
      <c r="J346" t="n">
        <v>0</v>
      </c>
      <c r="K346" t="n">
        <v>0</v>
      </c>
      <c r="L346" t="n">
        <v>0</v>
      </c>
      <c r="M346" t="n">
        <v>0</v>
      </c>
      <c r="N346" t="n">
        <v>0</v>
      </c>
      <c r="O346" t="n">
        <v>0</v>
      </c>
      <c r="P346" t="n">
        <v>0</v>
      </c>
      <c r="Q346" t="n">
        <v>0</v>
      </c>
      <c r="R346" s="2" t="inlineStr"/>
    </row>
    <row r="347" ht="15" customHeight="1">
      <c r="A347" t="inlineStr">
        <is>
          <t>A 29143-2022</t>
        </is>
      </c>
      <c r="B347" s="1" t="n">
        <v>44750</v>
      </c>
      <c r="C347" s="1" t="n">
        <v>46131</v>
      </c>
      <c r="D347" t="inlineStr">
        <is>
          <t>ÖREBRO LÄN</t>
        </is>
      </c>
      <c r="E347" t="inlineStr">
        <is>
          <t>ÖREBRO</t>
        </is>
      </c>
      <c r="G347" t="n">
        <v>5.6</v>
      </c>
      <c r="H347" t="n">
        <v>0</v>
      </c>
      <c r="I347" t="n">
        <v>0</v>
      </c>
      <c r="J347" t="n">
        <v>0</v>
      </c>
      <c r="K347" t="n">
        <v>0</v>
      </c>
      <c r="L347" t="n">
        <v>0</v>
      </c>
      <c r="M347" t="n">
        <v>0</v>
      </c>
      <c r="N347" t="n">
        <v>0</v>
      </c>
      <c r="O347" t="n">
        <v>0</v>
      </c>
      <c r="P347" t="n">
        <v>0</v>
      </c>
      <c r="Q347" t="n">
        <v>0</v>
      </c>
      <c r="R347" s="2" t="inlineStr"/>
    </row>
    <row r="348" ht="15" customHeight="1">
      <c r="A348" t="inlineStr">
        <is>
          <t>A 21983-2021</t>
        </is>
      </c>
      <c r="B348" s="1" t="n">
        <v>44323</v>
      </c>
      <c r="C348" s="1" t="n">
        <v>46131</v>
      </c>
      <c r="D348" t="inlineStr">
        <is>
          <t>ÖREBRO LÄN</t>
        </is>
      </c>
      <c r="E348" t="inlineStr">
        <is>
          <t>ÖREBRO</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3120-2022</t>
        </is>
      </c>
      <c r="B349" s="1" t="n">
        <v>44582</v>
      </c>
      <c r="C349" s="1" t="n">
        <v>46131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36448-2025</t>
        </is>
      </c>
      <c r="B350" s="1" t="n">
        <v>45869.41929398148</v>
      </c>
      <c r="C350" s="1" t="n">
        <v>46131</v>
      </c>
      <c r="D350" t="inlineStr">
        <is>
          <t>ÖREBRO LÄN</t>
        </is>
      </c>
      <c r="E350" t="inlineStr">
        <is>
          <t>ÖREBRO</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58606-2024</t>
        </is>
      </c>
      <c r="B351" s="1" t="n">
        <v>45635.54747685185</v>
      </c>
      <c r="C351" s="1" t="n">
        <v>46131</v>
      </c>
      <c r="D351" t="inlineStr">
        <is>
          <t>ÖREBRO LÄN</t>
        </is>
      </c>
      <c r="E351" t="inlineStr">
        <is>
          <t>ÖREBRO</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36447-2025</t>
        </is>
      </c>
      <c r="B352" s="1" t="n">
        <v>45869.41387731482</v>
      </c>
      <c r="C352" s="1" t="n">
        <v>46131</v>
      </c>
      <c r="D352" t="inlineStr">
        <is>
          <t>ÖREBRO LÄN</t>
        </is>
      </c>
      <c r="E352" t="inlineStr">
        <is>
          <t>ÖREBRO</t>
        </is>
      </c>
      <c r="F352" t="inlineStr">
        <is>
          <t>Övriga Aktiebolag</t>
        </is>
      </c>
      <c r="G352" t="n">
        <v>12.6</v>
      </c>
      <c r="H352" t="n">
        <v>0</v>
      </c>
      <c r="I352" t="n">
        <v>0</v>
      </c>
      <c r="J352" t="n">
        <v>0</v>
      </c>
      <c r="K352" t="n">
        <v>0</v>
      </c>
      <c r="L352" t="n">
        <v>0</v>
      </c>
      <c r="M352" t="n">
        <v>0</v>
      </c>
      <c r="N352" t="n">
        <v>0</v>
      </c>
      <c r="O352" t="n">
        <v>0</v>
      </c>
      <c r="P352" t="n">
        <v>0</v>
      </c>
      <c r="Q352" t="n">
        <v>0</v>
      </c>
      <c r="R352" s="2" t="inlineStr"/>
    </row>
    <row r="353" ht="15" customHeight="1">
      <c r="A353" t="inlineStr">
        <is>
          <t>A 26101-2022</t>
        </is>
      </c>
      <c r="B353" s="1" t="n">
        <v>44734</v>
      </c>
      <c r="C353" s="1" t="n">
        <v>46131</v>
      </c>
      <c r="D353" t="inlineStr">
        <is>
          <t>ÖREBRO LÄN</t>
        </is>
      </c>
      <c r="E353" t="inlineStr">
        <is>
          <t>ÖREBRO</t>
        </is>
      </c>
      <c r="G353" t="n">
        <v>15.8</v>
      </c>
      <c r="H353" t="n">
        <v>0</v>
      </c>
      <c r="I353" t="n">
        <v>0</v>
      </c>
      <c r="J353" t="n">
        <v>0</v>
      </c>
      <c r="K353" t="n">
        <v>0</v>
      </c>
      <c r="L353" t="n">
        <v>0</v>
      </c>
      <c r="M353" t="n">
        <v>0</v>
      </c>
      <c r="N353" t="n">
        <v>0</v>
      </c>
      <c r="O353" t="n">
        <v>0</v>
      </c>
      <c r="P353" t="n">
        <v>0</v>
      </c>
      <c r="Q353" t="n">
        <v>0</v>
      </c>
      <c r="R353" s="2" t="inlineStr"/>
    </row>
    <row r="354" ht="15" customHeight="1">
      <c r="A354" t="inlineStr">
        <is>
          <t>A 58486-2024</t>
        </is>
      </c>
      <c r="B354" s="1" t="n">
        <v>45635</v>
      </c>
      <c r="C354" s="1" t="n">
        <v>46131</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14053-2025</t>
        </is>
      </c>
      <c r="B355" s="1" t="n">
        <v>45739</v>
      </c>
      <c r="C355" s="1" t="n">
        <v>46131</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35345-2024</t>
        </is>
      </c>
      <c r="B356" s="1" t="n">
        <v>45530</v>
      </c>
      <c r="C356" s="1" t="n">
        <v>46131</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123-2025</t>
        </is>
      </c>
      <c r="B357" s="1" t="n">
        <v>45659.54851851852</v>
      </c>
      <c r="C357" s="1" t="n">
        <v>46131</v>
      </c>
      <c r="D357" t="inlineStr">
        <is>
          <t>ÖREBRO LÄN</t>
        </is>
      </c>
      <c r="E357" t="inlineStr">
        <is>
          <t>ÖREBRO</t>
        </is>
      </c>
      <c r="G357" t="n">
        <v>1.6</v>
      </c>
      <c r="H357" t="n">
        <v>0</v>
      </c>
      <c r="I357" t="n">
        <v>0</v>
      </c>
      <c r="J357" t="n">
        <v>0</v>
      </c>
      <c r="K357" t="n">
        <v>0</v>
      </c>
      <c r="L357" t="n">
        <v>0</v>
      </c>
      <c r="M357" t="n">
        <v>0</v>
      </c>
      <c r="N357" t="n">
        <v>0</v>
      </c>
      <c r="O357" t="n">
        <v>0</v>
      </c>
      <c r="P357" t="n">
        <v>0</v>
      </c>
      <c r="Q357" t="n">
        <v>0</v>
      </c>
      <c r="R357" s="2" t="inlineStr"/>
    </row>
    <row r="358" ht="15" customHeight="1">
      <c r="A358" t="inlineStr">
        <is>
          <t>A 30472-2022</t>
        </is>
      </c>
      <c r="B358" s="1" t="n">
        <v>44761.70467592592</v>
      </c>
      <c r="C358" s="1" t="n">
        <v>46131</v>
      </c>
      <c r="D358" t="inlineStr">
        <is>
          <t>ÖREBRO LÄN</t>
        </is>
      </c>
      <c r="E358" t="inlineStr">
        <is>
          <t>ÖREBRO</t>
        </is>
      </c>
      <c r="F358" t="inlineStr">
        <is>
          <t>Övriga Aktiebolag</t>
        </is>
      </c>
      <c r="G358" t="n">
        <v>5.6</v>
      </c>
      <c r="H358" t="n">
        <v>0</v>
      </c>
      <c r="I358" t="n">
        <v>0</v>
      </c>
      <c r="J358" t="n">
        <v>0</v>
      </c>
      <c r="K358" t="n">
        <v>0</v>
      </c>
      <c r="L358" t="n">
        <v>0</v>
      </c>
      <c r="M358" t="n">
        <v>0</v>
      </c>
      <c r="N358" t="n">
        <v>0</v>
      </c>
      <c r="O358" t="n">
        <v>0</v>
      </c>
      <c r="P358" t="n">
        <v>0</v>
      </c>
      <c r="Q358" t="n">
        <v>0</v>
      </c>
      <c r="R358" s="2" t="inlineStr"/>
    </row>
    <row r="359" ht="15" customHeight="1">
      <c r="A359" t="inlineStr">
        <is>
          <t>A 6869-2025</t>
        </is>
      </c>
      <c r="B359" s="1" t="n">
        <v>45700</v>
      </c>
      <c r="C359" s="1" t="n">
        <v>46131</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57869-2024</t>
        </is>
      </c>
      <c r="B360" s="1" t="n">
        <v>45631.44207175926</v>
      </c>
      <c r="C360" s="1" t="n">
        <v>46131</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29554-2025</t>
        </is>
      </c>
      <c r="B361" s="1" t="n">
        <v>45825</v>
      </c>
      <c r="C361" s="1" t="n">
        <v>46131</v>
      </c>
      <c r="D361" t="inlineStr">
        <is>
          <t>ÖREBRO LÄN</t>
        </is>
      </c>
      <c r="E361" t="inlineStr">
        <is>
          <t>ÖREBRO</t>
        </is>
      </c>
      <c r="F361" t="inlineStr">
        <is>
          <t>Övriga Aktiebolag</t>
        </is>
      </c>
      <c r="G361" t="n">
        <v>1</v>
      </c>
      <c r="H361" t="n">
        <v>0</v>
      </c>
      <c r="I361" t="n">
        <v>0</v>
      </c>
      <c r="J361" t="n">
        <v>0</v>
      </c>
      <c r="K361" t="n">
        <v>0</v>
      </c>
      <c r="L361" t="n">
        <v>0</v>
      </c>
      <c r="M361" t="n">
        <v>0</v>
      </c>
      <c r="N361" t="n">
        <v>0</v>
      </c>
      <c r="O361" t="n">
        <v>0</v>
      </c>
      <c r="P361" t="n">
        <v>0</v>
      </c>
      <c r="Q361" t="n">
        <v>0</v>
      </c>
      <c r="R361" s="2" t="inlineStr"/>
    </row>
    <row r="362" ht="15" customHeight="1">
      <c r="A362" t="inlineStr">
        <is>
          <t>A 58587-2025</t>
        </is>
      </c>
      <c r="B362" s="1" t="n">
        <v>45986.40208333333</v>
      </c>
      <c r="C362" s="1" t="n">
        <v>46131</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37277-2022</t>
        </is>
      </c>
      <c r="B363" s="1" t="n">
        <v>44807.49150462963</v>
      </c>
      <c r="C363" s="1" t="n">
        <v>46131</v>
      </c>
      <c r="D363" t="inlineStr">
        <is>
          <t>ÖREBRO LÄN</t>
        </is>
      </c>
      <c r="E363" t="inlineStr">
        <is>
          <t>ÖREBRO</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46131</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51331-2023</t>
        </is>
      </c>
      <c r="B365" s="1" t="n">
        <v>45219</v>
      </c>
      <c r="C365" s="1" t="n">
        <v>46131</v>
      </c>
      <c r="D365" t="inlineStr">
        <is>
          <t>ÖREBRO LÄN</t>
        </is>
      </c>
      <c r="E365" t="inlineStr">
        <is>
          <t>ÖREBRO</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40588-2021</t>
        </is>
      </c>
      <c r="B366" s="1" t="n">
        <v>44420</v>
      </c>
      <c r="C366" s="1" t="n">
        <v>46131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58230-2025</t>
        </is>
      </c>
      <c r="B367" s="1" t="n">
        <v>45985.38037037037</v>
      </c>
      <c r="C367" s="1" t="n">
        <v>46131</v>
      </c>
      <c r="D367" t="inlineStr">
        <is>
          <t>ÖREBRO LÄN</t>
        </is>
      </c>
      <c r="E367" t="inlineStr">
        <is>
          <t>ÖREBRO</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59145-2025</t>
        </is>
      </c>
      <c r="B368" s="1" t="n">
        <v>45988.52015046297</v>
      </c>
      <c r="C368" s="1" t="n">
        <v>46131</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58835-2025</t>
        </is>
      </c>
      <c r="B369" s="1" t="n">
        <v>45987.35519675926</v>
      </c>
      <c r="C369" s="1" t="n">
        <v>46131</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59312-2025</t>
        </is>
      </c>
      <c r="B370" s="1" t="n">
        <v>45989.30467592592</v>
      </c>
      <c r="C370" s="1" t="n">
        <v>46131</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59313-2025</t>
        </is>
      </c>
      <c r="B371" s="1" t="n">
        <v>45989.30920138889</v>
      </c>
      <c r="C371" s="1" t="n">
        <v>46131</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40231-2022</t>
        </is>
      </c>
      <c r="B372" s="1" t="n">
        <v>44820</v>
      </c>
      <c r="C372" s="1" t="n">
        <v>46131</v>
      </c>
      <c r="D372" t="inlineStr">
        <is>
          <t>ÖREBRO LÄN</t>
        </is>
      </c>
      <c r="E372" t="inlineStr">
        <is>
          <t>ÖREBRO</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59856-2025</t>
        </is>
      </c>
      <c r="B373" s="1" t="n">
        <v>45992.74891203704</v>
      </c>
      <c r="C373" s="1" t="n">
        <v>46131</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4284-2025</t>
        </is>
      </c>
      <c r="B374" s="1" t="n">
        <v>45685</v>
      </c>
      <c r="C374" s="1" t="n">
        <v>46131</v>
      </c>
      <c r="D374" t="inlineStr">
        <is>
          <t>ÖREBRO LÄN</t>
        </is>
      </c>
      <c r="E374" t="inlineStr">
        <is>
          <t>ÖREBRO</t>
        </is>
      </c>
      <c r="G374" t="n">
        <v>1.7</v>
      </c>
      <c r="H374" t="n">
        <v>0</v>
      </c>
      <c r="I374" t="n">
        <v>0</v>
      </c>
      <c r="J374" t="n">
        <v>0</v>
      </c>
      <c r="K374" t="n">
        <v>0</v>
      </c>
      <c r="L374" t="n">
        <v>0</v>
      </c>
      <c r="M374" t="n">
        <v>0</v>
      </c>
      <c r="N374" t="n">
        <v>0</v>
      </c>
      <c r="O374" t="n">
        <v>0</v>
      </c>
      <c r="P374" t="n">
        <v>0</v>
      </c>
      <c r="Q374" t="n">
        <v>0</v>
      </c>
      <c r="R374" s="2" t="inlineStr"/>
    </row>
    <row r="375" ht="15" customHeight="1">
      <c r="A375" t="inlineStr">
        <is>
          <t>A 25443-2021</t>
        </is>
      </c>
      <c r="B375" s="1" t="n">
        <v>44342</v>
      </c>
      <c r="C375" s="1" t="n">
        <v>46131</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46131</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59858-2025</t>
        </is>
      </c>
      <c r="B377" s="1" t="n">
        <v>45992.76758101852</v>
      </c>
      <c r="C377" s="1" t="n">
        <v>46131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59859-2025</t>
        </is>
      </c>
      <c r="B378" s="1" t="n">
        <v>45992.7803125</v>
      </c>
      <c r="C378" s="1" t="n">
        <v>46131</v>
      </c>
      <c r="D378" t="inlineStr">
        <is>
          <t>ÖREBRO LÄN</t>
        </is>
      </c>
      <c r="E378" t="inlineStr">
        <is>
          <t>ÖREBRO</t>
        </is>
      </c>
      <c r="G378" t="n">
        <v>0.4</v>
      </c>
      <c r="H378" t="n">
        <v>0</v>
      </c>
      <c r="I378" t="n">
        <v>0</v>
      </c>
      <c r="J378" t="n">
        <v>0</v>
      </c>
      <c r="K378" t="n">
        <v>0</v>
      </c>
      <c r="L378" t="n">
        <v>0</v>
      </c>
      <c r="M378" t="n">
        <v>0</v>
      </c>
      <c r="N378" t="n">
        <v>0</v>
      </c>
      <c r="O378" t="n">
        <v>0</v>
      </c>
      <c r="P378" t="n">
        <v>0</v>
      </c>
      <c r="Q378" t="n">
        <v>0</v>
      </c>
      <c r="R378" s="2" t="inlineStr"/>
    </row>
    <row r="379" ht="15" customHeight="1">
      <c r="A379" t="inlineStr">
        <is>
          <t>A 38057-2025</t>
        </is>
      </c>
      <c r="B379" s="1" t="n">
        <v>45882.42570601852</v>
      </c>
      <c r="C379" s="1" t="n">
        <v>46131</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59937-2025</t>
        </is>
      </c>
      <c r="B380" s="1" t="n">
        <v>45993.41934027777</v>
      </c>
      <c r="C380" s="1" t="n">
        <v>46131</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42623-2022</t>
        </is>
      </c>
      <c r="B381" s="1" t="n">
        <v>44831</v>
      </c>
      <c r="C381" s="1" t="n">
        <v>46131</v>
      </c>
      <c r="D381" t="inlineStr">
        <is>
          <t>ÖREBRO LÄN</t>
        </is>
      </c>
      <c r="E381" t="inlineStr">
        <is>
          <t>ÖREBRO</t>
        </is>
      </c>
      <c r="G381" t="n">
        <v>3.6</v>
      </c>
      <c r="H381" t="n">
        <v>0</v>
      </c>
      <c r="I381" t="n">
        <v>0</v>
      </c>
      <c r="J381" t="n">
        <v>0</v>
      </c>
      <c r="K381" t="n">
        <v>0</v>
      </c>
      <c r="L381" t="n">
        <v>0</v>
      </c>
      <c r="M381" t="n">
        <v>0</v>
      </c>
      <c r="N381" t="n">
        <v>0</v>
      </c>
      <c r="O381" t="n">
        <v>0</v>
      </c>
      <c r="P381" t="n">
        <v>0</v>
      </c>
      <c r="Q381" t="n">
        <v>0</v>
      </c>
      <c r="R381" s="2" t="inlineStr"/>
    </row>
    <row r="382" ht="15" customHeight="1">
      <c r="A382" t="inlineStr">
        <is>
          <t>A 59938-2025</t>
        </is>
      </c>
      <c r="B382" s="1" t="n">
        <v>45993.42108796296</v>
      </c>
      <c r="C382" s="1" t="n">
        <v>46131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59860-2025</t>
        </is>
      </c>
      <c r="B383" s="1" t="n">
        <v>45992.78351851852</v>
      </c>
      <c r="C383" s="1" t="n">
        <v>46131</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3763-2025</t>
        </is>
      </c>
      <c r="B384" s="1" t="n">
        <v>45681</v>
      </c>
      <c r="C384" s="1" t="n">
        <v>46131</v>
      </c>
      <c r="D384" t="inlineStr">
        <is>
          <t>ÖREBRO LÄN</t>
        </is>
      </c>
      <c r="E384" t="inlineStr">
        <is>
          <t>ÖREBRO</t>
        </is>
      </c>
      <c r="G384" t="n">
        <v>10.1</v>
      </c>
      <c r="H384" t="n">
        <v>0</v>
      </c>
      <c r="I384" t="n">
        <v>0</v>
      </c>
      <c r="J384" t="n">
        <v>0</v>
      </c>
      <c r="K384" t="n">
        <v>0</v>
      </c>
      <c r="L384" t="n">
        <v>0</v>
      </c>
      <c r="M384" t="n">
        <v>0</v>
      </c>
      <c r="N384" t="n">
        <v>0</v>
      </c>
      <c r="O384" t="n">
        <v>0</v>
      </c>
      <c r="P384" t="n">
        <v>0</v>
      </c>
      <c r="Q384" t="n">
        <v>0</v>
      </c>
      <c r="R384" s="2" t="inlineStr"/>
    </row>
    <row r="385" ht="15" customHeight="1">
      <c r="A385" t="inlineStr">
        <is>
          <t>A 60717-2025</t>
        </is>
      </c>
      <c r="B385" s="1" t="n">
        <v>45996.63673611111</v>
      </c>
      <c r="C385" s="1" t="n">
        <v>46131</v>
      </c>
      <c r="D385" t="inlineStr">
        <is>
          <t>ÖREBRO LÄN</t>
        </is>
      </c>
      <c r="E385" t="inlineStr">
        <is>
          <t>ÖREBRO</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60718-2025</t>
        </is>
      </c>
      <c r="B386" s="1" t="n">
        <v>45996.6384375</v>
      </c>
      <c r="C386" s="1" t="n">
        <v>46131</v>
      </c>
      <c r="D386" t="inlineStr">
        <is>
          <t>ÖREBRO LÄN</t>
        </is>
      </c>
      <c r="E386" t="inlineStr">
        <is>
          <t>ÖREBRO</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60721-2025</t>
        </is>
      </c>
      <c r="B387" s="1" t="n">
        <v>45996</v>
      </c>
      <c r="C387" s="1" t="n">
        <v>46131</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46131</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46131</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46131</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46131</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10829-2023</t>
        </is>
      </c>
      <c r="B392" s="1" t="n">
        <v>44990.88512731482</v>
      </c>
      <c r="C392" s="1" t="n">
        <v>46131</v>
      </c>
      <c r="D392" t="inlineStr">
        <is>
          <t>ÖREBRO LÄN</t>
        </is>
      </c>
      <c r="E392" t="inlineStr">
        <is>
          <t>ÖREBRO</t>
        </is>
      </c>
      <c r="G392" t="n">
        <v>4.4</v>
      </c>
      <c r="H392" t="n">
        <v>0</v>
      </c>
      <c r="I392" t="n">
        <v>0</v>
      </c>
      <c r="J392" t="n">
        <v>0</v>
      </c>
      <c r="K392" t="n">
        <v>0</v>
      </c>
      <c r="L392" t="n">
        <v>0</v>
      </c>
      <c r="M392" t="n">
        <v>0</v>
      </c>
      <c r="N392" t="n">
        <v>0</v>
      </c>
      <c r="O392" t="n">
        <v>0</v>
      </c>
      <c r="P392" t="n">
        <v>0</v>
      </c>
      <c r="Q392" t="n">
        <v>0</v>
      </c>
      <c r="R392" s="2" t="inlineStr"/>
    </row>
    <row r="393" ht="15" customHeight="1">
      <c r="A393" t="inlineStr">
        <is>
          <t>A 10831-2023</t>
        </is>
      </c>
      <c r="B393" s="1" t="n">
        <v>44990.90357638889</v>
      </c>
      <c r="C393" s="1" t="n">
        <v>46131</v>
      </c>
      <c r="D393" t="inlineStr">
        <is>
          <t>ÖREBRO LÄN</t>
        </is>
      </c>
      <c r="E393" t="inlineStr">
        <is>
          <t>ÖREBRO</t>
        </is>
      </c>
      <c r="G393" t="n">
        <v>1.9</v>
      </c>
      <c r="H393" t="n">
        <v>0</v>
      </c>
      <c r="I393" t="n">
        <v>0</v>
      </c>
      <c r="J393" t="n">
        <v>0</v>
      </c>
      <c r="K393" t="n">
        <v>0</v>
      </c>
      <c r="L393" t="n">
        <v>0</v>
      </c>
      <c r="M393" t="n">
        <v>0</v>
      </c>
      <c r="N393" t="n">
        <v>0</v>
      </c>
      <c r="O393" t="n">
        <v>0</v>
      </c>
      <c r="P393" t="n">
        <v>0</v>
      </c>
      <c r="Q393" t="n">
        <v>0</v>
      </c>
      <c r="R393" s="2" t="inlineStr"/>
    </row>
    <row r="394" ht="15" customHeight="1">
      <c r="A394" t="inlineStr">
        <is>
          <t>A 16165-2023</t>
        </is>
      </c>
      <c r="B394" s="1" t="n">
        <v>45027</v>
      </c>
      <c r="C394" s="1" t="n">
        <v>46131</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57247-2022</t>
        </is>
      </c>
      <c r="B395" s="1" t="n">
        <v>44895.73065972222</v>
      </c>
      <c r="C395" s="1" t="n">
        <v>46131</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60840-2025</t>
        </is>
      </c>
      <c r="B396" s="1" t="n">
        <v>45999.48547453704</v>
      </c>
      <c r="C396" s="1" t="n">
        <v>46131</v>
      </c>
      <c r="D396" t="inlineStr">
        <is>
          <t>ÖREBRO LÄN</t>
        </is>
      </c>
      <c r="E396" t="inlineStr">
        <is>
          <t>ÖREBRO</t>
        </is>
      </c>
      <c r="G396" t="n">
        <v>3.5</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46131</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46131</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46131</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30374-2023</t>
        </is>
      </c>
      <c r="B400" s="1" t="n">
        <v>45111</v>
      </c>
      <c r="C400" s="1" t="n">
        <v>46131</v>
      </c>
      <c r="D400" t="inlineStr">
        <is>
          <t>ÖREBRO LÄN</t>
        </is>
      </c>
      <c r="E400" t="inlineStr">
        <is>
          <t>ÖREBRO</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62683-2025</t>
        </is>
      </c>
      <c r="B401" s="1" t="n">
        <v>46008.45796296297</v>
      </c>
      <c r="C401" s="1" t="n">
        <v>46131</v>
      </c>
      <c r="D401" t="inlineStr">
        <is>
          <t>ÖREBRO LÄN</t>
        </is>
      </c>
      <c r="E401" t="inlineStr">
        <is>
          <t>ÖREBRO</t>
        </is>
      </c>
      <c r="G401" t="n">
        <v>5.1</v>
      </c>
      <c r="H401" t="n">
        <v>0</v>
      </c>
      <c r="I401" t="n">
        <v>0</v>
      </c>
      <c r="J401" t="n">
        <v>0</v>
      </c>
      <c r="K401" t="n">
        <v>0</v>
      </c>
      <c r="L401" t="n">
        <v>0</v>
      </c>
      <c r="M401" t="n">
        <v>0</v>
      </c>
      <c r="N401" t="n">
        <v>0</v>
      </c>
      <c r="O401" t="n">
        <v>0</v>
      </c>
      <c r="P401" t="n">
        <v>0</v>
      </c>
      <c r="Q401" t="n">
        <v>0</v>
      </c>
      <c r="R401" s="2" t="inlineStr"/>
    </row>
    <row r="402" ht="15" customHeight="1">
      <c r="A402" t="inlineStr">
        <is>
          <t>A 54678-2023</t>
        </is>
      </c>
      <c r="B402" s="1" t="n">
        <v>45235</v>
      </c>
      <c r="C402" s="1" t="n">
        <v>46131</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55003-2025</t>
        </is>
      </c>
      <c r="B403" s="1" t="n">
        <v>45967</v>
      </c>
      <c r="C403" s="1" t="n">
        <v>46131</v>
      </c>
      <c r="D403" t="inlineStr">
        <is>
          <t>ÖREBRO LÄN</t>
        </is>
      </c>
      <c r="E403" t="inlineStr">
        <is>
          <t>ÖREBRO</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58219-2024</t>
        </is>
      </c>
      <c r="B404" s="1" t="n">
        <v>45632</v>
      </c>
      <c r="C404" s="1" t="n">
        <v>46131</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16258-2022</t>
        </is>
      </c>
      <c r="B405" s="1" t="n">
        <v>44670</v>
      </c>
      <c r="C405" s="1" t="n">
        <v>46131</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42518-2021</t>
        </is>
      </c>
      <c r="B406" s="1" t="n">
        <v>44427.81496527778</v>
      </c>
      <c r="C406" s="1" t="n">
        <v>46131</v>
      </c>
      <c r="D406" t="inlineStr">
        <is>
          <t>ÖREBRO LÄN</t>
        </is>
      </c>
      <c r="E406" t="inlineStr">
        <is>
          <t>ÖREBRO</t>
        </is>
      </c>
      <c r="G406" t="n">
        <v>4.5</v>
      </c>
      <c r="H406" t="n">
        <v>0</v>
      </c>
      <c r="I406" t="n">
        <v>0</v>
      </c>
      <c r="J406" t="n">
        <v>0</v>
      </c>
      <c r="K406" t="n">
        <v>0</v>
      </c>
      <c r="L406" t="n">
        <v>0</v>
      </c>
      <c r="M406" t="n">
        <v>0</v>
      </c>
      <c r="N406" t="n">
        <v>0</v>
      </c>
      <c r="O406" t="n">
        <v>0</v>
      </c>
      <c r="P406" t="n">
        <v>0</v>
      </c>
      <c r="Q406" t="n">
        <v>0</v>
      </c>
      <c r="R406" s="2" t="inlineStr"/>
    </row>
    <row r="407" ht="15" customHeight="1">
      <c r="A407" t="inlineStr">
        <is>
          <t>A 14545-2023</t>
        </is>
      </c>
      <c r="B407" s="1" t="n">
        <v>45013.34895833334</v>
      </c>
      <c r="C407" s="1" t="n">
        <v>46131</v>
      </c>
      <c r="D407" t="inlineStr">
        <is>
          <t>ÖREBRO LÄN</t>
        </is>
      </c>
      <c r="E407" t="inlineStr">
        <is>
          <t>ÖREBRO</t>
        </is>
      </c>
      <c r="G407" t="n">
        <v>2.5</v>
      </c>
      <c r="H407" t="n">
        <v>0</v>
      </c>
      <c r="I407" t="n">
        <v>0</v>
      </c>
      <c r="J407" t="n">
        <v>0</v>
      </c>
      <c r="K407" t="n">
        <v>0</v>
      </c>
      <c r="L407" t="n">
        <v>0</v>
      </c>
      <c r="M407" t="n">
        <v>0</v>
      </c>
      <c r="N407" t="n">
        <v>0</v>
      </c>
      <c r="O407" t="n">
        <v>0</v>
      </c>
      <c r="P407" t="n">
        <v>0</v>
      </c>
      <c r="Q407" t="n">
        <v>0</v>
      </c>
      <c r="R407" s="2" t="inlineStr"/>
    </row>
    <row r="408" ht="15" customHeight="1">
      <c r="A408" t="inlineStr">
        <is>
          <t>A 63657-2025</t>
        </is>
      </c>
      <c r="B408" s="1" t="n">
        <v>46014.44479166667</v>
      </c>
      <c r="C408" s="1" t="n">
        <v>46131</v>
      </c>
      <c r="D408" t="inlineStr">
        <is>
          <t>ÖREBRO LÄN</t>
        </is>
      </c>
      <c r="E408" t="inlineStr">
        <is>
          <t>ÖREBRO</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46131</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46131</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63666-2025</t>
        </is>
      </c>
      <c r="B411" s="1" t="n">
        <v>46014.45650462963</v>
      </c>
      <c r="C411" s="1" t="n">
        <v>46131</v>
      </c>
      <c r="D411" t="inlineStr">
        <is>
          <t>ÖREBRO LÄN</t>
        </is>
      </c>
      <c r="E411" t="inlineStr">
        <is>
          <t>ÖREBRO</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63662-2025</t>
        </is>
      </c>
      <c r="B412" s="1" t="n">
        <v>46014.45055555556</v>
      </c>
      <c r="C412" s="1" t="n">
        <v>46131</v>
      </c>
      <c r="D412" t="inlineStr">
        <is>
          <t>ÖREBRO LÄN</t>
        </is>
      </c>
      <c r="E412" t="inlineStr">
        <is>
          <t>ÖREBRO</t>
        </is>
      </c>
      <c r="F412" t="inlineStr">
        <is>
          <t>Allmännings- och besparingsskogar</t>
        </is>
      </c>
      <c r="G412" t="n">
        <v>3.2</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46131</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57638-2022</t>
        </is>
      </c>
      <c r="B414" s="1" t="n">
        <v>44897</v>
      </c>
      <c r="C414" s="1" t="n">
        <v>46131</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2152-2023</t>
        </is>
      </c>
      <c r="B415" s="1" t="n">
        <v>44941.55056712963</v>
      </c>
      <c r="C415" s="1" t="n">
        <v>46131</v>
      </c>
      <c r="D415" t="inlineStr">
        <is>
          <t>ÖREBRO LÄN</t>
        </is>
      </c>
      <c r="E415" t="inlineStr">
        <is>
          <t>ÖREBRO</t>
        </is>
      </c>
      <c r="G415" t="n">
        <v>8</v>
      </c>
      <c r="H415" t="n">
        <v>0</v>
      </c>
      <c r="I415" t="n">
        <v>0</v>
      </c>
      <c r="J415" t="n">
        <v>0</v>
      </c>
      <c r="K415" t="n">
        <v>0</v>
      </c>
      <c r="L415" t="n">
        <v>0</v>
      </c>
      <c r="M415" t="n">
        <v>0</v>
      </c>
      <c r="N415" t="n">
        <v>0</v>
      </c>
      <c r="O415" t="n">
        <v>0</v>
      </c>
      <c r="P415" t="n">
        <v>0</v>
      </c>
      <c r="Q415" t="n">
        <v>0</v>
      </c>
      <c r="R415" s="2" t="inlineStr"/>
    </row>
    <row r="416" ht="15" customHeight="1">
      <c r="A416" t="inlineStr">
        <is>
          <t>A 64018-2025</t>
        </is>
      </c>
      <c r="B416" s="1" t="n">
        <v>46021.4546412037</v>
      </c>
      <c r="C416" s="1" t="n">
        <v>46131</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46131</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64019-2025</t>
        </is>
      </c>
      <c r="B418" s="1" t="n">
        <v>46021.45914351852</v>
      </c>
      <c r="C418" s="1" t="n">
        <v>46131</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71285-2021</t>
        </is>
      </c>
      <c r="B419" s="1" t="n">
        <v>44539.62236111111</v>
      </c>
      <c r="C419" s="1" t="n">
        <v>46131</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46131</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46131</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58277-2022</t>
        </is>
      </c>
      <c r="B422" s="1" t="n">
        <v>44901.48108796297</v>
      </c>
      <c r="C422" s="1" t="n">
        <v>46131</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31906-2023</t>
        </is>
      </c>
      <c r="B423" s="1" t="n">
        <v>45118.8353125</v>
      </c>
      <c r="C423" s="1" t="n">
        <v>46131</v>
      </c>
      <c r="D423" t="inlineStr">
        <is>
          <t>ÖREBRO LÄN</t>
        </is>
      </c>
      <c r="E423" t="inlineStr">
        <is>
          <t>ÖREBRO</t>
        </is>
      </c>
      <c r="G423" t="n">
        <v>9</v>
      </c>
      <c r="H423" t="n">
        <v>0</v>
      </c>
      <c r="I423" t="n">
        <v>0</v>
      </c>
      <c r="J423" t="n">
        <v>0</v>
      </c>
      <c r="K423" t="n">
        <v>0</v>
      </c>
      <c r="L423" t="n">
        <v>0</v>
      </c>
      <c r="M423" t="n">
        <v>0</v>
      </c>
      <c r="N423" t="n">
        <v>0</v>
      </c>
      <c r="O423" t="n">
        <v>0</v>
      </c>
      <c r="P423" t="n">
        <v>0</v>
      </c>
      <c r="Q423" t="n">
        <v>0</v>
      </c>
      <c r="R423" s="2" t="inlineStr"/>
    </row>
    <row r="424" ht="15" customHeight="1">
      <c r="A424" t="inlineStr">
        <is>
          <t>A 18550-2025</t>
        </is>
      </c>
      <c r="B424" s="1" t="n">
        <v>45763</v>
      </c>
      <c r="C424" s="1" t="n">
        <v>46131</v>
      </c>
      <c r="D424" t="inlineStr">
        <is>
          <t>ÖREBRO LÄN</t>
        </is>
      </c>
      <c r="E424" t="inlineStr">
        <is>
          <t>ÖREBRO</t>
        </is>
      </c>
      <c r="G424" t="n">
        <v>11.5</v>
      </c>
      <c r="H424" t="n">
        <v>0</v>
      </c>
      <c r="I424" t="n">
        <v>0</v>
      </c>
      <c r="J424" t="n">
        <v>0</v>
      </c>
      <c r="K424" t="n">
        <v>0</v>
      </c>
      <c r="L424" t="n">
        <v>0</v>
      </c>
      <c r="M424" t="n">
        <v>0</v>
      </c>
      <c r="N424" t="n">
        <v>0</v>
      </c>
      <c r="O424" t="n">
        <v>0</v>
      </c>
      <c r="P424" t="n">
        <v>0</v>
      </c>
      <c r="Q424" t="n">
        <v>0</v>
      </c>
      <c r="R424" s="2" t="inlineStr"/>
    </row>
    <row r="425" ht="15" customHeight="1">
      <c r="A425" t="inlineStr">
        <is>
          <t>A 1153-2026</t>
        </is>
      </c>
      <c r="B425" s="1" t="n">
        <v>46031.30899305556</v>
      </c>
      <c r="C425" s="1" t="n">
        <v>46131</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10937-2024</t>
        </is>
      </c>
      <c r="B426" s="1" t="n">
        <v>45370.44461805555</v>
      </c>
      <c r="C426" s="1" t="n">
        <v>46131</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22079-2023</t>
        </is>
      </c>
      <c r="B427" s="1" t="n">
        <v>45069</v>
      </c>
      <c r="C427" s="1" t="n">
        <v>46131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52447-2024</t>
        </is>
      </c>
      <c r="B428" s="1" t="n">
        <v>45609.49157407408</v>
      </c>
      <c r="C428" s="1" t="n">
        <v>46131</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3841-2023</t>
        </is>
      </c>
      <c r="B429" s="1" t="n">
        <v>44951</v>
      </c>
      <c r="C429" s="1" t="n">
        <v>46131</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46131</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59515-2025</t>
        </is>
      </c>
      <c r="B431" s="1" t="n">
        <v>45989.65238425926</v>
      </c>
      <c r="C431" s="1" t="n">
        <v>46131</v>
      </c>
      <c r="D431" t="inlineStr">
        <is>
          <t>ÖREBRO LÄN</t>
        </is>
      </c>
      <c r="E431" t="inlineStr">
        <is>
          <t>ÖREBRO</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38489-2023</t>
        </is>
      </c>
      <c r="B432" s="1" t="n">
        <v>45162</v>
      </c>
      <c r="C432" s="1" t="n">
        <v>46131</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2970-2026</t>
        </is>
      </c>
      <c r="B433" s="1" t="n">
        <v>46038.6202662037</v>
      </c>
      <c r="C433" s="1" t="n">
        <v>46131</v>
      </c>
      <c r="D433" t="inlineStr">
        <is>
          <t>ÖREBRO LÄN</t>
        </is>
      </c>
      <c r="E433" t="inlineStr">
        <is>
          <t>ÖREBRO</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70719-2021</t>
        </is>
      </c>
      <c r="B434" s="1" t="n">
        <v>44537</v>
      </c>
      <c r="C434" s="1" t="n">
        <v>46131</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38573-2023</t>
        </is>
      </c>
      <c r="B435" s="1" t="n">
        <v>45162.61837962963</v>
      </c>
      <c r="C435" s="1" t="n">
        <v>46131</v>
      </c>
      <c r="D435" t="inlineStr">
        <is>
          <t>ÖREBRO LÄN</t>
        </is>
      </c>
      <c r="E435" t="inlineStr">
        <is>
          <t>ÖREBRO</t>
        </is>
      </c>
      <c r="G435" t="n">
        <v>2.2</v>
      </c>
      <c r="H435" t="n">
        <v>0</v>
      </c>
      <c r="I435" t="n">
        <v>0</v>
      </c>
      <c r="J435" t="n">
        <v>0</v>
      </c>
      <c r="K435" t="n">
        <v>0</v>
      </c>
      <c r="L435" t="n">
        <v>0</v>
      </c>
      <c r="M435" t="n">
        <v>0</v>
      </c>
      <c r="N435" t="n">
        <v>0</v>
      </c>
      <c r="O435" t="n">
        <v>0</v>
      </c>
      <c r="P435" t="n">
        <v>0</v>
      </c>
      <c r="Q435" t="n">
        <v>0</v>
      </c>
      <c r="R435" s="2" t="inlineStr"/>
    </row>
    <row r="436" ht="15" customHeight="1">
      <c r="A436" t="inlineStr">
        <is>
          <t>A 4757-2024</t>
        </is>
      </c>
      <c r="B436" s="1" t="n">
        <v>45328</v>
      </c>
      <c r="C436" s="1" t="n">
        <v>46131</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3031-2026</t>
        </is>
      </c>
      <c r="B437" s="1" t="n">
        <v>46038.71271990741</v>
      </c>
      <c r="C437" s="1" t="n">
        <v>46131</v>
      </c>
      <c r="D437" t="inlineStr">
        <is>
          <t>ÖREBRO LÄN</t>
        </is>
      </c>
      <c r="E437" t="inlineStr">
        <is>
          <t>ÖREBRO</t>
        </is>
      </c>
      <c r="F437" t="inlineStr">
        <is>
          <t>Övriga Aktiebolag</t>
        </is>
      </c>
      <c r="G437" t="n">
        <v>1.4</v>
      </c>
      <c r="H437" t="n">
        <v>0</v>
      </c>
      <c r="I437" t="n">
        <v>0</v>
      </c>
      <c r="J437" t="n">
        <v>0</v>
      </c>
      <c r="K437" t="n">
        <v>0</v>
      </c>
      <c r="L437" t="n">
        <v>0</v>
      </c>
      <c r="M437" t="n">
        <v>0</v>
      </c>
      <c r="N437" t="n">
        <v>0</v>
      </c>
      <c r="O437" t="n">
        <v>0</v>
      </c>
      <c r="P437" t="n">
        <v>0</v>
      </c>
      <c r="Q437" t="n">
        <v>0</v>
      </c>
      <c r="R437" s="2" t="inlineStr"/>
    </row>
    <row r="438" ht="15" customHeight="1">
      <c r="A438" t="inlineStr">
        <is>
          <t>A 3033-2026</t>
        </is>
      </c>
      <c r="B438" s="1" t="n">
        <v>46038.71920138889</v>
      </c>
      <c r="C438" s="1" t="n">
        <v>46131</v>
      </c>
      <c r="D438" t="inlineStr">
        <is>
          <t>ÖREBRO LÄN</t>
        </is>
      </c>
      <c r="E438" t="inlineStr">
        <is>
          <t>ÖREBRO</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46131</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46131</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46131</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46131</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46131</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46131</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3111-2026</t>
        </is>
      </c>
      <c r="B445" s="1" t="n">
        <v>46041.36004629629</v>
      </c>
      <c r="C445" s="1" t="n">
        <v>46131</v>
      </c>
      <c r="D445" t="inlineStr">
        <is>
          <t>ÖREBRO LÄN</t>
        </is>
      </c>
      <c r="E445" t="inlineStr">
        <is>
          <t>ÖREBRO</t>
        </is>
      </c>
      <c r="F445" t="inlineStr">
        <is>
          <t>Övriga Aktiebolag</t>
        </is>
      </c>
      <c r="G445" t="n">
        <v>8.6</v>
      </c>
      <c r="H445" t="n">
        <v>0</v>
      </c>
      <c r="I445" t="n">
        <v>0</v>
      </c>
      <c r="J445" t="n">
        <v>0</v>
      </c>
      <c r="K445" t="n">
        <v>0</v>
      </c>
      <c r="L445" t="n">
        <v>0</v>
      </c>
      <c r="M445" t="n">
        <v>0</v>
      </c>
      <c r="N445" t="n">
        <v>0</v>
      </c>
      <c r="O445" t="n">
        <v>0</v>
      </c>
      <c r="P445" t="n">
        <v>0</v>
      </c>
      <c r="Q445" t="n">
        <v>0</v>
      </c>
      <c r="R445" s="2" t="inlineStr"/>
    </row>
    <row r="446" ht="15" customHeight="1">
      <c r="A446" t="inlineStr">
        <is>
          <t>A 3252-2026</t>
        </is>
      </c>
      <c r="B446" s="1" t="n">
        <v>46041.58626157408</v>
      </c>
      <c r="C446" s="1" t="n">
        <v>46131</v>
      </c>
      <c r="D446" t="inlineStr">
        <is>
          <t>ÖREBRO LÄN</t>
        </is>
      </c>
      <c r="E446" t="inlineStr">
        <is>
          <t>ÖREBRO</t>
        </is>
      </c>
      <c r="F446" t="inlineStr">
        <is>
          <t>Övriga Aktiebolag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30015-2023</t>
        </is>
      </c>
      <c r="B447" s="1" t="n">
        <v>45109</v>
      </c>
      <c r="C447" s="1" t="n">
        <v>46131</v>
      </c>
      <c r="D447" t="inlineStr">
        <is>
          <t>ÖREBRO LÄN</t>
        </is>
      </c>
      <c r="E447" t="inlineStr">
        <is>
          <t>ÖREBRO</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37968-2024</t>
        </is>
      </c>
      <c r="B448" s="1" t="n">
        <v>45544</v>
      </c>
      <c r="C448" s="1" t="n">
        <v>46131</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31326-2024</t>
        </is>
      </c>
      <c r="B449" s="1" t="n">
        <v>45504.5934375</v>
      </c>
      <c r="C449" s="1" t="n">
        <v>46131</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46131</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12536-2026</t>
        </is>
      </c>
      <c r="B451" s="1" t="n">
        <v>46090.60851851852</v>
      </c>
      <c r="C451" s="1" t="n">
        <v>46131</v>
      </c>
      <c r="D451" t="inlineStr">
        <is>
          <t>ÖREBRO LÄN</t>
        </is>
      </c>
      <c r="E451" t="inlineStr">
        <is>
          <t>ÖREBRO</t>
        </is>
      </c>
      <c r="G451" t="n">
        <v>7.7</v>
      </c>
      <c r="H451" t="n">
        <v>0</v>
      </c>
      <c r="I451" t="n">
        <v>0</v>
      </c>
      <c r="J451" t="n">
        <v>0</v>
      </c>
      <c r="K451" t="n">
        <v>0</v>
      </c>
      <c r="L451" t="n">
        <v>0</v>
      </c>
      <c r="M451" t="n">
        <v>0</v>
      </c>
      <c r="N451" t="n">
        <v>0</v>
      </c>
      <c r="O451" t="n">
        <v>0</v>
      </c>
      <c r="P451" t="n">
        <v>0</v>
      </c>
      <c r="Q451" t="n">
        <v>0</v>
      </c>
      <c r="R451" s="2" t="inlineStr"/>
    </row>
    <row r="452" ht="15" customHeight="1">
      <c r="A452" t="inlineStr">
        <is>
          <t>A 22045-2024</t>
        </is>
      </c>
      <c r="B452" s="1" t="n">
        <v>45443.61171296296</v>
      </c>
      <c r="C452" s="1" t="n">
        <v>46131</v>
      </c>
      <c r="D452" t="inlineStr">
        <is>
          <t>ÖREBRO LÄN</t>
        </is>
      </c>
      <c r="E452" t="inlineStr">
        <is>
          <t>ÖREBRO</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58684-2023</t>
        </is>
      </c>
      <c r="B453" s="1" t="n">
        <v>45251</v>
      </c>
      <c r="C453" s="1" t="n">
        <v>46131</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38898-2023</t>
        </is>
      </c>
      <c r="B454" s="1" t="n">
        <v>45163</v>
      </c>
      <c r="C454" s="1" t="n">
        <v>46131</v>
      </c>
      <c r="D454" t="inlineStr">
        <is>
          <t>ÖREBRO LÄN</t>
        </is>
      </c>
      <c r="E454" t="inlineStr">
        <is>
          <t>ÖREBRO</t>
        </is>
      </c>
      <c r="G454" t="n">
        <v>5.1</v>
      </c>
      <c r="H454" t="n">
        <v>0</v>
      </c>
      <c r="I454" t="n">
        <v>0</v>
      </c>
      <c r="J454" t="n">
        <v>0</v>
      </c>
      <c r="K454" t="n">
        <v>0</v>
      </c>
      <c r="L454" t="n">
        <v>0</v>
      </c>
      <c r="M454" t="n">
        <v>0</v>
      </c>
      <c r="N454" t="n">
        <v>0</v>
      </c>
      <c r="O454" t="n">
        <v>0</v>
      </c>
      <c r="P454" t="n">
        <v>0</v>
      </c>
      <c r="Q454" t="n">
        <v>0</v>
      </c>
      <c r="R454" s="2" t="inlineStr"/>
    </row>
    <row r="455" ht="15" customHeight="1">
      <c r="A455" t="inlineStr">
        <is>
          <t>A 13321-2024</t>
        </is>
      </c>
      <c r="B455" s="1" t="n">
        <v>45386.83142361111</v>
      </c>
      <c r="C455" s="1" t="n">
        <v>46131</v>
      </c>
      <c r="D455" t="inlineStr">
        <is>
          <t>ÖREBRO LÄN</t>
        </is>
      </c>
      <c r="E455" t="inlineStr">
        <is>
          <t>ÖREBRO</t>
        </is>
      </c>
      <c r="G455" t="n">
        <v>13.1</v>
      </c>
      <c r="H455" t="n">
        <v>0</v>
      </c>
      <c r="I455" t="n">
        <v>0</v>
      </c>
      <c r="J455" t="n">
        <v>0</v>
      </c>
      <c r="K455" t="n">
        <v>0</v>
      </c>
      <c r="L455" t="n">
        <v>0</v>
      </c>
      <c r="M455" t="n">
        <v>0</v>
      </c>
      <c r="N455" t="n">
        <v>0</v>
      </c>
      <c r="O455" t="n">
        <v>0</v>
      </c>
      <c r="P455" t="n">
        <v>0</v>
      </c>
      <c r="Q455" t="n">
        <v>0</v>
      </c>
      <c r="R455" s="2" t="inlineStr"/>
    </row>
    <row r="456" ht="15" customHeight="1">
      <c r="A456" t="inlineStr">
        <is>
          <t>A 38583-2023</t>
        </is>
      </c>
      <c r="B456" s="1" t="n">
        <v>45162.62861111111</v>
      </c>
      <c r="C456" s="1" t="n">
        <v>46131</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14291-2023</t>
        </is>
      </c>
      <c r="B457" s="1" t="n">
        <v>45010</v>
      </c>
      <c r="C457" s="1" t="n">
        <v>46131</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13778-2026</t>
        </is>
      </c>
      <c r="B458" s="1" t="n">
        <v>46097</v>
      </c>
      <c r="C458" s="1" t="n">
        <v>46131</v>
      </c>
      <c r="D458" t="inlineStr">
        <is>
          <t>ÖREBRO LÄN</t>
        </is>
      </c>
      <c r="E458" t="inlineStr">
        <is>
          <t>ÖREBRO</t>
        </is>
      </c>
      <c r="F458" t="inlineStr">
        <is>
          <t>Övriga Aktiebolag</t>
        </is>
      </c>
      <c r="G458" t="n">
        <v>23.7</v>
      </c>
      <c r="H458" t="n">
        <v>0</v>
      </c>
      <c r="I458" t="n">
        <v>0</v>
      </c>
      <c r="J458" t="n">
        <v>0</v>
      </c>
      <c r="K458" t="n">
        <v>0</v>
      </c>
      <c r="L458" t="n">
        <v>0</v>
      </c>
      <c r="M458" t="n">
        <v>0</v>
      </c>
      <c r="N458" t="n">
        <v>0</v>
      </c>
      <c r="O458" t="n">
        <v>0</v>
      </c>
      <c r="P458" t="n">
        <v>0</v>
      </c>
      <c r="Q458" t="n">
        <v>0</v>
      </c>
      <c r="R458" s="2" t="inlineStr"/>
    </row>
    <row r="459" ht="15" customHeight="1">
      <c r="A459" t="inlineStr">
        <is>
          <t>A 6220-2026</t>
        </is>
      </c>
      <c r="B459" s="1" t="n">
        <v>46055.43789351852</v>
      </c>
      <c r="C459" s="1" t="n">
        <v>46131</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9314-2023</t>
        </is>
      </c>
      <c r="B460" s="1" t="n">
        <v>44980.67747685185</v>
      </c>
      <c r="C460" s="1" t="n">
        <v>46131</v>
      </c>
      <c r="D460" t="inlineStr">
        <is>
          <t>ÖREBRO LÄN</t>
        </is>
      </c>
      <c r="E460" t="inlineStr">
        <is>
          <t>ÖREBRO</t>
        </is>
      </c>
      <c r="G460" t="n">
        <v>0.8</v>
      </c>
      <c r="H460" t="n">
        <v>0</v>
      </c>
      <c r="I460" t="n">
        <v>0</v>
      </c>
      <c r="J460" t="n">
        <v>0</v>
      </c>
      <c r="K460" t="n">
        <v>0</v>
      </c>
      <c r="L460" t="n">
        <v>0</v>
      </c>
      <c r="M460" t="n">
        <v>0</v>
      </c>
      <c r="N460" t="n">
        <v>0</v>
      </c>
      <c r="O460" t="n">
        <v>0</v>
      </c>
      <c r="P460" t="n">
        <v>0</v>
      </c>
      <c r="Q460" t="n">
        <v>0</v>
      </c>
      <c r="R460" s="2" t="inlineStr"/>
    </row>
    <row r="461" ht="15" customHeight="1">
      <c r="A461" t="inlineStr">
        <is>
          <t>A 33455-2023</t>
        </is>
      </c>
      <c r="B461" s="1" t="n">
        <v>45130.98962962963</v>
      </c>
      <c r="C461" s="1" t="n">
        <v>46131</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21306-2024</t>
        </is>
      </c>
      <c r="B462" s="1" t="n">
        <v>45440.67883101852</v>
      </c>
      <c r="C462" s="1" t="n">
        <v>46131</v>
      </c>
      <c r="D462" t="inlineStr">
        <is>
          <t>ÖREBRO LÄN</t>
        </is>
      </c>
      <c r="E462" t="inlineStr">
        <is>
          <t>ÖREBRO</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7634-2024</t>
        </is>
      </c>
      <c r="B463" s="1" t="n">
        <v>45348</v>
      </c>
      <c r="C463" s="1" t="n">
        <v>46131</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5324-2024</t>
        </is>
      </c>
      <c r="B464" s="1" t="n">
        <v>45331</v>
      </c>
      <c r="C464" s="1" t="n">
        <v>46131</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52401-2024</t>
        </is>
      </c>
      <c r="B465" s="1" t="n">
        <v>45609.44553240741</v>
      </c>
      <c r="C465" s="1" t="n">
        <v>46131</v>
      </c>
      <c r="D465" t="inlineStr">
        <is>
          <t>ÖREBRO LÄN</t>
        </is>
      </c>
      <c r="E465" t="inlineStr">
        <is>
          <t>ÖREBRO</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46131</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14032-2026</t>
        </is>
      </c>
      <c r="B467" s="1" t="n">
        <v>46098</v>
      </c>
      <c r="C467" s="1" t="n">
        <v>46131</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7227-2026</t>
        </is>
      </c>
      <c r="B468" s="1" t="n">
        <v>46058.56858796296</v>
      </c>
      <c r="C468" s="1" t="n">
        <v>46131</v>
      </c>
      <c r="D468" t="inlineStr">
        <is>
          <t>ÖREBRO LÄN</t>
        </is>
      </c>
      <c r="E468" t="inlineStr">
        <is>
          <t>ÖREBRO</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55357-2024</t>
        </is>
      </c>
      <c r="B469" s="1" t="n">
        <v>45621.81126157408</v>
      </c>
      <c r="C469" s="1" t="n">
        <v>46131</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38422-2023</t>
        </is>
      </c>
      <c r="B470" s="1" t="n">
        <v>45162.36422453704</v>
      </c>
      <c r="C470" s="1" t="n">
        <v>46131</v>
      </c>
      <c r="D470" t="inlineStr">
        <is>
          <t>ÖREBRO LÄN</t>
        </is>
      </c>
      <c r="E470" t="inlineStr">
        <is>
          <t>ÖREBRO</t>
        </is>
      </c>
      <c r="G470" t="n">
        <v>8</v>
      </c>
      <c r="H470" t="n">
        <v>0</v>
      </c>
      <c r="I470" t="n">
        <v>0</v>
      </c>
      <c r="J470" t="n">
        <v>0</v>
      </c>
      <c r="K470" t="n">
        <v>0</v>
      </c>
      <c r="L470" t="n">
        <v>0</v>
      </c>
      <c r="M470" t="n">
        <v>0</v>
      </c>
      <c r="N470" t="n">
        <v>0</v>
      </c>
      <c r="O470" t="n">
        <v>0</v>
      </c>
      <c r="P470" t="n">
        <v>0</v>
      </c>
      <c r="Q470" t="n">
        <v>0</v>
      </c>
      <c r="R470" s="2" t="inlineStr"/>
    </row>
    <row r="471" ht="15" customHeight="1">
      <c r="A471" t="inlineStr">
        <is>
          <t>A 7220-2026</t>
        </is>
      </c>
      <c r="B471" s="1" t="n">
        <v>46058.56126157408</v>
      </c>
      <c r="C471" s="1" t="n">
        <v>46131</v>
      </c>
      <c r="D471" t="inlineStr">
        <is>
          <t>ÖREBRO LÄN</t>
        </is>
      </c>
      <c r="E471" t="inlineStr">
        <is>
          <t>ÖREBRO</t>
        </is>
      </c>
      <c r="F471" t="inlineStr">
        <is>
          <t>Övriga Aktiebolag</t>
        </is>
      </c>
      <c r="G471" t="n">
        <v>2</v>
      </c>
      <c r="H471" t="n">
        <v>0</v>
      </c>
      <c r="I471" t="n">
        <v>0</v>
      </c>
      <c r="J471" t="n">
        <v>0</v>
      </c>
      <c r="K471" t="n">
        <v>0</v>
      </c>
      <c r="L471" t="n">
        <v>0</v>
      </c>
      <c r="M471" t="n">
        <v>0</v>
      </c>
      <c r="N471" t="n">
        <v>0</v>
      </c>
      <c r="O471" t="n">
        <v>0</v>
      </c>
      <c r="P471" t="n">
        <v>0</v>
      </c>
      <c r="Q471" t="n">
        <v>0</v>
      </c>
      <c r="R471" s="2" t="inlineStr"/>
    </row>
    <row r="472" ht="15" customHeight="1">
      <c r="A472" t="inlineStr">
        <is>
          <t>A 46518-2023</t>
        </is>
      </c>
      <c r="B472" s="1" t="n">
        <v>45197.72777777778</v>
      </c>
      <c r="C472" s="1" t="n">
        <v>46131</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41703-2024</t>
        </is>
      </c>
      <c r="B473" s="1" t="n">
        <v>45560</v>
      </c>
      <c r="C473" s="1" t="n">
        <v>46131</v>
      </c>
      <c r="D473" t="inlineStr">
        <is>
          <t>ÖREBRO LÄN</t>
        </is>
      </c>
      <c r="E473" t="inlineStr">
        <is>
          <t>ÖREBRO</t>
        </is>
      </c>
      <c r="G473" t="n">
        <v>6.4</v>
      </c>
      <c r="H473" t="n">
        <v>0</v>
      </c>
      <c r="I473" t="n">
        <v>0</v>
      </c>
      <c r="J473" t="n">
        <v>0</v>
      </c>
      <c r="K473" t="n">
        <v>0</v>
      </c>
      <c r="L473" t="n">
        <v>0</v>
      </c>
      <c r="M473" t="n">
        <v>0</v>
      </c>
      <c r="N473" t="n">
        <v>0</v>
      </c>
      <c r="O473" t="n">
        <v>0</v>
      </c>
      <c r="P473" t="n">
        <v>0</v>
      </c>
      <c r="Q473" t="n">
        <v>0</v>
      </c>
      <c r="R473" s="2" t="inlineStr"/>
    </row>
    <row r="474" ht="15" customHeight="1">
      <c r="A474" t="inlineStr">
        <is>
          <t>A 19763-2024</t>
        </is>
      </c>
      <c r="B474" s="1" t="n">
        <v>45432</v>
      </c>
      <c r="C474" s="1" t="n">
        <v>46131</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7550-2026</t>
        </is>
      </c>
      <c r="B475" s="1" t="n">
        <v>46059.68496527777</v>
      </c>
      <c r="C475" s="1" t="n">
        <v>46131</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31247-2023</t>
        </is>
      </c>
      <c r="B476" s="1" t="n">
        <v>45114</v>
      </c>
      <c r="C476" s="1" t="n">
        <v>46131</v>
      </c>
      <c r="D476" t="inlineStr">
        <is>
          <t>ÖREBRO LÄN</t>
        </is>
      </c>
      <c r="E476" t="inlineStr">
        <is>
          <t>ÖREBRO</t>
        </is>
      </c>
      <c r="F476" t="inlineStr">
        <is>
          <t>Allmännings- och besparingsskogar</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36635-2023</t>
        </is>
      </c>
      <c r="B477" s="1" t="n">
        <v>45153</v>
      </c>
      <c r="C477" s="1" t="n">
        <v>46131</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46131</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49797-2024</t>
        </is>
      </c>
      <c r="B479" s="1" t="n">
        <v>45597.37265046296</v>
      </c>
      <c r="C479" s="1" t="n">
        <v>46131</v>
      </c>
      <c r="D479" t="inlineStr">
        <is>
          <t>ÖREBRO LÄN</t>
        </is>
      </c>
      <c r="E479" t="inlineStr">
        <is>
          <t>ÖREBRO</t>
        </is>
      </c>
      <c r="G479" t="n">
        <v>11.6</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46131</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32086-2023</t>
        </is>
      </c>
      <c r="B481" s="1" t="n">
        <v>45119.59789351852</v>
      </c>
      <c r="C481" s="1" t="n">
        <v>46131</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13856-2022</t>
        </is>
      </c>
      <c r="B482" s="1" t="n">
        <v>44649.6965162037</v>
      </c>
      <c r="C482" s="1" t="n">
        <v>46131</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23863-2023</t>
        </is>
      </c>
      <c r="B483" s="1" t="n">
        <v>45078.48994212963</v>
      </c>
      <c r="C483" s="1" t="n">
        <v>46131</v>
      </c>
      <c r="D483" t="inlineStr">
        <is>
          <t>ÖREBRO LÄN</t>
        </is>
      </c>
      <c r="E483" t="inlineStr">
        <is>
          <t>ÖREBRO</t>
        </is>
      </c>
      <c r="F483" t="inlineStr">
        <is>
          <t>Övriga Aktiebolag</t>
        </is>
      </c>
      <c r="G483" t="n">
        <v>5.9</v>
      </c>
      <c r="H483" t="n">
        <v>0</v>
      </c>
      <c r="I483" t="n">
        <v>0</v>
      </c>
      <c r="J483" t="n">
        <v>0</v>
      </c>
      <c r="K483" t="n">
        <v>0</v>
      </c>
      <c r="L483" t="n">
        <v>0</v>
      </c>
      <c r="M483" t="n">
        <v>0</v>
      </c>
      <c r="N483" t="n">
        <v>0</v>
      </c>
      <c r="O483" t="n">
        <v>0</v>
      </c>
      <c r="P483" t="n">
        <v>0</v>
      </c>
      <c r="Q483" t="n">
        <v>0</v>
      </c>
      <c r="R483" s="2" t="inlineStr"/>
    </row>
    <row r="484" ht="15" customHeight="1">
      <c r="A484" t="inlineStr">
        <is>
          <t>A 39130-2023</t>
        </is>
      </c>
      <c r="B484" s="1" t="n">
        <v>45165</v>
      </c>
      <c r="C484" s="1" t="n">
        <v>46131</v>
      </c>
      <c r="D484" t="inlineStr">
        <is>
          <t>ÖREBRO LÄN</t>
        </is>
      </c>
      <c r="E484" t="inlineStr">
        <is>
          <t>ÖREBRO</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13599-2025</t>
        </is>
      </c>
      <c r="B485" s="1" t="n">
        <v>45736.60597222222</v>
      </c>
      <c r="C485" s="1" t="n">
        <v>46131</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46131</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8461-2026</t>
        </is>
      </c>
      <c r="B487" s="1" t="n">
        <v>46065.42981481482</v>
      </c>
      <c r="C487" s="1" t="n">
        <v>46131</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50375-2024</t>
        </is>
      </c>
      <c r="B488" s="1" t="n">
        <v>45601.29311342593</v>
      </c>
      <c r="C488" s="1" t="n">
        <v>46131</v>
      </c>
      <c r="D488" t="inlineStr">
        <is>
          <t>ÖREBRO LÄN</t>
        </is>
      </c>
      <c r="E488" t="inlineStr">
        <is>
          <t>ÖREBRO</t>
        </is>
      </c>
      <c r="G488" t="n">
        <v>5</v>
      </c>
      <c r="H488" t="n">
        <v>0</v>
      </c>
      <c r="I488" t="n">
        <v>0</v>
      </c>
      <c r="J488" t="n">
        <v>0</v>
      </c>
      <c r="K488" t="n">
        <v>0</v>
      </c>
      <c r="L488" t="n">
        <v>0</v>
      </c>
      <c r="M488" t="n">
        <v>0</v>
      </c>
      <c r="N488" t="n">
        <v>0</v>
      </c>
      <c r="O488" t="n">
        <v>0</v>
      </c>
      <c r="P488" t="n">
        <v>0</v>
      </c>
      <c r="Q488" t="n">
        <v>0</v>
      </c>
      <c r="R488" s="2" t="inlineStr"/>
    </row>
    <row r="489" ht="15" customHeight="1">
      <c r="A489" t="inlineStr">
        <is>
          <t>A 52391-2024</t>
        </is>
      </c>
      <c r="B489" s="1" t="n">
        <v>45609.43180555556</v>
      </c>
      <c r="C489" s="1" t="n">
        <v>46131</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8662-2026</t>
        </is>
      </c>
      <c r="B490" s="1" t="n">
        <v>46066.38112268518</v>
      </c>
      <c r="C490" s="1" t="n">
        <v>46131</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9318-2026</t>
        </is>
      </c>
      <c r="B491" s="1" t="n">
        <v>46070.62585648148</v>
      </c>
      <c r="C491" s="1" t="n">
        <v>46131</v>
      </c>
      <c r="D491" t="inlineStr">
        <is>
          <t>ÖREBRO LÄN</t>
        </is>
      </c>
      <c r="E491" t="inlineStr">
        <is>
          <t>ÖREBRO</t>
        </is>
      </c>
      <c r="F491" t="inlineStr">
        <is>
          <t>Övriga Aktiebolag</t>
        </is>
      </c>
      <c r="G491" t="n">
        <v>2.7</v>
      </c>
      <c r="H491" t="n">
        <v>0</v>
      </c>
      <c r="I491" t="n">
        <v>0</v>
      </c>
      <c r="J491" t="n">
        <v>0</v>
      </c>
      <c r="K491" t="n">
        <v>0</v>
      </c>
      <c r="L491" t="n">
        <v>0</v>
      </c>
      <c r="M491" t="n">
        <v>0</v>
      </c>
      <c r="N491" t="n">
        <v>0</v>
      </c>
      <c r="O491" t="n">
        <v>0</v>
      </c>
      <c r="P491" t="n">
        <v>0</v>
      </c>
      <c r="Q491" t="n">
        <v>0</v>
      </c>
      <c r="R491" s="2" t="inlineStr"/>
    </row>
    <row r="492" ht="15" customHeight="1">
      <c r="A492" t="inlineStr">
        <is>
          <t>A 58532-2024</t>
        </is>
      </c>
      <c r="B492" s="1" t="n">
        <v>45635.44899305556</v>
      </c>
      <c r="C492" s="1" t="n">
        <v>46131</v>
      </c>
      <c r="D492" t="inlineStr">
        <is>
          <t>ÖREBRO LÄN</t>
        </is>
      </c>
      <c r="E492" t="inlineStr">
        <is>
          <t>ÖREBRO</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20150-2024</t>
        </is>
      </c>
      <c r="B493" s="1" t="n">
        <v>45434.57969907407</v>
      </c>
      <c r="C493" s="1" t="n">
        <v>46131</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58208-2024</t>
        </is>
      </c>
      <c r="B494" s="1" t="n">
        <v>45632</v>
      </c>
      <c r="C494" s="1" t="n">
        <v>46131</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19388-2024</t>
        </is>
      </c>
      <c r="B495" s="1" t="n">
        <v>45429.37775462963</v>
      </c>
      <c r="C495" s="1" t="n">
        <v>46131</v>
      </c>
      <c r="D495" t="inlineStr">
        <is>
          <t>ÖREBRO LÄN</t>
        </is>
      </c>
      <c r="E495" t="inlineStr">
        <is>
          <t>ÖREBRO</t>
        </is>
      </c>
      <c r="G495" t="n">
        <v>4.3</v>
      </c>
      <c r="H495" t="n">
        <v>0</v>
      </c>
      <c r="I495" t="n">
        <v>0</v>
      </c>
      <c r="J495" t="n">
        <v>0</v>
      </c>
      <c r="K495" t="n">
        <v>0</v>
      </c>
      <c r="L495" t="n">
        <v>0</v>
      </c>
      <c r="M495" t="n">
        <v>0</v>
      </c>
      <c r="N495" t="n">
        <v>0</v>
      </c>
      <c r="O495" t="n">
        <v>0</v>
      </c>
      <c r="P495" t="n">
        <v>0</v>
      </c>
      <c r="Q495" t="n">
        <v>0</v>
      </c>
      <c r="R495" s="2" t="inlineStr"/>
    </row>
    <row r="496" ht="15" customHeight="1">
      <c r="A496" t="inlineStr">
        <is>
          <t>A 7506-2025</t>
        </is>
      </c>
      <c r="B496" s="1" t="n">
        <v>45705</v>
      </c>
      <c r="C496" s="1" t="n">
        <v>46131</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4344-2025</t>
        </is>
      </c>
      <c r="B497" s="1" t="n">
        <v>45685</v>
      </c>
      <c r="C497" s="1" t="n">
        <v>46131</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46131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46131</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55472-2023</t>
        </is>
      </c>
      <c r="B500" s="1" t="n">
        <v>45238</v>
      </c>
      <c r="C500" s="1" t="n">
        <v>46131</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10108-2026</t>
        </is>
      </c>
      <c r="B501" s="1" t="n">
        <v>46074.64310185185</v>
      </c>
      <c r="C501" s="1" t="n">
        <v>46131</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54925-2023</t>
        </is>
      </c>
      <c r="B502" s="1" t="n">
        <v>45229</v>
      </c>
      <c r="C502" s="1" t="n">
        <v>46131</v>
      </c>
      <c r="D502" t="inlineStr">
        <is>
          <t>ÖREBRO LÄN</t>
        </is>
      </c>
      <c r="E502" t="inlineStr">
        <is>
          <t>ÖREBRO</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10502-2026</t>
        </is>
      </c>
      <c r="B503" s="1" t="n">
        <v>46077</v>
      </c>
      <c r="C503" s="1" t="n">
        <v>46131</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16961-2022</t>
        </is>
      </c>
      <c r="B504" s="1" t="n">
        <v>44676</v>
      </c>
      <c r="C504" s="1" t="n">
        <v>46131</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46131</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13700-2024</t>
        </is>
      </c>
      <c r="B506" s="1" t="n">
        <v>45390.59277777778</v>
      </c>
      <c r="C506" s="1" t="n">
        <v>46131</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10944-2026</t>
        </is>
      </c>
      <c r="B507" s="1" t="n">
        <v>46079.37659722222</v>
      </c>
      <c r="C507" s="1" t="n">
        <v>46131</v>
      </c>
      <c r="D507" t="inlineStr">
        <is>
          <t>ÖREBRO LÄN</t>
        </is>
      </c>
      <c r="E507" t="inlineStr">
        <is>
          <t>ÖREBRO</t>
        </is>
      </c>
      <c r="G507" t="n">
        <v>2.7</v>
      </c>
      <c r="H507" t="n">
        <v>0</v>
      </c>
      <c r="I507" t="n">
        <v>0</v>
      </c>
      <c r="J507" t="n">
        <v>0</v>
      </c>
      <c r="K507" t="n">
        <v>0</v>
      </c>
      <c r="L507" t="n">
        <v>0</v>
      </c>
      <c r="M507" t="n">
        <v>0</v>
      </c>
      <c r="N507" t="n">
        <v>0</v>
      </c>
      <c r="O507" t="n">
        <v>0</v>
      </c>
      <c r="P507" t="n">
        <v>0</v>
      </c>
      <c r="Q507" t="n">
        <v>0</v>
      </c>
      <c r="R507" s="2" t="inlineStr"/>
    </row>
    <row r="508" ht="15" customHeight="1">
      <c r="A508" t="inlineStr">
        <is>
          <t>A 3659-2025</t>
        </is>
      </c>
      <c r="B508" s="1" t="n">
        <v>45681</v>
      </c>
      <c r="C508" s="1" t="n">
        <v>46131</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1014-2024</t>
        </is>
      </c>
      <c r="B509" s="1" t="n">
        <v>45301</v>
      </c>
      <c r="C509" s="1" t="n">
        <v>46131</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10816-2026</t>
        </is>
      </c>
      <c r="B510" s="1" t="n">
        <v>46078.61224537037</v>
      </c>
      <c r="C510" s="1" t="n">
        <v>46131</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10970-2026</t>
        </is>
      </c>
      <c r="B511" s="1" t="n">
        <v>46079.44788194444</v>
      </c>
      <c r="C511" s="1" t="n">
        <v>46131</v>
      </c>
      <c r="D511" t="inlineStr">
        <is>
          <t>ÖREBRO LÄN</t>
        </is>
      </c>
      <c r="E511" t="inlineStr">
        <is>
          <t>ÖREBRO</t>
        </is>
      </c>
      <c r="G511" t="n">
        <v>6.5</v>
      </c>
      <c r="H511" t="n">
        <v>0</v>
      </c>
      <c r="I511" t="n">
        <v>0</v>
      </c>
      <c r="J511" t="n">
        <v>0</v>
      </c>
      <c r="K511" t="n">
        <v>0</v>
      </c>
      <c r="L511" t="n">
        <v>0</v>
      </c>
      <c r="M511" t="n">
        <v>0</v>
      </c>
      <c r="N511" t="n">
        <v>0</v>
      </c>
      <c r="O511" t="n">
        <v>0</v>
      </c>
      <c r="P511" t="n">
        <v>0</v>
      </c>
      <c r="Q511" t="n">
        <v>0</v>
      </c>
      <c r="R511" s="2" t="inlineStr"/>
    </row>
    <row r="512" ht="15" customHeight="1">
      <c r="A512" t="inlineStr">
        <is>
          <t>A 10972-2026</t>
        </is>
      </c>
      <c r="B512" s="1" t="n">
        <v>46079.45015046297</v>
      </c>
      <c r="C512" s="1" t="n">
        <v>46131</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767-2024</t>
        </is>
      </c>
      <c r="B513" s="1" t="n">
        <v>45300.51892361111</v>
      </c>
      <c r="C513" s="1" t="n">
        <v>46131</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46131</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46131</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46131</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46131</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46131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46131</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46131</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46131</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46131</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11286-2026</t>
        </is>
      </c>
      <c r="B523" s="1" t="n">
        <v>46080</v>
      </c>
      <c r="C523" s="1" t="n">
        <v>46131</v>
      </c>
      <c r="D523" t="inlineStr">
        <is>
          <t>ÖREBRO LÄN</t>
        </is>
      </c>
      <c r="E523" t="inlineStr">
        <is>
          <t>ÖREBRO</t>
        </is>
      </c>
      <c r="G523" t="n">
        <v>5.4</v>
      </c>
      <c r="H523" t="n">
        <v>0</v>
      </c>
      <c r="I523" t="n">
        <v>0</v>
      </c>
      <c r="J523" t="n">
        <v>0</v>
      </c>
      <c r="K523" t="n">
        <v>0</v>
      </c>
      <c r="L523" t="n">
        <v>0</v>
      </c>
      <c r="M523" t="n">
        <v>0</v>
      </c>
      <c r="N523" t="n">
        <v>0</v>
      </c>
      <c r="O523" t="n">
        <v>0</v>
      </c>
      <c r="P523" t="n">
        <v>0</v>
      </c>
      <c r="Q523" t="n">
        <v>0</v>
      </c>
      <c r="R523" s="2" t="inlineStr"/>
    </row>
    <row r="524" ht="15" customHeight="1">
      <c r="A524" t="inlineStr">
        <is>
          <t>A 35829-2024</t>
        </is>
      </c>
      <c r="B524" s="1" t="n">
        <v>45532</v>
      </c>
      <c r="C524" s="1" t="n">
        <v>46131</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35833-2024</t>
        </is>
      </c>
      <c r="B525" s="1" t="n">
        <v>45532.68699074074</v>
      </c>
      <c r="C525" s="1" t="n">
        <v>46131</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14717-2024</t>
        </is>
      </c>
      <c r="B526" s="1" t="n">
        <v>45397.55104166667</v>
      </c>
      <c r="C526" s="1" t="n">
        <v>46131</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5133-2024</t>
        </is>
      </c>
      <c r="B527" s="1" t="n">
        <v>45330</v>
      </c>
      <c r="C527" s="1" t="n">
        <v>46131</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14432-2023</t>
        </is>
      </c>
      <c r="B528" s="1" t="n">
        <v>45012</v>
      </c>
      <c r="C528" s="1" t="n">
        <v>46131</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10339-2023</t>
        </is>
      </c>
      <c r="B529" s="1" t="n">
        <v>44987</v>
      </c>
      <c r="C529" s="1" t="n">
        <v>46131</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row r="530" ht="15" customHeight="1">
      <c r="A530" t="inlineStr">
        <is>
          <t>A 190-2024</t>
        </is>
      </c>
      <c r="B530" s="1" t="n">
        <v>45294.61858796296</v>
      </c>
      <c r="C530" s="1" t="n">
        <v>46131</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62497-2023</t>
        </is>
      </c>
      <c r="B531" s="1" t="n">
        <v>45268.59935185185</v>
      </c>
      <c r="C531" s="1" t="n">
        <v>46131</v>
      </c>
      <c r="D531" t="inlineStr">
        <is>
          <t>ÖREBRO LÄN</t>
        </is>
      </c>
      <c r="E531" t="inlineStr">
        <is>
          <t>ÖREBRO</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46131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63142-2023</t>
        </is>
      </c>
      <c r="B533" s="1" t="n">
        <v>45273</v>
      </c>
      <c r="C533" s="1" t="n">
        <v>46131</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37021-2024</t>
        </is>
      </c>
      <c r="B534" s="1" t="n">
        <v>45539.38146990741</v>
      </c>
      <c r="C534" s="1" t="n">
        <v>46131</v>
      </c>
      <c r="D534" t="inlineStr">
        <is>
          <t>ÖREBRO LÄN</t>
        </is>
      </c>
      <c r="E534" t="inlineStr">
        <is>
          <t>ÖREBRO</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23573-2023</t>
        </is>
      </c>
      <c r="B535" s="1" t="n">
        <v>45077.41672453703</v>
      </c>
      <c r="C535" s="1" t="n">
        <v>46131</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13762-2023</t>
        </is>
      </c>
      <c r="B536" s="1" t="n">
        <v>45007.43729166667</v>
      </c>
      <c r="C536" s="1" t="n">
        <v>46131</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5129-2024</t>
        </is>
      </c>
      <c r="B537" s="1" t="n">
        <v>45330</v>
      </c>
      <c r="C537" s="1" t="n">
        <v>46131</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1492-2022</t>
        </is>
      </c>
      <c r="B538" s="1" t="n">
        <v>44573</v>
      </c>
      <c r="C538" s="1" t="n">
        <v>46131</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59026-2024</t>
        </is>
      </c>
      <c r="B539" s="1" t="n">
        <v>45636.6875</v>
      </c>
      <c r="C539" s="1" t="n">
        <v>46131</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52623-2024</t>
        </is>
      </c>
      <c r="B540" s="1" t="n">
        <v>45609</v>
      </c>
      <c r="C540" s="1" t="n">
        <v>46131</v>
      </c>
      <c r="D540" t="inlineStr">
        <is>
          <t>ÖREBRO LÄN</t>
        </is>
      </c>
      <c r="E540" t="inlineStr">
        <is>
          <t>ÖREBRO</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62511-2023</t>
        </is>
      </c>
      <c r="B541" s="1" t="n">
        <v>45268.61855324074</v>
      </c>
      <c r="C541" s="1" t="n">
        <v>46131</v>
      </c>
      <c r="D541" t="inlineStr">
        <is>
          <t>ÖREBRO LÄN</t>
        </is>
      </c>
      <c r="E541" t="inlineStr">
        <is>
          <t>ÖREBRO</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40522-2024</t>
        </is>
      </c>
      <c r="B542" s="1" t="n">
        <v>45555.59717592593</v>
      </c>
      <c r="C542" s="1" t="n">
        <v>46131</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33577-2023</t>
        </is>
      </c>
      <c r="B543" s="1" t="n">
        <v>45131</v>
      </c>
      <c r="C543" s="1" t="n">
        <v>46131</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18360-2024</t>
        </is>
      </c>
      <c r="B544" s="1" t="n">
        <v>45422</v>
      </c>
      <c r="C544" s="1" t="n">
        <v>46131</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7611-2024</t>
        </is>
      </c>
      <c r="B545" s="1" t="n">
        <v>45348.58864583333</v>
      </c>
      <c r="C545" s="1" t="n">
        <v>46131</v>
      </c>
      <c r="D545" t="inlineStr">
        <is>
          <t>ÖREBRO LÄN</t>
        </is>
      </c>
      <c r="E545" t="inlineStr">
        <is>
          <t>ÖREBRO</t>
        </is>
      </c>
      <c r="G545" t="n">
        <v>4.2</v>
      </c>
      <c r="H545" t="n">
        <v>0</v>
      </c>
      <c r="I545" t="n">
        <v>0</v>
      </c>
      <c r="J545" t="n">
        <v>0</v>
      </c>
      <c r="K545" t="n">
        <v>0</v>
      </c>
      <c r="L545" t="n">
        <v>0</v>
      </c>
      <c r="M545" t="n">
        <v>0</v>
      </c>
      <c r="N545" t="n">
        <v>0</v>
      </c>
      <c r="O545" t="n">
        <v>0</v>
      </c>
      <c r="P545" t="n">
        <v>0</v>
      </c>
      <c r="Q545" t="n">
        <v>0</v>
      </c>
      <c r="R545" s="2" t="inlineStr"/>
    </row>
    <row r="546" ht="15" customHeight="1">
      <c r="A546" t="inlineStr">
        <is>
          <t>A 13347-2023</t>
        </is>
      </c>
      <c r="B546" s="1" t="n">
        <v>45004</v>
      </c>
      <c r="C546" s="1" t="n">
        <v>46131</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187-2024</t>
        </is>
      </c>
      <c r="B547" s="1" t="n">
        <v>45294</v>
      </c>
      <c r="C547" s="1" t="n">
        <v>46131</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10832-2023</t>
        </is>
      </c>
      <c r="B548" s="1" t="n">
        <v>44990.91711805556</v>
      </c>
      <c r="C548" s="1" t="n">
        <v>46131</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2596-2022</t>
        </is>
      </c>
      <c r="B549" s="1" t="n">
        <v>44580</v>
      </c>
      <c r="C549" s="1" t="n">
        <v>46131</v>
      </c>
      <c r="D549" t="inlineStr">
        <is>
          <t>ÖREBRO LÄN</t>
        </is>
      </c>
      <c r="E549" t="inlineStr">
        <is>
          <t>ÖREBRO</t>
        </is>
      </c>
      <c r="G549" t="n">
        <v>4.3</v>
      </c>
      <c r="H549" t="n">
        <v>0</v>
      </c>
      <c r="I549" t="n">
        <v>0</v>
      </c>
      <c r="J549" t="n">
        <v>0</v>
      </c>
      <c r="K549" t="n">
        <v>0</v>
      </c>
      <c r="L549" t="n">
        <v>0</v>
      </c>
      <c r="M549" t="n">
        <v>0</v>
      </c>
      <c r="N549" t="n">
        <v>0</v>
      </c>
      <c r="O549" t="n">
        <v>0</v>
      </c>
      <c r="P549" t="n">
        <v>0</v>
      </c>
      <c r="Q549" t="n">
        <v>0</v>
      </c>
      <c r="R549" s="2" t="inlineStr"/>
    </row>
    <row r="550" ht="15" customHeight="1">
      <c r="A550" t="inlineStr">
        <is>
          <t>A 5338-2024</t>
        </is>
      </c>
      <c r="B550" s="1" t="n">
        <v>45331</v>
      </c>
      <c r="C550" s="1" t="n">
        <v>46131</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14487-2023</t>
        </is>
      </c>
      <c r="B551" s="1" t="n">
        <v>45012</v>
      </c>
      <c r="C551" s="1" t="n">
        <v>46131</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4970-2022</t>
        </is>
      </c>
      <c r="B552" s="1" t="n">
        <v>44593.51175925926</v>
      </c>
      <c r="C552" s="1" t="n">
        <v>46131</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46131</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46131</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5026-2022</t>
        </is>
      </c>
      <c r="B555" s="1" t="n">
        <v>44593.63974537037</v>
      </c>
      <c r="C555" s="1" t="n">
        <v>46131</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54917-2023</t>
        </is>
      </c>
      <c r="B556" s="1" t="n">
        <v>45229</v>
      </c>
      <c r="C556" s="1" t="n">
        <v>46131</v>
      </c>
      <c r="D556" t="inlineStr">
        <is>
          <t>ÖREBRO LÄN</t>
        </is>
      </c>
      <c r="E556" t="inlineStr">
        <is>
          <t>ÖREBRO</t>
        </is>
      </c>
      <c r="G556" t="n">
        <v>3.1</v>
      </c>
      <c r="H556" t="n">
        <v>0</v>
      </c>
      <c r="I556" t="n">
        <v>0</v>
      </c>
      <c r="J556" t="n">
        <v>0</v>
      </c>
      <c r="K556" t="n">
        <v>0</v>
      </c>
      <c r="L556" t="n">
        <v>0</v>
      </c>
      <c r="M556" t="n">
        <v>0</v>
      </c>
      <c r="N556" t="n">
        <v>0</v>
      </c>
      <c r="O556" t="n">
        <v>0</v>
      </c>
      <c r="P556" t="n">
        <v>0</v>
      </c>
      <c r="Q556" t="n">
        <v>0</v>
      </c>
      <c r="R556" s="2" t="inlineStr"/>
    </row>
    <row r="557" ht="15" customHeight="1">
      <c r="A557" t="inlineStr">
        <is>
          <t>A 72329-2021</t>
        </is>
      </c>
      <c r="B557" s="1" t="n">
        <v>44545.46072916667</v>
      </c>
      <c r="C557" s="1" t="n">
        <v>46131</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43803-2023</t>
        </is>
      </c>
      <c r="B558" s="1" t="n">
        <v>45187</v>
      </c>
      <c r="C558" s="1" t="n">
        <v>46131</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15789-2023</t>
        </is>
      </c>
      <c r="B559" s="1" t="n">
        <v>45021.71539351852</v>
      </c>
      <c r="C559" s="1" t="n">
        <v>46131</v>
      </c>
      <c r="D559" t="inlineStr">
        <is>
          <t>ÖREBRO LÄN</t>
        </is>
      </c>
      <c r="E559" t="inlineStr">
        <is>
          <t>ÖREBRO</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58539-2024</t>
        </is>
      </c>
      <c r="B560" s="1" t="n">
        <v>45635.45157407408</v>
      </c>
      <c r="C560" s="1" t="n">
        <v>46131</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59757-2023</t>
        </is>
      </c>
      <c r="B561" s="1" t="n">
        <v>45257.40833333333</v>
      </c>
      <c r="C561" s="1" t="n">
        <v>46131</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17869-2024</t>
        </is>
      </c>
      <c r="B562" s="1" t="n">
        <v>45419</v>
      </c>
      <c r="C562" s="1" t="n">
        <v>46131</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71272-2021</t>
        </is>
      </c>
      <c r="B563" s="1" t="n">
        <v>44539.61571759259</v>
      </c>
      <c r="C563" s="1" t="n">
        <v>46131</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4557-2023</t>
        </is>
      </c>
      <c r="B564" s="1" t="n">
        <v>44956.6655787037</v>
      </c>
      <c r="C564" s="1" t="n">
        <v>46131</v>
      </c>
      <c r="D564" t="inlineStr">
        <is>
          <t>ÖREBRO LÄN</t>
        </is>
      </c>
      <c r="E564" t="inlineStr">
        <is>
          <t>ÖREBRO</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46131</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17465-2023</t>
        </is>
      </c>
      <c r="B566" s="1" t="n">
        <v>45036</v>
      </c>
      <c r="C566" s="1" t="n">
        <v>46131</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52016-2024</t>
        </is>
      </c>
      <c r="B567" s="1" t="n">
        <v>45607.81917824074</v>
      </c>
      <c r="C567" s="1" t="n">
        <v>46131</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52477-2024</t>
        </is>
      </c>
      <c r="B568" s="1" t="n">
        <v>45609</v>
      </c>
      <c r="C568" s="1" t="n">
        <v>46131</v>
      </c>
      <c r="D568" t="inlineStr">
        <is>
          <t>ÖREBRO LÄN</t>
        </is>
      </c>
      <c r="E568" t="inlineStr">
        <is>
          <t>ÖREBRO</t>
        </is>
      </c>
      <c r="G568" t="n">
        <v>0.7</v>
      </c>
      <c r="H568" t="n">
        <v>0</v>
      </c>
      <c r="I568" t="n">
        <v>0</v>
      </c>
      <c r="J568" t="n">
        <v>0</v>
      </c>
      <c r="K568" t="n">
        <v>0</v>
      </c>
      <c r="L568" t="n">
        <v>0</v>
      </c>
      <c r="M568" t="n">
        <v>0</v>
      </c>
      <c r="N568" t="n">
        <v>0</v>
      </c>
      <c r="O568" t="n">
        <v>0</v>
      </c>
      <c r="P568" t="n">
        <v>0</v>
      </c>
      <c r="Q568" t="n">
        <v>0</v>
      </c>
      <c r="R568" s="2" t="inlineStr"/>
    </row>
    <row r="569" ht="15" customHeight="1">
      <c r="A569" t="inlineStr">
        <is>
          <t>A 53558-2023</t>
        </is>
      </c>
      <c r="B569" s="1" t="n">
        <v>45230.47266203703</v>
      </c>
      <c r="C569" s="1" t="n">
        <v>46131</v>
      </c>
      <c r="D569" t="inlineStr">
        <is>
          <t>ÖREBRO LÄN</t>
        </is>
      </c>
      <c r="E569" t="inlineStr">
        <is>
          <t>ÖREBRO</t>
        </is>
      </c>
      <c r="F569" t="inlineStr">
        <is>
          <t>Övriga Aktiebolag</t>
        </is>
      </c>
      <c r="G569" t="n">
        <v>4.7</v>
      </c>
      <c r="H569" t="n">
        <v>0</v>
      </c>
      <c r="I569" t="n">
        <v>0</v>
      </c>
      <c r="J569" t="n">
        <v>0</v>
      </c>
      <c r="K569" t="n">
        <v>0</v>
      </c>
      <c r="L569" t="n">
        <v>0</v>
      </c>
      <c r="M569" t="n">
        <v>0</v>
      </c>
      <c r="N569" t="n">
        <v>0</v>
      </c>
      <c r="O569" t="n">
        <v>0</v>
      </c>
      <c r="P569" t="n">
        <v>0</v>
      </c>
      <c r="Q569" t="n">
        <v>0</v>
      </c>
      <c r="R569" s="2" t="inlineStr"/>
    </row>
    <row r="570" ht="15" customHeight="1">
      <c r="A570" t="inlineStr">
        <is>
          <t>A 35843-2022</t>
        </is>
      </c>
      <c r="B570" s="1" t="n">
        <v>44802</v>
      </c>
      <c r="C570" s="1" t="n">
        <v>46131</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51373-2023</t>
        </is>
      </c>
      <c r="B571" s="1" t="n">
        <v>45213</v>
      </c>
      <c r="C571" s="1" t="n">
        <v>46131</v>
      </c>
      <c r="D571" t="inlineStr">
        <is>
          <t>ÖREBRO LÄN</t>
        </is>
      </c>
      <c r="E571" t="inlineStr">
        <is>
          <t>ÖREBRO</t>
        </is>
      </c>
      <c r="G571" t="n">
        <v>5.9</v>
      </c>
      <c r="H571" t="n">
        <v>0</v>
      </c>
      <c r="I571" t="n">
        <v>0</v>
      </c>
      <c r="J571" t="n">
        <v>0</v>
      </c>
      <c r="K571" t="n">
        <v>0</v>
      </c>
      <c r="L571" t="n">
        <v>0</v>
      </c>
      <c r="M571" t="n">
        <v>0</v>
      </c>
      <c r="N571" t="n">
        <v>0</v>
      </c>
      <c r="O571" t="n">
        <v>0</v>
      </c>
      <c r="P571" t="n">
        <v>0</v>
      </c>
      <c r="Q571" t="n">
        <v>0</v>
      </c>
      <c r="R571" s="2" t="inlineStr"/>
    </row>
    <row r="572" ht="15" customHeight="1">
      <c r="A572" t="inlineStr">
        <is>
          <t>A 1257-2022</t>
        </is>
      </c>
      <c r="B572" s="1" t="n">
        <v>44572</v>
      </c>
      <c r="C572" s="1" t="n">
        <v>46131</v>
      </c>
      <c r="D572" t="inlineStr">
        <is>
          <t>ÖREBRO LÄN</t>
        </is>
      </c>
      <c r="E572" t="inlineStr">
        <is>
          <t>ÖREBRO</t>
        </is>
      </c>
      <c r="G572" t="n">
        <v>1.4</v>
      </c>
      <c r="H572" t="n">
        <v>0</v>
      </c>
      <c r="I572" t="n">
        <v>0</v>
      </c>
      <c r="J572" t="n">
        <v>0</v>
      </c>
      <c r="K572" t="n">
        <v>0</v>
      </c>
      <c r="L572" t="n">
        <v>0</v>
      </c>
      <c r="M572" t="n">
        <v>0</v>
      </c>
      <c r="N572" t="n">
        <v>0</v>
      </c>
      <c r="O572" t="n">
        <v>0</v>
      </c>
      <c r="P572" t="n">
        <v>0</v>
      </c>
      <c r="Q572" t="n">
        <v>0</v>
      </c>
      <c r="R572" s="2" t="inlineStr"/>
    </row>
    <row r="573" ht="15" customHeight="1">
      <c r="A573" t="inlineStr">
        <is>
          <t>A 40656-2023</t>
        </is>
      </c>
      <c r="B573" s="1" t="n">
        <v>45170</v>
      </c>
      <c r="C573" s="1" t="n">
        <v>46131</v>
      </c>
      <c r="D573" t="inlineStr">
        <is>
          <t>ÖREBRO LÄN</t>
        </is>
      </c>
      <c r="E573" t="inlineStr">
        <is>
          <t>ÖREBRO</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22677-2022</t>
        </is>
      </c>
      <c r="B574" s="1" t="n">
        <v>44714</v>
      </c>
      <c r="C574" s="1" t="n">
        <v>46131</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row>
    <row r="575" ht="15" customHeight="1">
      <c r="A575" t="inlineStr">
        <is>
          <t>A 71288-2021</t>
        </is>
      </c>
      <c r="B575" s="1" t="n">
        <v>44539.62481481482</v>
      </c>
      <c r="C575" s="1" t="n">
        <v>46131</v>
      </c>
      <c r="D575" t="inlineStr">
        <is>
          <t>ÖREBRO LÄN</t>
        </is>
      </c>
      <c r="E575" t="inlineStr">
        <is>
          <t>ÖREBRO</t>
        </is>
      </c>
      <c r="G575" t="n">
        <v>3.9</v>
      </c>
      <c r="H575" t="n">
        <v>0</v>
      </c>
      <c r="I575" t="n">
        <v>0</v>
      </c>
      <c r="J575" t="n">
        <v>0</v>
      </c>
      <c r="K575" t="n">
        <v>0</v>
      </c>
      <c r="L575" t="n">
        <v>0</v>
      </c>
      <c r="M575" t="n">
        <v>0</v>
      </c>
      <c r="N575" t="n">
        <v>0</v>
      </c>
      <c r="O575" t="n">
        <v>0</v>
      </c>
      <c r="P575" t="n">
        <v>0</v>
      </c>
      <c r="Q575" t="n">
        <v>0</v>
      </c>
      <c r="R575" s="2" t="inlineStr"/>
    </row>
    <row r="576" ht="15" customHeight="1">
      <c r="A576" t="inlineStr">
        <is>
          <t>A 10830-2023</t>
        </is>
      </c>
      <c r="B576" s="1" t="n">
        <v>44990.89752314815</v>
      </c>
      <c r="C576" s="1" t="n">
        <v>46131</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7692-2023</t>
        </is>
      </c>
      <c r="B577" s="1" t="n">
        <v>44972.7762962963</v>
      </c>
      <c r="C577" s="1" t="n">
        <v>46131</v>
      </c>
      <c r="D577" t="inlineStr">
        <is>
          <t>ÖREBRO LÄN</t>
        </is>
      </c>
      <c r="E577" t="inlineStr">
        <is>
          <t>ÖREBRO</t>
        </is>
      </c>
      <c r="G577" t="n">
        <v>1.5</v>
      </c>
      <c r="H577" t="n">
        <v>0</v>
      </c>
      <c r="I577" t="n">
        <v>0</v>
      </c>
      <c r="J577" t="n">
        <v>0</v>
      </c>
      <c r="K577" t="n">
        <v>0</v>
      </c>
      <c r="L577" t="n">
        <v>0</v>
      </c>
      <c r="M577" t="n">
        <v>0</v>
      </c>
      <c r="N577" t="n">
        <v>0</v>
      </c>
      <c r="O577" t="n">
        <v>0</v>
      </c>
      <c r="P577" t="n">
        <v>0</v>
      </c>
      <c r="Q577" t="n">
        <v>0</v>
      </c>
      <c r="R577" s="2" t="inlineStr"/>
    </row>
    <row r="578" ht="15" customHeight="1">
      <c r="A578" t="inlineStr">
        <is>
          <t>A 31240-2023</t>
        </is>
      </c>
      <c r="B578" s="1" t="n">
        <v>45114</v>
      </c>
      <c r="C578" s="1" t="n">
        <v>46131</v>
      </c>
      <c r="D578" t="inlineStr">
        <is>
          <t>ÖREBRO LÄN</t>
        </is>
      </c>
      <c r="E578" t="inlineStr">
        <is>
          <t>ÖREBRO</t>
        </is>
      </c>
      <c r="F578" t="inlineStr">
        <is>
          <t>Allmännings- och besparingsskogar</t>
        </is>
      </c>
      <c r="G578" t="n">
        <v>6.2</v>
      </c>
      <c r="H578" t="n">
        <v>0</v>
      </c>
      <c r="I578" t="n">
        <v>0</v>
      </c>
      <c r="J578" t="n">
        <v>0</v>
      </c>
      <c r="K578" t="n">
        <v>0</v>
      </c>
      <c r="L578" t="n">
        <v>0</v>
      </c>
      <c r="M578" t="n">
        <v>0</v>
      </c>
      <c r="N578" t="n">
        <v>0</v>
      </c>
      <c r="O578" t="n">
        <v>0</v>
      </c>
      <c r="P578" t="n">
        <v>0</v>
      </c>
      <c r="Q578" t="n">
        <v>0</v>
      </c>
      <c r="R578" s="2" t="inlineStr"/>
    </row>
    <row r="579" ht="15" customHeight="1">
      <c r="A579" t="inlineStr">
        <is>
          <t>A 50026-2024</t>
        </is>
      </c>
      <c r="B579" s="1" t="n">
        <v>45599.60541666667</v>
      </c>
      <c r="C579" s="1" t="n">
        <v>46131</v>
      </c>
      <c r="D579" t="inlineStr">
        <is>
          <t>ÖREBRO LÄN</t>
        </is>
      </c>
      <c r="E579" t="inlineStr">
        <is>
          <t>ÖREBRO</t>
        </is>
      </c>
      <c r="G579" t="n">
        <v>2.2</v>
      </c>
      <c r="H579" t="n">
        <v>0</v>
      </c>
      <c r="I579" t="n">
        <v>0</v>
      </c>
      <c r="J579" t="n">
        <v>0</v>
      </c>
      <c r="K579" t="n">
        <v>0</v>
      </c>
      <c r="L579" t="n">
        <v>0</v>
      </c>
      <c r="M579" t="n">
        <v>0</v>
      </c>
      <c r="N579" t="n">
        <v>0</v>
      </c>
      <c r="O579" t="n">
        <v>0</v>
      </c>
      <c r="P579" t="n">
        <v>0</v>
      </c>
      <c r="Q579" t="n">
        <v>0</v>
      </c>
      <c r="R579" s="2" t="inlineStr"/>
    </row>
    <row r="580" ht="15" customHeight="1">
      <c r="A580" t="inlineStr">
        <is>
          <t>A 18449-2023</t>
        </is>
      </c>
      <c r="B580" s="1" t="n">
        <v>45042.5203125</v>
      </c>
      <c r="C580" s="1" t="n">
        <v>46131</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16936-2023</t>
        </is>
      </c>
      <c r="B581" s="1" t="n">
        <v>45033.63005787037</v>
      </c>
      <c r="C581" s="1" t="n">
        <v>46131</v>
      </c>
      <c r="D581" t="inlineStr">
        <is>
          <t>ÖREBRO LÄN</t>
        </is>
      </c>
      <c r="E581" t="inlineStr">
        <is>
          <t>ÖREBRO</t>
        </is>
      </c>
      <c r="G581" t="n">
        <v>2</v>
      </c>
      <c r="H581" t="n">
        <v>0</v>
      </c>
      <c r="I581" t="n">
        <v>0</v>
      </c>
      <c r="J581" t="n">
        <v>0</v>
      </c>
      <c r="K581" t="n">
        <v>0</v>
      </c>
      <c r="L581" t="n">
        <v>0</v>
      </c>
      <c r="M581" t="n">
        <v>0</v>
      </c>
      <c r="N581" t="n">
        <v>0</v>
      </c>
      <c r="O581" t="n">
        <v>0</v>
      </c>
      <c r="P581" t="n">
        <v>0</v>
      </c>
      <c r="Q581" t="n">
        <v>0</v>
      </c>
      <c r="R581" s="2" t="inlineStr"/>
    </row>
    <row r="582" ht="15" customHeight="1">
      <c r="A582" t="inlineStr">
        <is>
          <t>A 58145-2024</t>
        </is>
      </c>
      <c r="B582" s="1" t="n">
        <v>45632.43230324074</v>
      </c>
      <c r="C582" s="1" t="n">
        <v>46131</v>
      </c>
      <c r="D582" t="inlineStr">
        <is>
          <t>ÖREBRO LÄN</t>
        </is>
      </c>
      <c r="E582" t="inlineStr">
        <is>
          <t>ÖREBRO</t>
        </is>
      </c>
      <c r="G582" t="n">
        <v>2.1</v>
      </c>
      <c r="H582" t="n">
        <v>0</v>
      </c>
      <c r="I582" t="n">
        <v>0</v>
      </c>
      <c r="J582" t="n">
        <v>0</v>
      </c>
      <c r="K582" t="n">
        <v>0</v>
      </c>
      <c r="L582" t="n">
        <v>0</v>
      </c>
      <c r="M582" t="n">
        <v>0</v>
      </c>
      <c r="N582" t="n">
        <v>0</v>
      </c>
      <c r="O582" t="n">
        <v>0</v>
      </c>
      <c r="P582" t="n">
        <v>0</v>
      </c>
      <c r="Q582" t="n">
        <v>0</v>
      </c>
      <c r="R582" s="2" t="inlineStr"/>
    </row>
    <row r="583" ht="15" customHeight="1">
      <c r="A583" t="inlineStr">
        <is>
          <t>A 64730-2023</t>
        </is>
      </c>
      <c r="B583" s="1" t="n">
        <v>45281</v>
      </c>
      <c r="C583" s="1" t="n">
        <v>46131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44284-2022</t>
        </is>
      </c>
      <c r="B584" s="1" t="n">
        <v>44839.59194444444</v>
      </c>
      <c r="C584" s="1" t="n">
        <v>46131</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14544-2023</t>
        </is>
      </c>
      <c r="B585" s="1" t="n">
        <v>45013</v>
      </c>
      <c r="C585" s="1" t="n">
        <v>46131</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15682-2023</t>
        </is>
      </c>
      <c r="B586" s="1" t="n">
        <v>45021</v>
      </c>
      <c r="C586" s="1" t="n">
        <v>46131</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4416-2023</t>
        </is>
      </c>
      <c r="B587" s="1" t="n">
        <v>44956</v>
      </c>
      <c r="C587" s="1" t="n">
        <v>46131</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49062-2023</t>
        </is>
      </c>
      <c r="B588" s="1" t="n">
        <v>45210.35119212963</v>
      </c>
      <c r="C588" s="1" t="n">
        <v>46131</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32321-2023</t>
        </is>
      </c>
      <c r="B589" s="1" t="n">
        <v>45120</v>
      </c>
      <c r="C589" s="1" t="n">
        <v>46131</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2095-2025</t>
        </is>
      </c>
      <c r="B590" s="1" t="n">
        <v>45672</v>
      </c>
      <c r="C590" s="1" t="n">
        <v>46131</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71275-2021</t>
        </is>
      </c>
      <c r="B591" s="1" t="n">
        <v>44539</v>
      </c>
      <c r="C591" s="1" t="n">
        <v>46131</v>
      </c>
      <c r="D591" t="inlineStr">
        <is>
          <t>ÖREBRO LÄN</t>
        </is>
      </c>
      <c r="E591" t="inlineStr">
        <is>
          <t>ÖREBRO</t>
        </is>
      </c>
      <c r="G591" t="n">
        <v>0.9</v>
      </c>
      <c r="H591" t="n">
        <v>0</v>
      </c>
      <c r="I591" t="n">
        <v>0</v>
      </c>
      <c r="J591" t="n">
        <v>0</v>
      </c>
      <c r="K591" t="n">
        <v>0</v>
      </c>
      <c r="L591" t="n">
        <v>0</v>
      </c>
      <c r="M591" t="n">
        <v>0</v>
      </c>
      <c r="N591" t="n">
        <v>0</v>
      </c>
      <c r="O591" t="n">
        <v>0</v>
      </c>
      <c r="P591" t="n">
        <v>0</v>
      </c>
      <c r="Q591" t="n">
        <v>0</v>
      </c>
      <c r="R591" s="2" t="inlineStr"/>
    </row>
    <row r="592" ht="15" customHeight="1">
      <c r="A592" t="inlineStr">
        <is>
          <t>A 58608-2024</t>
        </is>
      </c>
      <c r="B592" s="1" t="n">
        <v>45635.55185185185</v>
      </c>
      <c r="C592" s="1" t="n">
        <v>46131</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46131</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2069-2025</t>
        </is>
      </c>
      <c r="B594" s="1" t="n">
        <v>45672.56614583333</v>
      </c>
      <c r="C594" s="1" t="n">
        <v>46131</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852-2025</t>
        </is>
      </c>
      <c r="B595" s="1" t="n">
        <v>45665.60148148148</v>
      </c>
      <c r="C595" s="1" t="n">
        <v>46131</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46131</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52441-2024</t>
        </is>
      </c>
      <c r="B597" s="1" t="n">
        <v>45609.48451388889</v>
      </c>
      <c r="C597" s="1" t="n">
        <v>46131</v>
      </c>
      <c r="D597" t="inlineStr">
        <is>
          <t>ÖREBRO LÄN</t>
        </is>
      </c>
      <c r="E597" t="inlineStr">
        <is>
          <t>ÖREBRO</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52499-2024</t>
        </is>
      </c>
      <c r="B598" s="1" t="n">
        <v>45609.58422453704</v>
      </c>
      <c r="C598" s="1" t="n">
        <v>46131</v>
      </c>
      <c r="D598" t="inlineStr">
        <is>
          <t>ÖREBRO LÄN</t>
        </is>
      </c>
      <c r="E598" t="inlineStr">
        <is>
          <t>ÖREBRO</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8008-2024</t>
        </is>
      </c>
      <c r="B599" s="1" t="n">
        <v>45350.6794212963</v>
      </c>
      <c r="C599" s="1" t="n">
        <v>46131</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18181-2024</t>
        </is>
      </c>
      <c r="B600" s="1" t="n">
        <v>45420.64561342593</v>
      </c>
      <c r="C600" s="1" t="n">
        <v>46131</v>
      </c>
      <c r="D600" t="inlineStr">
        <is>
          <t>ÖREBRO LÄN</t>
        </is>
      </c>
      <c r="E600" t="inlineStr">
        <is>
          <t>ÖREBRO</t>
        </is>
      </c>
      <c r="G600" t="n">
        <v>7.6</v>
      </c>
      <c r="H600" t="n">
        <v>0</v>
      </c>
      <c r="I600" t="n">
        <v>0</v>
      </c>
      <c r="J600" t="n">
        <v>0</v>
      </c>
      <c r="K600" t="n">
        <v>0</v>
      </c>
      <c r="L600" t="n">
        <v>0</v>
      </c>
      <c r="M600" t="n">
        <v>0</v>
      </c>
      <c r="N600" t="n">
        <v>0</v>
      </c>
      <c r="O600" t="n">
        <v>0</v>
      </c>
      <c r="P600" t="n">
        <v>0</v>
      </c>
      <c r="Q600" t="n">
        <v>0</v>
      </c>
      <c r="R600" s="2" t="inlineStr"/>
    </row>
    <row r="601" ht="15" customHeight="1">
      <c r="A601" t="inlineStr">
        <is>
          <t>A 38415-2023</t>
        </is>
      </c>
      <c r="B601" s="1" t="n">
        <v>45162.35502314815</v>
      </c>
      <c r="C601" s="1" t="n">
        <v>46131</v>
      </c>
      <c r="D601" t="inlineStr">
        <is>
          <t>ÖREBRO LÄN</t>
        </is>
      </c>
      <c r="E601" t="inlineStr">
        <is>
          <t>ÖREBRO</t>
        </is>
      </c>
      <c r="G601" t="n">
        <v>2.6</v>
      </c>
      <c r="H601" t="n">
        <v>0</v>
      </c>
      <c r="I601" t="n">
        <v>0</v>
      </c>
      <c r="J601" t="n">
        <v>0</v>
      </c>
      <c r="K601" t="n">
        <v>0</v>
      </c>
      <c r="L601" t="n">
        <v>0</v>
      </c>
      <c r="M601" t="n">
        <v>0</v>
      </c>
      <c r="N601" t="n">
        <v>0</v>
      </c>
      <c r="O601" t="n">
        <v>0</v>
      </c>
      <c r="P601" t="n">
        <v>0</v>
      </c>
      <c r="Q601" t="n">
        <v>0</v>
      </c>
      <c r="R601" s="2" t="inlineStr"/>
    </row>
    <row r="602" ht="15" customHeight="1">
      <c r="A602" t="inlineStr">
        <is>
          <t>A 16374-2022</t>
        </is>
      </c>
      <c r="B602" s="1" t="n">
        <v>44671</v>
      </c>
      <c r="C602" s="1" t="n">
        <v>46131</v>
      </c>
      <c r="D602" t="inlineStr">
        <is>
          <t>ÖREBRO LÄN</t>
        </is>
      </c>
      <c r="E602" t="inlineStr">
        <is>
          <t>ÖREBRO</t>
        </is>
      </c>
      <c r="F602" t="inlineStr">
        <is>
          <t>Övriga Aktiebolag</t>
        </is>
      </c>
      <c r="G602" t="n">
        <v>30.3</v>
      </c>
      <c r="H602" t="n">
        <v>0</v>
      </c>
      <c r="I602" t="n">
        <v>0</v>
      </c>
      <c r="J602" t="n">
        <v>0</v>
      </c>
      <c r="K602" t="n">
        <v>0</v>
      </c>
      <c r="L602" t="n">
        <v>0</v>
      </c>
      <c r="M602" t="n">
        <v>0</v>
      </c>
      <c r="N602" t="n">
        <v>0</v>
      </c>
      <c r="O602" t="n">
        <v>0</v>
      </c>
      <c r="P602" t="n">
        <v>0</v>
      </c>
      <c r="Q602" t="n">
        <v>0</v>
      </c>
      <c r="R602" s="2" t="inlineStr"/>
    </row>
    <row r="603" ht="15" customHeight="1">
      <c r="A603" t="inlineStr">
        <is>
          <t>A 9704-2023</t>
        </is>
      </c>
      <c r="B603" s="1" t="n">
        <v>44984</v>
      </c>
      <c r="C603" s="1" t="n">
        <v>46131</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19180-2025</t>
        </is>
      </c>
      <c r="B604" s="1" t="n">
        <v>45769.40133101852</v>
      </c>
      <c r="C604" s="1" t="n">
        <v>46131</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46052-2024</t>
        </is>
      </c>
      <c r="B605" s="1" t="n">
        <v>45580.89116898148</v>
      </c>
      <c r="C605" s="1" t="n">
        <v>46131</v>
      </c>
      <c r="D605" t="inlineStr">
        <is>
          <t>ÖREBRO LÄN</t>
        </is>
      </c>
      <c r="E605" t="inlineStr">
        <is>
          <t>ÖREBRO</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58527-2024</t>
        </is>
      </c>
      <c r="B606" s="1" t="n">
        <v>45635.44388888889</v>
      </c>
      <c r="C606" s="1" t="n">
        <v>46131</v>
      </c>
      <c r="D606" t="inlineStr">
        <is>
          <t>ÖREBRO LÄN</t>
        </is>
      </c>
      <c r="E606" t="inlineStr">
        <is>
          <t>ÖREBRO</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37022-2024</t>
        </is>
      </c>
      <c r="B607" s="1" t="n">
        <v>45539.3822337963</v>
      </c>
      <c r="C607" s="1" t="n">
        <v>46131</v>
      </c>
      <c r="D607" t="inlineStr">
        <is>
          <t>ÖREBRO LÄN</t>
        </is>
      </c>
      <c r="E607" t="inlineStr">
        <is>
          <t>ÖREBRO</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37024-2024</t>
        </is>
      </c>
      <c r="B608" s="1" t="n">
        <v>45539.38329861111</v>
      </c>
      <c r="C608" s="1" t="n">
        <v>46131</v>
      </c>
      <c r="D608" t="inlineStr">
        <is>
          <t>ÖREBRO LÄN</t>
        </is>
      </c>
      <c r="E608" t="inlineStr">
        <is>
          <t>ÖREBRO</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38075-2022</t>
        </is>
      </c>
      <c r="B609" s="1" t="n">
        <v>44811</v>
      </c>
      <c r="C609" s="1" t="n">
        <v>46131</v>
      </c>
      <c r="D609" t="inlineStr">
        <is>
          <t>ÖREBRO LÄN</t>
        </is>
      </c>
      <c r="E609" t="inlineStr">
        <is>
          <t>ÖREBRO</t>
        </is>
      </c>
      <c r="G609" t="n">
        <v>0.2</v>
      </c>
      <c r="H609" t="n">
        <v>0</v>
      </c>
      <c r="I609" t="n">
        <v>0</v>
      </c>
      <c r="J609" t="n">
        <v>0</v>
      </c>
      <c r="K609" t="n">
        <v>0</v>
      </c>
      <c r="L609" t="n">
        <v>0</v>
      </c>
      <c r="M609" t="n">
        <v>0</v>
      </c>
      <c r="N609" t="n">
        <v>0</v>
      </c>
      <c r="O609" t="n">
        <v>0</v>
      </c>
      <c r="P609" t="n">
        <v>0</v>
      </c>
      <c r="Q609" t="n">
        <v>0</v>
      </c>
      <c r="R609" s="2" t="inlineStr"/>
    </row>
    <row r="610" ht="15" customHeight="1">
      <c r="A610" t="inlineStr">
        <is>
          <t>A 11382-2023</t>
        </is>
      </c>
      <c r="B610" s="1" t="n">
        <v>44993.45635416666</v>
      </c>
      <c r="C610" s="1" t="n">
        <v>46131</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20121-2024</t>
        </is>
      </c>
      <c r="B611" s="1" t="n">
        <v>45434</v>
      </c>
      <c r="C611" s="1" t="n">
        <v>46131</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26117-2021</t>
        </is>
      </c>
      <c r="B612" s="1" t="n">
        <v>44345</v>
      </c>
      <c r="C612" s="1" t="n">
        <v>46131</v>
      </c>
      <c r="D612" t="inlineStr">
        <is>
          <t>ÖREBRO LÄN</t>
        </is>
      </c>
      <c r="E612" t="inlineStr">
        <is>
          <t>ÖREBRO</t>
        </is>
      </c>
      <c r="G612" t="n">
        <v>8.1</v>
      </c>
      <c r="H612" t="n">
        <v>0</v>
      </c>
      <c r="I612" t="n">
        <v>0</v>
      </c>
      <c r="J612" t="n">
        <v>0</v>
      </c>
      <c r="K612" t="n">
        <v>0</v>
      </c>
      <c r="L612" t="n">
        <v>0</v>
      </c>
      <c r="M612" t="n">
        <v>0</v>
      </c>
      <c r="N612" t="n">
        <v>0</v>
      </c>
      <c r="O612" t="n">
        <v>0</v>
      </c>
      <c r="P612" t="n">
        <v>0</v>
      </c>
      <c r="Q612" t="n">
        <v>0</v>
      </c>
      <c r="R612" s="2" t="inlineStr"/>
    </row>
    <row r="613" ht="15" customHeight="1">
      <c r="A613" t="inlineStr">
        <is>
          <t>A 55943-2024</t>
        </is>
      </c>
      <c r="B613" s="1" t="n">
        <v>45623.61278935185</v>
      </c>
      <c r="C613" s="1" t="n">
        <v>46131</v>
      </c>
      <c r="D613" t="inlineStr">
        <is>
          <t>ÖREBRO LÄN</t>
        </is>
      </c>
      <c r="E613" t="inlineStr">
        <is>
          <t>ÖREBRO</t>
        </is>
      </c>
      <c r="G613" t="n">
        <v>4.8</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46131</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13623-2024</t>
        </is>
      </c>
      <c r="B615" s="1" t="n">
        <v>45390.38626157407</v>
      </c>
      <c r="C615" s="1" t="n">
        <v>46131</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5330-2024</t>
        </is>
      </c>
      <c r="B616" s="1" t="n">
        <v>45331.4187962963</v>
      </c>
      <c r="C616" s="1" t="n">
        <v>46131</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6794-2025</t>
        </is>
      </c>
      <c r="B617" s="1" t="n">
        <v>45700.66429398148</v>
      </c>
      <c r="C617" s="1" t="n">
        <v>46131</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3-2024</t>
        </is>
      </c>
      <c r="B618" s="1" t="n">
        <v>45292</v>
      </c>
      <c r="C618" s="1" t="n">
        <v>46131</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5619-2023</t>
        </is>
      </c>
      <c r="B619" s="1" t="n">
        <v>44958</v>
      </c>
      <c r="C619" s="1" t="n">
        <v>46131</v>
      </c>
      <c r="D619" t="inlineStr">
        <is>
          <t>ÖREBRO LÄN</t>
        </is>
      </c>
      <c r="E619" t="inlineStr">
        <is>
          <t>ÖREBRO</t>
        </is>
      </c>
      <c r="G619" t="n">
        <v>27</v>
      </c>
      <c r="H619" t="n">
        <v>0</v>
      </c>
      <c r="I619" t="n">
        <v>0</v>
      </c>
      <c r="J619" t="n">
        <v>0</v>
      </c>
      <c r="K619" t="n">
        <v>0</v>
      </c>
      <c r="L619" t="n">
        <v>0</v>
      </c>
      <c r="M619" t="n">
        <v>0</v>
      </c>
      <c r="N619" t="n">
        <v>0</v>
      </c>
      <c r="O619" t="n">
        <v>0</v>
      </c>
      <c r="P619" t="n">
        <v>0</v>
      </c>
      <c r="Q619" t="n">
        <v>0</v>
      </c>
      <c r="R619" s="2" t="inlineStr"/>
    </row>
    <row r="620" ht="15" customHeight="1">
      <c r="A620" t="inlineStr">
        <is>
          <t>A 5578-2024</t>
        </is>
      </c>
      <c r="B620" s="1" t="n">
        <v>45334.49104166667</v>
      </c>
      <c r="C620" s="1" t="n">
        <v>46131</v>
      </c>
      <c r="D620" t="inlineStr">
        <is>
          <t>ÖREBRO LÄN</t>
        </is>
      </c>
      <c r="E620" t="inlineStr">
        <is>
          <t>ÖREBRO</t>
        </is>
      </c>
      <c r="G620" t="n">
        <v>2.4</v>
      </c>
      <c r="H620" t="n">
        <v>0</v>
      </c>
      <c r="I620" t="n">
        <v>0</v>
      </c>
      <c r="J620" t="n">
        <v>0</v>
      </c>
      <c r="K620" t="n">
        <v>0</v>
      </c>
      <c r="L620" t="n">
        <v>0</v>
      </c>
      <c r="M620" t="n">
        <v>0</v>
      </c>
      <c r="N620" t="n">
        <v>0</v>
      </c>
      <c r="O620" t="n">
        <v>0</v>
      </c>
      <c r="P620" t="n">
        <v>0</v>
      </c>
      <c r="Q620" t="n">
        <v>0</v>
      </c>
      <c r="R620" s="2" t="inlineStr"/>
    </row>
    <row r="621" ht="15" customHeight="1">
      <c r="A621" t="inlineStr">
        <is>
          <t>A 37786-2024</t>
        </is>
      </c>
      <c r="B621" s="1" t="n">
        <v>45542.82987268519</v>
      </c>
      <c r="C621" s="1" t="n">
        <v>46131</v>
      </c>
      <c r="D621" t="inlineStr">
        <is>
          <t>ÖREBRO LÄN</t>
        </is>
      </c>
      <c r="E621" t="inlineStr">
        <is>
          <t>ÖREBRO</t>
        </is>
      </c>
      <c r="G621" t="n">
        <v>3.1</v>
      </c>
      <c r="H621" t="n">
        <v>0</v>
      </c>
      <c r="I621" t="n">
        <v>0</v>
      </c>
      <c r="J621" t="n">
        <v>0</v>
      </c>
      <c r="K621" t="n">
        <v>0</v>
      </c>
      <c r="L621" t="n">
        <v>0</v>
      </c>
      <c r="M621" t="n">
        <v>0</v>
      </c>
      <c r="N621" t="n">
        <v>0</v>
      </c>
      <c r="O621" t="n">
        <v>0</v>
      </c>
      <c r="P621" t="n">
        <v>0</v>
      </c>
      <c r="Q621" t="n">
        <v>0</v>
      </c>
      <c r="R621" s="2" t="inlineStr"/>
    </row>
    <row r="622" ht="15" customHeight="1">
      <c r="A622" t="inlineStr">
        <is>
          <t>A 58615-2024</t>
        </is>
      </c>
      <c r="B622" s="1" t="n">
        <v>45635.5587037037</v>
      </c>
      <c r="C622" s="1" t="n">
        <v>46131</v>
      </c>
      <c r="D622" t="inlineStr">
        <is>
          <t>ÖREBRO LÄN</t>
        </is>
      </c>
      <c r="E622" t="inlineStr">
        <is>
          <t>ÖREBRO</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45517-2023</t>
        </is>
      </c>
      <c r="B623" s="1" t="n">
        <v>45194.49594907407</v>
      </c>
      <c r="C623" s="1" t="n">
        <v>46131</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3652-2022</t>
        </is>
      </c>
      <c r="B624" s="1" t="n">
        <v>44586.46921296296</v>
      </c>
      <c r="C624" s="1" t="n">
        <v>46131</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25407-2021</t>
        </is>
      </c>
      <c r="B625" s="1" t="n">
        <v>44342</v>
      </c>
      <c r="C625" s="1" t="n">
        <v>46131</v>
      </c>
      <c r="D625" t="inlineStr">
        <is>
          <t>ÖREBRO LÄN</t>
        </is>
      </c>
      <c r="E625" t="inlineStr">
        <is>
          <t>ÖREBRO</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44998.64402777778</v>
      </c>
      <c r="C626" s="1" t="n">
        <v>46131</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7134-2025</t>
        </is>
      </c>
      <c r="B627" s="1" t="n">
        <v>45702</v>
      </c>
      <c r="C627" s="1" t="n">
        <v>46131</v>
      </c>
      <c r="D627" t="inlineStr">
        <is>
          <t>ÖREBRO LÄN</t>
        </is>
      </c>
      <c r="E627" t="inlineStr">
        <is>
          <t>ÖREBRO</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60506-2024</t>
        </is>
      </c>
      <c r="B628" s="1" t="n">
        <v>45643.66630787037</v>
      </c>
      <c r="C628" s="1" t="n">
        <v>46131</v>
      </c>
      <c r="D628" t="inlineStr">
        <is>
          <t>ÖREBRO LÄN</t>
        </is>
      </c>
      <c r="E628" t="inlineStr">
        <is>
          <t>ÖREBRO</t>
        </is>
      </c>
      <c r="G628" t="n">
        <v>5.8</v>
      </c>
      <c r="H628" t="n">
        <v>0</v>
      </c>
      <c r="I628" t="n">
        <v>0</v>
      </c>
      <c r="J628" t="n">
        <v>0</v>
      </c>
      <c r="K628" t="n">
        <v>0</v>
      </c>
      <c r="L628" t="n">
        <v>0</v>
      </c>
      <c r="M628" t="n">
        <v>0</v>
      </c>
      <c r="N628" t="n">
        <v>0</v>
      </c>
      <c r="O628" t="n">
        <v>0</v>
      </c>
      <c r="P628" t="n">
        <v>0</v>
      </c>
      <c r="Q628" t="n">
        <v>0</v>
      </c>
      <c r="R628" s="2" t="inlineStr"/>
    </row>
    <row r="629" ht="15" customHeight="1">
      <c r="A629" t="inlineStr">
        <is>
          <t>A 29978-2024</t>
        </is>
      </c>
      <c r="B629" s="1" t="n">
        <v>45488.48340277778</v>
      </c>
      <c r="C629" s="1" t="n">
        <v>46131</v>
      </c>
      <c r="D629" t="inlineStr">
        <is>
          <t>ÖREBRO LÄN</t>
        </is>
      </c>
      <c r="E629" t="inlineStr">
        <is>
          <t>ÖREBRO</t>
        </is>
      </c>
      <c r="G629" t="n">
        <v>1.8</v>
      </c>
      <c r="H629" t="n">
        <v>0</v>
      </c>
      <c r="I629" t="n">
        <v>0</v>
      </c>
      <c r="J629" t="n">
        <v>0</v>
      </c>
      <c r="K629" t="n">
        <v>0</v>
      </c>
      <c r="L629" t="n">
        <v>0</v>
      </c>
      <c r="M629" t="n">
        <v>0</v>
      </c>
      <c r="N629" t="n">
        <v>0</v>
      </c>
      <c r="O629" t="n">
        <v>0</v>
      </c>
      <c r="P629" t="n">
        <v>0</v>
      </c>
      <c r="Q629" t="n">
        <v>0</v>
      </c>
      <c r="R629" s="2" t="inlineStr"/>
    </row>
    <row r="630" ht="15" customHeight="1">
      <c r="A630" t="inlineStr">
        <is>
          <t>A 30903-2024</t>
        </is>
      </c>
      <c r="B630" s="1" t="n">
        <v>45498.49946759259</v>
      </c>
      <c r="C630" s="1" t="n">
        <v>46131</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58611-2024</t>
        </is>
      </c>
      <c r="B631" s="1" t="n">
        <v>45635.55555555555</v>
      </c>
      <c r="C631" s="1" t="n">
        <v>46131</v>
      </c>
      <c r="D631" t="inlineStr">
        <is>
          <t>ÖREBRO LÄN</t>
        </is>
      </c>
      <c r="E631" t="inlineStr">
        <is>
          <t>ÖREBRO</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20146-2024</t>
        </is>
      </c>
      <c r="B632" s="1" t="n">
        <v>45434.57641203704</v>
      </c>
      <c r="C632" s="1" t="n">
        <v>46131</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53143-2023</t>
        </is>
      </c>
      <c r="B633" s="1" t="n">
        <v>45229</v>
      </c>
      <c r="C633" s="1" t="n">
        <v>46131</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8656-2025</t>
        </is>
      </c>
      <c r="B634" s="1" t="n">
        <v>45712.38268518518</v>
      </c>
      <c r="C634" s="1" t="n">
        <v>46131</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5762-2025</t>
        </is>
      </c>
      <c r="B635" s="1" t="n">
        <v>45694.57181712963</v>
      </c>
      <c r="C635" s="1" t="n">
        <v>46131</v>
      </c>
      <c r="D635" t="inlineStr">
        <is>
          <t>ÖREBRO LÄN</t>
        </is>
      </c>
      <c r="E635" t="inlineStr">
        <is>
          <t>ÖREBRO</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62794-2021</t>
        </is>
      </c>
      <c r="B636" s="1" t="n">
        <v>44504</v>
      </c>
      <c r="C636" s="1" t="n">
        <v>46131</v>
      </c>
      <c r="D636" t="inlineStr">
        <is>
          <t>ÖREBRO LÄN</t>
        </is>
      </c>
      <c r="E636" t="inlineStr">
        <is>
          <t>ÖREBRO</t>
        </is>
      </c>
      <c r="G636" t="n">
        <v>3.3</v>
      </c>
      <c r="H636" t="n">
        <v>0</v>
      </c>
      <c r="I636" t="n">
        <v>0</v>
      </c>
      <c r="J636" t="n">
        <v>0</v>
      </c>
      <c r="K636" t="n">
        <v>0</v>
      </c>
      <c r="L636" t="n">
        <v>0</v>
      </c>
      <c r="M636" t="n">
        <v>0</v>
      </c>
      <c r="N636" t="n">
        <v>0</v>
      </c>
      <c r="O636" t="n">
        <v>0</v>
      </c>
      <c r="P636" t="n">
        <v>0</v>
      </c>
      <c r="Q636" t="n">
        <v>0</v>
      </c>
      <c r="R636" s="2" t="inlineStr"/>
    </row>
    <row r="637" ht="15" customHeight="1">
      <c r="A637" t="inlineStr">
        <is>
          <t>A 52612-2024</t>
        </is>
      </c>
      <c r="B637" s="1" t="n">
        <v>45609</v>
      </c>
      <c r="C637" s="1" t="n">
        <v>46131</v>
      </c>
      <c r="D637" t="inlineStr">
        <is>
          <t>ÖREBRO LÄN</t>
        </is>
      </c>
      <c r="E637" t="inlineStr">
        <is>
          <t>ÖREBRO</t>
        </is>
      </c>
      <c r="F637" t="inlineStr">
        <is>
          <t>Kommuner</t>
        </is>
      </c>
      <c r="G637" t="n">
        <v>5.5</v>
      </c>
      <c r="H637" t="n">
        <v>0</v>
      </c>
      <c r="I637" t="n">
        <v>0</v>
      </c>
      <c r="J637" t="n">
        <v>0</v>
      </c>
      <c r="K637" t="n">
        <v>0</v>
      </c>
      <c r="L637" t="n">
        <v>0</v>
      </c>
      <c r="M637" t="n">
        <v>0</v>
      </c>
      <c r="N637" t="n">
        <v>0</v>
      </c>
      <c r="O637" t="n">
        <v>0</v>
      </c>
      <c r="P637" t="n">
        <v>0</v>
      </c>
      <c r="Q637" t="n">
        <v>0</v>
      </c>
      <c r="R637" s="2" t="inlineStr"/>
    </row>
    <row r="638" ht="15" customHeight="1">
      <c r="A638" t="inlineStr">
        <is>
          <t>A 5795-2024</t>
        </is>
      </c>
      <c r="B638" s="1" t="n">
        <v>45335.4531712963</v>
      </c>
      <c r="C638" s="1" t="n">
        <v>46131</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37771-2024</t>
        </is>
      </c>
      <c r="B639" s="1" t="n">
        <v>45542.31359953704</v>
      </c>
      <c r="C639" s="1" t="n">
        <v>46131</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15652-2025</t>
        </is>
      </c>
      <c r="B640" s="1" t="n">
        <v>45748</v>
      </c>
      <c r="C640" s="1" t="n">
        <v>46131</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2076-2025</t>
        </is>
      </c>
      <c r="B641" s="1" t="n">
        <v>45672</v>
      </c>
      <c r="C641" s="1" t="n">
        <v>46131</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14960-2025</t>
        </is>
      </c>
      <c r="B642" s="1" t="n">
        <v>45743.5853125</v>
      </c>
      <c r="C642" s="1" t="n">
        <v>46131</v>
      </c>
      <c r="D642" t="inlineStr">
        <is>
          <t>ÖREBRO LÄN</t>
        </is>
      </c>
      <c r="E642" t="inlineStr">
        <is>
          <t>ÖREBRO</t>
        </is>
      </c>
      <c r="G642" t="n">
        <v>1.6</v>
      </c>
      <c r="H642" t="n">
        <v>0</v>
      </c>
      <c r="I642" t="n">
        <v>0</v>
      </c>
      <c r="J642" t="n">
        <v>0</v>
      </c>
      <c r="K642" t="n">
        <v>0</v>
      </c>
      <c r="L642" t="n">
        <v>0</v>
      </c>
      <c r="M642" t="n">
        <v>0</v>
      </c>
      <c r="N642" t="n">
        <v>0</v>
      </c>
      <c r="O642" t="n">
        <v>0</v>
      </c>
      <c r="P642" t="n">
        <v>0</v>
      </c>
      <c r="Q642" t="n">
        <v>0</v>
      </c>
      <c r="R642" s="2" t="inlineStr"/>
    </row>
    <row r="643" ht="15" customHeight="1">
      <c r="A643" t="inlineStr">
        <is>
          <t>A 60022-2024</t>
        </is>
      </c>
      <c r="B643" s="1" t="n">
        <v>45642</v>
      </c>
      <c r="C643" s="1" t="n">
        <v>46131</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c r="A644" t="inlineStr">
        <is>
          <t>A 21097-2025</t>
        </is>
      </c>
      <c r="B644" s="1" t="n">
        <v>45777.63863425926</v>
      </c>
      <c r="C644" s="1" t="n">
        <v>46131</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2026-04-19T10:31:41Z</dcterms:created>
  <dcterms:modified xmlns:dcterms="http://purl.org/dc/terms/" xmlns:xsi="http://www.w3.org/2001/XMLSchema-instance" xsi:type="dcterms:W3CDTF">2026-04-19T10:31:42Z</dcterms:modified>
</cp:coreProperties>
</file>