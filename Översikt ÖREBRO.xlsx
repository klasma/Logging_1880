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45725</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45725</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45725</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45725</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45725</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45725</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45725</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45725</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45725</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45725</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45725</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45725</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45725</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45725</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45725</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45725</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45725</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45725</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45725</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45725</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45725</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45725</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45725</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31234-2023</t>
        </is>
      </c>
      <c r="B34" s="1" t="n">
        <v>45114</v>
      </c>
      <c r="C34" s="1" t="n">
        <v>45725</v>
      </c>
      <c r="D34" t="inlineStr">
        <is>
          <t>ÖREBRO LÄN</t>
        </is>
      </c>
      <c r="E34" t="inlineStr">
        <is>
          <t>ÖREBRO</t>
        </is>
      </c>
      <c r="F34" t="inlineStr">
        <is>
          <t>Allmännings- och besparingsskogar</t>
        </is>
      </c>
      <c r="G34" t="n">
        <v>30.5</v>
      </c>
      <c r="H34" t="n">
        <v>3</v>
      </c>
      <c r="I34" t="n">
        <v>0</v>
      </c>
      <c r="J34" t="n">
        <v>2</v>
      </c>
      <c r="K34" t="n">
        <v>0</v>
      </c>
      <c r="L34" t="n">
        <v>0</v>
      </c>
      <c r="M34" t="n">
        <v>0</v>
      </c>
      <c r="N34" t="n">
        <v>0</v>
      </c>
      <c r="O34" t="n">
        <v>2</v>
      </c>
      <c r="P34" t="n">
        <v>0</v>
      </c>
      <c r="Q34" t="n">
        <v>3</v>
      </c>
      <c r="R34" s="2" t="inlineStr">
        <is>
          <t>Havsörn
Spillkråka
Trana</t>
        </is>
      </c>
      <c r="S34">
        <f>HYPERLINK("https://klasma.github.io/Logging_1880/artfynd/A 31234-2023 artfynd.xlsx", "A 31234-2023")</f>
        <v/>
      </c>
      <c r="T34">
        <f>HYPERLINK("https://klasma.github.io/Logging_1880/kartor/A 31234-2023 karta.png", "A 31234-2023")</f>
        <v/>
      </c>
      <c r="V34">
        <f>HYPERLINK("https://klasma.github.io/Logging_1880/klagomål/A 31234-2023 FSC-klagomål.docx", "A 31234-2023")</f>
        <v/>
      </c>
      <c r="W34">
        <f>HYPERLINK("https://klasma.github.io/Logging_1880/klagomålsmail/A 31234-2023 FSC-klagomål mail.docx", "A 31234-2023")</f>
        <v/>
      </c>
      <c r="X34">
        <f>HYPERLINK("https://klasma.github.io/Logging_1880/tillsyn/A 31234-2023 tillsynsbegäran.docx", "A 31234-2023")</f>
        <v/>
      </c>
      <c r="Y34">
        <f>HYPERLINK("https://klasma.github.io/Logging_1880/tillsynsmail/A 31234-2023 tillsynsbegäran mail.docx", "A 31234-2023")</f>
        <v/>
      </c>
      <c r="Z34">
        <f>HYPERLINK("https://klasma.github.io/Logging_1880/fåglar/A 31234-2023 prioriterade fågelarter.docx", "A 31234-2023")</f>
        <v/>
      </c>
    </row>
    <row r="35" ht="15" customHeight="1">
      <c r="A35" t="inlineStr">
        <is>
          <t>A 50096-2023</t>
        </is>
      </c>
      <c r="B35" s="1" t="n">
        <v>45215</v>
      </c>
      <c r="C35" s="1" t="n">
        <v>45725</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45725</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45725</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45725</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45725</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45725</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45725</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45725</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45725</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45725</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45725</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45725</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45725</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32782-2022</t>
        </is>
      </c>
      <c r="B48" s="1" t="n">
        <v>44783</v>
      </c>
      <c r="C48" s="1" t="n">
        <v>45725</v>
      </c>
      <c r="D48" t="inlineStr">
        <is>
          <t>ÖREBRO LÄN</t>
        </is>
      </c>
      <c r="E48" t="inlineStr">
        <is>
          <t>ÖREBRO</t>
        </is>
      </c>
      <c r="G48" t="n">
        <v>2.8</v>
      </c>
      <c r="H48" t="n">
        <v>1</v>
      </c>
      <c r="I48" t="n">
        <v>0</v>
      </c>
      <c r="J48" t="n">
        <v>1</v>
      </c>
      <c r="K48" t="n">
        <v>0</v>
      </c>
      <c r="L48" t="n">
        <v>0</v>
      </c>
      <c r="M48" t="n">
        <v>0</v>
      </c>
      <c r="N48" t="n">
        <v>0</v>
      </c>
      <c r="O48" t="n">
        <v>1</v>
      </c>
      <c r="P48" t="n">
        <v>0</v>
      </c>
      <c r="Q48" t="n">
        <v>2</v>
      </c>
      <c r="R48" s="2" t="inlineStr">
        <is>
          <t>Loppstarr
Blåsippa</t>
        </is>
      </c>
      <c r="S48">
        <f>HYPERLINK("https://klasma.github.io/Logging_1880/artfynd/A 32782-2022 artfynd.xlsx", "A 32782-2022")</f>
        <v/>
      </c>
      <c r="T48">
        <f>HYPERLINK("https://klasma.github.io/Logging_1880/kartor/A 32782-2022 karta.png", "A 32782-2022")</f>
        <v/>
      </c>
      <c r="V48">
        <f>HYPERLINK("https://klasma.github.io/Logging_1880/klagomål/A 32782-2022 FSC-klagomål.docx", "A 32782-2022")</f>
        <v/>
      </c>
      <c r="W48">
        <f>HYPERLINK("https://klasma.github.io/Logging_1880/klagomålsmail/A 32782-2022 FSC-klagomål mail.docx", "A 32782-2022")</f>
        <v/>
      </c>
      <c r="X48">
        <f>HYPERLINK("https://klasma.github.io/Logging_1880/tillsyn/A 32782-2022 tillsynsbegäran.docx", "A 32782-2022")</f>
        <v/>
      </c>
      <c r="Y48">
        <f>HYPERLINK("https://klasma.github.io/Logging_1880/tillsynsmail/A 32782-2022 tillsynsbegäran mail.docx", "A 32782-2022")</f>
        <v/>
      </c>
    </row>
    <row r="49" ht="15" customHeight="1">
      <c r="A49" t="inlineStr">
        <is>
          <t>A 34578-2022</t>
        </is>
      </c>
      <c r="B49" s="1" t="n">
        <v>44795</v>
      </c>
      <c r="C49" s="1" t="n">
        <v>45725</v>
      </c>
      <c r="D49" t="inlineStr">
        <is>
          <t>ÖREBRO LÄN</t>
        </is>
      </c>
      <c r="E49" t="inlineStr">
        <is>
          <t>ÖREBRO</t>
        </is>
      </c>
      <c r="G49" t="n">
        <v>1.3</v>
      </c>
      <c r="H49" t="n">
        <v>2</v>
      </c>
      <c r="I49" t="n">
        <v>0</v>
      </c>
      <c r="J49" t="n">
        <v>1</v>
      </c>
      <c r="K49" t="n">
        <v>0</v>
      </c>
      <c r="L49" t="n">
        <v>0</v>
      </c>
      <c r="M49" t="n">
        <v>0</v>
      </c>
      <c r="N49" t="n">
        <v>0</v>
      </c>
      <c r="O49" t="n">
        <v>1</v>
      </c>
      <c r="P49" t="n">
        <v>0</v>
      </c>
      <c r="Q49" t="n">
        <v>2</v>
      </c>
      <c r="R49" s="2" t="inlineStr">
        <is>
          <t>Svartvit flugsnappare
Enkelbeckasin</t>
        </is>
      </c>
      <c r="S49">
        <f>HYPERLINK("https://klasma.github.io/Logging_1880/artfynd/A 34578-2022 artfynd.xlsx", "A 34578-2022")</f>
        <v/>
      </c>
      <c r="T49">
        <f>HYPERLINK("https://klasma.github.io/Logging_1880/kartor/A 34578-2022 karta.png", "A 34578-2022")</f>
        <v/>
      </c>
      <c r="V49">
        <f>HYPERLINK("https://klasma.github.io/Logging_1880/klagomål/A 34578-2022 FSC-klagomål.docx", "A 34578-2022")</f>
        <v/>
      </c>
      <c r="W49">
        <f>HYPERLINK("https://klasma.github.io/Logging_1880/klagomålsmail/A 34578-2022 FSC-klagomål mail.docx", "A 34578-2022")</f>
        <v/>
      </c>
      <c r="X49">
        <f>HYPERLINK("https://klasma.github.io/Logging_1880/tillsyn/A 34578-2022 tillsynsbegäran.docx", "A 34578-2022")</f>
        <v/>
      </c>
      <c r="Y49">
        <f>HYPERLINK("https://klasma.github.io/Logging_1880/tillsynsmail/A 34578-2022 tillsynsbegäran mail.docx", "A 34578-2022")</f>
        <v/>
      </c>
      <c r="Z49">
        <f>HYPERLINK("https://klasma.github.io/Logging_1880/fåglar/A 34578-2022 prioriterade fågelarter.docx", "A 34578-2022")</f>
        <v/>
      </c>
    </row>
    <row r="50" ht="15" customHeight="1">
      <c r="A50" t="inlineStr">
        <is>
          <t>A 49552-2022</t>
        </is>
      </c>
      <c r="B50" s="1" t="n">
        <v>44862</v>
      </c>
      <c r="C50" s="1" t="n">
        <v>45725</v>
      </c>
      <c r="D50" t="inlineStr">
        <is>
          <t>ÖREBRO LÄN</t>
        </is>
      </c>
      <c r="E50" t="inlineStr">
        <is>
          <t>ÖREBRO</t>
        </is>
      </c>
      <c r="G50" t="n">
        <v>2.1</v>
      </c>
      <c r="H50" t="n">
        <v>0</v>
      </c>
      <c r="I50" t="n">
        <v>0</v>
      </c>
      <c r="J50" t="n">
        <v>1</v>
      </c>
      <c r="K50" t="n">
        <v>1</v>
      </c>
      <c r="L50" t="n">
        <v>0</v>
      </c>
      <c r="M50" t="n">
        <v>0</v>
      </c>
      <c r="N50" t="n">
        <v>0</v>
      </c>
      <c r="O50" t="n">
        <v>2</v>
      </c>
      <c r="P50" t="n">
        <v>1</v>
      </c>
      <c r="Q50" t="n">
        <v>2</v>
      </c>
      <c r="R50" s="2" t="inlineStr">
        <is>
          <t>Ulltickeporing
Ullticka</t>
        </is>
      </c>
      <c r="S50">
        <f>HYPERLINK("https://klasma.github.io/Logging_1880/artfynd/A 49552-2022 artfynd.xlsx", "A 49552-2022")</f>
        <v/>
      </c>
      <c r="T50">
        <f>HYPERLINK("https://klasma.github.io/Logging_1880/kartor/A 49552-2022 karta.png", "A 49552-2022")</f>
        <v/>
      </c>
      <c r="V50">
        <f>HYPERLINK("https://klasma.github.io/Logging_1880/klagomål/A 49552-2022 FSC-klagomål.docx", "A 49552-2022")</f>
        <v/>
      </c>
      <c r="W50">
        <f>HYPERLINK("https://klasma.github.io/Logging_1880/klagomålsmail/A 49552-2022 FSC-klagomål mail.docx", "A 49552-2022")</f>
        <v/>
      </c>
      <c r="X50">
        <f>HYPERLINK("https://klasma.github.io/Logging_1880/tillsyn/A 49552-2022 tillsynsbegäran.docx", "A 49552-2022")</f>
        <v/>
      </c>
      <c r="Y50">
        <f>HYPERLINK("https://klasma.github.io/Logging_1880/tillsynsmail/A 49552-2022 tillsynsbegäran mail.docx", "A 49552-2022")</f>
        <v/>
      </c>
    </row>
    <row r="51" ht="15" customHeight="1">
      <c r="A51" t="inlineStr">
        <is>
          <t>A 23608-2023</t>
        </is>
      </c>
      <c r="B51" s="1" t="n">
        <v>45077</v>
      </c>
      <c r="C51" s="1" t="n">
        <v>45725</v>
      </c>
      <c r="D51" t="inlineStr">
        <is>
          <t>ÖREBRO LÄN</t>
        </is>
      </c>
      <c r="E51" t="inlineStr">
        <is>
          <t>ÖREBRO</t>
        </is>
      </c>
      <c r="G51" t="n">
        <v>5.8</v>
      </c>
      <c r="H51" t="n">
        <v>2</v>
      </c>
      <c r="I51" t="n">
        <v>0</v>
      </c>
      <c r="J51" t="n">
        <v>2</v>
      </c>
      <c r="K51" t="n">
        <v>0</v>
      </c>
      <c r="L51" t="n">
        <v>0</v>
      </c>
      <c r="M51" t="n">
        <v>0</v>
      </c>
      <c r="N51" t="n">
        <v>0</v>
      </c>
      <c r="O51" t="n">
        <v>2</v>
      </c>
      <c r="P51" t="n">
        <v>0</v>
      </c>
      <c r="Q51" t="n">
        <v>2</v>
      </c>
      <c r="R51" s="2" t="inlineStr">
        <is>
          <t>Havsörn
Talltita</t>
        </is>
      </c>
      <c r="S51">
        <f>HYPERLINK("https://klasma.github.io/Logging_1880/artfynd/A 23608-2023 artfynd.xlsx", "A 23608-2023")</f>
        <v/>
      </c>
      <c r="T51">
        <f>HYPERLINK("https://klasma.github.io/Logging_1880/kartor/A 23608-2023 karta.png", "A 23608-2023")</f>
        <v/>
      </c>
      <c r="V51">
        <f>HYPERLINK("https://klasma.github.io/Logging_1880/klagomål/A 23608-2023 FSC-klagomål.docx", "A 23608-2023")</f>
        <v/>
      </c>
      <c r="W51">
        <f>HYPERLINK("https://klasma.github.io/Logging_1880/klagomålsmail/A 23608-2023 FSC-klagomål mail.docx", "A 23608-2023")</f>
        <v/>
      </c>
      <c r="X51">
        <f>HYPERLINK("https://klasma.github.io/Logging_1880/tillsyn/A 23608-2023 tillsynsbegäran.docx", "A 23608-2023")</f>
        <v/>
      </c>
      <c r="Y51">
        <f>HYPERLINK("https://klasma.github.io/Logging_1880/tillsynsmail/A 23608-2023 tillsynsbegäran mail.docx", "A 23608-2023")</f>
        <v/>
      </c>
      <c r="Z51">
        <f>HYPERLINK("https://klasma.github.io/Logging_1880/fåglar/A 23608-2023 prioriterade fågelarter.docx", "A 23608-2023")</f>
        <v/>
      </c>
    </row>
    <row r="52" ht="15" customHeight="1">
      <c r="A52" t="inlineStr">
        <is>
          <t>A 587-2024</t>
        </is>
      </c>
      <c r="B52" s="1" t="n">
        <v>45299</v>
      </c>
      <c r="C52" s="1" t="n">
        <v>45725</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45725</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45725</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45725</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45725</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45725</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45725</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45725</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45725</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45725</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45725</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45725</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45725</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45725</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45725</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45725</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45725</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45725</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45725</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45725</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45725</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45725</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45725</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45725</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45725</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45725</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45725</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45725</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45725</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45725</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45725</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45725</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45725</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45725</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45725</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45725</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45725</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45725</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45725</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45725</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45725</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45725</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45725</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45725</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45725</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45725</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45725</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45725</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45725</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45725</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45725</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45725</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45725</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45725</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45725</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45725</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45725</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45725</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45725</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45725</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45725</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45725</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45725</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45725</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45725</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45725</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45725</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45725</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45725</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45725</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45725</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45725</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45725</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45725</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45725</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45725</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45725</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45725</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45725</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45725</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45725</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45725</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45725</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45725</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45725</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45725</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45725</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45725</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45725</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45725</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45725</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45725</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45725</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45725</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45725</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45725</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45725</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45725</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45725</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45725</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45725</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45725</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45725</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45725</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45725</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45725</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45725</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45725</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45725</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45725</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45725</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45725</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45725</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45725</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45725</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45725</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45725</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45725</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45725</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45725</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45725</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45725</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45725</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45725</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45725</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45725</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45725</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45725</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45725</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45725</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45725</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45725</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45725</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45725</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45725</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45725</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45725</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45725</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45725</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45725</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45725</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45725</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45725</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45725</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45725</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45725</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45725</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45725</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45725</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45725</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45725</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45725</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45725</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45725</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45725</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45725</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45725</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45725</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45725</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45725</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45725</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45725</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45725</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45725</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45725</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45725</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45725</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45725</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45725</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45725</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45725</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45725</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45725</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45725</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45725</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45725</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45725</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45725</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45725</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45725</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45725</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45725</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45725</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45725</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45725</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45725</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45725</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45725</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45725</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45725</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45725</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45725</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45725</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45725</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45725</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45725</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45725</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45725</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45725</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45725</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45725</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45725</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45725</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45725</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45725</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45725</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45725</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45725</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45725</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45725</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45725</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45725</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45725</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45725</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45725</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45725</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45725</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45725</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45725</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45725</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45725</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45725</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45725</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45725</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45725</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45725</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45725</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45725</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45725</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45725</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45725</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45725</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45725</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45725</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45725</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45725</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45725</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45725</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45725</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45725</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45725</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45725</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45725</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45725</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45725</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45725</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45725</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45725</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45725</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45725</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45725</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45725</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45725</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45725</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45725</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45725</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45725</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45725</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45725</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45725</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45725</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45725</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45725</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45725</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45725</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45725</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45725</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45725</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45725</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45725</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45725</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45725</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45725</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45725</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45725</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45725</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45725</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45725</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45725</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45725</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45725</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45725</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45725</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45725</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45725</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45725</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45725</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45725</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45725</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45725</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45725</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45725</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45725</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45725</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45725</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45725</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45725</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45725</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45725</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45725</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45725</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45725</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45725</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45725</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45725</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45725</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45725</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45725</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45725</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45725</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45725</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45725</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45725</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45725</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45725</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45725</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45725</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45725</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45725</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45725</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45725</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45725</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45725</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45725</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45725</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45725</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45725</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45725</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45725</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45725</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45725</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45725</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45725</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45725</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45725</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45725</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45725</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45725</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45725</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45725</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45725</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45725</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45725</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45725</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45725</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45725</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45725</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45725</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45725</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45725</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45725</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45725</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45725</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45725</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45725</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45725</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45725</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45725</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45725</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45725</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45725</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45725</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45725</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45725</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45725</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45725</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45725</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45725</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45725</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45725</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45725</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45725</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45725</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45725</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45725</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45725</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45725</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45725</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45725</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45725</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45725</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45725</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45725</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45725</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45725</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45725</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45725</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45725</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45725</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45725</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45725</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45725</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45725</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45725</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45725</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45725</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45725</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45725</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45725</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45725</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45725</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45725</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45725</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45725</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45725</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45725</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45725</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45725</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45725</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45725</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45725</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45725</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45725</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45725</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45725</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45725</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45725</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45725</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45725</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45725</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45725</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45725</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45725</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45725</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45725</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45725</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45725</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45725</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45725</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45725</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45725</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45725</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45725</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45725</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45725</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45725</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45725</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45725</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45725</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45725</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45725</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45725</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45725</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45725</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45725</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45725</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45725</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45725</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45725</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45725</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45725</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45725</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45725</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45725</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45725</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45725</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45725</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45725</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45725</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45725</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45725</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45725</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45725</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45725</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45725</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45725</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45725</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45725</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45725</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45725</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45725</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45725</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45725</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45725</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45725</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45725</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45725</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45725</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45725</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45725</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45725</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45725</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45725</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45725</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45725</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45725</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45725</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45725</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45725</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45725</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45725</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45725</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45725</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45725</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45725</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45725</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45725</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45725</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45725</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45725</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45725</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45725</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45725</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45725</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45725</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45725</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45725</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45725</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45725</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45725</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45725</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45725</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45725</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45725</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45725</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45725</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45725</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45725</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45725</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45725</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45725</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45725</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45725</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45725</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45725</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45725</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45725</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45725</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45725</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45725</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45725</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45725</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45725</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45725</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45725</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45725</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45725</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45725</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45725</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45725</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45725</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45725</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45725</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45725</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45725</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45725</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45725</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45725</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45725</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45725</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45725</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45725</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45725</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45725</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45725</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45725</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45725</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45725</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45725</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45725</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45725</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45725</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45725</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45725</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45725</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45725</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45725</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45725</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45725</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45725</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45725</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45725</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45725</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45725</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45725</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45725</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45725</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45725</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45725</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45725</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45725</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45725</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45725</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45725</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45725</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45725</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45725</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45725</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45725</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45725</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45725</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45725</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45725</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45725</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45725</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45725</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45725</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45725</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45725</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45725</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45725</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45725</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45725</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45725</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45725</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45725</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45725</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45725</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45725</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45725</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45725</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45725</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45725</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45725</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45725</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45725</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45725</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45725</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45725</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45725</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45725</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45725</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45725</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45725</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45725</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45725</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45725</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45725</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45725</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45725</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45725</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45725</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45725</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45725</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45725</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45725</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45725</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45725</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45725</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45725</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45725</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45725</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45725</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45725</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45725</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45725</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45725</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45725</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45725</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45725</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45725</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45725</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45725</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45725</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45725</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45725</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45725</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45725</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45725</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45725</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45725</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45725</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45725</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45725</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45725</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45725</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45725</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45725</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45725</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45725</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45725</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45725</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45725</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45725</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45725</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45725</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45725</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45725</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45725</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45725</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45725</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45725</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45725</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45725</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45725</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45725</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45725</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45725</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45725</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45725</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45725</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45725</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45725</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45725</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45725</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45725</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45725</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45725</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45725</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45725</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45725</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45725</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45725</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45725</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45725</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45725</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45725</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45725</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45725</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45725</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45725</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45725</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45725</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45725</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45725</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45725</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45725</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45725</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45725</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45725</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45725</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45725</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45725</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45725</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45725</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45725</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45725</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45725</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45725</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45725</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45725</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45725</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45725</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45725</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45725</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45725</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45725</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45725</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45725</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45725</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45725</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45725</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45725</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45725</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45725</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45725</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45725</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45725</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45725</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45725</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45725</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45725</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45725</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45725</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45725</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45725</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45725</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45725</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45725</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45725</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45725</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45725</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45725</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45725</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45725</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45725</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45725</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45725</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45725</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45725</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45725</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45725</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45725</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45725</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45725</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45725</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45725</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45725</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45725</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45725</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45725</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45725</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45725</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45725</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45725</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45725</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45725</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45725</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45725</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45725</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45725</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45725</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45725</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45725</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45725</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45725</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45725</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45725</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45725</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45725</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45725</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45725</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45725</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45725</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45725</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45725</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45725</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45725</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45725</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45725</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45725</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45725</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45725</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45725</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45725</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45725</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45725</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45725</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45725</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45725</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45725</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45725</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45725</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45725</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45725</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45725</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45725</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45725</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45725</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45725</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45725</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45725</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45725</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45725</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45725</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45725</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45725</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45725</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45725</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45725</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45725</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45725</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45725</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45725</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45725</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45725</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45725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45725</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45725</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45725</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45725</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45725</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45725</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45725</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45725</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45725</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45725</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45725</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45725</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45725</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45725</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45725</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45725</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45725</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45725</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45725</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45725</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45725</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45725</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45725</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45725</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45725</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45725</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45725</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45725</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45725</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45725</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45725</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45725</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45725</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45725</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45725</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45725</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45725</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45725</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45725</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45725</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45725</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45725</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45725</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45725</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45725</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45725</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45725</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45725</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45725</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45725</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45725</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45725</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45725</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45725</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45725</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45725</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45725</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45725</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45725</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45725</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45725</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45725</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45725</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45725</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45725</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45725</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45725</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45725</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45725</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45725</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45725</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45725</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45725</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45725</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45725</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45725</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45725</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45725</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45725</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45725</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45725</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45725</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45725</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45725</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45725</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45725</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45725</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45725</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45725</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45725</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45725</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45725</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45725</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45725</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45725</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45725</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45725</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45725</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45725</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45725</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45725</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45725</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45725</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45725</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45725</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45725</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45725</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45725</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45725</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45725</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45725</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45725</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45725</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45725</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45725</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45725</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45725</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45725</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45725</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45725</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45725</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45725</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45725</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45725</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45725</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45725</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45725</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45725</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45725</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45725</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45725</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45725</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45725</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45725</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45725</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45725</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45725</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45725</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45725</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45725</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45725</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45725</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45725</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45725</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45725</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45725</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45725</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45725</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45725</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45725</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45725</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45725</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45725</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45725</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45725</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45725</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45725</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45725</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45725</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45725</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45725</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45725</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45725</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45725</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45725</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45725</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45725</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45725</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45725</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45725</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45725</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45725</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45725</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45725</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45725</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45725</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45725</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45725</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45725</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45725</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45725</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45725</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45725</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45725</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45725</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45725</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45725</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45725</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45725</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45725</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45725</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45725</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45725</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45725</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45725</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45725</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45725</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45725</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45725</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45725</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45725</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45725</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45725</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45725</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45725</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45725</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45725</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45725</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45725</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45725</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45725</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45725</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45725</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45725</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45725</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45725</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45725</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45725</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45725</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45725</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45725</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45725</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45725</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45725</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45725</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45725</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45725</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45725</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45725</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45725</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45725</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7141-2025</t>
        </is>
      </c>
      <c r="B1130" s="1" t="n">
        <v>45702</v>
      </c>
      <c r="C1130" s="1" t="n">
        <v>45725</v>
      </c>
      <c r="D1130" t="inlineStr">
        <is>
          <t>ÖREBRO LÄN</t>
        </is>
      </c>
      <c r="E1130" t="inlineStr">
        <is>
          <t>ÖREBRO</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45725</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45725</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45725</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45725</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45725</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45725</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45725</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45725</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9445-2025</t>
        </is>
      </c>
      <c r="B1139" s="1" t="n">
        <v>45715</v>
      </c>
      <c r="C1139" s="1" t="n">
        <v>45725</v>
      </c>
      <c r="D1139" t="inlineStr">
        <is>
          <t>ÖREBRO LÄN</t>
        </is>
      </c>
      <c r="E1139" t="inlineStr">
        <is>
          <t>ÖREBRO</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9585-2025</t>
        </is>
      </c>
      <c r="B1140" s="1" t="n">
        <v>45715</v>
      </c>
      <c r="C1140" s="1" t="n">
        <v>45725</v>
      </c>
      <c r="D1140" t="inlineStr">
        <is>
          <t>ÖREBRO LÄN</t>
        </is>
      </c>
      <c r="E1140" t="inlineStr">
        <is>
          <t>ÖREBRO</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10470-2025</t>
        </is>
      </c>
      <c r="B1141" s="1" t="n">
        <v>45720</v>
      </c>
      <c r="C1141" s="1" t="n">
        <v>45725</v>
      </c>
      <c r="D1141" t="inlineStr">
        <is>
          <t>ÖREBRO LÄN</t>
        </is>
      </c>
      <c r="E1141" t="inlineStr">
        <is>
          <t>ÖREBRO</t>
        </is>
      </c>
      <c r="G1141" t="n">
        <v>11.5</v>
      </c>
      <c r="H1141" t="n">
        <v>0</v>
      </c>
      <c r="I1141" t="n">
        <v>0</v>
      </c>
      <c r="J1141" t="n">
        <v>0</v>
      </c>
      <c r="K1141" t="n">
        <v>0</v>
      </c>
      <c r="L1141" t="n">
        <v>0</v>
      </c>
      <c r="M1141" t="n">
        <v>0</v>
      </c>
      <c r="N1141" t="n">
        <v>0</v>
      </c>
      <c r="O1141" t="n">
        <v>0</v>
      </c>
      <c r="P1141" t="n">
        <v>0</v>
      </c>
      <c r="Q1141" t="n">
        <v>0</v>
      </c>
      <c r="R1141" s="2" t="inlineStr"/>
    </row>
    <row r="1142" ht="15" customHeight="1">
      <c r="A1142" t="inlineStr">
        <is>
          <t>A 10992-2025</t>
        </is>
      </c>
      <c r="B1142" s="1" t="n">
        <v>45723</v>
      </c>
      <c r="C1142" s="1" t="n">
        <v>45725</v>
      </c>
      <c r="D1142" t="inlineStr">
        <is>
          <t>ÖREBRO LÄN</t>
        </is>
      </c>
      <c r="E1142" t="inlineStr">
        <is>
          <t>ÖREBRO</t>
        </is>
      </c>
      <c r="G1142" t="n">
        <v>9.5</v>
      </c>
      <c r="H1142" t="n">
        <v>0</v>
      </c>
      <c r="I1142" t="n">
        <v>0</v>
      </c>
      <c r="J1142" t="n">
        <v>0</v>
      </c>
      <c r="K1142" t="n">
        <v>0</v>
      </c>
      <c r="L1142" t="n">
        <v>0</v>
      </c>
      <c r="M1142" t="n">
        <v>0</v>
      </c>
      <c r="N1142" t="n">
        <v>0</v>
      </c>
      <c r="O1142" t="n">
        <v>0</v>
      </c>
      <c r="P1142" t="n">
        <v>0</v>
      </c>
      <c r="Q1142" t="n">
        <v>0</v>
      </c>
      <c r="R1142" s="2" t="inlineStr"/>
      <c r="U1142">
        <f>HYPERLINK("https://klasma.github.io/Logging_1880/knärot/A 10992-2025 karta knärot.png", "A 10992-2025")</f>
        <v/>
      </c>
      <c r="V1142">
        <f>HYPERLINK("https://klasma.github.io/Logging_1880/klagomål/A 10992-2025 FSC-klagomål.docx", "A 10992-2025")</f>
        <v/>
      </c>
      <c r="W1142">
        <f>HYPERLINK("https://klasma.github.io/Logging_1880/klagomålsmail/A 10992-2025 FSC-klagomål mail.docx", "A 10992-2025")</f>
        <v/>
      </c>
      <c r="X1142">
        <f>HYPERLINK("https://klasma.github.io/Logging_1880/tillsyn/A 10992-2025 tillsynsbegäran.docx", "A 10992-2025")</f>
        <v/>
      </c>
      <c r="Y1142">
        <f>HYPERLINK("https://klasma.github.io/Logging_1880/tillsynsmail/A 10992-2025 tillsynsbegäran mail.docx", "A 10992-2025")</f>
        <v/>
      </c>
    </row>
    <row r="1143">
      <c r="A1143" t="inlineStr">
        <is>
          <t>A 11067-2025</t>
        </is>
      </c>
      <c r="B1143" s="1" t="n">
        <v>45723</v>
      </c>
      <c r="C1143" s="1" t="n">
        <v>45725</v>
      </c>
      <c r="D1143" t="inlineStr">
        <is>
          <t>ÖREBRO LÄN</t>
        </is>
      </c>
      <c r="E1143" t="inlineStr">
        <is>
          <t>ÖREBRO</t>
        </is>
      </c>
      <c r="G1143" t="n">
        <v>3.1</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2025-03-09T17:25:30Z</dcterms:created>
  <dcterms:modified xmlns:dcterms="http://purl.org/dc/terms/" xmlns:xsi="http://www.w3.org/2001/XMLSchema-instance" xsi:type="dcterms:W3CDTF">2025-03-09T17:25:31Z</dcterms:modified>
</cp:coreProperties>
</file>