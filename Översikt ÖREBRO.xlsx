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46201</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46201</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46201</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46201</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46201</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46201</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46201</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59520-2025</t>
        </is>
      </c>
      <c r="B9" s="1" t="n">
        <v>45989</v>
      </c>
      <c r="C9" s="1" t="n">
        <v>46201</v>
      </c>
      <c r="D9" t="inlineStr">
        <is>
          <t>ÖREBRO LÄN</t>
        </is>
      </c>
      <c r="E9" t="inlineStr">
        <is>
          <t>ÖREBRO</t>
        </is>
      </c>
      <c r="F9" t="inlineStr">
        <is>
          <t>Sveaskog</t>
        </is>
      </c>
      <c r="G9" t="n">
        <v>1.7</v>
      </c>
      <c r="H9" t="n">
        <v>2</v>
      </c>
      <c r="I9" t="n">
        <v>2</v>
      </c>
      <c r="J9" t="n">
        <v>4</v>
      </c>
      <c r="K9" t="n">
        <v>0</v>
      </c>
      <c r="L9" t="n">
        <v>0</v>
      </c>
      <c r="M9" t="n">
        <v>0</v>
      </c>
      <c r="N9" t="n">
        <v>0</v>
      </c>
      <c r="O9" t="n">
        <v>4</v>
      </c>
      <c r="P9" t="n">
        <v>0</v>
      </c>
      <c r="Q9" t="n">
        <v>8</v>
      </c>
      <c r="R9" s="2" t="inlineStr">
        <is>
          <t>Dofttaggsvamp
Grantaggsvamp
Jungfrulin
Sårläka
Svavelriska
Tibast
Blåsippa
Nattviol</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24879-2026</t>
        </is>
      </c>
      <c r="B10" s="1" t="n">
        <v>46174</v>
      </c>
      <c r="C10" s="1" t="n">
        <v>46201</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46201</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46201</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50096-2023</t>
        </is>
      </c>
      <c r="B13" s="1" t="n">
        <v>45215</v>
      </c>
      <c r="C13" s="1" t="n">
        <v>46201</v>
      </c>
      <c r="D13" t="inlineStr">
        <is>
          <t>ÖREBRO LÄN</t>
        </is>
      </c>
      <c r="E13" t="inlineStr">
        <is>
          <t>ÖREBRO</t>
        </is>
      </c>
      <c r="F13" t="inlineStr">
        <is>
          <t>Övriga Aktiebolag</t>
        </is>
      </c>
      <c r="G13" t="n">
        <v>2.3</v>
      </c>
      <c r="H13" t="n">
        <v>7</v>
      </c>
      <c r="I13" t="n">
        <v>0</v>
      </c>
      <c r="J13" t="n">
        <v>3</v>
      </c>
      <c r="K13" t="n">
        <v>0</v>
      </c>
      <c r="L13" t="n">
        <v>0</v>
      </c>
      <c r="M13" t="n">
        <v>0</v>
      </c>
      <c r="N13" t="n">
        <v>0</v>
      </c>
      <c r="O13" t="n">
        <v>3</v>
      </c>
      <c r="P13" t="n">
        <v>0</v>
      </c>
      <c r="Q13" t="n">
        <v>7</v>
      </c>
      <c r="R13" s="2" t="inlineStr">
        <is>
          <t>Göktyta
Skrattmås
Talltita
Spillkråka
Buskskvätta
Sävsparv
Sångsvan</t>
        </is>
      </c>
      <c r="S13">
        <f>HYPERLINK("https://klasma.github.io/Logging_1880/artfynd/A 50096-2023 artfynd.xlsx", "A 50096-2023")</f>
        <v/>
      </c>
      <c r="T13">
        <f>HYPERLINK("https://klasma.github.io/Logging_1880/kartor/A 50096-2023 karta.png", "A 50096-2023")</f>
        <v/>
      </c>
      <c r="V13">
        <f>HYPERLINK("https://klasma.github.io/Logging_1880/klagomål/A 50096-2023 FSC-klagomål.docx", "A 50096-2023")</f>
        <v/>
      </c>
      <c r="W13">
        <f>HYPERLINK("https://klasma.github.io/Logging_1880/klagomålsmail/A 50096-2023 FSC-klagomål mail.docx", "A 50096-2023")</f>
        <v/>
      </c>
      <c r="X13">
        <f>HYPERLINK("https://klasma.github.io/Logging_1880/tillsyn/A 50096-2023 tillsynsbegäran.docx", "A 50096-2023")</f>
        <v/>
      </c>
      <c r="Y13">
        <f>HYPERLINK("https://klasma.github.io/Logging_1880/tillsynsmail/A 50096-2023 tillsynsbegäran mail.docx", "A 50096-2023")</f>
        <v/>
      </c>
      <c r="Z13">
        <f>HYPERLINK("https://klasma.github.io/Logging_1880/fåglar/A 50096-2023 prioriterade fågelarter.docx", "A 50096-2023")</f>
        <v/>
      </c>
    </row>
    <row r="14" ht="15" customHeight="1">
      <c r="A14" t="inlineStr">
        <is>
          <t>A 58837-2025</t>
        </is>
      </c>
      <c r="B14" s="1" t="n">
        <v>45987</v>
      </c>
      <c r="C14" s="1" t="n">
        <v>46201</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3025-2026</t>
        </is>
      </c>
      <c r="B15" s="1" t="n">
        <v>46038</v>
      </c>
      <c r="C15" s="1" t="n">
        <v>46201</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15758-2023</t>
        </is>
      </c>
      <c r="B16" s="1" t="n">
        <v>45021</v>
      </c>
      <c r="C16" s="1" t="n">
        <v>46201</v>
      </c>
      <c r="D16" t="inlineStr">
        <is>
          <t>ÖREBRO LÄN</t>
        </is>
      </c>
      <c r="E16" t="inlineStr">
        <is>
          <t>ÖREBRO</t>
        </is>
      </c>
      <c r="G16" t="n">
        <v>2.6</v>
      </c>
      <c r="H16" t="n">
        <v>2</v>
      </c>
      <c r="I16" t="n">
        <v>2</v>
      </c>
      <c r="J16" t="n">
        <v>2</v>
      </c>
      <c r="K16" t="n">
        <v>1</v>
      </c>
      <c r="L16" t="n">
        <v>0</v>
      </c>
      <c r="M16" t="n">
        <v>0</v>
      </c>
      <c r="N16" t="n">
        <v>0</v>
      </c>
      <c r="O16" t="n">
        <v>3</v>
      </c>
      <c r="P16" t="n">
        <v>1</v>
      </c>
      <c r="Q16" t="n">
        <v>6</v>
      </c>
      <c r="R16" s="2" t="inlineStr">
        <is>
          <t>Knärot
Orange taggsvamp
Ullticka
Grönpyrola
Gullgröppa
Spillkråka</t>
        </is>
      </c>
      <c r="S16">
        <f>HYPERLINK("https://klasma.github.io/Logging_1880/artfynd/A 15758-2023 artfynd.xlsx", "A 15758-2023")</f>
        <v/>
      </c>
      <c r="T16">
        <f>HYPERLINK("https://klasma.github.io/Logging_1880/kartor/A 15758-2023 karta.png", "A 15758-2023")</f>
        <v/>
      </c>
      <c r="U16">
        <f>HYPERLINK("https://klasma.github.io/Logging_1880/knärot/A 15758-2023 karta knärot.png", "A 15758-2023")</f>
        <v/>
      </c>
      <c r="V16">
        <f>HYPERLINK("https://klasma.github.io/Logging_1880/klagomål/A 15758-2023 FSC-klagomål.docx", "A 15758-2023")</f>
        <v/>
      </c>
      <c r="W16">
        <f>HYPERLINK("https://klasma.github.io/Logging_1880/klagomålsmail/A 15758-2023 FSC-klagomål mail.docx", "A 15758-2023")</f>
        <v/>
      </c>
      <c r="X16">
        <f>HYPERLINK("https://klasma.github.io/Logging_1880/tillsyn/A 15758-2023 tillsynsbegäran.docx", "A 15758-2023")</f>
        <v/>
      </c>
      <c r="Y16">
        <f>HYPERLINK("https://klasma.github.io/Logging_1880/tillsynsmail/A 15758-2023 tillsynsbegäran mail.docx", "A 15758-2023")</f>
        <v/>
      </c>
      <c r="Z16">
        <f>HYPERLINK("https://klasma.github.io/Logging_1880/fåglar/A 15758-2023 prioriterade fågelarter.docx", "A 15758-2023")</f>
        <v/>
      </c>
    </row>
    <row r="17" ht="15" customHeight="1">
      <c r="A17" t="inlineStr">
        <is>
          <t>A 32105-2023</t>
        </is>
      </c>
      <c r="B17" s="1" t="n">
        <v>45119</v>
      </c>
      <c r="C17" s="1" t="n">
        <v>46201</v>
      </c>
      <c r="D17" t="inlineStr">
        <is>
          <t>ÖREBRO LÄN</t>
        </is>
      </c>
      <c r="E17" t="inlineStr">
        <is>
          <t>ÖREBRO</t>
        </is>
      </c>
      <c r="G17" t="n">
        <v>1.3</v>
      </c>
      <c r="H17" t="n">
        <v>3</v>
      </c>
      <c r="I17" t="n">
        <v>1</v>
      </c>
      <c r="J17" t="n">
        <v>4</v>
      </c>
      <c r="K17" t="n">
        <v>0</v>
      </c>
      <c r="L17" t="n">
        <v>0</v>
      </c>
      <c r="M17" t="n">
        <v>0</v>
      </c>
      <c r="N17" t="n">
        <v>0</v>
      </c>
      <c r="O17" t="n">
        <v>4</v>
      </c>
      <c r="P17" t="n">
        <v>0</v>
      </c>
      <c r="Q17" t="n">
        <v>6</v>
      </c>
      <c r="R17" s="2" t="inlineStr">
        <is>
          <t>Motaggsvamp
Rödvingetrast
Skarp dropptaggsvamp
Talltita
Blomkålssvamp
Gröngöling</t>
        </is>
      </c>
      <c r="S17">
        <f>HYPERLINK("https://klasma.github.io/Logging_1880/artfynd/A 32105-2023 artfynd.xlsx", "A 32105-2023")</f>
        <v/>
      </c>
      <c r="T17">
        <f>HYPERLINK("https://klasma.github.io/Logging_1880/kartor/A 32105-2023 karta.png", "A 32105-2023")</f>
        <v/>
      </c>
      <c r="V17">
        <f>HYPERLINK("https://klasma.github.io/Logging_1880/klagomål/A 32105-2023 FSC-klagomål.docx", "A 32105-2023")</f>
        <v/>
      </c>
      <c r="W17">
        <f>HYPERLINK("https://klasma.github.io/Logging_1880/klagomålsmail/A 32105-2023 FSC-klagomål mail.docx", "A 32105-2023")</f>
        <v/>
      </c>
      <c r="X17">
        <f>HYPERLINK("https://klasma.github.io/Logging_1880/tillsyn/A 32105-2023 tillsynsbegäran.docx", "A 32105-2023")</f>
        <v/>
      </c>
      <c r="Y17">
        <f>HYPERLINK("https://klasma.github.io/Logging_1880/tillsynsmail/A 32105-2023 tillsynsbegäran mail.docx", "A 32105-2023")</f>
        <v/>
      </c>
      <c r="Z17">
        <f>HYPERLINK("https://klasma.github.io/Logging_1880/fåglar/A 32105-2023 prioriterade fågelarter.docx", "A 32105-2023")</f>
        <v/>
      </c>
    </row>
    <row r="18" ht="15" customHeight="1">
      <c r="A18" t="inlineStr">
        <is>
          <t>A 33069-2025</t>
        </is>
      </c>
      <c r="B18" s="1" t="n">
        <v>45840</v>
      </c>
      <c r="C18" s="1" t="n">
        <v>46201</v>
      </c>
      <c r="D18" t="inlineStr">
        <is>
          <t>ÖREBRO LÄN</t>
        </is>
      </c>
      <c r="E18" t="inlineStr">
        <is>
          <t>ÖREBRO</t>
        </is>
      </c>
      <c r="G18" t="n">
        <v>11.6</v>
      </c>
      <c r="H18" t="n">
        <v>6</v>
      </c>
      <c r="I18" t="n">
        <v>0</v>
      </c>
      <c r="J18" t="n">
        <v>0</v>
      </c>
      <c r="K18" t="n">
        <v>0</v>
      </c>
      <c r="L18" t="n">
        <v>0</v>
      </c>
      <c r="M18" t="n">
        <v>0</v>
      </c>
      <c r="N18" t="n">
        <v>0</v>
      </c>
      <c r="O18" t="n">
        <v>0</v>
      </c>
      <c r="P18" t="n">
        <v>0</v>
      </c>
      <c r="Q18" t="n">
        <v>6</v>
      </c>
      <c r="R18" s="2" t="inlineStr">
        <is>
          <t>Spillkråka
Gröngöling
Mindre vattensalamander
Vanlig groda
Vanlig padda
Revlummer</t>
        </is>
      </c>
      <c r="S18">
        <f>HYPERLINK("https://klasma.github.io/Logging_1880/artfynd/A 33069-2025 artfynd.xlsx", "A 33069-2025")</f>
        <v/>
      </c>
      <c r="T18">
        <f>HYPERLINK("https://klasma.github.io/Logging_1880/kartor/A 33069-2025 karta.png", "A 33069-2025")</f>
        <v/>
      </c>
      <c r="V18">
        <f>HYPERLINK("https://klasma.github.io/Logging_1880/klagomål/A 33069-2025 FSC-klagomål.docx", "A 33069-2025")</f>
        <v/>
      </c>
      <c r="W18">
        <f>HYPERLINK("https://klasma.github.io/Logging_1880/klagomålsmail/A 33069-2025 FSC-klagomål mail.docx", "A 33069-2025")</f>
        <v/>
      </c>
      <c r="X18">
        <f>HYPERLINK("https://klasma.github.io/Logging_1880/tillsyn/A 33069-2025 tillsynsbegäran.docx", "A 33069-2025")</f>
        <v/>
      </c>
      <c r="Y18">
        <f>HYPERLINK("https://klasma.github.io/Logging_1880/tillsynsmail/A 33069-2025 tillsynsbegäran mail.docx", "A 33069-2025")</f>
        <v/>
      </c>
      <c r="Z18">
        <f>HYPERLINK("https://klasma.github.io/Logging_1880/fåglar/A 33069-2025 prioriterade fågelarter.docx", "A 33069-2025")</f>
        <v/>
      </c>
    </row>
    <row r="19" ht="15" customHeight="1">
      <c r="A19" t="inlineStr">
        <is>
          <t>A 3006-2026</t>
        </is>
      </c>
      <c r="B19" s="1" t="n">
        <v>46038</v>
      </c>
      <c r="C19" s="1" t="n">
        <v>46201</v>
      </c>
      <c r="D19" t="inlineStr">
        <is>
          <t>ÖREBRO LÄN</t>
        </is>
      </c>
      <c r="E19" t="inlineStr">
        <is>
          <t>ÖREBRO</t>
        </is>
      </c>
      <c r="F19" t="inlineStr">
        <is>
          <t>Övriga Aktiebolag</t>
        </is>
      </c>
      <c r="G19" t="n">
        <v>1</v>
      </c>
      <c r="H19" t="n">
        <v>5</v>
      </c>
      <c r="I19" t="n">
        <v>0</v>
      </c>
      <c r="J19" t="n">
        <v>3</v>
      </c>
      <c r="K19" t="n">
        <v>0</v>
      </c>
      <c r="L19" t="n">
        <v>0</v>
      </c>
      <c r="M19" t="n">
        <v>0</v>
      </c>
      <c r="N19" t="n">
        <v>0</v>
      </c>
      <c r="O19" t="n">
        <v>3</v>
      </c>
      <c r="P19" t="n">
        <v>0</v>
      </c>
      <c r="Q19" t="n">
        <v>6</v>
      </c>
      <c r="R19" s="2" t="inlineStr">
        <is>
          <t>Gulsparv
Göktyta
Älg
Gröngöling
Grönsiska
Skogsduva</t>
        </is>
      </c>
      <c r="S19">
        <f>HYPERLINK("https://klasma.github.io/Logging_1880/artfynd/A 3006-2026 artfynd.xlsx", "A 3006-2026")</f>
        <v/>
      </c>
      <c r="T19">
        <f>HYPERLINK("https://klasma.github.io/Logging_1880/kartor/A 3006-2026 karta.png", "A 3006-2026")</f>
        <v/>
      </c>
      <c r="V19">
        <f>HYPERLINK("https://klasma.github.io/Logging_1880/klagomål/A 3006-2026 FSC-klagomål.docx", "A 3006-2026")</f>
        <v/>
      </c>
      <c r="W19">
        <f>HYPERLINK("https://klasma.github.io/Logging_1880/klagomålsmail/A 3006-2026 FSC-klagomål mail.docx", "A 3006-2026")</f>
        <v/>
      </c>
      <c r="X19">
        <f>HYPERLINK("https://klasma.github.io/Logging_1880/tillsyn/A 3006-2026 tillsynsbegäran.docx", "A 3006-2026")</f>
        <v/>
      </c>
      <c r="Y19">
        <f>HYPERLINK("https://klasma.github.io/Logging_1880/tillsynsmail/A 3006-2026 tillsynsbegäran mail.docx", "A 3006-2026")</f>
        <v/>
      </c>
      <c r="Z19">
        <f>HYPERLINK("https://klasma.github.io/Logging_1880/fåglar/A 3006-2026 prioriterade fågelarter.docx", "A 3006-2026")</f>
        <v/>
      </c>
    </row>
    <row r="20" ht="15" customHeight="1">
      <c r="A20" t="inlineStr">
        <is>
          <t>A 4943-2022</t>
        </is>
      </c>
      <c r="B20" s="1" t="n">
        <v>44593</v>
      </c>
      <c r="C20" s="1" t="n">
        <v>46201</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12974-2022</t>
        </is>
      </c>
      <c r="B21" s="1" t="n">
        <v>44643</v>
      </c>
      <c r="C21" s="1" t="n">
        <v>46201</v>
      </c>
      <c r="D21" t="inlineStr">
        <is>
          <t>ÖREBRO LÄN</t>
        </is>
      </c>
      <c r="E21" t="inlineStr">
        <is>
          <t>ÖREBRO</t>
        </is>
      </c>
      <c r="G21" t="n">
        <v>3.3</v>
      </c>
      <c r="H21" t="n">
        <v>5</v>
      </c>
      <c r="I21" t="n">
        <v>0</v>
      </c>
      <c r="J21" t="n">
        <v>2</v>
      </c>
      <c r="K21" t="n">
        <v>0</v>
      </c>
      <c r="L21" t="n">
        <v>0</v>
      </c>
      <c r="M21" t="n">
        <v>0</v>
      </c>
      <c r="N21" t="n">
        <v>0</v>
      </c>
      <c r="O21" t="n">
        <v>2</v>
      </c>
      <c r="P21" t="n">
        <v>0</v>
      </c>
      <c r="Q21" t="n">
        <v>5</v>
      </c>
      <c r="R21" s="2" t="inlineStr">
        <is>
          <t>Duvhök
Grönsångare
Kungsfågel
Törnskata
Kopparödla</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51530-2024</t>
        </is>
      </c>
      <c r="B22" s="1" t="n">
        <v>45604</v>
      </c>
      <c r="C22" s="1" t="n">
        <v>46201</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55197-2023</t>
        </is>
      </c>
      <c r="B23" s="1" t="n">
        <v>45237</v>
      </c>
      <c r="C23" s="1" t="n">
        <v>46201</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17074-2024</t>
        </is>
      </c>
      <c r="B24" s="1" t="n">
        <v>45412</v>
      </c>
      <c r="C24" s="1" t="n">
        <v>46201</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63196-2025</t>
        </is>
      </c>
      <c r="B25" s="1" t="n">
        <v>46010</v>
      </c>
      <c r="C25" s="1" t="n">
        <v>46201</v>
      </c>
      <c r="D25" t="inlineStr">
        <is>
          <t>ÖREBRO LÄN</t>
        </is>
      </c>
      <c r="E25" t="inlineStr">
        <is>
          <t>ÖREBRO</t>
        </is>
      </c>
      <c r="F25" t="inlineStr">
        <is>
          <t>Sveaskog</t>
        </is>
      </c>
      <c r="G25" t="n">
        <v>1.4</v>
      </c>
      <c r="H25" t="n">
        <v>2</v>
      </c>
      <c r="I25" t="n">
        <v>1</v>
      </c>
      <c r="J25" t="n">
        <v>3</v>
      </c>
      <c r="K25" t="n">
        <v>0</v>
      </c>
      <c r="L25" t="n">
        <v>0</v>
      </c>
      <c r="M25" t="n">
        <v>0</v>
      </c>
      <c r="N25" t="n">
        <v>0</v>
      </c>
      <c r="O25" t="n">
        <v>3</v>
      </c>
      <c r="P25" t="n">
        <v>0</v>
      </c>
      <c r="Q25" t="n">
        <v>5</v>
      </c>
      <c r="R25" s="2" t="inlineStr">
        <is>
          <t>Koralltaggsvamp
Mindre hackspett
Vit vedfingersvamp
Tibast
Blåsippa</t>
        </is>
      </c>
      <c r="S25">
        <f>HYPERLINK("https://klasma.github.io/Logging_1880/artfynd/A 63196-2025 artfynd.xlsx", "A 63196-2025")</f>
        <v/>
      </c>
      <c r="T25">
        <f>HYPERLINK("https://klasma.github.io/Logging_1880/kartor/A 63196-2025 karta.png", "A 63196-2025")</f>
        <v/>
      </c>
      <c r="V25">
        <f>HYPERLINK("https://klasma.github.io/Logging_1880/klagomål/A 63196-2025 FSC-klagomål.docx", "A 63196-2025")</f>
        <v/>
      </c>
      <c r="W25">
        <f>HYPERLINK("https://klasma.github.io/Logging_1880/klagomålsmail/A 63196-2025 FSC-klagomål mail.docx", "A 63196-2025")</f>
        <v/>
      </c>
      <c r="X25">
        <f>HYPERLINK("https://klasma.github.io/Logging_1880/tillsyn/A 63196-2025 tillsynsbegäran.docx", "A 63196-2025")</f>
        <v/>
      </c>
      <c r="Y25">
        <f>HYPERLINK("https://klasma.github.io/Logging_1880/tillsynsmail/A 63196-2025 tillsynsbegäran mail.docx", "A 63196-2025")</f>
        <v/>
      </c>
      <c r="Z25">
        <f>HYPERLINK("https://klasma.github.io/Logging_1880/fåglar/A 63196-2025 prioriterade fågelarter.docx", "A 63196-2025")</f>
        <v/>
      </c>
    </row>
    <row r="26" ht="15" customHeight="1">
      <c r="A26" t="inlineStr">
        <is>
          <t>A 27211-2026</t>
        </is>
      </c>
      <c r="B26" s="1" t="n">
        <v>46188</v>
      </c>
      <c r="C26" s="1" t="n">
        <v>46201</v>
      </c>
      <c r="D26" t="inlineStr">
        <is>
          <t>ÖREBRO LÄN</t>
        </is>
      </c>
      <c r="E26" t="inlineStr">
        <is>
          <t>ÖREBRO</t>
        </is>
      </c>
      <c r="G26" t="n">
        <v>5.3</v>
      </c>
      <c r="H26" t="n">
        <v>3</v>
      </c>
      <c r="I26" t="n">
        <v>0</v>
      </c>
      <c r="J26" t="n">
        <v>1</v>
      </c>
      <c r="K26" t="n">
        <v>0</v>
      </c>
      <c r="L26" t="n">
        <v>1</v>
      </c>
      <c r="M26" t="n">
        <v>0</v>
      </c>
      <c r="N26" t="n">
        <v>0</v>
      </c>
      <c r="O26" t="n">
        <v>2</v>
      </c>
      <c r="P26" t="n">
        <v>1</v>
      </c>
      <c r="Q26" t="n">
        <v>5</v>
      </c>
      <c r="R26" s="2" t="inlineStr">
        <is>
          <t>Skogsalm
Jungfrulin
Blåsippa
Mattlummer
Gullviva</t>
        </is>
      </c>
      <c r="S26">
        <f>HYPERLINK("https://klasma.github.io/Logging_1880/artfynd/A 27211-2026 artfynd.xlsx", "A 27211-2026")</f>
        <v/>
      </c>
      <c r="T26">
        <f>HYPERLINK("https://klasma.github.io/Logging_1880/kartor/A 27211-2026 karta.png", "A 27211-2026")</f>
        <v/>
      </c>
      <c r="V26">
        <f>HYPERLINK("https://klasma.github.io/Logging_1880/klagomål/A 27211-2026 FSC-klagomål.docx", "A 27211-2026")</f>
        <v/>
      </c>
      <c r="W26">
        <f>HYPERLINK("https://klasma.github.io/Logging_1880/klagomålsmail/A 27211-2026 FSC-klagomål mail.docx", "A 27211-2026")</f>
        <v/>
      </c>
      <c r="X26">
        <f>HYPERLINK("https://klasma.github.io/Logging_1880/tillsyn/A 27211-2026 tillsynsbegäran.docx", "A 27211-2026")</f>
        <v/>
      </c>
      <c r="Y26">
        <f>HYPERLINK("https://klasma.github.io/Logging_1880/tillsynsmail/A 27211-2026 tillsynsbegäran mail.docx", "A 27211-2026")</f>
        <v/>
      </c>
    </row>
    <row r="27" ht="15" customHeight="1">
      <c r="A27" t="inlineStr">
        <is>
          <t>A 57553-2023</t>
        </is>
      </c>
      <c r="B27" s="1" t="n">
        <v>45246</v>
      </c>
      <c r="C27" s="1" t="n">
        <v>46201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Järnsparv
Spillkråka
Gröngöling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57920-2024</t>
        </is>
      </c>
      <c r="B28" s="1" t="n">
        <v>45631</v>
      </c>
      <c r="C28" s="1" t="n">
        <v>46201</v>
      </c>
      <c r="D28" t="inlineStr">
        <is>
          <t>ÖREBRO LÄN</t>
        </is>
      </c>
      <c r="E28" t="inlineStr">
        <is>
          <t>ÖREBRO</t>
        </is>
      </c>
      <c r="G28" t="n">
        <v>2.3</v>
      </c>
      <c r="H28" t="n">
        <v>4</v>
      </c>
      <c r="I28" t="n">
        <v>0</v>
      </c>
      <c r="J28" t="n">
        <v>2</v>
      </c>
      <c r="K28" t="n">
        <v>0</v>
      </c>
      <c r="L28" t="n">
        <v>0</v>
      </c>
      <c r="M28" t="n">
        <v>0</v>
      </c>
      <c r="N28" t="n">
        <v>0</v>
      </c>
      <c r="O28" t="n">
        <v>2</v>
      </c>
      <c r="P28" t="n">
        <v>0</v>
      </c>
      <c r="Q28" t="n">
        <v>4</v>
      </c>
      <c r="R28" s="2" t="inlineStr">
        <is>
          <t>Gulsparv
Sädesärla
Kungsfågel
Fläcknycklar</t>
        </is>
      </c>
      <c r="S28">
        <f>HYPERLINK("https://klasma.github.io/Logging_1880/artfynd/A 57920-2024 artfynd.xlsx", "A 57920-2024")</f>
        <v/>
      </c>
      <c r="T28">
        <f>HYPERLINK("https://klasma.github.io/Logging_1880/kartor/A 57920-2024 karta.png", "A 57920-2024")</f>
        <v/>
      </c>
      <c r="V28">
        <f>HYPERLINK("https://klasma.github.io/Logging_1880/klagomål/A 57920-2024 FSC-klagomål.docx", "A 57920-2024")</f>
        <v/>
      </c>
      <c r="W28">
        <f>HYPERLINK("https://klasma.github.io/Logging_1880/klagomålsmail/A 57920-2024 FSC-klagomål mail.docx", "A 57920-2024")</f>
        <v/>
      </c>
      <c r="X28">
        <f>HYPERLINK("https://klasma.github.io/Logging_1880/tillsyn/A 57920-2024 tillsynsbegäran.docx", "A 57920-2024")</f>
        <v/>
      </c>
      <c r="Y28">
        <f>HYPERLINK("https://klasma.github.io/Logging_1880/tillsynsmail/A 57920-2024 tillsynsbegäran mail.docx", "A 57920-2024")</f>
        <v/>
      </c>
      <c r="Z28">
        <f>HYPERLINK("https://klasma.github.io/Logging_1880/fåglar/A 57920-2024 prioriterade fågelarter.docx", "A 57920-2024")</f>
        <v/>
      </c>
    </row>
    <row r="29" ht="15" customHeight="1">
      <c r="A29" t="inlineStr">
        <is>
          <t>A 59519-2025</t>
        </is>
      </c>
      <c r="B29" s="1" t="n">
        <v>45989</v>
      </c>
      <c r="C29" s="1" t="n">
        <v>46201</v>
      </c>
      <c r="D29" t="inlineStr">
        <is>
          <t>ÖREBRO LÄN</t>
        </is>
      </c>
      <c r="E29" t="inlineStr">
        <is>
          <t>ÖREBRO</t>
        </is>
      </c>
      <c r="F29" t="inlineStr">
        <is>
          <t>Sveaskog</t>
        </is>
      </c>
      <c r="G29" t="n">
        <v>2.5</v>
      </c>
      <c r="H29" t="n">
        <v>3</v>
      </c>
      <c r="I29" t="n">
        <v>1</v>
      </c>
      <c r="J29" t="n">
        <v>0</v>
      </c>
      <c r="K29" t="n">
        <v>0</v>
      </c>
      <c r="L29" t="n">
        <v>0</v>
      </c>
      <c r="M29" t="n">
        <v>0</v>
      </c>
      <c r="N29" t="n">
        <v>0</v>
      </c>
      <c r="O29" t="n">
        <v>0</v>
      </c>
      <c r="P29" t="n">
        <v>0</v>
      </c>
      <c r="Q29" t="n">
        <v>4</v>
      </c>
      <c r="R29" s="2" t="inlineStr">
        <is>
          <t>Svavelriska
Blåsippa
Hasselmus
Nattviol</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24880-2026</t>
        </is>
      </c>
      <c r="B30" s="1" t="n">
        <v>46174</v>
      </c>
      <c r="C30" s="1" t="n">
        <v>46201</v>
      </c>
      <c r="D30" t="inlineStr">
        <is>
          <t>ÖREBRO LÄN</t>
        </is>
      </c>
      <c r="E30" t="inlineStr">
        <is>
          <t>ÖREBRO</t>
        </is>
      </c>
      <c r="G30" t="n">
        <v>5</v>
      </c>
      <c r="H30" t="n">
        <v>1</v>
      </c>
      <c r="I30" t="n">
        <v>3</v>
      </c>
      <c r="J30" t="n">
        <v>0</v>
      </c>
      <c r="K30" t="n">
        <v>0</v>
      </c>
      <c r="L30" t="n">
        <v>0</v>
      </c>
      <c r="M30" t="n">
        <v>0</v>
      </c>
      <c r="N30" t="n">
        <v>0</v>
      </c>
      <c r="O30" t="n">
        <v>0</v>
      </c>
      <c r="P30" t="n">
        <v>0</v>
      </c>
      <c r="Q30" t="n">
        <v>4</v>
      </c>
      <c r="R30" s="2" t="inlineStr">
        <is>
          <t>Blomkålssvamp
Bronshjon
Thomsons trägnagare
Spillkråka</t>
        </is>
      </c>
      <c r="S30">
        <f>HYPERLINK("https://klasma.github.io/Logging_1880/artfynd/A 24880-2026 artfynd.xlsx", "A 24880-2026")</f>
        <v/>
      </c>
      <c r="T30">
        <f>HYPERLINK("https://klasma.github.io/Logging_1880/kartor/A 24880-2026 karta.png", "A 24880-2026")</f>
        <v/>
      </c>
      <c r="U30">
        <f>HYPERLINK("https://klasma.github.io/Logging_1880/knärot/A 24880-2026 karta knärot.png", "A 24880-2026")</f>
        <v/>
      </c>
      <c r="V30">
        <f>HYPERLINK("https://klasma.github.io/Logging_1880/klagomål/A 24880-2026 FSC-klagomål.docx", "A 24880-2026")</f>
        <v/>
      </c>
      <c r="W30">
        <f>HYPERLINK("https://klasma.github.io/Logging_1880/klagomålsmail/A 24880-2026 FSC-klagomål mail.docx", "A 24880-2026")</f>
        <v/>
      </c>
      <c r="X30">
        <f>HYPERLINK("https://klasma.github.io/Logging_1880/tillsyn/A 24880-2026 tillsynsbegäran.docx", "A 24880-2026")</f>
        <v/>
      </c>
      <c r="Y30">
        <f>HYPERLINK("https://klasma.github.io/Logging_1880/tillsynsmail/A 24880-2026 tillsynsbegäran mail.docx", "A 24880-2026")</f>
        <v/>
      </c>
      <c r="Z30">
        <f>HYPERLINK("https://klasma.github.io/Logging_1880/fåglar/A 24880-2026 prioriterade fågelarter.docx", "A 24880-2026")</f>
        <v/>
      </c>
    </row>
    <row r="31" ht="15" customHeight="1">
      <c r="A31" t="inlineStr">
        <is>
          <t>A 63199-2025</t>
        </is>
      </c>
      <c r="B31" s="1" t="n">
        <v>46010</v>
      </c>
      <c r="C31" s="1" t="n">
        <v>46201</v>
      </c>
      <c r="D31" t="inlineStr">
        <is>
          <t>ÖREBRO LÄN</t>
        </is>
      </c>
      <c r="E31" t="inlineStr">
        <is>
          <t>ÖREBRO</t>
        </is>
      </c>
      <c r="F31" t="inlineStr">
        <is>
          <t>Sveaskog</t>
        </is>
      </c>
      <c r="G31" t="n">
        <v>0.9</v>
      </c>
      <c r="H31" t="n">
        <v>1</v>
      </c>
      <c r="I31" t="n">
        <v>1</v>
      </c>
      <c r="J31" t="n">
        <v>2</v>
      </c>
      <c r="K31" t="n">
        <v>0</v>
      </c>
      <c r="L31" t="n">
        <v>0</v>
      </c>
      <c r="M31" t="n">
        <v>0</v>
      </c>
      <c r="N31" t="n">
        <v>0</v>
      </c>
      <c r="O31" t="n">
        <v>2</v>
      </c>
      <c r="P31" t="n">
        <v>0</v>
      </c>
      <c r="Q31" t="n">
        <v>4</v>
      </c>
      <c r="R31" s="2" t="inlineStr">
        <is>
          <t>Dofttaggsvamp
Grantaggsvamp
Svavelriska
Gullviva</t>
        </is>
      </c>
      <c r="S31">
        <f>HYPERLINK("https://klasma.github.io/Logging_1880/artfynd/A 63199-2025 artfynd.xlsx", "A 63199-2025")</f>
        <v/>
      </c>
      <c r="T31">
        <f>HYPERLINK("https://klasma.github.io/Logging_1880/kartor/A 63199-2025 karta.png", "A 63199-2025")</f>
        <v/>
      </c>
      <c r="V31">
        <f>HYPERLINK("https://klasma.github.io/Logging_1880/klagomål/A 63199-2025 FSC-klagomål.docx", "A 63199-2025")</f>
        <v/>
      </c>
      <c r="W31">
        <f>HYPERLINK("https://klasma.github.io/Logging_1880/klagomålsmail/A 63199-2025 FSC-klagomål mail.docx", "A 63199-2025")</f>
        <v/>
      </c>
      <c r="X31">
        <f>HYPERLINK("https://klasma.github.io/Logging_1880/tillsyn/A 63199-2025 tillsynsbegäran.docx", "A 63199-2025")</f>
        <v/>
      </c>
      <c r="Y31">
        <f>HYPERLINK("https://klasma.github.io/Logging_1880/tillsynsmail/A 63199-2025 tillsynsbegäran mail.docx", "A 63199-2025")</f>
        <v/>
      </c>
    </row>
    <row r="32" ht="15" customHeight="1">
      <c r="A32" t="inlineStr">
        <is>
          <t>A 58832-2025</t>
        </is>
      </c>
      <c r="B32" s="1" t="n">
        <v>45987</v>
      </c>
      <c r="C32" s="1" t="n">
        <v>46201</v>
      </c>
      <c r="D32" t="inlineStr">
        <is>
          <t>ÖREBRO LÄN</t>
        </is>
      </c>
      <c r="E32" t="inlineStr">
        <is>
          <t>ÖREBRO</t>
        </is>
      </c>
      <c r="G32" t="n">
        <v>0.9</v>
      </c>
      <c r="H32" t="n">
        <v>3</v>
      </c>
      <c r="I32" t="n">
        <v>0</v>
      </c>
      <c r="J32" t="n">
        <v>1</v>
      </c>
      <c r="K32" t="n">
        <v>1</v>
      </c>
      <c r="L32" t="n">
        <v>1</v>
      </c>
      <c r="M32" t="n">
        <v>0</v>
      </c>
      <c r="N32" t="n">
        <v>0</v>
      </c>
      <c r="O32" t="n">
        <v>3</v>
      </c>
      <c r="P32" t="n">
        <v>2</v>
      </c>
      <c r="Q32" t="n">
        <v>4</v>
      </c>
      <c r="R32" s="2" t="inlineStr">
        <is>
          <t>Mosippa
Knärot
Dropptaggsvamp
Spillkråka</t>
        </is>
      </c>
      <c r="S32">
        <f>HYPERLINK("https://klasma.github.io/Logging_1880/artfynd/A 58832-2025 artfynd.xlsx", "A 58832-2025")</f>
        <v/>
      </c>
      <c r="T32">
        <f>HYPERLINK("https://klasma.github.io/Logging_1880/kartor/A 58832-2025 karta.png", "A 58832-2025")</f>
        <v/>
      </c>
      <c r="U32">
        <f>HYPERLINK("https://klasma.github.io/Logging_1880/knärot/A 58832-2025 karta knärot.png", "A 58832-2025")</f>
        <v/>
      </c>
      <c r="V32">
        <f>HYPERLINK("https://klasma.github.io/Logging_1880/klagomål/A 58832-2025 FSC-klagomål.docx", "A 58832-2025")</f>
        <v/>
      </c>
      <c r="W32">
        <f>HYPERLINK("https://klasma.github.io/Logging_1880/klagomålsmail/A 58832-2025 FSC-klagomål mail.docx", "A 58832-2025")</f>
        <v/>
      </c>
      <c r="X32">
        <f>HYPERLINK("https://klasma.github.io/Logging_1880/tillsyn/A 58832-2025 tillsynsbegäran.docx", "A 58832-2025")</f>
        <v/>
      </c>
      <c r="Y32">
        <f>HYPERLINK("https://klasma.github.io/Logging_1880/tillsynsmail/A 58832-2025 tillsynsbegäran mail.docx", "A 58832-2025")</f>
        <v/>
      </c>
      <c r="Z32">
        <f>HYPERLINK("https://klasma.github.io/Logging_1880/fåglar/A 58832-2025 prioriterade fågelarter.docx", "A 58832-2025")</f>
        <v/>
      </c>
    </row>
    <row r="33" ht="15" customHeight="1">
      <c r="A33" t="inlineStr">
        <is>
          <t>A 29704-2022</t>
        </is>
      </c>
      <c r="B33" s="1" t="n">
        <v>44755</v>
      </c>
      <c r="C33" s="1" t="n">
        <v>46201</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46201</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575-2024</t>
        </is>
      </c>
      <c r="B35" s="1" t="n">
        <v>45299</v>
      </c>
      <c r="C35" s="1" t="n">
        <v>46201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26890-2022</t>
        </is>
      </c>
      <c r="B36" s="1" t="n">
        <v>44740</v>
      </c>
      <c r="C36" s="1" t="n">
        <v>46201</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30409-2025</t>
        </is>
      </c>
      <c r="B37" s="1" t="n">
        <v>45827</v>
      </c>
      <c r="C37" s="1" t="n">
        <v>46201</v>
      </c>
      <c r="D37" t="inlineStr">
        <is>
          <t>ÖREBRO LÄN</t>
        </is>
      </c>
      <c r="E37" t="inlineStr">
        <is>
          <t>ÖREBRO</t>
        </is>
      </c>
      <c r="G37" t="n">
        <v>1.2</v>
      </c>
      <c r="H37" t="n">
        <v>0</v>
      </c>
      <c r="I37" t="n">
        <v>2</v>
      </c>
      <c r="J37" t="n">
        <v>1</v>
      </c>
      <c r="K37" t="n">
        <v>0</v>
      </c>
      <c r="L37" t="n">
        <v>0</v>
      </c>
      <c r="M37" t="n">
        <v>0</v>
      </c>
      <c r="N37" t="n">
        <v>0</v>
      </c>
      <c r="O37" t="n">
        <v>1</v>
      </c>
      <c r="P37" t="n">
        <v>0</v>
      </c>
      <c r="Q37" t="n">
        <v>3</v>
      </c>
      <c r="R37" s="2" t="inlineStr">
        <is>
          <t>Scharlakansvaxing
Gulfotsskölding
Hasselticka</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29478-2022</t>
        </is>
      </c>
      <c r="B38" s="1" t="n">
        <v>44753</v>
      </c>
      <c r="C38" s="1" t="n">
        <v>46201</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46201</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46201</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14956-2025</t>
        </is>
      </c>
      <c r="B41" s="1" t="n">
        <v>45743</v>
      </c>
      <c r="C41" s="1" t="n">
        <v>46201</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7608-2024</t>
        </is>
      </c>
      <c r="B42" s="1" t="n">
        <v>45348</v>
      </c>
      <c r="C42" s="1" t="n">
        <v>46201</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13395-2024</t>
        </is>
      </c>
      <c r="B43" s="1" t="n">
        <v>45387</v>
      </c>
      <c r="C43" s="1" t="n">
        <v>46201</v>
      </c>
      <c r="D43" t="inlineStr">
        <is>
          <t>ÖREBRO LÄN</t>
        </is>
      </c>
      <c r="E43" t="inlineStr">
        <is>
          <t>ÖREBRO</t>
        </is>
      </c>
      <c r="G43" t="n">
        <v>1.9</v>
      </c>
      <c r="H43" t="n">
        <v>2</v>
      </c>
      <c r="I43" t="n">
        <v>0</v>
      </c>
      <c r="J43" t="n">
        <v>1</v>
      </c>
      <c r="K43" t="n">
        <v>0</v>
      </c>
      <c r="L43" t="n">
        <v>0</v>
      </c>
      <c r="M43" t="n">
        <v>0</v>
      </c>
      <c r="N43" t="n">
        <v>0</v>
      </c>
      <c r="O43" t="n">
        <v>1</v>
      </c>
      <c r="P43" t="n">
        <v>0</v>
      </c>
      <c r="Q43" t="n">
        <v>2</v>
      </c>
      <c r="R43" s="2" t="inlineStr">
        <is>
          <t>Järnsparv
Kungsfågel</t>
        </is>
      </c>
      <c r="S43">
        <f>HYPERLINK("https://klasma.github.io/Logging_1880/artfynd/A 13395-2024 artfynd.xlsx", "A 13395-2024")</f>
        <v/>
      </c>
      <c r="T43">
        <f>HYPERLINK("https://klasma.github.io/Logging_1880/kartor/A 13395-2024 karta.png", "A 13395-2024")</f>
        <v/>
      </c>
      <c r="V43">
        <f>HYPERLINK("https://klasma.github.io/Logging_1880/klagomål/A 13395-2024 FSC-klagomål.docx", "A 13395-2024")</f>
        <v/>
      </c>
      <c r="W43">
        <f>HYPERLINK("https://klasma.github.io/Logging_1880/klagomålsmail/A 13395-2024 FSC-klagomål mail.docx", "A 13395-2024")</f>
        <v/>
      </c>
      <c r="X43">
        <f>HYPERLINK("https://klasma.github.io/Logging_1880/tillsyn/A 13395-2024 tillsynsbegäran.docx", "A 13395-2024")</f>
        <v/>
      </c>
      <c r="Y43">
        <f>HYPERLINK("https://klasma.github.io/Logging_1880/tillsynsmail/A 13395-2024 tillsynsbegäran mail.docx", "A 13395-2024")</f>
        <v/>
      </c>
      <c r="Z43">
        <f>HYPERLINK("https://klasma.github.io/Logging_1880/fåglar/A 13395-2024 prioriterade fågelarter.docx", "A 13395-2024")</f>
        <v/>
      </c>
    </row>
    <row r="44" ht="15" customHeight="1">
      <c r="A44" t="inlineStr">
        <is>
          <t>A 22577-2024</t>
        </is>
      </c>
      <c r="B44" s="1" t="n">
        <v>45447</v>
      </c>
      <c r="C44" s="1" t="n">
        <v>46201</v>
      </c>
      <c r="D44" t="inlineStr">
        <is>
          <t>ÖREBRO LÄN</t>
        </is>
      </c>
      <c r="E44" t="inlineStr">
        <is>
          <t>ÖREBRO</t>
        </is>
      </c>
      <c r="G44" t="n">
        <v>1.8</v>
      </c>
      <c r="H44" t="n">
        <v>1</v>
      </c>
      <c r="I44" t="n">
        <v>0</v>
      </c>
      <c r="J44" t="n">
        <v>1</v>
      </c>
      <c r="K44" t="n">
        <v>0</v>
      </c>
      <c r="L44" t="n">
        <v>0</v>
      </c>
      <c r="M44" t="n">
        <v>0</v>
      </c>
      <c r="N44" t="n">
        <v>0</v>
      </c>
      <c r="O44" t="n">
        <v>1</v>
      </c>
      <c r="P44" t="n">
        <v>0</v>
      </c>
      <c r="Q44" t="n">
        <v>2</v>
      </c>
      <c r="R44" s="2" t="inlineStr">
        <is>
          <t>Ullticka
Spillkråka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31233-2025</t>
        </is>
      </c>
      <c r="B45" s="1" t="n">
        <v>45832</v>
      </c>
      <c r="C45" s="1" t="n">
        <v>46201</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14234-2024</t>
        </is>
      </c>
      <c r="B46" s="1" t="n">
        <v>45393</v>
      </c>
      <c r="C46" s="1" t="n">
        <v>46201</v>
      </c>
      <c r="D46" t="inlineStr">
        <is>
          <t>ÖREBRO LÄN</t>
        </is>
      </c>
      <c r="E46" t="inlineStr">
        <is>
          <t>ÖREBRO</t>
        </is>
      </c>
      <c r="G46" t="n">
        <v>1.6</v>
      </c>
      <c r="H46" t="n">
        <v>0</v>
      </c>
      <c r="I46" t="n">
        <v>0</v>
      </c>
      <c r="J46" t="n">
        <v>2</v>
      </c>
      <c r="K46" t="n">
        <v>0</v>
      </c>
      <c r="L46" t="n">
        <v>0</v>
      </c>
      <c r="M46" t="n">
        <v>0</v>
      </c>
      <c r="N46" t="n">
        <v>0</v>
      </c>
      <c r="O46" t="n">
        <v>2</v>
      </c>
      <c r="P46" t="n">
        <v>0</v>
      </c>
      <c r="Q46" t="n">
        <v>2</v>
      </c>
      <c r="R46" s="2" t="inlineStr">
        <is>
          <t>Sommarfibbla
Svinrot</t>
        </is>
      </c>
      <c r="S46">
        <f>HYPERLINK("https://klasma.github.io/Logging_1880/artfynd/A 14234-2024 artfynd.xlsx", "A 14234-2024")</f>
        <v/>
      </c>
      <c r="T46">
        <f>HYPERLINK("https://klasma.github.io/Logging_1880/kartor/A 14234-2024 karta.png", "A 14234-2024")</f>
        <v/>
      </c>
      <c r="V46">
        <f>HYPERLINK("https://klasma.github.io/Logging_1880/klagomål/A 14234-2024 FSC-klagomål.docx", "A 14234-2024")</f>
        <v/>
      </c>
      <c r="W46">
        <f>HYPERLINK("https://klasma.github.io/Logging_1880/klagomålsmail/A 14234-2024 FSC-klagomål mail.docx", "A 14234-2024")</f>
        <v/>
      </c>
      <c r="X46">
        <f>HYPERLINK("https://klasma.github.io/Logging_1880/tillsyn/A 14234-2024 tillsynsbegäran.docx", "A 14234-2024")</f>
        <v/>
      </c>
      <c r="Y46">
        <f>HYPERLINK("https://klasma.github.io/Logging_1880/tillsynsmail/A 14234-2024 tillsynsbegäran mail.docx", "A 14234-2024")</f>
        <v/>
      </c>
    </row>
    <row r="47" ht="15" customHeight="1">
      <c r="A47" t="inlineStr">
        <is>
          <t>A 13458-2024</t>
        </is>
      </c>
      <c r="B47" s="1" t="n">
        <v>45387</v>
      </c>
      <c r="C47" s="1" t="n">
        <v>46201</v>
      </c>
      <c r="D47" t="inlineStr">
        <is>
          <t>ÖREBRO LÄN</t>
        </is>
      </c>
      <c r="E47" t="inlineStr">
        <is>
          <t>ÖREBRO</t>
        </is>
      </c>
      <c r="G47" t="n">
        <v>1.8</v>
      </c>
      <c r="H47" t="n">
        <v>2</v>
      </c>
      <c r="I47" t="n">
        <v>0</v>
      </c>
      <c r="J47" t="n">
        <v>1</v>
      </c>
      <c r="K47" t="n">
        <v>0</v>
      </c>
      <c r="L47" t="n">
        <v>0</v>
      </c>
      <c r="M47" t="n">
        <v>0</v>
      </c>
      <c r="N47" t="n">
        <v>0</v>
      </c>
      <c r="O47" t="n">
        <v>1</v>
      </c>
      <c r="P47" t="n">
        <v>0</v>
      </c>
      <c r="Q47" t="n">
        <v>2</v>
      </c>
      <c r="R47" s="2" t="inlineStr">
        <is>
          <t>Göktyta
Havsörn</t>
        </is>
      </c>
      <c r="S47">
        <f>HYPERLINK("https://klasma.github.io/Logging_1880/artfynd/A 13458-2024 artfynd.xlsx", "A 13458-2024")</f>
        <v/>
      </c>
      <c r="T47">
        <f>HYPERLINK("https://klasma.github.io/Logging_1880/kartor/A 13458-2024 karta.png", "A 13458-2024")</f>
        <v/>
      </c>
      <c r="V47">
        <f>HYPERLINK("https://klasma.github.io/Logging_1880/klagomål/A 13458-2024 FSC-klagomål.docx", "A 13458-2024")</f>
        <v/>
      </c>
      <c r="W47">
        <f>HYPERLINK("https://klasma.github.io/Logging_1880/klagomålsmail/A 13458-2024 FSC-klagomål mail.docx", "A 13458-2024")</f>
        <v/>
      </c>
      <c r="X47">
        <f>HYPERLINK("https://klasma.github.io/Logging_1880/tillsyn/A 13458-2024 tillsynsbegäran.docx", "A 13458-2024")</f>
        <v/>
      </c>
      <c r="Y47">
        <f>HYPERLINK("https://klasma.github.io/Logging_1880/tillsynsmail/A 13458-2024 tillsynsbegäran mail.docx", "A 13458-2024")</f>
        <v/>
      </c>
      <c r="Z47">
        <f>HYPERLINK("https://klasma.github.io/Logging_1880/fåglar/A 13458-2024 prioriterade fågelarter.docx", "A 13458-2024")</f>
        <v/>
      </c>
    </row>
    <row r="48" ht="15" customHeight="1">
      <c r="A48" t="inlineStr">
        <is>
          <t>A 59516-2025</t>
        </is>
      </c>
      <c r="B48" s="1" t="n">
        <v>45989</v>
      </c>
      <c r="C48" s="1" t="n">
        <v>46201</v>
      </c>
      <c r="D48" t="inlineStr">
        <is>
          <t>ÖREBRO LÄN</t>
        </is>
      </c>
      <c r="E48" t="inlineStr">
        <is>
          <t>ÖREBRO</t>
        </is>
      </c>
      <c r="F48" t="inlineStr">
        <is>
          <t>Sveaskog</t>
        </is>
      </c>
      <c r="G48" t="n">
        <v>1.9</v>
      </c>
      <c r="H48" t="n">
        <v>0</v>
      </c>
      <c r="I48" t="n">
        <v>2</v>
      </c>
      <c r="J48" t="n">
        <v>0</v>
      </c>
      <c r="K48" t="n">
        <v>0</v>
      </c>
      <c r="L48" t="n">
        <v>0</v>
      </c>
      <c r="M48" t="n">
        <v>0</v>
      </c>
      <c r="N48" t="n">
        <v>0</v>
      </c>
      <c r="O48" t="n">
        <v>0</v>
      </c>
      <c r="P48" t="n">
        <v>0</v>
      </c>
      <c r="Q48" t="n">
        <v>2</v>
      </c>
      <c r="R48" s="2" t="inlineStr">
        <is>
          <t>Svavelriska
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2998-2026</t>
        </is>
      </c>
      <c r="B49" s="1" t="n">
        <v>46038</v>
      </c>
      <c r="C49" s="1" t="n">
        <v>46201</v>
      </c>
      <c r="D49" t="inlineStr">
        <is>
          <t>ÖREBRO LÄN</t>
        </is>
      </c>
      <c r="E49" t="inlineStr">
        <is>
          <t>ÖREBRO</t>
        </is>
      </c>
      <c r="F49" t="inlineStr">
        <is>
          <t>Övriga Aktiebolag</t>
        </is>
      </c>
      <c r="G49" t="n">
        <v>6.4</v>
      </c>
      <c r="H49" t="n">
        <v>2</v>
      </c>
      <c r="I49" t="n">
        <v>0</v>
      </c>
      <c r="J49" t="n">
        <v>1</v>
      </c>
      <c r="K49" t="n">
        <v>0</v>
      </c>
      <c r="L49" t="n">
        <v>0</v>
      </c>
      <c r="M49" t="n">
        <v>0</v>
      </c>
      <c r="N49" t="n">
        <v>0</v>
      </c>
      <c r="O49" t="n">
        <v>1</v>
      </c>
      <c r="P49" t="n">
        <v>0</v>
      </c>
      <c r="Q49" t="n">
        <v>2</v>
      </c>
      <c r="R49" s="2" t="inlineStr">
        <is>
          <t>Grönsångare
Kungsfågel</t>
        </is>
      </c>
      <c r="S49">
        <f>HYPERLINK("https://klasma.github.io/Logging_1880/artfynd/A 2998-2026 artfynd.xlsx", "A 2998-2026")</f>
        <v/>
      </c>
      <c r="T49">
        <f>HYPERLINK("https://klasma.github.io/Logging_1880/kartor/A 2998-2026 karta.png", "A 2998-2026")</f>
        <v/>
      </c>
      <c r="V49">
        <f>HYPERLINK("https://klasma.github.io/Logging_1880/klagomål/A 2998-2026 FSC-klagomål.docx", "A 2998-2026")</f>
        <v/>
      </c>
      <c r="W49">
        <f>HYPERLINK("https://klasma.github.io/Logging_1880/klagomålsmail/A 2998-2026 FSC-klagomål mail.docx", "A 2998-2026")</f>
        <v/>
      </c>
      <c r="X49">
        <f>HYPERLINK("https://klasma.github.io/Logging_1880/tillsyn/A 2998-2026 tillsynsbegäran.docx", "A 2998-2026")</f>
        <v/>
      </c>
      <c r="Y49">
        <f>HYPERLINK("https://klasma.github.io/Logging_1880/tillsynsmail/A 2998-2026 tillsynsbegäran mail.docx", "A 2998-2026")</f>
        <v/>
      </c>
      <c r="Z49">
        <f>HYPERLINK("https://klasma.github.io/Logging_1880/fåglar/A 2998-2026 prioriterade fågelarter.docx", "A 2998-2026")</f>
        <v/>
      </c>
    </row>
    <row r="50" ht="15" customHeight="1">
      <c r="A50" t="inlineStr">
        <is>
          <t>A 38133-2021</t>
        </is>
      </c>
      <c r="B50" s="1" t="n">
        <v>44404</v>
      </c>
      <c r="C50" s="1" t="n">
        <v>46201</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46201</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19388-2024</t>
        </is>
      </c>
      <c r="B52" s="1" t="n">
        <v>45429</v>
      </c>
      <c r="C52" s="1" t="n">
        <v>46201</v>
      </c>
      <c r="D52" t="inlineStr">
        <is>
          <t>ÖREBRO LÄN</t>
        </is>
      </c>
      <c r="E52" t="inlineStr">
        <is>
          <t>ÖREBRO</t>
        </is>
      </c>
      <c r="G52" t="n">
        <v>4.3</v>
      </c>
      <c r="H52" t="n">
        <v>0</v>
      </c>
      <c r="I52" t="n">
        <v>0</v>
      </c>
      <c r="J52" t="n">
        <v>1</v>
      </c>
      <c r="K52" t="n">
        <v>0</v>
      </c>
      <c r="L52" t="n">
        <v>0</v>
      </c>
      <c r="M52" t="n">
        <v>0</v>
      </c>
      <c r="N52" t="n">
        <v>0</v>
      </c>
      <c r="O52" t="n">
        <v>1</v>
      </c>
      <c r="P52" t="n">
        <v>0</v>
      </c>
      <c r="Q52" t="n">
        <v>1</v>
      </c>
      <c r="R52" s="2" t="inlineStr">
        <is>
          <t>Älg</t>
        </is>
      </c>
      <c r="S52">
        <f>HYPERLINK("https://klasma.github.io/Logging_1880/artfynd/A 19388-2024 artfynd.xlsx", "A 19388-2024")</f>
        <v/>
      </c>
      <c r="T52">
        <f>HYPERLINK("https://klasma.github.io/Logging_1880/kartor/A 19388-2024 karta.png", "A 19388-2024")</f>
        <v/>
      </c>
      <c r="V52">
        <f>HYPERLINK("https://klasma.github.io/Logging_1880/klagomål/A 19388-2024 FSC-klagomål.docx", "A 19388-2024")</f>
        <v/>
      </c>
      <c r="W52">
        <f>HYPERLINK("https://klasma.github.io/Logging_1880/klagomålsmail/A 19388-2024 FSC-klagomål mail.docx", "A 19388-2024")</f>
        <v/>
      </c>
      <c r="X52">
        <f>HYPERLINK("https://klasma.github.io/Logging_1880/tillsyn/A 19388-2024 tillsynsbegäran.docx", "A 19388-2024")</f>
        <v/>
      </c>
      <c r="Y52">
        <f>HYPERLINK("https://klasma.github.io/Logging_1880/tillsynsmail/A 19388-2024 tillsynsbegäran mail.docx", "A 19388-2024")</f>
        <v/>
      </c>
    </row>
    <row r="53" ht="15" customHeight="1">
      <c r="A53" t="inlineStr">
        <is>
          <t>A 40597-2021</t>
        </is>
      </c>
      <c r="B53" s="1" t="n">
        <v>44420</v>
      </c>
      <c r="C53" s="1" t="n">
        <v>46201</v>
      </c>
      <c r="D53" t="inlineStr">
        <is>
          <t>ÖREBRO LÄN</t>
        </is>
      </c>
      <c r="E53" t="inlineStr">
        <is>
          <t>ÖREBRO</t>
        </is>
      </c>
      <c r="G53" t="n">
        <v>2.1</v>
      </c>
      <c r="H53" t="n">
        <v>0</v>
      </c>
      <c r="I53" t="n">
        <v>1</v>
      </c>
      <c r="J53" t="n">
        <v>0</v>
      </c>
      <c r="K53" t="n">
        <v>0</v>
      </c>
      <c r="L53" t="n">
        <v>0</v>
      </c>
      <c r="M53" t="n">
        <v>0</v>
      </c>
      <c r="N53" t="n">
        <v>0</v>
      </c>
      <c r="O53" t="n">
        <v>0</v>
      </c>
      <c r="P53" t="n">
        <v>0</v>
      </c>
      <c r="Q53" t="n">
        <v>1</v>
      </c>
      <c r="R53" s="2" t="inlineStr">
        <is>
          <t>Kornig nållav</t>
        </is>
      </c>
      <c r="S53">
        <f>HYPERLINK("https://klasma.github.io/Logging_1880/artfynd/A 40597-2021 artfynd.xlsx", "A 40597-2021")</f>
        <v/>
      </c>
      <c r="T53">
        <f>HYPERLINK("https://klasma.github.io/Logging_1880/kartor/A 40597-2021 karta.png", "A 40597-2021")</f>
        <v/>
      </c>
      <c r="V53">
        <f>HYPERLINK("https://klasma.github.io/Logging_1880/klagomål/A 40597-2021 FSC-klagomål.docx", "A 40597-2021")</f>
        <v/>
      </c>
      <c r="W53">
        <f>HYPERLINK("https://klasma.github.io/Logging_1880/klagomålsmail/A 40597-2021 FSC-klagomål mail.docx", "A 40597-2021")</f>
        <v/>
      </c>
      <c r="X53">
        <f>HYPERLINK("https://klasma.github.io/Logging_1880/tillsyn/A 40597-2021 tillsynsbegäran.docx", "A 40597-2021")</f>
        <v/>
      </c>
      <c r="Y53">
        <f>HYPERLINK("https://klasma.github.io/Logging_1880/tillsynsmail/A 40597-2021 tillsynsbegäran mail.docx", "A 40597-2021")</f>
        <v/>
      </c>
    </row>
    <row r="54" ht="15" customHeight="1">
      <c r="A54" t="inlineStr">
        <is>
          <t>A 20032-2023</t>
        </is>
      </c>
      <c r="B54" s="1" t="n">
        <v>45054</v>
      </c>
      <c r="C54" s="1" t="n">
        <v>46201</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767-2024</t>
        </is>
      </c>
      <c r="B55" s="1" t="n">
        <v>45300</v>
      </c>
      <c r="C55" s="1" t="n">
        <v>46201</v>
      </c>
      <c r="D55" t="inlineStr">
        <is>
          <t>ÖREBRO LÄN</t>
        </is>
      </c>
      <c r="E55" t="inlineStr">
        <is>
          <t>ÖREBRO</t>
        </is>
      </c>
      <c r="G55" t="n">
        <v>2</v>
      </c>
      <c r="H55" t="n">
        <v>0</v>
      </c>
      <c r="I55" t="n">
        <v>0</v>
      </c>
      <c r="J55" t="n">
        <v>0</v>
      </c>
      <c r="K55" t="n">
        <v>0</v>
      </c>
      <c r="L55" t="n">
        <v>1</v>
      </c>
      <c r="M55" t="n">
        <v>0</v>
      </c>
      <c r="N55" t="n">
        <v>0</v>
      </c>
      <c r="O55" t="n">
        <v>1</v>
      </c>
      <c r="P55" t="n">
        <v>1</v>
      </c>
      <c r="Q55" t="n">
        <v>1</v>
      </c>
      <c r="R55" s="2" t="inlineStr">
        <is>
          <t>Ask</t>
        </is>
      </c>
      <c r="S55">
        <f>HYPERLINK("https://klasma.github.io/Logging_1880/artfynd/A 767-2024 artfynd.xlsx", "A 767-2024")</f>
        <v/>
      </c>
      <c r="T55">
        <f>HYPERLINK("https://klasma.github.io/Logging_1880/kartor/A 767-2024 karta.png", "A 767-2024")</f>
        <v/>
      </c>
      <c r="V55">
        <f>HYPERLINK("https://klasma.github.io/Logging_1880/klagomål/A 767-2024 FSC-klagomål.docx", "A 767-2024")</f>
        <v/>
      </c>
      <c r="W55">
        <f>HYPERLINK("https://klasma.github.io/Logging_1880/klagomålsmail/A 767-2024 FSC-klagomål mail.docx", "A 767-2024")</f>
        <v/>
      </c>
      <c r="X55">
        <f>HYPERLINK("https://klasma.github.io/Logging_1880/tillsyn/A 767-2024 tillsynsbegäran.docx", "A 767-2024")</f>
        <v/>
      </c>
      <c r="Y55">
        <f>HYPERLINK("https://klasma.github.io/Logging_1880/tillsynsmail/A 767-2024 tillsynsbegäran mail.docx", "A 767-2024")</f>
        <v/>
      </c>
    </row>
    <row r="56" ht="15" customHeight="1">
      <c r="A56" t="inlineStr">
        <is>
          <t>A 52441-2024</t>
        </is>
      </c>
      <c r="B56" s="1" t="n">
        <v>45609</v>
      </c>
      <c r="C56" s="1" t="n">
        <v>46201</v>
      </c>
      <c r="D56" t="inlineStr">
        <is>
          <t>ÖREBRO LÄN</t>
        </is>
      </c>
      <c r="E56" t="inlineStr">
        <is>
          <t>ÖREBRO</t>
        </is>
      </c>
      <c r="F56" t="inlineStr">
        <is>
          <t>Sveaskog</t>
        </is>
      </c>
      <c r="G56" t="n">
        <v>0.9</v>
      </c>
      <c r="H56" t="n">
        <v>0</v>
      </c>
      <c r="I56" t="n">
        <v>0</v>
      </c>
      <c r="J56" t="n">
        <v>0</v>
      </c>
      <c r="K56" t="n">
        <v>1</v>
      </c>
      <c r="L56" t="n">
        <v>0</v>
      </c>
      <c r="M56" t="n">
        <v>0</v>
      </c>
      <c r="N56" t="n">
        <v>0</v>
      </c>
      <c r="O56" t="n">
        <v>1</v>
      </c>
      <c r="P56" t="n">
        <v>1</v>
      </c>
      <c r="Q56" t="n">
        <v>1</v>
      </c>
      <c r="R56" s="2" t="inlineStr">
        <is>
          <t>Brunfläckig pärlemorfjäril</t>
        </is>
      </c>
      <c r="S56">
        <f>HYPERLINK("https://klasma.github.io/Logging_1880/artfynd/A 52441-2024 artfynd.xlsx", "A 52441-2024")</f>
        <v/>
      </c>
      <c r="T56">
        <f>HYPERLINK("https://klasma.github.io/Logging_1880/kartor/A 52441-2024 karta.png", "A 52441-2024")</f>
        <v/>
      </c>
      <c r="V56">
        <f>HYPERLINK("https://klasma.github.io/Logging_1880/klagomål/A 52441-2024 FSC-klagomål.docx", "A 52441-2024")</f>
        <v/>
      </c>
      <c r="W56">
        <f>HYPERLINK("https://klasma.github.io/Logging_1880/klagomålsmail/A 52441-2024 FSC-klagomål mail.docx", "A 52441-2024")</f>
        <v/>
      </c>
      <c r="X56">
        <f>HYPERLINK("https://klasma.github.io/Logging_1880/tillsyn/A 52441-2024 tillsynsbegäran.docx", "A 52441-2024")</f>
        <v/>
      </c>
      <c r="Y56">
        <f>HYPERLINK("https://klasma.github.io/Logging_1880/tillsynsmail/A 52441-2024 tillsynsbegäran mail.docx", "A 52441-2024")</f>
        <v/>
      </c>
    </row>
    <row r="57" ht="15" customHeight="1">
      <c r="A57" t="inlineStr">
        <is>
          <t>A 2077-2023</t>
        </is>
      </c>
      <c r="B57" s="1" t="n">
        <v>44939</v>
      </c>
      <c r="C57" s="1" t="n">
        <v>46201</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16736-2023</t>
        </is>
      </c>
      <c r="B58" s="1" t="n">
        <v>45030</v>
      </c>
      <c r="C58" s="1" t="n">
        <v>46201</v>
      </c>
      <c r="D58" t="inlineStr">
        <is>
          <t>ÖREBRO LÄN</t>
        </is>
      </c>
      <c r="E58" t="inlineStr">
        <is>
          <t>ÖREBRO</t>
        </is>
      </c>
      <c r="G58" t="n">
        <v>4</v>
      </c>
      <c r="H58" t="n">
        <v>1</v>
      </c>
      <c r="I58" t="n">
        <v>0</v>
      </c>
      <c r="J58" t="n">
        <v>0</v>
      </c>
      <c r="K58" t="n">
        <v>0</v>
      </c>
      <c r="L58" t="n">
        <v>0</v>
      </c>
      <c r="M58" t="n">
        <v>0</v>
      </c>
      <c r="N58" t="n">
        <v>0</v>
      </c>
      <c r="O58" t="n">
        <v>0</v>
      </c>
      <c r="P58" t="n">
        <v>0</v>
      </c>
      <c r="Q58" t="n">
        <v>1</v>
      </c>
      <c r="R58" s="2" t="inlineStr">
        <is>
          <t>Spillkråka</t>
        </is>
      </c>
      <c r="S58">
        <f>HYPERLINK("https://klasma.github.io/Logging_1880/artfynd/A 16736-2023 artfynd.xlsx", "A 16736-2023")</f>
        <v/>
      </c>
      <c r="T58">
        <f>HYPERLINK("https://klasma.github.io/Logging_1880/kartor/A 16736-2023 karta.png", "A 16736-2023")</f>
        <v/>
      </c>
      <c r="V58">
        <f>HYPERLINK("https://klasma.github.io/Logging_1880/klagomål/A 16736-2023 FSC-klagomål.docx", "A 16736-2023")</f>
        <v/>
      </c>
      <c r="W58">
        <f>HYPERLINK("https://klasma.github.io/Logging_1880/klagomålsmail/A 16736-2023 FSC-klagomål mail.docx", "A 16736-2023")</f>
        <v/>
      </c>
      <c r="X58">
        <f>HYPERLINK("https://klasma.github.io/Logging_1880/tillsyn/A 16736-2023 tillsynsbegäran.docx", "A 16736-2023")</f>
        <v/>
      </c>
      <c r="Y58">
        <f>HYPERLINK("https://klasma.github.io/Logging_1880/tillsynsmail/A 16736-2023 tillsynsbegäran mail.docx", "A 16736-2023")</f>
        <v/>
      </c>
      <c r="Z58">
        <f>HYPERLINK("https://klasma.github.io/Logging_1880/fåglar/A 16736-2023 prioriterade fågelarter.docx", "A 16736-2023")</f>
        <v/>
      </c>
    </row>
    <row r="59" ht="15" customHeight="1">
      <c r="A59" t="inlineStr">
        <is>
          <t>A 31240-2023</t>
        </is>
      </c>
      <c r="B59" s="1" t="n">
        <v>45114</v>
      </c>
      <c r="C59" s="1" t="n">
        <v>46201</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43332-2022</t>
        </is>
      </c>
      <c r="B60" s="1" t="n">
        <v>44834</v>
      </c>
      <c r="C60" s="1" t="n">
        <v>46201</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44744-2024</t>
        </is>
      </c>
      <c r="B61" s="1" t="n">
        <v>45574</v>
      </c>
      <c r="C61" s="1" t="n">
        <v>46201</v>
      </c>
      <c r="D61" t="inlineStr">
        <is>
          <t>ÖREBRO LÄN</t>
        </is>
      </c>
      <c r="E61" t="inlineStr">
        <is>
          <t>ÖREBRO</t>
        </is>
      </c>
      <c r="G61" t="n">
        <v>11.6</v>
      </c>
      <c r="H61" t="n">
        <v>1</v>
      </c>
      <c r="I61" t="n">
        <v>0</v>
      </c>
      <c r="J61" t="n">
        <v>0</v>
      </c>
      <c r="K61" t="n">
        <v>0</v>
      </c>
      <c r="L61" t="n">
        <v>0</v>
      </c>
      <c r="M61" t="n">
        <v>0</v>
      </c>
      <c r="N61" t="n">
        <v>0</v>
      </c>
      <c r="O61" t="n">
        <v>0</v>
      </c>
      <c r="P61" t="n">
        <v>0</v>
      </c>
      <c r="Q61" t="n">
        <v>1</v>
      </c>
      <c r="R61" s="2" t="inlineStr">
        <is>
          <t>Revlummer</t>
        </is>
      </c>
      <c r="S61">
        <f>HYPERLINK("https://klasma.github.io/Logging_1880/artfynd/A 44744-2024 artfynd.xlsx", "A 44744-2024")</f>
        <v/>
      </c>
      <c r="T61">
        <f>HYPERLINK("https://klasma.github.io/Logging_1880/kartor/A 44744-2024 karta.png", "A 44744-2024")</f>
        <v/>
      </c>
      <c r="V61">
        <f>HYPERLINK("https://klasma.github.io/Logging_1880/klagomål/A 44744-2024 FSC-klagomål.docx", "A 44744-2024")</f>
        <v/>
      </c>
      <c r="W61">
        <f>HYPERLINK("https://klasma.github.io/Logging_1880/klagomålsmail/A 44744-2024 FSC-klagomål mail.docx", "A 44744-2024")</f>
        <v/>
      </c>
      <c r="X61">
        <f>HYPERLINK("https://klasma.github.io/Logging_1880/tillsyn/A 44744-2024 tillsynsbegäran.docx", "A 44744-2024")</f>
        <v/>
      </c>
      <c r="Y61">
        <f>HYPERLINK("https://klasma.github.io/Logging_1880/tillsynsmail/A 44744-2024 tillsynsbegäran mail.docx", "A 44744-2024")</f>
        <v/>
      </c>
    </row>
    <row r="62" ht="15" customHeight="1">
      <c r="A62" t="inlineStr">
        <is>
          <t>A 30725-2023</t>
        </is>
      </c>
      <c r="B62" s="1" t="n">
        <v>45112</v>
      </c>
      <c r="C62" s="1" t="n">
        <v>46201</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43803-2023</t>
        </is>
      </c>
      <c r="B63" s="1" t="n">
        <v>45187</v>
      </c>
      <c r="C63" s="1" t="n">
        <v>46201</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Vedtrappmossa</t>
        </is>
      </c>
      <c r="S63">
        <f>HYPERLINK("https://klasma.github.io/Logging_1880/artfynd/A 43803-2023 artfynd.xlsx", "A 43803-2023")</f>
        <v/>
      </c>
      <c r="T63">
        <f>HYPERLINK("https://klasma.github.io/Logging_1880/kartor/A 43803-2023 karta.png", "A 43803-2023")</f>
        <v/>
      </c>
      <c r="V63">
        <f>HYPERLINK("https://klasma.github.io/Logging_1880/klagomål/A 43803-2023 FSC-klagomål.docx", "A 43803-2023")</f>
        <v/>
      </c>
      <c r="W63">
        <f>HYPERLINK("https://klasma.github.io/Logging_1880/klagomålsmail/A 43803-2023 FSC-klagomål mail.docx", "A 43803-2023")</f>
        <v/>
      </c>
      <c r="X63">
        <f>HYPERLINK("https://klasma.github.io/Logging_1880/tillsyn/A 43803-2023 tillsynsbegäran.docx", "A 43803-2023")</f>
        <v/>
      </c>
      <c r="Y63">
        <f>HYPERLINK("https://klasma.github.io/Logging_1880/tillsynsmail/A 43803-2023 tillsynsbegäran mail.docx", "A 43803-2023")</f>
        <v/>
      </c>
    </row>
    <row r="64" ht="15" customHeight="1">
      <c r="A64" t="inlineStr">
        <is>
          <t>A 48140-2024</t>
        </is>
      </c>
      <c r="B64" s="1" t="n">
        <v>45589</v>
      </c>
      <c r="C64" s="1" t="n">
        <v>46201</v>
      </c>
      <c r="D64" t="inlineStr">
        <is>
          <t>ÖREBRO LÄN</t>
        </is>
      </c>
      <c r="E64" t="inlineStr">
        <is>
          <t>ÖREBRO</t>
        </is>
      </c>
      <c r="G64" t="n">
        <v>2.4</v>
      </c>
      <c r="H64" t="n">
        <v>0</v>
      </c>
      <c r="I64" t="n">
        <v>0</v>
      </c>
      <c r="J64" t="n">
        <v>1</v>
      </c>
      <c r="K64" t="n">
        <v>0</v>
      </c>
      <c r="L64" t="n">
        <v>0</v>
      </c>
      <c r="M64" t="n">
        <v>0</v>
      </c>
      <c r="N64" t="n">
        <v>0</v>
      </c>
      <c r="O64" t="n">
        <v>1</v>
      </c>
      <c r="P64" t="n">
        <v>0</v>
      </c>
      <c r="Q64" t="n">
        <v>1</v>
      </c>
      <c r="R64" s="2" t="inlineStr">
        <is>
          <t>Ekticka</t>
        </is>
      </c>
      <c r="S64">
        <f>HYPERLINK("https://klasma.github.io/Logging_1880/artfynd/A 48140-2024 artfynd.xlsx", "A 48140-2024")</f>
        <v/>
      </c>
      <c r="T64">
        <f>HYPERLINK("https://klasma.github.io/Logging_1880/kartor/A 48140-2024 karta.png", "A 48140-2024")</f>
        <v/>
      </c>
      <c r="V64">
        <f>HYPERLINK("https://klasma.github.io/Logging_1880/klagomål/A 48140-2024 FSC-klagomål.docx", "A 48140-2024")</f>
        <v/>
      </c>
      <c r="W64">
        <f>HYPERLINK("https://klasma.github.io/Logging_1880/klagomålsmail/A 48140-2024 FSC-klagomål mail.docx", "A 48140-2024")</f>
        <v/>
      </c>
      <c r="X64">
        <f>HYPERLINK("https://klasma.github.io/Logging_1880/tillsyn/A 48140-2024 tillsynsbegäran.docx", "A 48140-2024")</f>
        <v/>
      </c>
      <c r="Y64">
        <f>HYPERLINK("https://klasma.github.io/Logging_1880/tillsynsmail/A 48140-2024 tillsynsbegäran mail.docx", "A 48140-2024")</f>
        <v/>
      </c>
    </row>
    <row r="65" ht="15" customHeight="1">
      <c r="A65" t="inlineStr">
        <is>
          <t>A 20247-2023</t>
        </is>
      </c>
      <c r="B65" s="1" t="n">
        <v>45055</v>
      </c>
      <c r="C65" s="1" t="n">
        <v>46201</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44389-2021</t>
        </is>
      </c>
      <c r="B66" s="1" t="n">
        <v>44435</v>
      </c>
      <c r="C66" s="1" t="n">
        <v>46201</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26858-2024</t>
        </is>
      </c>
      <c r="B67" s="1" t="n">
        <v>45470</v>
      </c>
      <c r="C67" s="1" t="n">
        <v>46201</v>
      </c>
      <c r="D67" t="inlineStr">
        <is>
          <t>ÖREBRO LÄN</t>
        </is>
      </c>
      <c r="E67" t="inlineStr">
        <is>
          <t>ÖREBRO</t>
        </is>
      </c>
      <c r="G67" t="n">
        <v>2.3</v>
      </c>
      <c r="H67" t="n">
        <v>0</v>
      </c>
      <c r="I67" t="n">
        <v>0</v>
      </c>
      <c r="J67" t="n">
        <v>1</v>
      </c>
      <c r="K67" t="n">
        <v>0</v>
      </c>
      <c r="L67" t="n">
        <v>0</v>
      </c>
      <c r="M67" t="n">
        <v>0</v>
      </c>
      <c r="N67" t="n">
        <v>0</v>
      </c>
      <c r="O67" t="n">
        <v>1</v>
      </c>
      <c r="P67" t="n">
        <v>0</v>
      </c>
      <c r="Q67" t="n">
        <v>1</v>
      </c>
      <c r="R67" s="2" t="inlineStr">
        <is>
          <t>Oxtungssvamp</t>
        </is>
      </c>
      <c r="S67">
        <f>HYPERLINK("https://klasma.github.io/Logging_1880/artfynd/A 26858-2024 artfynd.xlsx", "A 26858-2024")</f>
        <v/>
      </c>
      <c r="T67">
        <f>HYPERLINK("https://klasma.github.io/Logging_1880/kartor/A 26858-2024 karta.png", "A 26858-2024")</f>
        <v/>
      </c>
      <c r="V67">
        <f>HYPERLINK("https://klasma.github.io/Logging_1880/klagomål/A 26858-2024 FSC-klagomål.docx", "A 26858-2024")</f>
        <v/>
      </c>
      <c r="W67">
        <f>HYPERLINK("https://klasma.github.io/Logging_1880/klagomålsmail/A 26858-2024 FSC-klagomål mail.docx", "A 26858-2024")</f>
        <v/>
      </c>
      <c r="X67">
        <f>HYPERLINK("https://klasma.github.io/Logging_1880/tillsyn/A 26858-2024 tillsynsbegäran.docx", "A 26858-2024")</f>
        <v/>
      </c>
      <c r="Y67">
        <f>HYPERLINK("https://klasma.github.io/Logging_1880/tillsynsmail/A 26858-2024 tillsynsbegäran mail.docx", "A 26858-2024")</f>
        <v/>
      </c>
    </row>
    <row r="68" ht="15" customHeight="1">
      <c r="A68" t="inlineStr">
        <is>
          <t>A 30550-2025</t>
        </is>
      </c>
      <c r="B68" s="1" t="n">
        <v>45831</v>
      </c>
      <c r="C68" s="1" t="n">
        <v>46201</v>
      </c>
      <c r="D68" t="inlineStr">
        <is>
          <t>ÖREBRO LÄN</t>
        </is>
      </c>
      <c r="E68" t="inlineStr">
        <is>
          <t>ÖREBRO</t>
        </is>
      </c>
      <c r="G68" t="n">
        <v>1.8</v>
      </c>
      <c r="H68" t="n">
        <v>1</v>
      </c>
      <c r="I68" t="n">
        <v>0</v>
      </c>
      <c r="J68" t="n">
        <v>0</v>
      </c>
      <c r="K68" t="n">
        <v>0</v>
      </c>
      <c r="L68" t="n">
        <v>0</v>
      </c>
      <c r="M68" t="n">
        <v>0</v>
      </c>
      <c r="N68" t="n">
        <v>0</v>
      </c>
      <c r="O68" t="n">
        <v>0</v>
      </c>
      <c r="P68" t="n">
        <v>0</v>
      </c>
      <c r="Q68" t="n">
        <v>1</v>
      </c>
      <c r="R68" s="2" t="inlineStr">
        <is>
          <t>Utter</t>
        </is>
      </c>
      <c r="S68">
        <f>HYPERLINK("https://klasma.github.io/Logging_1880/artfynd/A 30550-2025 artfynd.xlsx", "A 30550-2025")</f>
        <v/>
      </c>
      <c r="T68">
        <f>HYPERLINK("https://klasma.github.io/Logging_1880/kartor/A 30550-2025 karta.png", "A 30550-2025")</f>
        <v/>
      </c>
      <c r="V68">
        <f>HYPERLINK("https://klasma.github.io/Logging_1880/klagomål/A 30550-2025 FSC-klagomål.docx", "A 30550-2025")</f>
        <v/>
      </c>
      <c r="W68">
        <f>HYPERLINK("https://klasma.github.io/Logging_1880/klagomålsmail/A 30550-2025 FSC-klagomål mail.docx", "A 30550-2025")</f>
        <v/>
      </c>
      <c r="X68">
        <f>HYPERLINK("https://klasma.github.io/Logging_1880/tillsyn/A 30550-2025 tillsynsbegäran.docx", "A 30550-2025")</f>
        <v/>
      </c>
      <c r="Y68">
        <f>HYPERLINK("https://klasma.github.io/Logging_1880/tillsynsmail/A 30550-2025 tillsynsbegäran mail.docx", "A 30550-2025")</f>
        <v/>
      </c>
    </row>
    <row r="69" ht="15" customHeight="1">
      <c r="A69" t="inlineStr">
        <is>
          <t>A 39130-2023</t>
        </is>
      </c>
      <c r="B69" s="1" t="n">
        <v>45165</v>
      </c>
      <c r="C69" s="1" t="n">
        <v>46201</v>
      </c>
      <c r="D69" t="inlineStr">
        <is>
          <t>ÖREBRO LÄN</t>
        </is>
      </c>
      <c r="E69" t="inlineStr">
        <is>
          <t>ÖREBRO</t>
        </is>
      </c>
      <c r="G69" t="n">
        <v>8.699999999999999</v>
      </c>
      <c r="H69" t="n">
        <v>1</v>
      </c>
      <c r="I69" t="n">
        <v>0</v>
      </c>
      <c r="J69" t="n">
        <v>0</v>
      </c>
      <c r="K69" t="n">
        <v>0</v>
      </c>
      <c r="L69" t="n">
        <v>0</v>
      </c>
      <c r="M69" t="n">
        <v>0</v>
      </c>
      <c r="N69" t="n">
        <v>0</v>
      </c>
      <c r="O69" t="n">
        <v>0</v>
      </c>
      <c r="P69" t="n">
        <v>0</v>
      </c>
      <c r="Q69" t="n">
        <v>1</v>
      </c>
      <c r="R69" s="2" t="inlineStr">
        <is>
          <t>Blåsippa</t>
        </is>
      </c>
      <c r="S69">
        <f>HYPERLINK("https://klasma.github.io/Logging_1880/artfynd/A 39130-2023 artfynd.xlsx", "A 39130-2023")</f>
        <v/>
      </c>
      <c r="T69">
        <f>HYPERLINK("https://klasma.github.io/Logging_1880/kartor/A 39130-2023 karta.png", "A 39130-2023")</f>
        <v/>
      </c>
      <c r="V69">
        <f>HYPERLINK("https://klasma.github.io/Logging_1880/klagomål/A 39130-2023 FSC-klagomål.docx", "A 39130-2023")</f>
        <v/>
      </c>
      <c r="W69">
        <f>HYPERLINK("https://klasma.github.io/Logging_1880/klagomålsmail/A 39130-2023 FSC-klagomål mail.docx", "A 39130-2023")</f>
        <v/>
      </c>
      <c r="X69">
        <f>HYPERLINK("https://klasma.github.io/Logging_1880/tillsyn/A 39130-2023 tillsynsbegäran.docx", "A 39130-2023")</f>
        <v/>
      </c>
      <c r="Y69">
        <f>HYPERLINK("https://klasma.github.io/Logging_1880/tillsynsmail/A 39130-2023 tillsynsbegäran mail.docx", "A 39130-2023")</f>
        <v/>
      </c>
    </row>
    <row r="70" ht="15" customHeight="1">
      <c r="A70" t="inlineStr">
        <is>
          <t>A 58208-2024</t>
        </is>
      </c>
      <c r="B70" s="1" t="n">
        <v>45632</v>
      </c>
      <c r="C70" s="1" t="n">
        <v>46201</v>
      </c>
      <c r="D70" t="inlineStr">
        <is>
          <t>ÖREBRO LÄN</t>
        </is>
      </c>
      <c r="E70" t="inlineStr">
        <is>
          <t>ÖREBRO</t>
        </is>
      </c>
      <c r="G70" t="n">
        <v>3.1</v>
      </c>
      <c r="H70" t="n">
        <v>0</v>
      </c>
      <c r="I70" t="n">
        <v>0</v>
      </c>
      <c r="J70" t="n">
        <v>1</v>
      </c>
      <c r="K70" t="n">
        <v>0</v>
      </c>
      <c r="L70" t="n">
        <v>0</v>
      </c>
      <c r="M70" t="n">
        <v>0</v>
      </c>
      <c r="N70" t="n">
        <v>0</v>
      </c>
      <c r="O70" t="n">
        <v>1</v>
      </c>
      <c r="P70" t="n">
        <v>0</v>
      </c>
      <c r="Q70" t="n">
        <v>1</v>
      </c>
      <c r="R70" s="2" t="inlineStr">
        <is>
          <t>Pilblad</t>
        </is>
      </c>
      <c r="S70">
        <f>HYPERLINK("https://klasma.github.io/Logging_1880/artfynd/A 58208-2024 artfynd.xlsx", "A 58208-2024")</f>
        <v/>
      </c>
      <c r="T70">
        <f>HYPERLINK("https://klasma.github.io/Logging_1880/kartor/A 58208-2024 karta.png", "A 58208-2024")</f>
        <v/>
      </c>
      <c r="V70">
        <f>HYPERLINK("https://klasma.github.io/Logging_1880/klagomål/A 58208-2024 FSC-klagomål.docx", "A 58208-2024")</f>
        <v/>
      </c>
      <c r="W70">
        <f>HYPERLINK("https://klasma.github.io/Logging_1880/klagomålsmail/A 58208-2024 FSC-klagomål mail.docx", "A 58208-2024")</f>
        <v/>
      </c>
      <c r="X70">
        <f>HYPERLINK("https://klasma.github.io/Logging_1880/tillsyn/A 58208-2024 tillsynsbegäran.docx", "A 58208-2024")</f>
        <v/>
      </c>
      <c r="Y70">
        <f>HYPERLINK("https://klasma.github.io/Logging_1880/tillsynsmail/A 58208-2024 tillsynsbegäran mail.docx", "A 58208-2024")</f>
        <v/>
      </c>
    </row>
    <row r="71" ht="15" customHeight="1">
      <c r="A71" t="inlineStr">
        <is>
          <t>A 11501-2025</t>
        </is>
      </c>
      <c r="B71" s="1" t="n">
        <v>45726</v>
      </c>
      <c r="C71" s="1" t="n">
        <v>46201</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36635-2023</t>
        </is>
      </c>
      <c r="B72" s="1" t="n">
        <v>45153</v>
      </c>
      <c r="C72" s="1" t="n">
        <v>46201</v>
      </c>
      <c r="D72" t="inlineStr">
        <is>
          <t>ÖREBRO LÄN</t>
        </is>
      </c>
      <c r="E72" t="inlineStr">
        <is>
          <t>ÖREBRO</t>
        </is>
      </c>
      <c r="G72" t="n">
        <v>1.9</v>
      </c>
      <c r="H72" t="n">
        <v>1</v>
      </c>
      <c r="I72" t="n">
        <v>1</v>
      </c>
      <c r="J72" t="n">
        <v>0</v>
      </c>
      <c r="K72" t="n">
        <v>0</v>
      </c>
      <c r="L72" t="n">
        <v>0</v>
      </c>
      <c r="M72" t="n">
        <v>0</v>
      </c>
      <c r="N72" t="n">
        <v>0</v>
      </c>
      <c r="O72" t="n">
        <v>0</v>
      </c>
      <c r="P72" t="n">
        <v>0</v>
      </c>
      <c r="Q72" t="n">
        <v>1</v>
      </c>
      <c r="R72" s="2" t="inlineStr">
        <is>
          <t>Purpurknipprot</t>
        </is>
      </c>
      <c r="S72">
        <f>HYPERLINK("https://klasma.github.io/Logging_1880/artfynd/A 36635-2023 artfynd.xlsx", "A 36635-2023")</f>
        <v/>
      </c>
      <c r="T72">
        <f>HYPERLINK("https://klasma.github.io/Logging_1880/kartor/A 36635-2023 karta.png", "A 36635-2023")</f>
        <v/>
      </c>
      <c r="V72">
        <f>HYPERLINK("https://klasma.github.io/Logging_1880/klagomål/A 36635-2023 FSC-klagomål.docx", "A 36635-2023")</f>
        <v/>
      </c>
      <c r="W72">
        <f>HYPERLINK("https://klasma.github.io/Logging_1880/klagomålsmail/A 36635-2023 FSC-klagomål mail.docx", "A 36635-2023")</f>
        <v/>
      </c>
      <c r="X72">
        <f>HYPERLINK("https://klasma.github.io/Logging_1880/tillsyn/A 36635-2023 tillsynsbegäran.docx", "A 36635-2023")</f>
        <v/>
      </c>
      <c r="Y72">
        <f>HYPERLINK("https://klasma.github.io/Logging_1880/tillsynsmail/A 36635-2023 tillsynsbegäran mail.docx", "A 36635-2023")</f>
        <v/>
      </c>
    </row>
    <row r="73" ht="15" customHeight="1">
      <c r="A73" t="inlineStr">
        <is>
          <t>A 42636-2023</t>
        </is>
      </c>
      <c r="B73" s="1" t="n">
        <v>45181</v>
      </c>
      <c r="C73" s="1" t="n">
        <v>46201</v>
      </c>
      <c r="D73" t="inlineStr">
        <is>
          <t>ÖREBRO LÄN</t>
        </is>
      </c>
      <c r="E73" t="inlineStr">
        <is>
          <t>ÖREBRO</t>
        </is>
      </c>
      <c r="G73" t="n">
        <v>1.7</v>
      </c>
      <c r="H73" t="n">
        <v>0</v>
      </c>
      <c r="I73" t="n">
        <v>0</v>
      </c>
      <c r="J73" t="n">
        <v>0</v>
      </c>
      <c r="K73" t="n">
        <v>1</v>
      </c>
      <c r="L73" t="n">
        <v>0</v>
      </c>
      <c r="M73" t="n">
        <v>0</v>
      </c>
      <c r="N73" t="n">
        <v>0</v>
      </c>
      <c r="O73" t="n">
        <v>1</v>
      </c>
      <c r="P73" t="n">
        <v>1</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31695-2024</t>
        </is>
      </c>
      <c r="B74" s="1" t="n">
        <v>45508</v>
      </c>
      <c r="C74" s="1" t="n">
        <v>46201</v>
      </c>
      <c r="D74" t="inlineStr">
        <is>
          <t>ÖREBRO LÄN</t>
        </is>
      </c>
      <c r="E74" t="inlineStr">
        <is>
          <t>ÖREBRO</t>
        </is>
      </c>
      <c r="G74" t="n">
        <v>1.3</v>
      </c>
      <c r="H74" t="n">
        <v>1</v>
      </c>
      <c r="I74" t="n">
        <v>1</v>
      </c>
      <c r="J74" t="n">
        <v>0</v>
      </c>
      <c r="K74" t="n">
        <v>0</v>
      </c>
      <c r="L74" t="n">
        <v>0</v>
      </c>
      <c r="M74" t="n">
        <v>0</v>
      </c>
      <c r="N74" t="n">
        <v>0</v>
      </c>
      <c r="O74" t="n">
        <v>0</v>
      </c>
      <c r="P74" t="n">
        <v>0</v>
      </c>
      <c r="Q74" t="n">
        <v>1</v>
      </c>
      <c r="R74" s="2" t="inlineStr">
        <is>
          <t>Skogsknipprot</t>
        </is>
      </c>
      <c r="S74">
        <f>HYPERLINK("https://klasma.github.io/Logging_1880/artfynd/A 31695-2024 artfynd.xlsx", "A 31695-2024")</f>
        <v/>
      </c>
      <c r="T74">
        <f>HYPERLINK("https://klasma.github.io/Logging_1880/kartor/A 31695-2024 karta.png", "A 31695-2024")</f>
        <v/>
      </c>
      <c r="V74">
        <f>HYPERLINK("https://klasma.github.io/Logging_1880/klagomål/A 31695-2024 FSC-klagomål.docx", "A 31695-2024")</f>
        <v/>
      </c>
      <c r="W74">
        <f>HYPERLINK("https://klasma.github.io/Logging_1880/klagomålsmail/A 31695-2024 FSC-klagomål mail.docx", "A 31695-2024")</f>
        <v/>
      </c>
      <c r="X74">
        <f>HYPERLINK("https://klasma.github.io/Logging_1880/tillsyn/A 31695-2024 tillsynsbegäran.docx", "A 31695-2024")</f>
        <v/>
      </c>
      <c r="Y74">
        <f>HYPERLINK("https://klasma.github.io/Logging_1880/tillsynsmail/A 31695-2024 tillsynsbegäran mail.docx", "A 31695-2024")</f>
        <v/>
      </c>
    </row>
    <row r="75" ht="15" customHeight="1">
      <c r="A75" t="inlineStr">
        <is>
          <t>A 55904-2024</t>
        </is>
      </c>
      <c r="B75" s="1" t="n">
        <v>45623</v>
      </c>
      <c r="C75" s="1" t="n">
        <v>46201</v>
      </c>
      <c r="D75" t="inlineStr">
        <is>
          <t>ÖREBRO LÄN</t>
        </is>
      </c>
      <c r="E75" t="inlineStr">
        <is>
          <t>ÖREBRO</t>
        </is>
      </c>
      <c r="G75" t="n">
        <v>1.2</v>
      </c>
      <c r="H75" t="n">
        <v>1</v>
      </c>
      <c r="I75" t="n">
        <v>0</v>
      </c>
      <c r="J75" t="n">
        <v>0</v>
      </c>
      <c r="K75" t="n">
        <v>0</v>
      </c>
      <c r="L75" t="n">
        <v>0</v>
      </c>
      <c r="M75" t="n">
        <v>0</v>
      </c>
      <c r="N75" t="n">
        <v>0</v>
      </c>
      <c r="O75" t="n">
        <v>0</v>
      </c>
      <c r="P75" t="n">
        <v>0</v>
      </c>
      <c r="Q75" t="n">
        <v>1</v>
      </c>
      <c r="R75" s="2" t="inlineStr">
        <is>
          <t>Trana</t>
        </is>
      </c>
      <c r="S75">
        <f>HYPERLINK("https://klasma.github.io/Logging_1880/artfynd/A 55904-2024 artfynd.xlsx", "A 55904-2024")</f>
        <v/>
      </c>
      <c r="T75">
        <f>HYPERLINK("https://klasma.github.io/Logging_1880/kartor/A 55904-2024 karta.png", "A 55904-2024")</f>
        <v/>
      </c>
      <c r="V75">
        <f>HYPERLINK("https://klasma.github.io/Logging_1880/klagomål/A 55904-2024 FSC-klagomål.docx", "A 55904-2024")</f>
        <v/>
      </c>
      <c r="W75">
        <f>HYPERLINK("https://klasma.github.io/Logging_1880/klagomålsmail/A 55904-2024 FSC-klagomål mail.docx", "A 55904-2024")</f>
        <v/>
      </c>
      <c r="X75">
        <f>HYPERLINK("https://klasma.github.io/Logging_1880/tillsyn/A 55904-2024 tillsynsbegäran.docx", "A 55904-2024")</f>
        <v/>
      </c>
      <c r="Y75">
        <f>HYPERLINK("https://klasma.github.io/Logging_1880/tillsynsmail/A 55904-2024 tillsynsbegäran mail.docx", "A 55904-2024")</f>
        <v/>
      </c>
      <c r="Z75">
        <f>HYPERLINK("https://klasma.github.io/Logging_1880/fåglar/A 55904-2024 prioriterade fågelarter.docx", "A 55904-2024")</f>
        <v/>
      </c>
    </row>
    <row r="76" ht="15" customHeight="1">
      <c r="A76" t="inlineStr">
        <is>
          <t>A 5097-2023</t>
        </is>
      </c>
      <c r="B76" s="1" t="n">
        <v>44958</v>
      </c>
      <c r="C76" s="1" t="n">
        <v>46201</v>
      </c>
      <c r="D76" t="inlineStr">
        <is>
          <t>ÖREBRO LÄN</t>
        </is>
      </c>
      <c r="E76" t="inlineStr">
        <is>
          <t>ÖREBRO</t>
        </is>
      </c>
      <c r="G76" t="n">
        <v>3.6</v>
      </c>
      <c r="H76" t="n">
        <v>1</v>
      </c>
      <c r="I76" t="n">
        <v>0</v>
      </c>
      <c r="J76" t="n">
        <v>0</v>
      </c>
      <c r="K76" t="n">
        <v>0</v>
      </c>
      <c r="L76" t="n">
        <v>0</v>
      </c>
      <c r="M76" t="n">
        <v>0</v>
      </c>
      <c r="N76" t="n">
        <v>0</v>
      </c>
      <c r="O76" t="n">
        <v>0</v>
      </c>
      <c r="P76" t="n">
        <v>0</v>
      </c>
      <c r="Q76" t="n">
        <v>1</v>
      </c>
      <c r="R76" s="2" t="inlineStr">
        <is>
          <t>Grönvit nattviol</t>
        </is>
      </c>
      <c r="S76">
        <f>HYPERLINK("https://klasma.github.io/Logging_1880/artfynd/A 5097-2023 artfynd.xlsx", "A 5097-2023")</f>
        <v/>
      </c>
      <c r="T76">
        <f>HYPERLINK("https://klasma.github.io/Logging_1880/kartor/A 5097-2023 karta.png", "A 5097-2023")</f>
        <v/>
      </c>
      <c r="V76">
        <f>HYPERLINK("https://klasma.github.io/Logging_1880/klagomål/A 5097-2023 FSC-klagomål.docx", "A 5097-2023")</f>
        <v/>
      </c>
      <c r="W76">
        <f>HYPERLINK("https://klasma.github.io/Logging_1880/klagomålsmail/A 5097-2023 FSC-klagomål mail.docx", "A 5097-2023")</f>
        <v/>
      </c>
      <c r="X76">
        <f>HYPERLINK("https://klasma.github.io/Logging_1880/tillsyn/A 5097-2023 tillsynsbegäran.docx", "A 5097-2023")</f>
        <v/>
      </c>
      <c r="Y76">
        <f>HYPERLINK("https://klasma.github.io/Logging_1880/tillsynsmail/A 5097-2023 tillsynsbegäran mail.docx", "A 5097-2023")</f>
        <v/>
      </c>
    </row>
    <row r="77" ht="15" customHeight="1">
      <c r="A77" t="inlineStr">
        <is>
          <t>A 58838-2025</t>
        </is>
      </c>
      <c r="B77" s="1" t="n">
        <v>45987</v>
      </c>
      <c r="C77" s="1" t="n">
        <v>46201</v>
      </c>
      <c r="D77" t="inlineStr">
        <is>
          <t>ÖREBRO LÄN</t>
        </is>
      </c>
      <c r="E77" t="inlineStr">
        <is>
          <t>ÖREBRO</t>
        </is>
      </c>
      <c r="G77" t="n">
        <v>1.7</v>
      </c>
      <c r="H77" t="n">
        <v>0</v>
      </c>
      <c r="I77" t="n">
        <v>1</v>
      </c>
      <c r="J77" t="n">
        <v>0</v>
      </c>
      <c r="K77" t="n">
        <v>0</v>
      </c>
      <c r="L77" t="n">
        <v>0</v>
      </c>
      <c r="M77" t="n">
        <v>0</v>
      </c>
      <c r="N77" t="n">
        <v>0</v>
      </c>
      <c r="O77" t="n">
        <v>0</v>
      </c>
      <c r="P77" t="n">
        <v>0</v>
      </c>
      <c r="Q77" t="n">
        <v>1</v>
      </c>
      <c r="R77" s="2" t="inlineStr">
        <is>
          <t>Grönpyrola</t>
        </is>
      </c>
      <c r="S77">
        <f>HYPERLINK("https://klasma.github.io/Logging_1880/artfynd/A 58838-2025 artfynd.xlsx", "A 58838-2025")</f>
        <v/>
      </c>
      <c r="T77">
        <f>HYPERLINK("https://klasma.github.io/Logging_1880/kartor/A 58838-2025 karta.png", "A 58838-2025")</f>
        <v/>
      </c>
      <c r="V77">
        <f>HYPERLINK("https://klasma.github.io/Logging_1880/klagomål/A 58838-2025 FSC-klagomål.docx", "A 58838-2025")</f>
        <v/>
      </c>
      <c r="W77">
        <f>HYPERLINK("https://klasma.github.io/Logging_1880/klagomålsmail/A 58838-2025 FSC-klagomål mail.docx", "A 58838-2025")</f>
        <v/>
      </c>
      <c r="X77">
        <f>HYPERLINK("https://klasma.github.io/Logging_1880/tillsyn/A 58838-2025 tillsynsbegäran.docx", "A 58838-2025")</f>
        <v/>
      </c>
      <c r="Y77">
        <f>HYPERLINK("https://klasma.github.io/Logging_1880/tillsynsmail/A 58838-2025 tillsynsbegäran mail.docx", "A 58838-2025")</f>
        <v/>
      </c>
    </row>
    <row r="78" ht="15" customHeight="1">
      <c r="A78" t="inlineStr">
        <is>
          <t>A 60720-2025</t>
        </is>
      </c>
      <c r="B78" s="1" t="n">
        <v>45996</v>
      </c>
      <c r="C78" s="1" t="n">
        <v>46201</v>
      </c>
      <c r="D78" t="inlineStr">
        <is>
          <t>ÖREBRO LÄN</t>
        </is>
      </c>
      <c r="E78" t="inlineStr">
        <is>
          <t>ÖREBRO</t>
        </is>
      </c>
      <c r="F78" t="inlineStr">
        <is>
          <t>Sveaskog</t>
        </is>
      </c>
      <c r="G78" t="n">
        <v>3</v>
      </c>
      <c r="H78" t="n">
        <v>1</v>
      </c>
      <c r="I78" t="n">
        <v>0</v>
      </c>
      <c r="J78" t="n">
        <v>0</v>
      </c>
      <c r="K78" t="n">
        <v>0</v>
      </c>
      <c r="L78" t="n">
        <v>0</v>
      </c>
      <c r="M78" t="n">
        <v>0</v>
      </c>
      <c r="N78" t="n">
        <v>0</v>
      </c>
      <c r="O78" t="n">
        <v>0</v>
      </c>
      <c r="P78" t="n">
        <v>0</v>
      </c>
      <c r="Q78" t="n">
        <v>1</v>
      </c>
      <c r="R78" s="2" t="inlineStr">
        <is>
          <t>Kungsfågel</t>
        </is>
      </c>
      <c r="S78">
        <f>HYPERLINK("https://klasma.github.io/Logging_1880/artfynd/A 60720-2025 artfynd.xlsx", "A 60720-2025")</f>
        <v/>
      </c>
      <c r="T78">
        <f>HYPERLINK("https://klasma.github.io/Logging_1880/kartor/A 60720-2025 karta.png", "A 60720-2025")</f>
        <v/>
      </c>
      <c r="V78">
        <f>HYPERLINK("https://klasma.github.io/Logging_1880/klagomål/A 60720-2025 FSC-klagomål.docx", "A 60720-2025")</f>
        <v/>
      </c>
      <c r="W78">
        <f>HYPERLINK("https://klasma.github.io/Logging_1880/klagomålsmail/A 60720-2025 FSC-klagomål mail.docx", "A 60720-2025")</f>
        <v/>
      </c>
      <c r="X78">
        <f>HYPERLINK("https://klasma.github.io/Logging_1880/tillsyn/A 60720-2025 tillsynsbegäran.docx", "A 60720-2025")</f>
        <v/>
      </c>
      <c r="Y78">
        <f>HYPERLINK("https://klasma.github.io/Logging_1880/tillsynsmail/A 60720-2025 tillsynsbegäran mail.docx", "A 60720-2025")</f>
        <v/>
      </c>
    </row>
    <row r="79" ht="15" customHeight="1">
      <c r="A79" t="inlineStr">
        <is>
          <t>A 60717-2025</t>
        </is>
      </c>
      <c r="B79" s="1" t="n">
        <v>45996</v>
      </c>
      <c r="C79" s="1" t="n">
        <v>46201</v>
      </c>
      <c r="D79" t="inlineStr">
        <is>
          <t>ÖREBRO LÄN</t>
        </is>
      </c>
      <c r="E79" t="inlineStr">
        <is>
          <t>ÖREBRO</t>
        </is>
      </c>
      <c r="F79" t="inlineStr">
        <is>
          <t>Sveaskog</t>
        </is>
      </c>
      <c r="G79" t="n">
        <v>0.5</v>
      </c>
      <c r="H79" t="n">
        <v>1</v>
      </c>
      <c r="I79" t="n">
        <v>0</v>
      </c>
      <c r="J79" t="n">
        <v>0</v>
      </c>
      <c r="K79" t="n">
        <v>0</v>
      </c>
      <c r="L79" t="n">
        <v>0</v>
      </c>
      <c r="M79" t="n">
        <v>0</v>
      </c>
      <c r="N79" t="n">
        <v>0</v>
      </c>
      <c r="O79" t="n">
        <v>0</v>
      </c>
      <c r="P79" t="n">
        <v>0</v>
      </c>
      <c r="Q79" t="n">
        <v>1</v>
      </c>
      <c r="R79" s="2" t="inlineStr">
        <is>
          <t>Kungsfågel</t>
        </is>
      </c>
      <c r="S79">
        <f>HYPERLINK("https://klasma.github.io/Logging_1880/artfynd/A 60717-2025 artfynd.xlsx", "A 60717-2025")</f>
        <v/>
      </c>
      <c r="T79">
        <f>HYPERLINK("https://klasma.github.io/Logging_1880/kartor/A 60717-2025 karta.png", "A 60717-2025")</f>
        <v/>
      </c>
      <c r="V79">
        <f>HYPERLINK("https://klasma.github.io/Logging_1880/klagomål/A 60717-2025 FSC-klagomål.docx", "A 60717-2025")</f>
        <v/>
      </c>
      <c r="W79">
        <f>HYPERLINK("https://klasma.github.io/Logging_1880/klagomålsmail/A 60717-2025 FSC-klagomål mail.docx", "A 60717-2025")</f>
        <v/>
      </c>
      <c r="X79">
        <f>HYPERLINK("https://klasma.github.io/Logging_1880/tillsyn/A 60717-2025 tillsynsbegäran.docx", "A 60717-2025")</f>
        <v/>
      </c>
      <c r="Y79">
        <f>HYPERLINK("https://klasma.github.io/Logging_1880/tillsynsmail/A 60717-2025 tillsynsbegäran mail.docx", "A 60717-2025")</f>
        <v/>
      </c>
    </row>
    <row r="80" ht="15" customHeight="1">
      <c r="A80" t="inlineStr">
        <is>
          <t>A 60718-2025</t>
        </is>
      </c>
      <c r="B80" s="1" t="n">
        <v>45996</v>
      </c>
      <c r="C80" s="1" t="n">
        <v>46201</v>
      </c>
      <c r="D80" t="inlineStr">
        <is>
          <t>ÖREBRO LÄN</t>
        </is>
      </c>
      <c r="E80" t="inlineStr">
        <is>
          <t>ÖREBRO</t>
        </is>
      </c>
      <c r="F80" t="inlineStr">
        <is>
          <t>Sveaskog</t>
        </is>
      </c>
      <c r="G80" t="n">
        <v>5.3</v>
      </c>
      <c r="H80" t="n">
        <v>1</v>
      </c>
      <c r="I80" t="n">
        <v>0</v>
      </c>
      <c r="J80" t="n">
        <v>0</v>
      </c>
      <c r="K80" t="n">
        <v>0</v>
      </c>
      <c r="L80" t="n">
        <v>0</v>
      </c>
      <c r="M80" t="n">
        <v>0</v>
      </c>
      <c r="N80" t="n">
        <v>0</v>
      </c>
      <c r="O80" t="n">
        <v>0</v>
      </c>
      <c r="P80" t="n">
        <v>0</v>
      </c>
      <c r="Q80" t="n">
        <v>1</v>
      </c>
      <c r="R80" s="2" t="inlineStr">
        <is>
          <t>Spillkråka</t>
        </is>
      </c>
      <c r="S80">
        <f>HYPERLINK("https://klasma.github.io/Logging_1880/artfynd/A 60718-2025 artfynd.xlsx", "A 60718-2025")</f>
        <v/>
      </c>
      <c r="T80">
        <f>HYPERLINK("https://klasma.github.io/Logging_1880/kartor/A 60718-2025 karta.png", "A 60718-2025")</f>
        <v/>
      </c>
      <c r="V80">
        <f>HYPERLINK("https://klasma.github.io/Logging_1880/klagomål/A 60718-2025 FSC-klagomål.docx", "A 60718-2025")</f>
        <v/>
      </c>
      <c r="W80">
        <f>HYPERLINK("https://klasma.github.io/Logging_1880/klagomålsmail/A 60718-2025 FSC-klagomål mail.docx", "A 60718-2025")</f>
        <v/>
      </c>
      <c r="X80">
        <f>HYPERLINK("https://klasma.github.io/Logging_1880/tillsyn/A 60718-2025 tillsynsbegäran.docx", "A 60718-2025")</f>
        <v/>
      </c>
      <c r="Y80">
        <f>HYPERLINK("https://klasma.github.io/Logging_1880/tillsynsmail/A 60718-2025 tillsynsbegäran mail.docx", "A 60718-2025")</f>
        <v/>
      </c>
      <c r="Z80">
        <f>HYPERLINK("https://klasma.github.io/Logging_1880/fåglar/A 60718-2025 prioriterade fågelarter.docx", "A 60718-2025")</f>
        <v/>
      </c>
    </row>
    <row r="81" ht="15" customHeight="1">
      <c r="A81" t="inlineStr">
        <is>
          <t>A 60028-2024</t>
        </is>
      </c>
      <c r="B81" s="1" t="n">
        <v>45642</v>
      </c>
      <c r="C81" s="1" t="n">
        <v>46201</v>
      </c>
      <c r="D81" t="inlineStr">
        <is>
          <t>ÖREBRO LÄN</t>
        </is>
      </c>
      <c r="E81" t="inlineStr">
        <is>
          <t>ÖREBRO</t>
        </is>
      </c>
      <c r="G81" t="n">
        <v>1.7</v>
      </c>
      <c r="H81" t="n">
        <v>0</v>
      </c>
      <c r="I81" t="n">
        <v>0</v>
      </c>
      <c r="J81" t="n">
        <v>1</v>
      </c>
      <c r="K81" t="n">
        <v>0</v>
      </c>
      <c r="L81" t="n">
        <v>0</v>
      </c>
      <c r="M81" t="n">
        <v>0</v>
      </c>
      <c r="N81" t="n">
        <v>0</v>
      </c>
      <c r="O81" t="n">
        <v>1</v>
      </c>
      <c r="P81" t="n">
        <v>0</v>
      </c>
      <c r="Q81" t="n">
        <v>1</v>
      </c>
      <c r="R81" s="2" t="inlineStr">
        <is>
          <t>Granspira</t>
        </is>
      </c>
      <c r="S81">
        <f>HYPERLINK("https://klasma.github.io/Logging_1880/artfynd/A 60028-2024 artfynd.xlsx", "A 60028-2024")</f>
        <v/>
      </c>
      <c r="T81">
        <f>HYPERLINK("https://klasma.github.io/Logging_1880/kartor/A 60028-2024 karta.png", "A 60028-2024")</f>
        <v/>
      </c>
      <c r="V81">
        <f>HYPERLINK("https://klasma.github.io/Logging_1880/klagomål/A 60028-2024 FSC-klagomål.docx", "A 60028-2024")</f>
        <v/>
      </c>
      <c r="W81">
        <f>HYPERLINK("https://klasma.github.io/Logging_1880/klagomålsmail/A 60028-2024 FSC-klagomål mail.docx", "A 60028-2024")</f>
        <v/>
      </c>
      <c r="X81">
        <f>HYPERLINK("https://klasma.github.io/Logging_1880/tillsyn/A 60028-2024 tillsynsbegäran.docx", "A 60028-2024")</f>
        <v/>
      </c>
      <c r="Y81">
        <f>HYPERLINK("https://klasma.github.io/Logging_1880/tillsynsmail/A 60028-2024 tillsynsbegäran mail.docx", "A 60028-2024")</f>
        <v/>
      </c>
    </row>
    <row r="82" ht="15" customHeight="1">
      <c r="A82" t="inlineStr">
        <is>
          <t>A 60022-2024</t>
        </is>
      </c>
      <c r="B82" s="1" t="n">
        <v>45642</v>
      </c>
      <c r="C82" s="1" t="n">
        <v>46201</v>
      </c>
      <c r="D82" t="inlineStr">
        <is>
          <t>ÖREBRO LÄN</t>
        </is>
      </c>
      <c r="E82" t="inlineStr">
        <is>
          <t>ÖREBRO</t>
        </is>
      </c>
      <c r="G82" t="n">
        <v>1.7</v>
      </c>
      <c r="H82" t="n">
        <v>0</v>
      </c>
      <c r="I82" t="n">
        <v>0</v>
      </c>
      <c r="J82" t="n">
        <v>1</v>
      </c>
      <c r="K82" t="n">
        <v>0</v>
      </c>
      <c r="L82" t="n">
        <v>0</v>
      </c>
      <c r="M82" t="n">
        <v>0</v>
      </c>
      <c r="N82" t="n">
        <v>0</v>
      </c>
      <c r="O82" t="n">
        <v>1</v>
      </c>
      <c r="P82" t="n">
        <v>0</v>
      </c>
      <c r="Q82" t="n">
        <v>1</v>
      </c>
      <c r="R82" s="2" t="inlineStr">
        <is>
          <t>Granspira</t>
        </is>
      </c>
      <c r="S82">
        <f>HYPERLINK("https://klasma.github.io/Logging_1880/artfynd/A 60022-2024 artfynd.xlsx", "A 60022-2024")</f>
        <v/>
      </c>
      <c r="T82">
        <f>HYPERLINK("https://klasma.github.io/Logging_1880/kartor/A 60022-2024 karta.png", "A 60022-2024")</f>
        <v/>
      </c>
      <c r="V82">
        <f>HYPERLINK("https://klasma.github.io/Logging_1880/klagomål/A 60022-2024 FSC-klagomål.docx", "A 60022-2024")</f>
        <v/>
      </c>
      <c r="W82">
        <f>HYPERLINK("https://klasma.github.io/Logging_1880/klagomålsmail/A 60022-2024 FSC-klagomål mail.docx", "A 60022-2024")</f>
        <v/>
      </c>
      <c r="X82">
        <f>HYPERLINK("https://klasma.github.io/Logging_1880/tillsyn/A 60022-2024 tillsynsbegäran.docx", "A 60022-2024")</f>
        <v/>
      </c>
      <c r="Y82">
        <f>HYPERLINK("https://klasma.github.io/Logging_1880/tillsynsmail/A 60022-2024 tillsynsbegäran mail.docx", "A 60022-2024")</f>
        <v/>
      </c>
    </row>
    <row r="83" ht="15" customHeight="1">
      <c r="A83" t="inlineStr">
        <is>
          <t>A 27140-2026</t>
        </is>
      </c>
      <c r="B83" s="1" t="n">
        <v>46188</v>
      </c>
      <c r="C83" s="1" t="n">
        <v>46201</v>
      </c>
      <c r="D83" t="inlineStr">
        <is>
          <t>ÖREBRO LÄN</t>
        </is>
      </c>
      <c r="E83" t="inlineStr">
        <is>
          <t>ÖREBRO</t>
        </is>
      </c>
      <c r="G83" t="n">
        <v>0.7</v>
      </c>
      <c r="H83" t="n">
        <v>0</v>
      </c>
      <c r="I83" t="n">
        <v>0</v>
      </c>
      <c r="J83" t="n">
        <v>0</v>
      </c>
      <c r="K83" t="n">
        <v>1</v>
      </c>
      <c r="L83" t="n">
        <v>0</v>
      </c>
      <c r="M83" t="n">
        <v>0</v>
      </c>
      <c r="N83" t="n">
        <v>0</v>
      </c>
      <c r="O83" t="n">
        <v>1</v>
      </c>
      <c r="P83" t="n">
        <v>1</v>
      </c>
      <c r="Q83" t="n">
        <v>1</v>
      </c>
      <c r="R83" s="2" t="inlineStr">
        <is>
          <t>Igelkott</t>
        </is>
      </c>
      <c r="S83">
        <f>HYPERLINK("https://klasma.github.io/Logging_1880/artfynd/A 27140-2026 artfynd.xlsx", "A 27140-2026")</f>
        <v/>
      </c>
      <c r="T83">
        <f>HYPERLINK("https://klasma.github.io/Logging_1880/kartor/A 27140-2026 karta.png", "A 27140-2026")</f>
        <v/>
      </c>
      <c r="V83">
        <f>HYPERLINK("https://klasma.github.io/Logging_1880/klagomål/A 27140-2026 FSC-klagomål.docx", "A 27140-2026")</f>
        <v/>
      </c>
      <c r="W83">
        <f>HYPERLINK("https://klasma.github.io/Logging_1880/klagomålsmail/A 27140-2026 FSC-klagomål mail.docx", "A 27140-2026")</f>
        <v/>
      </c>
      <c r="X83">
        <f>HYPERLINK("https://klasma.github.io/Logging_1880/tillsyn/A 27140-2026 tillsynsbegäran.docx", "A 27140-2026")</f>
        <v/>
      </c>
      <c r="Y83">
        <f>HYPERLINK("https://klasma.github.io/Logging_1880/tillsynsmail/A 27140-2026 tillsynsbegäran mail.docx", "A 27140-2026")</f>
        <v/>
      </c>
    </row>
    <row r="84" ht="15" customHeight="1">
      <c r="A84" t="inlineStr">
        <is>
          <t>A 27186-2026</t>
        </is>
      </c>
      <c r="B84" s="1" t="n">
        <v>46188</v>
      </c>
      <c r="C84" s="1" t="n">
        <v>46201</v>
      </c>
      <c r="D84" t="inlineStr">
        <is>
          <t>ÖREBRO LÄN</t>
        </is>
      </c>
      <c r="E84" t="inlineStr">
        <is>
          <t>ÖREBRO</t>
        </is>
      </c>
      <c r="G84" t="n">
        <v>3.5</v>
      </c>
      <c r="H84" t="n">
        <v>0</v>
      </c>
      <c r="I84" t="n">
        <v>1</v>
      </c>
      <c r="J84" t="n">
        <v>0</v>
      </c>
      <c r="K84" t="n">
        <v>0</v>
      </c>
      <c r="L84" t="n">
        <v>0</v>
      </c>
      <c r="M84" t="n">
        <v>0</v>
      </c>
      <c r="N84" t="n">
        <v>0</v>
      </c>
      <c r="O84" t="n">
        <v>0</v>
      </c>
      <c r="P84" t="n">
        <v>0</v>
      </c>
      <c r="Q84" t="n">
        <v>1</v>
      </c>
      <c r="R84" s="2" t="inlineStr">
        <is>
          <t>Tibast</t>
        </is>
      </c>
      <c r="S84">
        <f>HYPERLINK("https://klasma.github.io/Logging_1880/artfynd/A 27186-2026 artfynd.xlsx", "A 27186-2026")</f>
        <v/>
      </c>
      <c r="T84">
        <f>HYPERLINK("https://klasma.github.io/Logging_1880/kartor/A 27186-2026 karta.png", "A 27186-2026")</f>
        <v/>
      </c>
      <c r="V84">
        <f>HYPERLINK("https://klasma.github.io/Logging_1880/klagomål/A 27186-2026 FSC-klagomål.docx", "A 27186-2026")</f>
        <v/>
      </c>
      <c r="W84">
        <f>HYPERLINK("https://klasma.github.io/Logging_1880/klagomålsmail/A 27186-2026 FSC-klagomål mail.docx", "A 27186-2026")</f>
        <v/>
      </c>
      <c r="X84">
        <f>HYPERLINK("https://klasma.github.io/Logging_1880/tillsyn/A 27186-2026 tillsynsbegäran.docx", "A 27186-2026")</f>
        <v/>
      </c>
      <c r="Y84">
        <f>HYPERLINK("https://klasma.github.io/Logging_1880/tillsynsmail/A 27186-2026 tillsynsbegäran mail.docx", "A 27186-2026")</f>
        <v/>
      </c>
    </row>
    <row r="85" ht="15" customHeight="1">
      <c r="A85" t="inlineStr">
        <is>
          <t>A 28936-2025</t>
        </is>
      </c>
      <c r="B85" s="1" t="n">
        <v>45820</v>
      </c>
      <c r="C85" s="1" t="n">
        <v>46201</v>
      </c>
      <c r="D85" t="inlineStr">
        <is>
          <t>ÖREBRO LÄN</t>
        </is>
      </c>
      <c r="E85" t="inlineStr">
        <is>
          <t>ÖREBRO</t>
        </is>
      </c>
      <c r="G85" t="n">
        <v>0.9</v>
      </c>
      <c r="H85" t="n">
        <v>1</v>
      </c>
      <c r="I85" t="n">
        <v>0</v>
      </c>
      <c r="J85" t="n">
        <v>0</v>
      </c>
      <c r="K85" t="n">
        <v>0</v>
      </c>
      <c r="L85" t="n">
        <v>0</v>
      </c>
      <c r="M85" t="n">
        <v>0</v>
      </c>
      <c r="N85" t="n">
        <v>0</v>
      </c>
      <c r="O85" t="n">
        <v>0</v>
      </c>
      <c r="P85" t="n">
        <v>0</v>
      </c>
      <c r="Q85" t="n">
        <v>1</v>
      </c>
      <c r="R85" s="2" t="inlineStr">
        <is>
          <t>Kungsfågel</t>
        </is>
      </c>
      <c r="S85">
        <f>HYPERLINK("https://klasma.github.io/Logging_1880/artfynd/A 28936-2025 artfynd.xlsx", "A 28936-2025")</f>
        <v/>
      </c>
      <c r="T85">
        <f>HYPERLINK("https://klasma.github.io/Logging_1880/kartor/A 28936-2025 karta.png", "A 28936-2025")</f>
        <v/>
      </c>
      <c r="V85">
        <f>HYPERLINK("https://klasma.github.io/Logging_1880/klagomål/A 28936-2025 FSC-klagomål.docx", "A 28936-2025")</f>
        <v/>
      </c>
      <c r="W85">
        <f>HYPERLINK("https://klasma.github.io/Logging_1880/klagomålsmail/A 28936-2025 FSC-klagomål mail.docx", "A 28936-2025")</f>
        <v/>
      </c>
      <c r="X85">
        <f>HYPERLINK("https://klasma.github.io/Logging_1880/tillsyn/A 28936-2025 tillsynsbegäran.docx", "A 28936-2025")</f>
        <v/>
      </c>
      <c r="Y85">
        <f>HYPERLINK("https://klasma.github.io/Logging_1880/tillsynsmail/A 28936-2025 tillsynsbegäran mail.docx", "A 28936-2025")</f>
        <v/>
      </c>
    </row>
    <row r="86" ht="15" customHeight="1">
      <c r="A86" t="inlineStr">
        <is>
          <t>A 33865-2021</t>
        </is>
      </c>
      <c r="B86" s="1" t="n">
        <v>44378</v>
      </c>
      <c r="C86" s="1" t="n">
        <v>46201</v>
      </c>
      <c r="D86" t="inlineStr">
        <is>
          <t>ÖREBRO LÄN</t>
        </is>
      </c>
      <c r="E86" t="inlineStr">
        <is>
          <t>ÖREBRO</t>
        </is>
      </c>
      <c r="F86" t="inlineStr">
        <is>
          <t>Kommuner</t>
        </is>
      </c>
      <c r="G86" t="n">
        <v>2.8</v>
      </c>
      <c r="H86" t="n">
        <v>0</v>
      </c>
      <c r="I86" t="n">
        <v>0</v>
      </c>
      <c r="J86" t="n">
        <v>0</v>
      </c>
      <c r="K86" t="n">
        <v>0</v>
      </c>
      <c r="L86" t="n">
        <v>0</v>
      </c>
      <c r="M86" t="n">
        <v>0</v>
      </c>
      <c r="N86" t="n">
        <v>0</v>
      </c>
      <c r="O86" t="n">
        <v>0</v>
      </c>
      <c r="P86" t="n">
        <v>0</v>
      </c>
      <c r="Q86" t="n">
        <v>0</v>
      </c>
      <c r="R86" s="2" t="inlineStr"/>
    </row>
    <row r="87" ht="15" customHeight="1">
      <c r="A87" t="inlineStr">
        <is>
          <t>A 70289-2021</t>
        </is>
      </c>
      <c r="B87" s="1" t="n">
        <v>44536</v>
      </c>
      <c r="C87" s="1" t="n">
        <v>46201</v>
      </c>
      <c r="D87" t="inlineStr">
        <is>
          <t>ÖREBRO LÄN</t>
        </is>
      </c>
      <c r="E87" t="inlineStr">
        <is>
          <t>ÖREBRO</t>
        </is>
      </c>
      <c r="G87" t="n">
        <v>1.2</v>
      </c>
      <c r="H87" t="n">
        <v>0</v>
      </c>
      <c r="I87" t="n">
        <v>0</v>
      </c>
      <c r="J87" t="n">
        <v>0</v>
      </c>
      <c r="K87" t="n">
        <v>0</v>
      </c>
      <c r="L87" t="n">
        <v>0</v>
      </c>
      <c r="M87" t="n">
        <v>0</v>
      </c>
      <c r="N87" t="n">
        <v>0</v>
      </c>
      <c r="O87" t="n">
        <v>0</v>
      </c>
      <c r="P87" t="n">
        <v>0</v>
      </c>
      <c r="Q87" t="n">
        <v>0</v>
      </c>
      <c r="R87" s="2" t="inlineStr"/>
    </row>
    <row r="88" ht="15" customHeight="1">
      <c r="A88" t="inlineStr">
        <is>
          <t>A 70540-2021</t>
        </is>
      </c>
      <c r="B88" s="1" t="n">
        <v>44537</v>
      </c>
      <c r="C88" s="1" t="n">
        <v>46201</v>
      </c>
      <c r="D88" t="inlineStr">
        <is>
          <t>ÖREBRO LÄN</t>
        </is>
      </c>
      <c r="E88" t="inlineStr">
        <is>
          <t>ÖREBRO</t>
        </is>
      </c>
      <c r="G88" t="n">
        <v>7.1</v>
      </c>
      <c r="H88" t="n">
        <v>0</v>
      </c>
      <c r="I88" t="n">
        <v>0</v>
      </c>
      <c r="J88" t="n">
        <v>0</v>
      </c>
      <c r="K88" t="n">
        <v>0</v>
      </c>
      <c r="L88" t="n">
        <v>0</v>
      </c>
      <c r="M88" t="n">
        <v>0</v>
      </c>
      <c r="N88" t="n">
        <v>0</v>
      </c>
      <c r="O88" t="n">
        <v>0</v>
      </c>
      <c r="P88" t="n">
        <v>0</v>
      </c>
      <c r="Q88" t="n">
        <v>0</v>
      </c>
      <c r="R88" s="2" t="inlineStr"/>
    </row>
    <row r="89" ht="15" customHeight="1">
      <c r="A89" t="inlineStr">
        <is>
          <t>A 49016-2021</t>
        </is>
      </c>
      <c r="B89" s="1" t="n">
        <v>44453</v>
      </c>
      <c r="C89" s="1" t="n">
        <v>46201</v>
      </c>
      <c r="D89" t="inlineStr">
        <is>
          <t>ÖREBRO LÄN</t>
        </is>
      </c>
      <c r="E89" t="inlineStr">
        <is>
          <t>ÖREBRO</t>
        </is>
      </c>
      <c r="G89" t="n">
        <v>4.5</v>
      </c>
      <c r="H89" t="n">
        <v>0</v>
      </c>
      <c r="I89" t="n">
        <v>0</v>
      </c>
      <c r="J89" t="n">
        <v>0</v>
      </c>
      <c r="K89" t="n">
        <v>0</v>
      </c>
      <c r="L89" t="n">
        <v>0</v>
      </c>
      <c r="M89" t="n">
        <v>0</v>
      </c>
      <c r="N89" t="n">
        <v>0</v>
      </c>
      <c r="O89" t="n">
        <v>0</v>
      </c>
      <c r="P89" t="n">
        <v>0</v>
      </c>
      <c r="Q89" t="n">
        <v>0</v>
      </c>
      <c r="R89" s="2" t="inlineStr"/>
    </row>
    <row r="90" ht="15" customHeight="1">
      <c r="A90" t="inlineStr">
        <is>
          <t>A 59584-2021</t>
        </is>
      </c>
      <c r="B90" s="1" t="n">
        <v>44491</v>
      </c>
      <c r="C90" s="1" t="n">
        <v>46201</v>
      </c>
      <c r="D90" t="inlineStr">
        <is>
          <t>ÖREBRO LÄN</t>
        </is>
      </c>
      <c r="E90" t="inlineStr">
        <is>
          <t>ÖREBRO</t>
        </is>
      </c>
      <c r="G90" t="n">
        <v>1.4</v>
      </c>
      <c r="H90" t="n">
        <v>0</v>
      </c>
      <c r="I90" t="n">
        <v>0</v>
      </c>
      <c r="J90" t="n">
        <v>0</v>
      </c>
      <c r="K90" t="n">
        <v>0</v>
      </c>
      <c r="L90" t="n">
        <v>0</v>
      </c>
      <c r="M90" t="n">
        <v>0</v>
      </c>
      <c r="N90" t="n">
        <v>0</v>
      </c>
      <c r="O90" t="n">
        <v>0</v>
      </c>
      <c r="P90" t="n">
        <v>0</v>
      </c>
      <c r="Q90" t="n">
        <v>0</v>
      </c>
      <c r="R90" s="2" t="inlineStr"/>
    </row>
    <row r="91" ht="15" customHeight="1">
      <c r="A91" t="inlineStr">
        <is>
          <t>A 63890-2021</t>
        </is>
      </c>
      <c r="B91" s="1" t="n">
        <v>44509</v>
      </c>
      <c r="C91" s="1" t="n">
        <v>46201</v>
      </c>
      <c r="D91" t="inlineStr">
        <is>
          <t>ÖREBRO LÄN</t>
        </is>
      </c>
      <c r="E91" t="inlineStr">
        <is>
          <t>ÖREBRO</t>
        </is>
      </c>
      <c r="G91" t="n">
        <v>2.1</v>
      </c>
      <c r="H91" t="n">
        <v>0</v>
      </c>
      <c r="I91" t="n">
        <v>0</v>
      </c>
      <c r="J91" t="n">
        <v>0</v>
      </c>
      <c r="K91" t="n">
        <v>0</v>
      </c>
      <c r="L91" t="n">
        <v>0</v>
      </c>
      <c r="M91" t="n">
        <v>0</v>
      </c>
      <c r="N91" t="n">
        <v>0</v>
      </c>
      <c r="O91" t="n">
        <v>0</v>
      </c>
      <c r="P91" t="n">
        <v>0</v>
      </c>
      <c r="Q91" t="n">
        <v>0</v>
      </c>
      <c r="R91" s="2" t="inlineStr"/>
    </row>
    <row r="92" ht="15" customHeight="1">
      <c r="A92" t="inlineStr">
        <is>
          <t>A 7365-2022</t>
        </is>
      </c>
      <c r="B92" s="1" t="n">
        <v>44606</v>
      </c>
      <c r="C92" s="1" t="n">
        <v>46201</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33779-2021</t>
        </is>
      </c>
      <c r="B93" s="1" t="n">
        <v>44378</v>
      </c>
      <c r="C93" s="1" t="n">
        <v>46201</v>
      </c>
      <c r="D93" t="inlineStr">
        <is>
          <t>ÖREBRO LÄN</t>
        </is>
      </c>
      <c r="E93" t="inlineStr">
        <is>
          <t>ÖREBRO</t>
        </is>
      </c>
      <c r="F93" t="inlineStr">
        <is>
          <t>Kommuner</t>
        </is>
      </c>
      <c r="G93" t="n">
        <v>4.5</v>
      </c>
      <c r="H93" t="n">
        <v>0</v>
      </c>
      <c r="I93" t="n">
        <v>0</v>
      </c>
      <c r="J93" t="n">
        <v>0</v>
      </c>
      <c r="K93" t="n">
        <v>0</v>
      </c>
      <c r="L93" t="n">
        <v>0</v>
      </c>
      <c r="M93" t="n">
        <v>0</v>
      </c>
      <c r="N93" t="n">
        <v>0</v>
      </c>
      <c r="O93" t="n">
        <v>0</v>
      </c>
      <c r="P93" t="n">
        <v>0</v>
      </c>
      <c r="Q93" t="n">
        <v>0</v>
      </c>
      <c r="R93" s="2" t="inlineStr"/>
    </row>
    <row r="94" ht="15" customHeight="1">
      <c r="A94" t="inlineStr">
        <is>
          <t>A 41892-2022</t>
        </is>
      </c>
      <c r="B94" s="1" t="n">
        <v>44830</v>
      </c>
      <c r="C94" s="1" t="n">
        <v>46201</v>
      </c>
      <c r="D94" t="inlineStr">
        <is>
          <t>ÖREBRO LÄN</t>
        </is>
      </c>
      <c r="E94" t="inlineStr">
        <is>
          <t>ÖREBRO</t>
        </is>
      </c>
      <c r="G94" t="n">
        <v>1.1</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46201</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46201</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46201</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46201</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46201</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46201</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66985-2021</t>
        </is>
      </c>
      <c r="B101" s="1" t="n">
        <v>44522</v>
      </c>
      <c r="C101" s="1" t="n">
        <v>46201</v>
      </c>
      <c r="D101" t="inlineStr">
        <is>
          <t>ÖREBRO LÄN</t>
        </is>
      </c>
      <c r="E101" t="inlineStr">
        <is>
          <t>ÖREBRO</t>
        </is>
      </c>
      <c r="F101" t="inlineStr">
        <is>
          <t>Övriga Aktiebolag</t>
        </is>
      </c>
      <c r="G101" t="n">
        <v>12.4</v>
      </c>
      <c r="H101" t="n">
        <v>0</v>
      </c>
      <c r="I101" t="n">
        <v>0</v>
      </c>
      <c r="J101" t="n">
        <v>0</v>
      </c>
      <c r="K101" t="n">
        <v>0</v>
      </c>
      <c r="L101" t="n">
        <v>0</v>
      </c>
      <c r="M101" t="n">
        <v>0</v>
      </c>
      <c r="N101" t="n">
        <v>0</v>
      </c>
      <c r="O101" t="n">
        <v>0</v>
      </c>
      <c r="P101" t="n">
        <v>0</v>
      </c>
      <c r="Q101" t="n">
        <v>0</v>
      </c>
      <c r="R101" s="2" t="inlineStr"/>
    </row>
    <row r="102" ht="15" customHeight="1">
      <c r="A102" t="inlineStr">
        <is>
          <t>A 16759-2022</t>
        </is>
      </c>
      <c r="B102" s="1" t="n">
        <v>44673</v>
      </c>
      <c r="C102" s="1" t="n">
        <v>46201</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v>
      </c>
      <c r="C103" s="1" t="n">
        <v>46201</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46201</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46201</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46201</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10019-2022</t>
        </is>
      </c>
      <c r="B107" s="1" t="n">
        <v>44621</v>
      </c>
      <c r="C107" s="1" t="n">
        <v>46201</v>
      </c>
      <c r="D107" t="inlineStr">
        <is>
          <t>ÖREBRO LÄN</t>
        </is>
      </c>
      <c r="E107" t="inlineStr">
        <is>
          <t>ÖREBRO</t>
        </is>
      </c>
      <c r="G107" t="n">
        <v>1.1</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v>
      </c>
      <c r="C108" s="1" t="n">
        <v>46201</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44146-2021</t>
        </is>
      </c>
      <c r="B109" s="1" t="n">
        <v>44434</v>
      </c>
      <c r="C109" s="1" t="n">
        <v>46201</v>
      </c>
      <c r="D109" t="inlineStr">
        <is>
          <t>ÖREBRO LÄN</t>
        </is>
      </c>
      <c r="E109" t="inlineStr">
        <is>
          <t>ÖREBRO</t>
        </is>
      </c>
      <c r="G109" t="n">
        <v>1.7</v>
      </c>
      <c r="H109" t="n">
        <v>0</v>
      </c>
      <c r="I109" t="n">
        <v>0</v>
      </c>
      <c r="J109" t="n">
        <v>0</v>
      </c>
      <c r="K109" t="n">
        <v>0</v>
      </c>
      <c r="L109" t="n">
        <v>0</v>
      </c>
      <c r="M109" t="n">
        <v>0</v>
      </c>
      <c r="N109" t="n">
        <v>0</v>
      </c>
      <c r="O109" t="n">
        <v>0</v>
      </c>
      <c r="P109" t="n">
        <v>0</v>
      </c>
      <c r="Q109" t="n">
        <v>0</v>
      </c>
      <c r="R109" s="2" t="inlineStr"/>
    </row>
    <row r="110" ht="15" customHeight="1">
      <c r="A110" t="inlineStr">
        <is>
          <t>A 21567-2022</t>
        </is>
      </c>
      <c r="B110" s="1" t="n">
        <v>44706</v>
      </c>
      <c r="C110" s="1" t="n">
        <v>46201</v>
      </c>
      <c r="D110" t="inlineStr">
        <is>
          <t>ÖREBRO LÄN</t>
        </is>
      </c>
      <c r="E110" t="inlineStr">
        <is>
          <t>ÖREBRO</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46201</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46201</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v>
      </c>
      <c r="C113" s="1" t="n">
        <v>46201</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46201</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46201</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v>
      </c>
      <c r="C116" s="1" t="n">
        <v>46201</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29490-2022</t>
        </is>
      </c>
      <c r="B117" s="1" t="n">
        <v>44753</v>
      </c>
      <c r="C117" s="1" t="n">
        <v>46201</v>
      </c>
      <c r="D117" t="inlineStr">
        <is>
          <t>ÖREBRO LÄN</t>
        </is>
      </c>
      <c r="E117" t="inlineStr">
        <is>
          <t>ÖREBRO</t>
        </is>
      </c>
      <c r="F117" t="inlineStr">
        <is>
          <t>Kommuner</t>
        </is>
      </c>
      <c r="G117" t="n">
        <v>0.3</v>
      </c>
      <c r="H117" t="n">
        <v>0</v>
      </c>
      <c r="I117" t="n">
        <v>0</v>
      </c>
      <c r="J117" t="n">
        <v>0</v>
      </c>
      <c r="K117" t="n">
        <v>0</v>
      </c>
      <c r="L117" t="n">
        <v>0</v>
      </c>
      <c r="M117" t="n">
        <v>0</v>
      </c>
      <c r="N117" t="n">
        <v>0</v>
      </c>
      <c r="O117" t="n">
        <v>0</v>
      </c>
      <c r="P117" t="n">
        <v>0</v>
      </c>
      <c r="Q117" t="n">
        <v>0</v>
      </c>
      <c r="R117" s="2" t="inlineStr"/>
    </row>
    <row r="118" ht="15" customHeight="1">
      <c r="A118" t="inlineStr">
        <is>
          <t>A 37395-2021</t>
        </is>
      </c>
      <c r="B118" s="1" t="n">
        <v>44398</v>
      </c>
      <c r="C118" s="1" t="n">
        <v>46201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66936-2021</t>
        </is>
      </c>
      <c r="B119" s="1" t="n">
        <v>44522</v>
      </c>
      <c r="C119" s="1" t="n">
        <v>46201</v>
      </c>
      <c r="D119" t="inlineStr">
        <is>
          <t>ÖREBRO LÄN</t>
        </is>
      </c>
      <c r="E119" t="inlineStr">
        <is>
          <t>ÖREBRO</t>
        </is>
      </c>
      <c r="G119" t="n">
        <v>6.8</v>
      </c>
      <c r="H119" t="n">
        <v>0</v>
      </c>
      <c r="I119" t="n">
        <v>0</v>
      </c>
      <c r="J119" t="n">
        <v>0</v>
      </c>
      <c r="K119" t="n">
        <v>0</v>
      </c>
      <c r="L119" t="n">
        <v>0</v>
      </c>
      <c r="M119" t="n">
        <v>0</v>
      </c>
      <c r="N119" t="n">
        <v>0</v>
      </c>
      <c r="O119" t="n">
        <v>0</v>
      </c>
      <c r="P119" t="n">
        <v>0</v>
      </c>
      <c r="Q119" t="n">
        <v>0</v>
      </c>
      <c r="R119" s="2" t="inlineStr"/>
    </row>
    <row r="120" ht="15" customHeight="1">
      <c r="A120" t="inlineStr">
        <is>
          <t>A 44131-2022</t>
        </is>
      </c>
      <c r="B120" s="1" t="n">
        <v>44839</v>
      </c>
      <c r="C120" s="1" t="n">
        <v>46201</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41553-2022</t>
        </is>
      </c>
      <c r="B121" s="1" t="n">
        <v>44827</v>
      </c>
      <c r="C121" s="1" t="n">
        <v>46201</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14562-2022</t>
        </is>
      </c>
      <c r="B122" s="1" t="n">
        <v>44655</v>
      </c>
      <c r="C122" s="1" t="n">
        <v>46201</v>
      </c>
      <c r="D122" t="inlineStr">
        <is>
          <t>ÖREBRO LÄN</t>
        </is>
      </c>
      <c r="E122" t="inlineStr">
        <is>
          <t>ÖREBRO</t>
        </is>
      </c>
      <c r="G122" t="n">
        <v>3.6</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46201</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46201</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46201</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46201</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46201</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46201</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46201</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46201</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46201</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v>
      </c>
      <c r="C132" s="1" t="n">
        <v>46201</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46201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53234-2023</t>
        </is>
      </c>
      <c r="B134" s="1" t="n">
        <v>45229</v>
      </c>
      <c r="C134" s="1" t="n">
        <v>46201</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23863-2023</t>
        </is>
      </c>
      <c r="B135" s="1" t="n">
        <v>45078</v>
      </c>
      <c r="C135" s="1" t="n">
        <v>46201</v>
      </c>
      <c r="D135" t="inlineStr">
        <is>
          <t>ÖREBRO LÄN</t>
        </is>
      </c>
      <c r="E135" t="inlineStr">
        <is>
          <t>ÖREBRO</t>
        </is>
      </c>
      <c r="F135" t="inlineStr">
        <is>
          <t>Övriga Aktiebolag</t>
        </is>
      </c>
      <c r="G135" t="n">
        <v>5.9</v>
      </c>
      <c r="H135" t="n">
        <v>0</v>
      </c>
      <c r="I135" t="n">
        <v>0</v>
      </c>
      <c r="J135" t="n">
        <v>0</v>
      </c>
      <c r="K135" t="n">
        <v>0</v>
      </c>
      <c r="L135" t="n">
        <v>0</v>
      </c>
      <c r="M135" t="n">
        <v>0</v>
      </c>
      <c r="N135" t="n">
        <v>0</v>
      </c>
      <c r="O135" t="n">
        <v>0</v>
      </c>
      <c r="P135" t="n">
        <v>0</v>
      </c>
      <c r="Q135" t="n">
        <v>0</v>
      </c>
      <c r="R135" s="2" t="inlineStr"/>
    </row>
    <row r="136" ht="15" customHeight="1">
      <c r="A136" t="inlineStr">
        <is>
          <t>A 59757-2023</t>
        </is>
      </c>
      <c r="B136" s="1" t="n">
        <v>45257</v>
      </c>
      <c r="C136" s="1" t="n">
        <v>46201</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46201</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46201</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10799-2024</t>
        </is>
      </c>
      <c r="B139" s="1" t="n">
        <v>45369</v>
      </c>
      <c r="C139" s="1" t="n">
        <v>46201</v>
      </c>
      <c r="D139" t="inlineStr">
        <is>
          <t>ÖREBRO LÄN</t>
        </is>
      </c>
      <c r="E139" t="inlineStr">
        <is>
          <t>ÖREBRO</t>
        </is>
      </c>
      <c r="G139" t="n">
        <v>5.8</v>
      </c>
      <c r="H139" t="n">
        <v>0</v>
      </c>
      <c r="I139" t="n">
        <v>0</v>
      </c>
      <c r="J139" t="n">
        <v>0</v>
      </c>
      <c r="K139" t="n">
        <v>0</v>
      </c>
      <c r="L139" t="n">
        <v>0</v>
      </c>
      <c r="M139" t="n">
        <v>0</v>
      </c>
      <c r="N139" t="n">
        <v>0</v>
      </c>
      <c r="O139" t="n">
        <v>0</v>
      </c>
      <c r="P139" t="n">
        <v>0</v>
      </c>
      <c r="Q139" t="n">
        <v>0</v>
      </c>
      <c r="R139" s="2" t="inlineStr"/>
    </row>
    <row r="140" ht="15" customHeight="1">
      <c r="A140" t="inlineStr">
        <is>
          <t>A 46757-2021</t>
        </is>
      </c>
      <c r="B140" s="1" t="n">
        <v>44445</v>
      </c>
      <c r="C140" s="1" t="n">
        <v>46201</v>
      </c>
      <c r="D140" t="inlineStr">
        <is>
          <t>ÖREBRO LÄN</t>
        </is>
      </c>
      <c r="E140" t="inlineStr">
        <is>
          <t>ÖREBRO</t>
        </is>
      </c>
      <c r="G140" t="n">
        <v>5.6</v>
      </c>
      <c r="H140" t="n">
        <v>0</v>
      </c>
      <c r="I140" t="n">
        <v>0</v>
      </c>
      <c r="J140" t="n">
        <v>0</v>
      </c>
      <c r="K140" t="n">
        <v>0</v>
      </c>
      <c r="L140" t="n">
        <v>0</v>
      </c>
      <c r="M140" t="n">
        <v>0</v>
      </c>
      <c r="N140" t="n">
        <v>0</v>
      </c>
      <c r="O140" t="n">
        <v>0</v>
      </c>
      <c r="P140" t="n">
        <v>0</v>
      </c>
      <c r="Q140" t="n">
        <v>0</v>
      </c>
      <c r="R140" s="2" t="inlineStr"/>
    </row>
    <row r="141" ht="15" customHeight="1">
      <c r="A141" t="inlineStr">
        <is>
          <t>A 9609-2023</t>
        </is>
      </c>
      <c r="B141" s="1" t="n">
        <v>44983</v>
      </c>
      <c r="C141" s="1" t="n">
        <v>46201</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13347-2023</t>
        </is>
      </c>
      <c r="B142" s="1" t="n">
        <v>45004</v>
      </c>
      <c r="C142" s="1" t="n">
        <v>46201</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46201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6752-2022</t>
        </is>
      </c>
      <c r="B144" s="1" t="n">
        <v>44602</v>
      </c>
      <c r="C144" s="1" t="n">
        <v>46201</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46201</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57867-2024</t>
        </is>
      </c>
      <c r="B146" s="1" t="n">
        <v>45631</v>
      </c>
      <c r="C146" s="1" t="n">
        <v>46201</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13355-2023</t>
        </is>
      </c>
      <c r="B147" s="1" t="n">
        <v>45004</v>
      </c>
      <c r="C147" s="1" t="n">
        <v>46201</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14544-2023</t>
        </is>
      </c>
      <c r="B148" s="1" t="n">
        <v>45013</v>
      </c>
      <c r="C148" s="1" t="n">
        <v>46201</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71272-2021</t>
        </is>
      </c>
      <c r="B149" s="1" t="n">
        <v>44539</v>
      </c>
      <c r="C149" s="1" t="n">
        <v>46201</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15424-2022</t>
        </is>
      </c>
      <c r="B150" s="1" t="n">
        <v>44659</v>
      </c>
      <c r="C150" s="1" t="n">
        <v>46201</v>
      </c>
      <c r="D150" t="inlineStr">
        <is>
          <t>ÖREBRO LÄN</t>
        </is>
      </c>
      <c r="E150" t="inlineStr">
        <is>
          <t>ÖREBRO</t>
        </is>
      </c>
      <c r="G150" t="n">
        <v>2.2</v>
      </c>
      <c r="H150" t="n">
        <v>0</v>
      </c>
      <c r="I150" t="n">
        <v>0</v>
      </c>
      <c r="J150" t="n">
        <v>0</v>
      </c>
      <c r="K150" t="n">
        <v>0</v>
      </c>
      <c r="L150" t="n">
        <v>0</v>
      </c>
      <c r="M150" t="n">
        <v>0</v>
      </c>
      <c r="N150" t="n">
        <v>0</v>
      </c>
      <c r="O150" t="n">
        <v>0</v>
      </c>
      <c r="P150" t="n">
        <v>0</v>
      </c>
      <c r="Q150" t="n">
        <v>0</v>
      </c>
      <c r="R150" s="2" t="inlineStr"/>
    </row>
    <row r="151" ht="15" customHeight="1">
      <c r="A151" t="inlineStr">
        <is>
          <t>A 5795-2024</t>
        </is>
      </c>
      <c r="B151" s="1" t="n">
        <v>45335</v>
      </c>
      <c r="C151" s="1" t="n">
        <v>46201</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15682-2023</t>
        </is>
      </c>
      <c r="B152" s="1" t="n">
        <v>45021</v>
      </c>
      <c r="C152" s="1" t="n">
        <v>46201</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3120-2022</t>
        </is>
      </c>
      <c r="B153" s="1" t="n">
        <v>44582</v>
      </c>
      <c r="C153" s="1" t="n">
        <v>46201</v>
      </c>
      <c r="D153" t="inlineStr">
        <is>
          <t>ÖREBRO LÄN</t>
        </is>
      </c>
      <c r="E153" t="inlineStr">
        <is>
          <t>ÖREBRO</t>
        </is>
      </c>
      <c r="G153" t="n">
        <v>0.6</v>
      </c>
      <c r="H153" t="n">
        <v>0</v>
      </c>
      <c r="I153" t="n">
        <v>0</v>
      </c>
      <c r="J153" t="n">
        <v>0</v>
      </c>
      <c r="K153" t="n">
        <v>0</v>
      </c>
      <c r="L153" t="n">
        <v>0</v>
      </c>
      <c r="M153" t="n">
        <v>0</v>
      </c>
      <c r="N153" t="n">
        <v>0</v>
      </c>
      <c r="O153" t="n">
        <v>0</v>
      </c>
      <c r="P153" t="n">
        <v>0</v>
      </c>
      <c r="Q153" t="n">
        <v>0</v>
      </c>
      <c r="R153" s="2" t="inlineStr"/>
    </row>
    <row r="154" ht="15" customHeight="1">
      <c r="A154" t="inlineStr">
        <is>
          <t>A 12682-2023</t>
        </is>
      </c>
      <c r="B154" s="1" t="n">
        <v>45000</v>
      </c>
      <c r="C154" s="1" t="n">
        <v>46201</v>
      </c>
      <c r="D154" t="inlineStr">
        <is>
          <t>ÖREBRO LÄN</t>
        </is>
      </c>
      <c r="E154" t="inlineStr">
        <is>
          <t>ÖREBRO</t>
        </is>
      </c>
      <c r="F154" t="inlineStr">
        <is>
          <t>Övriga Aktiebolag</t>
        </is>
      </c>
      <c r="G154" t="n">
        <v>4.4</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v>
      </c>
      <c r="C155" s="1" t="n">
        <v>46201</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57247-2022</t>
        </is>
      </c>
      <c r="B156" s="1" t="n">
        <v>44895</v>
      </c>
      <c r="C156" s="1" t="n">
        <v>46201</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46201</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2318-2023</t>
        </is>
      </c>
      <c r="B158" s="1" t="n">
        <v>44942</v>
      </c>
      <c r="C158" s="1" t="n">
        <v>46201</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v>
      </c>
      <c r="C159" s="1" t="n">
        <v>46201</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v>
      </c>
      <c r="C160" s="1" t="n">
        <v>46201</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20121-2024</t>
        </is>
      </c>
      <c r="B161" s="1" t="n">
        <v>45434</v>
      </c>
      <c r="C161" s="1" t="n">
        <v>46201</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20150-2024</t>
        </is>
      </c>
      <c r="B162" s="1" t="n">
        <v>45434</v>
      </c>
      <c r="C162" s="1" t="n">
        <v>46201</v>
      </c>
      <c r="D162" t="inlineStr">
        <is>
          <t>ÖREBRO LÄN</t>
        </is>
      </c>
      <c r="E162" t="inlineStr">
        <is>
          <t>ÖREBRO</t>
        </is>
      </c>
      <c r="G162" t="n">
        <v>0.5</v>
      </c>
      <c r="H162" t="n">
        <v>0</v>
      </c>
      <c r="I162" t="n">
        <v>0</v>
      </c>
      <c r="J162" t="n">
        <v>0</v>
      </c>
      <c r="K162" t="n">
        <v>0</v>
      </c>
      <c r="L162" t="n">
        <v>0</v>
      </c>
      <c r="M162" t="n">
        <v>0</v>
      </c>
      <c r="N162" t="n">
        <v>0</v>
      </c>
      <c r="O162" t="n">
        <v>0</v>
      </c>
      <c r="P162" t="n">
        <v>0</v>
      </c>
      <c r="Q162" t="n">
        <v>0</v>
      </c>
      <c r="R162" s="2" t="inlineStr"/>
    </row>
    <row r="163" ht="15" customHeight="1">
      <c r="A163" t="inlineStr">
        <is>
          <t>A 58539-2024</t>
        </is>
      </c>
      <c r="B163" s="1" t="n">
        <v>45635</v>
      </c>
      <c r="C163" s="1" t="n">
        <v>46201</v>
      </c>
      <c r="D163" t="inlineStr">
        <is>
          <t>ÖREBRO LÄN</t>
        </is>
      </c>
      <c r="E163" t="inlineStr">
        <is>
          <t>ÖREBRO</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v>
      </c>
      <c r="C164" s="1" t="n">
        <v>46201</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58611-2024</t>
        </is>
      </c>
      <c r="B165" s="1" t="n">
        <v>45635</v>
      </c>
      <c r="C165" s="1" t="n">
        <v>46201</v>
      </c>
      <c r="D165" t="inlineStr">
        <is>
          <t>ÖREBRO LÄN</t>
        </is>
      </c>
      <c r="E165" t="inlineStr">
        <is>
          <t>ÖREBRO</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13762-2023</t>
        </is>
      </c>
      <c r="B166" s="1" t="n">
        <v>45007</v>
      </c>
      <c r="C166" s="1" t="n">
        <v>46201</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38075-2022</t>
        </is>
      </c>
      <c r="B167" s="1" t="n">
        <v>44811</v>
      </c>
      <c r="C167" s="1" t="n">
        <v>46201</v>
      </c>
      <c r="D167" t="inlineStr">
        <is>
          <t>ÖREBRO LÄN</t>
        </is>
      </c>
      <c r="E167" t="inlineStr">
        <is>
          <t>ÖREBRO</t>
        </is>
      </c>
      <c r="G167" t="n">
        <v>0.2</v>
      </c>
      <c r="H167" t="n">
        <v>0</v>
      </c>
      <c r="I167" t="n">
        <v>0</v>
      </c>
      <c r="J167" t="n">
        <v>0</v>
      </c>
      <c r="K167" t="n">
        <v>0</v>
      </c>
      <c r="L167" t="n">
        <v>0</v>
      </c>
      <c r="M167" t="n">
        <v>0</v>
      </c>
      <c r="N167" t="n">
        <v>0</v>
      </c>
      <c r="O167" t="n">
        <v>0</v>
      </c>
      <c r="P167" t="n">
        <v>0</v>
      </c>
      <c r="Q167" t="n">
        <v>0</v>
      </c>
      <c r="R167" s="2" t="inlineStr"/>
    </row>
    <row r="168" ht="15" customHeight="1">
      <c r="A168" t="inlineStr">
        <is>
          <t>A 5133-2024</t>
        </is>
      </c>
      <c r="B168" s="1" t="n">
        <v>45330</v>
      </c>
      <c r="C168" s="1" t="n">
        <v>46201</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46201</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46201</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58606-2024</t>
        </is>
      </c>
      <c r="B171" s="1" t="n">
        <v>45635</v>
      </c>
      <c r="C171" s="1" t="n">
        <v>46201</v>
      </c>
      <c r="D171" t="inlineStr">
        <is>
          <t>ÖREBRO LÄN</t>
        </is>
      </c>
      <c r="E171" t="inlineStr">
        <is>
          <t>ÖREBRO</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123-2025</t>
        </is>
      </c>
      <c r="B172" s="1" t="n">
        <v>45659</v>
      </c>
      <c r="C172" s="1" t="n">
        <v>46201</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v>
      </c>
      <c r="C173" s="1" t="n">
        <v>46201</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46201</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52477-2024</t>
        </is>
      </c>
      <c r="B175" s="1" t="n">
        <v>45609</v>
      </c>
      <c r="C175" s="1" t="n">
        <v>46201</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58684-2023</t>
        </is>
      </c>
      <c r="B176" s="1" t="n">
        <v>45251</v>
      </c>
      <c r="C176" s="1" t="n">
        <v>46201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37771-2024</t>
        </is>
      </c>
      <c r="B177" s="1" t="n">
        <v>45542</v>
      </c>
      <c r="C177" s="1" t="n">
        <v>46201</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37012-2024</t>
        </is>
      </c>
      <c r="B178" s="1" t="n">
        <v>45539</v>
      </c>
      <c r="C178" s="1" t="n">
        <v>46201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2771-2023</t>
        </is>
      </c>
      <c r="B179" s="1" t="n">
        <v>44944</v>
      </c>
      <c r="C179" s="1" t="n">
        <v>46201</v>
      </c>
      <c r="D179" t="inlineStr">
        <is>
          <t>ÖREBRO LÄN</t>
        </is>
      </c>
      <c r="E179" t="inlineStr">
        <is>
          <t>ÖREBRO</t>
        </is>
      </c>
      <c r="G179" t="n">
        <v>15.4</v>
      </c>
      <c r="H179" t="n">
        <v>0</v>
      </c>
      <c r="I179" t="n">
        <v>0</v>
      </c>
      <c r="J179" t="n">
        <v>0</v>
      </c>
      <c r="K179" t="n">
        <v>0</v>
      </c>
      <c r="L179" t="n">
        <v>0</v>
      </c>
      <c r="M179" t="n">
        <v>0</v>
      </c>
      <c r="N179" t="n">
        <v>0</v>
      </c>
      <c r="O179" t="n">
        <v>0</v>
      </c>
      <c r="P179" t="n">
        <v>0</v>
      </c>
      <c r="Q179" t="n">
        <v>0</v>
      </c>
      <c r="R179" s="2" t="inlineStr"/>
    </row>
    <row r="180" ht="15" customHeight="1">
      <c r="A180" t="inlineStr">
        <is>
          <t>A 2076-2025</t>
        </is>
      </c>
      <c r="B180" s="1" t="n">
        <v>45672</v>
      </c>
      <c r="C180" s="1" t="n">
        <v>46201</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18047-2022</t>
        </is>
      </c>
      <c r="B181" s="1" t="n">
        <v>44684</v>
      </c>
      <c r="C181" s="1" t="n">
        <v>46201</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71288-2021</t>
        </is>
      </c>
      <c r="B182" s="1" t="n">
        <v>44539</v>
      </c>
      <c r="C182" s="1" t="n">
        <v>46201</v>
      </c>
      <c r="D182" t="inlineStr">
        <is>
          <t>ÖREBRO LÄN</t>
        </is>
      </c>
      <c r="E182" t="inlineStr">
        <is>
          <t>ÖREBRO</t>
        </is>
      </c>
      <c r="G182" t="n">
        <v>3.9</v>
      </c>
      <c r="H182" t="n">
        <v>0</v>
      </c>
      <c r="I182" t="n">
        <v>0</v>
      </c>
      <c r="J182" t="n">
        <v>0</v>
      </c>
      <c r="K182" t="n">
        <v>0</v>
      </c>
      <c r="L182" t="n">
        <v>0</v>
      </c>
      <c r="M182" t="n">
        <v>0</v>
      </c>
      <c r="N182" t="n">
        <v>0</v>
      </c>
      <c r="O182" t="n">
        <v>0</v>
      </c>
      <c r="P182" t="n">
        <v>0</v>
      </c>
      <c r="Q182" t="n">
        <v>0</v>
      </c>
      <c r="R182" s="2" t="inlineStr"/>
    </row>
    <row r="183" ht="15" customHeight="1">
      <c r="A183" t="inlineStr">
        <is>
          <t>A 45237-2023</t>
        </is>
      </c>
      <c r="B183" s="1" t="n">
        <v>45191</v>
      </c>
      <c r="C183" s="1" t="n">
        <v>46201</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16958-2022</t>
        </is>
      </c>
      <c r="B184" s="1" t="n">
        <v>44676</v>
      </c>
      <c r="C184" s="1" t="n">
        <v>46201</v>
      </c>
      <c r="D184" t="inlineStr">
        <is>
          <t>ÖREBRO LÄN</t>
        </is>
      </c>
      <c r="E184" t="inlineStr">
        <is>
          <t>ÖREBRO</t>
        </is>
      </c>
      <c r="G184" t="n">
        <v>3.1</v>
      </c>
      <c r="H184" t="n">
        <v>0</v>
      </c>
      <c r="I184" t="n">
        <v>0</v>
      </c>
      <c r="J184" t="n">
        <v>0</v>
      </c>
      <c r="K184" t="n">
        <v>0</v>
      </c>
      <c r="L184" t="n">
        <v>0</v>
      </c>
      <c r="M184" t="n">
        <v>0</v>
      </c>
      <c r="N184" t="n">
        <v>0</v>
      </c>
      <c r="O184" t="n">
        <v>0</v>
      </c>
      <c r="P184" t="n">
        <v>0</v>
      </c>
      <c r="Q184" t="n">
        <v>0</v>
      </c>
      <c r="R184" s="2" t="inlineStr"/>
    </row>
    <row r="185" ht="15" customHeight="1">
      <c r="A185" t="inlineStr">
        <is>
          <t>A 5338-2024</t>
        </is>
      </c>
      <c r="B185" s="1" t="n">
        <v>45331</v>
      </c>
      <c r="C185" s="1" t="n">
        <v>46201</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3763-2025</t>
        </is>
      </c>
      <c r="B186" s="1" t="n">
        <v>45681</v>
      </c>
      <c r="C186" s="1" t="n">
        <v>46201</v>
      </c>
      <c r="D186" t="inlineStr">
        <is>
          <t>ÖREBRO LÄN</t>
        </is>
      </c>
      <c r="E186" t="inlineStr">
        <is>
          <t>ÖREBRO</t>
        </is>
      </c>
      <c r="G186" t="n">
        <v>10.1</v>
      </c>
      <c r="H186" t="n">
        <v>0</v>
      </c>
      <c r="I186" t="n">
        <v>0</v>
      </c>
      <c r="J186" t="n">
        <v>0</v>
      </c>
      <c r="K186" t="n">
        <v>0</v>
      </c>
      <c r="L186" t="n">
        <v>0</v>
      </c>
      <c r="M186" t="n">
        <v>0</v>
      </c>
      <c r="N186" t="n">
        <v>0</v>
      </c>
      <c r="O186" t="n">
        <v>0</v>
      </c>
      <c r="P186" t="n">
        <v>0</v>
      </c>
      <c r="Q186" t="n">
        <v>0</v>
      </c>
      <c r="R186" s="2" t="inlineStr"/>
    </row>
    <row r="187" ht="15" customHeight="1">
      <c r="A187" t="inlineStr">
        <is>
          <t>A 5324-2024</t>
        </is>
      </c>
      <c r="B187" s="1" t="n">
        <v>45331</v>
      </c>
      <c r="C187" s="1" t="n">
        <v>46201</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4970-2022</t>
        </is>
      </c>
      <c r="B188" s="1" t="n">
        <v>44593</v>
      </c>
      <c r="C188" s="1" t="n">
        <v>46201</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16739-2023</t>
        </is>
      </c>
      <c r="B189" s="1" t="n">
        <v>45030</v>
      </c>
      <c r="C189" s="1" t="n">
        <v>46201</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18360-2024</t>
        </is>
      </c>
      <c r="B190" s="1" t="n">
        <v>45422</v>
      </c>
      <c r="C190" s="1" t="n">
        <v>46201</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9314-2023</t>
        </is>
      </c>
      <c r="B191" s="1" t="n">
        <v>44980</v>
      </c>
      <c r="C191" s="1" t="n">
        <v>46201</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57243-2022</t>
        </is>
      </c>
      <c r="B192" s="1" t="n">
        <v>44895</v>
      </c>
      <c r="C192" s="1" t="n">
        <v>46201</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40051-2024</t>
        </is>
      </c>
      <c r="B193" s="1" t="n">
        <v>45553</v>
      </c>
      <c r="C193" s="1" t="n">
        <v>46201</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38842-2022</t>
        </is>
      </c>
      <c r="B194" s="1" t="n">
        <v>44814</v>
      </c>
      <c r="C194" s="1" t="n">
        <v>46201</v>
      </c>
      <c r="D194" t="inlineStr">
        <is>
          <t>ÖREBRO LÄN</t>
        </is>
      </c>
      <c r="E194" t="inlineStr">
        <is>
          <t>ÖREBRO</t>
        </is>
      </c>
      <c r="G194" t="n">
        <v>5</v>
      </c>
      <c r="H194" t="n">
        <v>0</v>
      </c>
      <c r="I194" t="n">
        <v>0</v>
      </c>
      <c r="J194" t="n">
        <v>0</v>
      </c>
      <c r="K194" t="n">
        <v>0</v>
      </c>
      <c r="L194" t="n">
        <v>0</v>
      </c>
      <c r="M194" t="n">
        <v>0</v>
      </c>
      <c r="N194" t="n">
        <v>0</v>
      </c>
      <c r="O194" t="n">
        <v>0</v>
      </c>
      <c r="P194" t="n">
        <v>0</v>
      </c>
      <c r="Q194" t="n">
        <v>0</v>
      </c>
      <c r="R194" s="2" t="inlineStr"/>
    </row>
    <row r="195" ht="15" customHeight="1">
      <c r="A195" t="inlineStr">
        <is>
          <t>A 50446-2023</t>
        </is>
      </c>
      <c r="B195" s="1" t="n">
        <v>45216</v>
      </c>
      <c r="C195" s="1" t="n">
        <v>46201</v>
      </c>
      <c r="D195" t="inlineStr">
        <is>
          <t>ÖREBRO LÄN</t>
        </is>
      </c>
      <c r="E195" t="inlineStr">
        <is>
          <t>ÖREBRO</t>
        </is>
      </c>
      <c r="F195" t="inlineStr">
        <is>
          <t>Övriga Aktiebolag</t>
        </is>
      </c>
      <c r="G195" t="n">
        <v>2.8</v>
      </c>
      <c r="H195" t="n">
        <v>0</v>
      </c>
      <c r="I195" t="n">
        <v>0</v>
      </c>
      <c r="J195" t="n">
        <v>0</v>
      </c>
      <c r="K195" t="n">
        <v>0</v>
      </c>
      <c r="L195" t="n">
        <v>0</v>
      </c>
      <c r="M195" t="n">
        <v>0</v>
      </c>
      <c r="N195" t="n">
        <v>0</v>
      </c>
      <c r="O195" t="n">
        <v>0</v>
      </c>
      <c r="P195" t="n">
        <v>0</v>
      </c>
      <c r="Q195" t="n">
        <v>0</v>
      </c>
      <c r="R195" s="2" t="inlineStr"/>
    </row>
    <row r="196" ht="15" customHeight="1">
      <c r="A196" t="inlineStr">
        <is>
          <t>A 50450-2023</t>
        </is>
      </c>
      <c r="B196" s="1" t="n">
        <v>45216</v>
      </c>
      <c r="C196" s="1" t="n">
        <v>46201</v>
      </c>
      <c r="D196" t="inlineStr">
        <is>
          <t>ÖREBRO LÄN</t>
        </is>
      </c>
      <c r="E196" t="inlineStr">
        <is>
          <t>ÖREBRO</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37022-2024</t>
        </is>
      </c>
      <c r="B197" s="1" t="n">
        <v>45539</v>
      </c>
      <c r="C197" s="1" t="n">
        <v>46201</v>
      </c>
      <c r="D197" t="inlineStr">
        <is>
          <t>ÖREBRO LÄN</t>
        </is>
      </c>
      <c r="E197" t="inlineStr">
        <is>
          <t>ÖREBRO</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v>
      </c>
      <c r="C198" s="1" t="n">
        <v>46201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58032-2023</t>
        </is>
      </c>
      <c r="B199" s="1" t="n">
        <v>45247</v>
      </c>
      <c r="C199" s="1" t="n">
        <v>46201</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58035-2023</t>
        </is>
      </c>
      <c r="B200" s="1" t="n">
        <v>45247</v>
      </c>
      <c r="C200" s="1" t="n">
        <v>46201</v>
      </c>
      <c r="D200" t="inlineStr">
        <is>
          <t>ÖREBRO LÄN</t>
        </is>
      </c>
      <c r="E200" t="inlineStr">
        <is>
          <t>ÖREBRO</t>
        </is>
      </c>
      <c r="G200" t="n">
        <v>1.4</v>
      </c>
      <c r="H200" t="n">
        <v>0</v>
      </c>
      <c r="I200" t="n">
        <v>0</v>
      </c>
      <c r="J200" t="n">
        <v>0</v>
      </c>
      <c r="K200" t="n">
        <v>0</v>
      </c>
      <c r="L200" t="n">
        <v>0</v>
      </c>
      <c r="M200" t="n">
        <v>0</v>
      </c>
      <c r="N200" t="n">
        <v>0</v>
      </c>
      <c r="O200" t="n">
        <v>0</v>
      </c>
      <c r="P200" t="n">
        <v>0</v>
      </c>
      <c r="Q200" t="n">
        <v>0</v>
      </c>
      <c r="R200" s="2" t="inlineStr"/>
    </row>
    <row r="201" ht="15" customHeight="1">
      <c r="A201" t="inlineStr">
        <is>
          <t>A 6522-2023</t>
        </is>
      </c>
      <c r="B201" s="1" t="n">
        <v>44966</v>
      </c>
      <c r="C201" s="1" t="n">
        <v>46201</v>
      </c>
      <c r="D201" t="inlineStr">
        <is>
          <t>ÖREBRO LÄN</t>
        </is>
      </c>
      <c r="E201" t="inlineStr">
        <is>
          <t>ÖREBRO</t>
        </is>
      </c>
      <c r="G201" t="n">
        <v>4.4</v>
      </c>
      <c r="H201" t="n">
        <v>0</v>
      </c>
      <c r="I201" t="n">
        <v>0</v>
      </c>
      <c r="J201" t="n">
        <v>0</v>
      </c>
      <c r="K201" t="n">
        <v>0</v>
      </c>
      <c r="L201" t="n">
        <v>0</v>
      </c>
      <c r="M201" t="n">
        <v>0</v>
      </c>
      <c r="N201" t="n">
        <v>0</v>
      </c>
      <c r="O201" t="n">
        <v>0</v>
      </c>
      <c r="P201" t="n">
        <v>0</v>
      </c>
      <c r="Q201" t="n">
        <v>0</v>
      </c>
      <c r="R201" s="2" t="inlineStr"/>
    </row>
    <row r="202" ht="15" customHeight="1">
      <c r="A202" t="inlineStr">
        <is>
          <t>A 18449-2023</t>
        </is>
      </c>
      <c r="B202" s="1" t="n">
        <v>45042</v>
      </c>
      <c r="C202" s="1" t="n">
        <v>46201</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7506-2025</t>
        </is>
      </c>
      <c r="B203" s="1" t="n">
        <v>45705</v>
      </c>
      <c r="C203" s="1" t="n">
        <v>46201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58598-2022</t>
        </is>
      </c>
      <c r="B204" s="1" t="n">
        <v>44902</v>
      </c>
      <c r="C204" s="1" t="n">
        <v>46201</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4766-2022</t>
        </is>
      </c>
      <c r="B205" s="1" t="n">
        <v>44592</v>
      </c>
      <c r="C205" s="1" t="n">
        <v>46201</v>
      </c>
      <c r="D205" t="inlineStr">
        <is>
          <t>ÖREBRO LÄN</t>
        </is>
      </c>
      <c r="E205" t="inlineStr">
        <is>
          <t>ÖREBRO</t>
        </is>
      </c>
      <c r="G205" t="n">
        <v>2.9</v>
      </c>
      <c r="H205" t="n">
        <v>0</v>
      </c>
      <c r="I205" t="n">
        <v>0</v>
      </c>
      <c r="J205" t="n">
        <v>0</v>
      </c>
      <c r="K205" t="n">
        <v>0</v>
      </c>
      <c r="L205" t="n">
        <v>0</v>
      </c>
      <c r="M205" t="n">
        <v>0</v>
      </c>
      <c r="N205" t="n">
        <v>0</v>
      </c>
      <c r="O205" t="n">
        <v>0</v>
      </c>
      <c r="P205" t="n">
        <v>0</v>
      </c>
      <c r="Q205" t="n">
        <v>0</v>
      </c>
      <c r="R205" s="2" t="inlineStr"/>
    </row>
    <row r="206" ht="15" customHeight="1">
      <c r="A206" t="inlineStr">
        <is>
          <t>A 13158-2024</t>
        </is>
      </c>
      <c r="B206" s="1" t="n">
        <v>45386</v>
      </c>
      <c r="C206" s="1" t="n">
        <v>46201</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50375-2024</t>
        </is>
      </c>
      <c r="B207" s="1" t="n">
        <v>45601</v>
      </c>
      <c r="C207" s="1" t="n">
        <v>46201</v>
      </c>
      <c r="D207" t="inlineStr">
        <is>
          <t>ÖREBRO LÄN</t>
        </is>
      </c>
      <c r="E207" t="inlineStr">
        <is>
          <t>ÖREBRO</t>
        </is>
      </c>
      <c r="G207" t="n">
        <v>5</v>
      </c>
      <c r="H207" t="n">
        <v>0</v>
      </c>
      <c r="I207" t="n">
        <v>0</v>
      </c>
      <c r="J207" t="n">
        <v>0</v>
      </c>
      <c r="K207" t="n">
        <v>0</v>
      </c>
      <c r="L207" t="n">
        <v>0</v>
      </c>
      <c r="M207" t="n">
        <v>0</v>
      </c>
      <c r="N207" t="n">
        <v>0</v>
      </c>
      <c r="O207" t="n">
        <v>0</v>
      </c>
      <c r="P207" t="n">
        <v>0</v>
      </c>
      <c r="Q207" t="n">
        <v>0</v>
      </c>
      <c r="R207" s="2" t="inlineStr"/>
    </row>
    <row r="208" ht="15" customHeight="1">
      <c r="A208" t="inlineStr">
        <is>
          <t>A 38422-2023</t>
        </is>
      </c>
      <c r="B208" s="1" t="n">
        <v>45162</v>
      </c>
      <c r="C208" s="1" t="n">
        <v>46201</v>
      </c>
      <c r="D208" t="inlineStr">
        <is>
          <t>ÖREBRO LÄN</t>
        </is>
      </c>
      <c r="E208" t="inlineStr">
        <is>
          <t>ÖREBRO</t>
        </is>
      </c>
      <c r="G208" t="n">
        <v>8</v>
      </c>
      <c r="H208" t="n">
        <v>0</v>
      </c>
      <c r="I208" t="n">
        <v>0</v>
      </c>
      <c r="J208" t="n">
        <v>0</v>
      </c>
      <c r="K208" t="n">
        <v>0</v>
      </c>
      <c r="L208" t="n">
        <v>0</v>
      </c>
      <c r="M208" t="n">
        <v>0</v>
      </c>
      <c r="N208" t="n">
        <v>0</v>
      </c>
      <c r="O208" t="n">
        <v>0</v>
      </c>
      <c r="P208" t="n">
        <v>0</v>
      </c>
      <c r="Q208" t="n">
        <v>0</v>
      </c>
      <c r="R208" s="2" t="inlineStr"/>
    </row>
    <row r="209" ht="15" customHeight="1">
      <c r="A209" t="inlineStr">
        <is>
          <t>A 56040-2024</t>
        </is>
      </c>
      <c r="B209" s="1" t="n">
        <v>45624</v>
      </c>
      <c r="C209" s="1" t="n">
        <v>46201</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14717-2024</t>
        </is>
      </c>
      <c r="B210" s="1" t="n">
        <v>45397</v>
      </c>
      <c r="C210" s="1" t="n">
        <v>46201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3-2024</t>
        </is>
      </c>
      <c r="B211" s="1" t="n">
        <v>45292</v>
      </c>
      <c r="C211" s="1" t="n">
        <v>46201</v>
      </c>
      <c r="D211" t="inlineStr">
        <is>
          <t>ÖREBRO LÄN</t>
        </is>
      </c>
      <c r="E211" t="inlineStr">
        <is>
          <t>ÖREBRO</t>
        </is>
      </c>
      <c r="G211" t="n">
        <v>2.7</v>
      </c>
      <c r="H211" t="n">
        <v>0</v>
      </c>
      <c r="I211" t="n">
        <v>0</v>
      </c>
      <c r="J211" t="n">
        <v>0</v>
      </c>
      <c r="K211" t="n">
        <v>0</v>
      </c>
      <c r="L211" t="n">
        <v>0</v>
      </c>
      <c r="M211" t="n">
        <v>0</v>
      </c>
      <c r="N211" t="n">
        <v>0</v>
      </c>
      <c r="O211" t="n">
        <v>0</v>
      </c>
      <c r="P211" t="n">
        <v>0</v>
      </c>
      <c r="Q211" t="n">
        <v>0</v>
      </c>
      <c r="R211" s="2" t="inlineStr"/>
    </row>
    <row r="212" ht="15" customHeight="1">
      <c r="A212" t="inlineStr">
        <is>
          <t>A 14487-2023</t>
        </is>
      </c>
      <c r="B212" s="1" t="n">
        <v>45012</v>
      </c>
      <c r="C212" s="1" t="n">
        <v>46201</v>
      </c>
      <c r="D212" t="inlineStr">
        <is>
          <t>ÖREBRO LÄN</t>
        </is>
      </c>
      <c r="E212" t="inlineStr">
        <is>
          <t>ÖREBRO</t>
        </is>
      </c>
      <c r="G212" t="n">
        <v>0.5</v>
      </c>
      <c r="H212" t="n">
        <v>0</v>
      </c>
      <c r="I212" t="n">
        <v>0</v>
      </c>
      <c r="J212" t="n">
        <v>0</v>
      </c>
      <c r="K212" t="n">
        <v>0</v>
      </c>
      <c r="L212" t="n">
        <v>0</v>
      </c>
      <c r="M212" t="n">
        <v>0</v>
      </c>
      <c r="N212" t="n">
        <v>0</v>
      </c>
      <c r="O212" t="n">
        <v>0</v>
      </c>
      <c r="P212" t="n">
        <v>0</v>
      </c>
      <c r="Q212" t="n">
        <v>0</v>
      </c>
      <c r="R212" s="2" t="inlineStr"/>
    </row>
    <row r="213" ht="15" customHeight="1">
      <c r="A213" t="inlineStr">
        <is>
          <t>A 1257-2022</t>
        </is>
      </c>
      <c r="B213" s="1" t="n">
        <v>44572</v>
      </c>
      <c r="C213" s="1" t="n">
        <v>46201</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37968-2024</t>
        </is>
      </c>
      <c r="B214" s="1" t="n">
        <v>45544</v>
      </c>
      <c r="C214" s="1" t="n">
        <v>46201</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34874-2022</t>
        </is>
      </c>
      <c r="B215" s="1" t="n">
        <v>44796</v>
      </c>
      <c r="C215" s="1" t="n">
        <v>46201</v>
      </c>
      <c r="D215" t="inlineStr">
        <is>
          <t>ÖREBRO LÄN</t>
        </is>
      </c>
      <c r="E215" t="inlineStr">
        <is>
          <t>ÖREBRO</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64730-2023</t>
        </is>
      </c>
      <c r="B216" s="1" t="n">
        <v>45281</v>
      </c>
      <c r="C216" s="1" t="n">
        <v>46201</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6869-2025</t>
        </is>
      </c>
      <c r="B217" s="1" t="n">
        <v>45700</v>
      </c>
      <c r="C217" s="1" t="n">
        <v>46201</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4416-2023</t>
        </is>
      </c>
      <c r="B218" s="1" t="n">
        <v>44956</v>
      </c>
      <c r="C218" s="1" t="n">
        <v>46201</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13700-2024</t>
        </is>
      </c>
      <c r="B219" s="1" t="n">
        <v>45390</v>
      </c>
      <c r="C219" s="1" t="n">
        <v>46201</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16961-2022</t>
        </is>
      </c>
      <c r="B220" s="1" t="n">
        <v>44676</v>
      </c>
      <c r="C220" s="1" t="n">
        <v>46201</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852-2025</t>
        </is>
      </c>
      <c r="B221" s="1" t="n">
        <v>45665</v>
      </c>
      <c r="C221" s="1" t="n">
        <v>46201</v>
      </c>
      <c r="D221" t="inlineStr">
        <is>
          <t>ÖREBRO LÄN</t>
        </is>
      </c>
      <c r="E221" t="inlineStr">
        <is>
          <t>ÖREBRO</t>
        </is>
      </c>
      <c r="G221" t="n">
        <v>2.9</v>
      </c>
      <c r="H221" t="n">
        <v>0</v>
      </c>
      <c r="I221" t="n">
        <v>0</v>
      </c>
      <c r="J221" t="n">
        <v>0</v>
      </c>
      <c r="K221" t="n">
        <v>0</v>
      </c>
      <c r="L221" t="n">
        <v>0</v>
      </c>
      <c r="M221" t="n">
        <v>0</v>
      </c>
      <c r="N221" t="n">
        <v>0</v>
      </c>
      <c r="O221" t="n">
        <v>0</v>
      </c>
      <c r="P221" t="n">
        <v>0</v>
      </c>
      <c r="Q221" t="n">
        <v>0</v>
      </c>
      <c r="R221" s="2" t="inlineStr"/>
    </row>
    <row r="222" ht="15" customHeight="1">
      <c r="A222" t="inlineStr">
        <is>
          <t>A 5398-2022</t>
        </is>
      </c>
      <c r="B222" s="1" t="n">
        <v>44595</v>
      </c>
      <c r="C222" s="1" t="n">
        <v>46201</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38415-2023</t>
        </is>
      </c>
      <c r="B223" s="1" t="n">
        <v>45162</v>
      </c>
      <c r="C223" s="1" t="n">
        <v>46201</v>
      </c>
      <c r="D223" t="inlineStr">
        <is>
          <t>ÖREBRO LÄN</t>
        </is>
      </c>
      <c r="E223" t="inlineStr">
        <is>
          <t>ÖREBRO</t>
        </is>
      </c>
      <c r="G223" t="n">
        <v>2.6</v>
      </c>
      <c r="H223" t="n">
        <v>0</v>
      </c>
      <c r="I223" t="n">
        <v>0</v>
      </c>
      <c r="J223" t="n">
        <v>0</v>
      </c>
      <c r="K223" t="n">
        <v>0</v>
      </c>
      <c r="L223" t="n">
        <v>0</v>
      </c>
      <c r="M223" t="n">
        <v>0</v>
      </c>
      <c r="N223" t="n">
        <v>0</v>
      </c>
      <c r="O223" t="n">
        <v>0</v>
      </c>
      <c r="P223" t="n">
        <v>0</v>
      </c>
      <c r="Q223" t="n">
        <v>0</v>
      </c>
      <c r="R223" s="2" t="inlineStr"/>
    </row>
    <row r="224" ht="15" customHeight="1">
      <c r="A224" t="inlineStr">
        <is>
          <t>A 60128-2023</t>
        </is>
      </c>
      <c r="B224" s="1" t="n">
        <v>45258</v>
      </c>
      <c r="C224" s="1" t="n">
        <v>46201</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23594-2023</t>
        </is>
      </c>
      <c r="B225" s="1" t="n">
        <v>45077</v>
      </c>
      <c r="C225" s="1" t="n">
        <v>46201</v>
      </c>
      <c r="D225" t="inlineStr">
        <is>
          <t>ÖREBRO LÄN</t>
        </is>
      </c>
      <c r="E225" t="inlineStr">
        <is>
          <t>ÖREBRO</t>
        </is>
      </c>
      <c r="G225" t="n">
        <v>9.9</v>
      </c>
      <c r="H225" t="n">
        <v>0</v>
      </c>
      <c r="I225" t="n">
        <v>0</v>
      </c>
      <c r="J225" t="n">
        <v>0</v>
      </c>
      <c r="K225" t="n">
        <v>0</v>
      </c>
      <c r="L225" t="n">
        <v>0</v>
      </c>
      <c r="M225" t="n">
        <v>0</v>
      </c>
      <c r="N225" t="n">
        <v>0</v>
      </c>
      <c r="O225" t="n">
        <v>0</v>
      </c>
      <c r="P225" t="n">
        <v>0</v>
      </c>
      <c r="Q225" t="n">
        <v>0</v>
      </c>
      <c r="R225" s="2" t="inlineStr"/>
    </row>
    <row r="226" ht="15" customHeight="1">
      <c r="A226" t="inlineStr">
        <is>
          <t>A 55745-2023</t>
        </is>
      </c>
      <c r="B226" s="1" t="n">
        <v>45239</v>
      </c>
      <c r="C226" s="1" t="n">
        <v>46201</v>
      </c>
      <c r="D226" t="inlineStr">
        <is>
          <t>ÖREBRO LÄN</t>
        </is>
      </c>
      <c r="E226" t="inlineStr">
        <is>
          <t>ÖREBRO</t>
        </is>
      </c>
      <c r="G226" t="n">
        <v>13.3</v>
      </c>
      <c r="H226" t="n">
        <v>0</v>
      </c>
      <c r="I226" t="n">
        <v>0</v>
      </c>
      <c r="J226" t="n">
        <v>0</v>
      </c>
      <c r="K226" t="n">
        <v>0</v>
      </c>
      <c r="L226" t="n">
        <v>0</v>
      </c>
      <c r="M226" t="n">
        <v>0</v>
      </c>
      <c r="N226" t="n">
        <v>0</v>
      </c>
      <c r="O226" t="n">
        <v>0</v>
      </c>
      <c r="P226" t="n">
        <v>0</v>
      </c>
      <c r="Q226" t="n">
        <v>0</v>
      </c>
      <c r="R226" s="2" t="inlineStr"/>
    </row>
    <row r="227" ht="15" customHeight="1">
      <c r="A227" t="inlineStr">
        <is>
          <t>A 18047-2023</t>
        </is>
      </c>
      <c r="B227" s="1" t="n">
        <v>45040</v>
      </c>
      <c r="C227" s="1" t="n">
        <v>46201</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49797-2024</t>
        </is>
      </c>
      <c r="B228" s="1" t="n">
        <v>45597</v>
      </c>
      <c r="C228" s="1" t="n">
        <v>46201</v>
      </c>
      <c r="D228" t="inlineStr">
        <is>
          <t>ÖREBRO LÄN</t>
        </is>
      </c>
      <c r="E228" t="inlineStr">
        <is>
          <t>ÖREBRO</t>
        </is>
      </c>
      <c r="G228" t="n">
        <v>11.6</v>
      </c>
      <c r="H228" t="n">
        <v>0</v>
      </c>
      <c r="I228" t="n">
        <v>0</v>
      </c>
      <c r="J228" t="n">
        <v>0</v>
      </c>
      <c r="K228" t="n">
        <v>0</v>
      </c>
      <c r="L228" t="n">
        <v>0</v>
      </c>
      <c r="M228" t="n">
        <v>0</v>
      </c>
      <c r="N228" t="n">
        <v>0</v>
      </c>
      <c r="O228" t="n">
        <v>0</v>
      </c>
      <c r="P228" t="n">
        <v>0</v>
      </c>
      <c r="Q228" t="n">
        <v>0</v>
      </c>
      <c r="R228" s="2" t="inlineStr"/>
    </row>
    <row r="229" ht="15" customHeight="1">
      <c r="A229" t="inlineStr">
        <is>
          <t>A 38573-2023</t>
        </is>
      </c>
      <c r="B229" s="1" t="n">
        <v>45162</v>
      </c>
      <c r="C229" s="1" t="n">
        <v>46201</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25996-2024</t>
        </is>
      </c>
      <c r="B230" s="1" t="n">
        <v>45467</v>
      </c>
      <c r="C230" s="1" t="n">
        <v>46201</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13856-2022</t>
        </is>
      </c>
      <c r="B231" s="1" t="n">
        <v>44649</v>
      </c>
      <c r="C231" s="1" t="n">
        <v>46201</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52256-2023</t>
        </is>
      </c>
      <c r="B232" s="1" t="n">
        <v>45224</v>
      </c>
      <c r="C232" s="1" t="n">
        <v>46201</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40522-2024</t>
        </is>
      </c>
      <c r="B233" s="1" t="n">
        <v>45555</v>
      </c>
      <c r="C233" s="1" t="n">
        <v>46201</v>
      </c>
      <c r="D233" t="inlineStr">
        <is>
          <t>ÖREBRO LÄN</t>
        </is>
      </c>
      <c r="E233" t="inlineStr">
        <is>
          <t>ÖREBRO</t>
        </is>
      </c>
      <c r="G233" t="n">
        <v>5.1</v>
      </c>
      <c r="H233" t="n">
        <v>0</v>
      </c>
      <c r="I233" t="n">
        <v>0</v>
      </c>
      <c r="J233" t="n">
        <v>0</v>
      </c>
      <c r="K233" t="n">
        <v>0</v>
      </c>
      <c r="L233" t="n">
        <v>0</v>
      </c>
      <c r="M233" t="n">
        <v>0</v>
      </c>
      <c r="N233" t="n">
        <v>0</v>
      </c>
      <c r="O233" t="n">
        <v>0</v>
      </c>
      <c r="P233" t="n">
        <v>0</v>
      </c>
      <c r="Q233" t="n">
        <v>0</v>
      </c>
      <c r="R233" s="2" t="inlineStr"/>
    </row>
    <row r="234" ht="15" customHeight="1">
      <c r="A234" t="inlineStr">
        <is>
          <t>A 7611-2024</t>
        </is>
      </c>
      <c r="B234" s="1" t="n">
        <v>45348</v>
      </c>
      <c r="C234" s="1" t="n">
        <v>46201</v>
      </c>
      <c r="D234" t="inlineStr">
        <is>
          <t>ÖREBRO LÄN</t>
        </is>
      </c>
      <c r="E234" t="inlineStr">
        <is>
          <t>ÖREBRO</t>
        </is>
      </c>
      <c r="G234" t="n">
        <v>4.2</v>
      </c>
      <c r="H234" t="n">
        <v>0</v>
      </c>
      <c r="I234" t="n">
        <v>0</v>
      </c>
      <c r="J234" t="n">
        <v>0</v>
      </c>
      <c r="K234" t="n">
        <v>0</v>
      </c>
      <c r="L234" t="n">
        <v>0</v>
      </c>
      <c r="M234" t="n">
        <v>0</v>
      </c>
      <c r="N234" t="n">
        <v>0</v>
      </c>
      <c r="O234" t="n">
        <v>0</v>
      </c>
      <c r="P234" t="n">
        <v>0</v>
      </c>
      <c r="Q234" t="n">
        <v>0</v>
      </c>
      <c r="R234" s="2" t="inlineStr"/>
    </row>
    <row r="235" ht="15" customHeight="1">
      <c r="A235" t="inlineStr">
        <is>
          <t>A 15789-2023</t>
        </is>
      </c>
      <c r="B235" s="1" t="n">
        <v>45021</v>
      </c>
      <c r="C235" s="1" t="n">
        <v>46201</v>
      </c>
      <c r="D235" t="inlineStr">
        <is>
          <t>ÖREBRO LÄN</t>
        </is>
      </c>
      <c r="E235" t="inlineStr">
        <is>
          <t>ÖREBRO</t>
        </is>
      </c>
      <c r="F235" t="inlineStr">
        <is>
          <t>Övriga Aktiebolag</t>
        </is>
      </c>
      <c r="G235" t="n">
        <v>3.7</v>
      </c>
      <c r="H235" t="n">
        <v>0</v>
      </c>
      <c r="I235" t="n">
        <v>0</v>
      </c>
      <c r="J235" t="n">
        <v>0</v>
      </c>
      <c r="K235" t="n">
        <v>0</v>
      </c>
      <c r="L235" t="n">
        <v>0</v>
      </c>
      <c r="M235" t="n">
        <v>0</v>
      </c>
      <c r="N235" t="n">
        <v>0</v>
      </c>
      <c r="O235" t="n">
        <v>0</v>
      </c>
      <c r="P235" t="n">
        <v>0</v>
      </c>
      <c r="Q235" t="n">
        <v>0</v>
      </c>
      <c r="R235" s="2" t="inlineStr"/>
    </row>
    <row r="236" ht="15" customHeight="1">
      <c r="A236" t="inlineStr">
        <is>
          <t>A 8022-2022</t>
        </is>
      </c>
      <c r="B236" s="1" t="n">
        <v>44609</v>
      </c>
      <c r="C236" s="1" t="n">
        <v>46201</v>
      </c>
      <c r="D236" t="inlineStr">
        <is>
          <t>ÖREBRO LÄN</t>
        </is>
      </c>
      <c r="E236" t="inlineStr">
        <is>
          <t>ÖREBRO</t>
        </is>
      </c>
      <c r="G236" t="n">
        <v>5.6</v>
      </c>
      <c r="H236" t="n">
        <v>0</v>
      </c>
      <c r="I236" t="n">
        <v>0</v>
      </c>
      <c r="J236" t="n">
        <v>0</v>
      </c>
      <c r="K236" t="n">
        <v>0</v>
      </c>
      <c r="L236" t="n">
        <v>0</v>
      </c>
      <c r="M236" t="n">
        <v>0</v>
      </c>
      <c r="N236" t="n">
        <v>0</v>
      </c>
      <c r="O236" t="n">
        <v>0</v>
      </c>
      <c r="P236" t="n">
        <v>0</v>
      </c>
      <c r="Q236" t="n">
        <v>0</v>
      </c>
      <c r="R236" s="2" t="inlineStr"/>
    </row>
    <row r="237" ht="15" customHeight="1">
      <c r="A237" t="inlineStr">
        <is>
          <t>A 60289-2023</t>
        </is>
      </c>
      <c r="B237" s="1" t="n">
        <v>45257</v>
      </c>
      <c r="C237" s="1" t="n">
        <v>46201</v>
      </c>
      <c r="D237" t="inlineStr">
        <is>
          <t>ÖREBRO LÄN</t>
        </is>
      </c>
      <c r="E237" t="inlineStr">
        <is>
          <t>ÖREBRO</t>
        </is>
      </c>
      <c r="G237" t="n">
        <v>10.9</v>
      </c>
      <c r="H237" t="n">
        <v>0</v>
      </c>
      <c r="I237" t="n">
        <v>0</v>
      </c>
      <c r="J237" t="n">
        <v>0</v>
      </c>
      <c r="K237" t="n">
        <v>0</v>
      </c>
      <c r="L237" t="n">
        <v>0</v>
      </c>
      <c r="M237" t="n">
        <v>0</v>
      </c>
      <c r="N237" t="n">
        <v>0</v>
      </c>
      <c r="O237" t="n">
        <v>0</v>
      </c>
      <c r="P237" t="n">
        <v>0</v>
      </c>
      <c r="Q237" t="n">
        <v>0</v>
      </c>
      <c r="R237" s="2" t="inlineStr"/>
    </row>
    <row r="238" ht="15" customHeight="1">
      <c r="A238" t="inlineStr">
        <is>
          <t>A 12017-2024</t>
        </is>
      </c>
      <c r="B238" s="1" t="n">
        <v>45377</v>
      </c>
      <c r="C238" s="1" t="n">
        <v>46201</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54678-2023</t>
        </is>
      </c>
      <c r="B239" s="1" t="n">
        <v>45235</v>
      </c>
      <c r="C239" s="1" t="n">
        <v>46201</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52612-2024</t>
        </is>
      </c>
      <c r="B240" s="1" t="n">
        <v>45609</v>
      </c>
      <c r="C240" s="1" t="n">
        <v>46201</v>
      </c>
      <c r="D240" t="inlineStr">
        <is>
          <t>ÖREBRO LÄN</t>
        </is>
      </c>
      <c r="E240" t="inlineStr">
        <is>
          <t>ÖREBRO</t>
        </is>
      </c>
      <c r="F240" t="inlineStr">
        <is>
          <t>Kommuner</t>
        </is>
      </c>
      <c r="G240" t="n">
        <v>5.5</v>
      </c>
      <c r="H240" t="n">
        <v>0</v>
      </c>
      <c r="I240" t="n">
        <v>0</v>
      </c>
      <c r="J240" t="n">
        <v>0</v>
      </c>
      <c r="K240" t="n">
        <v>0</v>
      </c>
      <c r="L240" t="n">
        <v>0</v>
      </c>
      <c r="M240" t="n">
        <v>0</v>
      </c>
      <c r="N240" t="n">
        <v>0</v>
      </c>
      <c r="O240" t="n">
        <v>0</v>
      </c>
      <c r="P240" t="n">
        <v>0</v>
      </c>
      <c r="Q240" t="n">
        <v>0</v>
      </c>
      <c r="R240" s="2" t="inlineStr"/>
    </row>
    <row r="241" ht="15" customHeight="1">
      <c r="A241" t="inlineStr">
        <is>
          <t>A 49062-2023</t>
        </is>
      </c>
      <c r="B241" s="1" t="n">
        <v>45210</v>
      </c>
      <c r="C241" s="1" t="n">
        <v>46201</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44511-2023</t>
        </is>
      </c>
      <c r="B242" s="1" t="n">
        <v>45189</v>
      </c>
      <c r="C242" s="1" t="n">
        <v>46201</v>
      </c>
      <c r="D242" t="inlineStr">
        <is>
          <t>ÖREBRO LÄN</t>
        </is>
      </c>
      <c r="E242" t="inlineStr">
        <is>
          <t>ÖREBRO</t>
        </is>
      </c>
      <c r="F242" t="inlineStr">
        <is>
          <t>Allmännings- och besparingsskogar</t>
        </is>
      </c>
      <c r="G242" t="n">
        <v>2.7</v>
      </c>
      <c r="H242" t="n">
        <v>0</v>
      </c>
      <c r="I242" t="n">
        <v>0</v>
      </c>
      <c r="J242" t="n">
        <v>0</v>
      </c>
      <c r="K242" t="n">
        <v>0</v>
      </c>
      <c r="L242" t="n">
        <v>0</v>
      </c>
      <c r="M242" t="n">
        <v>0</v>
      </c>
      <c r="N242" t="n">
        <v>0</v>
      </c>
      <c r="O242" t="n">
        <v>0</v>
      </c>
      <c r="P242" t="n">
        <v>0</v>
      </c>
      <c r="Q242" t="n">
        <v>0</v>
      </c>
      <c r="R242" s="2" t="inlineStr"/>
    </row>
    <row r="243" ht="15" customHeight="1">
      <c r="A243" t="inlineStr">
        <is>
          <t>A 55875-2024</t>
        </is>
      </c>
      <c r="B243" s="1" t="n">
        <v>45623</v>
      </c>
      <c r="C243" s="1" t="n">
        <v>46201</v>
      </c>
      <c r="D243" t="inlineStr">
        <is>
          <t>ÖREBRO LÄN</t>
        </is>
      </c>
      <c r="E243" t="inlineStr">
        <is>
          <t>ÖREBRO</t>
        </is>
      </c>
      <c r="G243" t="n">
        <v>3.5</v>
      </c>
      <c r="H243" t="n">
        <v>0</v>
      </c>
      <c r="I243" t="n">
        <v>0</v>
      </c>
      <c r="J243" t="n">
        <v>0</v>
      </c>
      <c r="K243" t="n">
        <v>0</v>
      </c>
      <c r="L243" t="n">
        <v>0</v>
      </c>
      <c r="M243" t="n">
        <v>0</v>
      </c>
      <c r="N243" t="n">
        <v>0</v>
      </c>
      <c r="O243" t="n">
        <v>0</v>
      </c>
      <c r="P243" t="n">
        <v>0</v>
      </c>
      <c r="Q243" t="n">
        <v>0</v>
      </c>
      <c r="R243" s="2" t="inlineStr"/>
    </row>
    <row r="244" ht="15" customHeight="1">
      <c r="A244" t="inlineStr">
        <is>
          <t>A 3841-2023</t>
        </is>
      </c>
      <c r="B244" s="1" t="n">
        <v>44951</v>
      </c>
      <c r="C244" s="1" t="n">
        <v>46201</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55943-2024</t>
        </is>
      </c>
      <c r="B245" s="1" t="n">
        <v>45623</v>
      </c>
      <c r="C245" s="1" t="n">
        <v>46201</v>
      </c>
      <c r="D245" t="inlineStr">
        <is>
          <t>ÖREBRO LÄN</t>
        </is>
      </c>
      <c r="E245" t="inlineStr">
        <is>
          <t>ÖREBRO</t>
        </is>
      </c>
      <c r="G245" t="n">
        <v>4.8</v>
      </c>
      <c r="H245" t="n">
        <v>0</v>
      </c>
      <c r="I245" t="n">
        <v>0</v>
      </c>
      <c r="J245" t="n">
        <v>0</v>
      </c>
      <c r="K245" t="n">
        <v>0</v>
      </c>
      <c r="L245" t="n">
        <v>0</v>
      </c>
      <c r="M245" t="n">
        <v>0</v>
      </c>
      <c r="N245" t="n">
        <v>0</v>
      </c>
      <c r="O245" t="n">
        <v>0</v>
      </c>
      <c r="P245" t="n">
        <v>0</v>
      </c>
      <c r="Q245" t="n">
        <v>0</v>
      </c>
      <c r="R245" s="2" t="inlineStr"/>
    </row>
    <row r="246" ht="15" customHeight="1">
      <c r="A246" t="inlineStr">
        <is>
          <t>A 49215-2023</t>
        </is>
      </c>
      <c r="B246" s="1" t="n">
        <v>45210</v>
      </c>
      <c r="C246" s="1" t="n">
        <v>46201</v>
      </c>
      <c r="D246" t="inlineStr">
        <is>
          <t>ÖREBRO LÄN</t>
        </is>
      </c>
      <c r="E246" t="inlineStr">
        <is>
          <t>ÖREBRO</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16374-2022</t>
        </is>
      </c>
      <c r="B247" s="1" t="n">
        <v>44671</v>
      </c>
      <c r="C247" s="1" t="n">
        <v>46201</v>
      </c>
      <c r="D247" t="inlineStr">
        <is>
          <t>ÖREBRO LÄN</t>
        </is>
      </c>
      <c r="E247" t="inlineStr">
        <is>
          <t>ÖREBRO</t>
        </is>
      </c>
      <c r="F247" t="inlineStr">
        <is>
          <t>Övriga Aktiebolag</t>
        </is>
      </c>
      <c r="G247" t="n">
        <v>30.3</v>
      </c>
      <c r="H247" t="n">
        <v>0</v>
      </c>
      <c r="I247" t="n">
        <v>0</v>
      </c>
      <c r="J247" t="n">
        <v>0</v>
      </c>
      <c r="K247" t="n">
        <v>0</v>
      </c>
      <c r="L247" t="n">
        <v>0</v>
      </c>
      <c r="M247" t="n">
        <v>0</v>
      </c>
      <c r="N247" t="n">
        <v>0</v>
      </c>
      <c r="O247" t="n">
        <v>0</v>
      </c>
      <c r="P247" t="n">
        <v>0</v>
      </c>
      <c r="Q247" t="n">
        <v>0</v>
      </c>
      <c r="R247" s="2" t="inlineStr"/>
    </row>
    <row r="248" ht="15" customHeight="1">
      <c r="A248" t="inlineStr">
        <is>
          <t>A 27956-2023</t>
        </is>
      </c>
      <c r="B248" s="1" t="n">
        <v>45098</v>
      </c>
      <c r="C248" s="1" t="n">
        <v>46201</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13321-2024</t>
        </is>
      </c>
      <c r="B249" s="1" t="n">
        <v>45386</v>
      </c>
      <c r="C249" s="1" t="n">
        <v>46201</v>
      </c>
      <c r="D249" t="inlineStr">
        <is>
          <t>ÖREBRO LÄN</t>
        </is>
      </c>
      <c r="E249" t="inlineStr">
        <is>
          <t>ÖREBRO</t>
        </is>
      </c>
      <c r="G249" t="n">
        <v>13.1</v>
      </c>
      <c r="H249" t="n">
        <v>0</v>
      </c>
      <c r="I249" t="n">
        <v>0</v>
      </c>
      <c r="J249" t="n">
        <v>0</v>
      </c>
      <c r="K249" t="n">
        <v>0</v>
      </c>
      <c r="L249" t="n">
        <v>0</v>
      </c>
      <c r="M249" t="n">
        <v>0</v>
      </c>
      <c r="N249" t="n">
        <v>0</v>
      </c>
      <c r="O249" t="n">
        <v>0</v>
      </c>
      <c r="P249" t="n">
        <v>0</v>
      </c>
      <c r="Q249" t="n">
        <v>0</v>
      </c>
      <c r="R249" s="2" t="inlineStr"/>
    </row>
    <row r="250" ht="15" customHeight="1">
      <c r="A250" t="inlineStr">
        <is>
          <t>A 43399-2022</t>
        </is>
      </c>
      <c r="B250" s="1" t="n">
        <v>44834</v>
      </c>
      <c r="C250" s="1" t="n">
        <v>46201</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v>
      </c>
      <c r="C251" s="1" t="n">
        <v>46201</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15652-2025</t>
        </is>
      </c>
      <c r="B252" s="1" t="n">
        <v>45748</v>
      </c>
      <c r="C252" s="1" t="n">
        <v>46201</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51180-2023</t>
        </is>
      </c>
      <c r="B253" s="1" t="n">
        <v>45219</v>
      </c>
      <c r="C253" s="1" t="n">
        <v>46201</v>
      </c>
      <c r="D253" t="inlineStr">
        <is>
          <t>ÖREBRO LÄN</t>
        </is>
      </c>
      <c r="E253" t="inlineStr">
        <is>
          <t>ÖREBRO</t>
        </is>
      </c>
      <c r="G253" t="n">
        <v>6.5</v>
      </c>
      <c r="H253" t="n">
        <v>0</v>
      </c>
      <c r="I253" t="n">
        <v>0</v>
      </c>
      <c r="J253" t="n">
        <v>0</v>
      </c>
      <c r="K253" t="n">
        <v>0</v>
      </c>
      <c r="L253" t="n">
        <v>0</v>
      </c>
      <c r="M253" t="n">
        <v>0</v>
      </c>
      <c r="N253" t="n">
        <v>0</v>
      </c>
      <c r="O253" t="n">
        <v>0</v>
      </c>
      <c r="P253" t="n">
        <v>0</v>
      </c>
      <c r="Q253" t="n">
        <v>0</v>
      </c>
      <c r="R253" s="2" t="inlineStr"/>
    </row>
    <row r="254" ht="15" customHeight="1">
      <c r="A254" t="inlineStr">
        <is>
          <t>A 58621-2024</t>
        </is>
      </c>
      <c r="B254" s="1" t="n">
        <v>45635</v>
      </c>
      <c r="C254" s="1" t="n">
        <v>46201</v>
      </c>
      <c r="D254" t="inlineStr">
        <is>
          <t>ÖREBRO LÄN</t>
        </is>
      </c>
      <c r="E254" t="inlineStr">
        <is>
          <t>ÖREBRO</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2596-2022</t>
        </is>
      </c>
      <c r="B255" s="1" t="n">
        <v>44580</v>
      </c>
      <c r="C255" s="1" t="n">
        <v>46201</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19553-2023</t>
        </is>
      </c>
      <c r="B256" s="1" t="n">
        <v>45050</v>
      </c>
      <c r="C256" s="1" t="n">
        <v>46201</v>
      </c>
      <c r="D256" t="inlineStr">
        <is>
          <t>ÖREBRO LÄN</t>
        </is>
      </c>
      <c r="E256" t="inlineStr">
        <is>
          <t>ÖREBRO</t>
        </is>
      </c>
      <c r="G256" t="n">
        <v>2.1</v>
      </c>
      <c r="H256" t="n">
        <v>0</v>
      </c>
      <c r="I256" t="n">
        <v>0</v>
      </c>
      <c r="J256" t="n">
        <v>0</v>
      </c>
      <c r="K256" t="n">
        <v>0</v>
      </c>
      <c r="L256" t="n">
        <v>0</v>
      </c>
      <c r="M256" t="n">
        <v>0</v>
      </c>
      <c r="N256" t="n">
        <v>0</v>
      </c>
      <c r="O256" t="n">
        <v>0</v>
      </c>
      <c r="P256" t="n">
        <v>0</v>
      </c>
      <c r="Q256" t="n">
        <v>0</v>
      </c>
      <c r="R256" s="2" t="inlineStr"/>
    </row>
    <row r="257" ht="15" customHeight="1">
      <c r="A257" t="inlineStr">
        <is>
          <t>A 5578-2024</t>
        </is>
      </c>
      <c r="B257" s="1" t="n">
        <v>45334</v>
      </c>
      <c r="C257" s="1" t="n">
        <v>46201</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13857-2022</t>
        </is>
      </c>
      <c r="B258" s="1" t="n">
        <v>44649</v>
      </c>
      <c r="C258" s="1" t="n">
        <v>46201</v>
      </c>
      <c r="D258" t="inlineStr">
        <is>
          <t>ÖREBRO LÄN</t>
        </is>
      </c>
      <c r="E258" t="inlineStr">
        <is>
          <t>ÖREBRO</t>
        </is>
      </c>
      <c r="G258" t="n">
        <v>0.6</v>
      </c>
      <c r="H258" t="n">
        <v>0</v>
      </c>
      <c r="I258" t="n">
        <v>0</v>
      </c>
      <c r="J258" t="n">
        <v>0</v>
      </c>
      <c r="K258" t="n">
        <v>0</v>
      </c>
      <c r="L258" t="n">
        <v>0</v>
      </c>
      <c r="M258" t="n">
        <v>0</v>
      </c>
      <c r="N258" t="n">
        <v>0</v>
      </c>
      <c r="O258" t="n">
        <v>0</v>
      </c>
      <c r="P258" t="n">
        <v>0</v>
      </c>
      <c r="Q258" t="n">
        <v>0</v>
      </c>
      <c r="R258" s="2" t="inlineStr"/>
    </row>
    <row r="259" ht="15" customHeight="1">
      <c r="A259" t="inlineStr">
        <is>
          <t>A 55692-2023</t>
        </is>
      </c>
      <c r="B259" s="1" t="n">
        <v>45239</v>
      </c>
      <c r="C259" s="1" t="n">
        <v>46201</v>
      </c>
      <c r="D259" t="inlineStr">
        <is>
          <t>ÖREBRO LÄN</t>
        </is>
      </c>
      <c r="E259" t="inlineStr">
        <is>
          <t>ÖREBRO</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32086-2023</t>
        </is>
      </c>
      <c r="B260" s="1" t="n">
        <v>45119</v>
      </c>
      <c r="C260" s="1" t="n">
        <v>46201</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46201</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2630-2023</t>
        </is>
      </c>
      <c r="B262" s="1" t="n">
        <v>44944</v>
      </c>
      <c r="C262" s="1" t="n">
        <v>46201</v>
      </c>
      <c r="D262" t="inlineStr">
        <is>
          <t>ÖREBRO LÄN</t>
        </is>
      </c>
      <c r="E262" t="inlineStr">
        <is>
          <t>ÖREBRO</t>
        </is>
      </c>
      <c r="G262" t="n">
        <v>6.1</v>
      </c>
      <c r="H262" t="n">
        <v>0</v>
      </c>
      <c r="I262" t="n">
        <v>0</v>
      </c>
      <c r="J262" t="n">
        <v>0</v>
      </c>
      <c r="K262" t="n">
        <v>0</v>
      </c>
      <c r="L262" t="n">
        <v>0</v>
      </c>
      <c r="M262" t="n">
        <v>0</v>
      </c>
      <c r="N262" t="n">
        <v>0</v>
      </c>
      <c r="O262" t="n">
        <v>0</v>
      </c>
      <c r="P262" t="n">
        <v>0</v>
      </c>
      <c r="Q262" t="n">
        <v>0</v>
      </c>
      <c r="R262" s="2" t="inlineStr"/>
    </row>
    <row r="263" ht="15" customHeight="1">
      <c r="A263" t="inlineStr">
        <is>
          <t>A 5330-2024</t>
        </is>
      </c>
      <c r="B263" s="1" t="n">
        <v>45331</v>
      </c>
      <c r="C263" s="1" t="n">
        <v>46201</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54925-2023</t>
        </is>
      </c>
      <c r="B264" s="1" t="n">
        <v>45229</v>
      </c>
      <c r="C264" s="1" t="n">
        <v>46201</v>
      </c>
      <c r="D264" t="inlineStr">
        <is>
          <t>ÖREBRO LÄN</t>
        </is>
      </c>
      <c r="E264" t="inlineStr">
        <is>
          <t>ÖREBRO</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10830-2023</t>
        </is>
      </c>
      <c r="B265" s="1" t="n">
        <v>44990</v>
      </c>
      <c r="C265" s="1" t="n">
        <v>46201</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14291-2023</t>
        </is>
      </c>
      <c r="B266" s="1" t="n">
        <v>45010</v>
      </c>
      <c r="C266" s="1" t="n">
        <v>46201</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28054-2022</t>
        </is>
      </c>
      <c r="B267" s="1" t="n">
        <v>44746</v>
      </c>
      <c r="C267" s="1" t="n">
        <v>46201</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58527-2024</t>
        </is>
      </c>
      <c r="B268" s="1" t="n">
        <v>45635</v>
      </c>
      <c r="C268" s="1" t="n">
        <v>46201</v>
      </c>
      <c r="D268" t="inlineStr">
        <is>
          <t>ÖREBRO LÄN</t>
        </is>
      </c>
      <c r="E268" t="inlineStr">
        <is>
          <t>ÖREBRO</t>
        </is>
      </c>
      <c r="F268" t="inlineStr">
        <is>
          <t>Sveaskog</t>
        </is>
      </c>
      <c r="G268" t="n">
        <v>6.4</v>
      </c>
      <c r="H268" t="n">
        <v>0</v>
      </c>
      <c r="I268" t="n">
        <v>0</v>
      </c>
      <c r="J268" t="n">
        <v>0</v>
      </c>
      <c r="K268" t="n">
        <v>0</v>
      </c>
      <c r="L268" t="n">
        <v>0</v>
      </c>
      <c r="M268" t="n">
        <v>0</v>
      </c>
      <c r="N268" t="n">
        <v>0</v>
      </c>
      <c r="O268" t="n">
        <v>0</v>
      </c>
      <c r="P268" t="n">
        <v>0</v>
      </c>
      <c r="Q268" t="n">
        <v>0</v>
      </c>
      <c r="R268" s="2" t="inlineStr"/>
    </row>
    <row r="269" ht="15" customHeight="1">
      <c r="A269" t="inlineStr">
        <is>
          <t>A 5125-2024</t>
        </is>
      </c>
      <c r="B269" s="1" t="n">
        <v>45330</v>
      </c>
      <c r="C269" s="1" t="n">
        <v>46201</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55593-2022</t>
        </is>
      </c>
      <c r="B270" s="1" t="n">
        <v>44888</v>
      </c>
      <c r="C270" s="1" t="n">
        <v>46201</v>
      </c>
      <c r="D270" t="inlineStr">
        <is>
          <t>ÖREBRO LÄN</t>
        </is>
      </c>
      <c r="E270" t="inlineStr">
        <is>
          <t>ÖREBRO</t>
        </is>
      </c>
      <c r="G270" t="n">
        <v>3.6</v>
      </c>
      <c r="H270" t="n">
        <v>0</v>
      </c>
      <c r="I270" t="n">
        <v>0</v>
      </c>
      <c r="J270" t="n">
        <v>0</v>
      </c>
      <c r="K270" t="n">
        <v>0</v>
      </c>
      <c r="L270" t="n">
        <v>0</v>
      </c>
      <c r="M270" t="n">
        <v>0</v>
      </c>
      <c r="N270" t="n">
        <v>0</v>
      </c>
      <c r="O270" t="n">
        <v>0</v>
      </c>
      <c r="P270" t="n">
        <v>0</v>
      </c>
      <c r="Q270" t="n">
        <v>0</v>
      </c>
      <c r="R270" s="2" t="inlineStr"/>
    </row>
    <row r="271" ht="15" customHeight="1">
      <c r="A271" t="inlineStr">
        <is>
          <t>A 42138-2024</t>
        </is>
      </c>
      <c r="B271" s="1" t="n">
        <v>45562</v>
      </c>
      <c r="C271" s="1" t="n">
        <v>46201</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26101-2022</t>
        </is>
      </c>
      <c r="B272" s="1" t="n">
        <v>44734</v>
      </c>
      <c r="C272" s="1" t="n">
        <v>46201</v>
      </c>
      <c r="D272" t="inlineStr">
        <is>
          <t>ÖREBRO LÄN</t>
        </is>
      </c>
      <c r="E272" t="inlineStr">
        <is>
          <t>ÖREBRO</t>
        </is>
      </c>
      <c r="G272" t="n">
        <v>15.8</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46201</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71206-2021</t>
        </is>
      </c>
      <c r="B274" s="1" t="n">
        <v>44539</v>
      </c>
      <c r="C274" s="1" t="n">
        <v>46201</v>
      </c>
      <c r="D274" t="inlineStr">
        <is>
          <t>ÖREBRO LÄN</t>
        </is>
      </c>
      <c r="E274" t="inlineStr">
        <is>
          <t>ÖREBRO</t>
        </is>
      </c>
      <c r="G274" t="n">
        <v>2.5</v>
      </c>
      <c r="H274" t="n">
        <v>0</v>
      </c>
      <c r="I274" t="n">
        <v>0</v>
      </c>
      <c r="J274" t="n">
        <v>0</v>
      </c>
      <c r="K274" t="n">
        <v>0</v>
      </c>
      <c r="L274" t="n">
        <v>0</v>
      </c>
      <c r="M274" t="n">
        <v>0</v>
      </c>
      <c r="N274" t="n">
        <v>0</v>
      </c>
      <c r="O274" t="n">
        <v>0</v>
      </c>
      <c r="P274" t="n">
        <v>0</v>
      </c>
      <c r="Q274" t="n">
        <v>0</v>
      </c>
      <c r="R274" s="2" t="inlineStr"/>
    </row>
    <row r="275" ht="15" customHeight="1">
      <c r="A275" t="inlineStr">
        <is>
          <t>A 13181-2023</t>
        </is>
      </c>
      <c r="B275" s="1" t="n">
        <v>45002</v>
      </c>
      <c r="C275" s="1" t="n">
        <v>46201</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45027-2024</t>
        </is>
      </c>
      <c r="B276" s="1" t="n">
        <v>45575</v>
      </c>
      <c r="C276" s="1" t="n">
        <v>46201</v>
      </c>
      <c r="D276" t="inlineStr">
        <is>
          <t>ÖREBRO LÄN</t>
        </is>
      </c>
      <c r="E276" t="inlineStr">
        <is>
          <t>ÖREBRO</t>
        </is>
      </c>
      <c r="G276" t="n">
        <v>6.3</v>
      </c>
      <c r="H276" t="n">
        <v>0</v>
      </c>
      <c r="I276" t="n">
        <v>0</v>
      </c>
      <c r="J276" t="n">
        <v>0</v>
      </c>
      <c r="K276" t="n">
        <v>0</v>
      </c>
      <c r="L276" t="n">
        <v>0</v>
      </c>
      <c r="M276" t="n">
        <v>0</v>
      </c>
      <c r="N276" t="n">
        <v>0</v>
      </c>
      <c r="O276" t="n">
        <v>0</v>
      </c>
      <c r="P276" t="n">
        <v>0</v>
      </c>
      <c r="Q276" t="n">
        <v>0</v>
      </c>
      <c r="R276" s="2" t="inlineStr"/>
    </row>
    <row r="277" ht="15" customHeight="1">
      <c r="A277" t="inlineStr">
        <is>
          <t>A 16140-2023</t>
        </is>
      </c>
      <c r="B277" s="1" t="n">
        <v>45027</v>
      </c>
      <c r="C277" s="1" t="n">
        <v>46201</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63142-2023</t>
        </is>
      </c>
      <c r="B278" s="1" t="n">
        <v>45273</v>
      </c>
      <c r="C278" s="1" t="n">
        <v>46201</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23741-2022</t>
        </is>
      </c>
      <c r="B279" s="1" t="n">
        <v>44722</v>
      </c>
      <c r="C279" s="1" t="n">
        <v>46201</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59121-2024</t>
        </is>
      </c>
      <c r="B280" s="1" t="n">
        <v>45637</v>
      </c>
      <c r="C280" s="1" t="n">
        <v>46201</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9704-2023</t>
        </is>
      </c>
      <c r="B281" s="1" t="n">
        <v>44984</v>
      </c>
      <c r="C281" s="1" t="n">
        <v>46201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55472-2023</t>
        </is>
      </c>
      <c r="B282" s="1" t="n">
        <v>45238</v>
      </c>
      <c r="C282" s="1" t="n">
        <v>46201</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52391-2024</t>
        </is>
      </c>
      <c r="B283" s="1" t="n">
        <v>45609</v>
      </c>
      <c r="C283" s="1" t="n">
        <v>46201</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v>
      </c>
      <c r="C284" s="1" t="n">
        <v>46201</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5129-2024</t>
        </is>
      </c>
      <c r="B285" s="1" t="n">
        <v>45330</v>
      </c>
      <c r="C285" s="1" t="n">
        <v>46201</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33577-2023</t>
        </is>
      </c>
      <c r="B286" s="1" t="n">
        <v>45131</v>
      </c>
      <c r="C286" s="1" t="n">
        <v>46201</v>
      </c>
      <c r="D286" t="inlineStr">
        <is>
          <t>ÖREBRO LÄN</t>
        </is>
      </c>
      <c r="E286" t="inlineStr">
        <is>
          <t>ÖREBRO</t>
        </is>
      </c>
      <c r="G286" t="n">
        <v>2</v>
      </c>
      <c r="H286" t="n">
        <v>0</v>
      </c>
      <c r="I286" t="n">
        <v>0</v>
      </c>
      <c r="J286" t="n">
        <v>0</v>
      </c>
      <c r="K286" t="n">
        <v>0</v>
      </c>
      <c r="L286" t="n">
        <v>0</v>
      </c>
      <c r="M286" t="n">
        <v>0</v>
      </c>
      <c r="N286" t="n">
        <v>0</v>
      </c>
      <c r="O286" t="n">
        <v>0</v>
      </c>
      <c r="P286" t="n">
        <v>0</v>
      </c>
      <c r="Q286" t="n">
        <v>0</v>
      </c>
      <c r="R286" s="2" t="inlineStr"/>
    </row>
    <row r="287" ht="15" customHeight="1">
      <c r="A287" t="inlineStr">
        <is>
          <t>A 38489-2023</t>
        </is>
      </c>
      <c r="B287" s="1" t="n">
        <v>45162</v>
      </c>
      <c r="C287" s="1" t="n">
        <v>46201</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19763-2024</t>
        </is>
      </c>
      <c r="B288" s="1" t="n">
        <v>45432</v>
      </c>
      <c r="C288" s="1" t="n">
        <v>46201</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14545-2023</t>
        </is>
      </c>
      <c r="B289" s="1" t="n">
        <v>45013</v>
      </c>
      <c r="C289" s="1" t="n">
        <v>46201</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12099-2023</t>
        </is>
      </c>
      <c r="B290" s="1" t="n">
        <v>44998</v>
      </c>
      <c r="C290" s="1" t="n">
        <v>46201</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54917-2023</t>
        </is>
      </c>
      <c r="B291" s="1" t="n">
        <v>45229</v>
      </c>
      <c r="C291" s="1" t="n">
        <v>46201</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14432-2023</t>
        </is>
      </c>
      <c r="B292" s="1" t="n">
        <v>45012</v>
      </c>
      <c r="C292" s="1" t="n">
        <v>46201</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3652-2022</t>
        </is>
      </c>
      <c r="B293" s="1" t="n">
        <v>44586</v>
      </c>
      <c r="C293" s="1" t="n">
        <v>46201</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17869-2024</t>
        </is>
      </c>
      <c r="B294" s="1" t="n">
        <v>45419</v>
      </c>
      <c r="C294" s="1" t="n">
        <v>46201</v>
      </c>
      <c r="D294" t="inlineStr">
        <is>
          <t>ÖREBRO LÄN</t>
        </is>
      </c>
      <c r="E294" t="inlineStr">
        <is>
          <t>ÖREBRO</t>
        </is>
      </c>
      <c r="G294" t="n">
        <v>3.7</v>
      </c>
      <c r="H294" t="n">
        <v>0</v>
      </c>
      <c r="I294" t="n">
        <v>0</v>
      </c>
      <c r="J294" t="n">
        <v>0</v>
      </c>
      <c r="K294" t="n">
        <v>0</v>
      </c>
      <c r="L294" t="n">
        <v>0</v>
      </c>
      <c r="M294" t="n">
        <v>0</v>
      </c>
      <c r="N294" t="n">
        <v>0</v>
      </c>
      <c r="O294" t="n">
        <v>0</v>
      </c>
      <c r="P294" t="n">
        <v>0</v>
      </c>
      <c r="Q294" t="n">
        <v>0</v>
      </c>
      <c r="R294" s="2" t="inlineStr"/>
    </row>
    <row r="295" ht="15" customHeight="1">
      <c r="A295" t="inlineStr">
        <is>
          <t>A 5026-2022</t>
        </is>
      </c>
      <c r="B295" s="1" t="n">
        <v>44593</v>
      </c>
      <c r="C295" s="1" t="n">
        <v>46201</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10832-2023</t>
        </is>
      </c>
      <c r="B296" s="1" t="n">
        <v>44990</v>
      </c>
      <c r="C296" s="1" t="n">
        <v>46201</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30015-2023</t>
        </is>
      </c>
      <c r="B297" s="1" t="n">
        <v>45109</v>
      </c>
      <c r="C297" s="1" t="n">
        <v>46201</v>
      </c>
      <c r="D297" t="inlineStr">
        <is>
          <t>ÖREBRO LÄN</t>
        </is>
      </c>
      <c r="E297" t="inlineStr">
        <is>
          <t>ÖREBRO</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1013-2024</t>
        </is>
      </c>
      <c r="B298" s="1" t="n">
        <v>45301</v>
      </c>
      <c r="C298" s="1" t="n">
        <v>46201</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27215-2025</t>
        </is>
      </c>
      <c r="B299" s="1" t="n">
        <v>45812</v>
      </c>
      <c r="C299" s="1" t="n">
        <v>46201</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27225-2025</t>
        </is>
      </c>
      <c r="B300" s="1" t="n">
        <v>45812</v>
      </c>
      <c r="C300" s="1" t="n">
        <v>46201</v>
      </c>
      <c r="D300" t="inlineStr">
        <is>
          <t>ÖREBRO LÄN</t>
        </is>
      </c>
      <c r="E300" t="inlineStr">
        <is>
          <t>ÖREBRO</t>
        </is>
      </c>
      <c r="G300" t="n">
        <v>4</v>
      </c>
      <c r="H300" t="n">
        <v>0</v>
      </c>
      <c r="I300" t="n">
        <v>0</v>
      </c>
      <c r="J300" t="n">
        <v>0</v>
      </c>
      <c r="K300" t="n">
        <v>0</v>
      </c>
      <c r="L300" t="n">
        <v>0</v>
      </c>
      <c r="M300" t="n">
        <v>0</v>
      </c>
      <c r="N300" t="n">
        <v>0</v>
      </c>
      <c r="O300" t="n">
        <v>0</v>
      </c>
      <c r="P300" t="n">
        <v>0</v>
      </c>
      <c r="Q300" t="n">
        <v>0</v>
      </c>
      <c r="R300" s="2" t="inlineStr"/>
    </row>
    <row r="301" ht="15" customHeight="1">
      <c r="A301" t="inlineStr">
        <is>
          <t>A 14715-2024</t>
        </is>
      </c>
      <c r="B301" s="1" t="n">
        <v>45397</v>
      </c>
      <c r="C301" s="1" t="n">
        <v>46201</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48581-2024</t>
        </is>
      </c>
      <c r="B302" s="1" t="n">
        <v>45593</v>
      </c>
      <c r="C302" s="1" t="n">
        <v>46201</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58145-2024</t>
        </is>
      </c>
      <c r="B303" s="1" t="n">
        <v>45632</v>
      </c>
      <c r="C303" s="1" t="n">
        <v>46201</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52499-2024</t>
        </is>
      </c>
      <c r="B304" s="1" t="n">
        <v>45609</v>
      </c>
      <c r="C304" s="1" t="n">
        <v>46201</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40231-2022</t>
        </is>
      </c>
      <c r="B305" s="1" t="n">
        <v>44820</v>
      </c>
      <c r="C305" s="1" t="n">
        <v>46201</v>
      </c>
      <c r="D305" t="inlineStr">
        <is>
          <t>ÖREBRO LÄN</t>
        </is>
      </c>
      <c r="E305" t="inlineStr">
        <is>
          <t>ÖREBRO</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13623-2024</t>
        </is>
      </c>
      <c r="B306" s="1" t="n">
        <v>45390</v>
      </c>
      <c r="C306" s="1" t="n">
        <v>46201</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16300-2022</t>
        </is>
      </c>
      <c r="B307" s="1" t="n">
        <v>44670</v>
      </c>
      <c r="C307" s="1" t="n">
        <v>46201</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18181-2024</t>
        </is>
      </c>
      <c r="B308" s="1" t="n">
        <v>45420</v>
      </c>
      <c r="C308" s="1" t="n">
        <v>46201</v>
      </c>
      <c r="D308" t="inlineStr">
        <is>
          <t>ÖREBRO LÄN</t>
        </is>
      </c>
      <c r="E308" t="inlineStr">
        <is>
          <t>ÖREBRO</t>
        </is>
      </c>
      <c r="G308" t="n">
        <v>7.6</v>
      </c>
      <c r="H308" t="n">
        <v>0</v>
      </c>
      <c r="I308" t="n">
        <v>0</v>
      </c>
      <c r="J308" t="n">
        <v>0</v>
      </c>
      <c r="K308" t="n">
        <v>0</v>
      </c>
      <c r="L308" t="n">
        <v>0</v>
      </c>
      <c r="M308" t="n">
        <v>0</v>
      </c>
      <c r="N308" t="n">
        <v>0</v>
      </c>
      <c r="O308" t="n">
        <v>0</v>
      </c>
      <c r="P308" t="n">
        <v>0</v>
      </c>
      <c r="Q308" t="n">
        <v>0</v>
      </c>
      <c r="R308" s="2" t="inlineStr"/>
    </row>
    <row r="309" ht="15" customHeight="1">
      <c r="A309" t="inlineStr">
        <is>
          <t>A 70707-2021</t>
        </is>
      </c>
      <c r="B309" s="1" t="n">
        <v>44537</v>
      </c>
      <c r="C309" s="1" t="n">
        <v>46201</v>
      </c>
      <c r="D309" t="inlineStr">
        <is>
          <t>ÖREBRO LÄN</t>
        </is>
      </c>
      <c r="E309" t="inlineStr">
        <is>
          <t>ÖREBRO</t>
        </is>
      </c>
      <c r="G309" t="n">
        <v>13.2</v>
      </c>
      <c r="H309" t="n">
        <v>0</v>
      </c>
      <c r="I309" t="n">
        <v>0</v>
      </c>
      <c r="J309" t="n">
        <v>0</v>
      </c>
      <c r="K309" t="n">
        <v>0</v>
      </c>
      <c r="L309" t="n">
        <v>0</v>
      </c>
      <c r="M309" t="n">
        <v>0</v>
      </c>
      <c r="N309" t="n">
        <v>0</v>
      </c>
      <c r="O309" t="n">
        <v>0</v>
      </c>
      <c r="P309" t="n">
        <v>0</v>
      </c>
      <c r="Q309" t="n">
        <v>0</v>
      </c>
      <c r="R309" s="2" t="inlineStr"/>
    </row>
    <row r="310" ht="15" customHeight="1">
      <c r="A310" t="inlineStr">
        <is>
          <t>A 5619-2023</t>
        </is>
      </c>
      <c r="B310" s="1" t="n">
        <v>44958</v>
      </c>
      <c r="C310" s="1" t="n">
        <v>46201</v>
      </c>
      <c r="D310" t="inlineStr">
        <is>
          <t>ÖREBRO LÄN</t>
        </is>
      </c>
      <c r="E310" t="inlineStr">
        <is>
          <t>ÖREBRO</t>
        </is>
      </c>
      <c r="G310" t="n">
        <v>27</v>
      </c>
      <c r="H310" t="n">
        <v>0</v>
      </c>
      <c r="I310" t="n">
        <v>0</v>
      </c>
      <c r="J310" t="n">
        <v>0</v>
      </c>
      <c r="K310" t="n">
        <v>0</v>
      </c>
      <c r="L310" t="n">
        <v>0</v>
      </c>
      <c r="M310" t="n">
        <v>0</v>
      </c>
      <c r="N310" t="n">
        <v>0</v>
      </c>
      <c r="O310" t="n">
        <v>0</v>
      </c>
      <c r="P310" t="n">
        <v>0</v>
      </c>
      <c r="Q310" t="n">
        <v>0</v>
      </c>
      <c r="R310" s="2" t="inlineStr"/>
    </row>
    <row r="311" ht="15" customHeight="1">
      <c r="A311" t="inlineStr">
        <is>
          <t>A 60059-2023</t>
        </is>
      </c>
      <c r="B311" s="1" t="n">
        <v>45258</v>
      </c>
      <c r="C311" s="1" t="n">
        <v>46201</v>
      </c>
      <c r="D311" t="inlineStr">
        <is>
          <t>ÖREBRO LÄN</t>
        </is>
      </c>
      <c r="E311" t="inlineStr">
        <is>
          <t>ÖREBRO</t>
        </is>
      </c>
      <c r="G311" t="n">
        <v>4</v>
      </c>
      <c r="H311" t="n">
        <v>0</v>
      </c>
      <c r="I311" t="n">
        <v>0</v>
      </c>
      <c r="J311" t="n">
        <v>0</v>
      </c>
      <c r="K311" t="n">
        <v>0</v>
      </c>
      <c r="L311" t="n">
        <v>0</v>
      </c>
      <c r="M311" t="n">
        <v>0</v>
      </c>
      <c r="N311" t="n">
        <v>0</v>
      </c>
      <c r="O311" t="n">
        <v>0</v>
      </c>
      <c r="P311" t="n">
        <v>0</v>
      </c>
      <c r="Q311" t="n">
        <v>0</v>
      </c>
      <c r="R311" s="2" t="inlineStr"/>
    </row>
    <row r="312" ht="15" customHeight="1">
      <c r="A312" t="inlineStr">
        <is>
          <t>A 37277-2022</t>
        </is>
      </c>
      <c r="B312" s="1" t="n">
        <v>44807</v>
      </c>
      <c r="C312" s="1" t="n">
        <v>46201</v>
      </c>
      <c r="D312" t="inlineStr">
        <is>
          <t>ÖREBRO LÄN</t>
        </is>
      </c>
      <c r="E312" t="inlineStr">
        <is>
          <t>ÖREBRO</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23573-2023</t>
        </is>
      </c>
      <c r="B313" s="1" t="n">
        <v>45077</v>
      </c>
      <c r="C313" s="1" t="n">
        <v>46201</v>
      </c>
      <c r="D313" t="inlineStr">
        <is>
          <t>ÖREBRO LÄN</t>
        </is>
      </c>
      <c r="E313" t="inlineStr">
        <is>
          <t>ÖREBRO</t>
        </is>
      </c>
      <c r="G313" t="n">
        <v>2.9</v>
      </c>
      <c r="H313" t="n">
        <v>0</v>
      </c>
      <c r="I313" t="n">
        <v>0</v>
      </c>
      <c r="J313" t="n">
        <v>0</v>
      </c>
      <c r="K313" t="n">
        <v>0</v>
      </c>
      <c r="L313" t="n">
        <v>0</v>
      </c>
      <c r="M313" t="n">
        <v>0</v>
      </c>
      <c r="N313" t="n">
        <v>0</v>
      </c>
      <c r="O313" t="n">
        <v>0</v>
      </c>
      <c r="P313" t="n">
        <v>0</v>
      </c>
      <c r="Q313" t="n">
        <v>0</v>
      </c>
      <c r="R313" s="2" t="inlineStr"/>
    </row>
    <row r="314" ht="15" customHeight="1">
      <c r="A314" t="inlineStr">
        <is>
          <t>A 60100-2022</t>
        </is>
      </c>
      <c r="B314" s="1" t="n">
        <v>44902</v>
      </c>
      <c r="C314" s="1" t="n">
        <v>46201</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29286-2025</t>
        </is>
      </c>
      <c r="B315" s="1" t="n">
        <v>45824</v>
      </c>
      <c r="C315" s="1" t="n">
        <v>46201</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33455-2023</t>
        </is>
      </c>
      <c r="B316" s="1" t="n">
        <v>45130</v>
      </c>
      <c r="C316" s="1" t="n">
        <v>46201</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2152-2023</t>
        </is>
      </c>
      <c r="B317" s="1" t="n">
        <v>44941</v>
      </c>
      <c r="C317" s="1" t="n">
        <v>46201</v>
      </c>
      <c r="D317" t="inlineStr">
        <is>
          <t>ÖREBRO LÄN</t>
        </is>
      </c>
      <c r="E317" t="inlineStr">
        <is>
          <t>ÖREBRO</t>
        </is>
      </c>
      <c r="G317" t="n">
        <v>8</v>
      </c>
      <c r="H317" t="n">
        <v>0</v>
      </c>
      <c r="I317" t="n">
        <v>0</v>
      </c>
      <c r="J317" t="n">
        <v>0</v>
      </c>
      <c r="K317" t="n">
        <v>0</v>
      </c>
      <c r="L317" t="n">
        <v>0</v>
      </c>
      <c r="M317" t="n">
        <v>0</v>
      </c>
      <c r="N317" t="n">
        <v>0</v>
      </c>
      <c r="O317" t="n">
        <v>0</v>
      </c>
      <c r="P317" t="n">
        <v>0</v>
      </c>
      <c r="Q317" t="n">
        <v>0</v>
      </c>
      <c r="R317" s="2" t="inlineStr"/>
    </row>
    <row r="318" ht="15" customHeight="1">
      <c r="A318" t="inlineStr">
        <is>
          <t>A 55353-2024</t>
        </is>
      </c>
      <c r="B318" s="1" t="n">
        <v>45621</v>
      </c>
      <c r="C318" s="1" t="n">
        <v>46201</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55357-2024</t>
        </is>
      </c>
      <c r="B319" s="1" t="n">
        <v>45621</v>
      </c>
      <c r="C319" s="1" t="n">
        <v>46201</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61593-2023</t>
        </is>
      </c>
      <c r="B320" s="1" t="n">
        <v>45265</v>
      </c>
      <c r="C320" s="1" t="n">
        <v>46201</v>
      </c>
      <c r="D320" t="inlineStr">
        <is>
          <t>ÖREBRO LÄN</t>
        </is>
      </c>
      <c r="E320" t="inlineStr">
        <is>
          <t>ÖREBRO</t>
        </is>
      </c>
      <c r="G320" t="n">
        <v>2.5</v>
      </c>
      <c r="H320" t="n">
        <v>0</v>
      </c>
      <c r="I320" t="n">
        <v>0</v>
      </c>
      <c r="J320" t="n">
        <v>0</v>
      </c>
      <c r="K320" t="n">
        <v>0</v>
      </c>
      <c r="L320" t="n">
        <v>0</v>
      </c>
      <c r="M320" t="n">
        <v>0</v>
      </c>
      <c r="N320" t="n">
        <v>0</v>
      </c>
      <c r="O320" t="n">
        <v>0</v>
      </c>
      <c r="P320" t="n">
        <v>0</v>
      </c>
      <c r="Q320" t="n">
        <v>0</v>
      </c>
      <c r="R320" s="2" t="inlineStr"/>
    </row>
    <row r="321" ht="15" customHeight="1">
      <c r="A321" t="inlineStr">
        <is>
          <t>A 42623-2022</t>
        </is>
      </c>
      <c r="B321" s="1" t="n">
        <v>44831</v>
      </c>
      <c r="C321" s="1" t="n">
        <v>46201</v>
      </c>
      <c r="D321" t="inlineStr">
        <is>
          <t>ÖREBRO LÄN</t>
        </is>
      </c>
      <c r="E321" t="inlineStr">
        <is>
          <t>ÖREBRO</t>
        </is>
      </c>
      <c r="G321" t="n">
        <v>3.6</v>
      </c>
      <c r="H321" t="n">
        <v>0</v>
      </c>
      <c r="I321" t="n">
        <v>0</v>
      </c>
      <c r="J321" t="n">
        <v>0</v>
      </c>
      <c r="K321" t="n">
        <v>0</v>
      </c>
      <c r="L321" t="n">
        <v>0</v>
      </c>
      <c r="M321" t="n">
        <v>0</v>
      </c>
      <c r="N321" t="n">
        <v>0</v>
      </c>
      <c r="O321" t="n">
        <v>0</v>
      </c>
      <c r="P321" t="n">
        <v>0</v>
      </c>
      <c r="Q321" t="n">
        <v>0</v>
      </c>
      <c r="R321" s="2" t="inlineStr"/>
    </row>
    <row r="322" ht="15" customHeight="1">
      <c r="A322" t="inlineStr">
        <is>
          <t>A 72329-2021</t>
        </is>
      </c>
      <c r="B322" s="1" t="n">
        <v>44545</v>
      </c>
      <c r="C322" s="1" t="n">
        <v>46201</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10339-2023</t>
        </is>
      </c>
      <c r="B323" s="1" t="n">
        <v>44987</v>
      </c>
      <c r="C323" s="1" t="n">
        <v>46201</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16165-2023</t>
        </is>
      </c>
      <c r="B324" s="1" t="n">
        <v>45027</v>
      </c>
      <c r="C324" s="1" t="n">
        <v>46201</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2069-2025</t>
        </is>
      </c>
      <c r="B325" s="1" t="n">
        <v>45672</v>
      </c>
      <c r="C325" s="1" t="n">
        <v>46201</v>
      </c>
      <c r="D325" t="inlineStr">
        <is>
          <t>ÖREBRO LÄN</t>
        </is>
      </c>
      <c r="E325" t="inlineStr">
        <is>
          <t>ÖREBRO</t>
        </is>
      </c>
      <c r="G325" t="n">
        <v>3.8</v>
      </c>
      <c r="H325" t="n">
        <v>0</v>
      </c>
      <c r="I325" t="n">
        <v>0</v>
      </c>
      <c r="J325" t="n">
        <v>0</v>
      </c>
      <c r="K325" t="n">
        <v>0</v>
      </c>
      <c r="L325" t="n">
        <v>0</v>
      </c>
      <c r="M325" t="n">
        <v>0</v>
      </c>
      <c r="N325" t="n">
        <v>0</v>
      </c>
      <c r="O325" t="n">
        <v>0</v>
      </c>
      <c r="P325" t="n">
        <v>0</v>
      </c>
      <c r="Q325" t="n">
        <v>0</v>
      </c>
      <c r="R325" s="2" t="inlineStr"/>
    </row>
    <row r="326" ht="15" customHeight="1">
      <c r="A326" t="inlineStr">
        <is>
          <t>A 50398-2022</t>
        </is>
      </c>
      <c r="B326" s="1" t="n">
        <v>44861</v>
      </c>
      <c r="C326" s="1" t="n">
        <v>46201</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31232-2025</t>
        </is>
      </c>
      <c r="B327" s="1" t="n">
        <v>45832</v>
      </c>
      <c r="C327" s="1" t="n">
        <v>46201</v>
      </c>
      <c r="D327" t="inlineStr">
        <is>
          <t>ÖREBRO LÄN</t>
        </is>
      </c>
      <c r="E327" t="inlineStr">
        <is>
          <t>ÖREBRO</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58277-2022</t>
        </is>
      </c>
      <c r="B328" s="1" t="n">
        <v>44901</v>
      </c>
      <c r="C328" s="1" t="n">
        <v>46201</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42518-2021</t>
        </is>
      </c>
      <c r="B329" s="1" t="n">
        <v>44427</v>
      </c>
      <c r="C329" s="1" t="n">
        <v>46201</v>
      </c>
      <c r="D329" t="inlineStr">
        <is>
          <t>ÖREBRO LÄN</t>
        </is>
      </c>
      <c r="E329" t="inlineStr">
        <is>
          <t>ÖREBRO</t>
        </is>
      </c>
      <c r="G329" t="n">
        <v>4.5</v>
      </c>
      <c r="H329" t="n">
        <v>0</v>
      </c>
      <c r="I329" t="n">
        <v>0</v>
      </c>
      <c r="J329" t="n">
        <v>0</v>
      </c>
      <c r="K329" t="n">
        <v>0</v>
      </c>
      <c r="L329" t="n">
        <v>0</v>
      </c>
      <c r="M329" t="n">
        <v>0</v>
      </c>
      <c r="N329" t="n">
        <v>0</v>
      </c>
      <c r="O329" t="n">
        <v>0</v>
      </c>
      <c r="P329" t="n">
        <v>0</v>
      </c>
      <c r="Q329" t="n">
        <v>0</v>
      </c>
      <c r="R329" s="2" t="inlineStr"/>
    </row>
    <row r="330" ht="15" customHeight="1">
      <c r="A330" t="inlineStr">
        <is>
          <t>A 9379-2024</t>
        </is>
      </c>
      <c r="B330" s="1" t="n">
        <v>45359</v>
      </c>
      <c r="C330" s="1" t="n">
        <v>46201</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14524-2025</t>
        </is>
      </c>
      <c r="B331" s="1" t="n">
        <v>45741</v>
      </c>
      <c r="C331" s="1" t="n">
        <v>46201</v>
      </c>
      <c r="D331" t="inlineStr">
        <is>
          <t>ÖREBRO LÄN</t>
        </is>
      </c>
      <c r="E331" t="inlineStr">
        <is>
          <t>ÖREBRO</t>
        </is>
      </c>
      <c r="G331" t="n">
        <v>2.8</v>
      </c>
      <c r="H331" t="n">
        <v>0</v>
      </c>
      <c r="I331" t="n">
        <v>0</v>
      </c>
      <c r="J331" t="n">
        <v>0</v>
      </c>
      <c r="K331" t="n">
        <v>0</v>
      </c>
      <c r="L331" t="n">
        <v>0</v>
      </c>
      <c r="M331" t="n">
        <v>0</v>
      </c>
      <c r="N331" t="n">
        <v>0</v>
      </c>
      <c r="O331" t="n">
        <v>0</v>
      </c>
      <c r="P331" t="n">
        <v>0</v>
      </c>
      <c r="Q331" t="n">
        <v>0</v>
      </c>
      <c r="R331" s="2" t="inlineStr"/>
    </row>
    <row r="332" ht="15" customHeight="1">
      <c r="A332" t="inlineStr">
        <is>
          <t>A 35345-2024</t>
        </is>
      </c>
      <c r="B332" s="1" t="n">
        <v>45530</v>
      </c>
      <c r="C332" s="1" t="n">
        <v>46201</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15354-2024</t>
        </is>
      </c>
      <c r="B333" s="1" t="n">
        <v>45400</v>
      </c>
      <c r="C333" s="1" t="n">
        <v>46201</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41543-2024</t>
        </is>
      </c>
      <c r="B334" s="1" t="n">
        <v>45560</v>
      </c>
      <c r="C334" s="1" t="n">
        <v>46201</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32904-2025</t>
        </is>
      </c>
      <c r="B335" s="1" t="n">
        <v>45839</v>
      </c>
      <c r="C335" s="1" t="n">
        <v>46201</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45517-2023</t>
        </is>
      </c>
      <c r="B336" s="1" t="n">
        <v>45194</v>
      </c>
      <c r="C336" s="1" t="n">
        <v>46201</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55355-2024</t>
        </is>
      </c>
      <c r="B337" s="1" t="n">
        <v>45621</v>
      </c>
      <c r="C337" s="1" t="n">
        <v>46201</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71275-2021</t>
        </is>
      </c>
      <c r="B338" s="1" t="n">
        <v>44539</v>
      </c>
      <c r="C338" s="1" t="n">
        <v>46201</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71285-2021</t>
        </is>
      </c>
      <c r="B339" s="1" t="n">
        <v>44539</v>
      </c>
      <c r="C339" s="1" t="n">
        <v>46201</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33191-2025</t>
        </is>
      </c>
      <c r="B340" s="1" t="n">
        <v>45840</v>
      </c>
      <c r="C340" s="1" t="n">
        <v>46201</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46201</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2658-2023</t>
        </is>
      </c>
      <c r="B342" s="1" t="n">
        <v>44944</v>
      </c>
      <c r="C342" s="1" t="n">
        <v>46201</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29138-2022</t>
        </is>
      </c>
      <c r="B343" s="1" t="n">
        <v>44750</v>
      </c>
      <c r="C343" s="1" t="n">
        <v>46201</v>
      </c>
      <c r="D343" t="inlineStr">
        <is>
          <t>ÖREBRO LÄN</t>
        </is>
      </c>
      <c r="E343" t="inlineStr">
        <is>
          <t>ÖREBRO</t>
        </is>
      </c>
      <c r="G343" t="n">
        <v>3.3</v>
      </c>
      <c r="H343" t="n">
        <v>0</v>
      </c>
      <c r="I343" t="n">
        <v>0</v>
      </c>
      <c r="J343" t="n">
        <v>0</v>
      </c>
      <c r="K343" t="n">
        <v>0</v>
      </c>
      <c r="L343" t="n">
        <v>0</v>
      </c>
      <c r="M343" t="n">
        <v>0</v>
      </c>
      <c r="N343" t="n">
        <v>0</v>
      </c>
      <c r="O343" t="n">
        <v>0</v>
      </c>
      <c r="P343" t="n">
        <v>0</v>
      </c>
      <c r="Q343" t="n">
        <v>0</v>
      </c>
      <c r="R343" s="2" t="inlineStr"/>
    </row>
    <row r="344" ht="15" customHeight="1">
      <c r="A344" t="inlineStr">
        <is>
          <t>A 29143-2022</t>
        </is>
      </c>
      <c r="B344" s="1" t="n">
        <v>44750</v>
      </c>
      <c r="C344" s="1" t="n">
        <v>46201</v>
      </c>
      <c r="D344" t="inlineStr">
        <is>
          <t>ÖREBRO LÄN</t>
        </is>
      </c>
      <c r="E344" t="inlineStr">
        <is>
          <t>ÖREBRO</t>
        </is>
      </c>
      <c r="G344" t="n">
        <v>5.6</v>
      </c>
      <c r="H344" t="n">
        <v>0</v>
      </c>
      <c r="I344" t="n">
        <v>0</v>
      </c>
      <c r="J344" t="n">
        <v>0</v>
      </c>
      <c r="K344" t="n">
        <v>0</v>
      </c>
      <c r="L344" t="n">
        <v>0</v>
      </c>
      <c r="M344" t="n">
        <v>0</v>
      </c>
      <c r="N344" t="n">
        <v>0</v>
      </c>
      <c r="O344" t="n">
        <v>0</v>
      </c>
      <c r="P344" t="n">
        <v>0</v>
      </c>
      <c r="Q344" t="n">
        <v>0</v>
      </c>
      <c r="R344" s="2" t="inlineStr"/>
    </row>
    <row r="345" ht="15" customHeight="1">
      <c r="A345" t="inlineStr">
        <is>
          <t>A 4557-2023</t>
        </is>
      </c>
      <c r="B345" s="1" t="n">
        <v>44956</v>
      </c>
      <c r="C345" s="1" t="n">
        <v>46201</v>
      </c>
      <c r="D345" t="inlineStr">
        <is>
          <t>ÖREBRO LÄN</t>
        </is>
      </c>
      <c r="E345" t="inlineStr">
        <is>
          <t>ÖREBRO</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46518-2023</t>
        </is>
      </c>
      <c r="B346" s="1" t="n">
        <v>45197</v>
      </c>
      <c r="C346" s="1" t="n">
        <v>46201</v>
      </c>
      <c r="D346" t="inlineStr">
        <is>
          <t>ÖREBRO LÄN</t>
        </is>
      </c>
      <c r="E346" t="inlineStr">
        <is>
          <t>ÖREBRO</t>
        </is>
      </c>
      <c r="G346" t="n">
        <v>2.2</v>
      </c>
      <c r="H346" t="n">
        <v>0</v>
      </c>
      <c r="I346" t="n">
        <v>0</v>
      </c>
      <c r="J346" t="n">
        <v>0</v>
      </c>
      <c r="K346" t="n">
        <v>0</v>
      </c>
      <c r="L346" t="n">
        <v>0</v>
      </c>
      <c r="M346" t="n">
        <v>0</v>
      </c>
      <c r="N346" t="n">
        <v>0</v>
      </c>
      <c r="O346" t="n">
        <v>0</v>
      </c>
      <c r="P346" t="n">
        <v>0</v>
      </c>
      <c r="Q346" t="n">
        <v>0</v>
      </c>
      <c r="R346" s="2" t="inlineStr"/>
    </row>
    <row r="347" ht="15" customHeight="1">
      <c r="A347" t="inlineStr">
        <is>
          <t>A 7692-2023</t>
        </is>
      </c>
      <c r="B347" s="1" t="n">
        <v>44972</v>
      </c>
      <c r="C347" s="1" t="n">
        <v>46201</v>
      </c>
      <c r="D347" t="inlineStr">
        <is>
          <t>ÖREBRO LÄN</t>
        </is>
      </c>
      <c r="E347" t="inlineStr">
        <is>
          <t>ÖREBRO</t>
        </is>
      </c>
      <c r="G347" t="n">
        <v>1.5</v>
      </c>
      <c r="H347" t="n">
        <v>0</v>
      </c>
      <c r="I347" t="n">
        <v>0</v>
      </c>
      <c r="J347" t="n">
        <v>0</v>
      </c>
      <c r="K347" t="n">
        <v>0</v>
      </c>
      <c r="L347" t="n">
        <v>0</v>
      </c>
      <c r="M347" t="n">
        <v>0</v>
      </c>
      <c r="N347" t="n">
        <v>0</v>
      </c>
      <c r="O347" t="n">
        <v>0</v>
      </c>
      <c r="P347" t="n">
        <v>0</v>
      </c>
      <c r="Q347" t="n">
        <v>0</v>
      </c>
      <c r="R347" s="2" t="inlineStr"/>
    </row>
    <row r="348" ht="15" customHeight="1">
      <c r="A348" t="inlineStr">
        <is>
          <t>A 48687-2024</t>
        </is>
      </c>
      <c r="B348" s="1" t="n">
        <v>45593</v>
      </c>
      <c r="C348" s="1" t="n">
        <v>46201</v>
      </c>
      <c r="D348" t="inlineStr">
        <is>
          <t>ÖREBRO LÄN</t>
        </is>
      </c>
      <c r="E348" t="inlineStr">
        <is>
          <t>ÖREBRO</t>
        </is>
      </c>
      <c r="F348" t="inlineStr">
        <is>
          <t>Övriga Aktiebolag</t>
        </is>
      </c>
      <c r="G348" t="n">
        <v>3.8</v>
      </c>
      <c r="H348" t="n">
        <v>0</v>
      </c>
      <c r="I348" t="n">
        <v>0</v>
      </c>
      <c r="J348" t="n">
        <v>0</v>
      </c>
      <c r="K348" t="n">
        <v>0</v>
      </c>
      <c r="L348" t="n">
        <v>0</v>
      </c>
      <c r="M348" t="n">
        <v>0</v>
      </c>
      <c r="N348" t="n">
        <v>0</v>
      </c>
      <c r="O348" t="n">
        <v>0</v>
      </c>
      <c r="P348" t="n">
        <v>0</v>
      </c>
      <c r="Q348" t="n">
        <v>0</v>
      </c>
      <c r="R348" s="2" t="inlineStr"/>
    </row>
    <row r="349" ht="15" customHeight="1">
      <c r="A349" t="inlineStr">
        <is>
          <t>A 57638-2022</t>
        </is>
      </c>
      <c r="B349" s="1" t="n">
        <v>44897</v>
      </c>
      <c r="C349" s="1" t="n">
        <v>46201</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56077-2022</t>
        </is>
      </c>
      <c r="B350" s="1" t="n">
        <v>44889</v>
      </c>
      <c r="C350" s="1" t="n">
        <v>46201</v>
      </c>
      <c r="D350" t="inlineStr">
        <is>
          <t>ÖREBRO LÄN</t>
        </is>
      </c>
      <c r="E350" t="inlineStr">
        <is>
          <t>ÖREBRO</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11382-2023</t>
        </is>
      </c>
      <c r="B351" s="1" t="n">
        <v>44993</v>
      </c>
      <c r="C351" s="1" t="n">
        <v>46201</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52016-2024</t>
        </is>
      </c>
      <c r="B352" s="1" t="n">
        <v>45607</v>
      </c>
      <c r="C352" s="1" t="n">
        <v>46201</v>
      </c>
      <c r="D352" t="inlineStr">
        <is>
          <t>ÖREBRO LÄN</t>
        </is>
      </c>
      <c r="E352" t="inlineStr">
        <is>
          <t>ÖREBRO</t>
        </is>
      </c>
      <c r="G352" t="n">
        <v>1.9</v>
      </c>
      <c r="H352" t="n">
        <v>0</v>
      </c>
      <c r="I352" t="n">
        <v>0</v>
      </c>
      <c r="J352" t="n">
        <v>0</v>
      </c>
      <c r="K352" t="n">
        <v>0</v>
      </c>
      <c r="L352" t="n">
        <v>0</v>
      </c>
      <c r="M352" t="n">
        <v>0</v>
      </c>
      <c r="N352" t="n">
        <v>0</v>
      </c>
      <c r="O352" t="n">
        <v>0</v>
      </c>
      <c r="P352" t="n">
        <v>0</v>
      </c>
      <c r="Q352" t="n">
        <v>0</v>
      </c>
      <c r="R352" s="2" t="inlineStr"/>
    </row>
    <row r="353" ht="15" customHeight="1">
      <c r="A353" t="inlineStr">
        <is>
          <t>A 7634-2024</t>
        </is>
      </c>
      <c r="B353" s="1" t="n">
        <v>45348</v>
      </c>
      <c r="C353" s="1" t="n">
        <v>46201</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27112-2023</t>
        </is>
      </c>
      <c r="B354" s="1" t="n">
        <v>45096</v>
      </c>
      <c r="C354" s="1" t="n">
        <v>46201</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35062-2025</t>
        </is>
      </c>
      <c r="B355" s="1" t="n">
        <v>45852</v>
      </c>
      <c r="C355" s="1" t="n">
        <v>46201</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16739-2022</t>
        </is>
      </c>
      <c r="B356" s="1" t="n">
        <v>44673</v>
      </c>
      <c r="C356" s="1" t="n">
        <v>46201</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33457-2023</t>
        </is>
      </c>
      <c r="B357" s="1" t="n">
        <v>45131</v>
      </c>
      <c r="C357" s="1" t="n">
        <v>46201</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13592-2023</t>
        </is>
      </c>
      <c r="B358" s="1" t="n">
        <v>45006</v>
      </c>
      <c r="C358" s="1" t="n">
        <v>46201</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71266-2021</t>
        </is>
      </c>
      <c r="B359" s="1" t="n">
        <v>44539</v>
      </c>
      <c r="C359" s="1" t="n">
        <v>46201</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22677-2022</t>
        </is>
      </c>
      <c r="B360" s="1" t="n">
        <v>44714</v>
      </c>
      <c r="C360" s="1" t="n">
        <v>46201</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71267-2021</t>
        </is>
      </c>
      <c r="B361" s="1" t="n">
        <v>44539</v>
      </c>
      <c r="C361" s="1" t="n">
        <v>46201</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71280-2021</t>
        </is>
      </c>
      <c r="B362" s="1" t="n">
        <v>44539</v>
      </c>
      <c r="C362" s="1" t="n">
        <v>46201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40656-2023</t>
        </is>
      </c>
      <c r="B363" s="1" t="n">
        <v>45170</v>
      </c>
      <c r="C363" s="1" t="n">
        <v>46201</v>
      </c>
      <c r="D363" t="inlineStr">
        <is>
          <t>ÖREBRO LÄN</t>
        </is>
      </c>
      <c r="E363" t="inlineStr">
        <is>
          <t>ÖREBRO</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23710-2022</t>
        </is>
      </c>
      <c r="B364" s="1" t="n">
        <v>44722</v>
      </c>
      <c r="C364" s="1" t="n">
        <v>46201</v>
      </c>
      <c r="D364" t="inlineStr">
        <is>
          <t>ÖREBRO LÄN</t>
        </is>
      </c>
      <c r="E364" t="inlineStr">
        <is>
          <t>ÖREBRO</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4757-2024</t>
        </is>
      </c>
      <c r="B365" s="1" t="n">
        <v>45328</v>
      </c>
      <c r="C365" s="1" t="n">
        <v>46201</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12245-2023</t>
        </is>
      </c>
      <c r="B366" s="1" t="n">
        <v>44998</v>
      </c>
      <c r="C366" s="1" t="n">
        <v>46201</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62497-2023</t>
        </is>
      </c>
      <c r="B367" s="1" t="n">
        <v>45268</v>
      </c>
      <c r="C367" s="1" t="n">
        <v>46201</v>
      </c>
      <c r="D367" t="inlineStr">
        <is>
          <t>ÖREBRO LÄN</t>
        </is>
      </c>
      <c r="E367" t="inlineStr">
        <is>
          <t>ÖREBRO</t>
        </is>
      </c>
      <c r="F367" t="inlineStr">
        <is>
          <t>Övriga Aktiebolag</t>
        </is>
      </c>
      <c r="G367" t="n">
        <v>3.2</v>
      </c>
      <c r="H367" t="n">
        <v>0</v>
      </c>
      <c r="I367" t="n">
        <v>0</v>
      </c>
      <c r="J367" t="n">
        <v>0</v>
      </c>
      <c r="K367" t="n">
        <v>0</v>
      </c>
      <c r="L367" t="n">
        <v>0</v>
      </c>
      <c r="M367" t="n">
        <v>0</v>
      </c>
      <c r="N367" t="n">
        <v>0</v>
      </c>
      <c r="O367" t="n">
        <v>0</v>
      </c>
      <c r="P367" t="n">
        <v>0</v>
      </c>
      <c r="Q367" t="n">
        <v>0</v>
      </c>
      <c r="R367" s="2" t="inlineStr"/>
    </row>
    <row r="368" ht="15" customHeight="1">
      <c r="A368" t="inlineStr">
        <is>
          <t>A 33294-2023</t>
        </is>
      </c>
      <c r="B368" s="1" t="n">
        <v>45127</v>
      </c>
      <c r="C368" s="1" t="n">
        <v>46201</v>
      </c>
      <c r="D368" t="inlineStr">
        <is>
          <t>ÖREBRO LÄN</t>
        </is>
      </c>
      <c r="E368" t="inlineStr">
        <is>
          <t>ÖREBRO</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30903-2024</t>
        </is>
      </c>
      <c r="B369" s="1" t="n">
        <v>45498</v>
      </c>
      <c r="C369" s="1" t="n">
        <v>46201</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35637-2025</t>
        </is>
      </c>
      <c r="B370" s="1" t="n">
        <v>45859</v>
      </c>
      <c r="C370" s="1" t="n">
        <v>46201</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32025-2024</t>
        </is>
      </c>
      <c r="B371" s="1" t="n">
        <v>45510</v>
      </c>
      <c r="C371" s="1" t="n">
        <v>46201</v>
      </c>
      <c r="D371" t="inlineStr">
        <is>
          <t>ÖREBRO LÄN</t>
        </is>
      </c>
      <c r="E371" t="inlineStr">
        <is>
          <t>ÖREBRO</t>
        </is>
      </c>
      <c r="G371" t="n">
        <v>4</v>
      </c>
      <c r="H371" t="n">
        <v>0</v>
      </c>
      <c r="I371" t="n">
        <v>0</v>
      </c>
      <c r="J371" t="n">
        <v>0</v>
      </c>
      <c r="K371" t="n">
        <v>0</v>
      </c>
      <c r="L371" t="n">
        <v>0</v>
      </c>
      <c r="M371" t="n">
        <v>0</v>
      </c>
      <c r="N371" t="n">
        <v>0</v>
      </c>
      <c r="O371" t="n">
        <v>0</v>
      </c>
      <c r="P371" t="n">
        <v>0</v>
      </c>
      <c r="Q371" t="n">
        <v>0</v>
      </c>
      <c r="R371" s="2" t="inlineStr"/>
    </row>
    <row r="372" ht="15" customHeight="1">
      <c r="A372" t="inlineStr">
        <is>
          <t>A 55453-2024</t>
        </is>
      </c>
      <c r="B372" s="1" t="n">
        <v>45622</v>
      </c>
      <c r="C372" s="1" t="n">
        <v>46201</v>
      </c>
      <c r="D372" t="inlineStr">
        <is>
          <t>ÖREBRO LÄN</t>
        </is>
      </c>
      <c r="E372" t="inlineStr">
        <is>
          <t>ÖREBRO</t>
        </is>
      </c>
      <c r="G372" t="n">
        <v>8.5</v>
      </c>
      <c r="H372" t="n">
        <v>0</v>
      </c>
      <c r="I372" t="n">
        <v>0</v>
      </c>
      <c r="J372" t="n">
        <v>0</v>
      </c>
      <c r="K372" t="n">
        <v>0</v>
      </c>
      <c r="L372" t="n">
        <v>0</v>
      </c>
      <c r="M372" t="n">
        <v>0</v>
      </c>
      <c r="N372" t="n">
        <v>0</v>
      </c>
      <c r="O372" t="n">
        <v>0</v>
      </c>
      <c r="P372" t="n">
        <v>0</v>
      </c>
      <c r="Q372" t="n">
        <v>0</v>
      </c>
      <c r="R372" s="2" t="inlineStr"/>
    </row>
    <row r="373" ht="15" customHeight="1">
      <c r="A373" t="inlineStr">
        <is>
          <t>A 47193-2023</t>
        </is>
      </c>
      <c r="B373" s="1" t="n">
        <v>45202</v>
      </c>
      <c r="C373" s="1" t="n">
        <v>46201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59026-2024</t>
        </is>
      </c>
      <c r="B374" s="1" t="n">
        <v>45636</v>
      </c>
      <c r="C374" s="1" t="n">
        <v>46201</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36448-2025</t>
        </is>
      </c>
      <c r="B375" s="1" t="n">
        <v>45869</v>
      </c>
      <c r="C375" s="1" t="n">
        <v>46201</v>
      </c>
      <c r="D375" t="inlineStr">
        <is>
          <t>ÖREBRO LÄN</t>
        </is>
      </c>
      <c r="E375" t="inlineStr">
        <is>
          <t>ÖREBRO</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46201</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17465-2023</t>
        </is>
      </c>
      <c r="B377" s="1" t="n">
        <v>45036</v>
      </c>
      <c r="C377" s="1" t="n">
        <v>46201</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8008-2024</t>
        </is>
      </c>
      <c r="B378" s="1" t="n">
        <v>45350</v>
      </c>
      <c r="C378" s="1" t="n">
        <v>46201</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681-2024</t>
        </is>
      </c>
      <c r="B379" s="1" t="n">
        <v>45300</v>
      </c>
      <c r="C379" s="1" t="n">
        <v>46201</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46201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29554-2025</t>
        </is>
      </c>
      <c r="B381" s="1" t="n">
        <v>45825</v>
      </c>
      <c r="C381" s="1" t="n">
        <v>46201</v>
      </c>
      <c r="D381" t="inlineStr">
        <is>
          <t>ÖREBRO LÄN</t>
        </is>
      </c>
      <c r="E381" t="inlineStr">
        <is>
          <t>ÖREBRO</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3789-2023</t>
        </is>
      </c>
      <c r="B382" s="1" t="n">
        <v>44951</v>
      </c>
      <c r="C382" s="1" t="n">
        <v>46201</v>
      </c>
      <c r="D382" t="inlineStr">
        <is>
          <t>ÖREBRO LÄN</t>
        </is>
      </c>
      <c r="E382" t="inlineStr">
        <is>
          <t>ÖREBRO</t>
        </is>
      </c>
      <c r="G382" t="n">
        <v>7.5</v>
      </c>
      <c r="H382" t="n">
        <v>0</v>
      </c>
      <c r="I382" t="n">
        <v>0</v>
      </c>
      <c r="J382" t="n">
        <v>0</v>
      </c>
      <c r="K382" t="n">
        <v>0</v>
      </c>
      <c r="L382" t="n">
        <v>0</v>
      </c>
      <c r="M382" t="n">
        <v>0</v>
      </c>
      <c r="N382" t="n">
        <v>0</v>
      </c>
      <c r="O382" t="n">
        <v>0</v>
      </c>
      <c r="P382" t="n">
        <v>0</v>
      </c>
      <c r="Q382" t="n">
        <v>0</v>
      </c>
      <c r="R382" s="2" t="inlineStr"/>
    </row>
    <row r="383" ht="15" customHeight="1">
      <c r="A383" t="inlineStr">
        <is>
          <t>A 57869-2024</t>
        </is>
      </c>
      <c r="B383" s="1" t="n">
        <v>45631</v>
      </c>
      <c r="C383" s="1" t="n">
        <v>46201</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11565-2023</t>
        </is>
      </c>
      <c r="B384" s="1" t="n">
        <v>44994</v>
      </c>
      <c r="C384" s="1" t="n">
        <v>46201</v>
      </c>
      <c r="D384" t="inlineStr">
        <is>
          <t>ÖREBRO LÄN</t>
        </is>
      </c>
      <c r="E384" t="inlineStr">
        <is>
          <t>ÖREBRO</t>
        </is>
      </c>
      <c r="G384" t="n">
        <v>4.7</v>
      </c>
      <c r="H384" t="n">
        <v>0</v>
      </c>
      <c r="I384" t="n">
        <v>0</v>
      </c>
      <c r="J384" t="n">
        <v>0</v>
      </c>
      <c r="K384" t="n">
        <v>0</v>
      </c>
      <c r="L384" t="n">
        <v>0</v>
      </c>
      <c r="M384" t="n">
        <v>0</v>
      </c>
      <c r="N384" t="n">
        <v>0</v>
      </c>
      <c r="O384" t="n">
        <v>0</v>
      </c>
      <c r="P384" t="n">
        <v>0</v>
      </c>
      <c r="Q384" t="n">
        <v>0</v>
      </c>
      <c r="R384" s="2" t="inlineStr"/>
    </row>
    <row r="385" ht="15" customHeight="1">
      <c r="A385" t="inlineStr">
        <is>
          <t>A 38057-2025</t>
        </is>
      </c>
      <c r="B385" s="1" t="n">
        <v>45882</v>
      </c>
      <c r="C385" s="1" t="n">
        <v>46201</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35819-2024</t>
        </is>
      </c>
      <c r="B386" s="1" t="n">
        <v>45532</v>
      </c>
      <c r="C386" s="1" t="n">
        <v>46201</v>
      </c>
      <c r="D386" t="inlineStr">
        <is>
          <t>ÖREBRO LÄN</t>
        </is>
      </c>
      <c r="E386" t="inlineStr">
        <is>
          <t>ÖREBRO</t>
        </is>
      </c>
      <c r="G386" t="n">
        <v>6.4</v>
      </c>
      <c r="H386" t="n">
        <v>0</v>
      </c>
      <c r="I386" t="n">
        <v>0</v>
      </c>
      <c r="J386" t="n">
        <v>0</v>
      </c>
      <c r="K386" t="n">
        <v>0</v>
      </c>
      <c r="L386" t="n">
        <v>0</v>
      </c>
      <c r="M386" t="n">
        <v>0</v>
      </c>
      <c r="N386" t="n">
        <v>0</v>
      </c>
      <c r="O386" t="n">
        <v>0</v>
      </c>
      <c r="P386" t="n">
        <v>0</v>
      </c>
      <c r="Q386" t="n">
        <v>0</v>
      </c>
      <c r="R386" s="2" t="inlineStr"/>
    </row>
    <row r="387" ht="15" customHeight="1">
      <c r="A387" t="inlineStr">
        <is>
          <t>A 1647-2024</t>
        </is>
      </c>
      <c r="B387" s="1" t="n">
        <v>45306</v>
      </c>
      <c r="C387" s="1" t="n">
        <v>46201</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31906-2023</t>
        </is>
      </c>
      <c r="B388" s="1" t="n">
        <v>45118</v>
      </c>
      <c r="C388" s="1" t="n">
        <v>46201</v>
      </c>
      <c r="D388" t="inlineStr">
        <is>
          <t>ÖREBRO LÄN</t>
        </is>
      </c>
      <c r="E388" t="inlineStr">
        <is>
          <t>ÖREBRO</t>
        </is>
      </c>
      <c r="G388" t="n">
        <v>9</v>
      </c>
      <c r="H388" t="n">
        <v>0</v>
      </c>
      <c r="I388" t="n">
        <v>0</v>
      </c>
      <c r="J388" t="n">
        <v>0</v>
      </c>
      <c r="K388" t="n">
        <v>0</v>
      </c>
      <c r="L388" t="n">
        <v>0</v>
      </c>
      <c r="M388" t="n">
        <v>0</v>
      </c>
      <c r="N388" t="n">
        <v>0</v>
      </c>
      <c r="O388" t="n">
        <v>0</v>
      </c>
      <c r="P388" t="n">
        <v>0</v>
      </c>
      <c r="Q388" t="n">
        <v>0</v>
      </c>
      <c r="R388" s="2" t="inlineStr"/>
    </row>
    <row r="389" ht="15" customHeight="1">
      <c r="A389" t="inlineStr">
        <is>
          <t>A 31326-2024</t>
        </is>
      </c>
      <c r="B389" s="1" t="n">
        <v>45504</v>
      </c>
      <c r="C389" s="1" t="n">
        <v>46201</v>
      </c>
      <c r="D389" t="inlineStr">
        <is>
          <t>ÖREBRO LÄN</t>
        </is>
      </c>
      <c r="E389" t="inlineStr">
        <is>
          <t>ÖREBRO</t>
        </is>
      </c>
      <c r="G389" t="n">
        <v>6.4</v>
      </c>
      <c r="H389" t="n">
        <v>0</v>
      </c>
      <c r="I389" t="n">
        <v>0</v>
      </c>
      <c r="J389" t="n">
        <v>0</v>
      </c>
      <c r="K389" t="n">
        <v>0</v>
      </c>
      <c r="L389" t="n">
        <v>0</v>
      </c>
      <c r="M389" t="n">
        <v>0</v>
      </c>
      <c r="N389" t="n">
        <v>0</v>
      </c>
      <c r="O389" t="n">
        <v>0</v>
      </c>
      <c r="P389" t="n">
        <v>0</v>
      </c>
      <c r="Q389" t="n">
        <v>0</v>
      </c>
      <c r="R389" s="2" t="inlineStr"/>
    </row>
    <row r="390" ht="15" customHeight="1">
      <c r="A390" t="inlineStr">
        <is>
          <t>A 32076-2023</t>
        </is>
      </c>
      <c r="B390" s="1" t="n">
        <v>45119</v>
      </c>
      <c r="C390" s="1" t="n">
        <v>46201</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70719-2021</t>
        </is>
      </c>
      <c r="B391" s="1" t="n">
        <v>44537</v>
      </c>
      <c r="C391" s="1" t="n">
        <v>46201</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30374-2023</t>
        </is>
      </c>
      <c r="B392" s="1" t="n">
        <v>45111</v>
      </c>
      <c r="C392" s="1" t="n">
        <v>46201</v>
      </c>
      <c r="D392" t="inlineStr">
        <is>
          <t>ÖREBRO LÄN</t>
        </is>
      </c>
      <c r="E392" t="inlineStr">
        <is>
          <t>ÖREBRO</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46201</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38898-2023</t>
        </is>
      </c>
      <c r="B394" s="1" t="n">
        <v>45163</v>
      </c>
      <c r="C394" s="1" t="n">
        <v>46201</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5764-2022</t>
        </is>
      </c>
      <c r="B395" s="1" t="n">
        <v>44596</v>
      </c>
      <c r="C395" s="1" t="n">
        <v>46201</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21036-2024</t>
        </is>
      </c>
      <c r="B396" s="1" t="n">
        <v>45439</v>
      </c>
      <c r="C396" s="1" t="n">
        <v>46201</v>
      </c>
      <c r="D396" t="inlineStr">
        <is>
          <t>ÖREBRO LÄN</t>
        </is>
      </c>
      <c r="E396" t="inlineStr">
        <is>
          <t>ÖREBRO</t>
        </is>
      </c>
      <c r="F396" t="inlineStr">
        <is>
          <t>Övriga Aktiebolag</t>
        </is>
      </c>
      <c r="G396" t="n">
        <v>5.7</v>
      </c>
      <c r="H396" t="n">
        <v>0</v>
      </c>
      <c r="I396" t="n">
        <v>0</v>
      </c>
      <c r="J396" t="n">
        <v>0</v>
      </c>
      <c r="K396" t="n">
        <v>0</v>
      </c>
      <c r="L396" t="n">
        <v>0</v>
      </c>
      <c r="M396" t="n">
        <v>0</v>
      </c>
      <c r="N396" t="n">
        <v>0</v>
      </c>
      <c r="O396" t="n">
        <v>0</v>
      </c>
      <c r="P396" t="n">
        <v>0</v>
      </c>
      <c r="Q396" t="n">
        <v>0</v>
      </c>
      <c r="R396" s="2" t="inlineStr"/>
    </row>
    <row r="397" ht="15" customHeight="1">
      <c r="A397" t="inlineStr">
        <is>
          <t>A 46323-2024</t>
        </is>
      </c>
      <c r="B397" s="1" t="n">
        <v>45581</v>
      </c>
      <c r="C397" s="1" t="n">
        <v>46201</v>
      </c>
      <c r="D397" t="inlineStr">
        <is>
          <t>ÖREBRO LÄN</t>
        </is>
      </c>
      <c r="E397" t="inlineStr">
        <is>
          <t>ÖREBRO</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50311-2025</t>
        </is>
      </c>
      <c r="B398" s="1" t="n">
        <v>45944</v>
      </c>
      <c r="C398" s="1" t="n">
        <v>46201</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58644-2023</t>
        </is>
      </c>
      <c r="B399" s="1" t="n">
        <v>45251</v>
      </c>
      <c r="C399" s="1" t="n">
        <v>46201</v>
      </c>
      <c r="D399" t="inlineStr">
        <is>
          <t>ÖREBRO LÄN</t>
        </is>
      </c>
      <c r="E399" t="inlineStr">
        <is>
          <t>ÖREBRO</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1492-2022</t>
        </is>
      </c>
      <c r="B400" s="1" t="n">
        <v>44573</v>
      </c>
      <c r="C400" s="1" t="n">
        <v>46201</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22719-2025</t>
        </is>
      </c>
      <c r="B401" s="1" t="n">
        <v>45789</v>
      </c>
      <c r="C401" s="1" t="n">
        <v>46201</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58615-2024</t>
        </is>
      </c>
      <c r="B402" s="1" t="n">
        <v>45635</v>
      </c>
      <c r="C402" s="1" t="n">
        <v>46201</v>
      </c>
      <c r="D402" t="inlineStr">
        <is>
          <t>ÖREBRO LÄN</t>
        </is>
      </c>
      <c r="E402" t="inlineStr">
        <is>
          <t>ÖREBRO</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58620-2024</t>
        </is>
      </c>
      <c r="B403" s="1" t="n">
        <v>45635</v>
      </c>
      <c r="C403" s="1" t="n">
        <v>46201</v>
      </c>
      <c r="D403" t="inlineStr">
        <is>
          <t>ÖREBRO LÄN</t>
        </is>
      </c>
      <c r="E403" t="inlineStr">
        <is>
          <t>ÖREBRO</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1014-2024</t>
        </is>
      </c>
      <c r="B404" s="1" t="n">
        <v>45301</v>
      </c>
      <c r="C404" s="1" t="n">
        <v>46201</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30472-2022</t>
        </is>
      </c>
      <c r="B405" s="1" t="n">
        <v>44761</v>
      </c>
      <c r="C405" s="1" t="n">
        <v>46201</v>
      </c>
      <c r="D405" t="inlineStr">
        <is>
          <t>ÖREBRO LÄN</t>
        </is>
      </c>
      <c r="E405" t="inlineStr">
        <is>
          <t>ÖREBRO</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34056-2023</t>
        </is>
      </c>
      <c r="B406" s="1" t="n">
        <v>45135</v>
      </c>
      <c r="C406" s="1" t="n">
        <v>46201</v>
      </c>
      <c r="D406" t="inlineStr">
        <is>
          <t>ÖREBRO LÄN</t>
        </is>
      </c>
      <c r="E406" t="inlineStr">
        <is>
          <t>ÖREBRO</t>
        </is>
      </c>
      <c r="F406" t="inlineStr">
        <is>
          <t>Övriga Aktiebolag</t>
        </is>
      </c>
      <c r="G406" t="n">
        <v>4.1</v>
      </c>
      <c r="H406" t="n">
        <v>0</v>
      </c>
      <c r="I406" t="n">
        <v>0</v>
      </c>
      <c r="J406" t="n">
        <v>0</v>
      </c>
      <c r="K406" t="n">
        <v>0</v>
      </c>
      <c r="L406" t="n">
        <v>0</v>
      </c>
      <c r="M406" t="n">
        <v>0</v>
      </c>
      <c r="N406" t="n">
        <v>0</v>
      </c>
      <c r="O406" t="n">
        <v>0</v>
      </c>
      <c r="P406" t="n">
        <v>0</v>
      </c>
      <c r="Q406" t="n">
        <v>0</v>
      </c>
      <c r="R406" s="2" t="inlineStr"/>
    </row>
    <row r="407" ht="15" customHeight="1">
      <c r="A407" t="inlineStr">
        <is>
          <t>A 764-2024</t>
        </is>
      </c>
      <c r="B407" s="1" t="n">
        <v>45300</v>
      </c>
      <c r="C407" s="1" t="n">
        <v>46201</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43612-2022</t>
        </is>
      </c>
      <c r="B408" s="1" t="n">
        <v>44837</v>
      </c>
      <c r="C408" s="1" t="n">
        <v>46201</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51373-2023</t>
        </is>
      </c>
      <c r="B409" s="1" t="n">
        <v>45213</v>
      </c>
      <c r="C409" s="1" t="n">
        <v>46201</v>
      </c>
      <c r="D409" t="inlineStr">
        <is>
          <t>ÖREBRO LÄN</t>
        </is>
      </c>
      <c r="E409" t="inlineStr">
        <is>
          <t>ÖREBRO</t>
        </is>
      </c>
      <c r="G409" t="n">
        <v>5.9</v>
      </c>
      <c r="H409" t="n">
        <v>0</v>
      </c>
      <c r="I409" t="n">
        <v>0</v>
      </c>
      <c r="J409" t="n">
        <v>0</v>
      </c>
      <c r="K409" t="n">
        <v>0</v>
      </c>
      <c r="L409" t="n">
        <v>0</v>
      </c>
      <c r="M409" t="n">
        <v>0</v>
      </c>
      <c r="N409" t="n">
        <v>0</v>
      </c>
      <c r="O409" t="n">
        <v>0</v>
      </c>
      <c r="P409" t="n">
        <v>0</v>
      </c>
      <c r="Q409" t="n">
        <v>0</v>
      </c>
      <c r="R409" s="2" t="inlineStr"/>
    </row>
    <row r="410" ht="15" customHeight="1">
      <c r="A410" t="inlineStr">
        <is>
          <t>A 52135-2025</t>
        </is>
      </c>
      <c r="B410" s="1" t="n">
        <v>45952</v>
      </c>
      <c r="C410" s="1" t="n">
        <v>46201</v>
      </c>
      <c r="D410" t="inlineStr">
        <is>
          <t>ÖREBRO LÄN</t>
        </is>
      </c>
      <c r="E410" t="inlineStr">
        <is>
          <t>ÖREBRO</t>
        </is>
      </c>
      <c r="G410" t="n">
        <v>4</v>
      </c>
      <c r="H410" t="n">
        <v>0</v>
      </c>
      <c r="I410" t="n">
        <v>0</v>
      </c>
      <c r="J410" t="n">
        <v>0</v>
      </c>
      <c r="K410" t="n">
        <v>0</v>
      </c>
      <c r="L410" t="n">
        <v>0</v>
      </c>
      <c r="M410" t="n">
        <v>0</v>
      </c>
      <c r="N410" t="n">
        <v>0</v>
      </c>
      <c r="O410" t="n">
        <v>0</v>
      </c>
      <c r="P410" t="n">
        <v>0</v>
      </c>
      <c r="Q410" t="n">
        <v>0</v>
      </c>
      <c r="R410" s="2" t="inlineStr"/>
    </row>
    <row r="411" ht="15" customHeight="1">
      <c r="A411" t="inlineStr">
        <is>
          <t>A 51937-2025</t>
        </is>
      </c>
      <c r="B411" s="1" t="n">
        <v>45952</v>
      </c>
      <c r="C411" s="1" t="n">
        <v>46201</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35843-2022</t>
        </is>
      </c>
      <c r="B412" s="1" t="n">
        <v>44802</v>
      </c>
      <c r="C412" s="1" t="n">
        <v>46201</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20146-2024</t>
        </is>
      </c>
      <c r="B413" s="1" t="n">
        <v>45434</v>
      </c>
      <c r="C413" s="1" t="n">
        <v>46201</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30743-2025</t>
        </is>
      </c>
      <c r="B414" s="1" t="n">
        <v>45831</v>
      </c>
      <c r="C414" s="1" t="n">
        <v>46201</v>
      </c>
      <c r="D414" t="inlineStr">
        <is>
          <t>ÖREBRO LÄN</t>
        </is>
      </c>
      <c r="E414" t="inlineStr">
        <is>
          <t>ÖREBRO</t>
        </is>
      </c>
      <c r="G414" t="n">
        <v>2.9</v>
      </c>
      <c r="H414" t="n">
        <v>0</v>
      </c>
      <c r="I414" t="n">
        <v>0</v>
      </c>
      <c r="J414" t="n">
        <v>0</v>
      </c>
      <c r="K414" t="n">
        <v>0</v>
      </c>
      <c r="L414" t="n">
        <v>0</v>
      </c>
      <c r="M414" t="n">
        <v>0</v>
      </c>
      <c r="N414" t="n">
        <v>0</v>
      </c>
      <c r="O414" t="n">
        <v>0</v>
      </c>
      <c r="P414" t="n">
        <v>0</v>
      </c>
      <c r="Q414" t="n">
        <v>0</v>
      </c>
      <c r="R414" s="2" t="inlineStr"/>
    </row>
    <row r="415" ht="15" customHeight="1">
      <c r="A415" t="inlineStr">
        <is>
          <t>A 10937-2024</t>
        </is>
      </c>
      <c r="B415" s="1" t="n">
        <v>45370</v>
      </c>
      <c r="C415" s="1" t="n">
        <v>46201</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20115-2024</t>
        </is>
      </c>
      <c r="B416" s="1" t="n">
        <v>45434</v>
      </c>
      <c r="C416" s="1" t="n">
        <v>46201</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34336-2024</t>
        </is>
      </c>
      <c r="B417" s="1" t="n">
        <v>45524</v>
      </c>
      <c r="C417" s="1" t="n">
        <v>46201</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15555-2025</t>
        </is>
      </c>
      <c r="B418" s="1" t="n">
        <v>45747</v>
      </c>
      <c r="C418" s="1" t="n">
        <v>46201</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61279-2024</t>
        </is>
      </c>
      <c r="B419" s="1" t="n">
        <v>45645</v>
      </c>
      <c r="C419" s="1" t="n">
        <v>46201</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16936-2023</t>
        </is>
      </c>
      <c r="B420" s="1" t="n">
        <v>45033</v>
      </c>
      <c r="C420" s="1" t="n">
        <v>46201</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40588-2021</t>
        </is>
      </c>
      <c r="B421" s="1" t="n">
        <v>44420</v>
      </c>
      <c r="C421" s="1" t="n">
        <v>46201</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38790-2024</t>
        </is>
      </c>
      <c r="B422" s="1" t="n">
        <v>45547</v>
      </c>
      <c r="C422" s="1" t="n">
        <v>46201</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71269-2021</t>
        </is>
      </c>
      <c r="B423" s="1" t="n">
        <v>44539</v>
      </c>
      <c r="C423" s="1" t="n">
        <v>46201</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53443-2025</t>
        </is>
      </c>
      <c r="B424" s="1" t="n">
        <v>45959</v>
      </c>
      <c r="C424" s="1" t="n">
        <v>46201</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57485-2023</t>
        </is>
      </c>
      <c r="B425" s="1" t="n">
        <v>45246</v>
      </c>
      <c r="C425" s="1" t="n">
        <v>46201</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30316-2024</t>
        </is>
      </c>
      <c r="B426" s="1" t="n">
        <v>45490</v>
      </c>
      <c r="C426" s="1" t="n">
        <v>46201</v>
      </c>
      <c r="D426" t="inlineStr">
        <is>
          <t>ÖREBRO LÄN</t>
        </is>
      </c>
      <c r="E426" t="inlineStr">
        <is>
          <t>ÖREBRO</t>
        </is>
      </c>
      <c r="G426" t="n">
        <v>5.5</v>
      </c>
      <c r="H426" t="n">
        <v>0</v>
      </c>
      <c r="I426" t="n">
        <v>0</v>
      </c>
      <c r="J426" t="n">
        <v>0</v>
      </c>
      <c r="K426" t="n">
        <v>0</v>
      </c>
      <c r="L426" t="n">
        <v>0</v>
      </c>
      <c r="M426" t="n">
        <v>0</v>
      </c>
      <c r="N426" t="n">
        <v>0</v>
      </c>
      <c r="O426" t="n">
        <v>0</v>
      </c>
      <c r="P426" t="n">
        <v>0</v>
      </c>
      <c r="Q426" t="n">
        <v>0</v>
      </c>
      <c r="R426" s="2" t="inlineStr"/>
    </row>
    <row r="427" ht="15" customHeight="1">
      <c r="A427" t="inlineStr">
        <is>
          <t>A 37027-2024</t>
        </is>
      </c>
      <c r="B427" s="1" t="n">
        <v>45539</v>
      </c>
      <c r="C427" s="1" t="n">
        <v>46201</v>
      </c>
      <c r="D427" t="inlineStr">
        <is>
          <t>ÖREBRO LÄN</t>
        </is>
      </c>
      <c r="E427" t="inlineStr">
        <is>
          <t>ÖREBRO</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44199-2024</t>
        </is>
      </c>
      <c r="B428" s="1" t="n">
        <v>45573</v>
      </c>
      <c r="C428" s="1" t="n">
        <v>46201</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4380-2025</t>
        </is>
      </c>
      <c r="B429" s="1" t="n">
        <v>45686</v>
      </c>
      <c r="C429" s="1" t="n">
        <v>46201</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26443-2024</t>
        </is>
      </c>
      <c r="B430" s="1" t="n">
        <v>45469</v>
      </c>
      <c r="C430" s="1" t="n">
        <v>46201</v>
      </c>
      <c r="D430" t="inlineStr">
        <is>
          <t>ÖREBRO LÄN</t>
        </is>
      </c>
      <c r="E430" t="inlineStr">
        <is>
          <t>ÖREBRO</t>
        </is>
      </c>
      <c r="G430" t="n">
        <v>5.7</v>
      </c>
      <c r="H430" t="n">
        <v>0</v>
      </c>
      <c r="I430" t="n">
        <v>0</v>
      </c>
      <c r="J430" t="n">
        <v>0</v>
      </c>
      <c r="K430" t="n">
        <v>0</v>
      </c>
      <c r="L430" t="n">
        <v>0</v>
      </c>
      <c r="M430" t="n">
        <v>0</v>
      </c>
      <c r="N430" t="n">
        <v>0</v>
      </c>
      <c r="O430" t="n">
        <v>0</v>
      </c>
      <c r="P430" t="n">
        <v>0</v>
      </c>
      <c r="Q430" t="n">
        <v>0</v>
      </c>
      <c r="R430" s="2" t="inlineStr"/>
    </row>
    <row r="431" ht="15" customHeight="1">
      <c r="A431" t="inlineStr">
        <is>
          <t>A 5136-2024</t>
        </is>
      </c>
      <c r="B431" s="1" t="n">
        <v>45330</v>
      </c>
      <c r="C431" s="1" t="n">
        <v>46201</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35477-2024</t>
        </is>
      </c>
      <c r="B432" s="1" t="n">
        <v>45531</v>
      </c>
      <c r="C432" s="1" t="n">
        <v>46201</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53343-2025</t>
        </is>
      </c>
      <c r="B433" s="1" t="n">
        <v>45959</v>
      </c>
      <c r="C433" s="1" t="n">
        <v>46201</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44284-2022</t>
        </is>
      </c>
      <c r="B434" s="1" t="n">
        <v>44839</v>
      </c>
      <c r="C434" s="1" t="n">
        <v>46201</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5406-2025</t>
        </is>
      </c>
      <c r="B435" s="1" t="n">
        <v>45692</v>
      </c>
      <c r="C435" s="1" t="n">
        <v>46201</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54205-2025</t>
        </is>
      </c>
      <c r="B436" s="1" t="n">
        <v>45964</v>
      </c>
      <c r="C436" s="1" t="n">
        <v>46201</v>
      </c>
      <c r="D436" t="inlineStr">
        <is>
          <t>ÖREBRO LÄN</t>
        </is>
      </c>
      <c r="E436" t="inlineStr">
        <is>
          <t>ÖREBRO</t>
        </is>
      </c>
      <c r="G436" t="n">
        <v>24.3</v>
      </c>
      <c r="H436" t="n">
        <v>0</v>
      </c>
      <c r="I436" t="n">
        <v>0</v>
      </c>
      <c r="J436" t="n">
        <v>0</v>
      </c>
      <c r="K436" t="n">
        <v>0</v>
      </c>
      <c r="L436" t="n">
        <v>0</v>
      </c>
      <c r="M436" t="n">
        <v>0</v>
      </c>
      <c r="N436" t="n">
        <v>0</v>
      </c>
      <c r="O436" t="n">
        <v>0</v>
      </c>
      <c r="P436" t="n">
        <v>0</v>
      </c>
      <c r="Q436" t="n">
        <v>0</v>
      </c>
      <c r="R436" s="2" t="inlineStr"/>
    </row>
    <row r="437" ht="15" customHeight="1">
      <c r="A437" t="inlineStr">
        <is>
          <t>A 44960-2025</t>
        </is>
      </c>
      <c r="B437" s="1" t="n">
        <v>45918</v>
      </c>
      <c r="C437" s="1" t="n">
        <v>46201</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52018-2024</t>
        </is>
      </c>
      <c r="B438" s="1" t="n">
        <v>45607</v>
      </c>
      <c r="C438" s="1" t="n">
        <v>46201</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34358-2022</t>
        </is>
      </c>
      <c r="B439" s="1" t="n">
        <v>44792</v>
      </c>
      <c r="C439" s="1" t="n">
        <v>46201</v>
      </c>
      <c r="D439" t="inlineStr">
        <is>
          <t>ÖREBRO LÄN</t>
        </is>
      </c>
      <c r="E439" t="inlineStr">
        <is>
          <t>ÖREBRO</t>
        </is>
      </c>
      <c r="F439" t="inlineStr">
        <is>
          <t>Övriga Aktiebolag</t>
        </is>
      </c>
      <c r="G439" t="n">
        <v>3.4</v>
      </c>
      <c r="H439" t="n">
        <v>0</v>
      </c>
      <c r="I439" t="n">
        <v>0</v>
      </c>
      <c r="J439" t="n">
        <v>0</v>
      </c>
      <c r="K439" t="n">
        <v>0</v>
      </c>
      <c r="L439" t="n">
        <v>0</v>
      </c>
      <c r="M439" t="n">
        <v>0</v>
      </c>
      <c r="N439" t="n">
        <v>0</v>
      </c>
      <c r="O439" t="n">
        <v>0</v>
      </c>
      <c r="P439" t="n">
        <v>0</v>
      </c>
      <c r="Q439" t="n">
        <v>0</v>
      </c>
      <c r="R439" s="2" t="inlineStr"/>
    </row>
    <row r="440" ht="15" customHeight="1">
      <c r="A440" t="inlineStr">
        <is>
          <t>A 58608-2024</t>
        </is>
      </c>
      <c r="B440" s="1" t="n">
        <v>45635</v>
      </c>
      <c r="C440" s="1" t="n">
        <v>46201</v>
      </c>
      <c r="D440" t="inlineStr">
        <is>
          <t>ÖREBRO LÄN</t>
        </is>
      </c>
      <c r="E440" t="inlineStr">
        <is>
          <t>ÖREBRO</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44875-2025</t>
        </is>
      </c>
      <c r="B441" s="1" t="n">
        <v>45918</v>
      </c>
      <c r="C441" s="1" t="n">
        <v>46201</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22348-2024</t>
        </is>
      </c>
      <c r="B442" s="1" t="n">
        <v>45446</v>
      </c>
      <c r="C442" s="1" t="n">
        <v>46201</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55748-2025</t>
        </is>
      </c>
      <c r="B443" s="1" t="n">
        <v>45972</v>
      </c>
      <c r="C443" s="1" t="n">
        <v>46201</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55750-2025</t>
        </is>
      </c>
      <c r="B444" s="1" t="n">
        <v>45972</v>
      </c>
      <c r="C444" s="1" t="n">
        <v>46201</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15695-2024</t>
        </is>
      </c>
      <c r="B445" s="1" t="n">
        <v>45404</v>
      </c>
      <c r="C445" s="1" t="n">
        <v>46201</v>
      </c>
      <c r="D445" t="inlineStr">
        <is>
          <t>ÖREBRO LÄN</t>
        </is>
      </c>
      <c r="E445" t="inlineStr">
        <is>
          <t>ÖREBRO</t>
        </is>
      </c>
      <c r="G445" t="n">
        <v>2.7</v>
      </c>
      <c r="H445" t="n">
        <v>0</v>
      </c>
      <c r="I445" t="n">
        <v>0</v>
      </c>
      <c r="J445" t="n">
        <v>0</v>
      </c>
      <c r="K445" t="n">
        <v>0</v>
      </c>
      <c r="L445" t="n">
        <v>0</v>
      </c>
      <c r="M445" t="n">
        <v>0</v>
      </c>
      <c r="N445" t="n">
        <v>0</v>
      </c>
      <c r="O445" t="n">
        <v>0</v>
      </c>
      <c r="P445" t="n">
        <v>0</v>
      </c>
      <c r="Q445" t="n">
        <v>0</v>
      </c>
      <c r="R445" s="2" t="inlineStr"/>
    </row>
    <row r="446" ht="15" customHeight="1">
      <c r="A446" t="inlineStr">
        <is>
          <t>A 30089-2024</t>
        </is>
      </c>
      <c r="B446" s="1" t="n">
        <v>45485</v>
      </c>
      <c r="C446" s="1" t="n">
        <v>46201</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5643-2025</t>
        </is>
      </c>
      <c r="B447" s="1" t="n">
        <v>45693</v>
      </c>
      <c r="C447" s="1" t="n">
        <v>46201</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46030-2024</t>
        </is>
      </c>
      <c r="B448" s="1" t="n">
        <v>45580</v>
      </c>
      <c r="C448" s="1" t="n">
        <v>46201</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57537-2025</t>
        </is>
      </c>
      <c r="B449" s="1" t="n">
        <v>45980</v>
      </c>
      <c r="C449" s="1" t="n">
        <v>46201</v>
      </c>
      <c r="D449" t="inlineStr">
        <is>
          <t>ÖREBRO LÄN</t>
        </is>
      </c>
      <c r="E449" t="inlineStr">
        <is>
          <t>ÖREBRO</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5342-2024</t>
        </is>
      </c>
      <c r="B450" s="1" t="n">
        <v>45331</v>
      </c>
      <c r="C450" s="1" t="n">
        <v>46201</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71295-2021</t>
        </is>
      </c>
      <c r="B451" s="1" t="n">
        <v>44539</v>
      </c>
      <c r="C451" s="1" t="n">
        <v>46201</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11516-2024</t>
        </is>
      </c>
      <c r="B452" s="1" t="n">
        <v>45372</v>
      </c>
      <c r="C452" s="1" t="n">
        <v>46201</v>
      </c>
      <c r="D452" t="inlineStr">
        <is>
          <t>ÖREBRO LÄN</t>
        </is>
      </c>
      <c r="E452" t="inlineStr">
        <is>
          <t>ÖREBRO</t>
        </is>
      </c>
      <c r="G452" t="n">
        <v>10.7</v>
      </c>
      <c r="H452" t="n">
        <v>0</v>
      </c>
      <c r="I452" t="n">
        <v>0</v>
      </c>
      <c r="J452" t="n">
        <v>0</v>
      </c>
      <c r="K452" t="n">
        <v>0</v>
      </c>
      <c r="L452" t="n">
        <v>0</v>
      </c>
      <c r="M452" t="n">
        <v>0</v>
      </c>
      <c r="N452" t="n">
        <v>0</v>
      </c>
      <c r="O452" t="n">
        <v>0</v>
      </c>
      <c r="P452" t="n">
        <v>0</v>
      </c>
      <c r="Q452" t="n">
        <v>0</v>
      </c>
      <c r="R452" s="2" t="inlineStr"/>
    </row>
    <row r="453" ht="15" customHeight="1">
      <c r="A453" t="inlineStr">
        <is>
          <t>A 58587-2025</t>
        </is>
      </c>
      <c r="B453" s="1" t="n">
        <v>45986</v>
      </c>
      <c r="C453" s="1" t="n">
        <v>46201</v>
      </c>
      <c r="D453" t="inlineStr">
        <is>
          <t>ÖREBRO LÄN</t>
        </is>
      </c>
      <c r="E453" t="inlineStr">
        <is>
          <t>ÖREBRO</t>
        </is>
      </c>
      <c r="G453" t="n">
        <v>1.6</v>
      </c>
      <c r="H453" t="n">
        <v>0</v>
      </c>
      <c r="I453" t="n">
        <v>0</v>
      </c>
      <c r="J453" t="n">
        <v>0</v>
      </c>
      <c r="K453" t="n">
        <v>0</v>
      </c>
      <c r="L453" t="n">
        <v>0</v>
      </c>
      <c r="M453" t="n">
        <v>0</v>
      </c>
      <c r="N453" t="n">
        <v>0</v>
      </c>
      <c r="O453" t="n">
        <v>0</v>
      </c>
      <c r="P453" t="n">
        <v>0</v>
      </c>
      <c r="Q453" t="n">
        <v>0</v>
      </c>
      <c r="R453" s="2" t="inlineStr"/>
    </row>
    <row r="454" ht="15" customHeight="1">
      <c r="A454" t="inlineStr">
        <is>
          <t>A 59857-2025</t>
        </is>
      </c>
      <c r="B454" s="1" t="n">
        <v>45992</v>
      </c>
      <c r="C454" s="1" t="n">
        <v>46201</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59856-2025</t>
        </is>
      </c>
      <c r="B455" s="1" t="n">
        <v>45992</v>
      </c>
      <c r="C455" s="1" t="n">
        <v>46201</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59860-2025</t>
        </is>
      </c>
      <c r="B456" s="1" t="n">
        <v>45992</v>
      </c>
      <c r="C456" s="1" t="n">
        <v>46201</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59858-2025</t>
        </is>
      </c>
      <c r="B457" s="1" t="n">
        <v>45992</v>
      </c>
      <c r="C457" s="1" t="n">
        <v>46201</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59859-2025</t>
        </is>
      </c>
      <c r="B458" s="1" t="n">
        <v>45992</v>
      </c>
      <c r="C458" s="1" t="n">
        <v>46201</v>
      </c>
      <c r="D458" t="inlineStr">
        <is>
          <t>ÖREBRO LÄN</t>
        </is>
      </c>
      <c r="E458" t="inlineStr">
        <is>
          <t>ÖREBRO</t>
        </is>
      </c>
      <c r="G458" t="n">
        <v>0.4</v>
      </c>
      <c r="H458" t="n">
        <v>0</v>
      </c>
      <c r="I458" t="n">
        <v>0</v>
      </c>
      <c r="J458" t="n">
        <v>0</v>
      </c>
      <c r="K458" t="n">
        <v>0</v>
      </c>
      <c r="L458" t="n">
        <v>0</v>
      </c>
      <c r="M458" t="n">
        <v>0</v>
      </c>
      <c r="N458" t="n">
        <v>0</v>
      </c>
      <c r="O458" t="n">
        <v>0</v>
      </c>
      <c r="P458" t="n">
        <v>0</v>
      </c>
      <c r="Q458" t="n">
        <v>0</v>
      </c>
      <c r="R458" s="2" t="inlineStr"/>
    </row>
    <row r="459" ht="15" customHeight="1">
      <c r="A459" t="inlineStr">
        <is>
          <t>A 25519-2025</t>
        </is>
      </c>
      <c r="B459" s="1" t="n">
        <v>45803</v>
      </c>
      <c r="C459" s="1" t="n">
        <v>46201</v>
      </c>
      <c r="D459" t="inlineStr">
        <is>
          <t>ÖREBRO LÄN</t>
        </is>
      </c>
      <c r="E459" t="inlineStr">
        <is>
          <t>ÖREBRO</t>
        </is>
      </c>
      <c r="G459" t="n">
        <v>7.4</v>
      </c>
      <c r="H459" t="n">
        <v>0</v>
      </c>
      <c r="I459" t="n">
        <v>0</v>
      </c>
      <c r="J459" t="n">
        <v>0</v>
      </c>
      <c r="K459" t="n">
        <v>0</v>
      </c>
      <c r="L459" t="n">
        <v>0</v>
      </c>
      <c r="M459" t="n">
        <v>0</v>
      </c>
      <c r="N459" t="n">
        <v>0</v>
      </c>
      <c r="O459" t="n">
        <v>0</v>
      </c>
      <c r="P459" t="n">
        <v>0</v>
      </c>
      <c r="Q459" t="n">
        <v>0</v>
      </c>
      <c r="R459" s="2" t="inlineStr"/>
    </row>
    <row r="460" ht="15" customHeight="1">
      <c r="A460" t="inlineStr">
        <is>
          <t>A 60551-2025</t>
        </is>
      </c>
      <c r="B460" s="1" t="n">
        <v>45995</v>
      </c>
      <c r="C460" s="1" t="n">
        <v>46201</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60555-2025</t>
        </is>
      </c>
      <c r="B461" s="1" t="n">
        <v>45995</v>
      </c>
      <c r="C461" s="1" t="n">
        <v>46201</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61525-2025</t>
        </is>
      </c>
      <c r="B462" s="1" t="n">
        <v>46001</v>
      </c>
      <c r="C462" s="1" t="n">
        <v>46201</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46201</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62683-2025</t>
        </is>
      </c>
      <c r="B464" s="1" t="n">
        <v>46008</v>
      </c>
      <c r="C464" s="1" t="n">
        <v>46201</v>
      </c>
      <c r="D464" t="inlineStr">
        <is>
          <t>ÖREBRO LÄN</t>
        </is>
      </c>
      <c r="E464" t="inlineStr">
        <is>
          <t>ÖREBRO</t>
        </is>
      </c>
      <c r="G464" t="n">
        <v>5.1</v>
      </c>
      <c r="H464" t="n">
        <v>0</v>
      </c>
      <c r="I464" t="n">
        <v>0</v>
      </c>
      <c r="J464" t="n">
        <v>0</v>
      </c>
      <c r="K464" t="n">
        <v>0</v>
      </c>
      <c r="L464" t="n">
        <v>0</v>
      </c>
      <c r="M464" t="n">
        <v>0</v>
      </c>
      <c r="N464" t="n">
        <v>0</v>
      </c>
      <c r="O464" t="n">
        <v>0</v>
      </c>
      <c r="P464" t="n">
        <v>0</v>
      </c>
      <c r="Q464" t="n">
        <v>0</v>
      </c>
      <c r="R464" s="2" t="inlineStr"/>
    </row>
    <row r="465" ht="15" customHeight="1">
      <c r="A465" t="inlineStr">
        <is>
          <t>A 16258-2022</t>
        </is>
      </c>
      <c r="B465" s="1" t="n">
        <v>44670</v>
      </c>
      <c r="C465" s="1" t="n">
        <v>46201</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63657-2025</t>
        </is>
      </c>
      <c r="B466" s="1" t="n">
        <v>46014</v>
      </c>
      <c r="C466" s="1" t="n">
        <v>46201</v>
      </c>
      <c r="D466" t="inlineStr">
        <is>
          <t>ÖREBRO LÄN</t>
        </is>
      </c>
      <c r="E466" t="inlineStr">
        <is>
          <t>ÖREBRO</t>
        </is>
      </c>
      <c r="F466" t="inlineStr">
        <is>
          <t>Allmännings- och besparingsskogar</t>
        </is>
      </c>
      <c r="G466" t="n">
        <v>3.9</v>
      </c>
      <c r="H466" t="n">
        <v>0</v>
      </c>
      <c r="I466" t="n">
        <v>0</v>
      </c>
      <c r="J466" t="n">
        <v>0</v>
      </c>
      <c r="K466" t="n">
        <v>0</v>
      </c>
      <c r="L466" t="n">
        <v>0</v>
      </c>
      <c r="M466" t="n">
        <v>0</v>
      </c>
      <c r="N466" t="n">
        <v>0</v>
      </c>
      <c r="O466" t="n">
        <v>0</v>
      </c>
      <c r="P466" t="n">
        <v>0</v>
      </c>
      <c r="Q466" t="n">
        <v>0</v>
      </c>
      <c r="R466" s="2" t="inlineStr"/>
    </row>
    <row r="467" ht="15" customHeight="1">
      <c r="A467" t="inlineStr">
        <is>
          <t>A 63666-2025</t>
        </is>
      </c>
      <c r="B467" s="1" t="n">
        <v>46014</v>
      </c>
      <c r="C467" s="1" t="n">
        <v>46201</v>
      </c>
      <c r="D467" t="inlineStr">
        <is>
          <t>ÖREBRO LÄN</t>
        </is>
      </c>
      <c r="E467" t="inlineStr">
        <is>
          <t>ÖREBRO</t>
        </is>
      </c>
      <c r="F467" t="inlineStr">
        <is>
          <t>Allmännings- och besparingsskogar</t>
        </is>
      </c>
      <c r="G467" t="n">
        <v>2.6</v>
      </c>
      <c r="H467" t="n">
        <v>0</v>
      </c>
      <c r="I467" t="n">
        <v>0</v>
      </c>
      <c r="J467" t="n">
        <v>0</v>
      </c>
      <c r="K467" t="n">
        <v>0</v>
      </c>
      <c r="L467" t="n">
        <v>0</v>
      </c>
      <c r="M467" t="n">
        <v>0</v>
      </c>
      <c r="N467" t="n">
        <v>0</v>
      </c>
      <c r="O467" t="n">
        <v>0</v>
      </c>
      <c r="P467" t="n">
        <v>0</v>
      </c>
      <c r="Q467" t="n">
        <v>0</v>
      </c>
      <c r="R467" s="2" t="inlineStr"/>
    </row>
    <row r="468" ht="15" customHeight="1">
      <c r="A468" t="inlineStr">
        <is>
          <t>A 63662-2025</t>
        </is>
      </c>
      <c r="B468" s="1" t="n">
        <v>46014</v>
      </c>
      <c r="C468" s="1" t="n">
        <v>46201</v>
      </c>
      <c r="D468" t="inlineStr">
        <is>
          <t>ÖREBRO LÄN</t>
        </is>
      </c>
      <c r="E468" t="inlineStr">
        <is>
          <t>ÖREBRO</t>
        </is>
      </c>
      <c r="F468" t="inlineStr">
        <is>
          <t>Allmännings- och besparingsskogar</t>
        </is>
      </c>
      <c r="G468" t="n">
        <v>3.2</v>
      </c>
      <c r="H468" t="n">
        <v>0</v>
      </c>
      <c r="I468" t="n">
        <v>0</v>
      </c>
      <c r="J468" t="n">
        <v>0</v>
      </c>
      <c r="K468" t="n">
        <v>0</v>
      </c>
      <c r="L468" t="n">
        <v>0</v>
      </c>
      <c r="M468" t="n">
        <v>0</v>
      </c>
      <c r="N468" t="n">
        <v>0</v>
      </c>
      <c r="O468" t="n">
        <v>0</v>
      </c>
      <c r="P468" t="n">
        <v>0</v>
      </c>
      <c r="Q468" t="n">
        <v>0</v>
      </c>
      <c r="R468" s="2" t="inlineStr"/>
    </row>
    <row r="469" ht="15" customHeight="1">
      <c r="A469" t="inlineStr">
        <is>
          <t>A 64019-2025</t>
        </is>
      </c>
      <c r="B469" s="1" t="n">
        <v>46021</v>
      </c>
      <c r="C469" s="1" t="n">
        <v>46201</v>
      </c>
      <c r="D469" t="inlineStr">
        <is>
          <t>ÖREBRO LÄN</t>
        </is>
      </c>
      <c r="E469" t="inlineStr">
        <is>
          <t>ÖREBRO</t>
        </is>
      </c>
      <c r="G469" t="n">
        <v>2</v>
      </c>
      <c r="H469" t="n">
        <v>0</v>
      </c>
      <c r="I469" t="n">
        <v>0</v>
      </c>
      <c r="J469" t="n">
        <v>0</v>
      </c>
      <c r="K469" t="n">
        <v>0</v>
      </c>
      <c r="L469" t="n">
        <v>0</v>
      </c>
      <c r="M469" t="n">
        <v>0</v>
      </c>
      <c r="N469" t="n">
        <v>0</v>
      </c>
      <c r="O469" t="n">
        <v>0</v>
      </c>
      <c r="P469" t="n">
        <v>0</v>
      </c>
      <c r="Q469" t="n">
        <v>0</v>
      </c>
      <c r="R469" s="2" t="inlineStr"/>
    </row>
    <row r="470" ht="15" customHeight="1">
      <c r="A470" t="inlineStr">
        <is>
          <t>A 1153-2026</t>
        </is>
      </c>
      <c r="B470" s="1" t="n">
        <v>46031</v>
      </c>
      <c r="C470" s="1" t="n">
        <v>46201</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18550-2025</t>
        </is>
      </c>
      <c r="B471" s="1" t="n">
        <v>45763</v>
      </c>
      <c r="C471" s="1" t="n">
        <v>46201</v>
      </c>
      <c r="D471" t="inlineStr">
        <is>
          <t>ÖREBRO LÄN</t>
        </is>
      </c>
      <c r="E471" t="inlineStr">
        <is>
          <t>ÖREBRO</t>
        </is>
      </c>
      <c r="G471" t="n">
        <v>11.5</v>
      </c>
      <c r="H471" t="n">
        <v>0</v>
      </c>
      <c r="I471" t="n">
        <v>0</v>
      </c>
      <c r="J471" t="n">
        <v>0</v>
      </c>
      <c r="K471" t="n">
        <v>0</v>
      </c>
      <c r="L471" t="n">
        <v>0</v>
      </c>
      <c r="M471" t="n">
        <v>0</v>
      </c>
      <c r="N471" t="n">
        <v>0</v>
      </c>
      <c r="O471" t="n">
        <v>0</v>
      </c>
      <c r="P471" t="n">
        <v>0</v>
      </c>
      <c r="Q471" t="n">
        <v>0</v>
      </c>
      <c r="R471" s="2" t="inlineStr"/>
    </row>
    <row r="472" ht="15" customHeight="1">
      <c r="A472" t="inlineStr">
        <is>
          <t>A 2162-2026</t>
        </is>
      </c>
      <c r="B472" s="1" t="n">
        <v>46036</v>
      </c>
      <c r="C472" s="1" t="n">
        <v>46201</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59515-2025</t>
        </is>
      </c>
      <c r="B473" s="1" t="n">
        <v>45989</v>
      </c>
      <c r="C473" s="1" t="n">
        <v>46201</v>
      </c>
      <c r="D473" t="inlineStr">
        <is>
          <t>ÖREBRO LÄN</t>
        </is>
      </c>
      <c r="E473" t="inlineStr">
        <is>
          <t>ÖREBRO</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3252-2026</t>
        </is>
      </c>
      <c r="B474" s="1" t="n">
        <v>46041</v>
      </c>
      <c r="C474" s="1" t="n">
        <v>46201</v>
      </c>
      <c r="D474" t="inlineStr">
        <is>
          <t>ÖREBRO LÄN</t>
        </is>
      </c>
      <c r="E474" t="inlineStr">
        <is>
          <t>ÖREBRO</t>
        </is>
      </c>
      <c r="F474" t="inlineStr">
        <is>
          <t>Övriga Aktiebolag</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3033-2026</t>
        </is>
      </c>
      <c r="B475" s="1" t="n">
        <v>46038</v>
      </c>
      <c r="C475" s="1" t="n">
        <v>46201</v>
      </c>
      <c r="D475" t="inlineStr">
        <is>
          <t>ÖREBRO LÄN</t>
        </is>
      </c>
      <c r="E475" t="inlineStr">
        <is>
          <t>ÖREBRO</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3042-2026</t>
        </is>
      </c>
      <c r="B476" s="1" t="n">
        <v>46038</v>
      </c>
      <c r="C476" s="1" t="n">
        <v>46201</v>
      </c>
      <c r="D476" t="inlineStr">
        <is>
          <t>ÖREBRO LÄN</t>
        </is>
      </c>
      <c r="E476" t="inlineStr">
        <is>
          <t>ÖREBRO</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6220-2026</t>
        </is>
      </c>
      <c r="B477" s="1" t="n">
        <v>46055</v>
      </c>
      <c r="C477" s="1" t="n">
        <v>46201</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7550-2026</t>
        </is>
      </c>
      <c r="B478" s="1" t="n">
        <v>46059</v>
      </c>
      <c r="C478" s="1" t="n">
        <v>46201</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8461-2026</t>
        </is>
      </c>
      <c r="B479" s="1" t="n">
        <v>46065</v>
      </c>
      <c r="C479" s="1" t="n">
        <v>46201</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9318-2026</t>
        </is>
      </c>
      <c r="B480" s="1" t="n">
        <v>46070</v>
      </c>
      <c r="C480" s="1" t="n">
        <v>46201</v>
      </c>
      <c r="D480" t="inlineStr">
        <is>
          <t>ÖREBRO LÄN</t>
        </is>
      </c>
      <c r="E480" t="inlineStr">
        <is>
          <t>ÖREBRO</t>
        </is>
      </c>
      <c r="F480" t="inlineStr">
        <is>
          <t>Övriga Aktiebolag</t>
        </is>
      </c>
      <c r="G480" t="n">
        <v>2.7</v>
      </c>
      <c r="H480" t="n">
        <v>0</v>
      </c>
      <c r="I480" t="n">
        <v>0</v>
      </c>
      <c r="J480" t="n">
        <v>0</v>
      </c>
      <c r="K480" t="n">
        <v>0</v>
      </c>
      <c r="L480" t="n">
        <v>0</v>
      </c>
      <c r="M480" t="n">
        <v>0</v>
      </c>
      <c r="N480" t="n">
        <v>0</v>
      </c>
      <c r="O480" t="n">
        <v>0</v>
      </c>
      <c r="P480" t="n">
        <v>0</v>
      </c>
      <c r="Q480" t="n">
        <v>0</v>
      </c>
      <c r="R480" s="2" t="inlineStr"/>
    </row>
    <row r="481" ht="15" customHeight="1">
      <c r="A481" t="inlineStr">
        <is>
          <t>A 10108-2026</t>
        </is>
      </c>
      <c r="B481" s="1" t="n">
        <v>46074</v>
      </c>
      <c r="C481" s="1" t="n">
        <v>46201</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10970-2026</t>
        </is>
      </c>
      <c r="B482" s="1" t="n">
        <v>46079</v>
      </c>
      <c r="C482" s="1" t="n">
        <v>46201</v>
      </c>
      <c r="D482" t="inlineStr">
        <is>
          <t>ÖREBRO LÄN</t>
        </is>
      </c>
      <c r="E482" t="inlineStr">
        <is>
          <t>ÖREBRO</t>
        </is>
      </c>
      <c r="G482" t="n">
        <v>6.5</v>
      </c>
      <c r="H482" t="n">
        <v>0</v>
      </c>
      <c r="I482" t="n">
        <v>0</v>
      </c>
      <c r="J482" t="n">
        <v>0</v>
      </c>
      <c r="K482" t="n">
        <v>0</v>
      </c>
      <c r="L482" t="n">
        <v>0</v>
      </c>
      <c r="M482" t="n">
        <v>0</v>
      </c>
      <c r="N482" t="n">
        <v>0</v>
      </c>
      <c r="O482" t="n">
        <v>0</v>
      </c>
      <c r="P482" t="n">
        <v>0</v>
      </c>
      <c r="Q482" t="n">
        <v>0</v>
      </c>
      <c r="R482" s="2" t="inlineStr"/>
    </row>
    <row r="483" ht="15" customHeight="1">
      <c r="A483" t="inlineStr">
        <is>
          <t>A 11286-2026</t>
        </is>
      </c>
      <c r="B483" s="1" t="n">
        <v>46080</v>
      </c>
      <c r="C483" s="1" t="n">
        <v>46201</v>
      </c>
      <c r="D483" t="inlineStr">
        <is>
          <t>ÖREBRO LÄN</t>
        </is>
      </c>
      <c r="E483" t="inlineStr">
        <is>
          <t>ÖREBRO</t>
        </is>
      </c>
      <c r="G483" t="n">
        <v>5.4</v>
      </c>
      <c r="H483" t="n">
        <v>0</v>
      </c>
      <c r="I483" t="n">
        <v>0</v>
      </c>
      <c r="J483" t="n">
        <v>0</v>
      </c>
      <c r="K483" t="n">
        <v>0</v>
      </c>
      <c r="L483" t="n">
        <v>0</v>
      </c>
      <c r="M483" t="n">
        <v>0</v>
      </c>
      <c r="N483" t="n">
        <v>0</v>
      </c>
      <c r="O483" t="n">
        <v>0</v>
      </c>
      <c r="P483" t="n">
        <v>0</v>
      </c>
      <c r="Q483" t="n">
        <v>0</v>
      </c>
      <c r="R483" s="2" t="inlineStr"/>
    </row>
    <row r="484" ht="15" customHeight="1">
      <c r="A484" t="inlineStr">
        <is>
          <t>A 10944-2026</t>
        </is>
      </c>
      <c r="B484" s="1" t="n">
        <v>46079</v>
      </c>
      <c r="C484" s="1" t="n">
        <v>46201</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12536-2026</t>
        </is>
      </c>
      <c r="B485" s="1" t="n">
        <v>46090</v>
      </c>
      <c r="C485" s="1" t="n">
        <v>46201</v>
      </c>
      <c r="D485" t="inlineStr">
        <is>
          <t>ÖREBRO LÄN</t>
        </is>
      </c>
      <c r="E485" t="inlineStr">
        <is>
          <t>ÖREBRO</t>
        </is>
      </c>
      <c r="G485" t="n">
        <v>7.7</v>
      </c>
      <c r="H485" t="n">
        <v>0</v>
      </c>
      <c r="I485" t="n">
        <v>0</v>
      </c>
      <c r="J485" t="n">
        <v>0</v>
      </c>
      <c r="K485" t="n">
        <v>0</v>
      </c>
      <c r="L485" t="n">
        <v>0</v>
      </c>
      <c r="M485" t="n">
        <v>0</v>
      </c>
      <c r="N485" t="n">
        <v>0</v>
      </c>
      <c r="O485" t="n">
        <v>0</v>
      </c>
      <c r="P485" t="n">
        <v>0</v>
      </c>
      <c r="Q485" t="n">
        <v>0</v>
      </c>
      <c r="R485" s="2" t="inlineStr"/>
    </row>
    <row r="486" ht="15" customHeight="1">
      <c r="A486" t="inlineStr">
        <is>
          <t>A 14032-2026</t>
        </is>
      </c>
      <c r="B486" s="1" t="n">
        <v>46098</v>
      </c>
      <c r="C486" s="1" t="n">
        <v>46201</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13778-2026</t>
        </is>
      </c>
      <c r="B487" s="1" t="n">
        <v>46097</v>
      </c>
      <c r="C487" s="1" t="n">
        <v>46201</v>
      </c>
      <c r="D487" t="inlineStr">
        <is>
          <t>ÖREBRO LÄN</t>
        </is>
      </c>
      <c r="E487" t="inlineStr">
        <is>
          <t>ÖREBRO</t>
        </is>
      </c>
      <c r="F487" t="inlineStr">
        <is>
          <t>Övriga Aktiebolag</t>
        </is>
      </c>
      <c r="G487" t="n">
        <v>23.7</v>
      </c>
      <c r="H487" t="n">
        <v>0</v>
      </c>
      <c r="I487" t="n">
        <v>0</v>
      </c>
      <c r="J487" t="n">
        <v>0</v>
      </c>
      <c r="K487" t="n">
        <v>0</v>
      </c>
      <c r="L487" t="n">
        <v>0</v>
      </c>
      <c r="M487" t="n">
        <v>0</v>
      </c>
      <c r="N487" t="n">
        <v>0</v>
      </c>
      <c r="O487" t="n">
        <v>0</v>
      </c>
      <c r="P487" t="n">
        <v>0</v>
      </c>
      <c r="Q487" t="n">
        <v>0</v>
      </c>
      <c r="R487" s="2" t="inlineStr"/>
    </row>
    <row r="488" ht="15" customHeight="1">
      <c r="A488" t="inlineStr">
        <is>
          <t>A 23053-2026</t>
        </is>
      </c>
      <c r="B488" s="1" t="n">
        <v>46161</v>
      </c>
      <c r="C488" s="1" t="n">
        <v>46201</v>
      </c>
      <c r="D488" t="inlineStr">
        <is>
          <t>ÖREBRO LÄN</t>
        </is>
      </c>
      <c r="E488" t="inlineStr">
        <is>
          <t>ÖREBRO</t>
        </is>
      </c>
      <c r="G488" t="n">
        <v>6.3</v>
      </c>
      <c r="H488" t="n">
        <v>0</v>
      </c>
      <c r="I488" t="n">
        <v>0</v>
      </c>
      <c r="J488" t="n">
        <v>0</v>
      </c>
      <c r="K488" t="n">
        <v>0</v>
      </c>
      <c r="L488" t="n">
        <v>0</v>
      </c>
      <c r="M488" t="n">
        <v>0</v>
      </c>
      <c r="N488" t="n">
        <v>0</v>
      </c>
      <c r="O488" t="n">
        <v>0</v>
      </c>
      <c r="P488" t="n">
        <v>0</v>
      </c>
      <c r="Q488" t="n">
        <v>0</v>
      </c>
      <c r="R488" s="2" t="inlineStr"/>
    </row>
    <row r="489" ht="15" customHeight="1">
      <c r="A489" t="inlineStr">
        <is>
          <t>A 17744-2026</t>
        </is>
      </c>
      <c r="B489" s="1" t="n">
        <v>46122</v>
      </c>
      <c r="C489" s="1" t="n">
        <v>46201</v>
      </c>
      <c r="D489" t="inlineStr">
        <is>
          <t>ÖREBRO LÄN</t>
        </is>
      </c>
      <c r="E489" t="inlineStr">
        <is>
          <t>ÖREBRO</t>
        </is>
      </c>
      <c r="G489" t="n">
        <v>3.5</v>
      </c>
      <c r="H489" t="n">
        <v>0</v>
      </c>
      <c r="I489" t="n">
        <v>0</v>
      </c>
      <c r="J489" t="n">
        <v>0</v>
      </c>
      <c r="K489" t="n">
        <v>0</v>
      </c>
      <c r="L489" t="n">
        <v>0</v>
      </c>
      <c r="M489" t="n">
        <v>0</v>
      </c>
      <c r="N489" t="n">
        <v>0</v>
      </c>
      <c r="O489" t="n">
        <v>0</v>
      </c>
      <c r="P489" t="n">
        <v>0</v>
      </c>
      <c r="Q489" t="n">
        <v>0</v>
      </c>
      <c r="R489" s="2" t="inlineStr"/>
    </row>
    <row r="490" ht="15" customHeight="1">
      <c r="A490" t="inlineStr">
        <is>
          <t>A 23033-2026</t>
        </is>
      </c>
      <c r="B490" s="1" t="n">
        <v>46161</v>
      </c>
      <c r="C490" s="1" t="n">
        <v>46201</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24496-2026</t>
        </is>
      </c>
      <c r="B491" s="1" t="n">
        <v>46170</v>
      </c>
      <c r="C491" s="1" t="n">
        <v>46201</v>
      </c>
      <c r="D491" t="inlineStr">
        <is>
          <t>ÖREBRO LÄN</t>
        </is>
      </c>
      <c r="E491" t="inlineStr">
        <is>
          <t>ÖREBRO</t>
        </is>
      </c>
      <c r="G491" t="n">
        <v>5.6</v>
      </c>
      <c r="H491" t="n">
        <v>0</v>
      </c>
      <c r="I491" t="n">
        <v>0</v>
      </c>
      <c r="J491" t="n">
        <v>0</v>
      </c>
      <c r="K491" t="n">
        <v>0</v>
      </c>
      <c r="L491" t="n">
        <v>0</v>
      </c>
      <c r="M491" t="n">
        <v>0</v>
      </c>
      <c r="N491" t="n">
        <v>0</v>
      </c>
      <c r="O491" t="n">
        <v>0</v>
      </c>
      <c r="P491" t="n">
        <v>0</v>
      </c>
      <c r="Q491" t="n">
        <v>0</v>
      </c>
      <c r="R491" s="2" t="inlineStr"/>
    </row>
    <row r="492" ht="15" customHeight="1">
      <c r="A492" t="inlineStr">
        <is>
          <t>A 22849-2026</t>
        </is>
      </c>
      <c r="B492" s="1" t="n">
        <v>46160</v>
      </c>
      <c r="C492" s="1" t="n">
        <v>46201</v>
      </c>
      <c r="D492" t="inlineStr">
        <is>
          <t>ÖREBRO LÄN</t>
        </is>
      </c>
      <c r="E492" t="inlineStr">
        <is>
          <t>ÖREBRO</t>
        </is>
      </c>
      <c r="G492" t="n">
        <v>6.6</v>
      </c>
      <c r="H492" t="n">
        <v>0</v>
      </c>
      <c r="I492" t="n">
        <v>0</v>
      </c>
      <c r="J492" t="n">
        <v>0</v>
      </c>
      <c r="K492" t="n">
        <v>0</v>
      </c>
      <c r="L492" t="n">
        <v>0</v>
      </c>
      <c r="M492" t="n">
        <v>0</v>
      </c>
      <c r="N492" t="n">
        <v>0</v>
      </c>
      <c r="O492" t="n">
        <v>0</v>
      </c>
      <c r="P492" t="n">
        <v>0</v>
      </c>
      <c r="Q492" t="n">
        <v>0</v>
      </c>
      <c r="R492" s="2" t="inlineStr"/>
    </row>
    <row r="493" ht="15" customHeight="1">
      <c r="A493" t="inlineStr">
        <is>
          <t>A 54485-2025</t>
        </is>
      </c>
      <c r="B493" s="1" t="n">
        <v>45965</v>
      </c>
      <c r="C493" s="1" t="n">
        <v>46201</v>
      </c>
      <c r="D493" t="inlineStr">
        <is>
          <t>ÖREBRO LÄN</t>
        </is>
      </c>
      <c r="E493" t="inlineStr">
        <is>
          <t>ÖREBRO</t>
        </is>
      </c>
      <c r="F493" t="inlineStr">
        <is>
          <t>Allmännings- och besparingsskogar</t>
        </is>
      </c>
      <c r="G493" t="n">
        <v>1.7</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v>
      </c>
      <c r="C494" s="1" t="n">
        <v>46201</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38583-2023</t>
        </is>
      </c>
      <c r="B495" s="1" t="n">
        <v>45162</v>
      </c>
      <c r="C495" s="1" t="n">
        <v>46201</v>
      </c>
      <c r="D495" t="inlineStr">
        <is>
          <t>ÖREBRO LÄN</t>
        </is>
      </c>
      <c r="E495" t="inlineStr">
        <is>
          <t>ÖREBRO</t>
        </is>
      </c>
      <c r="G495" t="n">
        <v>5.7</v>
      </c>
      <c r="H495" t="n">
        <v>0</v>
      </c>
      <c r="I495" t="n">
        <v>0</v>
      </c>
      <c r="J495" t="n">
        <v>0</v>
      </c>
      <c r="K495" t="n">
        <v>0</v>
      </c>
      <c r="L495" t="n">
        <v>0</v>
      </c>
      <c r="M495" t="n">
        <v>0</v>
      </c>
      <c r="N495" t="n">
        <v>0</v>
      </c>
      <c r="O495" t="n">
        <v>0</v>
      </c>
      <c r="P495" t="n">
        <v>0</v>
      </c>
      <c r="Q495" t="n">
        <v>0</v>
      </c>
      <c r="R495" s="2" t="inlineStr"/>
    </row>
    <row r="496" ht="15" customHeight="1">
      <c r="A496" t="inlineStr">
        <is>
          <t>A 26137-2026</t>
        </is>
      </c>
      <c r="B496" s="1" t="n">
        <v>46181</v>
      </c>
      <c r="C496" s="1" t="n">
        <v>46201</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22755-2025</t>
        </is>
      </c>
      <c r="B497" s="1" t="n">
        <v>45789</v>
      </c>
      <c r="C497" s="1" t="n">
        <v>46201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28821-2025</t>
        </is>
      </c>
      <c r="B498" s="1" t="n">
        <v>45820</v>
      </c>
      <c r="C498" s="1" t="n">
        <v>46201</v>
      </c>
      <c r="D498" t="inlineStr">
        <is>
          <t>ÖREBRO LÄN</t>
        </is>
      </c>
      <c r="E498" t="inlineStr">
        <is>
          <t>ÖREBRO</t>
        </is>
      </c>
      <c r="G498" t="n">
        <v>12.6</v>
      </c>
      <c r="H498" t="n">
        <v>0</v>
      </c>
      <c r="I498" t="n">
        <v>0</v>
      </c>
      <c r="J498" t="n">
        <v>0</v>
      </c>
      <c r="K498" t="n">
        <v>0</v>
      </c>
      <c r="L498" t="n">
        <v>0</v>
      </c>
      <c r="M498" t="n">
        <v>0</v>
      </c>
      <c r="N498" t="n">
        <v>0</v>
      </c>
      <c r="O498" t="n">
        <v>0</v>
      </c>
      <c r="P498" t="n">
        <v>0</v>
      </c>
      <c r="Q498" t="n">
        <v>0</v>
      </c>
      <c r="R498" s="2" t="inlineStr"/>
    </row>
    <row r="499" ht="15" customHeight="1">
      <c r="A499" t="inlineStr">
        <is>
          <t>A 26139-2026</t>
        </is>
      </c>
      <c r="B499" s="1" t="n">
        <v>46181</v>
      </c>
      <c r="C499" s="1" t="n">
        <v>46201</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8884-2022</t>
        </is>
      </c>
      <c r="B500" s="1" t="n">
        <v>44614</v>
      </c>
      <c r="C500" s="1" t="n">
        <v>46201</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26140-2026</t>
        </is>
      </c>
      <c r="B501" s="1" t="n">
        <v>46181</v>
      </c>
      <c r="C501" s="1" t="n">
        <v>46201</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41669-2025</t>
        </is>
      </c>
      <c r="B502" s="1" t="n">
        <v>45902</v>
      </c>
      <c r="C502" s="1" t="n">
        <v>46201</v>
      </c>
      <c r="D502" t="inlineStr">
        <is>
          <t>ÖREBRO LÄN</t>
        </is>
      </c>
      <c r="E502" t="inlineStr">
        <is>
          <t>ÖREBRO</t>
        </is>
      </c>
      <c r="G502" t="n">
        <v>2.8</v>
      </c>
      <c r="H502" t="n">
        <v>0</v>
      </c>
      <c r="I502" t="n">
        <v>0</v>
      </c>
      <c r="J502" t="n">
        <v>0</v>
      </c>
      <c r="K502" t="n">
        <v>0</v>
      </c>
      <c r="L502" t="n">
        <v>0</v>
      </c>
      <c r="M502" t="n">
        <v>0</v>
      </c>
      <c r="N502" t="n">
        <v>0</v>
      </c>
      <c r="O502" t="n">
        <v>0</v>
      </c>
      <c r="P502" t="n">
        <v>0</v>
      </c>
      <c r="Q502" t="n">
        <v>0</v>
      </c>
      <c r="R502" s="2" t="inlineStr"/>
    </row>
    <row r="503" ht="15" customHeight="1">
      <c r="A503" t="inlineStr">
        <is>
          <t>A 25649-2026</t>
        </is>
      </c>
      <c r="B503" s="1" t="n">
        <v>46177</v>
      </c>
      <c r="C503" s="1" t="n">
        <v>46201</v>
      </c>
      <c r="D503" t="inlineStr">
        <is>
          <t>ÖREBRO LÄN</t>
        </is>
      </c>
      <c r="E503" t="inlineStr">
        <is>
          <t>ÖREBRO</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7141-2025</t>
        </is>
      </c>
      <c r="B504" s="1" t="n">
        <v>45702</v>
      </c>
      <c r="C504" s="1" t="n">
        <v>46201</v>
      </c>
      <c r="D504" t="inlineStr">
        <is>
          <t>ÖREBRO LÄN</t>
        </is>
      </c>
      <c r="E504" t="inlineStr">
        <is>
          <t>ÖREBRO</t>
        </is>
      </c>
      <c r="G504" t="n">
        <v>2.9</v>
      </c>
      <c r="H504" t="n">
        <v>0</v>
      </c>
      <c r="I504" t="n">
        <v>0</v>
      </c>
      <c r="J504" t="n">
        <v>0</v>
      </c>
      <c r="K504" t="n">
        <v>0</v>
      </c>
      <c r="L504" t="n">
        <v>0</v>
      </c>
      <c r="M504" t="n">
        <v>0</v>
      </c>
      <c r="N504" t="n">
        <v>0</v>
      </c>
      <c r="O504" t="n">
        <v>0</v>
      </c>
      <c r="P504" t="n">
        <v>0</v>
      </c>
      <c r="Q504" t="n">
        <v>0</v>
      </c>
      <c r="R504" s="2" t="inlineStr"/>
    </row>
    <row r="505" ht="15" customHeight="1">
      <c r="A505" t="inlineStr">
        <is>
          <t>A 26149-2026</t>
        </is>
      </c>
      <c r="B505" s="1" t="n">
        <v>46181</v>
      </c>
      <c r="C505" s="1" t="n">
        <v>46201</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14963-2025</t>
        </is>
      </c>
      <c r="B506" s="1" t="n">
        <v>45743</v>
      </c>
      <c r="C506" s="1" t="n">
        <v>46201</v>
      </c>
      <c r="D506" t="inlineStr">
        <is>
          <t>ÖREBRO LÄN</t>
        </is>
      </c>
      <c r="E506" t="inlineStr">
        <is>
          <t>ÖREBRO</t>
        </is>
      </c>
      <c r="G506" t="n">
        <v>9.1</v>
      </c>
      <c r="H506" t="n">
        <v>0</v>
      </c>
      <c r="I506" t="n">
        <v>0</v>
      </c>
      <c r="J506" t="n">
        <v>0</v>
      </c>
      <c r="K506" t="n">
        <v>0</v>
      </c>
      <c r="L506" t="n">
        <v>0</v>
      </c>
      <c r="M506" t="n">
        <v>0</v>
      </c>
      <c r="N506" t="n">
        <v>0</v>
      </c>
      <c r="O506" t="n">
        <v>0</v>
      </c>
      <c r="P506" t="n">
        <v>0</v>
      </c>
      <c r="Q506" t="n">
        <v>0</v>
      </c>
      <c r="R506" s="2" t="inlineStr"/>
    </row>
    <row r="507" ht="15" customHeight="1">
      <c r="A507" t="inlineStr">
        <is>
          <t>A 49465-2024</t>
        </is>
      </c>
      <c r="B507" s="1" t="n">
        <v>45596</v>
      </c>
      <c r="C507" s="1" t="n">
        <v>46201</v>
      </c>
      <c r="D507" t="inlineStr">
        <is>
          <t>ÖREBRO LÄN</t>
        </is>
      </c>
      <c r="E507" t="inlineStr">
        <is>
          <t>ÖREBRO</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20518-2026</t>
        </is>
      </c>
      <c r="B508" s="1" t="n">
        <v>46140</v>
      </c>
      <c r="C508" s="1" t="n">
        <v>46201</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39003-2025</t>
        </is>
      </c>
      <c r="B509" s="1" t="n">
        <v>45888</v>
      </c>
      <c r="C509" s="1" t="n">
        <v>46201</v>
      </c>
      <c r="D509" t="inlineStr">
        <is>
          <t>ÖREBRO LÄN</t>
        </is>
      </c>
      <c r="E509" t="inlineStr">
        <is>
          <t>ÖREBRO</t>
        </is>
      </c>
      <c r="G509" t="n">
        <v>3.7</v>
      </c>
      <c r="H509" t="n">
        <v>0</v>
      </c>
      <c r="I509" t="n">
        <v>0</v>
      </c>
      <c r="J509" t="n">
        <v>0</v>
      </c>
      <c r="K509" t="n">
        <v>0</v>
      </c>
      <c r="L509" t="n">
        <v>0</v>
      </c>
      <c r="M509" t="n">
        <v>0</v>
      </c>
      <c r="N509" t="n">
        <v>0</v>
      </c>
      <c r="O509" t="n">
        <v>0</v>
      </c>
      <c r="P509" t="n">
        <v>0</v>
      </c>
      <c r="Q509" t="n">
        <v>0</v>
      </c>
      <c r="R509" s="2" t="inlineStr"/>
    </row>
    <row r="510" ht="15" customHeight="1">
      <c r="A510" t="inlineStr">
        <is>
          <t>A 21338-2025</t>
        </is>
      </c>
      <c r="B510" s="1" t="n">
        <v>45780</v>
      </c>
      <c r="C510" s="1" t="n">
        <v>46201</v>
      </c>
      <c r="D510" t="inlineStr">
        <is>
          <t>ÖREBRO LÄN</t>
        </is>
      </c>
      <c r="E510" t="inlineStr">
        <is>
          <t>ÖREBRO</t>
        </is>
      </c>
      <c r="G510" t="n">
        <v>3.2</v>
      </c>
      <c r="H510" t="n">
        <v>0</v>
      </c>
      <c r="I510" t="n">
        <v>0</v>
      </c>
      <c r="J510" t="n">
        <v>0</v>
      </c>
      <c r="K510" t="n">
        <v>0</v>
      </c>
      <c r="L510" t="n">
        <v>0</v>
      </c>
      <c r="M510" t="n">
        <v>0</v>
      </c>
      <c r="N510" t="n">
        <v>0</v>
      </c>
      <c r="O510" t="n">
        <v>0</v>
      </c>
      <c r="P510" t="n">
        <v>0</v>
      </c>
      <c r="Q510" t="n">
        <v>0</v>
      </c>
      <c r="R510" s="2" t="inlineStr"/>
    </row>
    <row r="511" ht="15" customHeight="1">
      <c r="A511" t="inlineStr">
        <is>
          <t>A 26404-2026</t>
        </is>
      </c>
      <c r="B511" s="1" t="n">
        <v>46183</v>
      </c>
      <c r="C511" s="1" t="n">
        <v>46201</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20520-2026</t>
        </is>
      </c>
      <c r="B512" s="1" t="n">
        <v>46140</v>
      </c>
      <c r="C512" s="1" t="n">
        <v>46201</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31066-2025</t>
        </is>
      </c>
      <c r="B513" s="1" t="n">
        <v>45832</v>
      </c>
      <c r="C513" s="1" t="n">
        <v>46201</v>
      </c>
      <c r="D513" t="inlineStr">
        <is>
          <t>ÖREBRO LÄN</t>
        </is>
      </c>
      <c r="E513" t="inlineStr">
        <is>
          <t>ÖREBRO</t>
        </is>
      </c>
      <c r="G513" t="n">
        <v>11.1</v>
      </c>
      <c r="H513" t="n">
        <v>0</v>
      </c>
      <c r="I513" t="n">
        <v>0</v>
      </c>
      <c r="J513" t="n">
        <v>0</v>
      </c>
      <c r="K513" t="n">
        <v>0</v>
      </c>
      <c r="L513" t="n">
        <v>0</v>
      </c>
      <c r="M513" t="n">
        <v>0</v>
      </c>
      <c r="N513" t="n">
        <v>0</v>
      </c>
      <c r="O513" t="n">
        <v>0</v>
      </c>
      <c r="P513" t="n">
        <v>0</v>
      </c>
      <c r="Q513" t="n">
        <v>0</v>
      </c>
      <c r="R513" s="2" t="inlineStr"/>
    </row>
    <row r="514" ht="15" customHeight="1">
      <c r="A514" t="inlineStr">
        <is>
          <t>A 26402-2026</t>
        </is>
      </c>
      <c r="B514" s="1" t="n">
        <v>46183</v>
      </c>
      <c r="C514" s="1" t="n">
        <v>46201</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20996-2026</t>
        </is>
      </c>
      <c r="B515" s="1" t="n">
        <v>46142</v>
      </c>
      <c r="C515" s="1" t="n">
        <v>46201</v>
      </c>
      <c r="D515" t="inlineStr">
        <is>
          <t>ÖREBRO LÄN</t>
        </is>
      </c>
      <c r="E515" t="inlineStr">
        <is>
          <t>ÖREBRO</t>
        </is>
      </c>
      <c r="G515" t="n">
        <v>3.4</v>
      </c>
      <c r="H515" t="n">
        <v>0</v>
      </c>
      <c r="I515" t="n">
        <v>0</v>
      </c>
      <c r="J515" t="n">
        <v>0</v>
      </c>
      <c r="K515" t="n">
        <v>0</v>
      </c>
      <c r="L515" t="n">
        <v>0</v>
      </c>
      <c r="M515" t="n">
        <v>0</v>
      </c>
      <c r="N515" t="n">
        <v>0</v>
      </c>
      <c r="O515" t="n">
        <v>0</v>
      </c>
      <c r="P515" t="n">
        <v>0</v>
      </c>
      <c r="Q515" t="n">
        <v>0</v>
      </c>
      <c r="R515" s="2" t="inlineStr"/>
    </row>
    <row r="516" ht="15" customHeight="1">
      <c r="A516" t="inlineStr">
        <is>
          <t>A 21261-2026</t>
        </is>
      </c>
      <c r="B516" s="1" t="n">
        <v>46147</v>
      </c>
      <c r="C516" s="1" t="n">
        <v>46201</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27127-2026</t>
        </is>
      </c>
      <c r="B517" s="1" t="n">
        <v>46188</v>
      </c>
      <c r="C517" s="1" t="n">
        <v>46201</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21722-2026</t>
        </is>
      </c>
      <c r="B518" s="1" t="n">
        <v>46147</v>
      </c>
      <c r="C518" s="1" t="n">
        <v>46201</v>
      </c>
      <c r="D518" t="inlineStr">
        <is>
          <t>ÖREBRO LÄN</t>
        </is>
      </c>
      <c r="E518" t="inlineStr">
        <is>
          <t>ÖREBRO</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22199-2026</t>
        </is>
      </c>
      <c r="B519" s="1" t="n">
        <v>46153</v>
      </c>
      <c r="C519" s="1" t="n">
        <v>46201</v>
      </c>
      <c r="D519" t="inlineStr">
        <is>
          <t>ÖREBRO LÄN</t>
        </is>
      </c>
      <c r="E519" t="inlineStr">
        <is>
          <t>ÖREBRO</t>
        </is>
      </c>
      <c r="G519" t="n">
        <v>4.9</v>
      </c>
      <c r="H519" t="n">
        <v>0</v>
      </c>
      <c r="I519" t="n">
        <v>0</v>
      </c>
      <c r="J519" t="n">
        <v>0</v>
      </c>
      <c r="K519" t="n">
        <v>0</v>
      </c>
      <c r="L519" t="n">
        <v>0</v>
      </c>
      <c r="M519" t="n">
        <v>0</v>
      </c>
      <c r="N519" t="n">
        <v>0</v>
      </c>
      <c r="O519" t="n">
        <v>0</v>
      </c>
      <c r="P519" t="n">
        <v>0</v>
      </c>
      <c r="Q519" t="n">
        <v>0</v>
      </c>
      <c r="R519" s="2" t="inlineStr"/>
    </row>
    <row r="520" ht="15" customHeight="1">
      <c r="A520" t="inlineStr">
        <is>
          <t>A 21899-2026</t>
        </is>
      </c>
      <c r="B520" s="1" t="n">
        <v>46150</v>
      </c>
      <c r="C520" s="1" t="n">
        <v>46201</v>
      </c>
      <c r="D520" t="inlineStr">
        <is>
          <t>ÖREBRO LÄN</t>
        </is>
      </c>
      <c r="E520" t="inlineStr">
        <is>
          <t>ÖREBRO</t>
        </is>
      </c>
      <c r="G520" t="n">
        <v>3.3</v>
      </c>
      <c r="H520" t="n">
        <v>0</v>
      </c>
      <c r="I520" t="n">
        <v>0</v>
      </c>
      <c r="J520" t="n">
        <v>0</v>
      </c>
      <c r="K520" t="n">
        <v>0</v>
      </c>
      <c r="L520" t="n">
        <v>0</v>
      </c>
      <c r="M520" t="n">
        <v>0</v>
      </c>
      <c r="N520" t="n">
        <v>0</v>
      </c>
      <c r="O520" t="n">
        <v>0</v>
      </c>
      <c r="P520" t="n">
        <v>0</v>
      </c>
      <c r="Q520" t="n">
        <v>0</v>
      </c>
      <c r="R520" s="2" t="inlineStr"/>
    </row>
    <row r="521" ht="15" customHeight="1">
      <c r="A521" t="inlineStr">
        <is>
          <t>A 16737-2023</t>
        </is>
      </c>
      <c r="B521" s="1" t="n">
        <v>45030</v>
      </c>
      <c r="C521" s="1" t="n">
        <v>46201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61078-2024</t>
        </is>
      </c>
      <c r="B522" s="1" t="n">
        <v>45645</v>
      </c>
      <c r="C522" s="1" t="n">
        <v>46201</v>
      </c>
      <c r="D522" t="inlineStr">
        <is>
          <t>ÖREBRO LÄN</t>
        </is>
      </c>
      <c r="E522" t="inlineStr">
        <is>
          <t>ÖREBRO</t>
        </is>
      </c>
      <c r="G522" t="n">
        <v>4.1</v>
      </c>
      <c r="H522" t="n">
        <v>0</v>
      </c>
      <c r="I522" t="n">
        <v>0</v>
      </c>
      <c r="J522" t="n">
        <v>0</v>
      </c>
      <c r="K522" t="n">
        <v>0</v>
      </c>
      <c r="L522" t="n">
        <v>0</v>
      </c>
      <c r="M522" t="n">
        <v>0</v>
      </c>
      <c r="N522" t="n">
        <v>0</v>
      </c>
      <c r="O522" t="n">
        <v>0</v>
      </c>
      <c r="P522" t="n">
        <v>0</v>
      </c>
      <c r="Q522" t="n">
        <v>0</v>
      </c>
      <c r="R522" s="2" t="inlineStr"/>
    </row>
    <row r="523" ht="15" customHeight="1">
      <c r="A523" t="inlineStr">
        <is>
          <t>A 28120-2025</t>
        </is>
      </c>
      <c r="B523" s="1" t="n">
        <v>45818</v>
      </c>
      <c r="C523" s="1" t="n">
        <v>46201</v>
      </c>
      <c r="D523" t="inlineStr">
        <is>
          <t>ÖREBRO LÄN</t>
        </is>
      </c>
      <c r="E523" t="inlineStr">
        <is>
          <t>ÖREBRO</t>
        </is>
      </c>
      <c r="G523" t="n">
        <v>1.5</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46201</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59938-2025</t>
        </is>
      </c>
      <c r="B525" s="1" t="n">
        <v>45993</v>
      </c>
      <c r="C525" s="1" t="n">
        <v>46201</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13169-2024</t>
        </is>
      </c>
      <c r="B526" s="1" t="n">
        <v>45386</v>
      </c>
      <c r="C526" s="1" t="n">
        <v>46201</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10816-2026</t>
        </is>
      </c>
      <c r="B527" s="1" t="n">
        <v>46078</v>
      </c>
      <c r="C527" s="1" t="n">
        <v>46201</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59937-2025</t>
        </is>
      </c>
      <c r="B528" s="1" t="n">
        <v>45993</v>
      </c>
      <c r="C528" s="1" t="n">
        <v>46201</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c r="A529" t="inlineStr">
        <is>
          <t>A 10502-2026</t>
        </is>
      </c>
      <c r="B529" s="1" t="n">
        <v>46077</v>
      </c>
      <c r="C529" s="1" t="n">
        <v>46201</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2026-06-28T00:53:45Z</dcterms:created>
  <dcterms:modified xmlns:dcterms="http://purl.org/dc/terms/" xmlns:xsi="http://www.w3.org/2001/XMLSchema-instance" xsi:type="dcterms:W3CDTF">2026-06-28T00:53:45Z</dcterms:modified>
</cp:coreProperties>
</file>