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45981</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45981</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45981</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45981</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45981</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45981</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57553-2023</t>
        </is>
      </c>
      <c r="B12" s="1" t="n">
        <v>45246</v>
      </c>
      <c r="C12" s="1" t="n">
        <v>45981</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5354-2024</t>
        </is>
      </c>
      <c r="B13" s="1" t="n">
        <v>45331</v>
      </c>
      <c r="C13" s="1" t="n">
        <v>45981</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8564-2021</t>
        </is>
      </c>
      <c r="B14" s="1" t="n">
        <v>44245</v>
      </c>
      <c r="C14" s="1" t="n">
        <v>45981</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12974-2022</t>
        </is>
      </c>
      <c r="B15" s="1" t="n">
        <v>44643.38490740741</v>
      </c>
      <c r="C15" s="1" t="n">
        <v>45981</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51530-2024</t>
        </is>
      </c>
      <c r="B16" s="1" t="n">
        <v>45604</v>
      </c>
      <c r="C16" s="1" t="n">
        <v>45981</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29487-2022</t>
        </is>
      </c>
      <c r="B17" s="1" t="n">
        <v>44753</v>
      </c>
      <c r="C17" s="1" t="n">
        <v>45981</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45981</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575-2024</t>
        </is>
      </c>
      <c r="B19" s="1" t="n">
        <v>45299</v>
      </c>
      <c r="C19" s="1" t="n">
        <v>45981</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13627-2025</t>
        </is>
      </c>
      <c r="B20" s="1" t="n">
        <v>45736</v>
      </c>
      <c r="C20" s="1" t="n">
        <v>45981</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50096-2023</t>
        </is>
      </c>
      <c r="B21" s="1" t="n">
        <v>45215</v>
      </c>
      <c r="C21" s="1" t="n">
        <v>45981</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17074-2024</t>
        </is>
      </c>
      <c r="B22" s="1" t="n">
        <v>45412</v>
      </c>
      <c r="C22" s="1" t="n">
        <v>45981</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45981</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45981</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45981</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45981</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45981</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8267-2021</t>
        </is>
      </c>
      <c r="B28" s="1" t="n">
        <v>44244</v>
      </c>
      <c r="C28" s="1" t="n">
        <v>45981</v>
      </c>
      <c r="D28" t="inlineStr">
        <is>
          <t>ÖREBRO LÄN</t>
        </is>
      </c>
      <c r="E28" t="inlineStr">
        <is>
          <t>ÖREBRO</t>
        </is>
      </c>
      <c r="G28" t="n">
        <v>2.5</v>
      </c>
      <c r="H28" t="n">
        <v>1</v>
      </c>
      <c r="I28" t="n">
        <v>1</v>
      </c>
      <c r="J28" t="n">
        <v>0</v>
      </c>
      <c r="K28" t="n">
        <v>0</v>
      </c>
      <c r="L28" t="n">
        <v>0</v>
      </c>
      <c r="M28" t="n">
        <v>0</v>
      </c>
      <c r="N28" t="n">
        <v>0</v>
      </c>
      <c r="O28" t="n">
        <v>0</v>
      </c>
      <c r="P28" t="n">
        <v>0</v>
      </c>
      <c r="Q28" t="n">
        <v>2</v>
      </c>
      <c r="R28" s="2" t="inlineStr">
        <is>
          <t>Svart trolldruva
Blåsippa</t>
        </is>
      </c>
      <c r="S28">
        <f>HYPERLINK("https://klasma.github.io/Logging_1880/artfynd/A 8267-2021 artfynd.xlsx", "A 8267-2021")</f>
        <v/>
      </c>
      <c r="T28">
        <f>HYPERLINK("https://klasma.github.io/Logging_1880/kartor/A 8267-2021 karta.png", "A 8267-2021")</f>
        <v/>
      </c>
      <c r="V28">
        <f>HYPERLINK("https://klasma.github.io/Logging_1880/klagomål/A 8267-2021 FSC-klagomål.docx", "A 8267-2021")</f>
        <v/>
      </c>
      <c r="W28">
        <f>HYPERLINK("https://klasma.github.io/Logging_1880/klagomålsmail/A 8267-2021 FSC-klagomål mail.docx", "A 8267-2021")</f>
        <v/>
      </c>
      <c r="X28">
        <f>HYPERLINK("https://klasma.github.io/Logging_1880/tillsyn/A 8267-2021 tillsynsbegäran.docx", "A 8267-2021")</f>
        <v/>
      </c>
      <c r="Y28">
        <f>HYPERLINK("https://klasma.github.io/Logging_1880/tillsynsmail/A 8267-2021 tillsynsbegäran mail.docx", "A 8267-2021")</f>
        <v/>
      </c>
    </row>
    <row r="29" ht="15" customHeight="1">
      <c r="A29" t="inlineStr">
        <is>
          <t>A 51550-2025</t>
        </is>
      </c>
      <c r="B29" s="1" t="n">
        <v>45950.83359953704</v>
      </c>
      <c r="C29" s="1" t="n">
        <v>45981</v>
      </c>
      <c r="D29" t="inlineStr">
        <is>
          <t>ÖREBRO LÄN</t>
        </is>
      </c>
      <c r="E29" t="inlineStr">
        <is>
          <t>ÖREBRO</t>
        </is>
      </c>
      <c r="F29" t="inlineStr">
        <is>
          <t>Övriga Aktiebolag</t>
        </is>
      </c>
      <c r="G29" t="n">
        <v>5.5</v>
      </c>
      <c r="H29" t="n">
        <v>0</v>
      </c>
      <c r="I29" t="n">
        <v>1</v>
      </c>
      <c r="J29" t="n">
        <v>1</v>
      </c>
      <c r="K29" t="n">
        <v>0</v>
      </c>
      <c r="L29" t="n">
        <v>0</v>
      </c>
      <c r="M29" t="n">
        <v>0</v>
      </c>
      <c r="N29" t="n">
        <v>0</v>
      </c>
      <c r="O29" t="n">
        <v>1</v>
      </c>
      <c r="P29" t="n">
        <v>0</v>
      </c>
      <c r="Q29" t="n">
        <v>2</v>
      </c>
      <c r="R29" s="2" t="inlineStr">
        <is>
          <t>Bryngökbi
Tibast</t>
        </is>
      </c>
      <c r="S29">
        <f>HYPERLINK("https://klasma.github.io/Logging_1880/artfynd/A 51550-2025 artfynd.xlsx", "A 51550-2025")</f>
        <v/>
      </c>
      <c r="T29">
        <f>HYPERLINK("https://klasma.github.io/Logging_1880/kartor/A 51550-2025 karta.png", "A 51550-2025")</f>
        <v/>
      </c>
      <c r="V29">
        <f>HYPERLINK("https://klasma.github.io/Logging_1880/klagomål/A 51550-2025 FSC-klagomål.docx", "A 51550-2025")</f>
        <v/>
      </c>
      <c r="W29">
        <f>HYPERLINK("https://klasma.github.io/Logging_1880/klagomålsmail/A 51550-2025 FSC-klagomål mail.docx", "A 51550-2025")</f>
        <v/>
      </c>
      <c r="X29">
        <f>HYPERLINK("https://klasma.github.io/Logging_1880/tillsyn/A 51550-2025 tillsynsbegäran.docx", "A 51550-2025")</f>
        <v/>
      </c>
      <c r="Y29">
        <f>HYPERLINK("https://klasma.github.io/Logging_1880/tillsynsmail/A 51550-2025 tillsynsbegäran mail.docx", "A 51550-2025")</f>
        <v/>
      </c>
    </row>
    <row r="30" ht="15" customHeight="1">
      <c r="A30" t="inlineStr">
        <is>
          <t>A 13395-2024</t>
        </is>
      </c>
      <c r="B30" s="1" t="n">
        <v>45387.42296296296</v>
      </c>
      <c r="C30" s="1" t="n">
        <v>45981</v>
      </c>
      <c r="D30" t="inlineStr">
        <is>
          <t>ÖREBRO LÄN</t>
        </is>
      </c>
      <c r="E30" t="inlineStr">
        <is>
          <t>ÖREBRO</t>
        </is>
      </c>
      <c r="G30" t="n">
        <v>1.9</v>
      </c>
      <c r="H30" t="n">
        <v>2</v>
      </c>
      <c r="I30" t="n">
        <v>0</v>
      </c>
      <c r="J30" t="n">
        <v>0</v>
      </c>
      <c r="K30" t="n">
        <v>0</v>
      </c>
      <c r="L30" t="n">
        <v>0</v>
      </c>
      <c r="M30" t="n">
        <v>0</v>
      </c>
      <c r="N30" t="n">
        <v>0</v>
      </c>
      <c r="O30" t="n">
        <v>0</v>
      </c>
      <c r="P30" t="n">
        <v>0</v>
      </c>
      <c r="Q30" t="n">
        <v>2</v>
      </c>
      <c r="R30" s="2" t="inlineStr">
        <is>
          <t>Järnsparv
Kungsfågel</t>
        </is>
      </c>
      <c r="S30">
        <f>HYPERLINK("https://klasma.github.io/Logging_1880/artfynd/A 13395-2024 artfynd.xlsx", "A 13395-2024")</f>
        <v/>
      </c>
      <c r="T30">
        <f>HYPERLINK("https://klasma.github.io/Logging_1880/kartor/A 13395-2024 karta.png", "A 13395-2024")</f>
        <v/>
      </c>
      <c r="V30">
        <f>HYPERLINK("https://klasma.github.io/Logging_1880/klagomål/A 13395-2024 FSC-klagomål.docx", "A 13395-2024")</f>
        <v/>
      </c>
      <c r="W30">
        <f>HYPERLINK("https://klasma.github.io/Logging_1880/klagomålsmail/A 13395-2024 FSC-klagomål mail.docx", "A 13395-2024")</f>
        <v/>
      </c>
      <c r="X30">
        <f>HYPERLINK("https://klasma.github.io/Logging_1880/tillsyn/A 13395-2024 tillsynsbegäran.docx", "A 13395-2024")</f>
        <v/>
      </c>
      <c r="Y30">
        <f>HYPERLINK("https://klasma.github.io/Logging_1880/tillsynsmail/A 13395-2024 tillsynsbegäran mail.docx", "A 13395-2024")</f>
        <v/>
      </c>
      <c r="Z30">
        <f>HYPERLINK("https://klasma.github.io/Logging_1880/fåglar/A 13395-2024 prioriterade fågelarter.docx", "A 13395-2024")</f>
        <v/>
      </c>
    </row>
    <row r="31" ht="15" customHeight="1">
      <c r="A31" t="inlineStr">
        <is>
          <t>A 14956-2025</t>
        </is>
      </c>
      <c r="B31" s="1" t="n">
        <v>45743.58409722222</v>
      </c>
      <c r="C31" s="1" t="n">
        <v>45981</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13458-2024</t>
        </is>
      </c>
      <c r="B32" s="1" t="n">
        <v>45387.54642361111</v>
      </c>
      <c r="C32" s="1" t="n">
        <v>45981</v>
      </c>
      <c r="D32" t="inlineStr">
        <is>
          <t>ÖREBRO LÄN</t>
        </is>
      </c>
      <c r="E32" t="inlineStr">
        <is>
          <t>ÖREBRO</t>
        </is>
      </c>
      <c r="G32" t="n">
        <v>1.8</v>
      </c>
      <c r="H32" t="n">
        <v>2</v>
      </c>
      <c r="I32" t="n">
        <v>0</v>
      </c>
      <c r="J32" t="n">
        <v>1</v>
      </c>
      <c r="K32" t="n">
        <v>0</v>
      </c>
      <c r="L32" t="n">
        <v>0</v>
      </c>
      <c r="M32" t="n">
        <v>0</v>
      </c>
      <c r="N32" t="n">
        <v>0</v>
      </c>
      <c r="O32" t="n">
        <v>1</v>
      </c>
      <c r="P32" t="n">
        <v>0</v>
      </c>
      <c r="Q32" t="n">
        <v>2</v>
      </c>
      <c r="R32" s="2" t="inlineStr">
        <is>
          <t>Havsörn
Göktyta</t>
        </is>
      </c>
      <c r="S32">
        <f>HYPERLINK("https://klasma.github.io/Logging_1880/artfynd/A 13458-2024 artfynd.xlsx", "A 13458-2024")</f>
        <v/>
      </c>
      <c r="T32">
        <f>HYPERLINK("https://klasma.github.io/Logging_1880/kartor/A 13458-2024 karta.png", "A 13458-2024")</f>
        <v/>
      </c>
      <c r="V32">
        <f>HYPERLINK("https://klasma.github.io/Logging_1880/klagomål/A 13458-2024 FSC-klagomål.docx", "A 13458-2024")</f>
        <v/>
      </c>
      <c r="W32">
        <f>HYPERLINK("https://klasma.github.io/Logging_1880/klagomålsmail/A 13458-2024 FSC-klagomål mail.docx", "A 13458-2024")</f>
        <v/>
      </c>
      <c r="X32">
        <f>HYPERLINK("https://klasma.github.io/Logging_1880/tillsyn/A 13458-2024 tillsynsbegäran.docx", "A 13458-2024")</f>
        <v/>
      </c>
      <c r="Y32">
        <f>HYPERLINK("https://klasma.github.io/Logging_1880/tillsynsmail/A 13458-2024 tillsynsbegäran mail.docx", "A 13458-2024")</f>
        <v/>
      </c>
      <c r="Z32">
        <f>HYPERLINK("https://klasma.github.io/Logging_1880/fåglar/A 13458-2024 prioriterade fågelarter.docx", "A 13458-2024")</f>
        <v/>
      </c>
    </row>
    <row r="33" ht="15" customHeight="1">
      <c r="A33" t="inlineStr">
        <is>
          <t>A 30409-2025</t>
        </is>
      </c>
      <c r="B33" s="1" t="n">
        <v>45827.59738425926</v>
      </c>
      <c r="C33" s="1" t="n">
        <v>45981</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52400-2024</t>
        </is>
      </c>
      <c r="B34" s="1" t="n">
        <v>45609.44461805555</v>
      </c>
      <c r="C34" s="1" t="n">
        <v>45981</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7608-2024</t>
        </is>
      </c>
      <c r="B35" s="1" t="n">
        <v>45348</v>
      </c>
      <c r="C35" s="1" t="n">
        <v>45981</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37019-2024</t>
        </is>
      </c>
      <c r="B36" s="1" t="n">
        <v>45539.37905092593</v>
      </c>
      <c r="C36" s="1" t="n">
        <v>45981</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22577-2024</t>
        </is>
      </c>
      <c r="B37" s="1" t="n">
        <v>45447</v>
      </c>
      <c r="C37" s="1" t="n">
        <v>45981</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29704-2022</t>
        </is>
      </c>
      <c r="B38" s="1" t="n">
        <v>44755</v>
      </c>
      <c r="C38" s="1" t="n">
        <v>45981</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45981</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45981</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45981</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23998-2025</t>
        </is>
      </c>
      <c r="B42" s="1" t="n">
        <v>45796.42209490741</v>
      </c>
      <c r="C42" s="1" t="n">
        <v>45981</v>
      </c>
      <c r="D42" t="inlineStr">
        <is>
          <t>ÖREBRO LÄN</t>
        </is>
      </c>
      <c r="E42" t="inlineStr">
        <is>
          <t>ÖREBRO</t>
        </is>
      </c>
      <c r="G42" t="n">
        <v>4.7</v>
      </c>
      <c r="H42" t="n">
        <v>0</v>
      </c>
      <c r="I42" t="n">
        <v>1</v>
      </c>
      <c r="J42" t="n">
        <v>0</v>
      </c>
      <c r="K42" t="n">
        <v>0</v>
      </c>
      <c r="L42" t="n">
        <v>0</v>
      </c>
      <c r="M42" t="n">
        <v>0</v>
      </c>
      <c r="N42" t="n">
        <v>0</v>
      </c>
      <c r="O42" t="n">
        <v>0</v>
      </c>
      <c r="P42" t="n">
        <v>0</v>
      </c>
      <c r="Q42" t="n">
        <v>1</v>
      </c>
      <c r="R42" s="2" t="inlineStr">
        <is>
          <t>Kambräken</t>
        </is>
      </c>
      <c r="S42">
        <f>HYPERLINK("https://klasma.github.io/Logging_1880/artfynd/A 23998-2025 artfynd.xlsx", "A 23998-2025")</f>
        <v/>
      </c>
      <c r="T42">
        <f>HYPERLINK("https://klasma.github.io/Logging_1880/kartor/A 23998-2025 karta.png", "A 23998-2025")</f>
        <v/>
      </c>
      <c r="V42">
        <f>HYPERLINK("https://klasma.github.io/Logging_1880/klagomål/A 23998-2025 FSC-klagomål.docx", "A 23998-2025")</f>
        <v/>
      </c>
      <c r="W42">
        <f>HYPERLINK("https://klasma.github.io/Logging_1880/klagomålsmail/A 23998-2025 FSC-klagomål mail.docx", "A 23998-2025")</f>
        <v/>
      </c>
      <c r="X42">
        <f>HYPERLINK("https://klasma.github.io/Logging_1880/tillsyn/A 23998-2025 tillsynsbegäran.docx", "A 23998-2025")</f>
        <v/>
      </c>
      <c r="Y42">
        <f>HYPERLINK("https://klasma.github.io/Logging_1880/tillsynsmail/A 23998-2025 tillsynsbegäran mail.docx", "A 23998-2025")</f>
        <v/>
      </c>
    </row>
    <row r="43" ht="15" customHeight="1">
      <c r="A43" t="inlineStr">
        <is>
          <t>A 42636-2023</t>
        </is>
      </c>
      <c r="B43" s="1" t="n">
        <v>45181.49559027778</v>
      </c>
      <c r="C43" s="1" t="n">
        <v>45981</v>
      </c>
      <c r="D43" t="inlineStr">
        <is>
          <t>ÖREBRO LÄN</t>
        </is>
      </c>
      <c r="E43" t="inlineStr">
        <is>
          <t>ÖREBRO</t>
        </is>
      </c>
      <c r="G43" t="n">
        <v>1.7</v>
      </c>
      <c r="H43" t="n">
        <v>0</v>
      </c>
      <c r="I43" t="n">
        <v>0</v>
      </c>
      <c r="J43" t="n">
        <v>1</v>
      </c>
      <c r="K43" t="n">
        <v>0</v>
      </c>
      <c r="L43" t="n">
        <v>0</v>
      </c>
      <c r="M43" t="n">
        <v>0</v>
      </c>
      <c r="N43" t="n">
        <v>0</v>
      </c>
      <c r="O43" t="n">
        <v>1</v>
      </c>
      <c r="P43" t="n">
        <v>0</v>
      </c>
      <c r="Q43" t="n">
        <v>1</v>
      </c>
      <c r="R43" s="2" t="inlineStr">
        <is>
          <t>Igelkott</t>
        </is>
      </c>
      <c r="S43">
        <f>HYPERLINK("https://klasma.github.io/Logging_1880/artfynd/A 42636-2023 artfynd.xlsx", "A 42636-2023")</f>
        <v/>
      </c>
      <c r="T43">
        <f>HYPERLINK("https://klasma.github.io/Logging_1880/kartor/A 42636-2023 karta.png", "A 42636-2023")</f>
        <v/>
      </c>
      <c r="V43">
        <f>HYPERLINK("https://klasma.github.io/Logging_1880/klagomål/A 42636-2023 FSC-klagomål.docx", "A 42636-2023")</f>
        <v/>
      </c>
      <c r="W43">
        <f>HYPERLINK("https://klasma.github.io/Logging_1880/klagomålsmail/A 42636-2023 FSC-klagomål mail.docx", "A 42636-2023")</f>
        <v/>
      </c>
      <c r="X43">
        <f>HYPERLINK("https://klasma.github.io/Logging_1880/tillsyn/A 42636-2023 tillsynsbegäran.docx", "A 42636-2023")</f>
        <v/>
      </c>
      <c r="Y43">
        <f>HYPERLINK("https://klasma.github.io/Logging_1880/tillsynsmail/A 42636-2023 tillsynsbegäran mail.docx", "A 42636-2023")</f>
        <v/>
      </c>
    </row>
    <row r="44" ht="15" customHeight="1">
      <c r="A44" t="inlineStr">
        <is>
          <t>A 2077-2023</t>
        </is>
      </c>
      <c r="B44" s="1" t="n">
        <v>44939</v>
      </c>
      <c r="C44" s="1" t="n">
        <v>45981</v>
      </c>
      <c r="D44" t="inlineStr">
        <is>
          <t>ÖREBRO LÄN</t>
        </is>
      </c>
      <c r="E44" t="inlineStr">
        <is>
          <t>ÖREBRO</t>
        </is>
      </c>
      <c r="G44" t="n">
        <v>1.4</v>
      </c>
      <c r="H44" t="n">
        <v>1</v>
      </c>
      <c r="I44" t="n">
        <v>0</v>
      </c>
      <c r="J44" t="n">
        <v>1</v>
      </c>
      <c r="K44" t="n">
        <v>0</v>
      </c>
      <c r="L44" t="n">
        <v>0</v>
      </c>
      <c r="M44" t="n">
        <v>0</v>
      </c>
      <c r="N44" t="n">
        <v>0</v>
      </c>
      <c r="O44" t="n">
        <v>1</v>
      </c>
      <c r="P44" t="n">
        <v>0</v>
      </c>
      <c r="Q44" t="n">
        <v>1</v>
      </c>
      <c r="R44" s="2" t="inlineStr">
        <is>
          <t>Rödvingetrast</t>
        </is>
      </c>
      <c r="S44">
        <f>HYPERLINK("https://klasma.github.io/Logging_1880/artfynd/A 2077-2023 artfynd.xlsx", "A 2077-2023")</f>
        <v/>
      </c>
      <c r="T44">
        <f>HYPERLINK("https://klasma.github.io/Logging_1880/kartor/A 2077-2023 karta.png", "A 2077-2023")</f>
        <v/>
      </c>
      <c r="V44">
        <f>HYPERLINK("https://klasma.github.io/Logging_1880/klagomål/A 2077-2023 FSC-klagomål.docx", "A 2077-2023")</f>
        <v/>
      </c>
      <c r="W44">
        <f>HYPERLINK("https://klasma.github.io/Logging_1880/klagomålsmail/A 2077-2023 FSC-klagomål mail.docx", "A 2077-2023")</f>
        <v/>
      </c>
      <c r="X44">
        <f>HYPERLINK("https://klasma.github.io/Logging_1880/tillsyn/A 2077-2023 tillsynsbegäran.docx", "A 2077-2023")</f>
        <v/>
      </c>
      <c r="Y44">
        <f>HYPERLINK("https://klasma.github.io/Logging_1880/tillsynsmail/A 2077-2023 tillsynsbegäran mail.docx", "A 2077-2023")</f>
        <v/>
      </c>
      <c r="Z44">
        <f>HYPERLINK("https://klasma.github.io/Logging_1880/fåglar/A 2077-2023 prioriterade fågelarter.docx", "A 2077-2023")</f>
        <v/>
      </c>
    </row>
    <row r="45" ht="15" customHeight="1">
      <c r="A45" t="inlineStr">
        <is>
          <t>A 55904-2024</t>
        </is>
      </c>
      <c r="B45" s="1" t="n">
        <v>45623.58190972222</v>
      </c>
      <c r="C45" s="1" t="n">
        <v>45981</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4014-2021</t>
        </is>
      </c>
      <c r="B46" s="1" t="n">
        <v>44218</v>
      </c>
      <c r="C46" s="1" t="n">
        <v>45981</v>
      </c>
      <c r="D46" t="inlineStr">
        <is>
          <t>ÖREBRO LÄN</t>
        </is>
      </c>
      <c r="E46" t="inlineStr">
        <is>
          <t>ÖREBRO</t>
        </is>
      </c>
      <c r="G46" t="n">
        <v>10.5</v>
      </c>
      <c r="H46" t="n">
        <v>0</v>
      </c>
      <c r="I46" t="n">
        <v>1</v>
      </c>
      <c r="J46" t="n">
        <v>0</v>
      </c>
      <c r="K46" t="n">
        <v>0</v>
      </c>
      <c r="L46" t="n">
        <v>0</v>
      </c>
      <c r="M46" t="n">
        <v>0</v>
      </c>
      <c r="N46" t="n">
        <v>0</v>
      </c>
      <c r="O46" t="n">
        <v>0</v>
      </c>
      <c r="P46" t="n">
        <v>0</v>
      </c>
      <c r="Q46" t="n">
        <v>1</v>
      </c>
      <c r="R46" s="2" t="inlineStr">
        <is>
          <t>Springkorn</t>
        </is>
      </c>
      <c r="S46">
        <f>HYPERLINK("https://klasma.github.io/Logging_1880/artfynd/A 4014-2021 artfynd.xlsx", "A 4014-2021")</f>
        <v/>
      </c>
      <c r="T46">
        <f>HYPERLINK("https://klasma.github.io/Logging_1880/kartor/A 4014-2021 karta.png", "A 4014-2021")</f>
        <v/>
      </c>
      <c r="V46">
        <f>HYPERLINK("https://klasma.github.io/Logging_1880/klagomål/A 4014-2021 FSC-klagomål.docx", "A 4014-2021")</f>
        <v/>
      </c>
      <c r="W46">
        <f>HYPERLINK("https://klasma.github.io/Logging_1880/klagomålsmail/A 4014-2021 FSC-klagomål mail.docx", "A 4014-2021")</f>
        <v/>
      </c>
      <c r="X46">
        <f>HYPERLINK("https://klasma.github.io/Logging_1880/tillsyn/A 4014-2021 tillsynsbegäran.docx", "A 4014-2021")</f>
        <v/>
      </c>
      <c r="Y46">
        <f>HYPERLINK("https://klasma.github.io/Logging_1880/tillsynsmail/A 4014-2021 tillsynsbegäran mail.docx", "A 4014-2021")</f>
        <v/>
      </c>
    </row>
    <row r="47" ht="15" customHeight="1">
      <c r="A47" t="inlineStr">
        <is>
          <t>A 44744-2024</t>
        </is>
      </c>
      <c r="B47" s="1" t="n">
        <v>45574.59789351852</v>
      </c>
      <c r="C47" s="1" t="n">
        <v>45981</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50499-2025</t>
        </is>
      </c>
      <c r="B48" s="1" t="n">
        <v>45945.41712962963</v>
      </c>
      <c r="C48" s="1" t="n">
        <v>45981</v>
      </c>
      <c r="D48" t="inlineStr">
        <is>
          <t>ÖREBRO LÄN</t>
        </is>
      </c>
      <c r="E48" t="inlineStr">
        <is>
          <t>ÖREBRO</t>
        </is>
      </c>
      <c r="G48" t="n">
        <v>6.7</v>
      </c>
      <c r="H48" t="n">
        <v>0</v>
      </c>
      <c r="I48" t="n">
        <v>0</v>
      </c>
      <c r="J48" t="n">
        <v>1</v>
      </c>
      <c r="K48" t="n">
        <v>0</v>
      </c>
      <c r="L48" t="n">
        <v>0</v>
      </c>
      <c r="M48" t="n">
        <v>0</v>
      </c>
      <c r="N48" t="n">
        <v>0</v>
      </c>
      <c r="O48" t="n">
        <v>1</v>
      </c>
      <c r="P48" t="n">
        <v>0</v>
      </c>
      <c r="Q48" t="n">
        <v>1</v>
      </c>
      <c r="R48" s="2" t="inlineStr">
        <is>
          <t>Gullklöver</t>
        </is>
      </c>
      <c r="S48">
        <f>HYPERLINK("https://klasma.github.io/Logging_1880/artfynd/A 50499-2025 artfynd.xlsx", "A 50499-2025")</f>
        <v/>
      </c>
      <c r="T48">
        <f>HYPERLINK("https://klasma.github.io/Logging_1880/kartor/A 50499-2025 karta.png", "A 50499-2025")</f>
        <v/>
      </c>
      <c r="V48">
        <f>HYPERLINK("https://klasma.github.io/Logging_1880/klagomål/A 50499-2025 FSC-klagomål.docx", "A 50499-2025")</f>
        <v/>
      </c>
      <c r="W48">
        <f>HYPERLINK("https://klasma.github.io/Logging_1880/klagomålsmail/A 50499-2025 FSC-klagomål mail.docx", "A 50499-2025")</f>
        <v/>
      </c>
      <c r="X48">
        <f>HYPERLINK("https://klasma.github.io/Logging_1880/tillsyn/A 50499-2025 tillsynsbegäran.docx", "A 50499-2025")</f>
        <v/>
      </c>
      <c r="Y48">
        <f>HYPERLINK("https://klasma.github.io/Logging_1880/tillsynsmail/A 50499-2025 tillsynsbegäran mail.docx", "A 50499-2025")</f>
        <v/>
      </c>
    </row>
    <row r="49" ht="15" customHeight="1">
      <c r="A49" t="inlineStr">
        <is>
          <t>A 15621-2021</t>
        </is>
      </c>
      <c r="B49" s="1" t="n">
        <v>44285</v>
      </c>
      <c r="C49" s="1" t="n">
        <v>45981</v>
      </c>
      <c r="D49" t="inlineStr">
        <is>
          <t>ÖREBRO LÄN</t>
        </is>
      </c>
      <c r="E49" t="inlineStr">
        <is>
          <t>ÖREBRO</t>
        </is>
      </c>
      <c r="G49" t="n">
        <v>2.8</v>
      </c>
      <c r="H49" t="n">
        <v>1</v>
      </c>
      <c r="I49" t="n">
        <v>0</v>
      </c>
      <c r="J49" t="n">
        <v>0</v>
      </c>
      <c r="K49" t="n">
        <v>0</v>
      </c>
      <c r="L49" t="n">
        <v>0</v>
      </c>
      <c r="M49" t="n">
        <v>0</v>
      </c>
      <c r="N49" t="n">
        <v>0</v>
      </c>
      <c r="O49" t="n">
        <v>0</v>
      </c>
      <c r="P49" t="n">
        <v>0</v>
      </c>
      <c r="Q49" t="n">
        <v>1</v>
      </c>
      <c r="R49" s="2" t="inlineStr">
        <is>
          <t>Fläcknycklar</t>
        </is>
      </c>
      <c r="S49">
        <f>HYPERLINK("https://klasma.github.io/Logging_1880/artfynd/A 15621-2021 artfynd.xlsx", "A 15621-2021")</f>
        <v/>
      </c>
      <c r="T49">
        <f>HYPERLINK("https://klasma.github.io/Logging_1880/kartor/A 15621-2021 karta.png", "A 15621-2021")</f>
        <v/>
      </c>
      <c r="V49">
        <f>HYPERLINK("https://klasma.github.io/Logging_1880/klagomål/A 15621-2021 FSC-klagomål.docx", "A 15621-2021")</f>
        <v/>
      </c>
      <c r="W49">
        <f>HYPERLINK("https://klasma.github.io/Logging_1880/klagomålsmail/A 15621-2021 FSC-klagomål mail.docx", "A 15621-2021")</f>
        <v/>
      </c>
      <c r="X49">
        <f>HYPERLINK("https://klasma.github.io/Logging_1880/tillsyn/A 15621-2021 tillsynsbegäran.docx", "A 15621-2021")</f>
        <v/>
      </c>
      <c r="Y49">
        <f>HYPERLINK("https://klasma.github.io/Logging_1880/tillsynsmail/A 15621-2021 tillsynsbegäran mail.docx", "A 15621-2021")</f>
        <v/>
      </c>
    </row>
    <row r="50" ht="15" customHeight="1">
      <c r="A50" t="inlineStr">
        <is>
          <t>A 30725-2023</t>
        </is>
      </c>
      <c r="B50" s="1" t="n">
        <v>45112.61451388889</v>
      </c>
      <c r="C50" s="1" t="n">
        <v>45981</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26890-2022</t>
        </is>
      </c>
      <c r="B51" s="1" t="n">
        <v>44740</v>
      </c>
      <c r="C51" s="1" t="n">
        <v>45981</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28936-2025</t>
        </is>
      </c>
      <c r="B52" s="1" t="n">
        <v>45820.69287037037</v>
      </c>
      <c r="C52" s="1" t="n">
        <v>45981</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43332-2022</t>
        </is>
      </c>
      <c r="B53" s="1" t="n">
        <v>44834</v>
      </c>
      <c r="C53" s="1" t="n">
        <v>45981</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31695-2024</t>
        </is>
      </c>
      <c r="B54" s="1" t="n">
        <v>45508</v>
      </c>
      <c r="C54" s="1" t="n">
        <v>45981</v>
      </c>
      <c r="D54" t="inlineStr">
        <is>
          <t>ÖREBRO LÄN</t>
        </is>
      </c>
      <c r="E54" t="inlineStr">
        <is>
          <t>ÖREBRO</t>
        </is>
      </c>
      <c r="G54" t="n">
        <v>1.3</v>
      </c>
      <c r="H54" t="n">
        <v>1</v>
      </c>
      <c r="I54" t="n">
        <v>1</v>
      </c>
      <c r="J54" t="n">
        <v>0</v>
      </c>
      <c r="K54" t="n">
        <v>0</v>
      </c>
      <c r="L54" t="n">
        <v>0</v>
      </c>
      <c r="M54" t="n">
        <v>0</v>
      </c>
      <c r="N54" t="n">
        <v>0</v>
      </c>
      <c r="O54" t="n">
        <v>0</v>
      </c>
      <c r="P54" t="n">
        <v>0</v>
      </c>
      <c r="Q54" t="n">
        <v>1</v>
      </c>
      <c r="R54" s="2" t="inlineStr">
        <is>
          <t>Skogsknipprot</t>
        </is>
      </c>
      <c r="S54">
        <f>HYPERLINK("https://klasma.github.io/Logging_1880/artfynd/A 31695-2024 artfynd.xlsx", "A 31695-2024")</f>
        <v/>
      </c>
      <c r="T54">
        <f>HYPERLINK("https://klasma.github.io/Logging_1880/kartor/A 31695-2024 karta.png", "A 31695-2024")</f>
        <v/>
      </c>
      <c r="V54">
        <f>HYPERLINK("https://klasma.github.io/Logging_1880/klagomål/A 31695-2024 FSC-klagomål.docx", "A 31695-2024")</f>
        <v/>
      </c>
      <c r="W54">
        <f>HYPERLINK("https://klasma.github.io/Logging_1880/klagomålsmail/A 31695-2024 FSC-klagomål mail.docx", "A 31695-2024")</f>
        <v/>
      </c>
      <c r="X54">
        <f>HYPERLINK("https://klasma.github.io/Logging_1880/tillsyn/A 31695-2024 tillsynsbegäran.docx", "A 31695-2024")</f>
        <v/>
      </c>
      <c r="Y54">
        <f>HYPERLINK("https://klasma.github.io/Logging_1880/tillsynsmail/A 31695-2024 tillsynsbegäran mail.docx", "A 31695-2024")</f>
        <v/>
      </c>
    </row>
    <row r="55" ht="15" customHeight="1">
      <c r="A55" t="inlineStr">
        <is>
          <t>A 5097-2023</t>
        </is>
      </c>
      <c r="B55" s="1" t="n">
        <v>44958</v>
      </c>
      <c r="C55" s="1" t="n">
        <v>45981</v>
      </c>
      <c r="D55" t="inlineStr">
        <is>
          <t>ÖREBRO LÄN</t>
        </is>
      </c>
      <c r="E55" t="inlineStr">
        <is>
          <t>ÖREBRO</t>
        </is>
      </c>
      <c r="G55" t="n">
        <v>3.6</v>
      </c>
      <c r="H55" t="n">
        <v>1</v>
      </c>
      <c r="I55" t="n">
        <v>0</v>
      </c>
      <c r="J55" t="n">
        <v>0</v>
      </c>
      <c r="K55" t="n">
        <v>0</v>
      </c>
      <c r="L55" t="n">
        <v>0</v>
      </c>
      <c r="M55" t="n">
        <v>0</v>
      </c>
      <c r="N55" t="n">
        <v>0</v>
      </c>
      <c r="O55" t="n">
        <v>0</v>
      </c>
      <c r="P55" t="n">
        <v>0</v>
      </c>
      <c r="Q55" t="n">
        <v>1</v>
      </c>
      <c r="R55" s="2" t="inlineStr">
        <is>
          <t>Grönvit nattviol</t>
        </is>
      </c>
      <c r="S55">
        <f>HYPERLINK("https://klasma.github.io/Logging_1880/artfynd/A 5097-2023 artfynd.xlsx", "A 5097-2023")</f>
        <v/>
      </c>
      <c r="T55">
        <f>HYPERLINK("https://klasma.github.io/Logging_1880/kartor/A 5097-2023 karta.png", "A 5097-2023")</f>
        <v/>
      </c>
      <c r="V55">
        <f>HYPERLINK("https://klasma.github.io/Logging_1880/klagomål/A 5097-2023 FSC-klagomål.docx", "A 5097-2023")</f>
        <v/>
      </c>
      <c r="W55">
        <f>HYPERLINK("https://klasma.github.io/Logging_1880/klagomålsmail/A 5097-2023 FSC-klagomål mail.docx", "A 5097-2023")</f>
        <v/>
      </c>
      <c r="X55">
        <f>HYPERLINK("https://klasma.github.io/Logging_1880/tillsyn/A 5097-2023 tillsynsbegäran.docx", "A 5097-2023")</f>
        <v/>
      </c>
      <c r="Y55">
        <f>HYPERLINK("https://klasma.github.io/Logging_1880/tillsynsmail/A 5097-2023 tillsynsbegäran mail.docx", "A 5097-2023")</f>
        <v/>
      </c>
    </row>
    <row r="56" ht="15" customHeight="1">
      <c r="A56" t="inlineStr">
        <is>
          <t>A 32204-2025</t>
        </is>
      </c>
      <c r="B56" s="1" t="n">
        <v>45835.58074074074</v>
      </c>
      <c r="C56" s="1" t="n">
        <v>45981</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45981</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32105-2023</t>
        </is>
      </c>
      <c r="B58" s="1" t="n">
        <v>45119</v>
      </c>
      <c r="C58" s="1" t="n">
        <v>45981</v>
      </c>
      <c r="D58" t="inlineStr">
        <is>
          <t>ÖREBRO LÄN</t>
        </is>
      </c>
      <c r="E58" t="inlineStr">
        <is>
          <t>ÖREBRO</t>
        </is>
      </c>
      <c r="G58" t="n">
        <v>1.3</v>
      </c>
      <c r="H58" t="n">
        <v>1</v>
      </c>
      <c r="I58" t="n">
        <v>0</v>
      </c>
      <c r="J58" t="n">
        <v>1</v>
      </c>
      <c r="K58" t="n">
        <v>0</v>
      </c>
      <c r="L58" t="n">
        <v>0</v>
      </c>
      <c r="M58" t="n">
        <v>0</v>
      </c>
      <c r="N58" t="n">
        <v>0</v>
      </c>
      <c r="O58" t="n">
        <v>1</v>
      </c>
      <c r="P58" t="n">
        <v>0</v>
      </c>
      <c r="Q58" t="n">
        <v>1</v>
      </c>
      <c r="R58" s="2" t="inlineStr">
        <is>
          <t>Rödvingetrast</t>
        </is>
      </c>
      <c r="S58">
        <f>HYPERLINK("https://klasma.github.io/Logging_1880/artfynd/A 32105-2023 artfynd.xlsx", "A 32105-2023")</f>
        <v/>
      </c>
      <c r="T58">
        <f>HYPERLINK("https://klasma.github.io/Logging_1880/kartor/A 32105-2023 karta.png", "A 32105-2023")</f>
        <v/>
      </c>
      <c r="V58">
        <f>HYPERLINK("https://klasma.github.io/Logging_1880/klagomål/A 32105-2023 FSC-klagomål.docx", "A 32105-2023")</f>
        <v/>
      </c>
      <c r="W58">
        <f>HYPERLINK("https://klasma.github.io/Logging_1880/klagomålsmail/A 32105-2023 FSC-klagomål mail.docx", "A 32105-2023")</f>
        <v/>
      </c>
      <c r="X58">
        <f>HYPERLINK("https://klasma.github.io/Logging_1880/tillsyn/A 32105-2023 tillsynsbegäran.docx", "A 32105-2023")</f>
        <v/>
      </c>
      <c r="Y58">
        <f>HYPERLINK("https://klasma.github.io/Logging_1880/tillsynsmail/A 32105-2023 tillsynsbegäran mail.docx", "A 32105-2023")</f>
        <v/>
      </c>
      <c r="Z58">
        <f>HYPERLINK("https://klasma.github.io/Logging_1880/fåglar/A 32105-2023 prioriterade fågelarter.docx", "A 32105-2023")</f>
        <v/>
      </c>
    </row>
    <row r="59" ht="15" customHeight="1">
      <c r="A59" t="inlineStr">
        <is>
          <t>A 20247-2023</t>
        </is>
      </c>
      <c r="B59" s="1" t="n">
        <v>45055</v>
      </c>
      <c r="C59" s="1" t="n">
        <v>45981</v>
      </c>
      <c r="D59" t="inlineStr">
        <is>
          <t>ÖREBRO LÄN</t>
        </is>
      </c>
      <c r="E59" t="inlineStr">
        <is>
          <t>ÖREBRO</t>
        </is>
      </c>
      <c r="G59" t="n">
        <v>3</v>
      </c>
      <c r="H59" t="n">
        <v>1</v>
      </c>
      <c r="I59" t="n">
        <v>0</v>
      </c>
      <c r="J59" t="n">
        <v>0</v>
      </c>
      <c r="K59" t="n">
        <v>0</v>
      </c>
      <c r="L59" t="n">
        <v>0</v>
      </c>
      <c r="M59" t="n">
        <v>0</v>
      </c>
      <c r="N59" t="n">
        <v>0</v>
      </c>
      <c r="O59" t="n">
        <v>0</v>
      </c>
      <c r="P59" t="n">
        <v>0</v>
      </c>
      <c r="Q59" t="n">
        <v>1</v>
      </c>
      <c r="R59" s="2" t="inlineStr">
        <is>
          <t>Större vattensalamander</t>
        </is>
      </c>
      <c r="S59">
        <f>HYPERLINK("https://klasma.github.io/Logging_1880/artfynd/A 20247-2023 artfynd.xlsx", "A 20247-2023")</f>
        <v/>
      </c>
      <c r="T59">
        <f>HYPERLINK("https://klasma.github.io/Logging_1880/kartor/A 20247-2023 karta.png", "A 20247-2023")</f>
        <v/>
      </c>
      <c r="V59">
        <f>HYPERLINK("https://klasma.github.io/Logging_1880/klagomål/A 20247-2023 FSC-klagomål.docx", "A 20247-2023")</f>
        <v/>
      </c>
      <c r="W59">
        <f>HYPERLINK("https://klasma.github.io/Logging_1880/klagomålsmail/A 20247-2023 FSC-klagomål mail.docx", "A 20247-2023")</f>
        <v/>
      </c>
      <c r="X59">
        <f>HYPERLINK("https://klasma.github.io/Logging_1880/tillsyn/A 20247-2023 tillsynsbegäran.docx", "A 20247-2023")</f>
        <v/>
      </c>
      <c r="Y59">
        <f>HYPERLINK("https://klasma.github.io/Logging_1880/tillsynsmail/A 20247-2023 tillsynsbegäran mail.docx", "A 20247-2023")</f>
        <v/>
      </c>
    </row>
    <row r="60" ht="15" customHeight="1">
      <c r="A60" t="inlineStr">
        <is>
          <t>A 44389-2021</t>
        </is>
      </c>
      <c r="B60" s="1" t="n">
        <v>44435</v>
      </c>
      <c r="C60" s="1" t="n">
        <v>45981</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22604-2024</t>
        </is>
      </c>
      <c r="B61" s="1" t="n">
        <v>45447</v>
      </c>
      <c r="C61" s="1" t="n">
        <v>45981</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11501-2025</t>
        </is>
      </c>
      <c r="B62" s="1" t="n">
        <v>45726</v>
      </c>
      <c r="C62" s="1" t="n">
        <v>45981</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57920-2024</t>
        </is>
      </c>
      <c r="B63" s="1" t="n">
        <v>45631.50894675926</v>
      </c>
      <c r="C63" s="1" t="n">
        <v>45981</v>
      </c>
      <c r="D63" t="inlineStr">
        <is>
          <t>ÖREBRO LÄN</t>
        </is>
      </c>
      <c r="E63" t="inlineStr">
        <is>
          <t>ÖREBRO</t>
        </is>
      </c>
      <c r="G63" t="n">
        <v>2.3</v>
      </c>
      <c r="H63" t="n">
        <v>1</v>
      </c>
      <c r="I63" t="n">
        <v>0</v>
      </c>
      <c r="J63" t="n">
        <v>0</v>
      </c>
      <c r="K63" t="n">
        <v>0</v>
      </c>
      <c r="L63" t="n">
        <v>0</v>
      </c>
      <c r="M63" t="n">
        <v>0</v>
      </c>
      <c r="N63" t="n">
        <v>0</v>
      </c>
      <c r="O63" t="n">
        <v>0</v>
      </c>
      <c r="P63" t="n">
        <v>0</v>
      </c>
      <c r="Q63" t="n">
        <v>1</v>
      </c>
      <c r="R63" s="2" t="inlineStr">
        <is>
          <t>Kungsfågel</t>
        </is>
      </c>
      <c r="S63">
        <f>HYPERLINK("https://klasma.github.io/Logging_1880/artfynd/A 57920-2024 artfynd.xlsx", "A 57920-2024")</f>
        <v/>
      </c>
      <c r="T63">
        <f>HYPERLINK("https://klasma.github.io/Logging_1880/kartor/A 57920-2024 karta.png", "A 57920-2024")</f>
        <v/>
      </c>
      <c r="V63">
        <f>HYPERLINK("https://klasma.github.io/Logging_1880/klagomål/A 57920-2024 FSC-klagomål.docx", "A 57920-2024")</f>
        <v/>
      </c>
      <c r="W63">
        <f>HYPERLINK("https://klasma.github.io/Logging_1880/klagomålsmail/A 57920-2024 FSC-klagomål mail.docx", "A 57920-2024")</f>
        <v/>
      </c>
      <c r="X63">
        <f>HYPERLINK("https://klasma.github.io/Logging_1880/tillsyn/A 57920-2024 tillsynsbegäran.docx", "A 57920-2024")</f>
        <v/>
      </c>
      <c r="Y63">
        <f>HYPERLINK("https://klasma.github.io/Logging_1880/tillsynsmail/A 57920-2024 tillsynsbegäran mail.docx", "A 57920-2024")</f>
        <v/>
      </c>
      <c r="Z63">
        <f>HYPERLINK("https://klasma.github.io/Logging_1880/fåglar/A 57920-2024 prioriterade fågelarter.docx", "A 57920-2024")</f>
        <v/>
      </c>
    </row>
    <row r="64" ht="15" customHeight="1">
      <c r="A64" t="inlineStr">
        <is>
          <t>A 9406-2021</t>
        </is>
      </c>
      <c r="B64" s="1" t="n">
        <v>44251</v>
      </c>
      <c r="C64" s="1" t="n">
        <v>45981</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45981</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45981</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16785-2021</t>
        </is>
      </c>
      <c r="B67" s="1" t="n">
        <v>44295</v>
      </c>
      <c r="C67" s="1" t="n">
        <v>45981</v>
      </c>
      <c r="D67" t="inlineStr">
        <is>
          <t>ÖREBRO LÄN</t>
        </is>
      </c>
      <c r="E67" t="inlineStr">
        <is>
          <t>ÖREBRO</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45981</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45981</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45981</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45981</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45981</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45981</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45981</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45981</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45981</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45981</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45981</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45981</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65592-2020</t>
        </is>
      </c>
      <c r="B80" s="1" t="n">
        <v>44173</v>
      </c>
      <c r="C80" s="1" t="n">
        <v>45981</v>
      </c>
      <c r="D80" t="inlineStr">
        <is>
          <t>ÖREBRO LÄN</t>
        </is>
      </c>
      <c r="E80" t="inlineStr">
        <is>
          <t>ÖREBRO</t>
        </is>
      </c>
      <c r="G80" t="n">
        <v>8.9</v>
      </c>
      <c r="H80" t="n">
        <v>0</v>
      </c>
      <c r="I80" t="n">
        <v>0</v>
      </c>
      <c r="J80" t="n">
        <v>0</v>
      </c>
      <c r="K80" t="n">
        <v>0</v>
      </c>
      <c r="L80" t="n">
        <v>0</v>
      </c>
      <c r="M80" t="n">
        <v>0</v>
      </c>
      <c r="N80" t="n">
        <v>0</v>
      </c>
      <c r="O80" t="n">
        <v>0</v>
      </c>
      <c r="P80" t="n">
        <v>0</v>
      </c>
      <c r="Q80" t="n">
        <v>0</v>
      </c>
      <c r="R80" s="2" t="inlineStr"/>
    </row>
    <row r="81" ht="15" customHeight="1">
      <c r="A81" t="inlineStr">
        <is>
          <t>A 13193-2021</t>
        </is>
      </c>
      <c r="B81" s="1" t="n">
        <v>44272.55052083333</v>
      </c>
      <c r="C81" s="1" t="n">
        <v>45981</v>
      </c>
      <c r="D81" t="inlineStr">
        <is>
          <t>ÖREBRO LÄN</t>
        </is>
      </c>
      <c r="E81" t="inlineStr">
        <is>
          <t>ÖREBRO</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45981</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45981</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45981</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45981</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45981</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45981</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45981</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45981</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45981</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45981</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45981</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45981</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67627-2020</t>
        </is>
      </c>
      <c r="B94" s="1" t="n">
        <v>44182</v>
      </c>
      <c r="C94" s="1" t="n">
        <v>45981</v>
      </c>
      <c r="D94" t="inlineStr">
        <is>
          <t>ÖREBRO LÄN</t>
        </is>
      </c>
      <c r="E94" t="inlineStr">
        <is>
          <t>ÖREBRO</t>
        </is>
      </c>
      <c r="G94" t="n">
        <v>1.4</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45981</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45981</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45981</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45981</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36794-2022</t>
        </is>
      </c>
      <c r="B99" s="1" t="n">
        <v>44805</v>
      </c>
      <c r="C99" s="1" t="n">
        <v>45981</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45981</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15571-2021</t>
        </is>
      </c>
      <c r="B101" s="1" t="n">
        <v>44285</v>
      </c>
      <c r="C101" s="1" t="n">
        <v>45981</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45981</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45981</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4021-2021</t>
        </is>
      </c>
      <c r="B104" s="1" t="n">
        <v>44218</v>
      </c>
      <c r="C104" s="1" t="n">
        <v>45981</v>
      </c>
      <c r="D104" t="inlineStr">
        <is>
          <t>ÖREBRO LÄN</t>
        </is>
      </c>
      <c r="E104" t="inlineStr">
        <is>
          <t>ÖREBRO</t>
        </is>
      </c>
      <c r="G104" t="n">
        <v>5.3</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45981</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45981</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45981</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45981</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45981</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45981</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45981</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45981</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45981</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45981</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45981</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45981</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16258-2022</t>
        </is>
      </c>
      <c r="B117" s="1" t="n">
        <v>44670</v>
      </c>
      <c r="C117" s="1" t="n">
        <v>45981</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7117-2021</t>
        </is>
      </c>
      <c r="B118" s="1" t="n">
        <v>44238</v>
      </c>
      <c r="C118" s="1" t="n">
        <v>45981</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40312-2021</t>
        </is>
      </c>
      <c r="B119" s="1" t="n">
        <v>44419</v>
      </c>
      <c r="C119" s="1" t="n">
        <v>45981</v>
      </c>
      <c r="D119" t="inlineStr">
        <is>
          <t>ÖREBRO LÄN</t>
        </is>
      </c>
      <c r="E119" t="inlineStr">
        <is>
          <t>ÖREBRO</t>
        </is>
      </c>
      <c r="F119" t="inlineStr">
        <is>
          <t>Övriga Aktiebolag</t>
        </is>
      </c>
      <c r="G119" t="n">
        <v>2.6</v>
      </c>
      <c r="H119" t="n">
        <v>0</v>
      </c>
      <c r="I119" t="n">
        <v>0</v>
      </c>
      <c r="J119" t="n">
        <v>0</v>
      </c>
      <c r="K119" t="n">
        <v>0</v>
      </c>
      <c r="L119" t="n">
        <v>0</v>
      </c>
      <c r="M119" t="n">
        <v>0</v>
      </c>
      <c r="N119" t="n">
        <v>0</v>
      </c>
      <c r="O119" t="n">
        <v>0</v>
      </c>
      <c r="P119" t="n">
        <v>0</v>
      </c>
      <c r="Q119" t="n">
        <v>0</v>
      </c>
      <c r="R119" s="2" t="inlineStr"/>
    </row>
    <row r="120" ht="15" customHeight="1">
      <c r="A120" t="inlineStr">
        <is>
          <t>A 69613-2020</t>
        </is>
      </c>
      <c r="B120" s="1" t="n">
        <v>44195</v>
      </c>
      <c r="C120" s="1" t="n">
        <v>45981</v>
      </c>
      <c r="D120" t="inlineStr">
        <is>
          <t>ÖREBRO LÄN</t>
        </is>
      </c>
      <c r="E120" t="inlineStr">
        <is>
          <t>ÖREBRO</t>
        </is>
      </c>
      <c r="G120" t="n">
        <v>4.7</v>
      </c>
      <c r="H120" t="n">
        <v>0</v>
      </c>
      <c r="I120" t="n">
        <v>0</v>
      </c>
      <c r="J120" t="n">
        <v>0</v>
      </c>
      <c r="K120" t="n">
        <v>0</v>
      </c>
      <c r="L120" t="n">
        <v>0</v>
      </c>
      <c r="M120" t="n">
        <v>0</v>
      </c>
      <c r="N120" t="n">
        <v>0</v>
      </c>
      <c r="O120" t="n">
        <v>0</v>
      </c>
      <c r="P120" t="n">
        <v>0</v>
      </c>
      <c r="Q120" t="n">
        <v>0</v>
      </c>
      <c r="R120" s="2" t="inlineStr"/>
    </row>
    <row r="121" ht="15" customHeight="1">
      <c r="A121" t="inlineStr">
        <is>
          <t>A 12478-2022</t>
        </is>
      </c>
      <c r="B121" s="1" t="n">
        <v>44638</v>
      </c>
      <c r="C121" s="1" t="n">
        <v>45981</v>
      </c>
      <c r="D121" t="inlineStr">
        <is>
          <t>ÖREBRO LÄN</t>
        </is>
      </c>
      <c r="E121" t="inlineStr">
        <is>
          <t>ÖREBRO</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3087-2021</t>
        </is>
      </c>
      <c r="B122" s="1" t="n">
        <v>44216</v>
      </c>
      <c r="C122" s="1" t="n">
        <v>45981</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19468-2021</t>
        </is>
      </c>
      <c r="B123" s="1" t="n">
        <v>44311</v>
      </c>
      <c r="C123" s="1" t="n">
        <v>45981</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63247-2021</t>
        </is>
      </c>
      <c r="B124" s="1" t="n">
        <v>44505</v>
      </c>
      <c r="C124" s="1" t="n">
        <v>45981</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45981</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45981</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5401-2022</t>
        </is>
      </c>
      <c r="B127" s="1" t="n">
        <v>44595</v>
      </c>
      <c r="C127" s="1" t="n">
        <v>45981</v>
      </c>
      <c r="D127" t="inlineStr">
        <is>
          <t>ÖREBRO LÄN</t>
        </is>
      </c>
      <c r="E127" t="inlineStr">
        <is>
          <t>ÖREBRO</t>
        </is>
      </c>
      <c r="G127" t="n">
        <v>2.3</v>
      </c>
      <c r="H127" t="n">
        <v>0</v>
      </c>
      <c r="I127" t="n">
        <v>0</v>
      </c>
      <c r="J127" t="n">
        <v>0</v>
      </c>
      <c r="K127" t="n">
        <v>0</v>
      </c>
      <c r="L127" t="n">
        <v>0</v>
      </c>
      <c r="M127" t="n">
        <v>0</v>
      </c>
      <c r="N127" t="n">
        <v>0</v>
      </c>
      <c r="O127" t="n">
        <v>0</v>
      </c>
      <c r="P127" t="n">
        <v>0</v>
      </c>
      <c r="Q127" t="n">
        <v>0</v>
      </c>
      <c r="R127" s="2" t="inlineStr"/>
    </row>
    <row r="128" ht="15" customHeight="1">
      <c r="A128" t="inlineStr">
        <is>
          <t>A 23863-2023</t>
        </is>
      </c>
      <c r="B128" s="1" t="n">
        <v>45078.48994212963</v>
      </c>
      <c r="C128" s="1" t="n">
        <v>45981</v>
      </c>
      <c r="D128" t="inlineStr">
        <is>
          <t>ÖREBRO LÄN</t>
        </is>
      </c>
      <c r="E128" t="inlineStr">
        <is>
          <t>ÖREBRO</t>
        </is>
      </c>
      <c r="F128" t="inlineStr">
        <is>
          <t>Övriga Aktiebolag</t>
        </is>
      </c>
      <c r="G128" t="n">
        <v>5.9</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45981</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9362-2022</t>
        </is>
      </c>
      <c r="B130" s="1" t="n">
        <v>44616.59946759259</v>
      </c>
      <c r="C130" s="1" t="n">
        <v>45981</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14562-2022</t>
        </is>
      </c>
      <c r="B131" s="1" t="n">
        <v>44655</v>
      </c>
      <c r="C131" s="1" t="n">
        <v>45981</v>
      </c>
      <c r="D131" t="inlineStr">
        <is>
          <t>ÖREBRO LÄN</t>
        </is>
      </c>
      <c r="E131" t="inlineStr">
        <is>
          <t>ÖREBRO</t>
        </is>
      </c>
      <c r="G131" t="n">
        <v>3.6</v>
      </c>
      <c r="H131" t="n">
        <v>0</v>
      </c>
      <c r="I131" t="n">
        <v>0</v>
      </c>
      <c r="J131" t="n">
        <v>0</v>
      </c>
      <c r="K131" t="n">
        <v>0</v>
      </c>
      <c r="L131" t="n">
        <v>0</v>
      </c>
      <c r="M131" t="n">
        <v>0</v>
      </c>
      <c r="N131" t="n">
        <v>0</v>
      </c>
      <c r="O131" t="n">
        <v>0</v>
      </c>
      <c r="P131" t="n">
        <v>0</v>
      </c>
      <c r="Q131" t="n">
        <v>0</v>
      </c>
      <c r="R131" s="2" t="inlineStr"/>
    </row>
    <row r="132" ht="15" customHeight="1">
      <c r="A132" t="inlineStr">
        <is>
          <t>A 14053-2025</t>
        </is>
      </c>
      <c r="B132" s="1" t="n">
        <v>45739</v>
      </c>
      <c r="C132" s="1" t="n">
        <v>45981</v>
      </c>
      <c r="D132" t="inlineStr">
        <is>
          <t>ÖREBRO LÄN</t>
        </is>
      </c>
      <c r="E132" t="inlineStr">
        <is>
          <t>ÖREBRO</t>
        </is>
      </c>
      <c r="G132" t="n">
        <v>3.5</v>
      </c>
      <c r="H132" t="n">
        <v>0</v>
      </c>
      <c r="I132" t="n">
        <v>0</v>
      </c>
      <c r="J132" t="n">
        <v>0</v>
      </c>
      <c r="K132" t="n">
        <v>0</v>
      </c>
      <c r="L132" t="n">
        <v>0</v>
      </c>
      <c r="M132" t="n">
        <v>0</v>
      </c>
      <c r="N132" t="n">
        <v>0</v>
      </c>
      <c r="O132" t="n">
        <v>0</v>
      </c>
      <c r="P132" t="n">
        <v>0</v>
      </c>
      <c r="Q132" t="n">
        <v>0</v>
      </c>
      <c r="R132" s="2" t="inlineStr"/>
    </row>
    <row r="133" ht="15" customHeight="1">
      <c r="A133" t="inlineStr">
        <is>
          <t>A 10799-2024</t>
        </is>
      </c>
      <c r="B133" s="1" t="n">
        <v>45369</v>
      </c>
      <c r="C133" s="1" t="n">
        <v>45981</v>
      </c>
      <c r="D133" t="inlineStr">
        <is>
          <t>ÖREBRO LÄN</t>
        </is>
      </c>
      <c r="E133" t="inlineStr">
        <is>
          <t>ÖREBRO</t>
        </is>
      </c>
      <c r="G133" t="n">
        <v>5.8</v>
      </c>
      <c r="H133" t="n">
        <v>0</v>
      </c>
      <c r="I133" t="n">
        <v>0</v>
      </c>
      <c r="J133" t="n">
        <v>0</v>
      </c>
      <c r="K133" t="n">
        <v>0</v>
      </c>
      <c r="L133" t="n">
        <v>0</v>
      </c>
      <c r="M133" t="n">
        <v>0</v>
      </c>
      <c r="N133" t="n">
        <v>0</v>
      </c>
      <c r="O133" t="n">
        <v>0</v>
      </c>
      <c r="P133" t="n">
        <v>0</v>
      </c>
      <c r="Q133" t="n">
        <v>0</v>
      </c>
      <c r="R133" s="2" t="inlineStr"/>
    </row>
    <row r="134" ht="15" customHeight="1">
      <c r="A134" t="inlineStr">
        <is>
          <t>A 19458-2022</t>
        </is>
      </c>
      <c r="B134" s="1" t="n">
        <v>44693</v>
      </c>
      <c r="C134" s="1" t="n">
        <v>45981</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46757-2021</t>
        </is>
      </c>
      <c r="B135" s="1" t="n">
        <v>44445</v>
      </c>
      <c r="C135" s="1" t="n">
        <v>45981</v>
      </c>
      <c r="D135" t="inlineStr">
        <is>
          <t>ÖREBRO LÄN</t>
        </is>
      </c>
      <c r="E135" t="inlineStr">
        <is>
          <t>ÖREBRO</t>
        </is>
      </c>
      <c r="G135" t="n">
        <v>5.6</v>
      </c>
      <c r="H135" t="n">
        <v>0</v>
      </c>
      <c r="I135" t="n">
        <v>0</v>
      </c>
      <c r="J135" t="n">
        <v>0</v>
      </c>
      <c r="K135" t="n">
        <v>0</v>
      </c>
      <c r="L135" t="n">
        <v>0</v>
      </c>
      <c r="M135" t="n">
        <v>0</v>
      </c>
      <c r="N135" t="n">
        <v>0</v>
      </c>
      <c r="O135" t="n">
        <v>0</v>
      </c>
      <c r="P135" t="n">
        <v>0</v>
      </c>
      <c r="Q135" t="n">
        <v>0</v>
      </c>
      <c r="R135" s="2" t="inlineStr"/>
    </row>
    <row r="136" ht="15" customHeight="1">
      <c r="A136" t="inlineStr">
        <is>
          <t>A 6638-2022</t>
        </is>
      </c>
      <c r="B136" s="1" t="n">
        <v>44601</v>
      </c>
      <c r="C136" s="1" t="n">
        <v>45981</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9609-2023</t>
        </is>
      </c>
      <c r="B137" s="1" t="n">
        <v>44983.93344907407</v>
      </c>
      <c r="C137" s="1" t="n">
        <v>45981</v>
      </c>
      <c r="D137" t="inlineStr">
        <is>
          <t>ÖREBRO LÄN</t>
        </is>
      </c>
      <c r="E137" t="inlineStr">
        <is>
          <t>ÖREBRO</t>
        </is>
      </c>
      <c r="G137" t="n">
        <v>2</v>
      </c>
      <c r="H137" t="n">
        <v>0</v>
      </c>
      <c r="I137" t="n">
        <v>0</v>
      </c>
      <c r="J137" t="n">
        <v>0</v>
      </c>
      <c r="K137" t="n">
        <v>0</v>
      </c>
      <c r="L137" t="n">
        <v>0</v>
      </c>
      <c r="M137" t="n">
        <v>0</v>
      </c>
      <c r="N137" t="n">
        <v>0</v>
      </c>
      <c r="O137" t="n">
        <v>0</v>
      </c>
      <c r="P137" t="n">
        <v>0</v>
      </c>
      <c r="Q137" t="n">
        <v>0</v>
      </c>
      <c r="R137" s="2" t="inlineStr"/>
    </row>
    <row r="138" ht="15" customHeight="1">
      <c r="A138" t="inlineStr">
        <is>
          <t>A 16261-2022</t>
        </is>
      </c>
      <c r="B138" s="1" t="n">
        <v>44670</v>
      </c>
      <c r="C138" s="1" t="n">
        <v>45981</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44165-2022</t>
        </is>
      </c>
      <c r="B139" s="1" t="n">
        <v>44839</v>
      </c>
      <c r="C139" s="1" t="n">
        <v>45981</v>
      </c>
      <c r="D139" t="inlineStr">
        <is>
          <t>ÖREBRO LÄN</t>
        </is>
      </c>
      <c r="E139" t="inlineStr">
        <is>
          <t>ÖREBRO</t>
        </is>
      </c>
      <c r="G139" t="n">
        <v>0.5</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45981</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61232-2021</t>
        </is>
      </c>
      <c r="B141" s="1" t="n">
        <v>44498</v>
      </c>
      <c r="C141" s="1" t="n">
        <v>45981</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13631-2022</t>
        </is>
      </c>
      <c r="B142" s="1" t="n">
        <v>44648</v>
      </c>
      <c r="C142" s="1" t="n">
        <v>45981</v>
      </c>
      <c r="D142" t="inlineStr">
        <is>
          <t>ÖREBRO LÄN</t>
        </is>
      </c>
      <c r="E142" t="inlineStr">
        <is>
          <t>ÖREBRO</t>
        </is>
      </c>
      <c r="G142" t="n">
        <v>10.4</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45981</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30760-2022</t>
        </is>
      </c>
      <c r="B144" s="1" t="n">
        <v>44764.51827546296</v>
      </c>
      <c r="C144" s="1" t="n">
        <v>45981</v>
      </c>
      <c r="D144" t="inlineStr">
        <is>
          <t>ÖREBRO LÄN</t>
        </is>
      </c>
      <c r="E144" t="inlineStr">
        <is>
          <t>ÖREBRO</t>
        </is>
      </c>
      <c r="G144" t="n">
        <v>4</v>
      </c>
      <c r="H144" t="n">
        <v>0</v>
      </c>
      <c r="I144" t="n">
        <v>0</v>
      </c>
      <c r="J144" t="n">
        <v>0</v>
      </c>
      <c r="K144" t="n">
        <v>0</v>
      </c>
      <c r="L144" t="n">
        <v>0</v>
      </c>
      <c r="M144" t="n">
        <v>0</v>
      </c>
      <c r="N144" t="n">
        <v>0</v>
      </c>
      <c r="O144" t="n">
        <v>0</v>
      </c>
      <c r="P144" t="n">
        <v>0</v>
      </c>
      <c r="Q144" t="n">
        <v>0</v>
      </c>
      <c r="R144" s="2" t="inlineStr"/>
    </row>
    <row r="145" ht="15" customHeight="1">
      <c r="A145" t="inlineStr">
        <is>
          <t>A 29490-2022</t>
        </is>
      </c>
      <c r="B145" s="1" t="n">
        <v>44753</v>
      </c>
      <c r="C145" s="1" t="n">
        <v>45981</v>
      </c>
      <c r="D145" t="inlineStr">
        <is>
          <t>ÖREBRO LÄN</t>
        </is>
      </c>
      <c r="E145" t="inlineStr">
        <is>
          <t>ÖREBRO</t>
        </is>
      </c>
      <c r="F145" t="inlineStr">
        <is>
          <t>Kommuner</t>
        </is>
      </c>
      <c r="G145" t="n">
        <v>0.3</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45981</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62651-2020</t>
        </is>
      </c>
      <c r="B147" s="1" t="n">
        <v>44161</v>
      </c>
      <c r="C147" s="1" t="n">
        <v>45981</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45981</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45981</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51268-2022</t>
        </is>
      </c>
      <c r="B150" s="1" t="n">
        <v>44868</v>
      </c>
      <c r="C150" s="1" t="n">
        <v>45981</v>
      </c>
      <c r="D150" t="inlineStr">
        <is>
          <t>ÖREBRO LÄN</t>
        </is>
      </c>
      <c r="E150" t="inlineStr">
        <is>
          <t>ÖREBRO</t>
        </is>
      </c>
      <c r="G150" t="n">
        <v>3.8</v>
      </c>
      <c r="H150" t="n">
        <v>0</v>
      </c>
      <c r="I150" t="n">
        <v>0</v>
      </c>
      <c r="J150" t="n">
        <v>0</v>
      </c>
      <c r="K150" t="n">
        <v>0</v>
      </c>
      <c r="L150" t="n">
        <v>0</v>
      </c>
      <c r="M150" t="n">
        <v>0</v>
      </c>
      <c r="N150" t="n">
        <v>0</v>
      </c>
      <c r="O150" t="n">
        <v>0</v>
      </c>
      <c r="P150" t="n">
        <v>0</v>
      </c>
      <c r="Q150" t="n">
        <v>0</v>
      </c>
      <c r="R150" s="2" t="inlineStr"/>
    </row>
    <row r="151" ht="15" customHeight="1">
      <c r="A151" t="inlineStr">
        <is>
          <t>A 18321-2022</t>
        </is>
      </c>
      <c r="B151" s="1" t="n">
        <v>44685</v>
      </c>
      <c r="C151" s="1" t="n">
        <v>45981</v>
      </c>
      <c r="D151" t="inlineStr">
        <is>
          <t>ÖREBRO LÄN</t>
        </is>
      </c>
      <c r="E151" t="inlineStr">
        <is>
          <t>ÖREBRO</t>
        </is>
      </c>
      <c r="G151" t="n">
        <v>2.1</v>
      </c>
      <c r="H151" t="n">
        <v>0</v>
      </c>
      <c r="I151" t="n">
        <v>0</v>
      </c>
      <c r="J151" t="n">
        <v>0</v>
      </c>
      <c r="K151" t="n">
        <v>0</v>
      </c>
      <c r="L151" t="n">
        <v>0</v>
      </c>
      <c r="M151" t="n">
        <v>0</v>
      </c>
      <c r="N151" t="n">
        <v>0</v>
      </c>
      <c r="O151" t="n">
        <v>0</v>
      </c>
      <c r="P151" t="n">
        <v>0</v>
      </c>
      <c r="Q151" t="n">
        <v>0</v>
      </c>
      <c r="R151" s="2" t="inlineStr"/>
    </row>
    <row r="152" ht="15" customHeight="1">
      <c r="A152" t="inlineStr">
        <is>
          <t>A 5795-2024</t>
        </is>
      </c>
      <c r="B152" s="1" t="n">
        <v>45335.4531712963</v>
      </c>
      <c r="C152" s="1" t="n">
        <v>45981</v>
      </c>
      <c r="D152" t="inlineStr">
        <is>
          <t>ÖREBRO LÄN</t>
        </is>
      </c>
      <c r="E152" t="inlineStr">
        <is>
          <t>ÖREBRO</t>
        </is>
      </c>
      <c r="G152" t="n">
        <v>1.8</v>
      </c>
      <c r="H152" t="n">
        <v>0</v>
      </c>
      <c r="I152" t="n">
        <v>0</v>
      </c>
      <c r="J152" t="n">
        <v>0</v>
      </c>
      <c r="K152" t="n">
        <v>0</v>
      </c>
      <c r="L152" t="n">
        <v>0</v>
      </c>
      <c r="M152" t="n">
        <v>0</v>
      </c>
      <c r="N152" t="n">
        <v>0</v>
      </c>
      <c r="O152" t="n">
        <v>0</v>
      </c>
      <c r="P152" t="n">
        <v>0</v>
      </c>
      <c r="Q152" t="n">
        <v>0</v>
      </c>
      <c r="R152" s="2" t="inlineStr"/>
    </row>
    <row r="153" ht="15" customHeight="1">
      <c r="A153" t="inlineStr">
        <is>
          <t>A 57343-2021</t>
        </is>
      </c>
      <c r="B153" s="1" t="n">
        <v>44482</v>
      </c>
      <c r="C153" s="1" t="n">
        <v>45981</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45981</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26118-2021</t>
        </is>
      </c>
      <c r="B155" s="1" t="n">
        <v>44345</v>
      </c>
      <c r="C155" s="1" t="n">
        <v>45981</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26119-2021</t>
        </is>
      </c>
      <c r="B156" s="1" t="n">
        <v>44345.33282407407</v>
      </c>
      <c r="C156" s="1" t="n">
        <v>45981</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5619-2023</t>
        </is>
      </c>
      <c r="B157" s="1" t="n">
        <v>44958</v>
      </c>
      <c r="C157" s="1" t="n">
        <v>45981</v>
      </c>
      <c r="D157" t="inlineStr">
        <is>
          <t>ÖREBRO LÄN</t>
        </is>
      </c>
      <c r="E157" t="inlineStr">
        <is>
          <t>ÖREBRO</t>
        </is>
      </c>
      <c r="G157" t="n">
        <v>27</v>
      </c>
      <c r="H157" t="n">
        <v>0</v>
      </c>
      <c r="I157" t="n">
        <v>0</v>
      </c>
      <c r="J157" t="n">
        <v>0</v>
      </c>
      <c r="K157" t="n">
        <v>0</v>
      </c>
      <c r="L157" t="n">
        <v>0</v>
      </c>
      <c r="M157" t="n">
        <v>0</v>
      </c>
      <c r="N157" t="n">
        <v>0</v>
      </c>
      <c r="O157" t="n">
        <v>0</v>
      </c>
      <c r="P157" t="n">
        <v>0</v>
      </c>
      <c r="Q157" t="n">
        <v>0</v>
      </c>
      <c r="R157" s="2" t="inlineStr"/>
    </row>
    <row r="158" ht="15" customHeight="1">
      <c r="A158" t="inlineStr">
        <is>
          <t>A 17465-2023</t>
        </is>
      </c>
      <c r="B158" s="1" t="n">
        <v>45036</v>
      </c>
      <c r="C158" s="1" t="n">
        <v>45981</v>
      </c>
      <c r="D158" t="inlineStr">
        <is>
          <t>ÖREBRO LÄN</t>
        </is>
      </c>
      <c r="E158" t="inlineStr">
        <is>
          <t>ÖREBRO</t>
        </is>
      </c>
      <c r="G158" t="n">
        <v>0.8</v>
      </c>
      <c r="H158" t="n">
        <v>0</v>
      </c>
      <c r="I158" t="n">
        <v>0</v>
      </c>
      <c r="J158" t="n">
        <v>0</v>
      </c>
      <c r="K158" t="n">
        <v>0</v>
      </c>
      <c r="L158" t="n">
        <v>0</v>
      </c>
      <c r="M158" t="n">
        <v>0</v>
      </c>
      <c r="N158" t="n">
        <v>0</v>
      </c>
      <c r="O158" t="n">
        <v>0</v>
      </c>
      <c r="P158" t="n">
        <v>0</v>
      </c>
      <c r="Q158" t="n">
        <v>0</v>
      </c>
      <c r="R158" s="2" t="inlineStr"/>
    </row>
    <row r="159" ht="15" customHeight="1">
      <c r="A159" t="inlineStr">
        <is>
          <t>A 37277-2022</t>
        </is>
      </c>
      <c r="B159" s="1" t="n">
        <v>44807.49150462963</v>
      </c>
      <c r="C159" s="1" t="n">
        <v>45981</v>
      </c>
      <c r="D159" t="inlineStr">
        <is>
          <t>ÖREBRO LÄN</t>
        </is>
      </c>
      <c r="E159" t="inlineStr">
        <is>
          <t>ÖREBRO</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23573-2023</t>
        </is>
      </c>
      <c r="B160" s="1" t="n">
        <v>45077.41672453703</v>
      </c>
      <c r="C160" s="1" t="n">
        <v>45981</v>
      </c>
      <c r="D160" t="inlineStr">
        <is>
          <t>ÖREBRO LÄN</t>
        </is>
      </c>
      <c r="E160" t="inlineStr">
        <is>
          <t>ÖREBRO</t>
        </is>
      </c>
      <c r="G160" t="n">
        <v>2.9</v>
      </c>
      <c r="H160" t="n">
        <v>0</v>
      </c>
      <c r="I160" t="n">
        <v>0</v>
      </c>
      <c r="J160" t="n">
        <v>0</v>
      </c>
      <c r="K160" t="n">
        <v>0</v>
      </c>
      <c r="L160" t="n">
        <v>0</v>
      </c>
      <c r="M160" t="n">
        <v>0</v>
      </c>
      <c r="N160" t="n">
        <v>0</v>
      </c>
      <c r="O160" t="n">
        <v>0</v>
      </c>
      <c r="P160" t="n">
        <v>0</v>
      </c>
      <c r="Q160" t="n">
        <v>0</v>
      </c>
      <c r="R160" s="2" t="inlineStr"/>
    </row>
    <row r="161" ht="15" customHeight="1">
      <c r="A161" t="inlineStr">
        <is>
          <t>A 59736-2023</t>
        </is>
      </c>
      <c r="B161" s="1" t="n">
        <v>45257.374375</v>
      </c>
      <c r="C161" s="1" t="n">
        <v>45981</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26509-2021</t>
        </is>
      </c>
      <c r="B162" s="1" t="n">
        <v>44348.45107638889</v>
      </c>
      <c r="C162" s="1" t="n">
        <v>45981</v>
      </c>
      <c r="D162" t="inlineStr">
        <is>
          <t>ÖREBRO LÄN</t>
        </is>
      </c>
      <c r="E162" t="inlineStr">
        <is>
          <t>ÖREBRO</t>
        </is>
      </c>
      <c r="G162" t="n">
        <v>2.5</v>
      </c>
      <c r="H162" t="n">
        <v>0</v>
      </c>
      <c r="I162" t="n">
        <v>0</v>
      </c>
      <c r="J162" t="n">
        <v>0</v>
      </c>
      <c r="K162" t="n">
        <v>0</v>
      </c>
      <c r="L162" t="n">
        <v>0</v>
      </c>
      <c r="M162" t="n">
        <v>0</v>
      </c>
      <c r="N162" t="n">
        <v>0</v>
      </c>
      <c r="O162" t="n">
        <v>0</v>
      </c>
      <c r="P162" t="n">
        <v>0</v>
      </c>
      <c r="Q162" t="n">
        <v>0</v>
      </c>
      <c r="R162" s="2" t="inlineStr"/>
    </row>
    <row r="163" ht="15" customHeight="1">
      <c r="A163" t="inlineStr">
        <is>
          <t>A 2153-2023</t>
        </is>
      </c>
      <c r="B163" s="1" t="n">
        <v>44941</v>
      </c>
      <c r="C163" s="1" t="n">
        <v>45981</v>
      </c>
      <c r="D163" t="inlineStr">
        <is>
          <t>ÖREBRO LÄN</t>
        </is>
      </c>
      <c r="E163" t="inlineStr">
        <is>
          <t>ÖREBRO</t>
        </is>
      </c>
      <c r="G163" t="n">
        <v>6.3</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45981</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10829-2023</t>
        </is>
      </c>
      <c r="B165" s="1" t="n">
        <v>44990.88512731482</v>
      </c>
      <c r="C165" s="1" t="n">
        <v>45981</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10831-2023</t>
        </is>
      </c>
      <c r="B166" s="1" t="n">
        <v>44990.90357638889</v>
      </c>
      <c r="C166" s="1" t="n">
        <v>45981</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61593-2023</t>
        </is>
      </c>
      <c r="B167" s="1" t="n">
        <v>45265</v>
      </c>
      <c r="C167" s="1" t="n">
        <v>45981</v>
      </c>
      <c r="D167" t="inlineStr">
        <is>
          <t>ÖREBRO LÄN</t>
        </is>
      </c>
      <c r="E167" t="inlineStr">
        <is>
          <t>ÖREBRO</t>
        </is>
      </c>
      <c r="G167" t="n">
        <v>2.5</v>
      </c>
      <c r="H167" t="n">
        <v>0</v>
      </c>
      <c r="I167" t="n">
        <v>0</v>
      </c>
      <c r="J167" t="n">
        <v>0</v>
      </c>
      <c r="K167" t="n">
        <v>0</v>
      </c>
      <c r="L167" t="n">
        <v>0</v>
      </c>
      <c r="M167" t="n">
        <v>0</v>
      </c>
      <c r="N167" t="n">
        <v>0</v>
      </c>
      <c r="O167" t="n">
        <v>0</v>
      </c>
      <c r="P167" t="n">
        <v>0</v>
      </c>
      <c r="Q167" t="n">
        <v>0</v>
      </c>
      <c r="R167" s="2" t="inlineStr"/>
    </row>
    <row r="168" ht="15" customHeight="1">
      <c r="A168" t="inlineStr">
        <is>
          <t>A 59024-2024</t>
        </is>
      </c>
      <c r="B168" s="1" t="n">
        <v>45636.68505787037</v>
      </c>
      <c r="C168" s="1" t="n">
        <v>45981</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58539-2024</t>
        </is>
      </c>
      <c r="B169" s="1" t="n">
        <v>45635.45157407408</v>
      </c>
      <c r="C169" s="1" t="n">
        <v>45981</v>
      </c>
      <c r="D169" t="inlineStr">
        <is>
          <t>ÖREBRO LÄN</t>
        </is>
      </c>
      <c r="E169" t="inlineStr">
        <is>
          <t>ÖREBRO</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36635-2023</t>
        </is>
      </c>
      <c r="B170" s="1" t="n">
        <v>45153</v>
      </c>
      <c r="C170" s="1" t="n">
        <v>45981</v>
      </c>
      <c r="D170" t="inlineStr">
        <is>
          <t>ÖREBRO LÄN</t>
        </is>
      </c>
      <c r="E170" t="inlineStr">
        <is>
          <t>ÖREBRO</t>
        </is>
      </c>
      <c r="G170" t="n">
        <v>1.9</v>
      </c>
      <c r="H170" t="n">
        <v>0</v>
      </c>
      <c r="I170" t="n">
        <v>0</v>
      </c>
      <c r="J170" t="n">
        <v>0</v>
      </c>
      <c r="K170" t="n">
        <v>0</v>
      </c>
      <c r="L170" t="n">
        <v>0</v>
      </c>
      <c r="M170" t="n">
        <v>0</v>
      </c>
      <c r="N170" t="n">
        <v>0</v>
      </c>
      <c r="O170" t="n">
        <v>0</v>
      </c>
      <c r="P170" t="n">
        <v>0</v>
      </c>
      <c r="Q170" t="n">
        <v>0</v>
      </c>
      <c r="R170" s="2" t="inlineStr"/>
    </row>
    <row r="171" ht="15" customHeight="1">
      <c r="A171" t="inlineStr">
        <is>
          <t>A 10339-2023</t>
        </is>
      </c>
      <c r="B171" s="1" t="n">
        <v>44987</v>
      </c>
      <c r="C171" s="1" t="n">
        <v>45981</v>
      </c>
      <c r="D171" t="inlineStr">
        <is>
          <t>ÖREBRO LÄN</t>
        </is>
      </c>
      <c r="E171" t="inlineStr">
        <is>
          <t>ÖREBRO</t>
        </is>
      </c>
      <c r="G171" t="n">
        <v>1</v>
      </c>
      <c r="H171" t="n">
        <v>0</v>
      </c>
      <c r="I171" t="n">
        <v>0</v>
      </c>
      <c r="J171" t="n">
        <v>0</v>
      </c>
      <c r="K171" t="n">
        <v>0</v>
      </c>
      <c r="L171" t="n">
        <v>0</v>
      </c>
      <c r="M171" t="n">
        <v>0</v>
      </c>
      <c r="N171" t="n">
        <v>0</v>
      </c>
      <c r="O171" t="n">
        <v>0</v>
      </c>
      <c r="P171" t="n">
        <v>0</v>
      </c>
      <c r="Q171" t="n">
        <v>0</v>
      </c>
      <c r="R171" s="2" t="inlineStr"/>
    </row>
    <row r="172" ht="15" customHeight="1">
      <c r="A172" t="inlineStr">
        <is>
          <t>A 31247-2023</t>
        </is>
      </c>
      <c r="B172" s="1" t="n">
        <v>45114</v>
      </c>
      <c r="C172" s="1" t="n">
        <v>45981</v>
      </c>
      <c r="D172" t="inlineStr">
        <is>
          <t>ÖREBRO LÄN</t>
        </is>
      </c>
      <c r="E172" t="inlineStr">
        <is>
          <t>ÖREBRO</t>
        </is>
      </c>
      <c r="F172" t="inlineStr">
        <is>
          <t>Allmännings- och besparingsskogar</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16165-2023</t>
        </is>
      </c>
      <c r="B173" s="1" t="n">
        <v>45027</v>
      </c>
      <c r="C173" s="1" t="n">
        <v>45981</v>
      </c>
      <c r="D173" t="inlineStr">
        <is>
          <t>ÖREBRO LÄN</t>
        </is>
      </c>
      <c r="E173" t="inlineStr">
        <is>
          <t>ÖREBRO</t>
        </is>
      </c>
      <c r="G173" t="n">
        <v>11</v>
      </c>
      <c r="H173" t="n">
        <v>0</v>
      </c>
      <c r="I173" t="n">
        <v>0</v>
      </c>
      <c r="J173" t="n">
        <v>0</v>
      </c>
      <c r="K173" t="n">
        <v>0</v>
      </c>
      <c r="L173" t="n">
        <v>0</v>
      </c>
      <c r="M173" t="n">
        <v>0</v>
      </c>
      <c r="N173" t="n">
        <v>0</v>
      </c>
      <c r="O173" t="n">
        <v>0</v>
      </c>
      <c r="P173" t="n">
        <v>0</v>
      </c>
      <c r="Q173" t="n">
        <v>0</v>
      </c>
      <c r="R173" s="2" t="inlineStr"/>
    </row>
    <row r="174" ht="15" customHeight="1">
      <c r="A174" t="inlineStr">
        <is>
          <t>A 58532-2024</t>
        </is>
      </c>
      <c r="B174" s="1" t="n">
        <v>45635.44899305556</v>
      </c>
      <c r="C174" s="1" t="n">
        <v>45981</v>
      </c>
      <c r="D174" t="inlineStr">
        <is>
          <t>ÖREBRO LÄN</t>
        </is>
      </c>
      <c r="E174" t="inlineStr">
        <is>
          <t>ÖREBRO</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681-2024</t>
        </is>
      </c>
      <c r="B175" s="1" t="n">
        <v>45300</v>
      </c>
      <c r="C175" s="1" t="n">
        <v>45981</v>
      </c>
      <c r="D175" t="inlineStr">
        <is>
          <t>ÖREBRO LÄN</t>
        </is>
      </c>
      <c r="E175" t="inlineStr">
        <is>
          <t>ÖREBRO</t>
        </is>
      </c>
      <c r="G175" t="n">
        <v>3.3</v>
      </c>
      <c r="H175" t="n">
        <v>0</v>
      </c>
      <c r="I175" t="n">
        <v>0</v>
      </c>
      <c r="J175" t="n">
        <v>0</v>
      </c>
      <c r="K175" t="n">
        <v>0</v>
      </c>
      <c r="L175" t="n">
        <v>0</v>
      </c>
      <c r="M175" t="n">
        <v>0</v>
      </c>
      <c r="N175" t="n">
        <v>0</v>
      </c>
      <c r="O175" t="n">
        <v>0</v>
      </c>
      <c r="P175" t="n">
        <v>0</v>
      </c>
      <c r="Q175" t="n">
        <v>0</v>
      </c>
      <c r="R175" s="2" t="inlineStr"/>
    </row>
    <row r="176" ht="15" customHeight="1">
      <c r="A176" t="inlineStr">
        <is>
          <t>A 66799-2020</t>
        </is>
      </c>
      <c r="B176" s="1" t="n">
        <v>44179</v>
      </c>
      <c r="C176" s="1" t="n">
        <v>45981</v>
      </c>
      <c r="D176" t="inlineStr">
        <is>
          <t>ÖREBRO LÄN</t>
        </is>
      </c>
      <c r="E176" t="inlineStr">
        <is>
          <t>ÖREBRO</t>
        </is>
      </c>
      <c r="G176" t="n">
        <v>5.2</v>
      </c>
      <c r="H176" t="n">
        <v>0</v>
      </c>
      <c r="I176" t="n">
        <v>0</v>
      </c>
      <c r="J176" t="n">
        <v>0</v>
      </c>
      <c r="K176" t="n">
        <v>0</v>
      </c>
      <c r="L176" t="n">
        <v>0</v>
      </c>
      <c r="M176" t="n">
        <v>0</v>
      </c>
      <c r="N176" t="n">
        <v>0</v>
      </c>
      <c r="O176" t="n">
        <v>0</v>
      </c>
      <c r="P176" t="n">
        <v>0</v>
      </c>
      <c r="Q176" t="n">
        <v>0</v>
      </c>
      <c r="R176" s="2" t="inlineStr"/>
    </row>
    <row r="177" ht="15" customHeight="1">
      <c r="A177" t="inlineStr">
        <is>
          <t>A 187-2024</t>
        </is>
      </c>
      <c r="B177" s="1" t="n">
        <v>45294</v>
      </c>
      <c r="C177" s="1" t="n">
        <v>45981</v>
      </c>
      <c r="D177" t="inlineStr">
        <is>
          <t>ÖREBRO LÄN</t>
        </is>
      </c>
      <c r="E177" t="inlineStr">
        <is>
          <t>ÖREBRO</t>
        </is>
      </c>
      <c r="G177" t="n">
        <v>5.9</v>
      </c>
      <c r="H177" t="n">
        <v>0</v>
      </c>
      <c r="I177" t="n">
        <v>0</v>
      </c>
      <c r="J177" t="n">
        <v>0</v>
      </c>
      <c r="K177" t="n">
        <v>0</v>
      </c>
      <c r="L177" t="n">
        <v>0</v>
      </c>
      <c r="M177" t="n">
        <v>0</v>
      </c>
      <c r="N177" t="n">
        <v>0</v>
      </c>
      <c r="O177" t="n">
        <v>0</v>
      </c>
      <c r="P177" t="n">
        <v>0</v>
      </c>
      <c r="Q177" t="n">
        <v>0</v>
      </c>
      <c r="R177" s="2" t="inlineStr"/>
    </row>
    <row r="178" ht="15" customHeight="1">
      <c r="A178" t="inlineStr">
        <is>
          <t>A 39130-2023</t>
        </is>
      </c>
      <c r="B178" s="1" t="n">
        <v>45165</v>
      </c>
      <c r="C178" s="1" t="n">
        <v>45981</v>
      </c>
      <c r="D178" t="inlineStr">
        <is>
          <t>ÖREBRO LÄN</t>
        </is>
      </c>
      <c r="E178" t="inlineStr">
        <is>
          <t>ÖREBRO</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50398-2022</t>
        </is>
      </c>
      <c r="B179" s="1" t="n">
        <v>44861</v>
      </c>
      <c r="C179" s="1" t="n">
        <v>45981</v>
      </c>
      <c r="D179" t="inlineStr">
        <is>
          <t>ÖREBRO LÄN</t>
        </is>
      </c>
      <c r="E179" t="inlineStr">
        <is>
          <t>ÖREBRO</t>
        </is>
      </c>
      <c r="G179" t="n">
        <v>1.9</v>
      </c>
      <c r="H179" t="n">
        <v>0</v>
      </c>
      <c r="I179" t="n">
        <v>0</v>
      </c>
      <c r="J179" t="n">
        <v>0</v>
      </c>
      <c r="K179" t="n">
        <v>0</v>
      </c>
      <c r="L179" t="n">
        <v>0</v>
      </c>
      <c r="M179" t="n">
        <v>0</v>
      </c>
      <c r="N179" t="n">
        <v>0</v>
      </c>
      <c r="O179" t="n">
        <v>0</v>
      </c>
      <c r="P179" t="n">
        <v>0</v>
      </c>
      <c r="Q179" t="n">
        <v>0</v>
      </c>
      <c r="R179" s="2" t="inlineStr"/>
    </row>
    <row r="180" ht="15" customHeight="1">
      <c r="A180" t="inlineStr">
        <is>
          <t>A 9379-2024</t>
        </is>
      </c>
      <c r="B180" s="1" t="n">
        <v>45359.37298611111</v>
      </c>
      <c r="C180" s="1" t="n">
        <v>45981</v>
      </c>
      <c r="D180" t="inlineStr">
        <is>
          <t>ÖREBRO LÄN</t>
        </is>
      </c>
      <c r="E180" t="inlineStr">
        <is>
          <t>ÖREBRO</t>
        </is>
      </c>
      <c r="G180" t="n">
        <v>2.4</v>
      </c>
      <c r="H180" t="n">
        <v>0</v>
      </c>
      <c r="I180" t="n">
        <v>0</v>
      </c>
      <c r="J180" t="n">
        <v>0</v>
      </c>
      <c r="K180" t="n">
        <v>0</v>
      </c>
      <c r="L180" t="n">
        <v>0</v>
      </c>
      <c r="M180" t="n">
        <v>0</v>
      </c>
      <c r="N180" t="n">
        <v>0</v>
      </c>
      <c r="O180" t="n">
        <v>0</v>
      </c>
      <c r="P180" t="n">
        <v>0</v>
      </c>
      <c r="Q180" t="n">
        <v>0</v>
      </c>
      <c r="R180" s="2" t="inlineStr"/>
    </row>
    <row r="181" ht="15" customHeight="1">
      <c r="A181" t="inlineStr">
        <is>
          <t>A 13762-2023</t>
        </is>
      </c>
      <c r="B181" s="1" t="n">
        <v>45007.43729166667</v>
      </c>
      <c r="C181" s="1" t="n">
        <v>45981</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21097-2025</t>
        </is>
      </c>
      <c r="B182" s="1" t="n">
        <v>45777.63863425926</v>
      </c>
      <c r="C182" s="1" t="n">
        <v>45981</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18550-2025</t>
        </is>
      </c>
      <c r="B183" s="1" t="n">
        <v>45763.43422453704</v>
      </c>
      <c r="C183" s="1" t="n">
        <v>45981</v>
      </c>
      <c r="D183" t="inlineStr">
        <is>
          <t>ÖREBRO LÄN</t>
        </is>
      </c>
      <c r="E183" t="inlineStr">
        <is>
          <t>ÖREBRO</t>
        </is>
      </c>
      <c r="G183" t="n">
        <v>11.5</v>
      </c>
      <c r="H183" t="n">
        <v>0</v>
      </c>
      <c r="I183" t="n">
        <v>0</v>
      </c>
      <c r="J183" t="n">
        <v>0</v>
      </c>
      <c r="K183" t="n">
        <v>0</v>
      </c>
      <c r="L183" t="n">
        <v>0</v>
      </c>
      <c r="M183" t="n">
        <v>0</v>
      </c>
      <c r="N183" t="n">
        <v>0</v>
      </c>
      <c r="O183" t="n">
        <v>0</v>
      </c>
      <c r="P183" t="n">
        <v>0</v>
      </c>
      <c r="Q183" t="n">
        <v>0</v>
      </c>
      <c r="R183" s="2" t="inlineStr"/>
    </row>
    <row r="184" ht="15" customHeight="1">
      <c r="A184" t="inlineStr">
        <is>
          <t>A 60022-2024</t>
        </is>
      </c>
      <c r="B184" s="1" t="n">
        <v>45642</v>
      </c>
      <c r="C184" s="1" t="n">
        <v>45981</v>
      </c>
      <c r="D184" t="inlineStr">
        <is>
          <t>ÖREBRO LÄN</t>
        </is>
      </c>
      <c r="E184" t="inlineStr">
        <is>
          <t>ÖREBRO</t>
        </is>
      </c>
      <c r="G184" t="n">
        <v>1.7</v>
      </c>
      <c r="H184" t="n">
        <v>0</v>
      </c>
      <c r="I184" t="n">
        <v>0</v>
      </c>
      <c r="J184" t="n">
        <v>0</v>
      </c>
      <c r="K184" t="n">
        <v>0</v>
      </c>
      <c r="L184" t="n">
        <v>0</v>
      </c>
      <c r="M184" t="n">
        <v>0</v>
      </c>
      <c r="N184" t="n">
        <v>0</v>
      </c>
      <c r="O184" t="n">
        <v>0</v>
      </c>
      <c r="P184" t="n">
        <v>0</v>
      </c>
      <c r="Q184" t="n">
        <v>0</v>
      </c>
      <c r="R184" s="2" t="inlineStr"/>
    </row>
    <row r="185" ht="15" customHeight="1">
      <c r="A185" t="inlineStr">
        <is>
          <t>A 10470-2025</t>
        </is>
      </c>
      <c r="B185" s="1" t="n">
        <v>45720</v>
      </c>
      <c r="C185" s="1" t="n">
        <v>45981</v>
      </c>
      <c r="D185" t="inlineStr">
        <is>
          <t>ÖREBRO LÄN</t>
        </is>
      </c>
      <c r="E185" t="inlineStr">
        <is>
          <t>ÖREBRO</t>
        </is>
      </c>
      <c r="G185" t="n">
        <v>11.5</v>
      </c>
      <c r="H185" t="n">
        <v>0</v>
      </c>
      <c r="I185" t="n">
        <v>0</v>
      </c>
      <c r="J185" t="n">
        <v>0</v>
      </c>
      <c r="K185" t="n">
        <v>0</v>
      </c>
      <c r="L185" t="n">
        <v>0</v>
      </c>
      <c r="M185" t="n">
        <v>0</v>
      </c>
      <c r="N185" t="n">
        <v>0</v>
      </c>
      <c r="O185" t="n">
        <v>0</v>
      </c>
      <c r="P185" t="n">
        <v>0</v>
      </c>
      <c r="Q185" t="n">
        <v>0</v>
      </c>
      <c r="R185" s="2" t="inlineStr"/>
    </row>
    <row r="186" ht="15" customHeight="1">
      <c r="A186" t="inlineStr">
        <is>
          <t>A 52623-2024</t>
        </is>
      </c>
      <c r="B186" s="1" t="n">
        <v>45609</v>
      </c>
      <c r="C186" s="1" t="n">
        <v>45981</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41678-2024</t>
        </is>
      </c>
      <c r="B187" s="1" t="n">
        <v>45560</v>
      </c>
      <c r="C187" s="1" t="n">
        <v>45981</v>
      </c>
      <c r="D187" t="inlineStr">
        <is>
          <t>ÖREBRO LÄN</t>
        </is>
      </c>
      <c r="E187" t="inlineStr">
        <is>
          <t>ÖREBRO</t>
        </is>
      </c>
      <c r="G187" t="n">
        <v>11.3</v>
      </c>
      <c r="H187" t="n">
        <v>0</v>
      </c>
      <c r="I187" t="n">
        <v>0</v>
      </c>
      <c r="J187" t="n">
        <v>0</v>
      </c>
      <c r="K187" t="n">
        <v>0</v>
      </c>
      <c r="L187" t="n">
        <v>0</v>
      </c>
      <c r="M187" t="n">
        <v>0</v>
      </c>
      <c r="N187" t="n">
        <v>0</v>
      </c>
      <c r="O187" t="n">
        <v>0</v>
      </c>
      <c r="P187" t="n">
        <v>0</v>
      </c>
      <c r="Q187" t="n">
        <v>0</v>
      </c>
      <c r="R187" s="2" t="inlineStr"/>
    </row>
    <row r="188" ht="15" customHeight="1">
      <c r="A188" t="inlineStr">
        <is>
          <t>A 50026-2024</t>
        </is>
      </c>
      <c r="B188" s="1" t="n">
        <v>45599.60541666667</v>
      </c>
      <c r="C188" s="1" t="n">
        <v>45981</v>
      </c>
      <c r="D188" t="inlineStr">
        <is>
          <t>ÖREBRO LÄN</t>
        </is>
      </c>
      <c r="E188" t="inlineStr">
        <is>
          <t>ÖREBRO</t>
        </is>
      </c>
      <c r="G188" t="n">
        <v>2.2</v>
      </c>
      <c r="H188" t="n">
        <v>0</v>
      </c>
      <c r="I188" t="n">
        <v>0</v>
      </c>
      <c r="J188" t="n">
        <v>0</v>
      </c>
      <c r="K188" t="n">
        <v>0</v>
      </c>
      <c r="L188" t="n">
        <v>0</v>
      </c>
      <c r="M188" t="n">
        <v>0</v>
      </c>
      <c r="N188" t="n">
        <v>0</v>
      </c>
      <c r="O188" t="n">
        <v>0</v>
      </c>
      <c r="P188" t="n">
        <v>0</v>
      </c>
      <c r="Q188" t="n">
        <v>0</v>
      </c>
      <c r="R188" s="2" t="inlineStr"/>
    </row>
    <row r="189" ht="15" customHeight="1">
      <c r="A189" t="inlineStr">
        <is>
          <t>A 35345-2024</t>
        </is>
      </c>
      <c r="B189" s="1" t="n">
        <v>45530</v>
      </c>
      <c r="C189" s="1" t="n">
        <v>45981</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13418-2024</t>
        </is>
      </c>
      <c r="B190" s="1" t="n">
        <v>45387.46482638889</v>
      </c>
      <c r="C190" s="1" t="n">
        <v>45981</v>
      </c>
      <c r="D190" t="inlineStr">
        <is>
          <t>ÖREBRO LÄN</t>
        </is>
      </c>
      <c r="E190" t="inlineStr">
        <is>
          <t>ÖREBRO</t>
        </is>
      </c>
      <c r="G190" t="n">
        <v>4.2</v>
      </c>
      <c r="H190" t="n">
        <v>0</v>
      </c>
      <c r="I190" t="n">
        <v>0</v>
      </c>
      <c r="J190" t="n">
        <v>0</v>
      </c>
      <c r="K190" t="n">
        <v>0</v>
      </c>
      <c r="L190" t="n">
        <v>0</v>
      </c>
      <c r="M190" t="n">
        <v>0</v>
      </c>
      <c r="N190" t="n">
        <v>0</v>
      </c>
      <c r="O190" t="n">
        <v>0</v>
      </c>
      <c r="P190" t="n">
        <v>0</v>
      </c>
      <c r="Q190" t="n">
        <v>0</v>
      </c>
      <c r="R190" s="2" t="inlineStr"/>
    </row>
    <row r="191" ht="15" customHeight="1">
      <c r="A191" t="inlineStr">
        <is>
          <t>A 8568-2021</t>
        </is>
      </c>
      <c r="B191" s="1" t="n">
        <v>44245</v>
      </c>
      <c r="C191" s="1" t="n">
        <v>45981</v>
      </c>
      <c r="D191" t="inlineStr">
        <is>
          <t>ÖREBRO LÄN</t>
        </is>
      </c>
      <c r="E191" t="inlineStr">
        <is>
          <t>ÖREBRO</t>
        </is>
      </c>
      <c r="G191" t="n">
        <v>4.8</v>
      </c>
      <c r="H191" t="n">
        <v>0</v>
      </c>
      <c r="I191" t="n">
        <v>0</v>
      </c>
      <c r="J191" t="n">
        <v>0</v>
      </c>
      <c r="K191" t="n">
        <v>0</v>
      </c>
      <c r="L191" t="n">
        <v>0</v>
      </c>
      <c r="M191" t="n">
        <v>0</v>
      </c>
      <c r="N191" t="n">
        <v>0</v>
      </c>
      <c r="O191" t="n">
        <v>0</v>
      </c>
      <c r="P191" t="n">
        <v>0</v>
      </c>
      <c r="Q191" t="n">
        <v>0</v>
      </c>
      <c r="R191" s="2" t="inlineStr"/>
    </row>
    <row r="192" ht="15" customHeight="1">
      <c r="A192" t="inlineStr">
        <is>
          <t>A 45517-2023</t>
        </is>
      </c>
      <c r="B192" s="1" t="n">
        <v>45194.49594907407</v>
      </c>
      <c r="C192" s="1" t="n">
        <v>45981</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62794-2021</t>
        </is>
      </c>
      <c r="B193" s="1" t="n">
        <v>44504</v>
      </c>
      <c r="C193" s="1" t="n">
        <v>45981</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19180-2025</t>
        </is>
      </c>
      <c r="B194" s="1" t="n">
        <v>45769.40133101852</v>
      </c>
      <c r="C194" s="1" t="n">
        <v>45981</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58684-2023</t>
        </is>
      </c>
      <c r="B195" s="1" t="n">
        <v>45251</v>
      </c>
      <c r="C195" s="1" t="n">
        <v>45981</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37771-2024</t>
        </is>
      </c>
      <c r="B196" s="1" t="n">
        <v>45542.31359953704</v>
      </c>
      <c r="C196" s="1" t="n">
        <v>45981</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32321-2023</t>
        </is>
      </c>
      <c r="B197" s="1" t="n">
        <v>45120</v>
      </c>
      <c r="C197" s="1" t="n">
        <v>45981</v>
      </c>
      <c r="D197" t="inlineStr">
        <is>
          <t>ÖREBRO LÄN</t>
        </is>
      </c>
      <c r="E197" t="inlineStr">
        <is>
          <t>ÖREBRO</t>
        </is>
      </c>
      <c r="G197" t="n">
        <v>3.4</v>
      </c>
      <c r="H197" t="n">
        <v>0</v>
      </c>
      <c r="I197" t="n">
        <v>0</v>
      </c>
      <c r="J197" t="n">
        <v>0</v>
      </c>
      <c r="K197" t="n">
        <v>0</v>
      </c>
      <c r="L197" t="n">
        <v>0</v>
      </c>
      <c r="M197" t="n">
        <v>0</v>
      </c>
      <c r="N197" t="n">
        <v>0</v>
      </c>
      <c r="O197" t="n">
        <v>0</v>
      </c>
      <c r="P197" t="n">
        <v>0</v>
      </c>
      <c r="Q197" t="n">
        <v>0</v>
      </c>
      <c r="R197" s="2" t="inlineStr"/>
    </row>
    <row r="198" ht="15" customHeight="1">
      <c r="A198" t="inlineStr">
        <is>
          <t>A 29138-2022</t>
        </is>
      </c>
      <c r="B198" s="1" t="n">
        <v>44750</v>
      </c>
      <c r="C198" s="1" t="n">
        <v>45981</v>
      </c>
      <c r="D198" t="inlineStr">
        <is>
          <t>ÖREBRO LÄN</t>
        </is>
      </c>
      <c r="E198" t="inlineStr">
        <is>
          <t>ÖREBRO</t>
        </is>
      </c>
      <c r="G198" t="n">
        <v>3.3</v>
      </c>
      <c r="H198" t="n">
        <v>0</v>
      </c>
      <c r="I198" t="n">
        <v>0</v>
      </c>
      <c r="J198" t="n">
        <v>0</v>
      </c>
      <c r="K198" t="n">
        <v>0</v>
      </c>
      <c r="L198" t="n">
        <v>0</v>
      </c>
      <c r="M198" t="n">
        <v>0</v>
      </c>
      <c r="N198" t="n">
        <v>0</v>
      </c>
      <c r="O198" t="n">
        <v>0</v>
      </c>
      <c r="P198" t="n">
        <v>0</v>
      </c>
      <c r="Q198" t="n">
        <v>0</v>
      </c>
      <c r="R198" s="2" t="inlineStr"/>
    </row>
    <row r="199" ht="15" customHeight="1">
      <c r="A199" t="inlineStr">
        <is>
          <t>A 29143-2022</t>
        </is>
      </c>
      <c r="B199" s="1" t="n">
        <v>44750</v>
      </c>
      <c r="C199" s="1" t="n">
        <v>45981</v>
      </c>
      <c r="D199" t="inlineStr">
        <is>
          <t>ÖREBRO LÄN</t>
        </is>
      </c>
      <c r="E199" t="inlineStr">
        <is>
          <t>ÖREBRO</t>
        </is>
      </c>
      <c r="G199" t="n">
        <v>5.6</v>
      </c>
      <c r="H199" t="n">
        <v>0</v>
      </c>
      <c r="I199" t="n">
        <v>0</v>
      </c>
      <c r="J199" t="n">
        <v>0</v>
      </c>
      <c r="K199" t="n">
        <v>0</v>
      </c>
      <c r="L199" t="n">
        <v>0</v>
      </c>
      <c r="M199" t="n">
        <v>0</v>
      </c>
      <c r="N199" t="n">
        <v>0</v>
      </c>
      <c r="O199" t="n">
        <v>0</v>
      </c>
      <c r="P199" t="n">
        <v>0</v>
      </c>
      <c r="Q199" t="n">
        <v>0</v>
      </c>
      <c r="R199" s="2" t="inlineStr"/>
    </row>
    <row r="200" ht="15" customHeight="1">
      <c r="A200" t="inlineStr">
        <is>
          <t>A 14234-2024</t>
        </is>
      </c>
      <c r="B200" s="1" t="n">
        <v>45393.46980324074</v>
      </c>
      <c r="C200" s="1" t="n">
        <v>45981</v>
      </c>
      <c r="D200" t="inlineStr">
        <is>
          <t>ÖREBRO LÄN</t>
        </is>
      </c>
      <c r="E200" t="inlineStr">
        <is>
          <t>ÖREBRO</t>
        </is>
      </c>
      <c r="G200" t="n">
        <v>1.6</v>
      </c>
      <c r="H200" t="n">
        <v>0</v>
      </c>
      <c r="I200" t="n">
        <v>0</v>
      </c>
      <c r="J200" t="n">
        <v>0</v>
      </c>
      <c r="K200" t="n">
        <v>0</v>
      </c>
      <c r="L200" t="n">
        <v>0</v>
      </c>
      <c r="M200" t="n">
        <v>0</v>
      </c>
      <c r="N200" t="n">
        <v>0</v>
      </c>
      <c r="O200" t="n">
        <v>0</v>
      </c>
      <c r="P200" t="n">
        <v>0</v>
      </c>
      <c r="Q200" t="n">
        <v>0</v>
      </c>
      <c r="R200" s="2" t="inlineStr"/>
    </row>
    <row r="201" ht="15" customHeight="1">
      <c r="A201" t="inlineStr">
        <is>
          <t>A 71288-2021</t>
        </is>
      </c>
      <c r="B201" s="1" t="n">
        <v>44539.62481481482</v>
      </c>
      <c r="C201" s="1" t="n">
        <v>45981</v>
      </c>
      <c r="D201" t="inlineStr">
        <is>
          <t>ÖREBRO LÄN</t>
        </is>
      </c>
      <c r="E201" t="inlineStr">
        <is>
          <t>ÖREBRO</t>
        </is>
      </c>
      <c r="G201" t="n">
        <v>3.9</v>
      </c>
      <c r="H201" t="n">
        <v>0</v>
      </c>
      <c r="I201" t="n">
        <v>0</v>
      </c>
      <c r="J201" t="n">
        <v>0</v>
      </c>
      <c r="K201" t="n">
        <v>0</v>
      </c>
      <c r="L201" t="n">
        <v>0</v>
      </c>
      <c r="M201" t="n">
        <v>0</v>
      </c>
      <c r="N201" t="n">
        <v>0</v>
      </c>
      <c r="O201" t="n">
        <v>0</v>
      </c>
      <c r="P201" t="n">
        <v>0</v>
      </c>
      <c r="Q201" t="n">
        <v>0</v>
      </c>
      <c r="R201" s="2" t="inlineStr"/>
    </row>
    <row r="202" ht="15" customHeight="1">
      <c r="A202" t="inlineStr">
        <is>
          <t>A 4557-2023</t>
        </is>
      </c>
      <c r="B202" s="1" t="n">
        <v>44956.6655787037</v>
      </c>
      <c r="C202" s="1" t="n">
        <v>45981</v>
      </c>
      <c r="D202" t="inlineStr">
        <is>
          <t>ÖREBRO LÄN</t>
        </is>
      </c>
      <c r="E202" t="inlineStr">
        <is>
          <t>ÖREBRO</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53558-2023</t>
        </is>
      </c>
      <c r="B203" s="1" t="n">
        <v>45230.47266203703</v>
      </c>
      <c r="C203" s="1" t="n">
        <v>45981</v>
      </c>
      <c r="D203" t="inlineStr">
        <is>
          <t>ÖREBRO LÄN</t>
        </is>
      </c>
      <c r="E203" t="inlineStr">
        <is>
          <t>ÖREBRO</t>
        </is>
      </c>
      <c r="F203" t="inlineStr">
        <is>
          <t>Övriga Aktiebolag</t>
        </is>
      </c>
      <c r="G203" t="n">
        <v>4.7</v>
      </c>
      <c r="H203" t="n">
        <v>0</v>
      </c>
      <c r="I203" t="n">
        <v>0</v>
      </c>
      <c r="J203" t="n">
        <v>0</v>
      </c>
      <c r="K203" t="n">
        <v>0</v>
      </c>
      <c r="L203" t="n">
        <v>0</v>
      </c>
      <c r="M203" t="n">
        <v>0</v>
      </c>
      <c r="N203" t="n">
        <v>0</v>
      </c>
      <c r="O203" t="n">
        <v>0</v>
      </c>
      <c r="P203" t="n">
        <v>0</v>
      </c>
      <c r="Q203" t="n">
        <v>0</v>
      </c>
      <c r="R203" s="2" t="inlineStr"/>
    </row>
    <row r="204" ht="15" customHeight="1">
      <c r="A204" t="inlineStr">
        <is>
          <t>A 46518-2023</t>
        </is>
      </c>
      <c r="B204" s="1" t="n">
        <v>45197.72777777778</v>
      </c>
      <c r="C204" s="1" t="n">
        <v>45981</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45237-2023</t>
        </is>
      </c>
      <c r="B205" s="1" t="n">
        <v>45191</v>
      </c>
      <c r="C205" s="1" t="n">
        <v>45981</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7692-2023</t>
        </is>
      </c>
      <c r="B206" s="1" t="n">
        <v>44972.7762962963</v>
      </c>
      <c r="C206" s="1" t="n">
        <v>45981</v>
      </c>
      <c r="D206" t="inlineStr">
        <is>
          <t>ÖREBRO LÄN</t>
        </is>
      </c>
      <c r="E206" t="inlineStr">
        <is>
          <t>ÖREBRO</t>
        </is>
      </c>
      <c r="G206" t="n">
        <v>1.5</v>
      </c>
      <c r="H206" t="n">
        <v>0</v>
      </c>
      <c r="I206" t="n">
        <v>0</v>
      </c>
      <c r="J206" t="n">
        <v>0</v>
      </c>
      <c r="K206" t="n">
        <v>0</v>
      </c>
      <c r="L206" t="n">
        <v>0</v>
      </c>
      <c r="M206" t="n">
        <v>0</v>
      </c>
      <c r="N206" t="n">
        <v>0</v>
      </c>
      <c r="O206" t="n">
        <v>0</v>
      </c>
      <c r="P206" t="n">
        <v>0</v>
      </c>
      <c r="Q206" t="n">
        <v>0</v>
      </c>
      <c r="R206" s="2" t="inlineStr"/>
    </row>
    <row r="207" ht="15" customHeight="1">
      <c r="A207" t="inlineStr">
        <is>
          <t>A 39003-2025</t>
        </is>
      </c>
      <c r="B207" s="1" t="n">
        <v>45888.34467592592</v>
      </c>
      <c r="C207" s="1" t="n">
        <v>45981</v>
      </c>
      <c r="D207" t="inlineStr">
        <is>
          <t>ÖREBRO LÄN</t>
        </is>
      </c>
      <c r="E207" t="inlineStr">
        <is>
          <t>ÖREBRO</t>
        </is>
      </c>
      <c r="G207" t="n">
        <v>3.7</v>
      </c>
      <c r="H207" t="n">
        <v>0</v>
      </c>
      <c r="I207" t="n">
        <v>0</v>
      </c>
      <c r="J207" t="n">
        <v>0</v>
      </c>
      <c r="K207" t="n">
        <v>0</v>
      </c>
      <c r="L207" t="n">
        <v>0</v>
      </c>
      <c r="M207" t="n">
        <v>0</v>
      </c>
      <c r="N207" t="n">
        <v>0</v>
      </c>
      <c r="O207" t="n">
        <v>0</v>
      </c>
      <c r="P207" t="n">
        <v>0</v>
      </c>
      <c r="Q207" t="n">
        <v>0</v>
      </c>
      <c r="R207" s="2" t="inlineStr"/>
    </row>
    <row r="208" ht="15" customHeight="1">
      <c r="A208" t="inlineStr">
        <is>
          <t>A 15422-2022</t>
        </is>
      </c>
      <c r="B208" s="1" t="n">
        <v>44659.63753472222</v>
      </c>
      <c r="C208" s="1" t="n">
        <v>45981</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46056-2024</t>
        </is>
      </c>
      <c r="B209" s="1" t="n">
        <v>45580.91502314815</v>
      </c>
      <c r="C209" s="1" t="n">
        <v>45981</v>
      </c>
      <c r="D209" t="inlineStr">
        <is>
          <t>ÖREBRO LÄN</t>
        </is>
      </c>
      <c r="E209" t="inlineStr">
        <is>
          <t>ÖREBRO</t>
        </is>
      </c>
      <c r="F209" t="inlineStr">
        <is>
          <t>Övriga Aktiebolag</t>
        </is>
      </c>
      <c r="G209" t="n">
        <v>4.5</v>
      </c>
      <c r="H209" t="n">
        <v>0</v>
      </c>
      <c r="I209" t="n">
        <v>0</v>
      </c>
      <c r="J209" t="n">
        <v>0</v>
      </c>
      <c r="K209" t="n">
        <v>0</v>
      </c>
      <c r="L209" t="n">
        <v>0</v>
      </c>
      <c r="M209" t="n">
        <v>0</v>
      </c>
      <c r="N209" t="n">
        <v>0</v>
      </c>
      <c r="O209" t="n">
        <v>0</v>
      </c>
      <c r="P209" t="n">
        <v>0</v>
      </c>
      <c r="Q209" t="n">
        <v>0</v>
      </c>
      <c r="R209" s="2" t="inlineStr"/>
    </row>
    <row r="210" ht="15" customHeight="1">
      <c r="A210" t="inlineStr">
        <is>
          <t>A 39446-2025</t>
        </is>
      </c>
      <c r="B210" s="1" t="n">
        <v>45889.70388888889</v>
      </c>
      <c r="C210" s="1" t="n">
        <v>45981</v>
      </c>
      <c r="D210" t="inlineStr">
        <is>
          <t>ÖREBRO LÄN</t>
        </is>
      </c>
      <c r="E210" t="inlineStr">
        <is>
          <t>ÖREBRO</t>
        </is>
      </c>
      <c r="F210" t="inlineStr">
        <is>
          <t>Kyrkan</t>
        </is>
      </c>
      <c r="G210" t="n">
        <v>3.2</v>
      </c>
      <c r="H210" t="n">
        <v>0</v>
      </c>
      <c r="I210" t="n">
        <v>0</v>
      </c>
      <c r="J210" t="n">
        <v>0</v>
      </c>
      <c r="K210" t="n">
        <v>0</v>
      </c>
      <c r="L210" t="n">
        <v>0</v>
      </c>
      <c r="M210" t="n">
        <v>0</v>
      </c>
      <c r="N210" t="n">
        <v>0</v>
      </c>
      <c r="O210" t="n">
        <v>0</v>
      </c>
      <c r="P210" t="n">
        <v>0</v>
      </c>
      <c r="Q210" t="n">
        <v>0</v>
      </c>
      <c r="R210" s="2" t="inlineStr"/>
    </row>
    <row r="211" ht="15" customHeight="1">
      <c r="A211" t="inlineStr">
        <is>
          <t>A 57638-2022</t>
        </is>
      </c>
      <c r="B211" s="1" t="n">
        <v>44897</v>
      </c>
      <c r="C211" s="1" t="n">
        <v>45981</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46323-2024</t>
        </is>
      </c>
      <c r="B212" s="1" t="n">
        <v>45581.84538194445</v>
      </c>
      <c r="C212" s="1" t="n">
        <v>45981</v>
      </c>
      <c r="D212" t="inlineStr">
        <is>
          <t>ÖREBRO LÄN</t>
        </is>
      </c>
      <c r="E212" t="inlineStr">
        <is>
          <t>ÖREBRO</t>
        </is>
      </c>
      <c r="F212" t="inlineStr">
        <is>
          <t>Övriga Aktiebolag</t>
        </is>
      </c>
      <c r="G212" t="n">
        <v>1.4</v>
      </c>
      <c r="H212" t="n">
        <v>0</v>
      </c>
      <c r="I212" t="n">
        <v>0</v>
      </c>
      <c r="J212" t="n">
        <v>0</v>
      </c>
      <c r="K212" t="n">
        <v>0</v>
      </c>
      <c r="L212" t="n">
        <v>0</v>
      </c>
      <c r="M212" t="n">
        <v>0</v>
      </c>
      <c r="N212" t="n">
        <v>0</v>
      </c>
      <c r="O212" t="n">
        <v>0</v>
      </c>
      <c r="P212" t="n">
        <v>0</v>
      </c>
      <c r="Q212" t="n">
        <v>0</v>
      </c>
      <c r="R212" s="2" t="inlineStr"/>
    </row>
    <row r="213" ht="15" customHeight="1">
      <c r="A213" t="inlineStr">
        <is>
          <t>A 35819-2024</t>
        </is>
      </c>
      <c r="B213" s="1" t="n">
        <v>45532</v>
      </c>
      <c r="C213" s="1" t="n">
        <v>45981</v>
      </c>
      <c r="D213" t="inlineStr">
        <is>
          <t>ÖREBRO LÄN</t>
        </is>
      </c>
      <c r="E213" t="inlineStr">
        <is>
          <t>ÖREBRO</t>
        </is>
      </c>
      <c r="G213" t="n">
        <v>6.4</v>
      </c>
      <c r="H213" t="n">
        <v>0</v>
      </c>
      <c r="I213" t="n">
        <v>0</v>
      </c>
      <c r="J213" t="n">
        <v>0</v>
      </c>
      <c r="K213" t="n">
        <v>0</v>
      </c>
      <c r="L213" t="n">
        <v>0</v>
      </c>
      <c r="M213" t="n">
        <v>0</v>
      </c>
      <c r="N213" t="n">
        <v>0</v>
      </c>
      <c r="O213" t="n">
        <v>0</v>
      </c>
      <c r="P213" t="n">
        <v>0</v>
      </c>
      <c r="Q213" t="n">
        <v>0</v>
      </c>
      <c r="R213" s="2" t="inlineStr"/>
    </row>
    <row r="214" ht="15" customHeight="1">
      <c r="A214" t="inlineStr">
        <is>
          <t>A 16739-2023</t>
        </is>
      </c>
      <c r="B214" s="1" t="n">
        <v>45030.72627314815</v>
      </c>
      <c r="C214" s="1" t="n">
        <v>45981</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8274-2025</t>
        </is>
      </c>
      <c r="B215" s="1" t="n">
        <v>45708</v>
      </c>
      <c r="C215" s="1" t="n">
        <v>45981</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39479-2025</t>
        </is>
      </c>
      <c r="B216" s="1" t="n">
        <v>45890.34752314815</v>
      </c>
      <c r="C216" s="1" t="n">
        <v>45981</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7634-2024</t>
        </is>
      </c>
      <c r="B217" s="1" t="n">
        <v>45348</v>
      </c>
      <c r="C217" s="1" t="n">
        <v>45981</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58208-2024</t>
        </is>
      </c>
      <c r="B218" s="1" t="n">
        <v>45632</v>
      </c>
      <c r="C218" s="1" t="n">
        <v>45981</v>
      </c>
      <c r="D218" t="inlineStr">
        <is>
          <t>ÖREBRO LÄN</t>
        </is>
      </c>
      <c r="E218" t="inlineStr">
        <is>
          <t>ÖREBRO</t>
        </is>
      </c>
      <c r="G218" t="n">
        <v>3.1</v>
      </c>
      <c r="H218" t="n">
        <v>0</v>
      </c>
      <c r="I218" t="n">
        <v>0</v>
      </c>
      <c r="J218" t="n">
        <v>0</v>
      </c>
      <c r="K218" t="n">
        <v>0</v>
      </c>
      <c r="L218" t="n">
        <v>0</v>
      </c>
      <c r="M218" t="n">
        <v>0</v>
      </c>
      <c r="N218" t="n">
        <v>0</v>
      </c>
      <c r="O218" t="n">
        <v>0</v>
      </c>
      <c r="P218" t="n">
        <v>0</v>
      </c>
      <c r="Q218" t="n">
        <v>0</v>
      </c>
      <c r="R218" s="2" t="inlineStr"/>
    </row>
    <row r="219" ht="15" customHeight="1">
      <c r="A219" t="inlineStr">
        <is>
          <t>A 71266-2021</t>
        </is>
      </c>
      <c r="B219" s="1" t="n">
        <v>44539</v>
      </c>
      <c r="C219" s="1" t="n">
        <v>45981</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71267-2021</t>
        </is>
      </c>
      <c r="B220" s="1" t="n">
        <v>44539</v>
      </c>
      <c r="C220" s="1" t="n">
        <v>45981</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71280-2021</t>
        </is>
      </c>
      <c r="B221" s="1" t="n">
        <v>44539</v>
      </c>
      <c r="C221" s="1" t="n">
        <v>45981</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40330-2025</t>
        </is>
      </c>
      <c r="B222" s="1" t="n">
        <v>45895.4531712963</v>
      </c>
      <c r="C222" s="1" t="n">
        <v>45981</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40332-2025</t>
        </is>
      </c>
      <c r="B223" s="1" t="n">
        <v>45895.46060185185</v>
      </c>
      <c r="C223" s="1" t="n">
        <v>45981</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49465-2024</t>
        </is>
      </c>
      <c r="B224" s="1" t="n">
        <v>45596</v>
      </c>
      <c r="C224" s="1" t="n">
        <v>45981</v>
      </c>
      <c r="D224" t="inlineStr">
        <is>
          <t>ÖREBRO LÄN</t>
        </is>
      </c>
      <c r="E224" t="inlineStr">
        <is>
          <t>ÖREBRO</t>
        </is>
      </c>
      <c r="F224" t="inlineStr">
        <is>
          <t>Övriga Aktiebolag</t>
        </is>
      </c>
      <c r="G224" t="n">
        <v>21</v>
      </c>
      <c r="H224" t="n">
        <v>0</v>
      </c>
      <c r="I224" t="n">
        <v>0</v>
      </c>
      <c r="J224" t="n">
        <v>0</v>
      </c>
      <c r="K224" t="n">
        <v>0</v>
      </c>
      <c r="L224" t="n">
        <v>0</v>
      </c>
      <c r="M224" t="n">
        <v>0</v>
      </c>
      <c r="N224" t="n">
        <v>0</v>
      </c>
      <c r="O224" t="n">
        <v>0</v>
      </c>
      <c r="P224" t="n">
        <v>0</v>
      </c>
      <c r="Q224" t="n">
        <v>0</v>
      </c>
      <c r="R224" s="2" t="inlineStr"/>
    </row>
    <row r="225" ht="15" customHeight="1">
      <c r="A225" t="inlineStr">
        <is>
          <t>A 21983-2021</t>
        </is>
      </c>
      <c r="B225" s="1" t="n">
        <v>44323</v>
      </c>
      <c r="C225" s="1" t="n">
        <v>45981</v>
      </c>
      <c r="D225" t="inlineStr">
        <is>
          <t>ÖREBRO LÄN</t>
        </is>
      </c>
      <c r="E225" t="inlineStr">
        <is>
          <t>ÖREBRO</t>
        </is>
      </c>
      <c r="F225" t="inlineStr">
        <is>
          <t>Övriga Aktiebolag</t>
        </is>
      </c>
      <c r="G225" t="n">
        <v>0.7</v>
      </c>
      <c r="H225" t="n">
        <v>0</v>
      </c>
      <c r="I225" t="n">
        <v>0</v>
      </c>
      <c r="J225" t="n">
        <v>0</v>
      </c>
      <c r="K225" t="n">
        <v>0</v>
      </c>
      <c r="L225" t="n">
        <v>0</v>
      </c>
      <c r="M225" t="n">
        <v>0</v>
      </c>
      <c r="N225" t="n">
        <v>0</v>
      </c>
      <c r="O225" t="n">
        <v>0</v>
      </c>
      <c r="P225" t="n">
        <v>0</v>
      </c>
      <c r="Q225" t="n">
        <v>0</v>
      </c>
      <c r="R225" s="2" t="inlineStr"/>
    </row>
    <row r="226" ht="15" customHeight="1">
      <c r="A226" t="inlineStr">
        <is>
          <t>A 38842-2022</t>
        </is>
      </c>
      <c r="B226" s="1" t="n">
        <v>44814</v>
      </c>
      <c r="C226" s="1" t="n">
        <v>45981</v>
      </c>
      <c r="D226" t="inlineStr">
        <is>
          <t>ÖREBRO LÄN</t>
        </is>
      </c>
      <c r="E226" t="inlineStr">
        <is>
          <t>ÖREBRO</t>
        </is>
      </c>
      <c r="G226" t="n">
        <v>5</v>
      </c>
      <c r="H226" t="n">
        <v>0</v>
      </c>
      <c r="I226" t="n">
        <v>0</v>
      </c>
      <c r="J226" t="n">
        <v>0</v>
      </c>
      <c r="K226" t="n">
        <v>0</v>
      </c>
      <c r="L226" t="n">
        <v>0</v>
      </c>
      <c r="M226" t="n">
        <v>0</v>
      </c>
      <c r="N226" t="n">
        <v>0</v>
      </c>
      <c r="O226" t="n">
        <v>0</v>
      </c>
      <c r="P226" t="n">
        <v>0</v>
      </c>
      <c r="Q226" t="n">
        <v>0</v>
      </c>
      <c r="R226" s="2" t="inlineStr"/>
    </row>
    <row r="227" ht="15" customHeight="1">
      <c r="A227" t="inlineStr">
        <is>
          <t>A 62497-2023</t>
        </is>
      </c>
      <c r="B227" s="1" t="n">
        <v>45268.59935185185</v>
      </c>
      <c r="C227" s="1" t="n">
        <v>45981</v>
      </c>
      <c r="D227" t="inlineStr">
        <is>
          <t>ÖREBRO LÄN</t>
        </is>
      </c>
      <c r="E227" t="inlineStr">
        <is>
          <t>ÖREBRO</t>
        </is>
      </c>
      <c r="F227" t="inlineStr">
        <is>
          <t>Övriga Aktiebolag</t>
        </is>
      </c>
      <c r="G227" t="n">
        <v>3.2</v>
      </c>
      <c r="H227" t="n">
        <v>0</v>
      </c>
      <c r="I227" t="n">
        <v>0</v>
      </c>
      <c r="J227" t="n">
        <v>0</v>
      </c>
      <c r="K227" t="n">
        <v>0</v>
      </c>
      <c r="L227" t="n">
        <v>0</v>
      </c>
      <c r="M227" t="n">
        <v>0</v>
      </c>
      <c r="N227" t="n">
        <v>0</v>
      </c>
      <c r="O227" t="n">
        <v>0</v>
      </c>
      <c r="P227" t="n">
        <v>0</v>
      </c>
      <c r="Q227" t="n">
        <v>0</v>
      </c>
      <c r="R227" s="2" t="inlineStr"/>
    </row>
    <row r="228" ht="15" customHeight="1">
      <c r="A228" t="inlineStr">
        <is>
          <t>A 33294-2023</t>
        </is>
      </c>
      <c r="B228" s="1" t="n">
        <v>45127</v>
      </c>
      <c r="C228" s="1" t="n">
        <v>45981</v>
      </c>
      <c r="D228" t="inlineStr">
        <is>
          <t>ÖREBRO LÄN</t>
        </is>
      </c>
      <c r="E228" t="inlineStr">
        <is>
          <t>ÖREBRO</t>
        </is>
      </c>
      <c r="F228" t="inlineStr">
        <is>
          <t>Övriga Aktiebolag</t>
        </is>
      </c>
      <c r="G228" t="n">
        <v>6.7</v>
      </c>
      <c r="H228" t="n">
        <v>0</v>
      </c>
      <c r="I228" t="n">
        <v>0</v>
      </c>
      <c r="J228" t="n">
        <v>0</v>
      </c>
      <c r="K228" t="n">
        <v>0</v>
      </c>
      <c r="L228" t="n">
        <v>0</v>
      </c>
      <c r="M228" t="n">
        <v>0</v>
      </c>
      <c r="N228" t="n">
        <v>0</v>
      </c>
      <c r="O228" t="n">
        <v>0</v>
      </c>
      <c r="P228" t="n">
        <v>0</v>
      </c>
      <c r="Q228" t="n">
        <v>0</v>
      </c>
      <c r="R228" s="2" t="inlineStr"/>
    </row>
    <row r="229" ht="15" customHeight="1">
      <c r="A229" t="inlineStr">
        <is>
          <t>A 37022-2024</t>
        </is>
      </c>
      <c r="B229" s="1" t="n">
        <v>45539.3822337963</v>
      </c>
      <c r="C229" s="1" t="n">
        <v>45981</v>
      </c>
      <c r="D229" t="inlineStr">
        <is>
          <t>ÖREBRO LÄN</t>
        </is>
      </c>
      <c r="E229" t="inlineStr">
        <is>
          <t>ÖREBRO</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37024-2024</t>
        </is>
      </c>
      <c r="B230" s="1" t="n">
        <v>45539.38329861111</v>
      </c>
      <c r="C230" s="1" t="n">
        <v>45981</v>
      </c>
      <c r="D230" t="inlineStr">
        <is>
          <t>ÖREBRO LÄN</t>
        </is>
      </c>
      <c r="E230" t="inlineStr">
        <is>
          <t>ÖREBRO</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46052-2024</t>
        </is>
      </c>
      <c r="B231" s="1" t="n">
        <v>45580.89116898148</v>
      </c>
      <c r="C231" s="1" t="n">
        <v>45981</v>
      </c>
      <c r="D231" t="inlineStr">
        <is>
          <t>ÖREBRO LÄN</t>
        </is>
      </c>
      <c r="E231" t="inlineStr">
        <is>
          <t>ÖREBRO</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47047-2022</t>
        </is>
      </c>
      <c r="B232" s="1" t="n">
        <v>44852.39063657408</v>
      </c>
      <c r="C232" s="1" t="n">
        <v>45981</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48644-2024</t>
        </is>
      </c>
      <c r="B233" s="1" t="n">
        <v>45593.47466435185</v>
      </c>
      <c r="C233" s="1" t="n">
        <v>45981</v>
      </c>
      <c r="D233" t="inlineStr">
        <is>
          <t>ÖREBRO LÄN</t>
        </is>
      </c>
      <c r="E233" t="inlineStr">
        <is>
          <t>ÖREBRO</t>
        </is>
      </c>
      <c r="F233" t="inlineStr">
        <is>
          <t>Övriga Aktiebolag</t>
        </is>
      </c>
      <c r="G233" t="n">
        <v>1.1</v>
      </c>
      <c r="H233" t="n">
        <v>0</v>
      </c>
      <c r="I233" t="n">
        <v>0</v>
      </c>
      <c r="J233" t="n">
        <v>0</v>
      </c>
      <c r="K233" t="n">
        <v>0</v>
      </c>
      <c r="L233" t="n">
        <v>0</v>
      </c>
      <c r="M233" t="n">
        <v>0</v>
      </c>
      <c r="N233" t="n">
        <v>0</v>
      </c>
      <c r="O233" t="n">
        <v>0</v>
      </c>
      <c r="P233" t="n">
        <v>0</v>
      </c>
      <c r="Q233" t="n">
        <v>0</v>
      </c>
      <c r="R233" s="2" t="inlineStr"/>
    </row>
    <row r="234" ht="15" customHeight="1">
      <c r="A234" t="inlineStr">
        <is>
          <t>A 32076-2023</t>
        </is>
      </c>
      <c r="B234" s="1" t="n">
        <v>45119.58324074074</v>
      </c>
      <c r="C234" s="1" t="n">
        <v>45981</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54149-2024</t>
        </is>
      </c>
      <c r="B235" s="1" t="n">
        <v>45616</v>
      </c>
      <c r="C235" s="1" t="n">
        <v>45981</v>
      </c>
      <c r="D235" t="inlineStr">
        <is>
          <t>ÖREBRO LÄN</t>
        </is>
      </c>
      <c r="E235" t="inlineStr">
        <is>
          <t>ÖREBRO</t>
        </is>
      </c>
      <c r="G235" t="n">
        <v>2.7</v>
      </c>
      <c r="H235" t="n">
        <v>0</v>
      </c>
      <c r="I235" t="n">
        <v>0</v>
      </c>
      <c r="J235" t="n">
        <v>0</v>
      </c>
      <c r="K235" t="n">
        <v>0</v>
      </c>
      <c r="L235" t="n">
        <v>0</v>
      </c>
      <c r="M235" t="n">
        <v>0</v>
      </c>
      <c r="N235" t="n">
        <v>0</v>
      </c>
      <c r="O235" t="n">
        <v>0</v>
      </c>
      <c r="P235" t="n">
        <v>0</v>
      </c>
      <c r="Q235" t="n">
        <v>0</v>
      </c>
      <c r="R235" s="2" t="inlineStr"/>
    </row>
    <row r="236" ht="15" customHeight="1">
      <c r="A236" t="inlineStr">
        <is>
          <t>A 21338-2025</t>
        </is>
      </c>
      <c r="B236" s="1" t="n">
        <v>45780</v>
      </c>
      <c r="C236" s="1" t="n">
        <v>45981</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12871-2021</t>
        </is>
      </c>
      <c r="B237" s="1" t="n">
        <v>44271.42121527778</v>
      </c>
      <c r="C237" s="1" t="n">
        <v>45981</v>
      </c>
      <c r="D237" t="inlineStr">
        <is>
          <t>ÖREBRO LÄN</t>
        </is>
      </c>
      <c r="E237" t="inlineStr">
        <is>
          <t>ÖREBRO</t>
        </is>
      </c>
      <c r="G237" t="n">
        <v>0.9</v>
      </c>
      <c r="H237" t="n">
        <v>0</v>
      </c>
      <c r="I237" t="n">
        <v>0</v>
      </c>
      <c r="J237" t="n">
        <v>0</v>
      </c>
      <c r="K237" t="n">
        <v>0</v>
      </c>
      <c r="L237" t="n">
        <v>0</v>
      </c>
      <c r="M237" t="n">
        <v>0</v>
      </c>
      <c r="N237" t="n">
        <v>0</v>
      </c>
      <c r="O237" t="n">
        <v>0</v>
      </c>
      <c r="P237" t="n">
        <v>0</v>
      </c>
      <c r="Q237" t="n">
        <v>0</v>
      </c>
      <c r="R237" s="2" t="inlineStr"/>
    </row>
    <row r="238" ht="15" customHeight="1">
      <c r="A238" t="inlineStr">
        <is>
          <t>A 15424-2022</t>
        </is>
      </c>
      <c r="B238" s="1" t="n">
        <v>44659</v>
      </c>
      <c r="C238" s="1" t="n">
        <v>45981</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15682-2023</t>
        </is>
      </c>
      <c r="B239" s="1" t="n">
        <v>45021</v>
      </c>
      <c r="C239" s="1" t="n">
        <v>45981</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58598-2022</t>
        </is>
      </c>
      <c r="B240" s="1" t="n">
        <v>44902</v>
      </c>
      <c r="C240" s="1" t="n">
        <v>45981</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13158-2024</t>
        </is>
      </c>
      <c r="B241" s="1" t="n">
        <v>45386.38728009259</v>
      </c>
      <c r="C241" s="1" t="n">
        <v>45981</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12682-2023</t>
        </is>
      </c>
      <c r="B242" s="1" t="n">
        <v>45000.6115625</v>
      </c>
      <c r="C242" s="1" t="n">
        <v>45981</v>
      </c>
      <c r="D242" t="inlineStr">
        <is>
          <t>ÖREBRO LÄN</t>
        </is>
      </c>
      <c r="E242" t="inlineStr">
        <is>
          <t>ÖREBRO</t>
        </is>
      </c>
      <c r="F242" t="inlineStr">
        <is>
          <t>Övriga Aktiebolag</t>
        </is>
      </c>
      <c r="G242" t="n">
        <v>4.4</v>
      </c>
      <c r="H242" t="n">
        <v>0</v>
      </c>
      <c r="I242" t="n">
        <v>0</v>
      </c>
      <c r="J242" t="n">
        <v>0</v>
      </c>
      <c r="K242" t="n">
        <v>0</v>
      </c>
      <c r="L242" t="n">
        <v>0</v>
      </c>
      <c r="M242" t="n">
        <v>0</v>
      </c>
      <c r="N242" t="n">
        <v>0</v>
      </c>
      <c r="O242" t="n">
        <v>0</v>
      </c>
      <c r="P242" t="n">
        <v>0</v>
      </c>
      <c r="Q242" t="n">
        <v>0</v>
      </c>
      <c r="R242" s="2" t="inlineStr"/>
    </row>
    <row r="243" ht="15" customHeight="1">
      <c r="A243" t="inlineStr">
        <is>
          <t>A 57247-2022</t>
        </is>
      </c>
      <c r="B243" s="1" t="n">
        <v>44895.73065972222</v>
      </c>
      <c r="C243" s="1" t="n">
        <v>45981</v>
      </c>
      <c r="D243" t="inlineStr">
        <is>
          <t>ÖREBRO LÄN</t>
        </is>
      </c>
      <c r="E243" t="inlineStr">
        <is>
          <t>ÖREBRO</t>
        </is>
      </c>
      <c r="G243" t="n">
        <v>1.6</v>
      </c>
      <c r="H243" t="n">
        <v>0</v>
      </c>
      <c r="I243" t="n">
        <v>0</v>
      </c>
      <c r="J243" t="n">
        <v>0</v>
      </c>
      <c r="K243" t="n">
        <v>0</v>
      </c>
      <c r="L243" t="n">
        <v>0</v>
      </c>
      <c r="M243" t="n">
        <v>0</v>
      </c>
      <c r="N243" t="n">
        <v>0</v>
      </c>
      <c r="O243" t="n">
        <v>0</v>
      </c>
      <c r="P243" t="n">
        <v>0</v>
      </c>
      <c r="Q243" t="n">
        <v>0</v>
      </c>
      <c r="R243" s="2" t="inlineStr"/>
    </row>
    <row r="244" ht="15" customHeight="1">
      <c r="A244" t="inlineStr">
        <is>
          <t>A 51331-2023</t>
        </is>
      </c>
      <c r="B244" s="1" t="n">
        <v>45219</v>
      </c>
      <c r="C244" s="1" t="n">
        <v>45981</v>
      </c>
      <c r="D244" t="inlineStr">
        <is>
          <t>ÖREBRO LÄN</t>
        </is>
      </c>
      <c r="E244" t="inlineStr">
        <is>
          <t>ÖREBRO</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58644-2023</t>
        </is>
      </c>
      <c r="B245" s="1" t="n">
        <v>45251.58716435185</v>
      </c>
      <c r="C245" s="1" t="n">
        <v>45981</v>
      </c>
      <c r="D245" t="inlineStr">
        <is>
          <t>ÖREBRO LÄN</t>
        </is>
      </c>
      <c r="E245" t="inlineStr">
        <is>
          <t>ÖREBRO</t>
        </is>
      </c>
      <c r="F245" t="inlineStr">
        <is>
          <t>Övriga Aktiebolag</t>
        </is>
      </c>
      <c r="G245" t="n">
        <v>1.9</v>
      </c>
      <c r="H245" t="n">
        <v>0</v>
      </c>
      <c r="I245" t="n">
        <v>0</v>
      </c>
      <c r="J245" t="n">
        <v>0</v>
      </c>
      <c r="K245" t="n">
        <v>0</v>
      </c>
      <c r="L245" t="n">
        <v>0</v>
      </c>
      <c r="M245" t="n">
        <v>0</v>
      </c>
      <c r="N245" t="n">
        <v>0</v>
      </c>
      <c r="O245" t="n">
        <v>0</v>
      </c>
      <c r="P245" t="n">
        <v>0</v>
      </c>
      <c r="Q245" t="n">
        <v>0</v>
      </c>
      <c r="R245" s="2" t="inlineStr"/>
    </row>
    <row r="246" ht="15" customHeight="1">
      <c r="A246" t="inlineStr">
        <is>
          <t>A 22719-2025</t>
        </is>
      </c>
      <c r="B246" s="1" t="n">
        <v>45789</v>
      </c>
      <c r="C246" s="1" t="n">
        <v>45981</v>
      </c>
      <c r="D246" t="inlineStr">
        <is>
          <t>ÖREBRO LÄN</t>
        </is>
      </c>
      <c r="E246" t="inlineStr">
        <is>
          <t>ÖREBRO</t>
        </is>
      </c>
      <c r="G246" t="n">
        <v>1.5</v>
      </c>
      <c r="H246" t="n">
        <v>0</v>
      </c>
      <c r="I246" t="n">
        <v>0</v>
      </c>
      <c r="J246" t="n">
        <v>0</v>
      </c>
      <c r="K246" t="n">
        <v>0</v>
      </c>
      <c r="L246" t="n">
        <v>0</v>
      </c>
      <c r="M246" t="n">
        <v>0</v>
      </c>
      <c r="N246" t="n">
        <v>0</v>
      </c>
      <c r="O246" t="n">
        <v>0</v>
      </c>
      <c r="P246" t="n">
        <v>0</v>
      </c>
      <c r="Q246" t="n">
        <v>0</v>
      </c>
      <c r="R246" s="2" t="inlineStr"/>
    </row>
    <row r="247" ht="15" customHeight="1">
      <c r="A247" t="inlineStr">
        <is>
          <t>A 34874-2022</t>
        </is>
      </c>
      <c r="B247" s="1" t="n">
        <v>44796</v>
      </c>
      <c r="C247" s="1" t="n">
        <v>45981</v>
      </c>
      <c r="D247" t="inlineStr">
        <is>
          <t>ÖREBRO LÄN</t>
        </is>
      </c>
      <c r="E247" t="inlineStr">
        <is>
          <t>ÖREBRO</t>
        </is>
      </c>
      <c r="F247" t="inlineStr">
        <is>
          <t>Övriga Aktiebolag</t>
        </is>
      </c>
      <c r="G247" t="n">
        <v>2.3</v>
      </c>
      <c r="H247" t="n">
        <v>0</v>
      </c>
      <c r="I247" t="n">
        <v>0</v>
      </c>
      <c r="J247" t="n">
        <v>0</v>
      </c>
      <c r="K247" t="n">
        <v>0</v>
      </c>
      <c r="L247" t="n">
        <v>0</v>
      </c>
      <c r="M247" t="n">
        <v>0</v>
      </c>
      <c r="N247" t="n">
        <v>0</v>
      </c>
      <c r="O247" t="n">
        <v>0</v>
      </c>
      <c r="P247" t="n">
        <v>0</v>
      </c>
      <c r="Q247" t="n">
        <v>0</v>
      </c>
      <c r="R247" s="2" t="inlineStr"/>
    </row>
    <row r="248" ht="15" customHeight="1">
      <c r="A248" t="inlineStr">
        <is>
          <t>A 58606-2024</t>
        </is>
      </c>
      <c r="B248" s="1" t="n">
        <v>45635.54747685185</v>
      </c>
      <c r="C248" s="1" t="n">
        <v>45981</v>
      </c>
      <c r="D248" t="inlineStr">
        <is>
          <t>ÖREBRO LÄN</t>
        </is>
      </c>
      <c r="E248" t="inlineStr">
        <is>
          <t>ÖREBRO</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123-2025</t>
        </is>
      </c>
      <c r="B249" s="1" t="n">
        <v>45659.54851851852</v>
      </c>
      <c r="C249" s="1" t="n">
        <v>45981</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764-2024</t>
        </is>
      </c>
      <c r="B250" s="1" t="n">
        <v>45300.51512731481</v>
      </c>
      <c r="C250" s="1" t="n">
        <v>45981</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852-2025</t>
        </is>
      </c>
      <c r="B251" s="1" t="n">
        <v>45665.60148148148</v>
      </c>
      <c r="C251" s="1" t="n">
        <v>45981</v>
      </c>
      <c r="D251" t="inlineStr">
        <is>
          <t>ÖREBRO LÄN</t>
        </is>
      </c>
      <c r="E251" t="inlineStr">
        <is>
          <t>ÖREBRO</t>
        </is>
      </c>
      <c r="G251" t="n">
        <v>2.9</v>
      </c>
      <c r="H251" t="n">
        <v>0</v>
      </c>
      <c r="I251" t="n">
        <v>0</v>
      </c>
      <c r="J251" t="n">
        <v>0</v>
      </c>
      <c r="K251" t="n">
        <v>0</v>
      </c>
      <c r="L251" t="n">
        <v>0</v>
      </c>
      <c r="M251" t="n">
        <v>0</v>
      </c>
      <c r="N251" t="n">
        <v>0</v>
      </c>
      <c r="O251" t="n">
        <v>0</v>
      </c>
      <c r="P251" t="n">
        <v>0</v>
      </c>
      <c r="Q251" t="n">
        <v>0</v>
      </c>
      <c r="R251" s="2" t="inlineStr"/>
    </row>
    <row r="252" ht="15" customHeight="1">
      <c r="A252" t="inlineStr">
        <is>
          <t>A 37012-2024</t>
        </is>
      </c>
      <c r="B252" s="1" t="n">
        <v>45539</v>
      </c>
      <c r="C252" s="1" t="n">
        <v>45981</v>
      </c>
      <c r="D252" t="inlineStr">
        <is>
          <t>ÖREBRO LÄN</t>
        </is>
      </c>
      <c r="E252" t="inlineStr">
        <is>
          <t>ÖREBRO</t>
        </is>
      </c>
      <c r="G252" t="n">
        <v>4.1</v>
      </c>
      <c r="H252" t="n">
        <v>0</v>
      </c>
      <c r="I252" t="n">
        <v>0</v>
      </c>
      <c r="J252" t="n">
        <v>0</v>
      </c>
      <c r="K252" t="n">
        <v>0</v>
      </c>
      <c r="L252" t="n">
        <v>0</v>
      </c>
      <c r="M252" t="n">
        <v>0</v>
      </c>
      <c r="N252" t="n">
        <v>0</v>
      </c>
      <c r="O252" t="n">
        <v>0</v>
      </c>
      <c r="P252" t="n">
        <v>0</v>
      </c>
      <c r="Q252" t="n">
        <v>0</v>
      </c>
      <c r="R252" s="2" t="inlineStr"/>
    </row>
    <row r="253" ht="15" customHeight="1">
      <c r="A253" t="inlineStr">
        <is>
          <t>A 37020-2024</t>
        </is>
      </c>
      <c r="B253" s="1" t="n">
        <v>45539.38059027777</v>
      </c>
      <c r="C253" s="1" t="n">
        <v>45981</v>
      </c>
      <c r="D253" t="inlineStr">
        <is>
          <t>ÖREBRO LÄN</t>
        </is>
      </c>
      <c r="E253" t="inlineStr">
        <is>
          <t>ÖREBRO</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22755-2025</t>
        </is>
      </c>
      <c r="B254" s="1" t="n">
        <v>45789.61872685186</v>
      </c>
      <c r="C254" s="1" t="n">
        <v>45981</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41412-2025</t>
        </is>
      </c>
      <c r="B255" s="1" t="n">
        <v>45901.3549537037</v>
      </c>
      <c r="C255" s="1" t="n">
        <v>45981</v>
      </c>
      <c r="D255" t="inlineStr">
        <is>
          <t>ÖREBRO LÄN</t>
        </is>
      </c>
      <c r="E255" t="inlineStr">
        <is>
          <t>ÖREBRO</t>
        </is>
      </c>
      <c r="G255" t="n">
        <v>1.1</v>
      </c>
      <c r="H255" t="n">
        <v>0</v>
      </c>
      <c r="I255" t="n">
        <v>0</v>
      </c>
      <c r="J255" t="n">
        <v>0</v>
      </c>
      <c r="K255" t="n">
        <v>0</v>
      </c>
      <c r="L255" t="n">
        <v>0</v>
      </c>
      <c r="M255" t="n">
        <v>0</v>
      </c>
      <c r="N255" t="n">
        <v>0</v>
      </c>
      <c r="O255" t="n">
        <v>0</v>
      </c>
      <c r="P255" t="n">
        <v>0</v>
      </c>
      <c r="Q255" t="n">
        <v>0</v>
      </c>
      <c r="R255" s="2" t="inlineStr"/>
    </row>
    <row r="256" ht="15" customHeight="1">
      <c r="A256" t="inlineStr">
        <is>
          <t>A 16958-2022</t>
        </is>
      </c>
      <c r="B256" s="1" t="n">
        <v>44676.50481481481</v>
      </c>
      <c r="C256" s="1" t="n">
        <v>45981</v>
      </c>
      <c r="D256" t="inlineStr">
        <is>
          <t>ÖREBRO LÄN</t>
        </is>
      </c>
      <c r="E256" t="inlineStr">
        <is>
          <t>ÖREBRO</t>
        </is>
      </c>
      <c r="G256" t="n">
        <v>3.1</v>
      </c>
      <c r="H256" t="n">
        <v>0</v>
      </c>
      <c r="I256" t="n">
        <v>0</v>
      </c>
      <c r="J256" t="n">
        <v>0</v>
      </c>
      <c r="K256" t="n">
        <v>0</v>
      </c>
      <c r="L256" t="n">
        <v>0</v>
      </c>
      <c r="M256" t="n">
        <v>0</v>
      </c>
      <c r="N256" t="n">
        <v>0</v>
      </c>
      <c r="O256" t="n">
        <v>0</v>
      </c>
      <c r="P256" t="n">
        <v>0</v>
      </c>
      <c r="Q256" t="n">
        <v>0</v>
      </c>
      <c r="R256" s="2" t="inlineStr"/>
    </row>
    <row r="257" ht="15" customHeight="1">
      <c r="A257" t="inlineStr">
        <is>
          <t>A 5338-2024</t>
        </is>
      </c>
      <c r="B257" s="1" t="n">
        <v>45331</v>
      </c>
      <c r="C257" s="1" t="n">
        <v>45981</v>
      </c>
      <c r="D257" t="inlineStr">
        <is>
          <t>ÖREBRO LÄN</t>
        </is>
      </c>
      <c r="E257" t="inlineStr">
        <is>
          <t>ÖREBRO</t>
        </is>
      </c>
      <c r="G257" t="n">
        <v>0.6</v>
      </c>
      <c r="H257" t="n">
        <v>0</v>
      </c>
      <c r="I257" t="n">
        <v>0</v>
      </c>
      <c r="J257" t="n">
        <v>0</v>
      </c>
      <c r="K257" t="n">
        <v>0</v>
      </c>
      <c r="L257" t="n">
        <v>0</v>
      </c>
      <c r="M257" t="n">
        <v>0</v>
      </c>
      <c r="N257" t="n">
        <v>0</v>
      </c>
      <c r="O257" t="n">
        <v>0</v>
      </c>
      <c r="P257" t="n">
        <v>0</v>
      </c>
      <c r="Q257" t="n">
        <v>0</v>
      </c>
      <c r="R257" s="2" t="inlineStr"/>
    </row>
    <row r="258" ht="15" customHeight="1">
      <c r="A258" t="inlineStr">
        <is>
          <t>A 34336-2024</t>
        </is>
      </c>
      <c r="B258" s="1" t="n">
        <v>45524.94774305556</v>
      </c>
      <c r="C258" s="1" t="n">
        <v>45981</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15555-2025</t>
        </is>
      </c>
      <c r="B259" s="1" t="n">
        <v>45747.67768518518</v>
      </c>
      <c r="C259" s="1" t="n">
        <v>45981</v>
      </c>
      <c r="D259" t="inlineStr">
        <is>
          <t>ÖREBRO LÄN</t>
        </is>
      </c>
      <c r="E259" t="inlineStr">
        <is>
          <t>ÖREBRO</t>
        </is>
      </c>
      <c r="G259" t="n">
        <v>1.7</v>
      </c>
      <c r="H259" t="n">
        <v>0</v>
      </c>
      <c r="I259" t="n">
        <v>0</v>
      </c>
      <c r="J259" t="n">
        <v>0</v>
      </c>
      <c r="K259" t="n">
        <v>0</v>
      </c>
      <c r="L259" t="n">
        <v>0</v>
      </c>
      <c r="M259" t="n">
        <v>0</v>
      </c>
      <c r="N259" t="n">
        <v>0</v>
      </c>
      <c r="O259" t="n">
        <v>0</v>
      </c>
      <c r="P259" t="n">
        <v>0</v>
      </c>
      <c r="Q259" t="n">
        <v>0</v>
      </c>
      <c r="R259" s="2" t="inlineStr"/>
    </row>
    <row r="260" ht="15" customHeight="1">
      <c r="A260" t="inlineStr">
        <is>
          <t>A 61279-2024</t>
        </is>
      </c>
      <c r="B260" s="1" t="n">
        <v>45645</v>
      </c>
      <c r="C260" s="1" t="n">
        <v>45981</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4970-2022</t>
        </is>
      </c>
      <c r="B261" s="1" t="n">
        <v>44593.51175925926</v>
      </c>
      <c r="C261" s="1" t="n">
        <v>45981</v>
      </c>
      <c r="D261" t="inlineStr">
        <is>
          <t>ÖREBRO LÄN</t>
        </is>
      </c>
      <c r="E261" t="inlineStr">
        <is>
          <t>ÖREBRO</t>
        </is>
      </c>
      <c r="G261" t="n">
        <v>1.1</v>
      </c>
      <c r="H261" t="n">
        <v>0</v>
      </c>
      <c r="I261" t="n">
        <v>0</v>
      </c>
      <c r="J261" t="n">
        <v>0</v>
      </c>
      <c r="K261" t="n">
        <v>0</v>
      </c>
      <c r="L261" t="n">
        <v>0</v>
      </c>
      <c r="M261" t="n">
        <v>0</v>
      </c>
      <c r="N261" t="n">
        <v>0</v>
      </c>
      <c r="O261" t="n">
        <v>0</v>
      </c>
      <c r="P261" t="n">
        <v>0</v>
      </c>
      <c r="Q261" t="n">
        <v>0</v>
      </c>
      <c r="R261" s="2" t="inlineStr"/>
    </row>
    <row r="262" ht="15" customHeight="1">
      <c r="A262" t="inlineStr">
        <is>
          <t>A 38583-2023</t>
        </is>
      </c>
      <c r="B262" s="1" t="n">
        <v>45162.62861111111</v>
      </c>
      <c r="C262" s="1" t="n">
        <v>45981</v>
      </c>
      <c r="D262" t="inlineStr">
        <is>
          <t>ÖREBRO LÄN</t>
        </is>
      </c>
      <c r="E262" t="inlineStr">
        <is>
          <t>ÖREBRO</t>
        </is>
      </c>
      <c r="G262" t="n">
        <v>5.7</v>
      </c>
      <c r="H262" t="n">
        <v>0</v>
      </c>
      <c r="I262" t="n">
        <v>0</v>
      </c>
      <c r="J262" t="n">
        <v>0</v>
      </c>
      <c r="K262" t="n">
        <v>0</v>
      </c>
      <c r="L262" t="n">
        <v>0</v>
      </c>
      <c r="M262" t="n">
        <v>0</v>
      </c>
      <c r="N262" t="n">
        <v>0</v>
      </c>
      <c r="O262" t="n">
        <v>0</v>
      </c>
      <c r="P262" t="n">
        <v>0</v>
      </c>
      <c r="Q262" t="n">
        <v>0</v>
      </c>
      <c r="R262" s="2" t="inlineStr"/>
    </row>
    <row r="263" ht="15" customHeight="1">
      <c r="A263" t="inlineStr">
        <is>
          <t>A 38790-2024</t>
        </is>
      </c>
      <c r="B263" s="1" t="n">
        <v>45547.48450231482</v>
      </c>
      <c r="C263" s="1" t="n">
        <v>45981</v>
      </c>
      <c r="D263" t="inlineStr">
        <is>
          <t>ÖREBRO LÄN</t>
        </is>
      </c>
      <c r="E263" t="inlineStr">
        <is>
          <t>ÖREBRO</t>
        </is>
      </c>
      <c r="G263" t="n">
        <v>2</v>
      </c>
      <c r="H263" t="n">
        <v>0</v>
      </c>
      <c r="I263" t="n">
        <v>0</v>
      </c>
      <c r="J263" t="n">
        <v>0</v>
      </c>
      <c r="K263" t="n">
        <v>0</v>
      </c>
      <c r="L263" t="n">
        <v>0</v>
      </c>
      <c r="M263" t="n">
        <v>0</v>
      </c>
      <c r="N263" t="n">
        <v>0</v>
      </c>
      <c r="O263" t="n">
        <v>0</v>
      </c>
      <c r="P263" t="n">
        <v>0</v>
      </c>
      <c r="Q263" t="n">
        <v>0</v>
      </c>
      <c r="R263" s="2" t="inlineStr"/>
    </row>
    <row r="264" ht="15" customHeight="1">
      <c r="A264" t="inlineStr">
        <is>
          <t>A 71269-2021</t>
        </is>
      </c>
      <c r="B264" s="1" t="n">
        <v>44539</v>
      </c>
      <c r="C264" s="1" t="n">
        <v>45981</v>
      </c>
      <c r="D264" t="inlineStr">
        <is>
          <t>ÖREBRO LÄN</t>
        </is>
      </c>
      <c r="E264" t="inlineStr">
        <is>
          <t>ÖREBRO</t>
        </is>
      </c>
      <c r="G264" t="n">
        <v>1.4</v>
      </c>
      <c r="H264" t="n">
        <v>0</v>
      </c>
      <c r="I264" t="n">
        <v>0</v>
      </c>
      <c r="J264" t="n">
        <v>0</v>
      </c>
      <c r="K264" t="n">
        <v>0</v>
      </c>
      <c r="L264" t="n">
        <v>0</v>
      </c>
      <c r="M264" t="n">
        <v>0</v>
      </c>
      <c r="N264" t="n">
        <v>0</v>
      </c>
      <c r="O264" t="n">
        <v>0</v>
      </c>
      <c r="P264" t="n">
        <v>0</v>
      </c>
      <c r="Q264" t="n">
        <v>0</v>
      </c>
      <c r="R264" s="2" t="inlineStr"/>
    </row>
    <row r="265" ht="15" customHeight="1">
      <c r="A265" t="inlineStr">
        <is>
          <t>A 41669-2025</t>
        </is>
      </c>
      <c r="B265" s="1" t="n">
        <v>45902.36149305556</v>
      </c>
      <c r="C265" s="1" t="n">
        <v>45981</v>
      </c>
      <c r="D265" t="inlineStr">
        <is>
          <t>ÖREBRO LÄN</t>
        </is>
      </c>
      <c r="E265" t="inlineStr">
        <is>
          <t>ÖREBRO</t>
        </is>
      </c>
      <c r="G265" t="n">
        <v>2.8</v>
      </c>
      <c r="H265" t="n">
        <v>0</v>
      </c>
      <c r="I265" t="n">
        <v>0</v>
      </c>
      <c r="J265" t="n">
        <v>0</v>
      </c>
      <c r="K265" t="n">
        <v>0</v>
      </c>
      <c r="L265" t="n">
        <v>0</v>
      </c>
      <c r="M265" t="n">
        <v>0</v>
      </c>
      <c r="N265" t="n">
        <v>0</v>
      </c>
      <c r="O265" t="n">
        <v>0</v>
      </c>
      <c r="P265" t="n">
        <v>0</v>
      </c>
      <c r="Q265" t="n">
        <v>0</v>
      </c>
      <c r="R265" s="2" t="inlineStr"/>
    </row>
    <row r="266" ht="15" customHeight="1">
      <c r="A266" t="inlineStr">
        <is>
          <t>A 55745-2023</t>
        </is>
      </c>
      <c r="B266" s="1" t="n">
        <v>45239.44811342593</v>
      </c>
      <c r="C266" s="1" t="n">
        <v>45981</v>
      </c>
      <c r="D266" t="inlineStr">
        <is>
          <t>ÖREBRO LÄN</t>
        </is>
      </c>
      <c r="E266" t="inlineStr">
        <is>
          <t>ÖREBRO</t>
        </is>
      </c>
      <c r="G266" t="n">
        <v>13.3</v>
      </c>
      <c r="H266" t="n">
        <v>0</v>
      </c>
      <c r="I266" t="n">
        <v>0</v>
      </c>
      <c r="J266" t="n">
        <v>0</v>
      </c>
      <c r="K266" t="n">
        <v>0</v>
      </c>
      <c r="L266" t="n">
        <v>0</v>
      </c>
      <c r="M266" t="n">
        <v>0</v>
      </c>
      <c r="N266" t="n">
        <v>0</v>
      </c>
      <c r="O266" t="n">
        <v>0</v>
      </c>
      <c r="P266" t="n">
        <v>0</v>
      </c>
      <c r="Q266" t="n">
        <v>0</v>
      </c>
      <c r="R266" s="2" t="inlineStr"/>
    </row>
    <row r="267" ht="15" customHeight="1">
      <c r="A267" t="inlineStr">
        <is>
          <t>A 30316-2024</t>
        </is>
      </c>
      <c r="B267" s="1" t="n">
        <v>45490</v>
      </c>
      <c r="C267" s="1" t="n">
        <v>45981</v>
      </c>
      <c r="D267" t="inlineStr">
        <is>
          <t>ÖREBRO LÄN</t>
        </is>
      </c>
      <c r="E267" t="inlineStr">
        <is>
          <t>ÖREBRO</t>
        </is>
      </c>
      <c r="G267" t="n">
        <v>5.5</v>
      </c>
      <c r="H267" t="n">
        <v>0</v>
      </c>
      <c r="I267" t="n">
        <v>0</v>
      </c>
      <c r="J267" t="n">
        <v>0</v>
      </c>
      <c r="K267" t="n">
        <v>0</v>
      </c>
      <c r="L267" t="n">
        <v>0</v>
      </c>
      <c r="M267" t="n">
        <v>0</v>
      </c>
      <c r="N267" t="n">
        <v>0</v>
      </c>
      <c r="O267" t="n">
        <v>0</v>
      </c>
      <c r="P267" t="n">
        <v>0</v>
      </c>
      <c r="Q267" t="n">
        <v>0</v>
      </c>
      <c r="R267" s="2" t="inlineStr"/>
    </row>
    <row r="268" ht="15" customHeight="1">
      <c r="A268" t="inlineStr">
        <is>
          <t>A 13657-2025</t>
        </is>
      </c>
      <c r="B268" s="1" t="n">
        <v>45736.7427662037</v>
      </c>
      <c r="C268" s="1" t="n">
        <v>45981</v>
      </c>
      <c r="D268" t="inlineStr">
        <is>
          <t>ÖREBRO LÄN</t>
        </is>
      </c>
      <c r="E268" t="inlineStr">
        <is>
          <t>ÖREBRO</t>
        </is>
      </c>
      <c r="G268" t="n">
        <v>3.8</v>
      </c>
      <c r="H268" t="n">
        <v>0</v>
      </c>
      <c r="I268" t="n">
        <v>0</v>
      </c>
      <c r="J268" t="n">
        <v>0</v>
      </c>
      <c r="K268" t="n">
        <v>0</v>
      </c>
      <c r="L268" t="n">
        <v>0</v>
      </c>
      <c r="M268" t="n">
        <v>0</v>
      </c>
      <c r="N268" t="n">
        <v>0</v>
      </c>
      <c r="O268" t="n">
        <v>0</v>
      </c>
      <c r="P268" t="n">
        <v>0</v>
      </c>
      <c r="Q268" t="n">
        <v>0</v>
      </c>
      <c r="R268" s="2" t="inlineStr"/>
    </row>
    <row r="269" ht="15" customHeight="1">
      <c r="A269" t="inlineStr">
        <is>
          <t>A 44199-2024</t>
        </is>
      </c>
      <c r="B269" s="1" t="n">
        <v>45573</v>
      </c>
      <c r="C269" s="1" t="n">
        <v>45981</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4380-2025</t>
        </is>
      </c>
      <c r="B270" s="1" t="n">
        <v>45686.3959375</v>
      </c>
      <c r="C270" s="1" t="n">
        <v>45981</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26443-2024</t>
        </is>
      </c>
      <c r="B271" s="1" t="n">
        <v>45469.49901620371</v>
      </c>
      <c r="C271" s="1" t="n">
        <v>45981</v>
      </c>
      <c r="D271" t="inlineStr">
        <is>
          <t>ÖREBRO LÄN</t>
        </is>
      </c>
      <c r="E271" t="inlineStr">
        <is>
          <t>ÖREBRO</t>
        </is>
      </c>
      <c r="G271" t="n">
        <v>5.7</v>
      </c>
      <c r="H271" t="n">
        <v>0</v>
      </c>
      <c r="I271" t="n">
        <v>0</v>
      </c>
      <c r="J271" t="n">
        <v>0</v>
      </c>
      <c r="K271" t="n">
        <v>0</v>
      </c>
      <c r="L271" t="n">
        <v>0</v>
      </c>
      <c r="M271" t="n">
        <v>0</v>
      </c>
      <c r="N271" t="n">
        <v>0</v>
      </c>
      <c r="O271" t="n">
        <v>0</v>
      </c>
      <c r="P271" t="n">
        <v>0</v>
      </c>
      <c r="Q271" t="n">
        <v>0</v>
      </c>
      <c r="R271" s="2" t="inlineStr"/>
    </row>
    <row r="272" ht="15" customHeight="1">
      <c r="A272" t="inlineStr">
        <is>
          <t>A 5136-2024</t>
        </is>
      </c>
      <c r="B272" s="1" t="n">
        <v>45330</v>
      </c>
      <c r="C272" s="1" t="n">
        <v>45981</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35477-2024</t>
        </is>
      </c>
      <c r="B273" s="1" t="n">
        <v>45531</v>
      </c>
      <c r="C273" s="1" t="n">
        <v>45981</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9314-2023</t>
        </is>
      </c>
      <c r="B274" s="1" t="n">
        <v>44980.67747685185</v>
      </c>
      <c r="C274" s="1" t="n">
        <v>45981</v>
      </c>
      <c r="D274" t="inlineStr">
        <is>
          <t>ÖREBRO LÄN</t>
        </is>
      </c>
      <c r="E274" t="inlineStr">
        <is>
          <t>ÖREBRO</t>
        </is>
      </c>
      <c r="G274" t="n">
        <v>0.8</v>
      </c>
      <c r="H274" t="n">
        <v>0</v>
      </c>
      <c r="I274" t="n">
        <v>0</v>
      </c>
      <c r="J274" t="n">
        <v>0</v>
      </c>
      <c r="K274" t="n">
        <v>0</v>
      </c>
      <c r="L274" t="n">
        <v>0</v>
      </c>
      <c r="M274" t="n">
        <v>0</v>
      </c>
      <c r="N274" t="n">
        <v>0</v>
      </c>
      <c r="O274" t="n">
        <v>0</v>
      </c>
      <c r="P274" t="n">
        <v>0</v>
      </c>
      <c r="Q274" t="n">
        <v>0</v>
      </c>
      <c r="R274" s="2" t="inlineStr"/>
    </row>
    <row r="275" ht="15" customHeight="1">
      <c r="A275" t="inlineStr">
        <is>
          <t>A 38573-2023</t>
        </is>
      </c>
      <c r="B275" s="1" t="n">
        <v>45162.61837962963</v>
      </c>
      <c r="C275" s="1" t="n">
        <v>45981</v>
      </c>
      <c r="D275" t="inlineStr">
        <is>
          <t>ÖREBRO LÄN</t>
        </is>
      </c>
      <c r="E275" t="inlineStr">
        <is>
          <t>ÖREBRO</t>
        </is>
      </c>
      <c r="G275" t="n">
        <v>2.2</v>
      </c>
      <c r="H275" t="n">
        <v>0</v>
      </c>
      <c r="I275" t="n">
        <v>0</v>
      </c>
      <c r="J275" t="n">
        <v>0</v>
      </c>
      <c r="K275" t="n">
        <v>0</v>
      </c>
      <c r="L275" t="n">
        <v>0</v>
      </c>
      <c r="M275" t="n">
        <v>0</v>
      </c>
      <c r="N275" t="n">
        <v>0</v>
      </c>
      <c r="O275" t="n">
        <v>0</v>
      </c>
      <c r="P275" t="n">
        <v>0</v>
      </c>
      <c r="Q275" t="n">
        <v>0</v>
      </c>
      <c r="R275" s="2" t="inlineStr"/>
    </row>
    <row r="276" ht="15" customHeight="1">
      <c r="A276" t="inlineStr">
        <is>
          <t>A 5406-2025</t>
        </is>
      </c>
      <c r="B276" s="1" t="n">
        <v>45692.64821759259</v>
      </c>
      <c r="C276" s="1" t="n">
        <v>45981</v>
      </c>
      <c r="D276" t="inlineStr">
        <is>
          <t>ÖREBRO LÄN</t>
        </is>
      </c>
      <c r="E276" t="inlineStr">
        <is>
          <t>ÖREBRO</t>
        </is>
      </c>
      <c r="G276" t="n">
        <v>1.2</v>
      </c>
      <c r="H276" t="n">
        <v>0</v>
      </c>
      <c r="I276" t="n">
        <v>0</v>
      </c>
      <c r="J276" t="n">
        <v>0</v>
      </c>
      <c r="K276" t="n">
        <v>0</v>
      </c>
      <c r="L276" t="n">
        <v>0</v>
      </c>
      <c r="M276" t="n">
        <v>0</v>
      </c>
      <c r="N276" t="n">
        <v>0</v>
      </c>
      <c r="O276" t="n">
        <v>0</v>
      </c>
      <c r="P276" t="n">
        <v>0</v>
      </c>
      <c r="Q276" t="n">
        <v>0</v>
      </c>
      <c r="R276" s="2" t="inlineStr"/>
    </row>
    <row r="277" ht="15" customHeight="1">
      <c r="A277" t="inlineStr">
        <is>
          <t>A 52018-2024</t>
        </is>
      </c>
      <c r="B277" s="1" t="n">
        <v>45607.82974537037</v>
      </c>
      <c r="C277" s="1" t="n">
        <v>45981</v>
      </c>
      <c r="D277" t="inlineStr">
        <is>
          <t>ÖREBRO LÄN</t>
        </is>
      </c>
      <c r="E277" t="inlineStr">
        <is>
          <t>ÖREBRO</t>
        </is>
      </c>
      <c r="G277" t="n">
        <v>4.3</v>
      </c>
      <c r="H277" t="n">
        <v>0</v>
      </c>
      <c r="I277" t="n">
        <v>0</v>
      </c>
      <c r="J277" t="n">
        <v>0</v>
      </c>
      <c r="K277" t="n">
        <v>0</v>
      </c>
      <c r="L277" t="n">
        <v>0</v>
      </c>
      <c r="M277" t="n">
        <v>0</v>
      </c>
      <c r="N277" t="n">
        <v>0</v>
      </c>
      <c r="O277" t="n">
        <v>0</v>
      </c>
      <c r="P277" t="n">
        <v>0</v>
      </c>
      <c r="Q277" t="n">
        <v>0</v>
      </c>
      <c r="R277" s="2" t="inlineStr"/>
    </row>
    <row r="278" ht="15" customHeight="1">
      <c r="A278" t="inlineStr">
        <is>
          <t>A 34358-2022</t>
        </is>
      </c>
      <c r="B278" s="1" t="n">
        <v>44792.45494212963</v>
      </c>
      <c r="C278" s="1" t="n">
        <v>45981</v>
      </c>
      <c r="D278" t="inlineStr">
        <is>
          <t>ÖREBRO LÄN</t>
        </is>
      </c>
      <c r="E278" t="inlineStr">
        <is>
          <t>ÖREBRO</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13856-2022</t>
        </is>
      </c>
      <c r="B279" s="1" t="n">
        <v>44649.6965162037</v>
      </c>
      <c r="C279" s="1" t="n">
        <v>45981</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52256-2023</t>
        </is>
      </c>
      <c r="B280" s="1" t="n">
        <v>45224.51471064815</v>
      </c>
      <c r="C280" s="1" t="n">
        <v>45981</v>
      </c>
      <c r="D280" t="inlineStr">
        <is>
          <t>ÖREBRO LÄN</t>
        </is>
      </c>
      <c r="E280" t="inlineStr">
        <is>
          <t>ÖREBRO</t>
        </is>
      </c>
      <c r="G280" t="n">
        <v>2.8</v>
      </c>
      <c r="H280" t="n">
        <v>0</v>
      </c>
      <c r="I280" t="n">
        <v>0</v>
      </c>
      <c r="J280" t="n">
        <v>0</v>
      </c>
      <c r="K280" t="n">
        <v>0</v>
      </c>
      <c r="L280" t="n">
        <v>0</v>
      </c>
      <c r="M280" t="n">
        <v>0</v>
      </c>
      <c r="N280" t="n">
        <v>0</v>
      </c>
      <c r="O280" t="n">
        <v>0</v>
      </c>
      <c r="P280" t="n">
        <v>0</v>
      </c>
      <c r="Q280" t="n">
        <v>0</v>
      </c>
      <c r="R280" s="2" t="inlineStr"/>
    </row>
    <row r="281" ht="15" customHeight="1">
      <c r="A281" t="inlineStr">
        <is>
          <t>A 22348-2024</t>
        </is>
      </c>
      <c r="B281" s="1" t="n">
        <v>45446.61256944444</v>
      </c>
      <c r="C281" s="1" t="n">
        <v>45981</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15695-2024</t>
        </is>
      </c>
      <c r="B282" s="1" t="n">
        <v>45404.45487268519</v>
      </c>
      <c r="C282" s="1" t="n">
        <v>45981</v>
      </c>
      <c r="D282" t="inlineStr">
        <is>
          <t>ÖREBRO LÄN</t>
        </is>
      </c>
      <c r="E282" t="inlineStr">
        <is>
          <t>ÖREBRO</t>
        </is>
      </c>
      <c r="G282" t="n">
        <v>2.7</v>
      </c>
      <c r="H282" t="n">
        <v>0</v>
      </c>
      <c r="I282" t="n">
        <v>0</v>
      </c>
      <c r="J282" t="n">
        <v>0</v>
      </c>
      <c r="K282" t="n">
        <v>0</v>
      </c>
      <c r="L282" t="n">
        <v>0</v>
      </c>
      <c r="M282" t="n">
        <v>0</v>
      </c>
      <c r="N282" t="n">
        <v>0</v>
      </c>
      <c r="O282" t="n">
        <v>0</v>
      </c>
      <c r="P282" t="n">
        <v>0</v>
      </c>
      <c r="Q282" t="n">
        <v>0</v>
      </c>
      <c r="R282" s="2" t="inlineStr"/>
    </row>
    <row r="283" ht="15" customHeight="1">
      <c r="A283" t="inlineStr">
        <is>
          <t>A 30089-2024</t>
        </is>
      </c>
      <c r="B283" s="1" t="n">
        <v>45485</v>
      </c>
      <c r="C283" s="1" t="n">
        <v>45981</v>
      </c>
      <c r="D283" t="inlineStr">
        <is>
          <t>ÖREBRO LÄN</t>
        </is>
      </c>
      <c r="E283" t="inlineStr">
        <is>
          <t>ÖREBRO</t>
        </is>
      </c>
      <c r="G283" t="n">
        <v>2.2</v>
      </c>
      <c r="H283" t="n">
        <v>0</v>
      </c>
      <c r="I283" t="n">
        <v>0</v>
      </c>
      <c r="J283" t="n">
        <v>0</v>
      </c>
      <c r="K283" t="n">
        <v>0</v>
      </c>
      <c r="L283" t="n">
        <v>0</v>
      </c>
      <c r="M283" t="n">
        <v>0</v>
      </c>
      <c r="N283" t="n">
        <v>0</v>
      </c>
      <c r="O283" t="n">
        <v>0</v>
      </c>
      <c r="P283" t="n">
        <v>0</v>
      </c>
      <c r="Q283" t="n">
        <v>0</v>
      </c>
      <c r="R283" s="2" t="inlineStr"/>
    </row>
    <row r="284" ht="15" customHeight="1">
      <c r="A284" t="inlineStr">
        <is>
          <t>A 5643-2025</t>
        </is>
      </c>
      <c r="B284" s="1" t="n">
        <v>45693</v>
      </c>
      <c r="C284" s="1" t="n">
        <v>45981</v>
      </c>
      <c r="D284" t="inlineStr">
        <is>
          <t>ÖREBRO LÄN</t>
        </is>
      </c>
      <c r="E284" t="inlineStr">
        <is>
          <t>ÖREBRO</t>
        </is>
      </c>
      <c r="G284" t="n">
        <v>2</v>
      </c>
      <c r="H284" t="n">
        <v>0</v>
      </c>
      <c r="I284" t="n">
        <v>0</v>
      </c>
      <c r="J284" t="n">
        <v>0</v>
      </c>
      <c r="K284" t="n">
        <v>0</v>
      </c>
      <c r="L284" t="n">
        <v>0</v>
      </c>
      <c r="M284" t="n">
        <v>0</v>
      </c>
      <c r="N284" t="n">
        <v>0</v>
      </c>
      <c r="O284" t="n">
        <v>0</v>
      </c>
      <c r="P284" t="n">
        <v>0</v>
      </c>
      <c r="Q284" t="n">
        <v>0</v>
      </c>
      <c r="R284" s="2" t="inlineStr"/>
    </row>
    <row r="285" ht="15" customHeight="1">
      <c r="A285" t="inlineStr">
        <is>
          <t>A 46030-2024</t>
        </is>
      </c>
      <c r="B285" s="1" t="n">
        <v>45580.70377314815</v>
      </c>
      <c r="C285" s="1" t="n">
        <v>45981</v>
      </c>
      <c r="D285" t="inlineStr">
        <is>
          <t>ÖREBRO LÄN</t>
        </is>
      </c>
      <c r="E285" t="inlineStr">
        <is>
          <t>ÖREBRO</t>
        </is>
      </c>
      <c r="G285" t="n">
        <v>3.9</v>
      </c>
      <c r="H285" t="n">
        <v>0</v>
      </c>
      <c r="I285" t="n">
        <v>0</v>
      </c>
      <c r="J285" t="n">
        <v>0</v>
      </c>
      <c r="K285" t="n">
        <v>0</v>
      </c>
      <c r="L285" t="n">
        <v>0</v>
      </c>
      <c r="M285" t="n">
        <v>0</v>
      </c>
      <c r="N285" t="n">
        <v>0</v>
      </c>
      <c r="O285" t="n">
        <v>0</v>
      </c>
      <c r="P285" t="n">
        <v>0</v>
      </c>
      <c r="Q285" t="n">
        <v>0</v>
      </c>
      <c r="R285" s="2" t="inlineStr"/>
    </row>
    <row r="286" ht="15" customHeight="1">
      <c r="A286" t="inlineStr">
        <is>
          <t>A 6522-2023</t>
        </is>
      </c>
      <c r="B286" s="1" t="n">
        <v>44966</v>
      </c>
      <c r="C286" s="1" t="n">
        <v>45981</v>
      </c>
      <c r="D286" t="inlineStr">
        <is>
          <t>ÖREBRO LÄN</t>
        </is>
      </c>
      <c r="E286" t="inlineStr">
        <is>
          <t>ÖREBRO</t>
        </is>
      </c>
      <c r="G286" t="n">
        <v>4.4</v>
      </c>
      <c r="H286" t="n">
        <v>0</v>
      </c>
      <c r="I286" t="n">
        <v>0</v>
      </c>
      <c r="J286" t="n">
        <v>0</v>
      </c>
      <c r="K286" t="n">
        <v>0</v>
      </c>
      <c r="L286" t="n">
        <v>0</v>
      </c>
      <c r="M286" t="n">
        <v>0</v>
      </c>
      <c r="N286" t="n">
        <v>0</v>
      </c>
      <c r="O286" t="n">
        <v>0</v>
      </c>
      <c r="P286" t="n">
        <v>0</v>
      </c>
      <c r="Q286" t="n">
        <v>0</v>
      </c>
      <c r="R286" s="2" t="inlineStr"/>
    </row>
    <row r="287" ht="15" customHeight="1">
      <c r="A287" t="inlineStr">
        <is>
          <t>A 50311-2025</t>
        </is>
      </c>
      <c r="B287" s="1" t="n">
        <v>45944</v>
      </c>
      <c r="C287" s="1" t="n">
        <v>45981</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18449-2023</t>
        </is>
      </c>
      <c r="B288" s="1" t="n">
        <v>45042.5203125</v>
      </c>
      <c r="C288" s="1" t="n">
        <v>45981</v>
      </c>
      <c r="D288" t="inlineStr">
        <is>
          <t>ÖREBRO LÄN</t>
        </is>
      </c>
      <c r="E288" t="inlineStr">
        <is>
          <t>ÖREBRO</t>
        </is>
      </c>
      <c r="G288" t="n">
        <v>1.5</v>
      </c>
      <c r="H288" t="n">
        <v>0</v>
      </c>
      <c r="I288" t="n">
        <v>0</v>
      </c>
      <c r="J288" t="n">
        <v>0</v>
      </c>
      <c r="K288" t="n">
        <v>0</v>
      </c>
      <c r="L288" t="n">
        <v>0</v>
      </c>
      <c r="M288" t="n">
        <v>0</v>
      </c>
      <c r="N288" t="n">
        <v>0</v>
      </c>
      <c r="O288" t="n">
        <v>0</v>
      </c>
      <c r="P288" t="n">
        <v>0</v>
      </c>
      <c r="Q288" t="n">
        <v>0</v>
      </c>
      <c r="R288" s="2" t="inlineStr"/>
    </row>
    <row r="289" ht="15" customHeight="1">
      <c r="A289" t="inlineStr">
        <is>
          <t>A 60289-2023</t>
        </is>
      </c>
      <c r="B289" s="1" t="n">
        <v>45257</v>
      </c>
      <c r="C289" s="1" t="n">
        <v>45981</v>
      </c>
      <c r="D289" t="inlineStr">
        <is>
          <t>ÖREBRO LÄN</t>
        </is>
      </c>
      <c r="E289" t="inlineStr">
        <is>
          <t>ÖREBRO</t>
        </is>
      </c>
      <c r="G289" t="n">
        <v>10.9</v>
      </c>
      <c r="H289" t="n">
        <v>0</v>
      </c>
      <c r="I289" t="n">
        <v>0</v>
      </c>
      <c r="J289" t="n">
        <v>0</v>
      </c>
      <c r="K289" t="n">
        <v>0</v>
      </c>
      <c r="L289" t="n">
        <v>0</v>
      </c>
      <c r="M289" t="n">
        <v>0</v>
      </c>
      <c r="N289" t="n">
        <v>0</v>
      </c>
      <c r="O289" t="n">
        <v>0</v>
      </c>
      <c r="P289" t="n">
        <v>0</v>
      </c>
      <c r="Q289" t="n">
        <v>0</v>
      </c>
      <c r="R289" s="2" t="inlineStr"/>
    </row>
    <row r="290" ht="15" customHeight="1">
      <c r="A290" t="inlineStr">
        <is>
          <t>A 12017-2024</t>
        </is>
      </c>
      <c r="B290" s="1" t="n">
        <v>45377</v>
      </c>
      <c r="C290" s="1" t="n">
        <v>45981</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54678-2023</t>
        </is>
      </c>
      <c r="B291" s="1" t="n">
        <v>45235</v>
      </c>
      <c r="C291" s="1" t="n">
        <v>45981</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16736-2023</t>
        </is>
      </c>
      <c r="B292" s="1" t="n">
        <v>45030.72328703704</v>
      </c>
      <c r="C292" s="1" t="n">
        <v>45981</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190-2024</t>
        </is>
      </c>
      <c r="B293" s="1" t="n">
        <v>45294.61858796296</v>
      </c>
      <c r="C293" s="1" t="n">
        <v>45981</v>
      </c>
      <c r="D293" t="inlineStr">
        <is>
          <t>ÖREBRO LÄN</t>
        </is>
      </c>
      <c r="E293" t="inlineStr">
        <is>
          <t>ÖREBRO</t>
        </is>
      </c>
      <c r="G293" t="n">
        <v>2.4</v>
      </c>
      <c r="H293" t="n">
        <v>0</v>
      </c>
      <c r="I293" t="n">
        <v>0</v>
      </c>
      <c r="J293" t="n">
        <v>0</v>
      </c>
      <c r="K293" t="n">
        <v>0</v>
      </c>
      <c r="L293" t="n">
        <v>0</v>
      </c>
      <c r="M293" t="n">
        <v>0</v>
      </c>
      <c r="N293" t="n">
        <v>0</v>
      </c>
      <c r="O293" t="n">
        <v>0</v>
      </c>
      <c r="P293" t="n">
        <v>0</v>
      </c>
      <c r="Q293" t="n">
        <v>0</v>
      </c>
      <c r="R293" s="2" t="inlineStr"/>
    </row>
    <row r="294" ht="15" customHeight="1">
      <c r="A294" t="inlineStr">
        <is>
          <t>A 50375-2024</t>
        </is>
      </c>
      <c r="B294" s="1" t="n">
        <v>45601.29311342593</v>
      </c>
      <c r="C294" s="1" t="n">
        <v>45981</v>
      </c>
      <c r="D294" t="inlineStr">
        <is>
          <t>ÖREBRO LÄN</t>
        </is>
      </c>
      <c r="E294" t="inlineStr">
        <is>
          <t>ÖREBRO</t>
        </is>
      </c>
      <c r="G294" t="n">
        <v>5</v>
      </c>
      <c r="H294" t="n">
        <v>0</v>
      </c>
      <c r="I294" t="n">
        <v>0</v>
      </c>
      <c r="J294" t="n">
        <v>0</v>
      </c>
      <c r="K294" t="n">
        <v>0</v>
      </c>
      <c r="L294" t="n">
        <v>0</v>
      </c>
      <c r="M294" t="n">
        <v>0</v>
      </c>
      <c r="N294" t="n">
        <v>0</v>
      </c>
      <c r="O294" t="n">
        <v>0</v>
      </c>
      <c r="P294" t="n">
        <v>0</v>
      </c>
      <c r="Q294" t="n">
        <v>0</v>
      </c>
      <c r="R294" s="2" t="inlineStr"/>
    </row>
    <row r="295" ht="15" customHeight="1">
      <c r="A295" t="inlineStr">
        <is>
          <t>A 44511-2023</t>
        </is>
      </c>
      <c r="B295" s="1" t="n">
        <v>45189</v>
      </c>
      <c r="C295" s="1" t="n">
        <v>45981</v>
      </c>
      <c r="D295" t="inlineStr">
        <is>
          <t>ÖREBRO LÄN</t>
        </is>
      </c>
      <c r="E295" t="inlineStr">
        <is>
          <t>ÖREBRO</t>
        </is>
      </c>
      <c r="F295" t="inlineStr">
        <is>
          <t>Allmännings- och besparingsskogar</t>
        </is>
      </c>
      <c r="G295" t="n">
        <v>2.7</v>
      </c>
      <c r="H295" t="n">
        <v>0</v>
      </c>
      <c r="I295" t="n">
        <v>0</v>
      </c>
      <c r="J295" t="n">
        <v>0</v>
      </c>
      <c r="K295" t="n">
        <v>0</v>
      </c>
      <c r="L295" t="n">
        <v>0</v>
      </c>
      <c r="M295" t="n">
        <v>0</v>
      </c>
      <c r="N295" t="n">
        <v>0</v>
      </c>
      <c r="O295" t="n">
        <v>0</v>
      </c>
      <c r="P295" t="n">
        <v>0</v>
      </c>
      <c r="Q295" t="n">
        <v>0</v>
      </c>
      <c r="R295" s="2" t="inlineStr"/>
    </row>
    <row r="296" ht="15" customHeight="1">
      <c r="A296" t="inlineStr">
        <is>
          <t>A 22045-2024</t>
        </is>
      </c>
      <c r="B296" s="1" t="n">
        <v>45443.61171296296</v>
      </c>
      <c r="C296" s="1" t="n">
        <v>45981</v>
      </c>
      <c r="D296" t="inlineStr">
        <is>
          <t>ÖREBRO LÄN</t>
        </is>
      </c>
      <c r="E296" t="inlineStr">
        <is>
          <t>ÖREBRO</t>
        </is>
      </c>
      <c r="F296" t="inlineStr">
        <is>
          <t>Övriga Aktiebolag</t>
        </is>
      </c>
      <c r="G296" t="n">
        <v>0.9</v>
      </c>
      <c r="H296" t="n">
        <v>0</v>
      </c>
      <c r="I296" t="n">
        <v>0</v>
      </c>
      <c r="J296" t="n">
        <v>0</v>
      </c>
      <c r="K296" t="n">
        <v>0</v>
      </c>
      <c r="L296" t="n">
        <v>0</v>
      </c>
      <c r="M296" t="n">
        <v>0</v>
      </c>
      <c r="N296" t="n">
        <v>0</v>
      </c>
      <c r="O296" t="n">
        <v>0</v>
      </c>
      <c r="P296" t="n">
        <v>0</v>
      </c>
      <c r="Q296" t="n">
        <v>0</v>
      </c>
      <c r="R296" s="2" t="inlineStr"/>
    </row>
    <row r="297" ht="15" customHeight="1">
      <c r="A297" t="inlineStr">
        <is>
          <t>A 3-2024</t>
        </is>
      </c>
      <c r="B297" s="1" t="n">
        <v>45292</v>
      </c>
      <c r="C297" s="1" t="n">
        <v>45981</v>
      </c>
      <c r="D297" t="inlineStr">
        <is>
          <t>ÖREBRO LÄN</t>
        </is>
      </c>
      <c r="E297" t="inlineStr">
        <is>
          <t>ÖREBRO</t>
        </is>
      </c>
      <c r="G297" t="n">
        <v>2.7</v>
      </c>
      <c r="H297" t="n">
        <v>0</v>
      </c>
      <c r="I297" t="n">
        <v>0</v>
      </c>
      <c r="J297" t="n">
        <v>0</v>
      </c>
      <c r="K297" t="n">
        <v>0</v>
      </c>
      <c r="L297" t="n">
        <v>0</v>
      </c>
      <c r="M297" t="n">
        <v>0</v>
      </c>
      <c r="N297" t="n">
        <v>0</v>
      </c>
      <c r="O297" t="n">
        <v>0</v>
      </c>
      <c r="P297" t="n">
        <v>0</v>
      </c>
      <c r="Q297" t="n">
        <v>0</v>
      </c>
      <c r="R297" s="2" t="inlineStr"/>
    </row>
    <row r="298" ht="15" customHeight="1">
      <c r="A298" t="inlineStr">
        <is>
          <t>A 5342-2024</t>
        </is>
      </c>
      <c r="B298" s="1" t="n">
        <v>45331.44145833333</v>
      </c>
      <c r="C298" s="1" t="n">
        <v>45981</v>
      </c>
      <c r="D298" t="inlineStr">
        <is>
          <t>ÖREBRO LÄN</t>
        </is>
      </c>
      <c r="E298" t="inlineStr">
        <is>
          <t>ÖREBRO</t>
        </is>
      </c>
      <c r="G298" t="n">
        <v>2.5</v>
      </c>
      <c r="H298" t="n">
        <v>0</v>
      </c>
      <c r="I298" t="n">
        <v>0</v>
      </c>
      <c r="J298" t="n">
        <v>0</v>
      </c>
      <c r="K298" t="n">
        <v>0</v>
      </c>
      <c r="L298" t="n">
        <v>0</v>
      </c>
      <c r="M298" t="n">
        <v>0</v>
      </c>
      <c r="N298" t="n">
        <v>0</v>
      </c>
      <c r="O298" t="n">
        <v>0</v>
      </c>
      <c r="P298" t="n">
        <v>0</v>
      </c>
      <c r="Q298" t="n">
        <v>0</v>
      </c>
      <c r="R298" s="2" t="inlineStr"/>
    </row>
    <row r="299" ht="15" customHeight="1">
      <c r="A299" t="inlineStr">
        <is>
          <t>A 21306-2024</t>
        </is>
      </c>
      <c r="B299" s="1" t="n">
        <v>45440.67883101852</v>
      </c>
      <c r="C299" s="1" t="n">
        <v>45981</v>
      </c>
      <c r="D299" t="inlineStr">
        <is>
          <t>ÖREBRO LÄN</t>
        </is>
      </c>
      <c r="E299" t="inlineStr">
        <is>
          <t>ÖREBRO</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71295-2021</t>
        </is>
      </c>
      <c r="B300" s="1" t="n">
        <v>44539.63009259259</v>
      </c>
      <c r="C300" s="1" t="n">
        <v>45981</v>
      </c>
      <c r="D300" t="inlineStr">
        <is>
          <t>ÖREBRO LÄN</t>
        </is>
      </c>
      <c r="E300" t="inlineStr">
        <is>
          <t>ÖREBRO</t>
        </is>
      </c>
      <c r="G300" t="n">
        <v>2.3</v>
      </c>
      <c r="H300" t="n">
        <v>0</v>
      </c>
      <c r="I300" t="n">
        <v>0</v>
      </c>
      <c r="J300" t="n">
        <v>0</v>
      </c>
      <c r="K300" t="n">
        <v>0</v>
      </c>
      <c r="L300" t="n">
        <v>0</v>
      </c>
      <c r="M300" t="n">
        <v>0</v>
      </c>
      <c r="N300" t="n">
        <v>0</v>
      </c>
      <c r="O300" t="n">
        <v>0</v>
      </c>
      <c r="P300" t="n">
        <v>0</v>
      </c>
      <c r="Q300" t="n">
        <v>0</v>
      </c>
      <c r="R300" s="2" t="inlineStr"/>
    </row>
    <row r="301" ht="15" customHeight="1">
      <c r="A301" t="inlineStr">
        <is>
          <t>A 52447-2024</t>
        </is>
      </c>
      <c r="B301" s="1" t="n">
        <v>45609.49157407408</v>
      </c>
      <c r="C301" s="1" t="n">
        <v>45981</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1257-2022</t>
        </is>
      </c>
      <c r="B302" s="1" t="n">
        <v>44572</v>
      </c>
      <c r="C302" s="1" t="n">
        <v>45981</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43803-2023</t>
        </is>
      </c>
      <c r="B303" s="1" t="n">
        <v>45187</v>
      </c>
      <c r="C303" s="1" t="n">
        <v>45981</v>
      </c>
      <c r="D303" t="inlineStr">
        <is>
          <t>ÖREBRO LÄN</t>
        </is>
      </c>
      <c r="E303" t="inlineStr">
        <is>
          <t>ÖREBRO</t>
        </is>
      </c>
      <c r="G303" t="n">
        <v>1.2</v>
      </c>
      <c r="H303" t="n">
        <v>0</v>
      </c>
      <c r="I303" t="n">
        <v>0</v>
      </c>
      <c r="J303" t="n">
        <v>0</v>
      </c>
      <c r="K303" t="n">
        <v>0</v>
      </c>
      <c r="L303" t="n">
        <v>0</v>
      </c>
      <c r="M303" t="n">
        <v>0</v>
      </c>
      <c r="N303" t="n">
        <v>0</v>
      </c>
      <c r="O303" t="n">
        <v>0</v>
      </c>
      <c r="P303" t="n">
        <v>0</v>
      </c>
      <c r="Q303" t="n">
        <v>0</v>
      </c>
      <c r="R303" s="2" t="inlineStr"/>
    </row>
    <row r="304" ht="15" customHeight="1">
      <c r="A304" t="inlineStr">
        <is>
          <t>A 55943-2024</t>
        </is>
      </c>
      <c r="B304" s="1" t="n">
        <v>45623.61278935185</v>
      </c>
      <c r="C304" s="1" t="n">
        <v>45981</v>
      </c>
      <c r="D304" t="inlineStr">
        <is>
          <t>ÖREBRO LÄN</t>
        </is>
      </c>
      <c r="E304" t="inlineStr">
        <is>
          <t>ÖREBRO</t>
        </is>
      </c>
      <c r="G304" t="n">
        <v>4.8</v>
      </c>
      <c r="H304" t="n">
        <v>0</v>
      </c>
      <c r="I304" t="n">
        <v>0</v>
      </c>
      <c r="J304" t="n">
        <v>0</v>
      </c>
      <c r="K304" t="n">
        <v>0</v>
      </c>
      <c r="L304" t="n">
        <v>0</v>
      </c>
      <c r="M304" t="n">
        <v>0</v>
      </c>
      <c r="N304" t="n">
        <v>0</v>
      </c>
      <c r="O304" t="n">
        <v>0</v>
      </c>
      <c r="P304" t="n">
        <v>0</v>
      </c>
      <c r="Q304" t="n">
        <v>0</v>
      </c>
      <c r="R304" s="2" t="inlineStr"/>
    </row>
    <row r="305" ht="15" customHeight="1">
      <c r="A305" t="inlineStr">
        <is>
          <t>A 64730-2023</t>
        </is>
      </c>
      <c r="B305" s="1" t="n">
        <v>45281</v>
      </c>
      <c r="C305" s="1" t="n">
        <v>45981</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6869-2025</t>
        </is>
      </c>
      <c r="B306" s="1" t="n">
        <v>45700</v>
      </c>
      <c r="C306" s="1" t="n">
        <v>45981</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60028-2024</t>
        </is>
      </c>
      <c r="B307" s="1" t="n">
        <v>45642</v>
      </c>
      <c r="C307" s="1" t="n">
        <v>45981</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4416-2023</t>
        </is>
      </c>
      <c r="B308" s="1" t="n">
        <v>44956</v>
      </c>
      <c r="C308" s="1" t="n">
        <v>45981</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11516-2024</t>
        </is>
      </c>
      <c r="B309" s="1" t="n">
        <v>45372</v>
      </c>
      <c r="C309" s="1" t="n">
        <v>45981</v>
      </c>
      <c r="D309" t="inlineStr">
        <is>
          <t>ÖREBRO LÄN</t>
        </is>
      </c>
      <c r="E309" t="inlineStr">
        <is>
          <t>ÖREBRO</t>
        </is>
      </c>
      <c r="G309" t="n">
        <v>10.7</v>
      </c>
      <c r="H309" t="n">
        <v>0</v>
      </c>
      <c r="I309" t="n">
        <v>0</v>
      </c>
      <c r="J309" t="n">
        <v>0</v>
      </c>
      <c r="K309" t="n">
        <v>0</v>
      </c>
      <c r="L309" t="n">
        <v>0</v>
      </c>
      <c r="M309" t="n">
        <v>0</v>
      </c>
      <c r="N309" t="n">
        <v>0</v>
      </c>
      <c r="O309" t="n">
        <v>0</v>
      </c>
      <c r="P309" t="n">
        <v>0</v>
      </c>
      <c r="Q309" t="n">
        <v>0</v>
      </c>
      <c r="R309" s="2" t="inlineStr"/>
    </row>
    <row r="310" ht="15" customHeight="1">
      <c r="A310" t="inlineStr">
        <is>
          <t>A 16961-2022</t>
        </is>
      </c>
      <c r="B310" s="1" t="n">
        <v>44676</v>
      </c>
      <c r="C310" s="1" t="n">
        <v>45981</v>
      </c>
      <c r="D310" t="inlineStr">
        <is>
          <t>ÖREBRO LÄN</t>
        </is>
      </c>
      <c r="E310" t="inlineStr">
        <is>
          <t>ÖREBRO</t>
        </is>
      </c>
      <c r="G310" t="n">
        <v>1.2</v>
      </c>
      <c r="H310" t="n">
        <v>0</v>
      </c>
      <c r="I310" t="n">
        <v>0</v>
      </c>
      <c r="J310" t="n">
        <v>0</v>
      </c>
      <c r="K310" t="n">
        <v>0</v>
      </c>
      <c r="L310" t="n">
        <v>0</v>
      </c>
      <c r="M310" t="n">
        <v>0</v>
      </c>
      <c r="N310" t="n">
        <v>0</v>
      </c>
      <c r="O310" t="n">
        <v>0</v>
      </c>
      <c r="P310" t="n">
        <v>0</v>
      </c>
      <c r="Q310" t="n">
        <v>0</v>
      </c>
      <c r="R310" s="2" t="inlineStr"/>
    </row>
    <row r="311" ht="15" customHeight="1">
      <c r="A311" t="inlineStr">
        <is>
          <t>A 17983-2025</t>
        </is>
      </c>
      <c r="B311" s="1" t="n">
        <v>45761.38829861111</v>
      </c>
      <c r="C311" s="1" t="n">
        <v>45981</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6794-2025</t>
        </is>
      </c>
      <c r="B312" s="1" t="n">
        <v>45700.66429398148</v>
      </c>
      <c r="C312" s="1" t="n">
        <v>45981</v>
      </c>
      <c r="D312" t="inlineStr">
        <is>
          <t>ÖREBRO LÄN</t>
        </is>
      </c>
      <c r="E312" t="inlineStr">
        <is>
          <t>ÖREBRO</t>
        </is>
      </c>
      <c r="G312" t="n">
        <v>1</v>
      </c>
      <c r="H312" t="n">
        <v>0</v>
      </c>
      <c r="I312" t="n">
        <v>0</v>
      </c>
      <c r="J312" t="n">
        <v>0</v>
      </c>
      <c r="K312" t="n">
        <v>0</v>
      </c>
      <c r="L312" t="n">
        <v>0</v>
      </c>
      <c r="M312" t="n">
        <v>0</v>
      </c>
      <c r="N312" t="n">
        <v>0</v>
      </c>
      <c r="O312" t="n">
        <v>0</v>
      </c>
      <c r="P312" t="n">
        <v>0</v>
      </c>
      <c r="Q312" t="n">
        <v>0</v>
      </c>
      <c r="R312" s="2" t="inlineStr"/>
    </row>
    <row r="313" ht="15" customHeight="1">
      <c r="A313" t="inlineStr">
        <is>
          <t>A 23594-2023</t>
        </is>
      </c>
      <c r="B313" s="1" t="n">
        <v>45077</v>
      </c>
      <c r="C313" s="1" t="n">
        <v>45981</v>
      </c>
      <c r="D313" t="inlineStr">
        <is>
          <t>ÖREBRO LÄN</t>
        </is>
      </c>
      <c r="E313" t="inlineStr">
        <is>
          <t>ÖREBRO</t>
        </is>
      </c>
      <c r="G313" t="n">
        <v>9.9</v>
      </c>
      <c r="H313" t="n">
        <v>0</v>
      </c>
      <c r="I313" t="n">
        <v>0</v>
      </c>
      <c r="J313" t="n">
        <v>0</v>
      </c>
      <c r="K313" t="n">
        <v>0</v>
      </c>
      <c r="L313" t="n">
        <v>0</v>
      </c>
      <c r="M313" t="n">
        <v>0</v>
      </c>
      <c r="N313" t="n">
        <v>0</v>
      </c>
      <c r="O313" t="n">
        <v>0</v>
      </c>
      <c r="P313" t="n">
        <v>0</v>
      </c>
      <c r="Q313" t="n">
        <v>0</v>
      </c>
      <c r="R313" s="2" t="inlineStr"/>
    </row>
    <row r="314" ht="15" customHeight="1">
      <c r="A314" t="inlineStr">
        <is>
          <t>A 51249-2025</t>
        </is>
      </c>
      <c r="B314" s="1" t="n">
        <v>45948.45704861111</v>
      </c>
      <c r="C314" s="1" t="n">
        <v>45981</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51248-2025</t>
        </is>
      </c>
      <c r="B315" s="1" t="n">
        <v>45948.450625</v>
      </c>
      <c r="C315" s="1" t="n">
        <v>45981</v>
      </c>
      <c r="D315" t="inlineStr">
        <is>
          <t>ÖREBRO LÄN</t>
        </is>
      </c>
      <c r="E315" t="inlineStr">
        <is>
          <t>ÖREBRO</t>
        </is>
      </c>
      <c r="G315" t="n">
        <v>4.4</v>
      </c>
      <c r="H315" t="n">
        <v>0</v>
      </c>
      <c r="I315" t="n">
        <v>0</v>
      </c>
      <c r="J315" t="n">
        <v>0</v>
      </c>
      <c r="K315" t="n">
        <v>0</v>
      </c>
      <c r="L315" t="n">
        <v>0</v>
      </c>
      <c r="M315" t="n">
        <v>0</v>
      </c>
      <c r="N315" t="n">
        <v>0</v>
      </c>
      <c r="O315" t="n">
        <v>0</v>
      </c>
      <c r="P315" t="n">
        <v>0</v>
      </c>
      <c r="Q315" t="n">
        <v>0</v>
      </c>
      <c r="R315" s="2" t="inlineStr"/>
    </row>
    <row r="316" ht="15" customHeight="1">
      <c r="A316" t="inlineStr">
        <is>
          <t>A 2596-2022</t>
        </is>
      </c>
      <c r="B316" s="1" t="n">
        <v>44580</v>
      </c>
      <c r="C316" s="1" t="n">
        <v>45981</v>
      </c>
      <c r="D316" t="inlineStr">
        <is>
          <t>ÖREBRO LÄN</t>
        </is>
      </c>
      <c r="E316" t="inlineStr">
        <is>
          <t>ÖREBRO</t>
        </is>
      </c>
      <c r="G316" t="n">
        <v>4.3</v>
      </c>
      <c r="H316" t="n">
        <v>0</v>
      </c>
      <c r="I316" t="n">
        <v>0</v>
      </c>
      <c r="J316" t="n">
        <v>0</v>
      </c>
      <c r="K316" t="n">
        <v>0</v>
      </c>
      <c r="L316" t="n">
        <v>0</v>
      </c>
      <c r="M316" t="n">
        <v>0</v>
      </c>
      <c r="N316" t="n">
        <v>0</v>
      </c>
      <c r="O316" t="n">
        <v>0</v>
      </c>
      <c r="P316" t="n">
        <v>0</v>
      </c>
      <c r="Q316" t="n">
        <v>0</v>
      </c>
      <c r="R316" s="2" t="inlineStr"/>
    </row>
    <row r="317" ht="15" customHeight="1">
      <c r="A317" t="inlineStr">
        <is>
          <t>A 52444-2024</t>
        </is>
      </c>
      <c r="B317" s="1" t="n">
        <v>45609.48894675926</v>
      </c>
      <c r="C317" s="1" t="n">
        <v>45981</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41995-2024</t>
        </is>
      </c>
      <c r="B318" s="1" t="n">
        <v>45561.6475462963</v>
      </c>
      <c r="C318" s="1" t="n">
        <v>45981</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25996-2024</t>
        </is>
      </c>
      <c r="B319" s="1" t="n">
        <v>45467.89081018518</v>
      </c>
      <c r="C319" s="1" t="n">
        <v>45981</v>
      </c>
      <c r="D319" t="inlineStr">
        <is>
          <t>ÖREBRO LÄN</t>
        </is>
      </c>
      <c r="E319" t="inlineStr">
        <is>
          <t>ÖREBRO</t>
        </is>
      </c>
      <c r="G319" t="n">
        <v>4.7</v>
      </c>
      <c r="H319" t="n">
        <v>0</v>
      </c>
      <c r="I319" t="n">
        <v>0</v>
      </c>
      <c r="J319" t="n">
        <v>0</v>
      </c>
      <c r="K319" t="n">
        <v>0</v>
      </c>
      <c r="L319" t="n">
        <v>0</v>
      </c>
      <c r="M319" t="n">
        <v>0</v>
      </c>
      <c r="N319" t="n">
        <v>0</v>
      </c>
      <c r="O319" t="n">
        <v>0</v>
      </c>
      <c r="P319" t="n">
        <v>0</v>
      </c>
      <c r="Q319" t="n">
        <v>0</v>
      </c>
      <c r="R319" s="2" t="inlineStr"/>
    </row>
    <row r="320" ht="15" customHeight="1">
      <c r="A320" t="inlineStr">
        <is>
          <t>A 13857-2022</t>
        </is>
      </c>
      <c r="B320" s="1" t="n">
        <v>44649</v>
      </c>
      <c r="C320" s="1" t="n">
        <v>45981</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52135-2025</t>
        </is>
      </c>
      <c r="B321" s="1" t="n">
        <v>45952.84231481481</v>
      </c>
      <c r="C321" s="1" t="n">
        <v>45981</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8571-2021</t>
        </is>
      </c>
      <c r="B322" s="1" t="n">
        <v>44245</v>
      </c>
      <c r="C322" s="1" t="n">
        <v>45981</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55692-2023</t>
        </is>
      </c>
      <c r="B323" s="1" t="n">
        <v>45239</v>
      </c>
      <c r="C323" s="1" t="n">
        <v>45981</v>
      </c>
      <c r="D323" t="inlineStr">
        <is>
          <t>ÖREBRO LÄN</t>
        </is>
      </c>
      <c r="E323" t="inlineStr">
        <is>
          <t>ÖREBRO</t>
        </is>
      </c>
      <c r="F323" t="inlineStr">
        <is>
          <t>Övriga Aktiebolag</t>
        </is>
      </c>
      <c r="G323" t="n">
        <v>0.4</v>
      </c>
      <c r="H323" t="n">
        <v>0</v>
      </c>
      <c r="I323" t="n">
        <v>0</v>
      </c>
      <c r="J323" t="n">
        <v>0</v>
      </c>
      <c r="K323" t="n">
        <v>0</v>
      </c>
      <c r="L323" t="n">
        <v>0</v>
      </c>
      <c r="M323" t="n">
        <v>0</v>
      </c>
      <c r="N323" t="n">
        <v>0</v>
      </c>
      <c r="O323" t="n">
        <v>0</v>
      </c>
      <c r="P323" t="n">
        <v>0</v>
      </c>
      <c r="Q323" t="n">
        <v>0</v>
      </c>
      <c r="R323" s="2" t="inlineStr"/>
    </row>
    <row r="324" ht="15" customHeight="1">
      <c r="A324" t="inlineStr">
        <is>
          <t>A 7611-2024</t>
        </is>
      </c>
      <c r="B324" s="1" t="n">
        <v>45348.58864583333</v>
      </c>
      <c r="C324" s="1" t="n">
        <v>45981</v>
      </c>
      <c r="D324" t="inlineStr">
        <is>
          <t>ÖREBRO LÄN</t>
        </is>
      </c>
      <c r="E324" t="inlineStr">
        <is>
          <t>ÖREBRO</t>
        </is>
      </c>
      <c r="G324" t="n">
        <v>4.2</v>
      </c>
      <c r="H324" t="n">
        <v>0</v>
      </c>
      <c r="I324" t="n">
        <v>0</v>
      </c>
      <c r="J324" t="n">
        <v>0</v>
      </c>
      <c r="K324" t="n">
        <v>0</v>
      </c>
      <c r="L324" t="n">
        <v>0</v>
      </c>
      <c r="M324" t="n">
        <v>0</v>
      </c>
      <c r="N324" t="n">
        <v>0</v>
      </c>
      <c r="O324" t="n">
        <v>0</v>
      </c>
      <c r="P324" t="n">
        <v>0</v>
      </c>
      <c r="Q324" t="n">
        <v>0</v>
      </c>
      <c r="R324" s="2" t="inlineStr"/>
    </row>
    <row r="325" ht="15" customHeight="1">
      <c r="A325" t="inlineStr">
        <is>
          <t>A 51937-2025</t>
        </is>
      </c>
      <c r="B325" s="1" t="n">
        <v>45952.51270833334</v>
      </c>
      <c r="C325" s="1" t="n">
        <v>45981</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15789-2023</t>
        </is>
      </c>
      <c r="B326" s="1" t="n">
        <v>45021.71539351852</v>
      </c>
      <c r="C326" s="1" t="n">
        <v>45981</v>
      </c>
      <c r="D326" t="inlineStr">
        <is>
          <t>ÖREBRO LÄN</t>
        </is>
      </c>
      <c r="E326" t="inlineStr">
        <is>
          <t>ÖREBRO</t>
        </is>
      </c>
      <c r="F326" t="inlineStr">
        <is>
          <t>Övriga Aktiebolag</t>
        </is>
      </c>
      <c r="G326" t="n">
        <v>3.7</v>
      </c>
      <c r="H326" t="n">
        <v>0</v>
      </c>
      <c r="I326" t="n">
        <v>0</v>
      </c>
      <c r="J326" t="n">
        <v>0</v>
      </c>
      <c r="K326" t="n">
        <v>0</v>
      </c>
      <c r="L326" t="n">
        <v>0</v>
      </c>
      <c r="M326" t="n">
        <v>0</v>
      </c>
      <c r="N326" t="n">
        <v>0</v>
      </c>
      <c r="O326" t="n">
        <v>0</v>
      </c>
      <c r="P326" t="n">
        <v>0</v>
      </c>
      <c r="Q326" t="n">
        <v>0</v>
      </c>
      <c r="R326" s="2" t="inlineStr"/>
    </row>
    <row r="327" ht="15" customHeight="1">
      <c r="A327" t="inlineStr">
        <is>
          <t>A 15866-2022</t>
        </is>
      </c>
      <c r="B327" s="1" t="n">
        <v>44664</v>
      </c>
      <c r="C327" s="1" t="n">
        <v>45981</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52612-2024</t>
        </is>
      </c>
      <c r="B328" s="1" t="n">
        <v>45609</v>
      </c>
      <c r="C328" s="1" t="n">
        <v>45981</v>
      </c>
      <c r="D328" t="inlineStr">
        <is>
          <t>ÖREBRO LÄN</t>
        </is>
      </c>
      <c r="E328" t="inlineStr">
        <is>
          <t>ÖREBRO</t>
        </is>
      </c>
      <c r="F328" t="inlineStr">
        <is>
          <t>Kommuner</t>
        </is>
      </c>
      <c r="G328" t="n">
        <v>5.5</v>
      </c>
      <c r="H328" t="n">
        <v>0</v>
      </c>
      <c r="I328" t="n">
        <v>0</v>
      </c>
      <c r="J328" t="n">
        <v>0</v>
      </c>
      <c r="K328" t="n">
        <v>0</v>
      </c>
      <c r="L328" t="n">
        <v>0</v>
      </c>
      <c r="M328" t="n">
        <v>0</v>
      </c>
      <c r="N328" t="n">
        <v>0</v>
      </c>
      <c r="O328" t="n">
        <v>0</v>
      </c>
      <c r="P328" t="n">
        <v>0</v>
      </c>
      <c r="Q328" t="n">
        <v>0</v>
      </c>
      <c r="R328" s="2" t="inlineStr"/>
    </row>
    <row r="329" ht="15" customHeight="1">
      <c r="A329" t="inlineStr">
        <is>
          <t>A 37786-2024</t>
        </is>
      </c>
      <c r="B329" s="1" t="n">
        <v>45542.82987268519</v>
      </c>
      <c r="C329" s="1" t="n">
        <v>45981</v>
      </c>
      <c r="D329" t="inlineStr">
        <is>
          <t>ÖREBRO LÄN</t>
        </is>
      </c>
      <c r="E329" t="inlineStr">
        <is>
          <t>ÖREBRO</t>
        </is>
      </c>
      <c r="G329" t="n">
        <v>3.1</v>
      </c>
      <c r="H329" t="n">
        <v>0</v>
      </c>
      <c r="I329" t="n">
        <v>0</v>
      </c>
      <c r="J329" t="n">
        <v>0</v>
      </c>
      <c r="K329" t="n">
        <v>0</v>
      </c>
      <c r="L329" t="n">
        <v>0</v>
      </c>
      <c r="M329" t="n">
        <v>0</v>
      </c>
      <c r="N329" t="n">
        <v>0</v>
      </c>
      <c r="O329" t="n">
        <v>0</v>
      </c>
      <c r="P329" t="n">
        <v>0</v>
      </c>
      <c r="Q329" t="n">
        <v>0</v>
      </c>
      <c r="R329" s="2" t="inlineStr"/>
    </row>
    <row r="330" ht="15" customHeight="1">
      <c r="A330" t="inlineStr">
        <is>
          <t>A 51923-2025</t>
        </is>
      </c>
      <c r="B330" s="1" t="n">
        <v>45952.49300925926</v>
      </c>
      <c r="C330" s="1" t="n">
        <v>45981</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51925-2025</t>
        </is>
      </c>
      <c r="B331" s="1" t="n">
        <v>45952.49476851852</v>
      </c>
      <c r="C331" s="1" t="n">
        <v>45981</v>
      </c>
      <c r="D331" t="inlineStr">
        <is>
          <t>ÖREBRO LÄN</t>
        </is>
      </c>
      <c r="E331" t="inlineStr">
        <is>
          <t>ÖREBRO</t>
        </is>
      </c>
      <c r="G331" t="n">
        <v>0.9</v>
      </c>
      <c r="H331" t="n">
        <v>0</v>
      </c>
      <c r="I331" t="n">
        <v>0</v>
      </c>
      <c r="J331" t="n">
        <v>0</v>
      </c>
      <c r="K331" t="n">
        <v>0</v>
      </c>
      <c r="L331" t="n">
        <v>0</v>
      </c>
      <c r="M331" t="n">
        <v>0</v>
      </c>
      <c r="N331" t="n">
        <v>0</v>
      </c>
      <c r="O331" t="n">
        <v>0</v>
      </c>
      <c r="P331" t="n">
        <v>0</v>
      </c>
      <c r="Q331" t="n">
        <v>0</v>
      </c>
      <c r="R331" s="2" t="inlineStr"/>
    </row>
    <row r="332" ht="15" customHeight="1">
      <c r="A332" t="inlineStr">
        <is>
          <t>A 55875-2024</t>
        </is>
      </c>
      <c r="B332" s="1" t="n">
        <v>45623.55375</v>
      </c>
      <c r="C332" s="1" t="n">
        <v>45981</v>
      </c>
      <c r="D332" t="inlineStr">
        <is>
          <t>ÖREBRO LÄN</t>
        </is>
      </c>
      <c r="E332" t="inlineStr">
        <is>
          <t>ÖREBRO</t>
        </is>
      </c>
      <c r="G332" t="n">
        <v>3.5</v>
      </c>
      <c r="H332" t="n">
        <v>0</v>
      </c>
      <c r="I332" t="n">
        <v>0</v>
      </c>
      <c r="J332" t="n">
        <v>0</v>
      </c>
      <c r="K332" t="n">
        <v>0</v>
      </c>
      <c r="L332" t="n">
        <v>0</v>
      </c>
      <c r="M332" t="n">
        <v>0</v>
      </c>
      <c r="N332" t="n">
        <v>0</v>
      </c>
      <c r="O332" t="n">
        <v>0</v>
      </c>
      <c r="P332" t="n">
        <v>0</v>
      </c>
      <c r="Q332" t="n">
        <v>0</v>
      </c>
      <c r="R332" s="2" t="inlineStr"/>
    </row>
    <row r="333" ht="15" customHeight="1">
      <c r="A333" t="inlineStr">
        <is>
          <t>A 28054-2022</t>
        </is>
      </c>
      <c r="B333" s="1" t="n">
        <v>44746.41938657407</v>
      </c>
      <c r="C333" s="1" t="n">
        <v>45981</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3841-2023</t>
        </is>
      </c>
      <c r="B334" s="1" t="n">
        <v>44951</v>
      </c>
      <c r="C334" s="1" t="n">
        <v>45981</v>
      </c>
      <c r="D334" t="inlineStr">
        <is>
          <t>ÖREBRO LÄN</t>
        </is>
      </c>
      <c r="E334" t="inlineStr">
        <is>
          <t>ÖREBRO</t>
        </is>
      </c>
      <c r="G334" t="n">
        <v>4.3</v>
      </c>
      <c r="H334" t="n">
        <v>0</v>
      </c>
      <c r="I334" t="n">
        <v>0</v>
      </c>
      <c r="J334" t="n">
        <v>0</v>
      </c>
      <c r="K334" t="n">
        <v>0</v>
      </c>
      <c r="L334" t="n">
        <v>0</v>
      </c>
      <c r="M334" t="n">
        <v>0</v>
      </c>
      <c r="N334" t="n">
        <v>0</v>
      </c>
      <c r="O334" t="n">
        <v>0</v>
      </c>
      <c r="P334" t="n">
        <v>0</v>
      </c>
      <c r="Q334" t="n">
        <v>0</v>
      </c>
      <c r="R334" s="2" t="inlineStr"/>
    </row>
    <row r="335" ht="15" customHeight="1">
      <c r="A335" t="inlineStr">
        <is>
          <t>A 25578-2025</t>
        </is>
      </c>
      <c r="B335" s="1" t="n">
        <v>45803.47803240741</v>
      </c>
      <c r="C335" s="1" t="n">
        <v>45981</v>
      </c>
      <c r="D335" t="inlineStr">
        <is>
          <t>ÖREBRO LÄN</t>
        </is>
      </c>
      <c r="E335" t="inlineStr">
        <is>
          <t>ÖREBRO</t>
        </is>
      </c>
      <c r="G335" t="n">
        <v>0.9</v>
      </c>
      <c r="H335" t="n">
        <v>0</v>
      </c>
      <c r="I335" t="n">
        <v>0</v>
      </c>
      <c r="J335" t="n">
        <v>0</v>
      </c>
      <c r="K335" t="n">
        <v>0</v>
      </c>
      <c r="L335" t="n">
        <v>0</v>
      </c>
      <c r="M335" t="n">
        <v>0</v>
      </c>
      <c r="N335" t="n">
        <v>0</v>
      </c>
      <c r="O335" t="n">
        <v>0</v>
      </c>
      <c r="P335" t="n">
        <v>0</v>
      </c>
      <c r="Q335" t="n">
        <v>0</v>
      </c>
      <c r="R335" s="2" t="inlineStr"/>
    </row>
    <row r="336" ht="15" customHeight="1">
      <c r="A336" t="inlineStr">
        <is>
          <t>A 52382-2025</t>
        </is>
      </c>
      <c r="B336" s="1" t="n">
        <v>45953.9559837963</v>
      </c>
      <c r="C336" s="1" t="n">
        <v>45981</v>
      </c>
      <c r="D336" t="inlineStr">
        <is>
          <t>ÖREBRO LÄN</t>
        </is>
      </c>
      <c r="E336" t="inlineStr">
        <is>
          <t>ÖREBRO</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541-2025</t>
        </is>
      </c>
      <c r="B337" s="1" t="n">
        <v>45664.52034722222</v>
      </c>
      <c r="C337" s="1" t="n">
        <v>45981</v>
      </c>
      <c r="D337" t="inlineStr">
        <is>
          <t>ÖREBRO LÄN</t>
        </is>
      </c>
      <c r="E337" t="inlineStr">
        <is>
          <t>ÖREBRO</t>
        </is>
      </c>
      <c r="G337" t="n">
        <v>2.2</v>
      </c>
      <c r="H337" t="n">
        <v>0</v>
      </c>
      <c r="I337" t="n">
        <v>0</v>
      </c>
      <c r="J337" t="n">
        <v>0</v>
      </c>
      <c r="K337" t="n">
        <v>0</v>
      </c>
      <c r="L337" t="n">
        <v>0</v>
      </c>
      <c r="M337" t="n">
        <v>0</v>
      </c>
      <c r="N337" t="n">
        <v>0</v>
      </c>
      <c r="O337" t="n">
        <v>0</v>
      </c>
      <c r="P337" t="n">
        <v>0</v>
      </c>
      <c r="Q337" t="n">
        <v>0</v>
      </c>
      <c r="R337" s="2" t="inlineStr"/>
    </row>
    <row r="338" ht="15" customHeight="1">
      <c r="A338" t="inlineStr">
        <is>
          <t>A 30743-2025</t>
        </is>
      </c>
      <c r="B338" s="1" t="n">
        <v>45831</v>
      </c>
      <c r="C338" s="1" t="n">
        <v>45981</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49215-2023</t>
        </is>
      </c>
      <c r="B339" s="1" t="n">
        <v>45210.61050925926</v>
      </c>
      <c r="C339" s="1" t="n">
        <v>45981</v>
      </c>
      <c r="D339" t="inlineStr">
        <is>
          <t>ÖREBRO LÄN</t>
        </is>
      </c>
      <c r="E339" t="inlineStr">
        <is>
          <t>ÖREBRO</t>
        </is>
      </c>
      <c r="F339" t="inlineStr">
        <is>
          <t>Övriga Aktiebolag</t>
        </is>
      </c>
      <c r="G339" t="n">
        <v>4.2</v>
      </c>
      <c r="H339" t="n">
        <v>0</v>
      </c>
      <c r="I339" t="n">
        <v>0</v>
      </c>
      <c r="J339" t="n">
        <v>0</v>
      </c>
      <c r="K339" t="n">
        <v>0</v>
      </c>
      <c r="L339" t="n">
        <v>0</v>
      </c>
      <c r="M339" t="n">
        <v>0</v>
      </c>
      <c r="N339" t="n">
        <v>0</v>
      </c>
      <c r="O339" t="n">
        <v>0</v>
      </c>
      <c r="P339" t="n">
        <v>0</v>
      </c>
      <c r="Q339" t="n">
        <v>0</v>
      </c>
      <c r="R339" s="2" t="inlineStr"/>
    </row>
    <row r="340" ht="15" customHeight="1">
      <c r="A340" t="inlineStr">
        <is>
          <t>A 53143-2023</t>
        </is>
      </c>
      <c r="B340" s="1" t="n">
        <v>45229</v>
      </c>
      <c r="C340" s="1" t="n">
        <v>45981</v>
      </c>
      <c r="D340" t="inlineStr">
        <is>
          <t>ÖREBRO LÄN</t>
        </is>
      </c>
      <c r="E340" t="inlineStr">
        <is>
          <t>ÖREBRO</t>
        </is>
      </c>
      <c r="G340" t="n">
        <v>3.3</v>
      </c>
      <c r="H340" t="n">
        <v>0</v>
      </c>
      <c r="I340" t="n">
        <v>0</v>
      </c>
      <c r="J340" t="n">
        <v>0</v>
      </c>
      <c r="K340" t="n">
        <v>0</v>
      </c>
      <c r="L340" t="n">
        <v>0</v>
      </c>
      <c r="M340" t="n">
        <v>0</v>
      </c>
      <c r="N340" t="n">
        <v>0</v>
      </c>
      <c r="O340" t="n">
        <v>0</v>
      </c>
      <c r="P340" t="n">
        <v>0</v>
      </c>
      <c r="Q340" t="n">
        <v>0</v>
      </c>
      <c r="R340" s="2" t="inlineStr"/>
    </row>
    <row r="341" ht="15" customHeight="1">
      <c r="A341" t="inlineStr">
        <is>
          <t>A 25407-2021</t>
        </is>
      </c>
      <c r="B341" s="1" t="n">
        <v>44342</v>
      </c>
      <c r="C341" s="1" t="n">
        <v>45981</v>
      </c>
      <c r="D341" t="inlineStr">
        <is>
          <t>ÖREBRO LÄN</t>
        </is>
      </c>
      <c r="E341" t="inlineStr">
        <is>
          <t>ÖREBRO</t>
        </is>
      </c>
      <c r="F341" t="inlineStr">
        <is>
          <t>Kommuner</t>
        </is>
      </c>
      <c r="G341" t="n">
        <v>7.2</v>
      </c>
      <c r="H341" t="n">
        <v>0</v>
      </c>
      <c r="I341" t="n">
        <v>0</v>
      </c>
      <c r="J341" t="n">
        <v>0</v>
      </c>
      <c r="K341" t="n">
        <v>0</v>
      </c>
      <c r="L341" t="n">
        <v>0</v>
      </c>
      <c r="M341" t="n">
        <v>0</v>
      </c>
      <c r="N341" t="n">
        <v>0</v>
      </c>
      <c r="O341" t="n">
        <v>0</v>
      </c>
      <c r="P341" t="n">
        <v>0</v>
      </c>
      <c r="Q341" t="n">
        <v>0</v>
      </c>
      <c r="R341" s="2" t="inlineStr"/>
    </row>
    <row r="342" ht="15" customHeight="1">
      <c r="A342" t="inlineStr">
        <is>
          <t>A 25519-2025</t>
        </is>
      </c>
      <c r="B342" s="1" t="n">
        <v>45803.38447916666</v>
      </c>
      <c r="C342" s="1" t="n">
        <v>45981</v>
      </c>
      <c r="D342" t="inlineStr">
        <is>
          <t>ÖREBRO LÄN</t>
        </is>
      </c>
      <c r="E342" t="inlineStr">
        <is>
          <t>ÖREBRO</t>
        </is>
      </c>
      <c r="G342" t="n">
        <v>7.4</v>
      </c>
      <c r="H342" t="n">
        <v>0</v>
      </c>
      <c r="I342" t="n">
        <v>0</v>
      </c>
      <c r="J342" t="n">
        <v>0</v>
      </c>
      <c r="K342" t="n">
        <v>0</v>
      </c>
      <c r="L342" t="n">
        <v>0</v>
      </c>
      <c r="M342" t="n">
        <v>0</v>
      </c>
      <c r="N342" t="n">
        <v>0</v>
      </c>
      <c r="O342" t="n">
        <v>0</v>
      </c>
      <c r="P342" t="n">
        <v>0</v>
      </c>
      <c r="Q342" t="n">
        <v>0</v>
      </c>
      <c r="R342" s="2" t="inlineStr"/>
    </row>
    <row r="343" ht="15" customHeight="1">
      <c r="A343" t="inlineStr">
        <is>
          <t>A 43399-2022</t>
        </is>
      </c>
      <c r="B343" s="1" t="n">
        <v>44834</v>
      </c>
      <c r="C343" s="1" t="n">
        <v>45981</v>
      </c>
      <c r="D343" t="inlineStr">
        <is>
          <t>ÖREBRO LÄN</t>
        </is>
      </c>
      <c r="E343" t="inlineStr">
        <is>
          <t>ÖREBRO</t>
        </is>
      </c>
      <c r="G343" t="n">
        <v>1.3</v>
      </c>
      <c r="H343" t="n">
        <v>0</v>
      </c>
      <c r="I343" t="n">
        <v>0</v>
      </c>
      <c r="J343" t="n">
        <v>0</v>
      </c>
      <c r="K343" t="n">
        <v>0</v>
      </c>
      <c r="L343" t="n">
        <v>0</v>
      </c>
      <c r="M343" t="n">
        <v>0</v>
      </c>
      <c r="N343" t="n">
        <v>0</v>
      </c>
      <c r="O343" t="n">
        <v>0</v>
      </c>
      <c r="P343" t="n">
        <v>0</v>
      </c>
      <c r="Q343" t="n">
        <v>0</v>
      </c>
      <c r="R343" s="2" t="inlineStr"/>
    </row>
    <row r="344" ht="15" customHeight="1">
      <c r="A344" t="inlineStr">
        <is>
          <t>A 45027-2024</t>
        </is>
      </c>
      <c r="B344" s="1" t="n">
        <v>45575</v>
      </c>
      <c r="C344" s="1" t="n">
        <v>45981</v>
      </c>
      <c r="D344" t="inlineStr">
        <is>
          <t>ÖREBRO LÄN</t>
        </is>
      </c>
      <c r="E344" t="inlineStr">
        <is>
          <t>ÖREBRO</t>
        </is>
      </c>
      <c r="G344" t="n">
        <v>6.3</v>
      </c>
      <c r="H344" t="n">
        <v>0</v>
      </c>
      <c r="I344" t="n">
        <v>0</v>
      </c>
      <c r="J344" t="n">
        <v>0</v>
      </c>
      <c r="K344" t="n">
        <v>0</v>
      </c>
      <c r="L344" t="n">
        <v>0</v>
      </c>
      <c r="M344" t="n">
        <v>0</v>
      </c>
      <c r="N344" t="n">
        <v>0</v>
      </c>
      <c r="O344" t="n">
        <v>0</v>
      </c>
      <c r="P344" t="n">
        <v>0</v>
      </c>
      <c r="Q344" t="n">
        <v>0</v>
      </c>
      <c r="R344" s="2" t="inlineStr"/>
    </row>
    <row r="345" ht="15" customHeight="1">
      <c r="A345" t="inlineStr">
        <is>
          <t>A 16140-2023</t>
        </is>
      </c>
      <c r="B345" s="1" t="n">
        <v>45027.6433912037</v>
      </c>
      <c r="C345" s="1" t="n">
        <v>45981</v>
      </c>
      <c r="D345" t="inlineStr">
        <is>
          <t>ÖREBRO LÄN</t>
        </is>
      </c>
      <c r="E345" t="inlineStr">
        <is>
          <t>ÖREBRO</t>
        </is>
      </c>
      <c r="G345" t="n">
        <v>2</v>
      </c>
      <c r="H345" t="n">
        <v>0</v>
      </c>
      <c r="I345" t="n">
        <v>0</v>
      </c>
      <c r="J345" t="n">
        <v>0</v>
      </c>
      <c r="K345" t="n">
        <v>0</v>
      </c>
      <c r="L345" t="n">
        <v>0</v>
      </c>
      <c r="M345" t="n">
        <v>0</v>
      </c>
      <c r="N345" t="n">
        <v>0</v>
      </c>
      <c r="O345" t="n">
        <v>0</v>
      </c>
      <c r="P345" t="n">
        <v>0</v>
      </c>
      <c r="Q345" t="n">
        <v>0</v>
      </c>
      <c r="R345" s="2" t="inlineStr"/>
    </row>
    <row r="346" ht="15" customHeight="1">
      <c r="A346" t="inlineStr">
        <is>
          <t>A 19553-2023</t>
        </is>
      </c>
      <c r="B346" s="1" t="n">
        <v>45050</v>
      </c>
      <c r="C346" s="1" t="n">
        <v>45981</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53342-2025</t>
        </is>
      </c>
      <c r="B347" s="1" t="n">
        <v>45959.41769675926</v>
      </c>
      <c r="C347" s="1" t="n">
        <v>45981</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53350-2025</t>
        </is>
      </c>
      <c r="B348" s="1" t="n">
        <v>45959.43827546296</v>
      </c>
      <c r="C348" s="1" t="n">
        <v>45981</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53437-2025</t>
        </is>
      </c>
      <c r="B349" s="1" t="n">
        <v>45959.63440972222</v>
      </c>
      <c r="C349" s="1" t="n">
        <v>45981</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14291-2023</t>
        </is>
      </c>
      <c r="B350" s="1" t="n">
        <v>45010</v>
      </c>
      <c r="C350" s="1" t="n">
        <v>45981</v>
      </c>
      <c r="D350" t="inlineStr">
        <is>
          <t>ÖREBRO LÄN</t>
        </is>
      </c>
      <c r="E350" t="inlineStr">
        <is>
          <t>ÖREBRO</t>
        </is>
      </c>
      <c r="G350" t="n">
        <v>0.8</v>
      </c>
      <c r="H350" t="n">
        <v>0</v>
      </c>
      <c r="I350" t="n">
        <v>0</v>
      </c>
      <c r="J350" t="n">
        <v>0</v>
      </c>
      <c r="K350" t="n">
        <v>0</v>
      </c>
      <c r="L350" t="n">
        <v>0</v>
      </c>
      <c r="M350" t="n">
        <v>0</v>
      </c>
      <c r="N350" t="n">
        <v>0</v>
      </c>
      <c r="O350" t="n">
        <v>0</v>
      </c>
      <c r="P350" t="n">
        <v>0</v>
      </c>
      <c r="Q350" t="n">
        <v>0</v>
      </c>
      <c r="R350" s="2" t="inlineStr"/>
    </row>
    <row r="351" ht="15" customHeight="1">
      <c r="A351" t="inlineStr">
        <is>
          <t>A 52391-2024</t>
        </is>
      </c>
      <c r="B351" s="1" t="n">
        <v>45609.43180555556</v>
      </c>
      <c r="C351" s="1" t="n">
        <v>45981</v>
      </c>
      <c r="D351" t="inlineStr">
        <is>
          <t>ÖREBRO LÄN</t>
        </is>
      </c>
      <c r="E351" t="inlineStr">
        <is>
          <t>ÖREBRO</t>
        </is>
      </c>
      <c r="G351" t="n">
        <v>1.2</v>
      </c>
      <c r="H351" t="n">
        <v>0</v>
      </c>
      <c r="I351" t="n">
        <v>0</v>
      </c>
      <c r="J351" t="n">
        <v>0</v>
      </c>
      <c r="K351" t="n">
        <v>0</v>
      </c>
      <c r="L351" t="n">
        <v>0</v>
      </c>
      <c r="M351" t="n">
        <v>0</v>
      </c>
      <c r="N351" t="n">
        <v>0</v>
      </c>
      <c r="O351" t="n">
        <v>0</v>
      </c>
      <c r="P351" t="n">
        <v>0</v>
      </c>
      <c r="Q351" t="n">
        <v>0</v>
      </c>
      <c r="R351" s="2" t="inlineStr"/>
    </row>
    <row r="352" ht="15" customHeight="1">
      <c r="A352" t="inlineStr">
        <is>
          <t>A 52401-2024</t>
        </is>
      </c>
      <c r="B352" s="1" t="n">
        <v>45609.44553240741</v>
      </c>
      <c r="C352" s="1" t="n">
        <v>45981</v>
      </c>
      <c r="D352" t="inlineStr">
        <is>
          <t>ÖREBRO LÄN</t>
        </is>
      </c>
      <c r="E352" t="inlineStr">
        <is>
          <t>ÖREBRO</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53343-2025</t>
        </is>
      </c>
      <c r="B353" s="1" t="n">
        <v>45959.42025462963</v>
      </c>
      <c r="C353" s="1" t="n">
        <v>45981</v>
      </c>
      <c r="D353" t="inlineStr">
        <is>
          <t>ÖREBRO LÄN</t>
        </is>
      </c>
      <c r="E353" t="inlineStr">
        <is>
          <t>ÖREBRO</t>
        </is>
      </c>
      <c r="G353" t="n">
        <v>0.5</v>
      </c>
      <c r="H353" t="n">
        <v>0</v>
      </c>
      <c r="I353" t="n">
        <v>0</v>
      </c>
      <c r="J353" t="n">
        <v>0</v>
      </c>
      <c r="K353" t="n">
        <v>0</v>
      </c>
      <c r="L353" t="n">
        <v>0</v>
      </c>
      <c r="M353" t="n">
        <v>0</v>
      </c>
      <c r="N353" t="n">
        <v>0</v>
      </c>
      <c r="O353" t="n">
        <v>0</v>
      </c>
      <c r="P353" t="n">
        <v>0</v>
      </c>
      <c r="Q353" t="n">
        <v>0</v>
      </c>
      <c r="R353" s="2" t="inlineStr"/>
    </row>
    <row r="354" ht="15" customHeight="1">
      <c r="A354" t="inlineStr">
        <is>
          <t>A 53443-2025</t>
        </is>
      </c>
      <c r="B354" s="1" t="n">
        <v>45959.6444675926</v>
      </c>
      <c r="C354" s="1" t="n">
        <v>45981</v>
      </c>
      <c r="D354" t="inlineStr">
        <is>
          <t>ÖREBRO LÄN</t>
        </is>
      </c>
      <c r="E354" t="inlineStr">
        <is>
          <t>ÖREBRO</t>
        </is>
      </c>
      <c r="G354" t="n">
        <v>2.8</v>
      </c>
      <c r="H354" t="n">
        <v>0</v>
      </c>
      <c r="I354" t="n">
        <v>0</v>
      </c>
      <c r="J354" t="n">
        <v>0</v>
      </c>
      <c r="K354" t="n">
        <v>0</v>
      </c>
      <c r="L354" t="n">
        <v>0</v>
      </c>
      <c r="M354" t="n">
        <v>0</v>
      </c>
      <c r="N354" t="n">
        <v>0</v>
      </c>
      <c r="O354" t="n">
        <v>0</v>
      </c>
      <c r="P354" t="n">
        <v>0</v>
      </c>
      <c r="Q354" t="n">
        <v>0</v>
      </c>
      <c r="R354" s="2" t="inlineStr"/>
    </row>
    <row r="355" ht="15" customHeight="1">
      <c r="A355" t="inlineStr">
        <is>
          <t>A 58527-2024</t>
        </is>
      </c>
      <c r="B355" s="1" t="n">
        <v>45635.44388888889</v>
      </c>
      <c r="C355" s="1" t="n">
        <v>45981</v>
      </c>
      <c r="D355" t="inlineStr">
        <is>
          <t>ÖREBRO LÄN</t>
        </is>
      </c>
      <c r="E355" t="inlineStr">
        <is>
          <t>ÖREBRO</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55593-2022</t>
        </is>
      </c>
      <c r="B356" s="1" t="n">
        <v>44888</v>
      </c>
      <c r="C356" s="1" t="n">
        <v>45981</v>
      </c>
      <c r="D356" t="inlineStr">
        <is>
          <t>ÖREBRO LÄN</t>
        </is>
      </c>
      <c r="E356" t="inlineStr">
        <is>
          <t>ÖREBRO</t>
        </is>
      </c>
      <c r="G356" t="n">
        <v>3.6</v>
      </c>
      <c r="H356" t="n">
        <v>0</v>
      </c>
      <c r="I356" t="n">
        <v>0</v>
      </c>
      <c r="J356" t="n">
        <v>0</v>
      </c>
      <c r="K356" t="n">
        <v>0</v>
      </c>
      <c r="L356" t="n">
        <v>0</v>
      </c>
      <c r="M356" t="n">
        <v>0</v>
      </c>
      <c r="N356" t="n">
        <v>0</v>
      </c>
      <c r="O356" t="n">
        <v>0</v>
      </c>
      <c r="P356" t="n">
        <v>0</v>
      </c>
      <c r="Q356" t="n">
        <v>0</v>
      </c>
      <c r="R356" s="2" t="inlineStr"/>
    </row>
    <row r="357" ht="15" customHeight="1">
      <c r="A357" t="inlineStr">
        <is>
          <t>A 26338-2021</t>
        </is>
      </c>
      <c r="B357" s="1" t="n">
        <v>44347</v>
      </c>
      <c r="C357" s="1" t="n">
        <v>45981</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53234-2023</t>
        </is>
      </c>
      <c r="B358" s="1" t="n">
        <v>45229</v>
      </c>
      <c r="C358" s="1" t="n">
        <v>45981</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53719-2025</t>
        </is>
      </c>
      <c r="B359" s="1" t="n">
        <v>45960.62042824074</v>
      </c>
      <c r="C359" s="1" t="n">
        <v>45981</v>
      </c>
      <c r="D359" t="inlineStr">
        <is>
          <t>ÖREBRO LÄN</t>
        </is>
      </c>
      <c r="E359" t="inlineStr">
        <is>
          <t>ÖREBRO</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44960-2025</t>
        </is>
      </c>
      <c r="B360" s="1" t="n">
        <v>45918.61577546296</v>
      </c>
      <c r="C360" s="1" t="n">
        <v>45981</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59757-2023</t>
        </is>
      </c>
      <c r="B361" s="1" t="n">
        <v>45257.40833333333</v>
      </c>
      <c r="C361" s="1" t="n">
        <v>45981</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11067-2025</t>
        </is>
      </c>
      <c r="B362" s="1" t="n">
        <v>45723</v>
      </c>
      <c r="C362" s="1" t="n">
        <v>45981</v>
      </c>
      <c r="D362" t="inlineStr">
        <is>
          <t>ÖREBRO LÄN</t>
        </is>
      </c>
      <c r="E362" t="inlineStr">
        <is>
          <t>ÖREBRO</t>
        </is>
      </c>
      <c r="G362" t="n">
        <v>3.1</v>
      </c>
      <c r="H362" t="n">
        <v>0</v>
      </c>
      <c r="I362" t="n">
        <v>0</v>
      </c>
      <c r="J362" t="n">
        <v>0</v>
      </c>
      <c r="K362" t="n">
        <v>0</v>
      </c>
      <c r="L362" t="n">
        <v>0</v>
      </c>
      <c r="M362" t="n">
        <v>0</v>
      </c>
      <c r="N362" t="n">
        <v>0</v>
      </c>
      <c r="O362" t="n">
        <v>0</v>
      </c>
      <c r="P362" t="n">
        <v>0</v>
      </c>
      <c r="Q362" t="n">
        <v>0</v>
      </c>
      <c r="R362" s="2" t="inlineStr"/>
    </row>
    <row r="363" ht="15" customHeight="1">
      <c r="A363" t="inlineStr">
        <is>
          <t>A 63142-2023</t>
        </is>
      </c>
      <c r="B363" s="1" t="n">
        <v>45273</v>
      </c>
      <c r="C363" s="1" t="n">
        <v>45981</v>
      </c>
      <c r="D363" t="inlineStr">
        <is>
          <t>ÖREBRO LÄN</t>
        </is>
      </c>
      <c r="E363" t="inlineStr">
        <is>
          <t>ÖREBRO</t>
        </is>
      </c>
      <c r="G363" t="n">
        <v>1.8</v>
      </c>
      <c r="H363" t="n">
        <v>0</v>
      </c>
      <c r="I363" t="n">
        <v>0</v>
      </c>
      <c r="J363" t="n">
        <v>0</v>
      </c>
      <c r="K363" t="n">
        <v>0</v>
      </c>
      <c r="L363" t="n">
        <v>0</v>
      </c>
      <c r="M363" t="n">
        <v>0</v>
      </c>
      <c r="N363" t="n">
        <v>0</v>
      </c>
      <c r="O363" t="n">
        <v>0</v>
      </c>
      <c r="P363" t="n">
        <v>0</v>
      </c>
      <c r="Q363" t="n">
        <v>0</v>
      </c>
      <c r="R363" s="2" t="inlineStr"/>
    </row>
    <row r="364" ht="15" customHeight="1">
      <c r="A364" t="inlineStr">
        <is>
          <t>A 3659-2025</t>
        </is>
      </c>
      <c r="B364" s="1" t="n">
        <v>45681</v>
      </c>
      <c r="C364" s="1" t="n">
        <v>45981</v>
      </c>
      <c r="D364" t="inlineStr">
        <is>
          <t>ÖREBRO LÄN</t>
        </is>
      </c>
      <c r="E364" t="inlineStr">
        <is>
          <t>ÖREBRO</t>
        </is>
      </c>
      <c r="G364" t="n">
        <v>15.8</v>
      </c>
      <c r="H364" t="n">
        <v>0</v>
      </c>
      <c r="I364" t="n">
        <v>0</v>
      </c>
      <c r="J364" t="n">
        <v>0</v>
      </c>
      <c r="K364" t="n">
        <v>0</v>
      </c>
      <c r="L364" t="n">
        <v>0</v>
      </c>
      <c r="M364" t="n">
        <v>0</v>
      </c>
      <c r="N364" t="n">
        <v>0</v>
      </c>
      <c r="O364" t="n">
        <v>0</v>
      </c>
      <c r="P364" t="n">
        <v>0</v>
      </c>
      <c r="Q364" t="n">
        <v>0</v>
      </c>
      <c r="R364" s="2" t="inlineStr"/>
    </row>
    <row r="365" ht="15" customHeight="1">
      <c r="A365" t="inlineStr">
        <is>
          <t>A 13347-2023</t>
        </is>
      </c>
      <c r="B365" s="1" t="n">
        <v>45004</v>
      </c>
      <c r="C365" s="1" t="n">
        <v>45981</v>
      </c>
      <c r="D365" t="inlineStr">
        <is>
          <t>ÖREBRO LÄN</t>
        </is>
      </c>
      <c r="E365" t="inlineStr">
        <is>
          <t>ÖREBRO</t>
        </is>
      </c>
      <c r="G365" t="n">
        <v>1.3</v>
      </c>
      <c r="H365" t="n">
        <v>0</v>
      </c>
      <c r="I365" t="n">
        <v>0</v>
      </c>
      <c r="J365" t="n">
        <v>0</v>
      </c>
      <c r="K365" t="n">
        <v>0</v>
      </c>
      <c r="L365" t="n">
        <v>0</v>
      </c>
      <c r="M365" t="n">
        <v>0</v>
      </c>
      <c r="N365" t="n">
        <v>0</v>
      </c>
      <c r="O365" t="n">
        <v>0</v>
      </c>
      <c r="P365" t="n">
        <v>0</v>
      </c>
      <c r="Q365" t="n">
        <v>0</v>
      </c>
      <c r="R365" s="2" t="inlineStr"/>
    </row>
    <row r="366" ht="15" customHeight="1">
      <c r="A366" t="inlineStr">
        <is>
          <t>A 6752-2022</t>
        </is>
      </c>
      <c r="B366" s="1" t="n">
        <v>44602.48082175926</v>
      </c>
      <c r="C366" s="1" t="n">
        <v>45981</v>
      </c>
      <c r="D366" t="inlineStr">
        <is>
          <t>ÖREBRO LÄN</t>
        </is>
      </c>
      <c r="E366" t="inlineStr">
        <is>
          <t>ÖREBRO</t>
        </is>
      </c>
      <c r="G366" t="n">
        <v>3.1</v>
      </c>
      <c r="H366" t="n">
        <v>0</v>
      </c>
      <c r="I366" t="n">
        <v>0</v>
      </c>
      <c r="J366" t="n">
        <v>0</v>
      </c>
      <c r="K366" t="n">
        <v>0</v>
      </c>
      <c r="L366" t="n">
        <v>0</v>
      </c>
      <c r="M366" t="n">
        <v>0</v>
      </c>
      <c r="N366" t="n">
        <v>0</v>
      </c>
      <c r="O366" t="n">
        <v>0</v>
      </c>
      <c r="P366" t="n">
        <v>0</v>
      </c>
      <c r="Q366" t="n">
        <v>0</v>
      </c>
      <c r="R366" s="2" t="inlineStr"/>
    </row>
    <row r="367" ht="15" customHeight="1">
      <c r="A367" t="inlineStr">
        <is>
          <t>A 23741-2022</t>
        </is>
      </c>
      <c r="B367" s="1" t="n">
        <v>44722</v>
      </c>
      <c r="C367" s="1" t="n">
        <v>45981</v>
      </c>
      <c r="D367" t="inlineStr">
        <is>
          <t>ÖREBRO LÄN</t>
        </is>
      </c>
      <c r="E367" t="inlineStr">
        <is>
          <t>ÖREBRO</t>
        </is>
      </c>
      <c r="G367" t="n">
        <v>1.3</v>
      </c>
      <c r="H367" t="n">
        <v>0</v>
      </c>
      <c r="I367" t="n">
        <v>0</v>
      </c>
      <c r="J367" t="n">
        <v>0</v>
      </c>
      <c r="K367" t="n">
        <v>0</v>
      </c>
      <c r="L367" t="n">
        <v>0</v>
      </c>
      <c r="M367" t="n">
        <v>0</v>
      </c>
      <c r="N367" t="n">
        <v>0</v>
      </c>
      <c r="O367" t="n">
        <v>0</v>
      </c>
      <c r="P367" t="n">
        <v>0</v>
      </c>
      <c r="Q367" t="n">
        <v>0</v>
      </c>
      <c r="R367" s="2" t="inlineStr"/>
    </row>
    <row r="368" ht="15" customHeight="1">
      <c r="A368" t="inlineStr">
        <is>
          <t>A 59121-2024</t>
        </is>
      </c>
      <c r="B368" s="1" t="n">
        <v>45637.37755787037</v>
      </c>
      <c r="C368" s="1" t="n">
        <v>45981</v>
      </c>
      <c r="D368" t="inlineStr">
        <is>
          <t>ÖREBRO LÄN</t>
        </is>
      </c>
      <c r="E368" t="inlineStr">
        <is>
          <t>ÖREBRO</t>
        </is>
      </c>
      <c r="G368" t="n">
        <v>1</v>
      </c>
      <c r="H368" t="n">
        <v>0</v>
      </c>
      <c r="I368" t="n">
        <v>0</v>
      </c>
      <c r="J368" t="n">
        <v>0</v>
      </c>
      <c r="K368" t="n">
        <v>0</v>
      </c>
      <c r="L368" t="n">
        <v>0</v>
      </c>
      <c r="M368" t="n">
        <v>0</v>
      </c>
      <c r="N368" t="n">
        <v>0</v>
      </c>
      <c r="O368" t="n">
        <v>0</v>
      </c>
      <c r="P368" t="n">
        <v>0</v>
      </c>
      <c r="Q368" t="n">
        <v>0</v>
      </c>
      <c r="R368" s="2" t="inlineStr"/>
    </row>
    <row r="369" ht="15" customHeight="1">
      <c r="A369" t="inlineStr">
        <is>
          <t>A 57867-2024</t>
        </is>
      </c>
      <c r="B369" s="1" t="n">
        <v>45631.43864583333</v>
      </c>
      <c r="C369" s="1" t="n">
        <v>45981</v>
      </c>
      <c r="D369" t="inlineStr">
        <is>
          <t>ÖREBRO LÄN</t>
        </is>
      </c>
      <c r="E369" t="inlineStr">
        <is>
          <t>ÖREBRO</t>
        </is>
      </c>
      <c r="G369" t="n">
        <v>1.5</v>
      </c>
      <c r="H369" t="n">
        <v>0</v>
      </c>
      <c r="I369" t="n">
        <v>0</v>
      </c>
      <c r="J369" t="n">
        <v>0</v>
      </c>
      <c r="K369" t="n">
        <v>0</v>
      </c>
      <c r="L369" t="n">
        <v>0</v>
      </c>
      <c r="M369" t="n">
        <v>0</v>
      </c>
      <c r="N369" t="n">
        <v>0</v>
      </c>
      <c r="O369" t="n">
        <v>0</v>
      </c>
      <c r="P369" t="n">
        <v>0</v>
      </c>
      <c r="Q369" t="n">
        <v>0</v>
      </c>
      <c r="R369" s="2" t="inlineStr"/>
    </row>
    <row r="370" ht="15" customHeight="1">
      <c r="A370" t="inlineStr">
        <is>
          <t>A 9704-2023</t>
        </is>
      </c>
      <c r="B370" s="1" t="n">
        <v>44984</v>
      </c>
      <c r="C370" s="1" t="n">
        <v>45981</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44875-2025</t>
        </is>
      </c>
      <c r="B371" s="1" t="n">
        <v>45918.47043981482</v>
      </c>
      <c r="C371" s="1" t="n">
        <v>45981</v>
      </c>
      <c r="D371" t="inlineStr">
        <is>
          <t>ÖREBRO LÄN</t>
        </is>
      </c>
      <c r="E371" t="inlineStr">
        <is>
          <t>ÖREBRO</t>
        </is>
      </c>
      <c r="G371" t="n">
        <v>1.4</v>
      </c>
      <c r="H371" t="n">
        <v>0</v>
      </c>
      <c r="I371" t="n">
        <v>0</v>
      </c>
      <c r="J371" t="n">
        <v>0</v>
      </c>
      <c r="K371" t="n">
        <v>0</v>
      </c>
      <c r="L371" t="n">
        <v>0</v>
      </c>
      <c r="M371" t="n">
        <v>0</v>
      </c>
      <c r="N371" t="n">
        <v>0</v>
      </c>
      <c r="O371" t="n">
        <v>0</v>
      </c>
      <c r="P371" t="n">
        <v>0</v>
      </c>
      <c r="Q371" t="n">
        <v>0</v>
      </c>
      <c r="R371" s="2" t="inlineStr"/>
    </row>
    <row r="372" ht="15" customHeight="1">
      <c r="A372" t="inlineStr">
        <is>
          <t>A 13355-2023</t>
        </is>
      </c>
      <c r="B372" s="1" t="n">
        <v>45004</v>
      </c>
      <c r="C372" s="1" t="n">
        <v>45981</v>
      </c>
      <c r="D372" t="inlineStr">
        <is>
          <t>ÖREBRO LÄN</t>
        </is>
      </c>
      <c r="E372" t="inlineStr">
        <is>
          <t>ÖREBRO</t>
        </is>
      </c>
      <c r="G372" t="n">
        <v>2.3</v>
      </c>
      <c r="H372" t="n">
        <v>0</v>
      </c>
      <c r="I372" t="n">
        <v>0</v>
      </c>
      <c r="J372" t="n">
        <v>0</v>
      </c>
      <c r="K372" t="n">
        <v>0</v>
      </c>
      <c r="L372" t="n">
        <v>0</v>
      </c>
      <c r="M372" t="n">
        <v>0</v>
      </c>
      <c r="N372" t="n">
        <v>0</v>
      </c>
      <c r="O372" t="n">
        <v>0</v>
      </c>
      <c r="P372" t="n">
        <v>0</v>
      </c>
      <c r="Q372" t="n">
        <v>0</v>
      </c>
      <c r="R372" s="2" t="inlineStr"/>
    </row>
    <row r="373" ht="15" customHeight="1">
      <c r="A373" t="inlineStr">
        <is>
          <t>A 14544-2023</t>
        </is>
      </c>
      <c r="B373" s="1" t="n">
        <v>45013</v>
      </c>
      <c r="C373" s="1" t="n">
        <v>45981</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53715-2025</t>
        </is>
      </c>
      <c r="B374" s="1" t="n">
        <v>45960.61763888889</v>
      </c>
      <c r="C374" s="1" t="n">
        <v>45981</v>
      </c>
      <c r="D374" t="inlineStr">
        <is>
          <t>ÖREBRO LÄN</t>
        </is>
      </c>
      <c r="E374" t="inlineStr">
        <is>
          <t>ÖREBRO</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71272-2021</t>
        </is>
      </c>
      <c r="B375" s="1" t="n">
        <v>44539.61571759259</v>
      </c>
      <c r="C375" s="1" t="n">
        <v>45981</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12099-2023</t>
        </is>
      </c>
      <c r="B376" s="1" t="n">
        <v>44998.37043981482</v>
      </c>
      <c r="C376" s="1" t="n">
        <v>45981</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3120-2022</t>
        </is>
      </c>
      <c r="B377" s="1" t="n">
        <v>44582</v>
      </c>
      <c r="C377" s="1" t="n">
        <v>45981</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17869-2024</t>
        </is>
      </c>
      <c r="B378" s="1" t="n">
        <v>45419</v>
      </c>
      <c r="C378" s="1" t="n">
        <v>45981</v>
      </c>
      <c r="D378" t="inlineStr">
        <is>
          <t>ÖREBRO LÄN</t>
        </is>
      </c>
      <c r="E378" t="inlineStr">
        <is>
          <t>ÖREBRO</t>
        </is>
      </c>
      <c r="G378" t="n">
        <v>3.7</v>
      </c>
      <c r="H378" t="n">
        <v>0</v>
      </c>
      <c r="I378" t="n">
        <v>0</v>
      </c>
      <c r="J378" t="n">
        <v>0</v>
      </c>
      <c r="K378" t="n">
        <v>0</v>
      </c>
      <c r="L378" t="n">
        <v>0</v>
      </c>
      <c r="M378" t="n">
        <v>0</v>
      </c>
      <c r="N378" t="n">
        <v>0</v>
      </c>
      <c r="O378" t="n">
        <v>0</v>
      </c>
      <c r="P378" t="n">
        <v>0</v>
      </c>
      <c r="Q378" t="n">
        <v>0</v>
      </c>
      <c r="R378" s="2" t="inlineStr"/>
    </row>
    <row r="379" ht="15" customHeight="1">
      <c r="A379" t="inlineStr">
        <is>
          <t>A 5026-2022</t>
        </is>
      </c>
      <c r="B379" s="1" t="n">
        <v>44593.63974537037</v>
      </c>
      <c r="C379" s="1" t="n">
        <v>45981</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19388-2024</t>
        </is>
      </c>
      <c r="B380" s="1" t="n">
        <v>45429.37775462963</v>
      </c>
      <c r="C380" s="1" t="n">
        <v>45981</v>
      </c>
      <c r="D380" t="inlineStr">
        <is>
          <t>ÖREBRO LÄN</t>
        </is>
      </c>
      <c r="E380" t="inlineStr">
        <is>
          <t>ÖREBRO</t>
        </is>
      </c>
      <c r="G380" t="n">
        <v>4.3</v>
      </c>
      <c r="H380" t="n">
        <v>0</v>
      </c>
      <c r="I380" t="n">
        <v>0</v>
      </c>
      <c r="J380" t="n">
        <v>0</v>
      </c>
      <c r="K380" t="n">
        <v>0</v>
      </c>
      <c r="L380" t="n">
        <v>0</v>
      </c>
      <c r="M380" t="n">
        <v>0</v>
      </c>
      <c r="N380" t="n">
        <v>0</v>
      </c>
      <c r="O380" t="n">
        <v>0</v>
      </c>
      <c r="P380" t="n">
        <v>0</v>
      </c>
      <c r="Q380" t="n">
        <v>0</v>
      </c>
      <c r="R380" s="2" t="inlineStr"/>
    </row>
    <row r="381" ht="15" customHeight="1">
      <c r="A381" t="inlineStr">
        <is>
          <t>A 10832-2023</t>
        </is>
      </c>
      <c r="B381" s="1" t="n">
        <v>44990.91711805556</v>
      </c>
      <c r="C381" s="1" t="n">
        <v>45981</v>
      </c>
      <c r="D381" t="inlineStr">
        <is>
          <t>ÖREBRO LÄN</t>
        </is>
      </c>
      <c r="E381" t="inlineStr">
        <is>
          <t>ÖREBRO</t>
        </is>
      </c>
      <c r="G381" t="n">
        <v>1.4</v>
      </c>
      <c r="H381" t="n">
        <v>0</v>
      </c>
      <c r="I381" t="n">
        <v>0</v>
      </c>
      <c r="J381" t="n">
        <v>0</v>
      </c>
      <c r="K381" t="n">
        <v>0</v>
      </c>
      <c r="L381" t="n">
        <v>0</v>
      </c>
      <c r="M381" t="n">
        <v>0</v>
      </c>
      <c r="N381" t="n">
        <v>0</v>
      </c>
      <c r="O381" t="n">
        <v>0</v>
      </c>
      <c r="P381" t="n">
        <v>0</v>
      </c>
      <c r="Q381" t="n">
        <v>0</v>
      </c>
      <c r="R381" s="2" t="inlineStr"/>
    </row>
    <row r="382" ht="15" customHeight="1">
      <c r="A382" t="inlineStr">
        <is>
          <t>A 54485-2025</t>
        </is>
      </c>
      <c r="B382" s="1" t="n">
        <v>45965.59295138889</v>
      </c>
      <c r="C382" s="1" t="n">
        <v>45981</v>
      </c>
      <c r="D382" t="inlineStr">
        <is>
          <t>ÖREBRO LÄN</t>
        </is>
      </c>
      <c r="E382" t="inlineStr">
        <is>
          <t>ÖREBRO</t>
        </is>
      </c>
      <c r="F382" t="inlineStr">
        <is>
          <t>Allmännings- och besparingsskogar</t>
        </is>
      </c>
      <c r="G382" t="n">
        <v>1.7</v>
      </c>
      <c r="H382" t="n">
        <v>0</v>
      </c>
      <c r="I382" t="n">
        <v>0</v>
      </c>
      <c r="J382" t="n">
        <v>0</v>
      </c>
      <c r="K382" t="n">
        <v>0</v>
      </c>
      <c r="L382" t="n">
        <v>0</v>
      </c>
      <c r="M382" t="n">
        <v>0</v>
      </c>
      <c r="N382" t="n">
        <v>0</v>
      </c>
      <c r="O382" t="n">
        <v>0</v>
      </c>
      <c r="P382" t="n">
        <v>0</v>
      </c>
      <c r="Q382" t="n">
        <v>0</v>
      </c>
      <c r="R382" s="2" t="inlineStr"/>
    </row>
    <row r="383" ht="15" customHeight="1">
      <c r="A383" t="inlineStr">
        <is>
          <t>A 40597-2021</t>
        </is>
      </c>
      <c r="B383" s="1" t="n">
        <v>44420</v>
      </c>
      <c r="C383" s="1" t="n">
        <v>45981</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2318-2023</t>
        </is>
      </c>
      <c r="B384" s="1" t="n">
        <v>44942</v>
      </c>
      <c r="C384" s="1" t="n">
        <v>45981</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20121-2024</t>
        </is>
      </c>
      <c r="B385" s="1" t="n">
        <v>45434</v>
      </c>
      <c r="C385" s="1" t="n">
        <v>45981</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20150-2024</t>
        </is>
      </c>
      <c r="B386" s="1" t="n">
        <v>45434.57969907407</v>
      </c>
      <c r="C386" s="1" t="n">
        <v>45981</v>
      </c>
      <c r="D386" t="inlineStr">
        <is>
          <t>ÖREBRO LÄN</t>
        </is>
      </c>
      <c r="E386" t="inlineStr">
        <is>
          <t>ÖREBRO</t>
        </is>
      </c>
      <c r="G386" t="n">
        <v>0.5</v>
      </c>
      <c r="H386" t="n">
        <v>0</v>
      </c>
      <c r="I386" t="n">
        <v>0</v>
      </c>
      <c r="J386" t="n">
        <v>0</v>
      </c>
      <c r="K386" t="n">
        <v>0</v>
      </c>
      <c r="L386" t="n">
        <v>0</v>
      </c>
      <c r="M386" t="n">
        <v>0</v>
      </c>
      <c r="N386" t="n">
        <v>0</v>
      </c>
      <c r="O386" t="n">
        <v>0</v>
      </c>
      <c r="P386" t="n">
        <v>0</v>
      </c>
      <c r="Q386" t="n">
        <v>0</v>
      </c>
      <c r="R386" s="2" t="inlineStr"/>
    </row>
    <row r="387" ht="15" customHeight="1">
      <c r="A387" t="inlineStr">
        <is>
          <t>A 48581-2024</t>
        </is>
      </c>
      <c r="B387" s="1" t="n">
        <v>45593.41642361111</v>
      </c>
      <c r="C387" s="1" t="n">
        <v>45981</v>
      </c>
      <c r="D387" t="inlineStr">
        <is>
          <t>ÖREBRO LÄN</t>
        </is>
      </c>
      <c r="E387" t="inlineStr">
        <is>
          <t>ÖREBRO</t>
        </is>
      </c>
      <c r="G387" t="n">
        <v>0.7</v>
      </c>
      <c r="H387" t="n">
        <v>0</v>
      </c>
      <c r="I387" t="n">
        <v>0</v>
      </c>
      <c r="J387" t="n">
        <v>0</v>
      </c>
      <c r="K387" t="n">
        <v>0</v>
      </c>
      <c r="L387" t="n">
        <v>0</v>
      </c>
      <c r="M387" t="n">
        <v>0</v>
      </c>
      <c r="N387" t="n">
        <v>0</v>
      </c>
      <c r="O387" t="n">
        <v>0</v>
      </c>
      <c r="P387" t="n">
        <v>0</v>
      </c>
      <c r="Q387" t="n">
        <v>0</v>
      </c>
      <c r="R387" s="2" t="inlineStr"/>
    </row>
    <row r="388" ht="15" customHeight="1">
      <c r="A388" t="inlineStr">
        <is>
          <t>A 767-2024</t>
        </is>
      </c>
      <c r="B388" s="1" t="n">
        <v>45300.51892361111</v>
      </c>
      <c r="C388" s="1" t="n">
        <v>45981</v>
      </c>
      <c r="D388" t="inlineStr">
        <is>
          <t>ÖREBRO LÄN</t>
        </is>
      </c>
      <c r="E388" t="inlineStr">
        <is>
          <t>ÖREBRO</t>
        </is>
      </c>
      <c r="G388" t="n">
        <v>2</v>
      </c>
      <c r="H388" t="n">
        <v>0</v>
      </c>
      <c r="I388" t="n">
        <v>0</v>
      </c>
      <c r="J388" t="n">
        <v>0</v>
      </c>
      <c r="K388" t="n">
        <v>0</v>
      </c>
      <c r="L388" t="n">
        <v>0</v>
      </c>
      <c r="M388" t="n">
        <v>0</v>
      </c>
      <c r="N388" t="n">
        <v>0</v>
      </c>
      <c r="O388" t="n">
        <v>0</v>
      </c>
      <c r="P388" t="n">
        <v>0</v>
      </c>
      <c r="Q388" t="n">
        <v>0</v>
      </c>
      <c r="R388" s="2" t="inlineStr"/>
    </row>
    <row r="389" ht="15" customHeight="1">
      <c r="A389" t="inlineStr">
        <is>
          <t>A 27180-2025</t>
        </is>
      </c>
      <c r="B389" s="1" t="n">
        <v>45812.35736111111</v>
      </c>
      <c r="C389" s="1" t="n">
        <v>45981</v>
      </c>
      <c r="D389" t="inlineStr">
        <is>
          <t>ÖREBRO LÄN</t>
        </is>
      </c>
      <c r="E389" t="inlineStr">
        <is>
          <t>ÖREBRO</t>
        </is>
      </c>
      <c r="G389" t="n">
        <v>1.3</v>
      </c>
      <c r="H389" t="n">
        <v>0</v>
      </c>
      <c r="I389" t="n">
        <v>0</v>
      </c>
      <c r="J389" t="n">
        <v>0</v>
      </c>
      <c r="K389" t="n">
        <v>0</v>
      </c>
      <c r="L389" t="n">
        <v>0</v>
      </c>
      <c r="M389" t="n">
        <v>0</v>
      </c>
      <c r="N389" t="n">
        <v>0</v>
      </c>
      <c r="O389" t="n">
        <v>0</v>
      </c>
      <c r="P389" t="n">
        <v>0</v>
      </c>
      <c r="Q389" t="n">
        <v>0</v>
      </c>
      <c r="R389" s="2" t="inlineStr"/>
    </row>
    <row r="390" ht="15" customHeight="1">
      <c r="A390" t="inlineStr">
        <is>
          <t>A 52441-2024</t>
        </is>
      </c>
      <c r="B390" s="1" t="n">
        <v>45609.48451388889</v>
      </c>
      <c r="C390" s="1" t="n">
        <v>45981</v>
      </c>
      <c r="D390" t="inlineStr">
        <is>
          <t>ÖREBRO LÄN</t>
        </is>
      </c>
      <c r="E390" t="inlineStr">
        <is>
          <t>ÖREBRO</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58611-2024</t>
        </is>
      </c>
      <c r="B391" s="1" t="n">
        <v>45635.55555555555</v>
      </c>
      <c r="C391" s="1" t="n">
        <v>45981</v>
      </c>
      <c r="D391" t="inlineStr">
        <is>
          <t>ÖREBRO LÄN</t>
        </is>
      </c>
      <c r="E391" t="inlineStr">
        <is>
          <t>ÖREBRO</t>
        </is>
      </c>
      <c r="F391" t="inlineStr">
        <is>
          <t>Sveaskog</t>
        </is>
      </c>
      <c r="G391" t="n">
        <v>0.3</v>
      </c>
      <c r="H391" t="n">
        <v>0</v>
      </c>
      <c r="I391" t="n">
        <v>0</v>
      </c>
      <c r="J391" t="n">
        <v>0</v>
      </c>
      <c r="K391" t="n">
        <v>0</v>
      </c>
      <c r="L391" t="n">
        <v>0</v>
      </c>
      <c r="M391" t="n">
        <v>0</v>
      </c>
      <c r="N391" t="n">
        <v>0</v>
      </c>
      <c r="O391" t="n">
        <v>0</v>
      </c>
      <c r="P391" t="n">
        <v>0</v>
      </c>
      <c r="Q391" t="n">
        <v>0</v>
      </c>
      <c r="R391" s="2" t="inlineStr"/>
    </row>
    <row r="392" ht="15" customHeight="1">
      <c r="A392" t="inlineStr">
        <is>
          <t>A 40231-2022</t>
        </is>
      </c>
      <c r="B392" s="1" t="n">
        <v>44820</v>
      </c>
      <c r="C392" s="1" t="n">
        <v>45981</v>
      </c>
      <c r="D392" t="inlineStr">
        <is>
          <t>ÖREBRO LÄN</t>
        </is>
      </c>
      <c r="E392" t="inlineStr">
        <is>
          <t>ÖREBRO</t>
        </is>
      </c>
      <c r="F392" t="inlineStr">
        <is>
          <t>Allmännings- och besparingsskogar</t>
        </is>
      </c>
      <c r="G392" t="n">
        <v>2.2</v>
      </c>
      <c r="H392" t="n">
        <v>0</v>
      </c>
      <c r="I392" t="n">
        <v>0</v>
      </c>
      <c r="J392" t="n">
        <v>0</v>
      </c>
      <c r="K392" t="n">
        <v>0</v>
      </c>
      <c r="L392" t="n">
        <v>0</v>
      </c>
      <c r="M392" t="n">
        <v>0</v>
      </c>
      <c r="N392" t="n">
        <v>0</v>
      </c>
      <c r="O392" t="n">
        <v>0</v>
      </c>
      <c r="P392" t="n">
        <v>0</v>
      </c>
      <c r="Q392" t="n">
        <v>0</v>
      </c>
      <c r="R392" s="2" t="inlineStr"/>
    </row>
    <row r="393" ht="15" customHeight="1">
      <c r="A393" t="inlineStr">
        <is>
          <t>A 54205-2025</t>
        </is>
      </c>
      <c r="B393" s="1" t="n">
        <v>45964.58512731481</v>
      </c>
      <c r="C393" s="1" t="n">
        <v>45981</v>
      </c>
      <c r="D393" t="inlineStr">
        <is>
          <t>ÖREBRO LÄN</t>
        </is>
      </c>
      <c r="E393" t="inlineStr">
        <is>
          <t>ÖREBRO</t>
        </is>
      </c>
      <c r="G393" t="n">
        <v>24.3</v>
      </c>
      <c r="H393" t="n">
        <v>0</v>
      </c>
      <c r="I393" t="n">
        <v>0</v>
      </c>
      <c r="J393" t="n">
        <v>0</v>
      </c>
      <c r="K393" t="n">
        <v>0</v>
      </c>
      <c r="L393" t="n">
        <v>0</v>
      </c>
      <c r="M393" t="n">
        <v>0</v>
      </c>
      <c r="N393" t="n">
        <v>0</v>
      </c>
      <c r="O393" t="n">
        <v>0</v>
      </c>
      <c r="P393" t="n">
        <v>0</v>
      </c>
      <c r="Q393" t="n">
        <v>0</v>
      </c>
      <c r="R393" s="2" t="inlineStr"/>
    </row>
    <row r="394" ht="15" customHeight="1">
      <c r="A394" t="inlineStr">
        <is>
          <t>A 27215-2025</t>
        </is>
      </c>
      <c r="B394" s="1" t="n">
        <v>45812.41869212963</v>
      </c>
      <c r="C394" s="1" t="n">
        <v>45981</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27225-2025</t>
        </is>
      </c>
      <c r="B395" s="1" t="n">
        <v>45812.42856481481</v>
      </c>
      <c r="C395" s="1" t="n">
        <v>45981</v>
      </c>
      <c r="D395" t="inlineStr">
        <is>
          <t>ÖREBRO LÄN</t>
        </is>
      </c>
      <c r="E395" t="inlineStr">
        <is>
          <t>ÖREBRO</t>
        </is>
      </c>
      <c r="G395" t="n">
        <v>4</v>
      </c>
      <c r="H395" t="n">
        <v>0</v>
      </c>
      <c r="I395" t="n">
        <v>0</v>
      </c>
      <c r="J395" t="n">
        <v>0</v>
      </c>
      <c r="K395" t="n">
        <v>0</v>
      </c>
      <c r="L395" t="n">
        <v>0</v>
      </c>
      <c r="M395" t="n">
        <v>0</v>
      </c>
      <c r="N395" t="n">
        <v>0</v>
      </c>
      <c r="O395" t="n">
        <v>0</v>
      </c>
      <c r="P395" t="n">
        <v>0</v>
      </c>
      <c r="Q395" t="n">
        <v>0</v>
      </c>
      <c r="R395" s="2" t="inlineStr"/>
    </row>
    <row r="396" ht="15" customHeight="1">
      <c r="A396" t="inlineStr">
        <is>
          <t>A 14963-2025</t>
        </is>
      </c>
      <c r="B396" s="1" t="n">
        <v>45743.58699074074</v>
      </c>
      <c r="C396" s="1" t="n">
        <v>45981</v>
      </c>
      <c r="D396" t="inlineStr">
        <is>
          <t>ÖREBRO LÄN</t>
        </is>
      </c>
      <c r="E396" t="inlineStr">
        <is>
          <t>ÖREBRO</t>
        </is>
      </c>
      <c r="G396" t="n">
        <v>9.1</v>
      </c>
      <c r="H396" t="n">
        <v>0</v>
      </c>
      <c r="I396" t="n">
        <v>0</v>
      </c>
      <c r="J396" t="n">
        <v>0</v>
      </c>
      <c r="K396" t="n">
        <v>0</v>
      </c>
      <c r="L396" t="n">
        <v>0</v>
      </c>
      <c r="M396" t="n">
        <v>0</v>
      </c>
      <c r="N396" t="n">
        <v>0</v>
      </c>
      <c r="O396" t="n">
        <v>0</v>
      </c>
      <c r="P396" t="n">
        <v>0</v>
      </c>
      <c r="Q396" t="n">
        <v>0</v>
      </c>
      <c r="R396" s="2" t="inlineStr"/>
    </row>
    <row r="397" ht="15" customHeight="1">
      <c r="A397" t="inlineStr">
        <is>
          <t>A 38075-2022</t>
        </is>
      </c>
      <c r="B397" s="1" t="n">
        <v>44811</v>
      </c>
      <c r="C397" s="1" t="n">
        <v>45981</v>
      </c>
      <c r="D397" t="inlineStr">
        <is>
          <t>ÖREBRO LÄN</t>
        </is>
      </c>
      <c r="E397" t="inlineStr">
        <is>
          <t>ÖREBRO</t>
        </is>
      </c>
      <c r="G397" t="n">
        <v>0.2</v>
      </c>
      <c r="H397" t="n">
        <v>0</v>
      </c>
      <c r="I397" t="n">
        <v>0</v>
      </c>
      <c r="J397" t="n">
        <v>0</v>
      </c>
      <c r="K397" t="n">
        <v>0</v>
      </c>
      <c r="L397" t="n">
        <v>0</v>
      </c>
      <c r="M397" t="n">
        <v>0</v>
      </c>
      <c r="N397" t="n">
        <v>0</v>
      </c>
      <c r="O397" t="n">
        <v>0</v>
      </c>
      <c r="P397" t="n">
        <v>0</v>
      </c>
      <c r="Q397" t="n">
        <v>0</v>
      </c>
      <c r="R397" s="2" t="inlineStr"/>
    </row>
    <row r="398" ht="15" customHeight="1">
      <c r="A398" t="inlineStr">
        <is>
          <t>A 19831-2021</t>
        </is>
      </c>
      <c r="B398" s="1" t="n">
        <v>44313</v>
      </c>
      <c r="C398" s="1" t="n">
        <v>45981</v>
      </c>
      <c r="D398" t="inlineStr">
        <is>
          <t>ÖREBRO LÄN</t>
        </is>
      </c>
      <c r="E398" t="inlineStr">
        <is>
          <t>ÖREBRO</t>
        </is>
      </c>
      <c r="G398" t="n">
        <v>3.2</v>
      </c>
      <c r="H398" t="n">
        <v>0</v>
      </c>
      <c r="I398" t="n">
        <v>0</v>
      </c>
      <c r="J398" t="n">
        <v>0</v>
      </c>
      <c r="K398" t="n">
        <v>0</v>
      </c>
      <c r="L398" t="n">
        <v>0</v>
      </c>
      <c r="M398" t="n">
        <v>0</v>
      </c>
      <c r="N398" t="n">
        <v>0</v>
      </c>
      <c r="O398" t="n">
        <v>0</v>
      </c>
      <c r="P398" t="n">
        <v>0</v>
      </c>
      <c r="Q398" t="n">
        <v>0</v>
      </c>
      <c r="R398" s="2" t="inlineStr"/>
    </row>
    <row r="399" ht="15" customHeight="1">
      <c r="A399" t="inlineStr">
        <is>
          <t>A 5133-2024</t>
        </is>
      </c>
      <c r="B399" s="1" t="n">
        <v>45330</v>
      </c>
      <c r="C399" s="1" t="n">
        <v>45981</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58219-2024</t>
        </is>
      </c>
      <c r="B400" s="1" t="n">
        <v>45632</v>
      </c>
      <c r="C400" s="1" t="n">
        <v>45981</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27220-2025</t>
        </is>
      </c>
      <c r="B401" s="1" t="n">
        <v>45812.42293981482</v>
      </c>
      <c r="C401" s="1" t="n">
        <v>45981</v>
      </c>
      <c r="D401" t="inlineStr">
        <is>
          <t>ÖREBRO LÄN</t>
        </is>
      </c>
      <c r="E401" t="inlineStr">
        <is>
          <t>ÖREBRO</t>
        </is>
      </c>
      <c r="G401" t="n">
        <v>0.6</v>
      </c>
      <c r="H401" t="n">
        <v>0</v>
      </c>
      <c r="I401" t="n">
        <v>0</v>
      </c>
      <c r="J401" t="n">
        <v>0</v>
      </c>
      <c r="K401" t="n">
        <v>0</v>
      </c>
      <c r="L401" t="n">
        <v>0</v>
      </c>
      <c r="M401" t="n">
        <v>0</v>
      </c>
      <c r="N401" t="n">
        <v>0</v>
      </c>
      <c r="O401" t="n">
        <v>0</v>
      </c>
      <c r="P401" t="n">
        <v>0</v>
      </c>
      <c r="Q401" t="n">
        <v>0</v>
      </c>
      <c r="R401" s="2" t="inlineStr"/>
    </row>
    <row r="402" ht="15" customHeight="1">
      <c r="A402" t="inlineStr">
        <is>
          <t>A 55003-2025</t>
        </is>
      </c>
      <c r="B402" s="1" t="n">
        <v>45967</v>
      </c>
      <c r="C402" s="1" t="n">
        <v>45981</v>
      </c>
      <c r="D402" t="inlineStr">
        <is>
          <t>ÖREBRO LÄN</t>
        </is>
      </c>
      <c r="E402" t="inlineStr">
        <is>
          <t>ÖREBRO</t>
        </is>
      </c>
      <c r="F402" t="inlineStr">
        <is>
          <t>Övriga Aktiebolag</t>
        </is>
      </c>
      <c r="G402" t="n">
        <v>1.9</v>
      </c>
      <c r="H402" t="n">
        <v>0</v>
      </c>
      <c r="I402" t="n">
        <v>0</v>
      </c>
      <c r="J402" t="n">
        <v>0</v>
      </c>
      <c r="K402" t="n">
        <v>0</v>
      </c>
      <c r="L402" t="n">
        <v>0</v>
      </c>
      <c r="M402" t="n">
        <v>0</v>
      </c>
      <c r="N402" t="n">
        <v>0</v>
      </c>
      <c r="O402" t="n">
        <v>0</v>
      </c>
      <c r="P402" t="n">
        <v>0</v>
      </c>
      <c r="Q402" t="n">
        <v>0</v>
      </c>
      <c r="R402" s="2" t="inlineStr"/>
    </row>
    <row r="403" ht="15" customHeight="1">
      <c r="A403" t="inlineStr">
        <is>
          <t>A 33455-2023</t>
        </is>
      </c>
      <c r="B403" s="1" t="n">
        <v>45130.98962962963</v>
      </c>
      <c r="C403" s="1" t="n">
        <v>45981</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2069-2025</t>
        </is>
      </c>
      <c r="B404" s="1" t="n">
        <v>45672.56614583333</v>
      </c>
      <c r="C404" s="1" t="n">
        <v>45981</v>
      </c>
      <c r="D404" t="inlineStr">
        <is>
          <t>ÖREBRO LÄN</t>
        </is>
      </c>
      <c r="E404" t="inlineStr">
        <is>
          <t>ÖREBRO</t>
        </is>
      </c>
      <c r="G404" t="n">
        <v>3.8</v>
      </c>
      <c r="H404" t="n">
        <v>0</v>
      </c>
      <c r="I404" t="n">
        <v>0</v>
      </c>
      <c r="J404" t="n">
        <v>0</v>
      </c>
      <c r="K404" t="n">
        <v>0</v>
      </c>
      <c r="L404" t="n">
        <v>0</v>
      </c>
      <c r="M404" t="n">
        <v>0</v>
      </c>
      <c r="N404" t="n">
        <v>0</v>
      </c>
      <c r="O404" t="n">
        <v>0</v>
      </c>
      <c r="P404" t="n">
        <v>0</v>
      </c>
      <c r="Q404" t="n">
        <v>0</v>
      </c>
      <c r="R404" s="2" t="inlineStr"/>
    </row>
    <row r="405" ht="15" customHeight="1">
      <c r="A405" t="inlineStr">
        <is>
          <t>A 52477-2024</t>
        </is>
      </c>
      <c r="B405" s="1" t="n">
        <v>45609</v>
      </c>
      <c r="C405" s="1" t="n">
        <v>45981</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10368-2021</t>
        </is>
      </c>
      <c r="B406" s="1" t="n">
        <v>44257</v>
      </c>
      <c r="C406" s="1" t="n">
        <v>45981</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4284-2025</t>
        </is>
      </c>
      <c r="B407" s="1" t="n">
        <v>45685</v>
      </c>
      <c r="C407" s="1" t="n">
        <v>45981</v>
      </c>
      <c r="D407" t="inlineStr">
        <is>
          <t>ÖREBRO LÄN</t>
        </is>
      </c>
      <c r="E407" t="inlineStr">
        <is>
          <t>ÖREBRO</t>
        </is>
      </c>
      <c r="G407" t="n">
        <v>1.7</v>
      </c>
      <c r="H407" t="n">
        <v>0</v>
      </c>
      <c r="I407" t="n">
        <v>0</v>
      </c>
      <c r="J407" t="n">
        <v>0</v>
      </c>
      <c r="K407" t="n">
        <v>0</v>
      </c>
      <c r="L407" t="n">
        <v>0</v>
      </c>
      <c r="M407" t="n">
        <v>0</v>
      </c>
      <c r="N407" t="n">
        <v>0</v>
      </c>
      <c r="O407" t="n">
        <v>0</v>
      </c>
      <c r="P407" t="n">
        <v>0</v>
      </c>
      <c r="Q407" t="n">
        <v>0</v>
      </c>
      <c r="R407" s="2" t="inlineStr"/>
    </row>
    <row r="408" ht="15" customHeight="1">
      <c r="A408" t="inlineStr">
        <is>
          <t>A 2771-2023</t>
        </is>
      </c>
      <c r="B408" s="1" t="n">
        <v>44944.64704861111</v>
      </c>
      <c r="C408" s="1" t="n">
        <v>45981</v>
      </c>
      <c r="D408" t="inlineStr">
        <is>
          <t>ÖREBRO LÄN</t>
        </is>
      </c>
      <c r="E408" t="inlineStr">
        <is>
          <t>ÖREBRO</t>
        </is>
      </c>
      <c r="G408" t="n">
        <v>15.4</v>
      </c>
      <c r="H408" t="n">
        <v>0</v>
      </c>
      <c r="I408" t="n">
        <v>0</v>
      </c>
      <c r="J408" t="n">
        <v>0</v>
      </c>
      <c r="K408" t="n">
        <v>0</v>
      </c>
      <c r="L408" t="n">
        <v>0</v>
      </c>
      <c r="M408" t="n">
        <v>0</v>
      </c>
      <c r="N408" t="n">
        <v>0</v>
      </c>
      <c r="O408" t="n">
        <v>0</v>
      </c>
      <c r="P408" t="n">
        <v>0</v>
      </c>
      <c r="Q408" t="n">
        <v>0</v>
      </c>
      <c r="R408" s="2" t="inlineStr"/>
    </row>
    <row r="409" ht="15" customHeight="1">
      <c r="A409" t="inlineStr">
        <is>
          <t>A 2076-2025</t>
        </is>
      </c>
      <c r="B409" s="1" t="n">
        <v>45672</v>
      </c>
      <c r="C409" s="1" t="n">
        <v>45981</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58277-2022</t>
        </is>
      </c>
      <c r="B410" s="1" t="n">
        <v>44901.48108796297</v>
      </c>
      <c r="C410" s="1" t="n">
        <v>45981</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44427.81496527778</v>
      </c>
      <c r="C411" s="1" t="n">
        <v>45981</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14524-2025</t>
        </is>
      </c>
      <c r="B412" s="1" t="n">
        <v>45741.64815972222</v>
      </c>
      <c r="C412" s="1" t="n">
        <v>45981</v>
      </c>
      <c r="D412" t="inlineStr">
        <is>
          <t>ÖREBRO LÄN</t>
        </is>
      </c>
      <c r="E412" t="inlineStr">
        <is>
          <t>ÖREBRO</t>
        </is>
      </c>
      <c r="G412" t="n">
        <v>2.8</v>
      </c>
      <c r="H412" t="n">
        <v>0</v>
      </c>
      <c r="I412" t="n">
        <v>0</v>
      </c>
      <c r="J412" t="n">
        <v>0</v>
      </c>
      <c r="K412" t="n">
        <v>0</v>
      </c>
      <c r="L412" t="n">
        <v>0</v>
      </c>
      <c r="M412" t="n">
        <v>0</v>
      </c>
      <c r="N412" t="n">
        <v>0</v>
      </c>
      <c r="O412" t="n">
        <v>0</v>
      </c>
      <c r="P412" t="n">
        <v>0</v>
      </c>
      <c r="Q412" t="n">
        <v>0</v>
      </c>
      <c r="R412" s="2" t="inlineStr"/>
    </row>
    <row r="413" ht="15" customHeight="1">
      <c r="A413" t="inlineStr">
        <is>
          <t>A 15354-2024</t>
        </is>
      </c>
      <c r="B413" s="1" t="n">
        <v>45400.85319444445</v>
      </c>
      <c r="C413" s="1" t="n">
        <v>45981</v>
      </c>
      <c r="D413" t="inlineStr">
        <is>
          <t>ÖREBRO LÄN</t>
        </is>
      </c>
      <c r="E413" t="inlineStr">
        <is>
          <t>ÖREBRO</t>
        </is>
      </c>
      <c r="G413" t="n">
        <v>0.7</v>
      </c>
      <c r="H413" t="n">
        <v>0</v>
      </c>
      <c r="I413" t="n">
        <v>0</v>
      </c>
      <c r="J413" t="n">
        <v>0</v>
      </c>
      <c r="K413" t="n">
        <v>0</v>
      </c>
      <c r="L413" t="n">
        <v>0</v>
      </c>
      <c r="M413" t="n">
        <v>0</v>
      </c>
      <c r="N413" t="n">
        <v>0</v>
      </c>
      <c r="O413" t="n">
        <v>0</v>
      </c>
      <c r="P413" t="n">
        <v>0</v>
      </c>
      <c r="Q413" t="n">
        <v>0</v>
      </c>
      <c r="R413" s="2" t="inlineStr"/>
    </row>
    <row r="414" ht="15" customHeight="1">
      <c r="A414" t="inlineStr">
        <is>
          <t>A 41543-2024</t>
        </is>
      </c>
      <c r="B414" s="1" t="n">
        <v>45560</v>
      </c>
      <c r="C414" s="1" t="n">
        <v>45981</v>
      </c>
      <c r="D414" t="inlineStr">
        <is>
          <t>ÖREBRO LÄN</t>
        </is>
      </c>
      <c r="E414" t="inlineStr">
        <is>
          <t>ÖREBRO</t>
        </is>
      </c>
      <c r="G414" t="n">
        <v>2.8</v>
      </c>
      <c r="H414" t="n">
        <v>0</v>
      </c>
      <c r="I414" t="n">
        <v>0</v>
      </c>
      <c r="J414" t="n">
        <v>0</v>
      </c>
      <c r="K414" t="n">
        <v>0</v>
      </c>
      <c r="L414" t="n">
        <v>0</v>
      </c>
      <c r="M414" t="n">
        <v>0</v>
      </c>
      <c r="N414" t="n">
        <v>0</v>
      </c>
      <c r="O414" t="n">
        <v>0</v>
      </c>
      <c r="P414" t="n">
        <v>0</v>
      </c>
      <c r="Q414" t="n">
        <v>0</v>
      </c>
      <c r="R414" s="2" t="inlineStr"/>
    </row>
    <row r="415" ht="15" customHeight="1">
      <c r="A415" t="inlineStr">
        <is>
          <t>A 71275-2021</t>
        </is>
      </c>
      <c r="B415" s="1" t="n">
        <v>44539</v>
      </c>
      <c r="C415" s="1" t="n">
        <v>45981</v>
      </c>
      <c r="D415" t="inlineStr">
        <is>
          <t>ÖREBRO LÄN</t>
        </is>
      </c>
      <c r="E415" t="inlineStr">
        <is>
          <t>ÖREBRO</t>
        </is>
      </c>
      <c r="G415" t="n">
        <v>0.9</v>
      </c>
      <c r="H415" t="n">
        <v>0</v>
      </c>
      <c r="I415" t="n">
        <v>0</v>
      </c>
      <c r="J415" t="n">
        <v>0</v>
      </c>
      <c r="K415" t="n">
        <v>0</v>
      </c>
      <c r="L415" t="n">
        <v>0</v>
      </c>
      <c r="M415" t="n">
        <v>0</v>
      </c>
      <c r="N415" t="n">
        <v>0</v>
      </c>
      <c r="O415" t="n">
        <v>0</v>
      </c>
      <c r="P415" t="n">
        <v>0</v>
      </c>
      <c r="Q415" t="n">
        <v>0</v>
      </c>
      <c r="R415" s="2" t="inlineStr"/>
    </row>
    <row r="416" ht="15" customHeight="1">
      <c r="A416" t="inlineStr">
        <is>
          <t>A 71285-2021</t>
        </is>
      </c>
      <c r="B416" s="1" t="n">
        <v>44539.62236111111</v>
      </c>
      <c r="C416" s="1" t="n">
        <v>45981</v>
      </c>
      <c r="D416" t="inlineStr">
        <is>
          <t>ÖREBRO LÄN</t>
        </is>
      </c>
      <c r="E416" t="inlineStr">
        <is>
          <t>ÖREBRO</t>
        </is>
      </c>
      <c r="G416" t="n">
        <v>0.8</v>
      </c>
      <c r="H416" t="n">
        <v>0</v>
      </c>
      <c r="I416" t="n">
        <v>0</v>
      </c>
      <c r="J416" t="n">
        <v>0</v>
      </c>
      <c r="K416" t="n">
        <v>0</v>
      </c>
      <c r="L416" t="n">
        <v>0</v>
      </c>
      <c r="M416" t="n">
        <v>0</v>
      </c>
      <c r="N416" t="n">
        <v>0</v>
      </c>
      <c r="O416" t="n">
        <v>0</v>
      </c>
      <c r="P416" t="n">
        <v>0</v>
      </c>
      <c r="Q416" t="n">
        <v>0</v>
      </c>
      <c r="R416" s="2" t="inlineStr"/>
    </row>
    <row r="417" ht="15" customHeight="1">
      <c r="A417" t="inlineStr">
        <is>
          <t>A 58216-2024</t>
        </is>
      </c>
      <c r="B417" s="1" t="n">
        <v>45632</v>
      </c>
      <c r="C417" s="1" t="n">
        <v>45981</v>
      </c>
      <c r="D417" t="inlineStr">
        <is>
          <t>ÖREBRO LÄN</t>
        </is>
      </c>
      <c r="E417" t="inlineStr">
        <is>
          <t>ÖREBRO</t>
        </is>
      </c>
      <c r="G417" t="n">
        <v>1.9</v>
      </c>
      <c r="H417" t="n">
        <v>0</v>
      </c>
      <c r="I417" t="n">
        <v>0</v>
      </c>
      <c r="J417" t="n">
        <v>0</v>
      </c>
      <c r="K417" t="n">
        <v>0</v>
      </c>
      <c r="L417" t="n">
        <v>0</v>
      </c>
      <c r="M417" t="n">
        <v>0</v>
      </c>
      <c r="N417" t="n">
        <v>0</v>
      </c>
      <c r="O417" t="n">
        <v>0</v>
      </c>
      <c r="P417" t="n">
        <v>0</v>
      </c>
      <c r="Q417" t="n">
        <v>0</v>
      </c>
      <c r="R417" s="2" t="inlineStr"/>
    </row>
    <row r="418" ht="15" customHeight="1">
      <c r="A418" t="inlineStr">
        <is>
          <t>A 2658-2023</t>
        </is>
      </c>
      <c r="B418" s="1" t="n">
        <v>44944</v>
      </c>
      <c r="C418" s="1" t="n">
        <v>45981</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3763-2025</t>
        </is>
      </c>
      <c r="B419" s="1" t="n">
        <v>45681</v>
      </c>
      <c r="C419" s="1" t="n">
        <v>45981</v>
      </c>
      <c r="D419" t="inlineStr">
        <is>
          <t>ÖREBRO LÄN</t>
        </is>
      </c>
      <c r="E419" t="inlineStr">
        <is>
          <t>ÖREBRO</t>
        </is>
      </c>
      <c r="G419" t="n">
        <v>10.1</v>
      </c>
      <c r="H419" t="n">
        <v>0</v>
      </c>
      <c r="I419" t="n">
        <v>0</v>
      </c>
      <c r="J419" t="n">
        <v>0</v>
      </c>
      <c r="K419" t="n">
        <v>0</v>
      </c>
      <c r="L419" t="n">
        <v>0</v>
      </c>
      <c r="M419" t="n">
        <v>0</v>
      </c>
      <c r="N419" t="n">
        <v>0</v>
      </c>
      <c r="O419" t="n">
        <v>0</v>
      </c>
      <c r="P419" t="n">
        <v>0</v>
      </c>
      <c r="Q419" t="n">
        <v>0</v>
      </c>
      <c r="R419" s="2" t="inlineStr"/>
    </row>
    <row r="420" ht="15" customHeight="1">
      <c r="A420" t="inlineStr">
        <is>
          <t>A 5324-2024</t>
        </is>
      </c>
      <c r="B420" s="1" t="n">
        <v>45331</v>
      </c>
      <c r="C420" s="1" t="n">
        <v>45981</v>
      </c>
      <c r="D420" t="inlineStr">
        <is>
          <t>ÖREBRO LÄN</t>
        </is>
      </c>
      <c r="E420" t="inlineStr">
        <is>
          <t>ÖREBRO</t>
        </is>
      </c>
      <c r="G420" t="n">
        <v>1.5</v>
      </c>
      <c r="H420" t="n">
        <v>0</v>
      </c>
      <c r="I420" t="n">
        <v>0</v>
      </c>
      <c r="J420" t="n">
        <v>0</v>
      </c>
      <c r="K420" t="n">
        <v>0</v>
      </c>
      <c r="L420" t="n">
        <v>0</v>
      </c>
      <c r="M420" t="n">
        <v>0</v>
      </c>
      <c r="N420" t="n">
        <v>0</v>
      </c>
      <c r="O420" t="n">
        <v>0</v>
      </c>
      <c r="P420" t="n">
        <v>0</v>
      </c>
      <c r="Q420" t="n">
        <v>0</v>
      </c>
      <c r="R420" s="2" t="inlineStr"/>
    </row>
    <row r="421" ht="15" customHeight="1">
      <c r="A421" t="inlineStr">
        <is>
          <t>A 18360-2024</t>
        </is>
      </c>
      <c r="B421" s="1" t="n">
        <v>45422</v>
      </c>
      <c r="C421" s="1" t="n">
        <v>45981</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16676-2025</t>
        </is>
      </c>
      <c r="B422" s="1" t="n">
        <v>45754.44658564815</v>
      </c>
      <c r="C422" s="1" t="n">
        <v>45981</v>
      </c>
      <c r="D422" t="inlineStr">
        <is>
          <t>ÖREBRO LÄN</t>
        </is>
      </c>
      <c r="E422" t="inlineStr">
        <is>
          <t>ÖREBRO</t>
        </is>
      </c>
      <c r="G422" t="n">
        <v>5.8</v>
      </c>
      <c r="H422" t="n">
        <v>0</v>
      </c>
      <c r="I422" t="n">
        <v>0</v>
      </c>
      <c r="J422" t="n">
        <v>0</v>
      </c>
      <c r="K422" t="n">
        <v>0</v>
      </c>
      <c r="L422" t="n">
        <v>0</v>
      </c>
      <c r="M422" t="n">
        <v>0</v>
      </c>
      <c r="N422" t="n">
        <v>0</v>
      </c>
      <c r="O422" t="n">
        <v>0</v>
      </c>
      <c r="P422" t="n">
        <v>0</v>
      </c>
      <c r="Q422" t="n">
        <v>0</v>
      </c>
      <c r="R422" s="2" t="inlineStr"/>
    </row>
    <row r="423" ht="15" customHeight="1">
      <c r="A423" t="inlineStr">
        <is>
          <t>A 28120-2025</t>
        </is>
      </c>
      <c r="B423" s="1" t="n">
        <v>45818.30459490741</v>
      </c>
      <c r="C423" s="1" t="n">
        <v>45981</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11382-2023</t>
        </is>
      </c>
      <c r="B424" s="1" t="n">
        <v>44993.45635416666</v>
      </c>
      <c r="C424" s="1" t="n">
        <v>45981</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5357-2024</t>
        </is>
      </c>
      <c r="B425" s="1" t="n">
        <v>45331</v>
      </c>
      <c r="C425" s="1" t="n">
        <v>45981</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52016-2024</t>
        </is>
      </c>
      <c r="B426" s="1" t="n">
        <v>45607.81917824074</v>
      </c>
      <c r="C426" s="1" t="n">
        <v>45981</v>
      </c>
      <c r="D426" t="inlineStr">
        <is>
          <t>ÖREBRO LÄN</t>
        </is>
      </c>
      <c r="E426" t="inlineStr">
        <is>
          <t>ÖREBRO</t>
        </is>
      </c>
      <c r="G426" t="n">
        <v>1.9</v>
      </c>
      <c r="H426" t="n">
        <v>0</v>
      </c>
      <c r="I426" t="n">
        <v>0</v>
      </c>
      <c r="J426" t="n">
        <v>0</v>
      </c>
      <c r="K426" t="n">
        <v>0</v>
      </c>
      <c r="L426" t="n">
        <v>0</v>
      </c>
      <c r="M426" t="n">
        <v>0</v>
      </c>
      <c r="N426" t="n">
        <v>0</v>
      </c>
      <c r="O426" t="n">
        <v>0</v>
      </c>
      <c r="P426" t="n">
        <v>0</v>
      </c>
      <c r="Q426" t="n">
        <v>0</v>
      </c>
      <c r="R426" s="2" t="inlineStr"/>
    </row>
    <row r="427" ht="15" customHeight="1">
      <c r="A427" t="inlineStr">
        <is>
          <t>A 57243-2022</t>
        </is>
      </c>
      <c r="B427" s="1" t="n">
        <v>44895.71835648148</v>
      </c>
      <c r="C427" s="1" t="n">
        <v>45981</v>
      </c>
      <c r="D427" t="inlineStr">
        <is>
          <t>ÖREBRO LÄN</t>
        </is>
      </c>
      <c r="E427" t="inlineStr">
        <is>
          <t>ÖREBRO</t>
        </is>
      </c>
      <c r="G427" t="n">
        <v>6</v>
      </c>
      <c r="H427" t="n">
        <v>0</v>
      </c>
      <c r="I427" t="n">
        <v>0</v>
      </c>
      <c r="J427" t="n">
        <v>0</v>
      </c>
      <c r="K427" t="n">
        <v>0</v>
      </c>
      <c r="L427" t="n">
        <v>0</v>
      </c>
      <c r="M427" t="n">
        <v>0</v>
      </c>
      <c r="N427" t="n">
        <v>0</v>
      </c>
      <c r="O427" t="n">
        <v>0</v>
      </c>
      <c r="P427" t="n">
        <v>0</v>
      </c>
      <c r="Q427" t="n">
        <v>0</v>
      </c>
      <c r="R427" s="2" t="inlineStr"/>
    </row>
    <row r="428" ht="15" customHeight="1">
      <c r="A428" t="inlineStr">
        <is>
          <t>A 27112-2023</t>
        </is>
      </c>
      <c r="B428" s="1" t="n">
        <v>45096</v>
      </c>
      <c r="C428" s="1" t="n">
        <v>45981</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16739-2022</t>
        </is>
      </c>
      <c r="B429" s="1" t="n">
        <v>44673</v>
      </c>
      <c r="C429" s="1" t="n">
        <v>45981</v>
      </c>
      <c r="D429" t="inlineStr">
        <is>
          <t>ÖREBRO LÄN</t>
        </is>
      </c>
      <c r="E429" t="inlineStr">
        <is>
          <t>ÖREBRO</t>
        </is>
      </c>
      <c r="G429" t="n">
        <v>4.7</v>
      </c>
      <c r="H429" t="n">
        <v>0</v>
      </c>
      <c r="I429" t="n">
        <v>0</v>
      </c>
      <c r="J429" t="n">
        <v>0</v>
      </c>
      <c r="K429" t="n">
        <v>0</v>
      </c>
      <c r="L429" t="n">
        <v>0</v>
      </c>
      <c r="M429" t="n">
        <v>0</v>
      </c>
      <c r="N429" t="n">
        <v>0</v>
      </c>
      <c r="O429" t="n">
        <v>0</v>
      </c>
      <c r="P429" t="n">
        <v>0</v>
      </c>
      <c r="Q429" t="n">
        <v>0</v>
      </c>
      <c r="R429" s="2" t="inlineStr"/>
    </row>
    <row r="430" ht="15" customHeight="1">
      <c r="A430" t="inlineStr">
        <is>
          <t>A 8331-2021</t>
        </is>
      </c>
      <c r="B430" s="1" t="n">
        <v>44244</v>
      </c>
      <c r="C430" s="1" t="n">
        <v>45981</v>
      </c>
      <c r="D430" t="inlineStr">
        <is>
          <t>ÖREBRO LÄN</t>
        </is>
      </c>
      <c r="E430" t="inlineStr">
        <is>
          <t>ÖREBRO</t>
        </is>
      </c>
      <c r="G430" t="n">
        <v>9.1</v>
      </c>
      <c r="H430" t="n">
        <v>0</v>
      </c>
      <c r="I430" t="n">
        <v>0</v>
      </c>
      <c r="J430" t="n">
        <v>0</v>
      </c>
      <c r="K430" t="n">
        <v>0</v>
      </c>
      <c r="L430" t="n">
        <v>0</v>
      </c>
      <c r="M430" t="n">
        <v>0</v>
      </c>
      <c r="N430" t="n">
        <v>0</v>
      </c>
      <c r="O430" t="n">
        <v>0</v>
      </c>
      <c r="P430" t="n">
        <v>0</v>
      </c>
      <c r="Q430" t="n">
        <v>0</v>
      </c>
      <c r="R430" s="2" t="inlineStr"/>
    </row>
    <row r="431" ht="15" customHeight="1">
      <c r="A431" t="inlineStr">
        <is>
          <t>A 13592-2023</t>
        </is>
      </c>
      <c r="B431" s="1" t="n">
        <v>45006.56870370371</v>
      </c>
      <c r="C431" s="1" t="n">
        <v>45981</v>
      </c>
      <c r="D431" t="inlineStr">
        <is>
          <t>ÖREBRO LÄN</t>
        </is>
      </c>
      <c r="E431" t="inlineStr">
        <is>
          <t>ÖREBRO</t>
        </is>
      </c>
      <c r="G431" t="n">
        <v>2</v>
      </c>
      <c r="H431" t="n">
        <v>0</v>
      </c>
      <c r="I431" t="n">
        <v>0</v>
      </c>
      <c r="J431" t="n">
        <v>0</v>
      </c>
      <c r="K431" t="n">
        <v>0</v>
      </c>
      <c r="L431" t="n">
        <v>0</v>
      </c>
      <c r="M431" t="n">
        <v>0</v>
      </c>
      <c r="N431" t="n">
        <v>0</v>
      </c>
      <c r="O431" t="n">
        <v>0</v>
      </c>
      <c r="P431" t="n">
        <v>0</v>
      </c>
      <c r="Q431" t="n">
        <v>0</v>
      </c>
      <c r="R431" s="2" t="inlineStr"/>
    </row>
    <row r="432" ht="15" customHeight="1">
      <c r="A432" t="inlineStr">
        <is>
          <t>A 40656-2023</t>
        </is>
      </c>
      <c r="B432" s="1" t="n">
        <v>45170</v>
      </c>
      <c r="C432" s="1" t="n">
        <v>45981</v>
      </c>
      <c r="D432" t="inlineStr">
        <is>
          <t>ÖREBRO LÄN</t>
        </is>
      </c>
      <c r="E432" t="inlineStr">
        <is>
          <t>ÖREBRO</t>
        </is>
      </c>
      <c r="F432" t="inlineStr">
        <is>
          <t>Övriga Aktiebolag</t>
        </is>
      </c>
      <c r="G432" t="n">
        <v>0.8</v>
      </c>
      <c r="H432" t="n">
        <v>0</v>
      </c>
      <c r="I432" t="n">
        <v>0</v>
      </c>
      <c r="J432" t="n">
        <v>0</v>
      </c>
      <c r="K432" t="n">
        <v>0</v>
      </c>
      <c r="L432" t="n">
        <v>0</v>
      </c>
      <c r="M432" t="n">
        <v>0</v>
      </c>
      <c r="N432" t="n">
        <v>0</v>
      </c>
      <c r="O432" t="n">
        <v>0</v>
      </c>
      <c r="P432" t="n">
        <v>0</v>
      </c>
      <c r="Q432" t="n">
        <v>0</v>
      </c>
      <c r="R432" s="2" t="inlineStr"/>
    </row>
    <row r="433" ht="15" customHeight="1">
      <c r="A433" t="inlineStr">
        <is>
          <t>A 40051-2024</t>
        </is>
      </c>
      <c r="B433" s="1" t="n">
        <v>45553</v>
      </c>
      <c r="C433" s="1" t="n">
        <v>45981</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12245-2023</t>
        </is>
      </c>
      <c r="B434" s="1" t="n">
        <v>44998.64402777778</v>
      </c>
      <c r="C434" s="1" t="n">
        <v>45981</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50446-2023</t>
        </is>
      </c>
      <c r="B435" s="1" t="n">
        <v>45216</v>
      </c>
      <c r="C435" s="1" t="n">
        <v>45981</v>
      </c>
      <c r="D435" t="inlineStr">
        <is>
          <t>ÖREBRO LÄN</t>
        </is>
      </c>
      <c r="E435" t="inlineStr">
        <is>
          <t>ÖREBRO</t>
        </is>
      </c>
      <c r="F435" t="inlineStr">
        <is>
          <t>Övriga Aktiebolag</t>
        </is>
      </c>
      <c r="G435" t="n">
        <v>2.8</v>
      </c>
      <c r="H435" t="n">
        <v>0</v>
      </c>
      <c r="I435" t="n">
        <v>0</v>
      </c>
      <c r="J435" t="n">
        <v>0</v>
      </c>
      <c r="K435" t="n">
        <v>0</v>
      </c>
      <c r="L435" t="n">
        <v>0</v>
      </c>
      <c r="M435" t="n">
        <v>0</v>
      </c>
      <c r="N435" t="n">
        <v>0</v>
      </c>
      <c r="O435" t="n">
        <v>0</v>
      </c>
      <c r="P435" t="n">
        <v>0</v>
      </c>
      <c r="Q435" t="n">
        <v>0</v>
      </c>
      <c r="R435" s="2" t="inlineStr"/>
    </row>
    <row r="436" ht="15" customHeight="1">
      <c r="A436" t="inlineStr">
        <is>
          <t>A 50450-2023</t>
        </is>
      </c>
      <c r="B436" s="1" t="n">
        <v>45216.73533564815</v>
      </c>
      <c r="C436" s="1" t="n">
        <v>45981</v>
      </c>
      <c r="D436" t="inlineStr">
        <is>
          <t>ÖREBRO LÄN</t>
        </is>
      </c>
      <c r="E436" t="inlineStr">
        <is>
          <t>ÖREBRO</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26117-2021</t>
        </is>
      </c>
      <c r="B437" s="1" t="n">
        <v>44345</v>
      </c>
      <c r="C437" s="1" t="n">
        <v>45981</v>
      </c>
      <c r="D437" t="inlineStr">
        <is>
          <t>ÖREBRO LÄN</t>
        </is>
      </c>
      <c r="E437" t="inlineStr">
        <is>
          <t>ÖREBRO</t>
        </is>
      </c>
      <c r="G437" t="n">
        <v>8.1</v>
      </c>
      <c r="H437" t="n">
        <v>0</v>
      </c>
      <c r="I437" t="n">
        <v>0</v>
      </c>
      <c r="J437" t="n">
        <v>0</v>
      </c>
      <c r="K437" t="n">
        <v>0</v>
      </c>
      <c r="L437" t="n">
        <v>0</v>
      </c>
      <c r="M437" t="n">
        <v>0</v>
      </c>
      <c r="N437" t="n">
        <v>0</v>
      </c>
      <c r="O437" t="n">
        <v>0</v>
      </c>
      <c r="P437" t="n">
        <v>0</v>
      </c>
      <c r="Q437" t="n">
        <v>0</v>
      </c>
      <c r="R437" s="2" t="inlineStr"/>
    </row>
    <row r="438" ht="15" customHeight="1">
      <c r="A438" t="inlineStr">
        <is>
          <t>A 55748-2025</t>
        </is>
      </c>
      <c r="B438" s="1" t="n">
        <v>45972.57893518519</v>
      </c>
      <c r="C438" s="1" t="n">
        <v>45981</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55888-2025</t>
        </is>
      </c>
      <c r="B439" s="1" t="n">
        <v>45973.37163194444</v>
      </c>
      <c r="C439" s="1" t="n">
        <v>45981</v>
      </c>
      <c r="D439" t="inlineStr">
        <is>
          <t>ÖREBRO LÄN</t>
        </is>
      </c>
      <c r="E439" t="inlineStr">
        <is>
          <t>ÖREBRO</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6879-2024</t>
        </is>
      </c>
      <c r="B440" s="1" t="n">
        <v>45342.85280092592</v>
      </c>
      <c r="C440" s="1" t="n">
        <v>45981</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55879-2025</t>
        </is>
      </c>
      <c r="B441" s="1" t="n">
        <v>45973.36508101852</v>
      </c>
      <c r="C441" s="1" t="n">
        <v>45981</v>
      </c>
      <c r="D441" t="inlineStr">
        <is>
          <t>ÖREBRO LÄN</t>
        </is>
      </c>
      <c r="E441" t="inlineStr">
        <is>
          <t>ÖREBRO</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58032-2023</t>
        </is>
      </c>
      <c r="B442" s="1" t="n">
        <v>45247</v>
      </c>
      <c r="C442" s="1" t="n">
        <v>45981</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58035-2023</t>
        </is>
      </c>
      <c r="B443" s="1" t="n">
        <v>45247</v>
      </c>
      <c r="C443" s="1" t="n">
        <v>45981</v>
      </c>
      <c r="D443" t="inlineStr">
        <is>
          <t>ÖREBRO LÄN</t>
        </is>
      </c>
      <c r="E443" t="inlineStr">
        <is>
          <t>ÖREBRO</t>
        </is>
      </c>
      <c r="G443" t="n">
        <v>1.4</v>
      </c>
      <c r="H443" t="n">
        <v>0</v>
      </c>
      <c r="I443" t="n">
        <v>0</v>
      </c>
      <c r="J443" t="n">
        <v>0</v>
      </c>
      <c r="K443" t="n">
        <v>0</v>
      </c>
      <c r="L443" t="n">
        <v>0</v>
      </c>
      <c r="M443" t="n">
        <v>0</v>
      </c>
      <c r="N443" t="n">
        <v>0</v>
      </c>
      <c r="O443" t="n">
        <v>0</v>
      </c>
      <c r="P443" t="n">
        <v>0</v>
      </c>
      <c r="Q443" t="n">
        <v>0</v>
      </c>
      <c r="R443" s="2" t="inlineStr"/>
    </row>
    <row r="444" ht="15" customHeight="1">
      <c r="A444" t="inlineStr">
        <is>
          <t>A 55750-2025</t>
        </is>
      </c>
      <c r="B444" s="1" t="n">
        <v>45972.58171296296</v>
      </c>
      <c r="C444" s="1" t="n">
        <v>45981</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6387-2021</t>
        </is>
      </c>
      <c r="B445" s="1" t="n">
        <v>44235</v>
      </c>
      <c r="C445" s="1" t="n">
        <v>45981</v>
      </c>
      <c r="D445" t="inlineStr">
        <is>
          <t>ÖREBRO LÄN</t>
        </is>
      </c>
      <c r="E445" t="inlineStr">
        <is>
          <t>ÖREBRO</t>
        </is>
      </c>
      <c r="G445" t="n">
        <v>1.1</v>
      </c>
      <c r="H445" t="n">
        <v>0</v>
      </c>
      <c r="I445" t="n">
        <v>0</v>
      </c>
      <c r="J445" t="n">
        <v>0</v>
      </c>
      <c r="K445" t="n">
        <v>0</v>
      </c>
      <c r="L445" t="n">
        <v>0</v>
      </c>
      <c r="M445" t="n">
        <v>0</v>
      </c>
      <c r="N445" t="n">
        <v>0</v>
      </c>
      <c r="O445" t="n">
        <v>0</v>
      </c>
      <c r="P445" t="n">
        <v>0</v>
      </c>
      <c r="Q445" t="n">
        <v>0</v>
      </c>
      <c r="R445" s="2" t="inlineStr"/>
    </row>
    <row r="446" ht="15" customHeight="1">
      <c r="A446" t="inlineStr">
        <is>
          <t>A 7506-2025</t>
        </is>
      </c>
      <c r="B446" s="1" t="n">
        <v>45705</v>
      </c>
      <c r="C446" s="1" t="n">
        <v>45981</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8008-2024</t>
        </is>
      </c>
      <c r="B447" s="1" t="n">
        <v>45350.6794212963</v>
      </c>
      <c r="C447" s="1" t="n">
        <v>45981</v>
      </c>
      <c r="D447" t="inlineStr">
        <is>
          <t>ÖREBRO LÄN</t>
        </is>
      </c>
      <c r="E447" t="inlineStr">
        <is>
          <t>ÖREBRO</t>
        </is>
      </c>
      <c r="G447" t="n">
        <v>0.6</v>
      </c>
      <c r="H447" t="n">
        <v>0</v>
      </c>
      <c r="I447" t="n">
        <v>0</v>
      </c>
      <c r="J447" t="n">
        <v>0</v>
      </c>
      <c r="K447" t="n">
        <v>0</v>
      </c>
      <c r="L447" t="n">
        <v>0</v>
      </c>
      <c r="M447" t="n">
        <v>0</v>
      </c>
      <c r="N447" t="n">
        <v>0</v>
      </c>
      <c r="O447" t="n">
        <v>0</v>
      </c>
      <c r="P447" t="n">
        <v>0</v>
      </c>
      <c r="Q447" t="n">
        <v>0</v>
      </c>
      <c r="R447" s="2" t="inlineStr"/>
    </row>
    <row r="448" ht="15" customHeight="1">
      <c r="A448" t="inlineStr">
        <is>
          <t>A 46834-2022</t>
        </is>
      </c>
      <c r="B448" s="1" t="n">
        <v>44851</v>
      </c>
      <c r="C448" s="1" t="n">
        <v>45981</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3789-2023</t>
        </is>
      </c>
      <c r="B449" s="1" t="n">
        <v>44951</v>
      </c>
      <c r="C449" s="1" t="n">
        <v>45981</v>
      </c>
      <c r="D449" t="inlineStr">
        <is>
          <t>ÖREBRO LÄN</t>
        </is>
      </c>
      <c r="E449" t="inlineStr">
        <is>
          <t>ÖREBRO</t>
        </is>
      </c>
      <c r="G449" t="n">
        <v>7.5</v>
      </c>
      <c r="H449" t="n">
        <v>0</v>
      </c>
      <c r="I449" t="n">
        <v>0</v>
      </c>
      <c r="J449" t="n">
        <v>0</v>
      </c>
      <c r="K449" t="n">
        <v>0</v>
      </c>
      <c r="L449" t="n">
        <v>0</v>
      </c>
      <c r="M449" t="n">
        <v>0</v>
      </c>
      <c r="N449" t="n">
        <v>0</v>
      </c>
      <c r="O449" t="n">
        <v>0</v>
      </c>
      <c r="P449" t="n">
        <v>0</v>
      </c>
      <c r="Q449" t="n">
        <v>0</v>
      </c>
      <c r="R449" s="2" t="inlineStr"/>
    </row>
    <row r="450" ht="15" customHeight="1">
      <c r="A450" t="inlineStr">
        <is>
          <t>A 31240-2023</t>
        </is>
      </c>
      <c r="B450" s="1" t="n">
        <v>45114</v>
      </c>
      <c r="C450" s="1" t="n">
        <v>45981</v>
      </c>
      <c r="D450" t="inlineStr">
        <is>
          <t>ÖREBRO LÄN</t>
        </is>
      </c>
      <c r="E450" t="inlineStr">
        <is>
          <t>ÖREBRO</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14717-2024</t>
        </is>
      </c>
      <c r="B451" s="1" t="n">
        <v>45397.55104166667</v>
      </c>
      <c r="C451" s="1" t="n">
        <v>45981</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28938-2025</t>
        </is>
      </c>
      <c r="B452" s="1" t="n">
        <v>45820.70626157407</v>
      </c>
      <c r="C452" s="1" t="n">
        <v>45981</v>
      </c>
      <c r="D452" t="inlineStr">
        <is>
          <t>ÖREBRO LÄN</t>
        </is>
      </c>
      <c r="E452" t="inlineStr">
        <is>
          <t>ÖREBRO</t>
        </is>
      </c>
      <c r="G452" t="n">
        <v>1.9</v>
      </c>
      <c r="H452" t="n">
        <v>0</v>
      </c>
      <c r="I452" t="n">
        <v>0</v>
      </c>
      <c r="J452" t="n">
        <v>0</v>
      </c>
      <c r="K452" t="n">
        <v>0</v>
      </c>
      <c r="L452" t="n">
        <v>0</v>
      </c>
      <c r="M452" t="n">
        <v>0</v>
      </c>
      <c r="N452" t="n">
        <v>0</v>
      </c>
      <c r="O452" t="n">
        <v>0</v>
      </c>
      <c r="P452" t="n">
        <v>0</v>
      </c>
      <c r="Q452" t="n">
        <v>0</v>
      </c>
      <c r="R452" s="2" t="inlineStr"/>
    </row>
    <row r="453" ht="15" customHeight="1">
      <c r="A453" t="inlineStr">
        <is>
          <t>A 57869-2024</t>
        </is>
      </c>
      <c r="B453" s="1" t="n">
        <v>45631.44207175926</v>
      </c>
      <c r="C453" s="1" t="n">
        <v>45981</v>
      </c>
      <c r="D453" t="inlineStr">
        <is>
          <t>ÖREBRO LÄN</t>
        </is>
      </c>
      <c r="E453" t="inlineStr">
        <is>
          <t>ÖREBRO</t>
        </is>
      </c>
      <c r="G453" t="n">
        <v>1.4</v>
      </c>
      <c r="H453" t="n">
        <v>0</v>
      </c>
      <c r="I453" t="n">
        <v>0</v>
      </c>
      <c r="J453" t="n">
        <v>0</v>
      </c>
      <c r="K453" t="n">
        <v>0</v>
      </c>
      <c r="L453" t="n">
        <v>0</v>
      </c>
      <c r="M453" t="n">
        <v>0</v>
      </c>
      <c r="N453" t="n">
        <v>0</v>
      </c>
      <c r="O453" t="n">
        <v>0</v>
      </c>
      <c r="P453" t="n">
        <v>0</v>
      </c>
      <c r="Q453" t="n">
        <v>0</v>
      </c>
      <c r="R453" s="2" t="inlineStr"/>
    </row>
    <row r="454" ht="15" customHeight="1">
      <c r="A454" t="inlineStr">
        <is>
          <t>A 11565-2023</t>
        </is>
      </c>
      <c r="B454" s="1" t="n">
        <v>44994</v>
      </c>
      <c r="C454" s="1" t="n">
        <v>45981</v>
      </c>
      <c r="D454" t="inlineStr">
        <is>
          <t>ÖREBRO LÄN</t>
        </is>
      </c>
      <c r="E454" t="inlineStr">
        <is>
          <t>ÖREBRO</t>
        </is>
      </c>
      <c r="G454" t="n">
        <v>4.7</v>
      </c>
      <c r="H454" t="n">
        <v>0</v>
      </c>
      <c r="I454" t="n">
        <v>0</v>
      </c>
      <c r="J454" t="n">
        <v>0</v>
      </c>
      <c r="K454" t="n">
        <v>0</v>
      </c>
      <c r="L454" t="n">
        <v>0</v>
      </c>
      <c r="M454" t="n">
        <v>0</v>
      </c>
      <c r="N454" t="n">
        <v>0</v>
      </c>
      <c r="O454" t="n">
        <v>0</v>
      </c>
      <c r="P454" t="n">
        <v>0</v>
      </c>
      <c r="Q454" t="n">
        <v>0</v>
      </c>
      <c r="R454" s="2" t="inlineStr"/>
    </row>
    <row r="455" ht="15" customHeight="1">
      <c r="A455" t="inlineStr">
        <is>
          <t>A 28920-2025</t>
        </is>
      </c>
      <c r="B455" s="1" t="n">
        <v>45820.66532407407</v>
      </c>
      <c r="C455" s="1" t="n">
        <v>45981</v>
      </c>
      <c r="D455" t="inlineStr">
        <is>
          <t>ÖREBRO LÄN</t>
        </is>
      </c>
      <c r="E455" t="inlineStr">
        <is>
          <t>ÖREBRO</t>
        </is>
      </c>
      <c r="G455" t="n">
        <v>3</v>
      </c>
      <c r="H455" t="n">
        <v>0</v>
      </c>
      <c r="I455" t="n">
        <v>0</v>
      </c>
      <c r="J455" t="n">
        <v>0</v>
      </c>
      <c r="K455" t="n">
        <v>0</v>
      </c>
      <c r="L455" t="n">
        <v>0</v>
      </c>
      <c r="M455" t="n">
        <v>0</v>
      </c>
      <c r="N455" t="n">
        <v>0</v>
      </c>
      <c r="O455" t="n">
        <v>0</v>
      </c>
      <c r="P455" t="n">
        <v>0</v>
      </c>
      <c r="Q455" t="n">
        <v>0</v>
      </c>
      <c r="R455" s="2" t="inlineStr"/>
    </row>
    <row r="456" ht="15" customHeight="1">
      <c r="A456" t="inlineStr">
        <is>
          <t>A 29339-2025</t>
        </is>
      </c>
      <c r="B456" s="1" t="n">
        <v>45824.5044212963</v>
      </c>
      <c r="C456" s="1" t="n">
        <v>45981</v>
      </c>
      <c r="D456" t="inlineStr">
        <is>
          <t>ÖREBRO LÄN</t>
        </is>
      </c>
      <c r="E456" t="inlineStr">
        <is>
          <t>ÖREBRO</t>
        </is>
      </c>
      <c r="G456" t="n">
        <v>4.3</v>
      </c>
      <c r="H456" t="n">
        <v>0</v>
      </c>
      <c r="I456" t="n">
        <v>0</v>
      </c>
      <c r="J456" t="n">
        <v>0</v>
      </c>
      <c r="K456" t="n">
        <v>0</v>
      </c>
      <c r="L456" t="n">
        <v>0</v>
      </c>
      <c r="M456" t="n">
        <v>0</v>
      </c>
      <c r="N456" t="n">
        <v>0</v>
      </c>
      <c r="O456" t="n">
        <v>0</v>
      </c>
      <c r="P456" t="n">
        <v>0</v>
      </c>
      <c r="Q456" t="n">
        <v>0</v>
      </c>
      <c r="R456" s="2" t="inlineStr"/>
    </row>
    <row r="457" ht="15" customHeight="1">
      <c r="A457" t="inlineStr">
        <is>
          <t>A 60059-2023</t>
        </is>
      </c>
      <c r="B457" s="1" t="n">
        <v>45258.38157407408</v>
      </c>
      <c r="C457" s="1" t="n">
        <v>45981</v>
      </c>
      <c r="D457" t="inlineStr">
        <is>
          <t>ÖREBRO LÄN</t>
        </is>
      </c>
      <c r="E457" t="inlineStr">
        <is>
          <t>ÖREBRO</t>
        </is>
      </c>
      <c r="G457" t="n">
        <v>4</v>
      </c>
      <c r="H457" t="n">
        <v>0</v>
      </c>
      <c r="I457" t="n">
        <v>0</v>
      </c>
      <c r="J457" t="n">
        <v>0</v>
      </c>
      <c r="K457" t="n">
        <v>0</v>
      </c>
      <c r="L457" t="n">
        <v>0</v>
      </c>
      <c r="M457" t="n">
        <v>0</v>
      </c>
      <c r="N457" t="n">
        <v>0</v>
      </c>
      <c r="O457" t="n">
        <v>0</v>
      </c>
      <c r="P457" t="n">
        <v>0</v>
      </c>
      <c r="Q457" t="n">
        <v>0</v>
      </c>
      <c r="R457" s="2" t="inlineStr"/>
    </row>
    <row r="458" ht="15" customHeight="1">
      <c r="A458" t="inlineStr">
        <is>
          <t>A 26858-2024</t>
        </is>
      </c>
      <c r="B458" s="1" t="n">
        <v>45470</v>
      </c>
      <c r="C458" s="1" t="n">
        <v>45981</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37968-2024</t>
        </is>
      </c>
      <c r="B459" s="1" t="n">
        <v>45544</v>
      </c>
      <c r="C459" s="1" t="n">
        <v>45981</v>
      </c>
      <c r="D459" t="inlineStr">
        <is>
          <t>ÖREBRO LÄN</t>
        </is>
      </c>
      <c r="E459" t="inlineStr">
        <is>
          <t>ÖREBRO</t>
        </is>
      </c>
      <c r="G459" t="n">
        <v>2</v>
      </c>
      <c r="H459" t="n">
        <v>0</v>
      </c>
      <c r="I459" t="n">
        <v>0</v>
      </c>
      <c r="J459" t="n">
        <v>0</v>
      </c>
      <c r="K459" t="n">
        <v>0</v>
      </c>
      <c r="L459" t="n">
        <v>0</v>
      </c>
      <c r="M459" t="n">
        <v>0</v>
      </c>
      <c r="N459" t="n">
        <v>0</v>
      </c>
      <c r="O459" t="n">
        <v>0</v>
      </c>
      <c r="P459" t="n">
        <v>0</v>
      </c>
      <c r="Q459" t="n">
        <v>0</v>
      </c>
      <c r="R459" s="2" t="inlineStr"/>
    </row>
    <row r="460" ht="15" customHeight="1">
      <c r="A460" t="inlineStr">
        <is>
          <t>A 29701-2025</t>
        </is>
      </c>
      <c r="B460" s="1" t="n">
        <v>45825.55261574074</v>
      </c>
      <c r="C460" s="1" t="n">
        <v>45981</v>
      </c>
      <c r="D460" t="inlineStr">
        <is>
          <t>ÖREBRO LÄN</t>
        </is>
      </c>
      <c r="E460" t="inlineStr">
        <is>
          <t>ÖREBRO</t>
        </is>
      </c>
      <c r="G460" t="n">
        <v>5.8</v>
      </c>
      <c r="H460" t="n">
        <v>0</v>
      </c>
      <c r="I460" t="n">
        <v>0</v>
      </c>
      <c r="J460" t="n">
        <v>0</v>
      </c>
      <c r="K460" t="n">
        <v>0</v>
      </c>
      <c r="L460" t="n">
        <v>0</v>
      </c>
      <c r="M460" t="n">
        <v>0</v>
      </c>
      <c r="N460" t="n">
        <v>0</v>
      </c>
      <c r="O460" t="n">
        <v>0</v>
      </c>
      <c r="P460" t="n">
        <v>0</v>
      </c>
      <c r="Q460" t="n">
        <v>0</v>
      </c>
      <c r="R460" s="2" t="inlineStr"/>
    </row>
    <row r="461" ht="15" customHeight="1">
      <c r="A461" t="inlineStr">
        <is>
          <t>A 1647-2024</t>
        </is>
      </c>
      <c r="B461" s="1" t="n">
        <v>45306</v>
      </c>
      <c r="C461" s="1" t="n">
        <v>45981</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31906-2023</t>
        </is>
      </c>
      <c r="B462" s="1" t="n">
        <v>45118.8353125</v>
      </c>
      <c r="C462" s="1" t="n">
        <v>45981</v>
      </c>
      <c r="D462" t="inlineStr">
        <is>
          <t>ÖREBRO LÄN</t>
        </is>
      </c>
      <c r="E462" t="inlineStr">
        <is>
          <t>ÖREBRO</t>
        </is>
      </c>
      <c r="G462" t="n">
        <v>9</v>
      </c>
      <c r="H462" t="n">
        <v>0</v>
      </c>
      <c r="I462" t="n">
        <v>0</v>
      </c>
      <c r="J462" t="n">
        <v>0</v>
      </c>
      <c r="K462" t="n">
        <v>0</v>
      </c>
      <c r="L462" t="n">
        <v>0</v>
      </c>
      <c r="M462" t="n">
        <v>0</v>
      </c>
      <c r="N462" t="n">
        <v>0</v>
      </c>
      <c r="O462" t="n">
        <v>0</v>
      </c>
      <c r="P462" t="n">
        <v>0</v>
      </c>
      <c r="Q462" t="n">
        <v>0</v>
      </c>
      <c r="R462" s="2" t="inlineStr"/>
    </row>
    <row r="463" ht="15" customHeight="1">
      <c r="A463" t="inlineStr">
        <is>
          <t>A 25443-2021</t>
        </is>
      </c>
      <c r="B463" s="1" t="n">
        <v>44342</v>
      </c>
      <c r="C463" s="1" t="n">
        <v>45981</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13700-2024</t>
        </is>
      </c>
      <c r="B464" s="1" t="n">
        <v>45390.59277777778</v>
      </c>
      <c r="C464" s="1" t="n">
        <v>45981</v>
      </c>
      <c r="D464" t="inlineStr">
        <is>
          <t>ÖREBRO LÄN</t>
        </is>
      </c>
      <c r="E464" t="inlineStr">
        <is>
          <t>ÖREBRO</t>
        </is>
      </c>
      <c r="G464" t="n">
        <v>1.2</v>
      </c>
      <c r="H464" t="n">
        <v>0</v>
      </c>
      <c r="I464" t="n">
        <v>0</v>
      </c>
      <c r="J464" t="n">
        <v>0</v>
      </c>
      <c r="K464" t="n">
        <v>0</v>
      </c>
      <c r="L464" t="n">
        <v>0</v>
      </c>
      <c r="M464" t="n">
        <v>0</v>
      </c>
      <c r="N464" t="n">
        <v>0</v>
      </c>
      <c r="O464" t="n">
        <v>0</v>
      </c>
      <c r="P464" t="n">
        <v>0</v>
      </c>
      <c r="Q464" t="n">
        <v>0</v>
      </c>
      <c r="R464" s="2" t="inlineStr"/>
    </row>
    <row r="465" ht="15" customHeight="1">
      <c r="A465" t="inlineStr">
        <is>
          <t>A 31326-2024</t>
        </is>
      </c>
      <c r="B465" s="1" t="n">
        <v>45504.5934375</v>
      </c>
      <c r="C465" s="1" t="n">
        <v>45981</v>
      </c>
      <c r="D465" t="inlineStr">
        <is>
          <t>ÖREBRO LÄN</t>
        </is>
      </c>
      <c r="E465" t="inlineStr">
        <is>
          <t>ÖREBRO</t>
        </is>
      </c>
      <c r="G465" t="n">
        <v>6.4</v>
      </c>
      <c r="H465" t="n">
        <v>0</v>
      </c>
      <c r="I465" t="n">
        <v>0</v>
      </c>
      <c r="J465" t="n">
        <v>0</v>
      </c>
      <c r="K465" t="n">
        <v>0</v>
      </c>
      <c r="L465" t="n">
        <v>0</v>
      </c>
      <c r="M465" t="n">
        <v>0</v>
      </c>
      <c r="N465" t="n">
        <v>0</v>
      </c>
      <c r="O465" t="n">
        <v>0</v>
      </c>
      <c r="P465" t="n">
        <v>0</v>
      </c>
      <c r="Q465" t="n">
        <v>0</v>
      </c>
      <c r="R465" s="2" t="inlineStr"/>
    </row>
    <row r="466" ht="15" customHeight="1">
      <c r="A466" t="inlineStr">
        <is>
          <t>A 70719-2021</t>
        </is>
      </c>
      <c r="B466" s="1" t="n">
        <v>44537</v>
      </c>
      <c r="C466" s="1" t="n">
        <v>45981</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29286-2025</t>
        </is>
      </c>
      <c r="B467" s="1" t="n">
        <v>45824.43502314815</v>
      </c>
      <c r="C467" s="1" t="n">
        <v>45981</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6213-2021</t>
        </is>
      </c>
      <c r="B468" s="1" t="n">
        <v>44232</v>
      </c>
      <c r="C468" s="1" t="n">
        <v>45981</v>
      </c>
      <c r="D468" t="inlineStr">
        <is>
          <t>ÖREBRO LÄN</t>
        </is>
      </c>
      <c r="E468" t="inlineStr">
        <is>
          <t>ÖREBRO</t>
        </is>
      </c>
      <c r="G468" t="n">
        <v>4</v>
      </c>
      <c r="H468" t="n">
        <v>0</v>
      </c>
      <c r="I468" t="n">
        <v>0</v>
      </c>
      <c r="J468" t="n">
        <v>0</v>
      </c>
      <c r="K468" t="n">
        <v>0</v>
      </c>
      <c r="L468" t="n">
        <v>0</v>
      </c>
      <c r="M468" t="n">
        <v>0</v>
      </c>
      <c r="N468" t="n">
        <v>0</v>
      </c>
      <c r="O468" t="n">
        <v>0</v>
      </c>
      <c r="P468" t="n">
        <v>0</v>
      </c>
      <c r="Q468" t="n">
        <v>0</v>
      </c>
      <c r="R468" s="2" t="inlineStr"/>
    </row>
    <row r="469" ht="15" customHeight="1">
      <c r="A469" t="inlineStr">
        <is>
          <t>A 16694-2025</t>
        </is>
      </c>
      <c r="B469" s="1" t="n">
        <v>45754.46480324074</v>
      </c>
      <c r="C469" s="1" t="n">
        <v>45981</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30374-2023</t>
        </is>
      </c>
      <c r="B470" s="1" t="n">
        <v>45111</v>
      </c>
      <c r="C470" s="1" t="n">
        <v>45981</v>
      </c>
      <c r="D470" t="inlineStr">
        <is>
          <t>ÖREBRO LÄN</t>
        </is>
      </c>
      <c r="E470" t="inlineStr">
        <is>
          <t>ÖREBRO</t>
        </is>
      </c>
      <c r="F470" t="inlineStr">
        <is>
          <t>Övriga Aktiebolag</t>
        </is>
      </c>
      <c r="G470" t="n">
        <v>2.3</v>
      </c>
      <c r="H470" t="n">
        <v>0</v>
      </c>
      <c r="I470" t="n">
        <v>0</v>
      </c>
      <c r="J470" t="n">
        <v>0</v>
      </c>
      <c r="K470" t="n">
        <v>0</v>
      </c>
      <c r="L470" t="n">
        <v>0</v>
      </c>
      <c r="M470" t="n">
        <v>0</v>
      </c>
      <c r="N470" t="n">
        <v>0</v>
      </c>
      <c r="O470" t="n">
        <v>0</v>
      </c>
      <c r="P470" t="n">
        <v>0</v>
      </c>
      <c r="Q470" t="n">
        <v>0</v>
      </c>
      <c r="R470" s="2" t="inlineStr"/>
    </row>
    <row r="471" ht="15" customHeight="1">
      <c r="A471" t="inlineStr">
        <is>
          <t>A 38898-2023</t>
        </is>
      </c>
      <c r="B471" s="1" t="n">
        <v>45163</v>
      </c>
      <c r="C471" s="1" t="n">
        <v>45981</v>
      </c>
      <c r="D471" t="inlineStr">
        <is>
          <t>ÖREBRO LÄN</t>
        </is>
      </c>
      <c r="E471" t="inlineStr">
        <is>
          <t>ÖREBRO</t>
        </is>
      </c>
      <c r="G471" t="n">
        <v>5.1</v>
      </c>
      <c r="H471" t="n">
        <v>0</v>
      </c>
      <c r="I471" t="n">
        <v>0</v>
      </c>
      <c r="J471" t="n">
        <v>0</v>
      </c>
      <c r="K471" t="n">
        <v>0</v>
      </c>
      <c r="L471" t="n">
        <v>0</v>
      </c>
      <c r="M471" t="n">
        <v>0</v>
      </c>
      <c r="N471" t="n">
        <v>0</v>
      </c>
      <c r="O471" t="n">
        <v>0</v>
      </c>
      <c r="P471" t="n">
        <v>0</v>
      </c>
      <c r="Q471" t="n">
        <v>0</v>
      </c>
      <c r="R471" s="2" t="inlineStr"/>
    </row>
    <row r="472" ht="15" customHeight="1">
      <c r="A472" t="inlineStr">
        <is>
          <t>A 5764-2022</t>
        </is>
      </c>
      <c r="B472" s="1" t="n">
        <v>44596</v>
      </c>
      <c r="C472" s="1" t="n">
        <v>45981</v>
      </c>
      <c r="D472" t="inlineStr">
        <is>
          <t>ÖREBRO LÄN</t>
        </is>
      </c>
      <c r="E472" t="inlineStr">
        <is>
          <t>ÖREBRO</t>
        </is>
      </c>
      <c r="G472" t="n">
        <v>3.5</v>
      </c>
      <c r="H472" t="n">
        <v>0</v>
      </c>
      <c r="I472" t="n">
        <v>0</v>
      </c>
      <c r="J472" t="n">
        <v>0</v>
      </c>
      <c r="K472" t="n">
        <v>0</v>
      </c>
      <c r="L472" t="n">
        <v>0</v>
      </c>
      <c r="M472" t="n">
        <v>0</v>
      </c>
      <c r="N472" t="n">
        <v>0</v>
      </c>
      <c r="O472" t="n">
        <v>0</v>
      </c>
      <c r="P472" t="n">
        <v>0</v>
      </c>
      <c r="Q472" t="n">
        <v>0</v>
      </c>
      <c r="R472" s="2" t="inlineStr"/>
    </row>
    <row r="473" ht="15" customHeight="1">
      <c r="A473" t="inlineStr">
        <is>
          <t>A 21036-2024</t>
        </is>
      </c>
      <c r="B473" s="1" t="n">
        <v>45439.65954861111</v>
      </c>
      <c r="C473" s="1" t="n">
        <v>45981</v>
      </c>
      <c r="D473" t="inlineStr">
        <is>
          <t>ÖREBRO LÄN</t>
        </is>
      </c>
      <c r="E473" t="inlineStr">
        <is>
          <t>ÖREBRO</t>
        </is>
      </c>
      <c r="F473" t="inlineStr">
        <is>
          <t>Övriga Aktiebolag</t>
        </is>
      </c>
      <c r="G473" t="n">
        <v>5.7</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44595.3353587963</v>
      </c>
      <c r="C474" s="1" t="n">
        <v>45981</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38415-2023</t>
        </is>
      </c>
      <c r="B475" s="1" t="n">
        <v>45162.35502314815</v>
      </c>
      <c r="C475" s="1" t="n">
        <v>45981</v>
      </c>
      <c r="D475" t="inlineStr">
        <is>
          <t>ÖREBRO LÄN</t>
        </is>
      </c>
      <c r="E475" t="inlineStr">
        <is>
          <t>ÖREBRO</t>
        </is>
      </c>
      <c r="G475" t="n">
        <v>2.6</v>
      </c>
      <c r="H475" t="n">
        <v>0</v>
      </c>
      <c r="I475" t="n">
        <v>0</v>
      </c>
      <c r="J475" t="n">
        <v>0</v>
      </c>
      <c r="K475" t="n">
        <v>0</v>
      </c>
      <c r="L475" t="n">
        <v>0</v>
      </c>
      <c r="M475" t="n">
        <v>0</v>
      </c>
      <c r="N475" t="n">
        <v>0</v>
      </c>
      <c r="O475" t="n">
        <v>0</v>
      </c>
      <c r="P475" t="n">
        <v>0</v>
      </c>
      <c r="Q475" t="n">
        <v>0</v>
      </c>
      <c r="R475" s="2" t="inlineStr"/>
    </row>
    <row r="476" ht="15" customHeight="1">
      <c r="A476" t="inlineStr">
        <is>
          <t>A 60128-2023</t>
        </is>
      </c>
      <c r="B476" s="1" t="n">
        <v>45258</v>
      </c>
      <c r="C476" s="1" t="n">
        <v>45981</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18047-2023</t>
        </is>
      </c>
      <c r="B477" s="1" t="n">
        <v>45040</v>
      </c>
      <c r="C477" s="1" t="n">
        <v>45981</v>
      </c>
      <c r="D477" t="inlineStr">
        <is>
          <t>ÖREBRO LÄN</t>
        </is>
      </c>
      <c r="E477" t="inlineStr">
        <is>
          <t>ÖREBRO</t>
        </is>
      </c>
      <c r="G477" t="n">
        <v>3.9</v>
      </c>
      <c r="H477" t="n">
        <v>0</v>
      </c>
      <c r="I477" t="n">
        <v>0</v>
      </c>
      <c r="J477" t="n">
        <v>0</v>
      </c>
      <c r="K477" t="n">
        <v>0</v>
      </c>
      <c r="L477" t="n">
        <v>0</v>
      </c>
      <c r="M477" t="n">
        <v>0</v>
      </c>
      <c r="N477" t="n">
        <v>0</v>
      </c>
      <c r="O477" t="n">
        <v>0</v>
      </c>
      <c r="P477" t="n">
        <v>0</v>
      </c>
      <c r="Q477" t="n">
        <v>0</v>
      </c>
      <c r="R477" s="2" t="inlineStr"/>
    </row>
    <row r="478" ht="15" customHeight="1">
      <c r="A478" t="inlineStr">
        <is>
          <t>A 8332-2021</t>
        </is>
      </c>
      <c r="B478" s="1" t="n">
        <v>44244</v>
      </c>
      <c r="C478" s="1" t="n">
        <v>45981</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1492-2022</t>
        </is>
      </c>
      <c r="B479" s="1" t="n">
        <v>44573</v>
      </c>
      <c r="C479" s="1" t="n">
        <v>45981</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49797-2024</t>
        </is>
      </c>
      <c r="B480" s="1" t="n">
        <v>45597.37265046296</v>
      </c>
      <c r="C480" s="1" t="n">
        <v>45981</v>
      </c>
      <c r="D480" t="inlineStr">
        <is>
          <t>ÖREBRO LÄN</t>
        </is>
      </c>
      <c r="E480" t="inlineStr">
        <is>
          <t>ÖREBRO</t>
        </is>
      </c>
      <c r="G480" t="n">
        <v>11.6</v>
      </c>
      <c r="H480" t="n">
        <v>0</v>
      </c>
      <c r="I480" t="n">
        <v>0</v>
      </c>
      <c r="J480" t="n">
        <v>0</v>
      </c>
      <c r="K480" t="n">
        <v>0</v>
      </c>
      <c r="L480" t="n">
        <v>0</v>
      </c>
      <c r="M480" t="n">
        <v>0</v>
      </c>
      <c r="N480" t="n">
        <v>0</v>
      </c>
      <c r="O480" t="n">
        <v>0</v>
      </c>
      <c r="P480" t="n">
        <v>0</v>
      </c>
      <c r="Q480" t="n">
        <v>0</v>
      </c>
      <c r="R480" s="2" t="inlineStr"/>
    </row>
    <row r="481" ht="15" customHeight="1">
      <c r="A481" t="inlineStr">
        <is>
          <t>A 5946-2021</t>
        </is>
      </c>
      <c r="B481" s="1" t="n">
        <v>44230</v>
      </c>
      <c r="C481" s="1" t="n">
        <v>45981</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58615-2024</t>
        </is>
      </c>
      <c r="B482" s="1" t="n">
        <v>45635.5587037037</v>
      </c>
      <c r="C482" s="1" t="n">
        <v>45981</v>
      </c>
      <c r="D482" t="inlineStr">
        <is>
          <t>ÖREBRO LÄN</t>
        </is>
      </c>
      <c r="E482" t="inlineStr">
        <is>
          <t>ÖREBRO</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58620-2024</t>
        </is>
      </c>
      <c r="B483" s="1" t="n">
        <v>45635.56246527778</v>
      </c>
      <c r="C483" s="1" t="n">
        <v>45981</v>
      </c>
      <c r="D483" t="inlineStr">
        <is>
          <t>ÖREBRO LÄN</t>
        </is>
      </c>
      <c r="E483" t="inlineStr">
        <is>
          <t>ÖREBRO</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11663-2024</t>
        </is>
      </c>
      <c r="B484" s="1" t="n">
        <v>45373</v>
      </c>
      <c r="C484" s="1" t="n">
        <v>45981</v>
      </c>
      <c r="D484" t="inlineStr">
        <is>
          <t>ÖREBRO LÄN</t>
        </is>
      </c>
      <c r="E484" t="inlineStr">
        <is>
          <t>ÖREBRO</t>
        </is>
      </c>
      <c r="G484" t="n">
        <v>1</v>
      </c>
      <c r="H484" t="n">
        <v>0</v>
      </c>
      <c r="I484" t="n">
        <v>0</v>
      </c>
      <c r="J484" t="n">
        <v>0</v>
      </c>
      <c r="K484" t="n">
        <v>0</v>
      </c>
      <c r="L484" t="n">
        <v>0</v>
      </c>
      <c r="M484" t="n">
        <v>0</v>
      </c>
      <c r="N484" t="n">
        <v>0</v>
      </c>
      <c r="O484" t="n">
        <v>0</v>
      </c>
      <c r="P484" t="n">
        <v>0</v>
      </c>
      <c r="Q484" t="n">
        <v>0</v>
      </c>
      <c r="R484" s="2" t="inlineStr"/>
    </row>
    <row r="485" ht="15" customHeight="1">
      <c r="A485" t="inlineStr">
        <is>
          <t>A 1014-2024</t>
        </is>
      </c>
      <c r="B485" s="1" t="n">
        <v>45301</v>
      </c>
      <c r="C485" s="1" t="n">
        <v>45981</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30472-2022</t>
        </is>
      </c>
      <c r="B486" s="1" t="n">
        <v>44761.70467592592</v>
      </c>
      <c r="C486" s="1" t="n">
        <v>45981</v>
      </c>
      <c r="D486" t="inlineStr">
        <is>
          <t>ÖREBRO LÄN</t>
        </is>
      </c>
      <c r="E486" t="inlineStr">
        <is>
          <t>ÖREBRO</t>
        </is>
      </c>
      <c r="F486" t="inlineStr">
        <is>
          <t>Övriga Aktiebolag</t>
        </is>
      </c>
      <c r="G486" t="n">
        <v>5.6</v>
      </c>
      <c r="H486" t="n">
        <v>0</v>
      </c>
      <c r="I486" t="n">
        <v>0</v>
      </c>
      <c r="J486" t="n">
        <v>0</v>
      </c>
      <c r="K486" t="n">
        <v>0</v>
      </c>
      <c r="L486" t="n">
        <v>0</v>
      </c>
      <c r="M486" t="n">
        <v>0</v>
      </c>
      <c r="N486" t="n">
        <v>0</v>
      </c>
      <c r="O486" t="n">
        <v>0</v>
      </c>
      <c r="P486" t="n">
        <v>0</v>
      </c>
      <c r="Q486" t="n">
        <v>0</v>
      </c>
      <c r="R486" s="2" t="inlineStr"/>
    </row>
    <row r="487" ht="15" customHeight="1">
      <c r="A487" t="inlineStr">
        <is>
          <t>A 34056-2023</t>
        </is>
      </c>
      <c r="B487" s="1" t="n">
        <v>45135</v>
      </c>
      <c r="C487" s="1" t="n">
        <v>45981</v>
      </c>
      <c r="D487" t="inlineStr">
        <is>
          <t>ÖREBRO LÄN</t>
        </is>
      </c>
      <c r="E487" t="inlineStr">
        <is>
          <t>ÖREBRO</t>
        </is>
      </c>
      <c r="F487" t="inlineStr">
        <is>
          <t>Övriga Aktiebolag</t>
        </is>
      </c>
      <c r="G487" t="n">
        <v>4.1</v>
      </c>
      <c r="H487" t="n">
        <v>0</v>
      </c>
      <c r="I487" t="n">
        <v>0</v>
      </c>
      <c r="J487" t="n">
        <v>0</v>
      </c>
      <c r="K487" t="n">
        <v>0</v>
      </c>
      <c r="L487" t="n">
        <v>0</v>
      </c>
      <c r="M487" t="n">
        <v>0</v>
      </c>
      <c r="N487" t="n">
        <v>0</v>
      </c>
      <c r="O487" t="n">
        <v>0</v>
      </c>
      <c r="P487" t="n">
        <v>0</v>
      </c>
      <c r="Q487" t="n">
        <v>0</v>
      </c>
      <c r="R487" s="2" t="inlineStr"/>
    </row>
    <row r="488" ht="15" customHeight="1">
      <c r="A488" t="inlineStr">
        <is>
          <t>A 43612-2022</t>
        </is>
      </c>
      <c r="B488" s="1" t="n">
        <v>44837</v>
      </c>
      <c r="C488" s="1" t="n">
        <v>45981</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51373-2023</t>
        </is>
      </c>
      <c r="B489" s="1" t="n">
        <v>45213</v>
      </c>
      <c r="C489" s="1" t="n">
        <v>45981</v>
      </c>
      <c r="D489" t="inlineStr">
        <is>
          <t>ÖREBRO LÄN</t>
        </is>
      </c>
      <c r="E489" t="inlineStr">
        <is>
          <t>ÖREBRO</t>
        </is>
      </c>
      <c r="G489" t="n">
        <v>5.9</v>
      </c>
      <c r="H489" t="n">
        <v>0</v>
      </c>
      <c r="I489" t="n">
        <v>0</v>
      </c>
      <c r="J489" t="n">
        <v>0</v>
      </c>
      <c r="K489" t="n">
        <v>0</v>
      </c>
      <c r="L489" t="n">
        <v>0</v>
      </c>
      <c r="M489" t="n">
        <v>0</v>
      </c>
      <c r="N489" t="n">
        <v>0</v>
      </c>
      <c r="O489" t="n">
        <v>0</v>
      </c>
      <c r="P489" t="n">
        <v>0</v>
      </c>
      <c r="Q489" t="n">
        <v>0</v>
      </c>
      <c r="R489" s="2" t="inlineStr"/>
    </row>
    <row r="490" ht="15" customHeight="1">
      <c r="A490" t="inlineStr">
        <is>
          <t>A 30550-2025</t>
        </is>
      </c>
      <c r="B490" s="1" t="n">
        <v>45831.38224537037</v>
      </c>
      <c r="C490" s="1" t="n">
        <v>45981</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35843-2022</t>
        </is>
      </c>
      <c r="B491" s="1" t="n">
        <v>44802</v>
      </c>
      <c r="C491" s="1" t="n">
        <v>45981</v>
      </c>
      <c r="D491" t="inlineStr">
        <is>
          <t>ÖREBRO LÄN</t>
        </is>
      </c>
      <c r="E491" t="inlineStr">
        <is>
          <t>ÖREBRO</t>
        </is>
      </c>
      <c r="G491" t="n">
        <v>2.4</v>
      </c>
      <c r="H491" t="n">
        <v>0</v>
      </c>
      <c r="I491" t="n">
        <v>0</v>
      </c>
      <c r="J491" t="n">
        <v>0</v>
      </c>
      <c r="K491" t="n">
        <v>0</v>
      </c>
      <c r="L491" t="n">
        <v>0</v>
      </c>
      <c r="M491" t="n">
        <v>0</v>
      </c>
      <c r="N491" t="n">
        <v>0</v>
      </c>
      <c r="O491" t="n">
        <v>0</v>
      </c>
      <c r="P491" t="n">
        <v>0</v>
      </c>
      <c r="Q491" t="n">
        <v>0</v>
      </c>
      <c r="R491" s="2" t="inlineStr"/>
    </row>
    <row r="492" ht="15" customHeight="1">
      <c r="A492" t="inlineStr">
        <is>
          <t>A 13599-2025</t>
        </is>
      </c>
      <c r="B492" s="1" t="n">
        <v>45736.60597222222</v>
      </c>
      <c r="C492" s="1" t="n">
        <v>45981</v>
      </c>
      <c r="D492" t="inlineStr">
        <is>
          <t>ÖREBRO LÄN</t>
        </is>
      </c>
      <c r="E492" t="inlineStr">
        <is>
          <t>ÖREBRO</t>
        </is>
      </c>
      <c r="G492" t="n">
        <v>1.9</v>
      </c>
      <c r="H492" t="n">
        <v>0</v>
      </c>
      <c r="I492" t="n">
        <v>0</v>
      </c>
      <c r="J492" t="n">
        <v>0</v>
      </c>
      <c r="K492" t="n">
        <v>0</v>
      </c>
      <c r="L492" t="n">
        <v>0</v>
      </c>
      <c r="M492" t="n">
        <v>0</v>
      </c>
      <c r="N492" t="n">
        <v>0</v>
      </c>
      <c r="O492" t="n">
        <v>0</v>
      </c>
      <c r="P492" t="n">
        <v>0</v>
      </c>
      <c r="Q492" t="n">
        <v>0</v>
      </c>
      <c r="R492" s="2" t="inlineStr"/>
    </row>
    <row r="493" ht="15" customHeight="1">
      <c r="A493" t="inlineStr">
        <is>
          <t>A 20146-2024</t>
        </is>
      </c>
      <c r="B493" s="1" t="n">
        <v>45434.57641203704</v>
      </c>
      <c r="C493" s="1" t="n">
        <v>45981</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8022-2022</t>
        </is>
      </c>
      <c r="B494" s="1" t="n">
        <v>44609</v>
      </c>
      <c r="C494" s="1" t="n">
        <v>45981</v>
      </c>
      <c r="D494" t="inlineStr">
        <is>
          <t>ÖREBRO LÄN</t>
        </is>
      </c>
      <c r="E494" t="inlineStr">
        <is>
          <t>ÖREBRO</t>
        </is>
      </c>
      <c r="G494" t="n">
        <v>5.6</v>
      </c>
      <c r="H494" t="n">
        <v>0</v>
      </c>
      <c r="I494" t="n">
        <v>0</v>
      </c>
      <c r="J494" t="n">
        <v>0</v>
      </c>
      <c r="K494" t="n">
        <v>0</v>
      </c>
      <c r="L494" t="n">
        <v>0</v>
      </c>
      <c r="M494" t="n">
        <v>0</v>
      </c>
      <c r="N494" t="n">
        <v>0</v>
      </c>
      <c r="O494" t="n">
        <v>0</v>
      </c>
      <c r="P494" t="n">
        <v>0</v>
      </c>
      <c r="Q494" t="n">
        <v>0</v>
      </c>
      <c r="R494" s="2" t="inlineStr"/>
    </row>
    <row r="495" ht="15" customHeight="1">
      <c r="A495" t="inlineStr">
        <is>
          <t>A 30731-2025</t>
        </is>
      </c>
      <c r="B495" s="1" t="n">
        <v>45831.57280092593</v>
      </c>
      <c r="C495" s="1" t="n">
        <v>45981</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29978-2024</t>
        </is>
      </c>
      <c r="B496" s="1" t="n">
        <v>45488.48340277778</v>
      </c>
      <c r="C496" s="1" t="n">
        <v>45981</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10937-2024</t>
        </is>
      </c>
      <c r="B497" s="1" t="n">
        <v>45370.44461805555</v>
      </c>
      <c r="C497" s="1" t="n">
        <v>45981</v>
      </c>
      <c r="D497" t="inlineStr">
        <is>
          <t>ÖREBRO LÄN</t>
        </is>
      </c>
      <c r="E497" t="inlineStr">
        <is>
          <t>ÖREBRO</t>
        </is>
      </c>
      <c r="G497" t="n">
        <v>4.3</v>
      </c>
      <c r="H497" t="n">
        <v>0</v>
      </c>
      <c r="I497" t="n">
        <v>0</v>
      </c>
      <c r="J497" t="n">
        <v>0</v>
      </c>
      <c r="K497" t="n">
        <v>0</v>
      </c>
      <c r="L497" t="n">
        <v>0</v>
      </c>
      <c r="M497" t="n">
        <v>0</v>
      </c>
      <c r="N497" t="n">
        <v>0</v>
      </c>
      <c r="O497" t="n">
        <v>0</v>
      </c>
      <c r="P497" t="n">
        <v>0</v>
      </c>
      <c r="Q497" t="n">
        <v>0</v>
      </c>
      <c r="R497" s="2" t="inlineStr"/>
    </row>
    <row r="498" ht="15" customHeight="1">
      <c r="A498" t="inlineStr">
        <is>
          <t>A 20115-2024</t>
        </is>
      </c>
      <c r="B498" s="1" t="n">
        <v>45434</v>
      </c>
      <c r="C498" s="1" t="n">
        <v>45981</v>
      </c>
      <c r="D498" t="inlineStr">
        <is>
          <t>ÖREBRO LÄN</t>
        </is>
      </c>
      <c r="E498" t="inlineStr">
        <is>
          <t>ÖREBRO</t>
        </is>
      </c>
      <c r="G498" t="n">
        <v>1.7</v>
      </c>
      <c r="H498" t="n">
        <v>0</v>
      </c>
      <c r="I498" t="n">
        <v>0</v>
      </c>
      <c r="J498" t="n">
        <v>0</v>
      </c>
      <c r="K498" t="n">
        <v>0</v>
      </c>
      <c r="L498" t="n">
        <v>0</v>
      </c>
      <c r="M498" t="n">
        <v>0</v>
      </c>
      <c r="N498" t="n">
        <v>0</v>
      </c>
      <c r="O498" t="n">
        <v>0</v>
      </c>
      <c r="P498" t="n">
        <v>0</v>
      </c>
      <c r="Q498" t="n">
        <v>0</v>
      </c>
      <c r="R498" s="2" t="inlineStr"/>
    </row>
    <row r="499" ht="15" customHeight="1">
      <c r="A499" t="inlineStr">
        <is>
          <t>A 19978-2025</t>
        </is>
      </c>
      <c r="B499" s="1" t="n">
        <v>45771.7062037037</v>
      </c>
      <c r="C499" s="1" t="n">
        <v>45981</v>
      </c>
      <c r="D499" t="inlineStr">
        <is>
          <t>ÖREBRO LÄN</t>
        </is>
      </c>
      <c r="E499" t="inlineStr">
        <is>
          <t>ÖREBRO</t>
        </is>
      </c>
      <c r="G499" t="n">
        <v>2</v>
      </c>
      <c r="H499" t="n">
        <v>0</v>
      </c>
      <c r="I499" t="n">
        <v>0</v>
      </c>
      <c r="J499" t="n">
        <v>0</v>
      </c>
      <c r="K499" t="n">
        <v>0</v>
      </c>
      <c r="L499" t="n">
        <v>0</v>
      </c>
      <c r="M499" t="n">
        <v>0</v>
      </c>
      <c r="N499" t="n">
        <v>0</v>
      </c>
      <c r="O499" t="n">
        <v>0</v>
      </c>
      <c r="P499" t="n">
        <v>0</v>
      </c>
      <c r="Q499" t="n">
        <v>0</v>
      </c>
      <c r="R499" s="2" t="inlineStr"/>
    </row>
    <row r="500" ht="15" customHeight="1">
      <c r="A500" t="inlineStr">
        <is>
          <t>A 16936-2023</t>
        </is>
      </c>
      <c r="B500" s="1" t="n">
        <v>45033.63005787037</v>
      </c>
      <c r="C500" s="1" t="n">
        <v>45981</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40588-2021</t>
        </is>
      </c>
      <c r="B501" s="1" t="n">
        <v>44420</v>
      </c>
      <c r="C501" s="1" t="n">
        <v>45981</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48454-2025</t>
        </is>
      </c>
      <c r="B502" s="1" t="n">
        <v>45935.80164351852</v>
      </c>
      <c r="C502" s="1" t="n">
        <v>45981</v>
      </c>
      <c r="D502" t="inlineStr">
        <is>
          <t>ÖREBRO LÄN</t>
        </is>
      </c>
      <c r="E502" t="inlineStr">
        <is>
          <t>ÖREBRO</t>
        </is>
      </c>
      <c r="F502" t="inlineStr">
        <is>
          <t>Övriga Aktiebolag</t>
        </is>
      </c>
      <c r="G502" t="n">
        <v>18.1</v>
      </c>
      <c r="H502" t="n">
        <v>0</v>
      </c>
      <c r="I502" t="n">
        <v>0</v>
      </c>
      <c r="J502" t="n">
        <v>0</v>
      </c>
      <c r="K502" t="n">
        <v>0</v>
      </c>
      <c r="L502" t="n">
        <v>0</v>
      </c>
      <c r="M502" t="n">
        <v>0</v>
      </c>
      <c r="N502" t="n">
        <v>0</v>
      </c>
      <c r="O502" t="n">
        <v>0</v>
      </c>
      <c r="P502" t="n">
        <v>0</v>
      </c>
      <c r="Q502" t="n">
        <v>0</v>
      </c>
      <c r="R502" s="2" t="inlineStr"/>
    </row>
    <row r="503" ht="15" customHeight="1">
      <c r="A503" t="inlineStr">
        <is>
          <t>A 7134-2025</t>
        </is>
      </c>
      <c r="B503" s="1" t="n">
        <v>45702</v>
      </c>
      <c r="C503" s="1" t="n">
        <v>45981</v>
      </c>
      <c r="D503" t="inlineStr">
        <is>
          <t>ÖREBRO LÄN</t>
        </is>
      </c>
      <c r="E503" t="inlineStr">
        <is>
          <t>ÖREBRO</t>
        </is>
      </c>
      <c r="F503" t="inlineStr">
        <is>
          <t>Övriga Aktiebolag</t>
        </is>
      </c>
      <c r="G503" t="n">
        <v>2.1</v>
      </c>
      <c r="H503" t="n">
        <v>0</v>
      </c>
      <c r="I503" t="n">
        <v>0</v>
      </c>
      <c r="J503" t="n">
        <v>0</v>
      </c>
      <c r="K503" t="n">
        <v>0</v>
      </c>
      <c r="L503" t="n">
        <v>0</v>
      </c>
      <c r="M503" t="n">
        <v>0</v>
      </c>
      <c r="N503" t="n">
        <v>0</v>
      </c>
      <c r="O503" t="n">
        <v>0</v>
      </c>
      <c r="P503" t="n">
        <v>0</v>
      </c>
      <c r="Q503" t="n">
        <v>0</v>
      </c>
      <c r="R503" s="2" t="inlineStr"/>
    </row>
    <row r="504" ht="15" customHeight="1">
      <c r="A504" t="inlineStr">
        <is>
          <t>A 8565-2021</t>
        </is>
      </c>
      <c r="B504" s="1" t="n">
        <v>44245</v>
      </c>
      <c r="C504" s="1" t="n">
        <v>45981</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8575-2021</t>
        </is>
      </c>
      <c r="B505" s="1" t="n">
        <v>44245</v>
      </c>
      <c r="C505" s="1" t="n">
        <v>45981</v>
      </c>
      <c r="D505" t="inlineStr">
        <is>
          <t>ÖREBRO LÄN</t>
        </is>
      </c>
      <c r="E505" t="inlineStr">
        <is>
          <t>ÖREBRO</t>
        </is>
      </c>
      <c r="G505" t="n">
        <v>3.4</v>
      </c>
      <c r="H505" t="n">
        <v>0</v>
      </c>
      <c r="I505" t="n">
        <v>0</v>
      </c>
      <c r="J505" t="n">
        <v>0</v>
      </c>
      <c r="K505" t="n">
        <v>0</v>
      </c>
      <c r="L505" t="n">
        <v>0</v>
      </c>
      <c r="M505" t="n">
        <v>0</v>
      </c>
      <c r="N505" t="n">
        <v>0</v>
      </c>
      <c r="O505" t="n">
        <v>0</v>
      </c>
      <c r="P505" t="n">
        <v>0</v>
      </c>
      <c r="Q505" t="n">
        <v>0</v>
      </c>
      <c r="R505" s="2" t="inlineStr"/>
    </row>
    <row r="506" ht="15" customHeight="1">
      <c r="A506" t="inlineStr">
        <is>
          <t>A 57485-2023</t>
        </is>
      </c>
      <c r="B506" s="1" t="n">
        <v>45246</v>
      </c>
      <c r="C506" s="1" t="n">
        <v>45981</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37025-2024</t>
        </is>
      </c>
      <c r="B507" s="1" t="n">
        <v>45539.3840162037</v>
      </c>
      <c r="C507" s="1" t="n">
        <v>45981</v>
      </c>
      <c r="D507" t="inlineStr">
        <is>
          <t>ÖREBRO LÄN</t>
        </is>
      </c>
      <c r="E507" t="inlineStr">
        <is>
          <t>ÖREBRO</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37027-2024</t>
        </is>
      </c>
      <c r="B508" s="1" t="n">
        <v>45539.38487268519</v>
      </c>
      <c r="C508" s="1" t="n">
        <v>45981</v>
      </c>
      <c r="D508" t="inlineStr">
        <is>
          <t>ÖREBRO LÄN</t>
        </is>
      </c>
      <c r="E508" t="inlineStr">
        <is>
          <t>ÖREBRO</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60506-2024</t>
        </is>
      </c>
      <c r="B509" s="1" t="n">
        <v>45643.66630787037</v>
      </c>
      <c r="C509" s="1" t="n">
        <v>45981</v>
      </c>
      <c r="D509" t="inlineStr">
        <is>
          <t>ÖREBRO LÄN</t>
        </is>
      </c>
      <c r="E509" t="inlineStr">
        <is>
          <t>ÖREBRO</t>
        </is>
      </c>
      <c r="G509" t="n">
        <v>5.8</v>
      </c>
      <c r="H509" t="n">
        <v>0</v>
      </c>
      <c r="I509" t="n">
        <v>0</v>
      </c>
      <c r="J509" t="n">
        <v>0</v>
      </c>
      <c r="K509" t="n">
        <v>0</v>
      </c>
      <c r="L509" t="n">
        <v>0</v>
      </c>
      <c r="M509" t="n">
        <v>0</v>
      </c>
      <c r="N509" t="n">
        <v>0</v>
      </c>
      <c r="O509" t="n">
        <v>0</v>
      </c>
      <c r="P509" t="n">
        <v>0</v>
      </c>
      <c r="Q509" t="n">
        <v>0</v>
      </c>
      <c r="R509" s="2" t="inlineStr"/>
    </row>
    <row r="510" ht="15" customHeight="1">
      <c r="A510" t="inlineStr">
        <is>
          <t>A 31232-2025</t>
        </is>
      </c>
      <c r="B510" s="1" t="n">
        <v>45832.8252199074</v>
      </c>
      <c r="C510" s="1" t="n">
        <v>45981</v>
      </c>
      <c r="D510" t="inlineStr">
        <is>
          <t>ÖREBRO LÄN</t>
        </is>
      </c>
      <c r="E510" t="inlineStr">
        <is>
          <t>ÖREBRO</t>
        </is>
      </c>
      <c r="F510" t="inlineStr">
        <is>
          <t>Övriga Aktiebolag</t>
        </is>
      </c>
      <c r="G510" t="n">
        <v>2.1</v>
      </c>
      <c r="H510" t="n">
        <v>0</v>
      </c>
      <c r="I510" t="n">
        <v>0</v>
      </c>
      <c r="J510" t="n">
        <v>0</v>
      </c>
      <c r="K510" t="n">
        <v>0</v>
      </c>
      <c r="L510" t="n">
        <v>0</v>
      </c>
      <c r="M510" t="n">
        <v>0</v>
      </c>
      <c r="N510" t="n">
        <v>0</v>
      </c>
      <c r="O510" t="n">
        <v>0</v>
      </c>
      <c r="P510" t="n">
        <v>0</v>
      </c>
      <c r="Q510" t="n">
        <v>0</v>
      </c>
      <c r="R510" s="2" t="inlineStr"/>
    </row>
    <row r="511" ht="15" customHeight="1">
      <c r="A511" t="inlineStr">
        <is>
          <t>A 30951-2025</t>
        </is>
      </c>
      <c r="B511" s="1" t="n">
        <v>45832.43225694444</v>
      </c>
      <c r="C511" s="1" t="n">
        <v>45981</v>
      </c>
      <c r="D511" t="inlineStr">
        <is>
          <t>ÖREBRO LÄN</t>
        </is>
      </c>
      <c r="E511" t="inlineStr">
        <is>
          <t>ÖREBRO</t>
        </is>
      </c>
      <c r="F511" t="inlineStr">
        <is>
          <t>Övriga Aktiebolag</t>
        </is>
      </c>
      <c r="G511" t="n">
        <v>2.3</v>
      </c>
      <c r="H511" t="n">
        <v>0</v>
      </c>
      <c r="I511" t="n">
        <v>0</v>
      </c>
      <c r="J511" t="n">
        <v>0</v>
      </c>
      <c r="K511" t="n">
        <v>0</v>
      </c>
      <c r="L511" t="n">
        <v>0</v>
      </c>
      <c r="M511" t="n">
        <v>0</v>
      </c>
      <c r="N511" t="n">
        <v>0</v>
      </c>
      <c r="O511" t="n">
        <v>0</v>
      </c>
      <c r="P511" t="n">
        <v>0</v>
      </c>
      <c r="Q511" t="n">
        <v>0</v>
      </c>
      <c r="R511" s="2" t="inlineStr"/>
    </row>
    <row r="512" ht="15" customHeight="1">
      <c r="A512" t="inlineStr">
        <is>
          <t>A 44284-2022</t>
        </is>
      </c>
      <c r="B512" s="1" t="n">
        <v>44839.59194444444</v>
      </c>
      <c r="C512" s="1" t="n">
        <v>45981</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16374-2022</t>
        </is>
      </c>
      <c r="B513" s="1" t="n">
        <v>44671</v>
      </c>
      <c r="C513" s="1" t="n">
        <v>45981</v>
      </c>
      <c r="D513" t="inlineStr">
        <is>
          <t>ÖREBRO LÄN</t>
        </is>
      </c>
      <c r="E513" t="inlineStr">
        <is>
          <t>ÖREBRO</t>
        </is>
      </c>
      <c r="F513" t="inlineStr">
        <is>
          <t>Övriga Aktiebolag</t>
        </is>
      </c>
      <c r="G513" t="n">
        <v>30.3</v>
      </c>
      <c r="H513" t="n">
        <v>0</v>
      </c>
      <c r="I513" t="n">
        <v>0</v>
      </c>
      <c r="J513" t="n">
        <v>0</v>
      </c>
      <c r="K513" t="n">
        <v>0</v>
      </c>
      <c r="L513" t="n">
        <v>0</v>
      </c>
      <c r="M513" t="n">
        <v>0</v>
      </c>
      <c r="N513" t="n">
        <v>0</v>
      </c>
      <c r="O513" t="n">
        <v>0</v>
      </c>
      <c r="P513" t="n">
        <v>0</v>
      </c>
      <c r="Q513" t="n">
        <v>0</v>
      </c>
      <c r="R513" s="2" t="inlineStr"/>
    </row>
    <row r="514" ht="15" customHeight="1">
      <c r="A514" t="inlineStr">
        <is>
          <t>A 31233-2025</t>
        </is>
      </c>
      <c r="B514" s="1" t="n">
        <v>45832.83341435185</v>
      </c>
      <c r="C514" s="1" t="n">
        <v>45981</v>
      </c>
      <c r="D514" t="inlineStr">
        <is>
          <t>ÖREBRO LÄN</t>
        </is>
      </c>
      <c r="E514" t="inlineStr">
        <is>
          <t>ÖREBRO</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27956-2023</t>
        </is>
      </c>
      <c r="B515" s="1" t="n">
        <v>45098</v>
      </c>
      <c r="C515" s="1" t="n">
        <v>45981</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35833-2024</t>
        </is>
      </c>
      <c r="B516" s="1" t="n">
        <v>45532.68699074074</v>
      </c>
      <c r="C516" s="1" t="n">
        <v>45981</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13321-2024</t>
        </is>
      </c>
      <c r="B517" s="1" t="n">
        <v>45386.83142361111</v>
      </c>
      <c r="C517" s="1" t="n">
        <v>45981</v>
      </c>
      <c r="D517" t="inlineStr">
        <is>
          <t>ÖREBRO LÄN</t>
        </is>
      </c>
      <c r="E517" t="inlineStr">
        <is>
          <t>ÖREBRO</t>
        </is>
      </c>
      <c r="G517" t="n">
        <v>13.1</v>
      </c>
      <c r="H517" t="n">
        <v>0</v>
      </c>
      <c r="I517" t="n">
        <v>0</v>
      </c>
      <c r="J517" t="n">
        <v>0</v>
      </c>
      <c r="K517" t="n">
        <v>0</v>
      </c>
      <c r="L517" t="n">
        <v>0</v>
      </c>
      <c r="M517" t="n">
        <v>0</v>
      </c>
      <c r="N517" t="n">
        <v>0</v>
      </c>
      <c r="O517" t="n">
        <v>0</v>
      </c>
      <c r="P517" t="n">
        <v>0</v>
      </c>
      <c r="Q517" t="n">
        <v>0</v>
      </c>
      <c r="R517" s="2" t="inlineStr"/>
    </row>
    <row r="518" ht="15" customHeight="1">
      <c r="A518" t="inlineStr">
        <is>
          <t>A 31237-2025</t>
        </is>
      </c>
      <c r="B518" s="1" t="n">
        <v>45832.84313657408</v>
      </c>
      <c r="C518" s="1" t="n">
        <v>45981</v>
      </c>
      <c r="D518" t="inlineStr">
        <is>
          <t>ÖREBRO LÄN</t>
        </is>
      </c>
      <c r="E518" t="inlineStr">
        <is>
          <t>ÖREBRO</t>
        </is>
      </c>
      <c r="F518" t="inlineStr">
        <is>
          <t>Övriga Aktiebolag</t>
        </is>
      </c>
      <c r="G518" t="n">
        <v>1.7</v>
      </c>
      <c r="H518" t="n">
        <v>0</v>
      </c>
      <c r="I518" t="n">
        <v>0</v>
      </c>
      <c r="J518" t="n">
        <v>0</v>
      </c>
      <c r="K518" t="n">
        <v>0</v>
      </c>
      <c r="L518" t="n">
        <v>0</v>
      </c>
      <c r="M518" t="n">
        <v>0</v>
      </c>
      <c r="N518" t="n">
        <v>0</v>
      </c>
      <c r="O518" t="n">
        <v>0</v>
      </c>
      <c r="P518" t="n">
        <v>0</v>
      </c>
      <c r="Q518" t="n">
        <v>0</v>
      </c>
      <c r="R518" s="2" t="inlineStr"/>
    </row>
    <row r="519" ht="15" customHeight="1">
      <c r="A519" t="inlineStr">
        <is>
          <t>A 31066-2025</t>
        </is>
      </c>
      <c r="B519" s="1" t="n">
        <v>45832</v>
      </c>
      <c r="C519" s="1" t="n">
        <v>45981</v>
      </c>
      <c r="D519" t="inlineStr">
        <is>
          <t>ÖREBRO LÄN</t>
        </is>
      </c>
      <c r="E519" t="inlineStr">
        <is>
          <t>ÖREBRO</t>
        </is>
      </c>
      <c r="G519" t="n">
        <v>11.1</v>
      </c>
      <c r="H519" t="n">
        <v>0</v>
      </c>
      <c r="I519" t="n">
        <v>0</v>
      </c>
      <c r="J519" t="n">
        <v>0</v>
      </c>
      <c r="K519" t="n">
        <v>0</v>
      </c>
      <c r="L519" t="n">
        <v>0</v>
      </c>
      <c r="M519" t="n">
        <v>0</v>
      </c>
      <c r="N519" t="n">
        <v>0</v>
      </c>
      <c r="O519" t="n">
        <v>0</v>
      </c>
      <c r="P519" t="n">
        <v>0</v>
      </c>
      <c r="Q519" t="n">
        <v>0</v>
      </c>
      <c r="R519" s="2" t="inlineStr"/>
    </row>
    <row r="520" ht="15" customHeight="1">
      <c r="A520" t="inlineStr">
        <is>
          <t>A 15652-2025</t>
        </is>
      </c>
      <c r="B520" s="1" t="n">
        <v>45748</v>
      </c>
      <c r="C520" s="1" t="n">
        <v>45981</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58608-2024</t>
        </is>
      </c>
      <c r="B521" s="1" t="n">
        <v>45635.55185185185</v>
      </c>
      <c r="C521" s="1" t="n">
        <v>45981</v>
      </c>
      <c r="D521" t="inlineStr">
        <is>
          <t>ÖREBRO LÄN</t>
        </is>
      </c>
      <c r="E521" t="inlineStr">
        <is>
          <t>ÖREBRO</t>
        </is>
      </c>
      <c r="F521" t="inlineStr">
        <is>
          <t>Sveaskog</t>
        </is>
      </c>
      <c r="G521" t="n">
        <v>0.3</v>
      </c>
      <c r="H521" t="n">
        <v>0</v>
      </c>
      <c r="I521" t="n">
        <v>0</v>
      </c>
      <c r="J521" t="n">
        <v>0</v>
      </c>
      <c r="K521" t="n">
        <v>0</v>
      </c>
      <c r="L521" t="n">
        <v>0</v>
      </c>
      <c r="M521" t="n">
        <v>0</v>
      </c>
      <c r="N521" t="n">
        <v>0</v>
      </c>
      <c r="O521" t="n">
        <v>0</v>
      </c>
      <c r="P521" t="n">
        <v>0</v>
      </c>
      <c r="Q521" t="n">
        <v>0</v>
      </c>
      <c r="R521" s="2" t="inlineStr"/>
    </row>
    <row r="522" ht="15" customHeight="1">
      <c r="A522" t="inlineStr">
        <is>
          <t>A 16737-2023</t>
        </is>
      </c>
      <c r="B522" s="1" t="n">
        <v>45030.72472222222</v>
      </c>
      <c r="C522" s="1" t="n">
        <v>45981</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5762-2025</t>
        </is>
      </c>
      <c r="B523" s="1" t="n">
        <v>45694.57181712963</v>
      </c>
      <c r="C523" s="1" t="n">
        <v>45981</v>
      </c>
      <c r="D523" t="inlineStr">
        <is>
          <t>ÖREBRO LÄN</t>
        </is>
      </c>
      <c r="E523" t="inlineStr">
        <is>
          <t>ÖREBRO</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51180-2023</t>
        </is>
      </c>
      <c r="B524" s="1" t="n">
        <v>45219</v>
      </c>
      <c r="C524" s="1" t="n">
        <v>45981</v>
      </c>
      <c r="D524" t="inlineStr">
        <is>
          <t>ÖREBRO LÄN</t>
        </is>
      </c>
      <c r="E524" t="inlineStr">
        <is>
          <t>ÖREBRO</t>
        </is>
      </c>
      <c r="G524" t="n">
        <v>6.5</v>
      </c>
      <c r="H524" t="n">
        <v>0</v>
      </c>
      <c r="I524" t="n">
        <v>0</v>
      </c>
      <c r="J524" t="n">
        <v>0</v>
      </c>
      <c r="K524" t="n">
        <v>0</v>
      </c>
      <c r="L524" t="n">
        <v>0</v>
      </c>
      <c r="M524" t="n">
        <v>0</v>
      </c>
      <c r="N524" t="n">
        <v>0</v>
      </c>
      <c r="O524" t="n">
        <v>0</v>
      </c>
      <c r="P524" t="n">
        <v>0</v>
      </c>
      <c r="Q524" t="n">
        <v>0</v>
      </c>
      <c r="R524" s="2" t="inlineStr"/>
    </row>
    <row r="525" ht="15" customHeight="1">
      <c r="A525" t="inlineStr">
        <is>
          <t>A 58621-2024</t>
        </is>
      </c>
      <c r="B525" s="1" t="n">
        <v>45635.56321759259</v>
      </c>
      <c r="C525" s="1" t="n">
        <v>45981</v>
      </c>
      <c r="D525" t="inlineStr">
        <is>
          <t>ÖREBRO LÄN</t>
        </is>
      </c>
      <c r="E525" t="inlineStr">
        <is>
          <t>ÖREBRO</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38422-2023</t>
        </is>
      </c>
      <c r="B526" s="1" t="n">
        <v>45162.36422453704</v>
      </c>
      <c r="C526" s="1" t="n">
        <v>45981</v>
      </c>
      <c r="D526" t="inlineStr">
        <is>
          <t>ÖREBRO LÄN</t>
        </is>
      </c>
      <c r="E526" t="inlineStr">
        <is>
          <t>ÖREBRO</t>
        </is>
      </c>
      <c r="G526" t="n">
        <v>8</v>
      </c>
      <c r="H526" t="n">
        <v>0</v>
      </c>
      <c r="I526" t="n">
        <v>0</v>
      </c>
      <c r="J526" t="n">
        <v>0</v>
      </c>
      <c r="K526" t="n">
        <v>0</v>
      </c>
      <c r="L526" t="n">
        <v>0</v>
      </c>
      <c r="M526" t="n">
        <v>0</v>
      </c>
      <c r="N526" t="n">
        <v>0</v>
      </c>
      <c r="O526" t="n">
        <v>0</v>
      </c>
      <c r="P526" t="n">
        <v>0</v>
      </c>
      <c r="Q526" t="n">
        <v>0</v>
      </c>
      <c r="R526" s="2" t="inlineStr"/>
    </row>
    <row r="527" ht="15" customHeight="1">
      <c r="A527" t="inlineStr">
        <is>
          <t>A 5578-2024</t>
        </is>
      </c>
      <c r="B527" s="1" t="n">
        <v>45334.49104166667</v>
      </c>
      <c r="C527" s="1" t="n">
        <v>45981</v>
      </c>
      <c r="D527" t="inlineStr">
        <is>
          <t>ÖREBRO LÄN</t>
        </is>
      </c>
      <c r="E527" t="inlineStr">
        <is>
          <t>ÖREBRO</t>
        </is>
      </c>
      <c r="G527" t="n">
        <v>2.4</v>
      </c>
      <c r="H527" t="n">
        <v>0</v>
      </c>
      <c r="I527" t="n">
        <v>0</v>
      </c>
      <c r="J527" t="n">
        <v>0</v>
      </c>
      <c r="K527" t="n">
        <v>0</v>
      </c>
      <c r="L527" t="n">
        <v>0</v>
      </c>
      <c r="M527" t="n">
        <v>0</v>
      </c>
      <c r="N527" t="n">
        <v>0</v>
      </c>
      <c r="O527" t="n">
        <v>0</v>
      </c>
      <c r="P527" t="n">
        <v>0</v>
      </c>
      <c r="Q527" t="n">
        <v>0</v>
      </c>
      <c r="R527" s="2" t="inlineStr"/>
    </row>
    <row r="528" ht="15" customHeight="1">
      <c r="A528" t="inlineStr">
        <is>
          <t>A 56040-2024</t>
        </is>
      </c>
      <c r="B528" s="1" t="n">
        <v>45624.3344212963</v>
      </c>
      <c r="C528" s="1" t="n">
        <v>45981</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14487-2023</t>
        </is>
      </c>
      <c r="B529" s="1" t="n">
        <v>45012</v>
      </c>
      <c r="C529" s="1" t="n">
        <v>45981</v>
      </c>
      <c r="D529" t="inlineStr">
        <is>
          <t>ÖREBRO LÄN</t>
        </is>
      </c>
      <c r="E529" t="inlineStr">
        <is>
          <t>ÖREBRO</t>
        </is>
      </c>
      <c r="G529" t="n">
        <v>0.5</v>
      </c>
      <c r="H529" t="n">
        <v>0</v>
      </c>
      <c r="I529" t="n">
        <v>0</v>
      </c>
      <c r="J529" t="n">
        <v>0</v>
      </c>
      <c r="K529" t="n">
        <v>0</v>
      </c>
      <c r="L529" t="n">
        <v>0</v>
      </c>
      <c r="M529" t="n">
        <v>0</v>
      </c>
      <c r="N529" t="n">
        <v>0</v>
      </c>
      <c r="O529" t="n">
        <v>0</v>
      </c>
      <c r="P529" t="n">
        <v>0</v>
      </c>
      <c r="Q529" t="n">
        <v>0</v>
      </c>
      <c r="R529" s="2" t="inlineStr"/>
    </row>
    <row r="530" ht="15" customHeight="1">
      <c r="A530" t="inlineStr">
        <is>
          <t>A 32086-2023</t>
        </is>
      </c>
      <c r="B530" s="1" t="n">
        <v>45119.59789351852</v>
      </c>
      <c r="C530" s="1" t="n">
        <v>45981</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22079-2023</t>
        </is>
      </c>
      <c r="B531" s="1" t="n">
        <v>45069</v>
      </c>
      <c r="C531" s="1" t="n">
        <v>45981</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32188-2025</t>
        </is>
      </c>
      <c r="B532" s="1" t="n">
        <v>45835.56965277778</v>
      </c>
      <c r="C532" s="1" t="n">
        <v>45981</v>
      </c>
      <c r="D532" t="inlineStr">
        <is>
          <t>ÖREBRO LÄN</t>
        </is>
      </c>
      <c r="E532" t="inlineStr">
        <is>
          <t>ÖREBRO</t>
        </is>
      </c>
      <c r="G532" t="n">
        <v>2.9</v>
      </c>
      <c r="H532" t="n">
        <v>0</v>
      </c>
      <c r="I532" t="n">
        <v>0</v>
      </c>
      <c r="J532" t="n">
        <v>0</v>
      </c>
      <c r="K532" t="n">
        <v>0</v>
      </c>
      <c r="L532" t="n">
        <v>0</v>
      </c>
      <c r="M532" t="n">
        <v>0</v>
      </c>
      <c r="N532" t="n">
        <v>0</v>
      </c>
      <c r="O532" t="n">
        <v>0</v>
      </c>
      <c r="P532" t="n">
        <v>0</v>
      </c>
      <c r="Q532" t="n">
        <v>0</v>
      </c>
      <c r="R532" s="2" t="inlineStr"/>
    </row>
    <row r="533" ht="15" customHeight="1">
      <c r="A533" t="inlineStr">
        <is>
          <t>A 32195-2025</t>
        </is>
      </c>
      <c r="B533" s="1" t="n">
        <v>45835.57407407407</v>
      </c>
      <c r="C533" s="1" t="n">
        <v>45981</v>
      </c>
      <c r="D533" t="inlineStr">
        <is>
          <t>ÖREBRO LÄN</t>
        </is>
      </c>
      <c r="E533" t="inlineStr">
        <is>
          <t>ÖREBRO</t>
        </is>
      </c>
      <c r="G533" t="n">
        <v>1.5</v>
      </c>
      <c r="H533" t="n">
        <v>0</v>
      </c>
      <c r="I533" t="n">
        <v>0</v>
      </c>
      <c r="J533" t="n">
        <v>0</v>
      </c>
      <c r="K533" t="n">
        <v>0</v>
      </c>
      <c r="L533" t="n">
        <v>0</v>
      </c>
      <c r="M533" t="n">
        <v>0</v>
      </c>
      <c r="N533" t="n">
        <v>0</v>
      </c>
      <c r="O533" t="n">
        <v>0</v>
      </c>
      <c r="P533" t="n">
        <v>0</v>
      </c>
      <c r="Q533" t="n">
        <v>0</v>
      </c>
      <c r="R533" s="2" t="inlineStr"/>
    </row>
    <row r="534" ht="15" customHeight="1">
      <c r="A534" t="inlineStr">
        <is>
          <t>A 2630-2023</t>
        </is>
      </c>
      <c r="B534" s="1" t="n">
        <v>44944.39105324074</v>
      </c>
      <c r="C534" s="1" t="n">
        <v>45981</v>
      </c>
      <c r="D534" t="inlineStr">
        <is>
          <t>ÖREBRO LÄN</t>
        </is>
      </c>
      <c r="E534" t="inlineStr">
        <is>
          <t>ÖREBRO</t>
        </is>
      </c>
      <c r="G534" t="n">
        <v>6.1</v>
      </c>
      <c r="H534" t="n">
        <v>0</v>
      </c>
      <c r="I534" t="n">
        <v>0</v>
      </c>
      <c r="J534" t="n">
        <v>0</v>
      </c>
      <c r="K534" t="n">
        <v>0</v>
      </c>
      <c r="L534" t="n">
        <v>0</v>
      </c>
      <c r="M534" t="n">
        <v>0</v>
      </c>
      <c r="N534" t="n">
        <v>0</v>
      </c>
      <c r="O534" t="n">
        <v>0</v>
      </c>
      <c r="P534" t="n">
        <v>0</v>
      </c>
      <c r="Q534" t="n">
        <v>0</v>
      </c>
      <c r="R534" s="2" t="inlineStr"/>
    </row>
    <row r="535" ht="15" customHeight="1">
      <c r="A535" t="inlineStr">
        <is>
          <t>A 32218-2025</t>
        </is>
      </c>
      <c r="B535" s="1" t="n">
        <v>45835.58880787037</v>
      </c>
      <c r="C535" s="1" t="n">
        <v>45981</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5330-2024</t>
        </is>
      </c>
      <c r="B536" s="1" t="n">
        <v>45331.4187962963</v>
      </c>
      <c r="C536" s="1" t="n">
        <v>45981</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54925-2023</t>
        </is>
      </c>
      <c r="B537" s="1" t="n">
        <v>45229</v>
      </c>
      <c r="C537" s="1" t="n">
        <v>45981</v>
      </c>
      <c r="D537" t="inlineStr">
        <is>
          <t>ÖREBRO LÄN</t>
        </is>
      </c>
      <c r="E537" t="inlineStr">
        <is>
          <t>ÖREBRO</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10830-2023</t>
        </is>
      </c>
      <c r="B538" s="1" t="n">
        <v>44990.89752314815</v>
      </c>
      <c r="C538" s="1" t="n">
        <v>45981</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40522-2024</t>
        </is>
      </c>
      <c r="B539" s="1" t="n">
        <v>45555.59717592593</v>
      </c>
      <c r="C539" s="1" t="n">
        <v>45981</v>
      </c>
      <c r="D539" t="inlineStr">
        <is>
          <t>ÖREBRO LÄN</t>
        </is>
      </c>
      <c r="E539" t="inlineStr">
        <is>
          <t>ÖREBRO</t>
        </is>
      </c>
      <c r="G539" t="n">
        <v>5.1</v>
      </c>
      <c r="H539" t="n">
        <v>0</v>
      </c>
      <c r="I539" t="n">
        <v>0</v>
      </c>
      <c r="J539" t="n">
        <v>0</v>
      </c>
      <c r="K539" t="n">
        <v>0</v>
      </c>
      <c r="L539" t="n">
        <v>0</v>
      </c>
      <c r="M539" t="n">
        <v>0</v>
      </c>
      <c r="N539" t="n">
        <v>0</v>
      </c>
      <c r="O539" t="n">
        <v>0</v>
      </c>
      <c r="P539" t="n">
        <v>0</v>
      </c>
      <c r="Q539" t="n">
        <v>0</v>
      </c>
      <c r="R539" s="2" t="inlineStr"/>
    </row>
    <row r="540" ht="15" customHeight="1">
      <c r="A540" t="inlineStr">
        <is>
          <t>A 9585-2025</t>
        </is>
      </c>
      <c r="B540" s="1" t="n">
        <v>45715.63409722222</v>
      </c>
      <c r="C540" s="1" t="n">
        <v>45981</v>
      </c>
      <c r="D540" t="inlineStr">
        <is>
          <t>ÖREBRO LÄN</t>
        </is>
      </c>
      <c r="E540" t="inlineStr">
        <is>
          <t>ÖREBRO</t>
        </is>
      </c>
      <c r="G540" t="n">
        <v>3.4</v>
      </c>
      <c r="H540" t="n">
        <v>0</v>
      </c>
      <c r="I540" t="n">
        <v>0</v>
      </c>
      <c r="J540" t="n">
        <v>0</v>
      </c>
      <c r="K540" t="n">
        <v>0</v>
      </c>
      <c r="L540" t="n">
        <v>0</v>
      </c>
      <c r="M540" t="n">
        <v>0</v>
      </c>
      <c r="N540" t="n">
        <v>0</v>
      </c>
      <c r="O540" t="n">
        <v>0</v>
      </c>
      <c r="P540" t="n">
        <v>0</v>
      </c>
      <c r="Q540" t="n">
        <v>0</v>
      </c>
      <c r="R540" s="2" t="inlineStr"/>
    </row>
    <row r="541" ht="15" customHeight="1">
      <c r="A541" t="inlineStr">
        <is>
          <t>A 5125-2024</t>
        </is>
      </c>
      <c r="B541" s="1" t="n">
        <v>45330</v>
      </c>
      <c r="C541" s="1" t="n">
        <v>45981</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42138-2024</t>
        </is>
      </c>
      <c r="B542" s="1" t="n">
        <v>45562.41854166667</v>
      </c>
      <c r="C542" s="1" t="n">
        <v>45981</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45981</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32904-2025</t>
        </is>
      </c>
      <c r="B544" s="1" t="n">
        <v>45839</v>
      </c>
      <c r="C544" s="1" t="n">
        <v>45981</v>
      </c>
      <c r="D544" t="inlineStr">
        <is>
          <t>ÖREBRO LÄN</t>
        </is>
      </c>
      <c r="E544" t="inlineStr">
        <is>
          <t>ÖREBRO</t>
        </is>
      </c>
      <c r="G544" t="n">
        <v>0.6</v>
      </c>
      <c r="H544" t="n">
        <v>0</v>
      </c>
      <c r="I544" t="n">
        <v>0</v>
      </c>
      <c r="J544" t="n">
        <v>0</v>
      </c>
      <c r="K544" t="n">
        <v>0</v>
      </c>
      <c r="L544" t="n">
        <v>0</v>
      </c>
      <c r="M544" t="n">
        <v>0</v>
      </c>
      <c r="N544" t="n">
        <v>0</v>
      </c>
      <c r="O544" t="n">
        <v>0</v>
      </c>
      <c r="P544" t="n">
        <v>0</v>
      </c>
      <c r="Q544" t="n">
        <v>0</v>
      </c>
      <c r="R544" s="2" t="inlineStr"/>
    </row>
    <row r="545" ht="15" customHeight="1">
      <c r="A545" t="inlineStr">
        <is>
          <t>A 2095-2025</t>
        </is>
      </c>
      <c r="B545" s="1" t="n">
        <v>45672</v>
      </c>
      <c r="C545" s="1" t="n">
        <v>45981</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49029-2024</t>
        </is>
      </c>
      <c r="B546" s="1" t="n">
        <v>45594</v>
      </c>
      <c r="C546" s="1" t="n">
        <v>45981</v>
      </c>
      <c r="D546" t="inlineStr">
        <is>
          <t>ÖREBRO LÄN</t>
        </is>
      </c>
      <c r="E546" t="inlineStr">
        <is>
          <t>ÖREBRO</t>
        </is>
      </c>
      <c r="G546" t="n">
        <v>3.7</v>
      </c>
      <c r="H546" t="n">
        <v>0</v>
      </c>
      <c r="I546" t="n">
        <v>0</v>
      </c>
      <c r="J546" t="n">
        <v>0</v>
      </c>
      <c r="K546" t="n">
        <v>0</v>
      </c>
      <c r="L546" t="n">
        <v>0</v>
      </c>
      <c r="M546" t="n">
        <v>0</v>
      </c>
      <c r="N546" t="n">
        <v>0</v>
      </c>
      <c r="O546" t="n">
        <v>0</v>
      </c>
      <c r="P546" t="n">
        <v>0</v>
      </c>
      <c r="Q546" t="n">
        <v>0</v>
      </c>
      <c r="R546" s="2" t="inlineStr"/>
    </row>
    <row r="547" ht="15" customHeight="1">
      <c r="A547" t="inlineStr">
        <is>
          <t>A 49062-2023</t>
        </is>
      </c>
      <c r="B547" s="1" t="n">
        <v>45210.35119212963</v>
      </c>
      <c r="C547" s="1" t="n">
        <v>45981</v>
      </c>
      <c r="D547" t="inlineStr">
        <is>
          <t>ÖREBRO LÄN</t>
        </is>
      </c>
      <c r="E547" t="inlineStr">
        <is>
          <t>ÖREBRO</t>
        </is>
      </c>
      <c r="G547" t="n">
        <v>1.6</v>
      </c>
      <c r="H547" t="n">
        <v>0</v>
      </c>
      <c r="I547" t="n">
        <v>0</v>
      </c>
      <c r="J547" t="n">
        <v>0</v>
      </c>
      <c r="K547" t="n">
        <v>0</v>
      </c>
      <c r="L547" t="n">
        <v>0</v>
      </c>
      <c r="M547" t="n">
        <v>0</v>
      </c>
      <c r="N547" t="n">
        <v>0</v>
      </c>
      <c r="O547" t="n">
        <v>0</v>
      </c>
      <c r="P547" t="n">
        <v>0</v>
      </c>
      <c r="Q547" t="n">
        <v>0</v>
      </c>
      <c r="R547" s="2" t="inlineStr"/>
    </row>
    <row r="548" ht="15" customHeight="1">
      <c r="A548" t="inlineStr">
        <is>
          <t>A 71206-2021</t>
        </is>
      </c>
      <c r="B548" s="1" t="n">
        <v>44539</v>
      </c>
      <c r="C548" s="1" t="n">
        <v>45981</v>
      </c>
      <c r="D548" t="inlineStr">
        <is>
          <t>ÖREBRO LÄN</t>
        </is>
      </c>
      <c r="E548" t="inlineStr">
        <is>
          <t>ÖREBRO</t>
        </is>
      </c>
      <c r="G548" t="n">
        <v>2.5</v>
      </c>
      <c r="H548" t="n">
        <v>0</v>
      </c>
      <c r="I548" t="n">
        <v>0</v>
      </c>
      <c r="J548" t="n">
        <v>0</v>
      </c>
      <c r="K548" t="n">
        <v>0</v>
      </c>
      <c r="L548" t="n">
        <v>0</v>
      </c>
      <c r="M548" t="n">
        <v>0</v>
      </c>
      <c r="N548" t="n">
        <v>0</v>
      </c>
      <c r="O548" t="n">
        <v>0</v>
      </c>
      <c r="P548" t="n">
        <v>0</v>
      </c>
      <c r="Q548" t="n">
        <v>0</v>
      </c>
      <c r="R548" s="2" t="inlineStr"/>
    </row>
    <row r="549" ht="15" customHeight="1">
      <c r="A549" t="inlineStr">
        <is>
          <t>A 48140-2024</t>
        </is>
      </c>
      <c r="B549" s="1" t="n">
        <v>45589.66474537037</v>
      </c>
      <c r="C549" s="1" t="n">
        <v>45981</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41703-2024</t>
        </is>
      </c>
      <c r="B550" s="1" t="n">
        <v>45560</v>
      </c>
      <c r="C550" s="1" t="n">
        <v>45981</v>
      </c>
      <c r="D550" t="inlineStr">
        <is>
          <t>ÖREBRO LÄN</t>
        </is>
      </c>
      <c r="E550" t="inlineStr">
        <is>
          <t>ÖREBRO</t>
        </is>
      </c>
      <c r="G550" t="n">
        <v>6.4</v>
      </c>
      <c r="H550" t="n">
        <v>0</v>
      </c>
      <c r="I550" t="n">
        <v>0</v>
      </c>
      <c r="J550" t="n">
        <v>0</v>
      </c>
      <c r="K550" t="n">
        <v>0</v>
      </c>
      <c r="L550" t="n">
        <v>0</v>
      </c>
      <c r="M550" t="n">
        <v>0</v>
      </c>
      <c r="N550" t="n">
        <v>0</v>
      </c>
      <c r="O550" t="n">
        <v>0</v>
      </c>
      <c r="P550" t="n">
        <v>0</v>
      </c>
      <c r="Q550" t="n">
        <v>0</v>
      </c>
      <c r="R550" s="2" t="inlineStr"/>
    </row>
    <row r="551" ht="15" customHeight="1">
      <c r="A551" t="inlineStr">
        <is>
          <t>A 35829-2024</t>
        </is>
      </c>
      <c r="B551" s="1" t="n">
        <v>45532</v>
      </c>
      <c r="C551" s="1" t="n">
        <v>45981</v>
      </c>
      <c r="D551" t="inlineStr">
        <is>
          <t>ÖREBRO LÄN</t>
        </is>
      </c>
      <c r="E551" t="inlineStr">
        <is>
          <t>ÖREBRO</t>
        </is>
      </c>
      <c r="G551" t="n">
        <v>4.6</v>
      </c>
      <c r="H551" t="n">
        <v>0</v>
      </c>
      <c r="I551" t="n">
        <v>0</v>
      </c>
      <c r="J551" t="n">
        <v>0</v>
      </c>
      <c r="K551" t="n">
        <v>0</v>
      </c>
      <c r="L551" t="n">
        <v>0</v>
      </c>
      <c r="M551" t="n">
        <v>0</v>
      </c>
      <c r="N551" t="n">
        <v>0</v>
      </c>
      <c r="O551" t="n">
        <v>0</v>
      </c>
      <c r="P551" t="n">
        <v>0</v>
      </c>
      <c r="Q551" t="n">
        <v>0</v>
      </c>
      <c r="R551" s="2" t="inlineStr"/>
    </row>
    <row r="552" ht="15" customHeight="1">
      <c r="A552" t="inlineStr">
        <is>
          <t>A 32426-2025</t>
        </is>
      </c>
      <c r="B552" s="1" t="n">
        <v>45838.36179398148</v>
      </c>
      <c r="C552" s="1" t="n">
        <v>45981</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13181-2023</t>
        </is>
      </c>
      <c r="B553" s="1" t="n">
        <v>45002.60659722222</v>
      </c>
      <c r="C553" s="1" t="n">
        <v>45981</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61078-2024</t>
        </is>
      </c>
      <c r="B554" s="1" t="n">
        <v>45645.51034722223</v>
      </c>
      <c r="C554" s="1" t="n">
        <v>45981</v>
      </c>
      <c r="D554" t="inlineStr">
        <is>
          <t>ÖREBRO LÄN</t>
        </is>
      </c>
      <c r="E554" t="inlineStr">
        <is>
          <t>ÖREBRO</t>
        </is>
      </c>
      <c r="G554" t="n">
        <v>4.1</v>
      </c>
      <c r="H554" t="n">
        <v>0</v>
      </c>
      <c r="I554" t="n">
        <v>0</v>
      </c>
      <c r="J554" t="n">
        <v>0</v>
      </c>
      <c r="K554" t="n">
        <v>0</v>
      </c>
      <c r="L554" t="n">
        <v>0</v>
      </c>
      <c r="M554" t="n">
        <v>0</v>
      </c>
      <c r="N554" t="n">
        <v>0</v>
      </c>
      <c r="O554" t="n">
        <v>0</v>
      </c>
      <c r="P554" t="n">
        <v>0</v>
      </c>
      <c r="Q554" t="n">
        <v>0</v>
      </c>
      <c r="R554" s="2" t="inlineStr"/>
    </row>
    <row r="555" ht="15" customHeight="1">
      <c r="A555" t="inlineStr">
        <is>
          <t>A 33191-2025</t>
        </is>
      </c>
      <c r="B555" s="1" t="n">
        <v>45840.6003587963</v>
      </c>
      <c r="C555" s="1" t="n">
        <v>45981</v>
      </c>
      <c r="D555" t="inlineStr">
        <is>
          <t>ÖREBRO LÄN</t>
        </is>
      </c>
      <c r="E555" t="inlineStr">
        <is>
          <t>ÖREBRO</t>
        </is>
      </c>
      <c r="G555" t="n">
        <v>2.6</v>
      </c>
      <c r="H555" t="n">
        <v>0</v>
      </c>
      <c r="I555" t="n">
        <v>0</v>
      </c>
      <c r="J555" t="n">
        <v>0</v>
      </c>
      <c r="K555" t="n">
        <v>0</v>
      </c>
      <c r="L555" t="n">
        <v>0</v>
      </c>
      <c r="M555" t="n">
        <v>0</v>
      </c>
      <c r="N555" t="n">
        <v>0</v>
      </c>
      <c r="O555" t="n">
        <v>0</v>
      </c>
      <c r="P555" t="n">
        <v>0</v>
      </c>
      <c r="Q555" t="n">
        <v>0</v>
      </c>
      <c r="R555" s="2" t="inlineStr"/>
    </row>
    <row r="556" ht="15" customHeight="1">
      <c r="A556" t="inlineStr">
        <is>
          <t>A 62511-2023</t>
        </is>
      </c>
      <c r="B556" s="1" t="n">
        <v>45268.61855324074</v>
      </c>
      <c r="C556" s="1" t="n">
        <v>45981</v>
      </c>
      <c r="D556" t="inlineStr">
        <is>
          <t>ÖREBRO LÄN</t>
        </is>
      </c>
      <c r="E556" t="inlineStr">
        <is>
          <t>ÖREBRO</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33577-2023</t>
        </is>
      </c>
      <c r="B557" s="1" t="n">
        <v>45131</v>
      </c>
      <c r="C557" s="1" t="n">
        <v>45981</v>
      </c>
      <c r="D557" t="inlineStr">
        <is>
          <t>ÖREBRO LÄN</t>
        </is>
      </c>
      <c r="E557" t="inlineStr">
        <is>
          <t>ÖREBRO</t>
        </is>
      </c>
      <c r="G557" t="n">
        <v>2</v>
      </c>
      <c r="H557" t="n">
        <v>0</v>
      </c>
      <c r="I557" t="n">
        <v>0</v>
      </c>
      <c r="J557" t="n">
        <v>0</v>
      </c>
      <c r="K557" t="n">
        <v>0</v>
      </c>
      <c r="L557" t="n">
        <v>0</v>
      </c>
      <c r="M557" t="n">
        <v>0</v>
      </c>
      <c r="N557" t="n">
        <v>0</v>
      </c>
      <c r="O557" t="n">
        <v>0</v>
      </c>
      <c r="P557" t="n">
        <v>0</v>
      </c>
      <c r="Q557" t="n">
        <v>0</v>
      </c>
      <c r="R557" s="2" t="inlineStr"/>
    </row>
    <row r="558" ht="15" customHeight="1">
      <c r="A558" t="inlineStr">
        <is>
          <t>A 38489-2023</t>
        </is>
      </c>
      <c r="B558" s="1" t="n">
        <v>45162</v>
      </c>
      <c r="C558" s="1" t="n">
        <v>45981</v>
      </c>
      <c r="D558" t="inlineStr">
        <is>
          <t>ÖREBRO LÄN</t>
        </is>
      </c>
      <c r="E558" t="inlineStr">
        <is>
          <t>ÖREBRO</t>
        </is>
      </c>
      <c r="G558" t="n">
        <v>1.8</v>
      </c>
      <c r="H558" t="n">
        <v>0</v>
      </c>
      <c r="I558" t="n">
        <v>0</v>
      </c>
      <c r="J558" t="n">
        <v>0</v>
      </c>
      <c r="K558" t="n">
        <v>0</v>
      </c>
      <c r="L558" t="n">
        <v>0</v>
      </c>
      <c r="M558" t="n">
        <v>0</v>
      </c>
      <c r="N558" t="n">
        <v>0</v>
      </c>
      <c r="O558" t="n">
        <v>0</v>
      </c>
      <c r="P558" t="n">
        <v>0</v>
      </c>
      <c r="Q558" t="n">
        <v>0</v>
      </c>
      <c r="R558" s="2" t="inlineStr"/>
    </row>
    <row r="559" ht="15" customHeight="1">
      <c r="A559" t="inlineStr">
        <is>
          <t>A 19763-2024</t>
        </is>
      </c>
      <c r="B559" s="1" t="n">
        <v>45432</v>
      </c>
      <c r="C559" s="1" t="n">
        <v>45981</v>
      </c>
      <c r="D559" t="inlineStr">
        <is>
          <t>ÖREBRO LÄN</t>
        </is>
      </c>
      <c r="E559" t="inlineStr">
        <is>
          <t>ÖREBRO</t>
        </is>
      </c>
      <c r="G559" t="n">
        <v>1.9</v>
      </c>
      <c r="H559" t="n">
        <v>0</v>
      </c>
      <c r="I559" t="n">
        <v>0</v>
      </c>
      <c r="J559" t="n">
        <v>0</v>
      </c>
      <c r="K559" t="n">
        <v>0</v>
      </c>
      <c r="L559" t="n">
        <v>0</v>
      </c>
      <c r="M559" t="n">
        <v>0</v>
      </c>
      <c r="N559" t="n">
        <v>0</v>
      </c>
      <c r="O559" t="n">
        <v>0</v>
      </c>
      <c r="P559" t="n">
        <v>0</v>
      </c>
      <c r="Q559" t="n">
        <v>0</v>
      </c>
      <c r="R559" s="2" t="inlineStr"/>
    </row>
    <row r="560" ht="15" customHeight="1">
      <c r="A560" t="inlineStr">
        <is>
          <t>A 14545-2023</t>
        </is>
      </c>
      <c r="B560" s="1" t="n">
        <v>45013.34895833334</v>
      </c>
      <c r="C560" s="1" t="n">
        <v>45981</v>
      </c>
      <c r="D560" t="inlineStr">
        <is>
          <t>ÖREBRO LÄN</t>
        </is>
      </c>
      <c r="E560" t="inlineStr">
        <is>
          <t>ÖREBRO</t>
        </is>
      </c>
      <c r="G560" t="n">
        <v>2.5</v>
      </c>
      <c r="H560" t="n">
        <v>0</v>
      </c>
      <c r="I560" t="n">
        <v>0</v>
      </c>
      <c r="J560" t="n">
        <v>0</v>
      </c>
      <c r="K560" t="n">
        <v>0</v>
      </c>
      <c r="L560" t="n">
        <v>0</v>
      </c>
      <c r="M560" t="n">
        <v>0</v>
      </c>
      <c r="N560" t="n">
        <v>0</v>
      </c>
      <c r="O560" t="n">
        <v>0</v>
      </c>
      <c r="P560" t="n">
        <v>0</v>
      </c>
      <c r="Q560" t="n">
        <v>0</v>
      </c>
      <c r="R560" s="2" t="inlineStr"/>
    </row>
    <row r="561" ht="15" customHeight="1">
      <c r="A561" t="inlineStr">
        <is>
          <t>A 54917-2023</t>
        </is>
      </c>
      <c r="B561" s="1" t="n">
        <v>45229</v>
      </c>
      <c r="C561" s="1" t="n">
        <v>45981</v>
      </c>
      <c r="D561" t="inlineStr">
        <is>
          <t>ÖREBRO LÄN</t>
        </is>
      </c>
      <c r="E561" t="inlineStr">
        <is>
          <t>ÖREBRO</t>
        </is>
      </c>
      <c r="G561" t="n">
        <v>3.1</v>
      </c>
      <c r="H561" t="n">
        <v>0</v>
      </c>
      <c r="I561" t="n">
        <v>0</v>
      </c>
      <c r="J561" t="n">
        <v>0</v>
      </c>
      <c r="K561" t="n">
        <v>0</v>
      </c>
      <c r="L561" t="n">
        <v>0</v>
      </c>
      <c r="M561" t="n">
        <v>0</v>
      </c>
      <c r="N561" t="n">
        <v>0</v>
      </c>
      <c r="O561" t="n">
        <v>0</v>
      </c>
      <c r="P561" t="n">
        <v>0</v>
      </c>
      <c r="Q561" t="n">
        <v>0</v>
      </c>
      <c r="R561" s="2" t="inlineStr"/>
    </row>
    <row r="562" ht="15" customHeight="1">
      <c r="A562" t="inlineStr">
        <is>
          <t>A 55472-2023</t>
        </is>
      </c>
      <c r="B562" s="1" t="n">
        <v>45238</v>
      </c>
      <c r="C562" s="1" t="n">
        <v>45981</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14432-2023</t>
        </is>
      </c>
      <c r="B563" s="1" t="n">
        <v>45012</v>
      </c>
      <c r="C563" s="1" t="n">
        <v>45981</v>
      </c>
      <c r="D563" t="inlineStr">
        <is>
          <t>ÖREBRO LÄN</t>
        </is>
      </c>
      <c r="E563" t="inlineStr">
        <is>
          <t>ÖREBRO</t>
        </is>
      </c>
      <c r="G563" t="n">
        <v>3.3</v>
      </c>
      <c r="H563" t="n">
        <v>0</v>
      </c>
      <c r="I563" t="n">
        <v>0</v>
      </c>
      <c r="J563" t="n">
        <v>0</v>
      </c>
      <c r="K563" t="n">
        <v>0</v>
      </c>
      <c r="L563" t="n">
        <v>0</v>
      </c>
      <c r="M563" t="n">
        <v>0</v>
      </c>
      <c r="N563" t="n">
        <v>0</v>
      </c>
      <c r="O563" t="n">
        <v>0</v>
      </c>
      <c r="P563" t="n">
        <v>0</v>
      </c>
      <c r="Q563" t="n">
        <v>0</v>
      </c>
      <c r="R563" s="2" t="inlineStr"/>
    </row>
    <row r="564" ht="15" customHeight="1">
      <c r="A564" t="inlineStr">
        <is>
          <t>A 5129-2024</t>
        </is>
      </c>
      <c r="B564" s="1" t="n">
        <v>45330</v>
      </c>
      <c r="C564" s="1" t="n">
        <v>45981</v>
      </c>
      <c r="D564" t="inlineStr">
        <is>
          <t>ÖREBRO LÄN</t>
        </is>
      </c>
      <c r="E564" t="inlineStr">
        <is>
          <t>ÖREBRO</t>
        </is>
      </c>
      <c r="G564" t="n">
        <v>0.5</v>
      </c>
      <c r="H564" t="n">
        <v>0</v>
      </c>
      <c r="I564" t="n">
        <v>0</v>
      </c>
      <c r="J564" t="n">
        <v>0</v>
      </c>
      <c r="K564" t="n">
        <v>0</v>
      </c>
      <c r="L564" t="n">
        <v>0</v>
      </c>
      <c r="M564" t="n">
        <v>0</v>
      </c>
      <c r="N564" t="n">
        <v>0</v>
      </c>
      <c r="O564" t="n">
        <v>0</v>
      </c>
      <c r="P564" t="n">
        <v>0</v>
      </c>
      <c r="Q564" t="n">
        <v>0</v>
      </c>
      <c r="R564" s="2" t="inlineStr"/>
    </row>
    <row r="565" ht="15" customHeight="1">
      <c r="A565" t="inlineStr">
        <is>
          <t>A 3652-2022</t>
        </is>
      </c>
      <c r="B565" s="1" t="n">
        <v>44586.46921296296</v>
      </c>
      <c r="C565" s="1" t="n">
        <v>45981</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37021-2024</t>
        </is>
      </c>
      <c r="B566" s="1" t="n">
        <v>45539.38146990741</v>
      </c>
      <c r="C566" s="1" t="n">
        <v>45981</v>
      </c>
      <c r="D566" t="inlineStr">
        <is>
          <t>ÖREBRO LÄN</t>
        </is>
      </c>
      <c r="E566" t="inlineStr">
        <is>
          <t>ÖREBRO</t>
        </is>
      </c>
      <c r="F566" t="inlineStr">
        <is>
          <t>Sveaskog</t>
        </is>
      </c>
      <c r="G566" t="n">
        <v>1.6</v>
      </c>
      <c r="H566" t="n">
        <v>0</v>
      </c>
      <c r="I566" t="n">
        <v>0</v>
      </c>
      <c r="J566" t="n">
        <v>0</v>
      </c>
      <c r="K566" t="n">
        <v>0</v>
      </c>
      <c r="L566" t="n">
        <v>0</v>
      </c>
      <c r="M566" t="n">
        <v>0</v>
      </c>
      <c r="N566" t="n">
        <v>0</v>
      </c>
      <c r="O566" t="n">
        <v>0</v>
      </c>
      <c r="P566" t="n">
        <v>0</v>
      </c>
      <c r="Q566" t="n">
        <v>0</v>
      </c>
      <c r="R566" s="2" t="inlineStr"/>
    </row>
    <row r="567" ht="15" customHeight="1">
      <c r="A567" t="inlineStr">
        <is>
          <t>A 58486-2024</t>
        </is>
      </c>
      <c r="B567" s="1" t="n">
        <v>45635</v>
      </c>
      <c r="C567" s="1" t="n">
        <v>45981</v>
      </c>
      <c r="D567" t="inlineStr">
        <is>
          <t>ÖREBRO LÄN</t>
        </is>
      </c>
      <c r="E567" t="inlineStr">
        <is>
          <t>ÖREBRO</t>
        </is>
      </c>
      <c r="G567" t="n">
        <v>1.7</v>
      </c>
      <c r="H567" t="n">
        <v>0</v>
      </c>
      <c r="I567" t="n">
        <v>0</v>
      </c>
      <c r="J567" t="n">
        <v>0</v>
      </c>
      <c r="K567" t="n">
        <v>0</v>
      </c>
      <c r="L567" t="n">
        <v>0</v>
      </c>
      <c r="M567" t="n">
        <v>0</v>
      </c>
      <c r="N567" t="n">
        <v>0</v>
      </c>
      <c r="O567" t="n">
        <v>0</v>
      </c>
      <c r="P567" t="n">
        <v>0</v>
      </c>
      <c r="Q567" t="n">
        <v>0</v>
      </c>
      <c r="R567" s="2" t="inlineStr"/>
    </row>
    <row r="568" ht="15" customHeight="1">
      <c r="A568" t="inlineStr">
        <is>
          <t>A 30015-2023</t>
        </is>
      </c>
      <c r="B568" s="1" t="n">
        <v>45109</v>
      </c>
      <c r="C568" s="1" t="n">
        <v>45981</v>
      </c>
      <c r="D568" t="inlineStr">
        <is>
          <t>ÖREBRO LÄN</t>
        </is>
      </c>
      <c r="E568" t="inlineStr">
        <is>
          <t>ÖREBRO</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52499-2024</t>
        </is>
      </c>
      <c r="B569" s="1" t="n">
        <v>45609.58422453704</v>
      </c>
      <c r="C569" s="1" t="n">
        <v>45981</v>
      </c>
      <c r="D569" t="inlineStr">
        <is>
          <t>ÖREBRO LÄN</t>
        </is>
      </c>
      <c r="E569" t="inlineStr">
        <is>
          <t>ÖREBRO</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8374-2021</t>
        </is>
      </c>
      <c r="B570" s="1" t="n">
        <v>44244</v>
      </c>
      <c r="C570" s="1" t="n">
        <v>45981</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1013-2024</t>
        </is>
      </c>
      <c r="B571" s="1" t="n">
        <v>45301</v>
      </c>
      <c r="C571" s="1" t="n">
        <v>45981</v>
      </c>
      <c r="D571" t="inlineStr">
        <is>
          <t>ÖREBRO LÄN</t>
        </is>
      </c>
      <c r="E571" t="inlineStr">
        <is>
          <t>ÖREBRO</t>
        </is>
      </c>
      <c r="G571" t="n">
        <v>2.6</v>
      </c>
      <c r="H571" t="n">
        <v>0</v>
      </c>
      <c r="I571" t="n">
        <v>0</v>
      </c>
      <c r="J571" t="n">
        <v>0</v>
      </c>
      <c r="K571" t="n">
        <v>0</v>
      </c>
      <c r="L571" t="n">
        <v>0</v>
      </c>
      <c r="M571" t="n">
        <v>0</v>
      </c>
      <c r="N571" t="n">
        <v>0</v>
      </c>
      <c r="O571" t="n">
        <v>0</v>
      </c>
      <c r="P571" t="n">
        <v>0</v>
      </c>
      <c r="Q571" t="n">
        <v>0</v>
      </c>
      <c r="R571" s="2" t="inlineStr"/>
    </row>
    <row r="572" ht="15" customHeight="1">
      <c r="A572" t="inlineStr">
        <is>
          <t>A 14960-2025</t>
        </is>
      </c>
      <c r="B572" s="1" t="n">
        <v>45743.5853125</v>
      </c>
      <c r="C572" s="1" t="n">
        <v>45981</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13623-2024</t>
        </is>
      </c>
      <c r="B573" s="1" t="n">
        <v>45390.38626157407</v>
      </c>
      <c r="C573" s="1" t="n">
        <v>45981</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8512-2025</t>
        </is>
      </c>
      <c r="B574" s="1" t="n">
        <v>45709.54873842592</v>
      </c>
      <c r="C574" s="1" t="n">
        <v>45981</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14715-2024</t>
        </is>
      </c>
      <c r="B575" s="1" t="n">
        <v>45397.5500462963</v>
      </c>
      <c r="C575" s="1" t="n">
        <v>45981</v>
      </c>
      <c r="D575" t="inlineStr">
        <is>
          <t>ÖREBRO LÄN</t>
        </is>
      </c>
      <c r="E575" t="inlineStr">
        <is>
          <t>ÖREBRO</t>
        </is>
      </c>
      <c r="G575" t="n">
        <v>1.2</v>
      </c>
      <c r="H575" t="n">
        <v>0</v>
      </c>
      <c r="I575" t="n">
        <v>0</v>
      </c>
      <c r="J575" t="n">
        <v>0</v>
      </c>
      <c r="K575" t="n">
        <v>0</v>
      </c>
      <c r="L575" t="n">
        <v>0</v>
      </c>
      <c r="M575" t="n">
        <v>0</v>
      </c>
      <c r="N575" t="n">
        <v>0</v>
      </c>
      <c r="O575" t="n">
        <v>0</v>
      </c>
      <c r="P575" t="n">
        <v>0</v>
      </c>
      <c r="Q575" t="n">
        <v>0</v>
      </c>
      <c r="R575" s="2" t="inlineStr"/>
    </row>
    <row r="576" ht="15" customHeight="1">
      <c r="A576" t="inlineStr">
        <is>
          <t>A 58145-2024</t>
        </is>
      </c>
      <c r="B576" s="1" t="n">
        <v>45632.43230324074</v>
      </c>
      <c r="C576" s="1" t="n">
        <v>45981</v>
      </c>
      <c r="D576" t="inlineStr">
        <is>
          <t>ÖREBRO LÄN</t>
        </is>
      </c>
      <c r="E576" t="inlineStr">
        <is>
          <t>ÖREBRO</t>
        </is>
      </c>
      <c r="G576" t="n">
        <v>2.1</v>
      </c>
      <c r="H576" t="n">
        <v>0</v>
      </c>
      <c r="I576" t="n">
        <v>0</v>
      </c>
      <c r="J576" t="n">
        <v>0</v>
      </c>
      <c r="K576" t="n">
        <v>0</v>
      </c>
      <c r="L576" t="n">
        <v>0</v>
      </c>
      <c r="M576" t="n">
        <v>0</v>
      </c>
      <c r="N576" t="n">
        <v>0</v>
      </c>
      <c r="O576" t="n">
        <v>0</v>
      </c>
      <c r="P576" t="n">
        <v>0</v>
      </c>
      <c r="Q576" t="n">
        <v>0</v>
      </c>
      <c r="R576" s="2" t="inlineStr"/>
    </row>
    <row r="577" ht="15" customHeight="1">
      <c r="A577" t="inlineStr">
        <is>
          <t>A 48687-2024</t>
        </is>
      </c>
      <c r="B577" s="1" t="n">
        <v>45593.49899305555</v>
      </c>
      <c r="C577" s="1" t="n">
        <v>45981</v>
      </c>
      <c r="D577" t="inlineStr">
        <is>
          <t>ÖREBRO LÄN</t>
        </is>
      </c>
      <c r="E577" t="inlineStr">
        <is>
          <t>ÖREBRO</t>
        </is>
      </c>
      <c r="F577" t="inlineStr">
        <is>
          <t>Övriga Aktiebolag</t>
        </is>
      </c>
      <c r="G577" t="n">
        <v>3.8</v>
      </c>
      <c r="H577" t="n">
        <v>0</v>
      </c>
      <c r="I577" t="n">
        <v>0</v>
      </c>
      <c r="J577" t="n">
        <v>0</v>
      </c>
      <c r="K577" t="n">
        <v>0</v>
      </c>
      <c r="L577" t="n">
        <v>0</v>
      </c>
      <c r="M577" t="n">
        <v>0</v>
      </c>
      <c r="N577" t="n">
        <v>0</v>
      </c>
      <c r="O577" t="n">
        <v>0</v>
      </c>
      <c r="P577" t="n">
        <v>0</v>
      </c>
      <c r="Q577" t="n">
        <v>0</v>
      </c>
      <c r="R577" s="2" t="inlineStr"/>
    </row>
    <row r="578" ht="15" customHeight="1">
      <c r="A578" t="inlineStr">
        <is>
          <t>A 16300-2022</t>
        </is>
      </c>
      <c r="B578" s="1" t="n">
        <v>44670</v>
      </c>
      <c r="C578" s="1" t="n">
        <v>45981</v>
      </c>
      <c r="D578" t="inlineStr">
        <is>
          <t>ÖREBRO LÄN</t>
        </is>
      </c>
      <c r="E578" t="inlineStr">
        <is>
          <t>ÖREBRO</t>
        </is>
      </c>
      <c r="G578" t="n">
        <v>0.8</v>
      </c>
      <c r="H578" t="n">
        <v>0</v>
      </c>
      <c r="I578" t="n">
        <v>0</v>
      </c>
      <c r="J578" t="n">
        <v>0</v>
      </c>
      <c r="K578" t="n">
        <v>0</v>
      </c>
      <c r="L578" t="n">
        <v>0</v>
      </c>
      <c r="M578" t="n">
        <v>0</v>
      </c>
      <c r="N578" t="n">
        <v>0</v>
      </c>
      <c r="O578" t="n">
        <v>0</v>
      </c>
      <c r="P578" t="n">
        <v>0</v>
      </c>
      <c r="Q578" t="n">
        <v>0</v>
      </c>
      <c r="R578" s="2" t="inlineStr"/>
    </row>
    <row r="579" ht="15" customHeight="1">
      <c r="A579" t="inlineStr">
        <is>
          <t>A 18181-2024</t>
        </is>
      </c>
      <c r="B579" s="1" t="n">
        <v>45420.64561342593</v>
      </c>
      <c r="C579" s="1" t="n">
        <v>45981</v>
      </c>
      <c r="D579" t="inlineStr">
        <is>
          <t>ÖREBRO LÄN</t>
        </is>
      </c>
      <c r="E579" t="inlineStr">
        <is>
          <t>ÖREBRO</t>
        </is>
      </c>
      <c r="G579" t="n">
        <v>7.6</v>
      </c>
      <c r="H579" t="n">
        <v>0</v>
      </c>
      <c r="I579" t="n">
        <v>0</v>
      </c>
      <c r="J579" t="n">
        <v>0</v>
      </c>
      <c r="K579" t="n">
        <v>0</v>
      </c>
      <c r="L579" t="n">
        <v>0</v>
      </c>
      <c r="M579" t="n">
        <v>0</v>
      </c>
      <c r="N579" t="n">
        <v>0</v>
      </c>
      <c r="O579" t="n">
        <v>0</v>
      </c>
      <c r="P579" t="n">
        <v>0</v>
      </c>
      <c r="Q579" t="n">
        <v>0</v>
      </c>
      <c r="R579" s="2" t="inlineStr"/>
    </row>
    <row r="580" ht="15" customHeight="1">
      <c r="A580" t="inlineStr">
        <is>
          <t>A 70707-2021</t>
        </is>
      </c>
      <c r="B580" s="1" t="n">
        <v>44537</v>
      </c>
      <c r="C580" s="1" t="n">
        <v>45981</v>
      </c>
      <c r="D580" t="inlineStr">
        <is>
          <t>ÖREBRO LÄN</t>
        </is>
      </c>
      <c r="E580" t="inlineStr">
        <is>
          <t>ÖREBRO</t>
        </is>
      </c>
      <c r="G580" t="n">
        <v>13.2</v>
      </c>
      <c r="H580" t="n">
        <v>0</v>
      </c>
      <c r="I580" t="n">
        <v>0</v>
      </c>
      <c r="J580" t="n">
        <v>0</v>
      </c>
      <c r="K580" t="n">
        <v>0</v>
      </c>
      <c r="L580" t="n">
        <v>0</v>
      </c>
      <c r="M580" t="n">
        <v>0</v>
      </c>
      <c r="N580" t="n">
        <v>0</v>
      </c>
      <c r="O580" t="n">
        <v>0</v>
      </c>
      <c r="P580" t="n">
        <v>0</v>
      </c>
      <c r="Q580" t="n">
        <v>0</v>
      </c>
      <c r="R580" s="2" t="inlineStr"/>
    </row>
    <row r="581" ht="15" customHeight="1">
      <c r="A581" t="inlineStr">
        <is>
          <t>A 60100-2022</t>
        </is>
      </c>
      <c r="B581" s="1" t="n">
        <v>44902</v>
      </c>
      <c r="C581" s="1" t="n">
        <v>45981</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2152-2023</t>
        </is>
      </c>
      <c r="B582" s="1" t="n">
        <v>44941.55056712963</v>
      </c>
      <c r="C582" s="1" t="n">
        <v>45981</v>
      </c>
      <c r="D582" t="inlineStr">
        <is>
          <t>ÖREBRO LÄN</t>
        </is>
      </c>
      <c r="E582" t="inlineStr">
        <is>
          <t>ÖREBRO</t>
        </is>
      </c>
      <c r="G582" t="n">
        <v>8</v>
      </c>
      <c r="H582" t="n">
        <v>0</v>
      </c>
      <c r="I582" t="n">
        <v>0</v>
      </c>
      <c r="J582" t="n">
        <v>0</v>
      </c>
      <c r="K582" t="n">
        <v>0</v>
      </c>
      <c r="L582" t="n">
        <v>0</v>
      </c>
      <c r="M582" t="n">
        <v>0</v>
      </c>
      <c r="N582" t="n">
        <v>0</v>
      </c>
      <c r="O582" t="n">
        <v>0</v>
      </c>
      <c r="P582" t="n">
        <v>0</v>
      </c>
      <c r="Q582" t="n">
        <v>0</v>
      </c>
      <c r="R582" s="2" t="inlineStr"/>
    </row>
    <row r="583" ht="15" customHeight="1">
      <c r="A583" t="inlineStr">
        <is>
          <t>A 8656-2025</t>
        </is>
      </c>
      <c r="B583" s="1" t="n">
        <v>45712.38268518518</v>
      </c>
      <c r="C583" s="1" t="n">
        <v>45981</v>
      </c>
      <c r="D583" t="inlineStr">
        <is>
          <t>ÖREBRO LÄN</t>
        </is>
      </c>
      <c r="E583" t="inlineStr">
        <is>
          <t>ÖREBRO</t>
        </is>
      </c>
      <c r="G583" t="n">
        <v>2.7</v>
      </c>
      <c r="H583" t="n">
        <v>0</v>
      </c>
      <c r="I583" t="n">
        <v>0</v>
      </c>
      <c r="J583" t="n">
        <v>0</v>
      </c>
      <c r="K583" t="n">
        <v>0</v>
      </c>
      <c r="L583" t="n">
        <v>0</v>
      </c>
      <c r="M583" t="n">
        <v>0</v>
      </c>
      <c r="N583" t="n">
        <v>0</v>
      </c>
      <c r="O583" t="n">
        <v>0</v>
      </c>
      <c r="P583" t="n">
        <v>0</v>
      </c>
      <c r="Q583" t="n">
        <v>0</v>
      </c>
      <c r="R583" s="2" t="inlineStr"/>
    </row>
    <row r="584" ht="15" customHeight="1">
      <c r="A584" t="inlineStr">
        <is>
          <t>A 55353-2024</t>
        </is>
      </c>
      <c r="B584" s="1" t="n">
        <v>45621.79526620371</v>
      </c>
      <c r="C584" s="1" t="n">
        <v>45981</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55357-2024</t>
        </is>
      </c>
      <c r="B585" s="1" t="n">
        <v>45621.81126157408</v>
      </c>
      <c r="C585" s="1" t="n">
        <v>45981</v>
      </c>
      <c r="D585" t="inlineStr">
        <is>
          <t>ÖREBRO LÄN</t>
        </is>
      </c>
      <c r="E585" t="inlineStr">
        <is>
          <t>ÖREBRO</t>
        </is>
      </c>
      <c r="G585" t="n">
        <v>0.6</v>
      </c>
      <c r="H585" t="n">
        <v>0</v>
      </c>
      <c r="I585" t="n">
        <v>0</v>
      </c>
      <c r="J585" t="n">
        <v>0</v>
      </c>
      <c r="K585" t="n">
        <v>0</v>
      </c>
      <c r="L585" t="n">
        <v>0</v>
      </c>
      <c r="M585" t="n">
        <v>0</v>
      </c>
      <c r="N585" t="n">
        <v>0</v>
      </c>
      <c r="O585" t="n">
        <v>0</v>
      </c>
      <c r="P585" t="n">
        <v>0</v>
      </c>
      <c r="Q585" t="n">
        <v>0</v>
      </c>
      <c r="R585" s="2" t="inlineStr"/>
    </row>
    <row r="586" ht="15" customHeight="1">
      <c r="A586" t="inlineStr">
        <is>
          <t>A 42623-2022</t>
        </is>
      </c>
      <c r="B586" s="1" t="n">
        <v>44831</v>
      </c>
      <c r="C586" s="1" t="n">
        <v>45981</v>
      </c>
      <c r="D586" t="inlineStr">
        <is>
          <t>ÖREBRO LÄN</t>
        </is>
      </c>
      <c r="E586" t="inlineStr">
        <is>
          <t>ÖREBRO</t>
        </is>
      </c>
      <c r="G586" t="n">
        <v>3.6</v>
      </c>
      <c r="H586" t="n">
        <v>0</v>
      </c>
      <c r="I586" t="n">
        <v>0</v>
      </c>
      <c r="J586" t="n">
        <v>0</v>
      </c>
      <c r="K586" t="n">
        <v>0</v>
      </c>
      <c r="L586" t="n">
        <v>0</v>
      </c>
      <c r="M586" t="n">
        <v>0</v>
      </c>
      <c r="N586" t="n">
        <v>0</v>
      </c>
      <c r="O586" t="n">
        <v>0</v>
      </c>
      <c r="P586" t="n">
        <v>0</v>
      </c>
      <c r="Q586" t="n">
        <v>0</v>
      </c>
      <c r="R586" s="2" t="inlineStr"/>
    </row>
    <row r="587" ht="15" customHeight="1">
      <c r="A587" t="inlineStr">
        <is>
          <t>A 72329-2021</t>
        </is>
      </c>
      <c r="B587" s="1" t="n">
        <v>44545.46072916667</v>
      </c>
      <c r="C587" s="1" t="n">
        <v>45981</v>
      </c>
      <c r="D587" t="inlineStr">
        <is>
          <t>ÖREBRO LÄN</t>
        </is>
      </c>
      <c r="E587" t="inlineStr">
        <is>
          <t>ÖREBRO</t>
        </is>
      </c>
      <c r="G587" t="n">
        <v>0.5</v>
      </c>
      <c r="H587" t="n">
        <v>0</v>
      </c>
      <c r="I587" t="n">
        <v>0</v>
      </c>
      <c r="J587" t="n">
        <v>0</v>
      </c>
      <c r="K587" t="n">
        <v>0</v>
      </c>
      <c r="L587" t="n">
        <v>0</v>
      </c>
      <c r="M587" t="n">
        <v>0</v>
      </c>
      <c r="N587" t="n">
        <v>0</v>
      </c>
      <c r="O587" t="n">
        <v>0</v>
      </c>
      <c r="P587" t="n">
        <v>0</v>
      </c>
      <c r="Q587" t="n">
        <v>0</v>
      </c>
      <c r="R587" s="2" t="inlineStr"/>
    </row>
    <row r="588" ht="15" customHeight="1">
      <c r="A588" t="inlineStr">
        <is>
          <t>A 35062-2025</t>
        </is>
      </c>
      <c r="B588" s="1" t="n">
        <v>45852</v>
      </c>
      <c r="C588" s="1" t="n">
        <v>45981</v>
      </c>
      <c r="D588" t="inlineStr">
        <is>
          <t>ÖREBRO LÄN</t>
        </is>
      </c>
      <c r="E588" t="inlineStr">
        <is>
          <t>ÖREBRO</t>
        </is>
      </c>
      <c r="G588" t="n">
        <v>2.8</v>
      </c>
      <c r="H588" t="n">
        <v>0</v>
      </c>
      <c r="I588" t="n">
        <v>0</v>
      </c>
      <c r="J588" t="n">
        <v>0</v>
      </c>
      <c r="K588" t="n">
        <v>0</v>
      </c>
      <c r="L588" t="n">
        <v>0</v>
      </c>
      <c r="M588" t="n">
        <v>0</v>
      </c>
      <c r="N588" t="n">
        <v>0</v>
      </c>
      <c r="O588" t="n">
        <v>0</v>
      </c>
      <c r="P588" t="n">
        <v>0</v>
      </c>
      <c r="Q588" t="n">
        <v>0</v>
      </c>
      <c r="R588" s="2" t="inlineStr"/>
    </row>
    <row r="589" ht="15" customHeight="1">
      <c r="A589" t="inlineStr">
        <is>
          <t>A 4344-2025</t>
        </is>
      </c>
      <c r="B589" s="1" t="n">
        <v>45685</v>
      </c>
      <c r="C589" s="1" t="n">
        <v>45981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28821-2025</t>
        </is>
      </c>
      <c r="B590" s="1" t="n">
        <v>45820</v>
      </c>
      <c r="C590" s="1" t="n">
        <v>45981</v>
      </c>
      <c r="D590" t="inlineStr">
        <is>
          <t>ÖREBRO LÄN</t>
        </is>
      </c>
      <c r="E590" t="inlineStr">
        <is>
          <t>ÖREBRO</t>
        </is>
      </c>
      <c r="G590" t="n">
        <v>12.6</v>
      </c>
      <c r="H590" t="n">
        <v>0</v>
      </c>
      <c r="I590" t="n">
        <v>0</v>
      </c>
      <c r="J590" t="n">
        <v>0</v>
      </c>
      <c r="K590" t="n">
        <v>0</v>
      </c>
      <c r="L590" t="n">
        <v>0</v>
      </c>
      <c r="M590" t="n">
        <v>0</v>
      </c>
      <c r="N590" t="n">
        <v>0</v>
      </c>
      <c r="O590" t="n">
        <v>0</v>
      </c>
      <c r="P590" t="n">
        <v>0</v>
      </c>
      <c r="Q590" t="n">
        <v>0</v>
      </c>
      <c r="R590" s="2" t="inlineStr"/>
    </row>
    <row r="591" ht="15" customHeight="1">
      <c r="A591" t="inlineStr">
        <is>
          <t>A 35637-2025</t>
        </is>
      </c>
      <c r="B591" s="1" t="n">
        <v>45859.46859953704</v>
      </c>
      <c r="C591" s="1" t="n">
        <v>45981</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55355-2024</t>
        </is>
      </c>
      <c r="B592" s="1" t="n">
        <v>45621.80475694445</v>
      </c>
      <c r="C592" s="1" t="n">
        <v>45981</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35928-2025</t>
        </is>
      </c>
      <c r="B593" s="1" t="n">
        <v>45862</v>
      </c>
      <c r="C593" s="1" t="n">
        <v>45981</v>
      </c>
      <c r="D593" t="inlineStr">
        <is>
          <t>ÖREBRO LÄN</t>
        </is>
      </c>
      <c r="E593" t="inlineStr">
        <is>
          <t>ÖREBRO</t>
        </is>
      </c>
      <c r="G593" t="n">
        <v>4.4</v>
      </c>
      <c r="H593" t="n">
        <v>0</v>
      </c>
      <c r="I593" t="n">
        <v>0</v>
      </c>
      <c r="J593" t="n">
        <v>0</v>
      </c>
      <c r="K593" t="n">
        <v>0</v>
      </c>
      <c r="L593" t="n">
        <v>0</v>
      </c>
      <c r="M593" t="n">
        <v>0</v>
      </c>
      <c r="N593" t="n">
        <v>0</v>
      </c>
      <c r="O593" t="n">
        <v>0</v>
      </c>
      <c r="P593" t="n">
        <v>0</v>
      </c>
      <c r="Q593" t="n">
        <v>0</v>
      </c>
      <c r="R593" s="2" t="inlineStr"/>
    </row>
    <row r="594" ht="15" customHeight="1">
      <c r="A594" t="inlineStr">
        <is>
          <t>A 32025-2024</t>
        </is>
      </c>
      <c r="B594" s="1" t="n">
        <v>45510.65754629629</v>
      </c>
      <c r="C594" s="1" t="n">
        <v>45981</v>
      </c>
      <c r="D594" t="inlineStr">
        <is>
          <t>ÖREBRO LÄN</t>
        </is>
      </c>
      <c r="E594" t="inlineStr">
        <is>
          <t>ÖREBRO</t>
        </is>
      </c>
      <c r="G594" t="n">
        <v>4</v>
      </c>
      <c r="H594" t="n">
        <v>0</v>
      </c>
      <c r="I594" t="n">
        <v>0</v>
      </c>
      <c r="J594" t="n">
        <v>0</v>
      </c>
      <c r="K594" t="n">
        <v>0</v>
      </c>
      <c r="L594" t="n">
        <v>0</v>
      </c>
      <c r="M594" t="n">
        <v>0</v>
      </c>
      <c r="N594" t="n">
        <v>0</v>
      </c>
      <c r="O594" t="n">
        <v>0</v>
      </c>
      <c r="P594" t="n">
        <v>0</v>
      </c>
      <c r="Q594" t="n">
        <v>0</v>
      </c>
      <c r="R594" s="2" t="inlineStr"/>
    </row>
    <row r="595" ht="15" customHeight="1">
      <c r="A595" t="inlineStr">
        <is>
          <t>A 55453-2024</t>
        </is>
      </c>
      <c r="B595" s="1" t="n">
        <v>45622.42097222222</v>
      </c>
      <c r="C595" s="1" t="n">
        <v>45981</v>
      </c>
      <c r="D595" t="inlineStr">
        <is>
          <t>ÖREBRO LÄN</t>
        </is>
      </c>
      <c r="E595" t="inlineStr">
        <is>
          <t>ÖREBRO</t>
        </is>
      </c>
      <c r="G595" t="n">
        <v>8.5</v>
      </c>
      <c r="H595" t="n">
        <v>0</v>
      </c>
      <c r="I595" t="n">
        <v>0</v>
      </c>
      <c r="J595" t="n">
        <v>0</v>
      </c>
      <c r="K595" t="n">
        <v>0</v>
      </c>
      <c r="L595" t="n">
        <v>0</v>
      </c>
      <c r="M595" t="n">
        <v>0</v>
      </c>
      <c r="N595" t="n">
        <v>0</v>
      </c>
      <c r="O595" t="n">
        <v>0</v>
      </c>
      <c r="P595" t="n">
        <v>0</v>
      </c>
      <c r="Q595" t="n">
        <v>0</v>
      </c>
      <c r="R595" s="2" t="inlineStr"/>
    </row>
    <row r="596" ht="15" customHeight="1">
      <c r="A596" t="inlineStr">
        <is>
          <t>A 36448-2025</t>
        </is>
      </c>
      <c r="B596" s="1" t="n">
        <v>45869.41929398148</v>
      </c>
      <c r="C596" s="1" t="n">
        <v>45981</v>
      </c>
      <c r="D596" t="inlineStr">
        <is>
          <t>ÖREBRO LÄN</t>
        </is>
      </c>
      <c r="E596" t="inlineStr">
        <is>
          <t>ÖREBRO</t>
        </is>
      </c>
      <c r="F596" t="inlineStr">
        <is>
          <t>Övriga Aktiebolag</t>
        </is>
      </c>
      <c r="G596" t="n">
        <v>4.3</v>
      </c>
      <c r="H596" t="n">
        <v>0</v>
      </c>
      <c r="I596" t="n">
        <v>0</v>
      </c>
      <c r="J596" t="n">
        <v>0</v>
      </c>
      <c r="K596" t="n">
        <v>0</v>
      </c>
      <c r="L596" t="n">
        <v>0</v>
      </c>
      <c r="M596" t="n">
        <v>0</v>
      </c>
      <c r="N596" t="n">
        <v>0</v>
      </c>
      <c r="O596" t="n">
        <v>0</v>
      </c>
      <c r="P596" t="n">
        <v>0</v>
      </c>
      <c r="Q596" t="n">
        <v>0</v>
      </c>
      <c r="R596" s="2" t="inlineStr"/>
    </row>
    <row r="597" ht="15" customHeight="1">
      <c r="A597" t="inlineStr">
        <is>
          <t>A 36447-2025</t>
        </is>
      </c>
      <c r="B597" s="1" t="n">
        <v>45869.41387731482</v>
      </c>
      <c r="C597" s="1" t="n">
        <v>45981</v>
      </c>
      <c r="D597" t="inlineStr">
        <is>
          <t>ÖREBRO LÄN</t>
        </is>
      </c>
      <c r="E597" t="inlineStr">
        <is>
          <t>ÖREBRO</t>
        </is>
      </c>
      <c r="F597" t="inlineStr">
        <is>
          <t>Övriga Aktiebolag</t>
        </is>
      </c>
      <c r="G597" t="n">
        <v>12.6</v>
      </c>
      <c r="H597" t="n">
        <v>0</v>
      </c>
      <c r="I597" t="n">
        <v>0</v>
      </c>
      <c r="J597" t="n">
        <v>0</v>
      </c>
      <c r="K597" t="n">
        <v>0</v>
      </c>
      <c r="L597" t="n">
        <v>0</v>
      </c>
      <c r="M597" t="n">
        <v>0</v>
      </c>
      <c r="N597" t="n">
        <v>0</v>
      </c>
      <c r="O597" t="n">
        <v>0</v>
      </c>
      <c r="P597" t="n">
        <v>0</v>
      </c>
      <c r="Q597" t="n">
        <v>0</v>
      </c>
      <c r="R597" s="2" t="inlineStr"/>
    </row>
    <row r="598" ht="15" customHeight="1">
      <c r="A598" t="inlineStr">
        <is>
          <t>A 56077-2022</t>
        </is>
      </c>
      <c r="B598" s="1" t="n">
        <v>44889.60872685185</v>
      </c>
      <c r="C598" s="1" t="n">
        <v>45981</v>
      </c>
      <c r="D598" t="inlineStr">
        <is>
          <t>ÖREBRO LÄN</t>
        </is>
      </c>
      <c r="E598" t="inlineStr">
        <is>
          <t>ÖREBRO</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33457-2023</t>
        </is>
      </c>
      <c r="B599" s="1" t="n">
        <v>45131</v>
      </c>
      <c r="C599" s="1" t="n">
        <v>45981</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7141-2025</t>
        </is>
      </c>
      <c r="B600" s="1" t="n">
        <v>45702</v>
      </c>
      <c r="C600" s="1" t="n">
        <v>45981</v>
      </c>
      <c r="D600" t="inlineStr">
        <is>
          <t>ÖREBRO LÄN</t>
        </is>
      </c>
      <c r="E600" t="inlineStr">
        <is>
          <t>ÖREBRO</t>
        </is>
      </c>
      <c r="G600" t="n">
        <v>2.9</v>
      </c>
      <c r="H600" t="n">
        <v>0</v>
      </c>
      <c r="I600" t="n">
        <v>0</v>
      </c>
      <c r="J600" t="n">
        <v>0</v>
      </c>
      <c r="K600" t="n">
        <v>0</v>
      </c>
      <c r="L600" t="n">
        <v>0</v>
      </c>
      <c r="M600" t="n">
        <v>0</v>
      </c>
      <c r="N600" t="n">
        <v>0</v>
      </c>
      <c r="O600" t="n">
        <v>0</v>
      </c>
      <c r="P600" t="n">
        <v>0</v>
      </c>
      <c r="Q600" t="n">
        <v>0</v>
      </c>
      <c r="R600" s="2" t="inlineStr"/>
    </row>
    <row r="601" ht="15" customHeight="1">
      <c r="A601" t="inlineStr">
        <is>
          <t>A 22677-2022</t>
        </is>
      </c>
      <c r="B601" s="1" t="n">
        <v>44714</v>
      </c>
      <c r="C601" s="1" t="n">
        <v>45981</v>
      </c>
      <c r="D601" t="inlineStr">
        <is>
          <t>ÖREBRO LÄN</t>
        </is>
      </c>
      <c r="E601" t="inlineStr">
        <is>
          <t>ÖREBRO</t>
        </is>
      </c>
      <c r="G601" t="n">
        <v>2.3</v>
      </c>
      <c r="H601" t="n">
        <v>0</v>
      </c>
      <c r="I601" t="n">
        <v>0</v>
      </c>
      <c r="J601" t="n">
        <v>0</v>
      </c>
      <c r="K601" t="n">
        <v>0</v>
      </c>
      <c r="L601" t="n">
        <v>0</v>
      </c>
      <c r="M601" t="n">
        <v>0</v>
      </c>
      <c r="N601" t="n">
        <v>0</v>
      </c>
      <c r="O601" t="n">
        <v>0</v>
      </c>
      <c r="P601" t="n">
        <v>0</v>
      </c>
      <c r="Q601" t="n">
        <v>0</v>
      </c>
      <c r="R601" s="2" t="inlineStr"/>
    </row>
    <row r="602" ht="15" customHeight="1">
      <c r="A602" t="inlineStr">
        <is>
          <t>A 29554-2025</t>
        </is>
      </c>
      <c r="B602" s="1" t="n">
        <v>45825</v>
      </c>
      <c r="C602" s="1" t="n">
        <v>45981</v>
      </c>
      <c r="D602" t="inlineStr">
        <is>
          <t>ÖREBRO LÄN</t>
        </is>
      </c>
      <c r="E602" t="inlineStr">
        <is>
          <t>ÖREBRO</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13169-2024</t>
        </is>
      </c>
      <c r="B603" s="1" t="n">
        <v>45386.40489583334</v>
      </c>
      <c r="C603" s="1" t="n">
        <v>45981</v>
      </c>
      <c r="D603" t="inlineStr">
        <is>
          <t>ÖREBRO LÄN</t>
        </is>
      </c>
      <c r="E603" t="inlineStr">
        <is>
          <t>ÖREBRO</t>
        </is>
      </c>
      <c r="G603" t="n">
        <v>4.3</v>
      </c>
      <c r="H603" t="n">
        <v>0</v>
      </c>
      <c r="I603" t="n">
        <v>0</v>
      </c>
      <c r="J603" t="n">
        <v>0</v>
      </c>
      <c r="K603" t="n">
        <v>0</v>
      </c>
      <c r="L603" t="n">
        <v>0</v>
      </c>
      <c r="M603" t="n">
        <v>0</v>
      </c>
      <c r="N603" t="n">
        <v>0</v>
      </c>
      <c r="O603" t="n">
        <v>0</v>
      </c>
      <c r="P603" t="n">
        <v>0</v>
      </c>
      <c r="Q603" t="n">
        <v>0</v>
      </c>
      <c r="R603" s="2" t="inlineStr"/>
    </row>
    <row r="604" ht="15" customHeight="1">
      <c r="A604" t="inlineStr">
        <is>
          <t>A 23710-2022</t>
        </is>
      </c>
      <c r="B604" s="1" t="n">
        <v>44722</v>
      </c>
      <c r="C604" s="1" t="n">
        <v>45981</v>
      </c>
      <c r="D604" t="inlineStr">
        <is>
          <t>ÖREBRO LÄN</t>
        </is>
      </c>
      <c r="E604" t="inlineStr">
        <is>
          <t>ÖREBRO</t>
        </is>
      </c>
      <c r="F604" t="inlineStr">
        <is>
          <t>Sveaskog</t>
        </is>
      </c>
      <c r="G604" t="n">
        <v>2.2</v>
      </c>
      <c r="H604" t="n">
        <v>0</v>
      </c>
      <c r="I604" t="n">
        <v>0</v>
      </c>
      <c r="J604" t="n">
        <v>0</v>
      </c>
      <c r="K604" t="n">
        <v>0</v>
      </c>
      <c r="L604" t="n">
        <v>0</v>
      </c>
      <c r="M604" t="n">
        <v>0</v>
      </c>
      <c r="N604" t="n">
        <v>0</v>
      </c>
      <c r="O604" t="n">
        <v>0</v>
      </c>
      <c r="P604" t="n">
        <v>0</v>
      </c>
      <c r="Q604" t="n">
        <v>0</v>
      </c>
      <c r="R604" s="2" t="inlineStr"/>
    </row>
    <row r="605" ht="15" customHeight="1">
      <c r="A605" t="inlineStr">
        <is>
          <t>A 4757-2024</t>
        </is>
      </c>
      <c r="B605" s="1" t="n">
        <v>45328</v>
      </c>
      <c r="C605" s="1" t="n">
        <v>45981</v>
      </c>
      <c r="D605" t="inlineStr">
        <is>
          <t>ÖREBRO LÄN</t>
        </is>
      </c>
      <c r="E605" t="inlineStr">
        <is>
          <t>ÖREBRO</t>
        </is>
      </c>
      <c r="G605" t="n">
        <v>1.9</v>
      </c>
      <c r="H605" t="n">
        <v>0</v>
      </c>
      <c r="I605" t="n">
        <v>0</v>
      </c>
      <c r="J605" t="n">
        <v>0</v>
      </c>
      <c r="K605" t="n">
        <v>0</v>
      </c>
      <c r="L605" t="n">
        <v>0</v>
      </c>
      <c r="M605" t="n">
        <v>0</v>
      </c>
      <c r="N605" t="n">
        <v>0</v>
      </c>
      <c r="O605" t="n">
        <v>0</v>
      </c>
      <c r="P605" t="n">
        <v>0</v>
      </c>
      <c r="Q605" t="n">
        <v>0</v>
      </c>
      <c r="R605" s="2" t="inlineStr"/>
    </row>
    <row r="606" ht="15" customHeight="1">
      <c r="A606" t="inlineStr">
        <is>
          <t>A 30903-2024</t>
        </is>
      </c>
      <c r="B606" s="1" t="n">
        <v>45498.49946759259</v>
      </c>
      <c r="C606" s="1" t="n">
        <v>45981</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47193-2023</t>
        </is>
      </c>
      <c r="B607" s="1" t="n">
        <v>45202.3074537037</v>
      </c>
      <c r="C607" s="1" t="n">
        <v>45981</v>
      </c>
      <c r="D607" t="inlineStr">
        <is>
          <t>ÖREBRO LÄN</t>
        </is>
      </c>
      <c r="E607" t="inlineStr">
        <is>
          <t>ÖREBRO</t>
        </is>
      </c>
      <c r="G607" t="n">
        <v>2.4</v>
      </c>
      <c r="H607" t="n">
        <v>0</v>
      </c>
      <c r="I607" t="n">
        <v>0</v>
      </c>
      <c r="J607" t="n">
        <v>0</v>
      </c>
      <c r="K607" t="n">
        <v>0</v>
      </c>
      <c r="L607" t="n">
        <v>0</v>
      </c>
      <c r="M607" t="n">
        <v>0</v>
      </c>
      <c r="N607" t="n">
        <v>0</v>
      </c>
      <c r="O607" t="n">
        <v>0</v>
      </c>
      <c r="P607" t="n">
        <v>0</v>
      </c>
      <c r="Q607" t="n">
        <v>0</v>
      </c>
      <c r="R607" s="2" t="inlineStr"/>
    </row>
    <row r="608" ht="15" customHeight="1">
      <c r="A608" t="inlineStr">
        <is>
          <t>A 59026-2024</t>
        </is>
      </c>
      <c r="B608" s="1" t="n">
        <v>45636.6875</v>
      </c>
      <c r="C608" s="1" t="n">
        <v>45981</v>
      </c>
      <c r="D608" t="inlineStr">
        <is>
          <t>ÖREBRO LÄN</t>
        </is>
      </c>
      <c r="E608" t="inlineStr">
        <is>
          <t>ÖREBRO</t>
        </is>
      </c>
      <c r="G608" t="n">
        <v>0.9</v>
      </c>
      <c r="H608" t="n">
        <v>0</v>
      </c>
      <c r="I608" t="n">
        <v>0</v>
      </c>
      <c r="J608" t="n">
        <v>0</v>
      </c>
      <c r="K608" t="n">
        <v>0</v>
      </c>
      <c r="L608" t="n">
        <v>0</v>
      </c>
      <c r="M608" t="n">
        <v>0</v>
      </c>
      <c r="N608" t="n">
        <v>0</v>
      </c>
      <c r="O608" t="n">
        <v>0</v>
      </c>
      <c r="P608" t="n">
        <v>0</v>
      </c>
      <c r="Q608" t="n">
        <v>0</v>
      </c>
      <c r="R608" s="2" t="inlineStr"/>
    </row>
    <row r="609">
      <c r="A609" t="inlineStr">
        <is>
          <t>A 38057-2025</t>
        </is>
      </c>
      <c r="B609" s="1" t="n">
        <v>45882.42570601852</v>
      </c>
      <c r="C609" s="1" t="n">
        <v>45981</v>
      </c>
      <c r="D609" t="inlineStr">
        <is>
          <t>ÖREBRO LÄN</t>
        </is>
      </c>
      <c r="E609" t="inlineStr">
        <is>
          <t>ÖREBRO</t>
        </is>
      </c>
      <c r="G609" t="n">
        <v>3</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2025-11-20T16:57:33Z</dcterms:created>
  <dcterms:modified xmlns:dcterms="http://purl.org/dc/terms/" xmlns:xsi="http://www.w3.org/2001/XMLSchema-instance" xsi:type="dcterms:W3CDTF">2025-11-20T16:57:33Z</dcterms:modified>
</cp:coreProperties>
</file>