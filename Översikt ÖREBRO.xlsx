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45914</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45914</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45914</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45914</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45914</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45914</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45914</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45914</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45914</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45914</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33069-2025</t>
        </is>
      </c>
      <c r="B13" s="1" t="n">
        <v>45840</v>
      </c>
      <c r="C13" s="1" t="n">
        <v>45914</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51530-2024</t>
        </is>
      </c>
      <c r="B14" s="1" t="n">
        <v>45604</v>
      </c>
      <c r="C14" s="1" t="n">
        <v>45914</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45914</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50096-2023</t>
        </is>
      </c>
      <c r="B16" s="1" t="n">
        <v>45215</v>
      </c>
      <c r="C16" s="1" t="n">
        <v>45914</v>
      </c>
      <c r="D16" t="inlineStr">
        <is>
          <t>ÖREBRO LÄN</t>
        </is>
      </c>
      <c r="E16" t="inlineStr">
        <is>
          <t>ÖREBRO</t>
        </is>
      </c>
      <c r="F16" t="inlineStr">
        <is>
          <t>Övriga Aktiebolag</t>
        </is>
      </c>
      <c r="G16" t="n">
        <v>2.3</v>
      </c>
      <c r="H16" t="n">
        <v>3</v>
      </c>
      <c r="I16" t="n">
        <v>0</v>
      </c>
      <c r="J16" t="n">
        <v>2</v>
      </c>
      <c r="K16" t="n">
        <v>0</v>
      </c>
      <c r="L16" t="n">
        <v>0</v>
      </c>
      <c r="M16" t="n">
        <v>0</v>
      </c>
      <c r="N16" t="n">
        <v>0</v>
      </c>
      <c r="O16" t="n">
        <v>2</v>
      </c>
      <c r="P16" t="n">
        <v>0</v>
      </c>
      <c r="Q16" t="n">
        <v>3</v>
      </c>
      <c r="R16" s="2" t="inlineStr">
        <is>
          <t>Fiskmås
Skrattmås
Sångsvan</t>
        </is>
      </c>
      <c r="S16">
        <f>HYPERLINK("https://klasma.github.io/Logging_1880/artfynd/A 50096-2023 artfynd.xlsx", "A 50096-2023")</f>
        <v/>
      </c>
      <c r="T16">
        <f>HYPERLINK("https://klasma.github.io/Logging_1880/kartor/A 50096-2023 karta.png", "A 50096-2023")</f>
        <v/>
      </c>
      <c r="V16">
        <f>HYPERLINK("https://klasma.github.io/Logging_1880/klagomål/A 50096-2023 FSC-klagomål.docx", "A 50096-2023")</f>
        <v/>
      </c>
      <c r="W16">
        <f>HYPERLINK("https://klasma.github.io/Logging_1880/klagomålsmail/A 50096-2023 FSC-klagomål mail.docx", "A 50096-2023")</f>
        <v/>
      </c>
      <c r="X16">
        <f>HYPERLINK("https://klasma.github.io/Logging_1880/tillsyn/A 50096-2023 tillsynsbegäran.docx", "A 50096-2023")</f>
        <v/>
      </c>
      <c r="Y16">
        <f>HYPERLINK("https://klasma.github.io/Logging_1880/tillsynsmail/A 50096-2023 tillsynsbegäran mail.docx", "A 50096-2023")</f>
        <v/>
      </c>
      <c r="Z16">
        <f>HYPERLINK("https://klasma.github.io/Logging_1880/fåglar/A 50096-2023 prioriterade fågelarter.docx", "A 50096-2023")</f>
        <v/>
      </c>
    </row>
    <row r="17" ht="15" customHeight="1">
      <c r="A17" t="inlineStr">
        <is>
          <t>A 20838-2021</t>
        </is>
      </c>
      <c r="B17" s="1" t="n">
        <v>44319</v>
      </c>
      <c r="C17" s="1" t="n">
        <v>45914</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17074-2024</t>
        </is>
      </c>
      <c r="B18" s="1" t="n">
        <v>45412</v>
      </c>
      <c r="C18" s="1" t="n">
        <v>45914</v>
      </c>
      <c r="D18" t="inlineStr">
        <is>
          <t>ÖREBRO LÄN</t>
        </is>
      </c>
      <c r="E18" t="inlineStr">
        <is>
          <t>ÖREBRO</t>
        </is>
      </c>
      <c r="F18" t="inlineStr">
        <is>
          <t>Sveaskog</t>
        </is>
      </c>
      <c r="G18" t="n">
        <v>7.2</v>
      </c>
      <c r="H18" t="n">
        <v>1</v>
      </c>
      <c r="I18" t="n">
        <v>2</v>
      </c>
      <c r="J18" t="n">
        <v>0</v>
      </c>
      <c r="K18" t="n">
        <v>0</v>
      </c>
      <c r="L18" t="n">
        <v>1</v>
      </c>
      <c r="M18" t="n">
        <v>0</v>
      </c>
      <c r="N18" t="n">
        <v>0</v>
      </c>
      <c r="O18" t="n">
        <v>1</v>
      </c>
      <c r="P18" t="n">
        <v>1</v>
      </c>
      <c r="Q18" t="n">
        <v>3</v>
      </c>
      <c r="R18" s="2" t="inlineStr">
        <is>
          <t>Ask
Hässleklocka
Skogsknipprot</t>
        </is>
      </c>
      <c r="S18">
        <f>HYPERLINK("https://klasma.github.io/Logging_1880/artfynd/A 17074-2024 artfynd.xlsx", "A 17074-2024")</f>
        <v/>
      </c>
      <c r="T18">
        <f>HYPERLINK("https://klasma.github.io/Logging_1880/kartor/A 17074-2024 karta.png", "A 17074-2024")</f>
        <v/>
      </c>
      <c r="V18">
        <f>HYPERLINK("https://klasma.github.io/Logging_1880/klagomål/A 17074-2024 FSC-klagomål.docx", "A 17074-2024")</f>
        <v/>
      </c>
      <c r="W18">
        <f>HYPERLINK("https://klasma.github.io/Logging_1880/klagomålsmail/A 17074-2024 FSC-klagomål mail.docx", "A 17074-2024")</f>
        <v/>
      </c>
      <c r="X18">
        <f>HYPERLINK("https://klasma.github.io/Logging_1880/tillsyn/A 17074-2024 tillsynsbegäran.docx", "A 17074-2024")</f>
        <v/>
      </c>
      <c r="Y18">
        <f>HYPERLINK("https://klasma.github.io/Logging_1880/tillsynsmail/A 17074-2024 tillsynsbegäran mail.docx", "A 17074-2024")</f>
        <v/>
      </c>
    </row>
    <row r="19" ht="15" customHeight="1">
      <c r="A19" t="inlineStr">
        <is>
          <t>A 13627-2025</t>
        </is>
      </c>
      <c r="B19" s="1" t="n">
        <v>45736</v>
      </c>
      <c r="C19" s="1" t="n">
        <v>45914</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575-2024</t>
        </is>
      </c>
      <c r="B20" s="1" t="n">
        <v>45299</v>
      </c>
      <c r="C20" s="1" t="n">
        <v>45914</v>
      </c>
      <c r="D20" t="inlineStr">
        <is>
          <t>ÖREBRO LÄN</t>
        </is>
      </c>
      <c r="E20" t="inlineStr">
        <is>
          <t>ÖREBRO</t>
        </is>
      </c>
      <c r="F20" t="inlineStr">
        <is>
          <t>Övriga Aktiebolag</t>
        </is>
      </c>
      <c r="G20" t="n">
        <v>1.1</v>
      </c>
      <c r="H20" t="n">
        <v>3</v>
      </c>
      <c r="I20" t="n">
        <v>0</v>
      </c>
      <c r="J20" t="n">
        <v>2</v>
      </c>
      <c r="K20" t="n">
        <v>0</v>
      </c>
      <c r="L20" t="n">
        <v>0</v>
      </c>
      <c r="M20" t="n">
        <v>0</v>
      </c>
      <c r="N20" t="n">
        <v>0</v>
      </c>
      <c r="O20" t="n">
        <v>2</v>
      </c>
      <c r="P20" t="n">
        <v>0</v>
      </c>
      <c r="Q20" t="n">
        <v>3</v>
      </c>
      <c r="R20" s="2" t="inlineStr">
        <is>
          <t>Grönsångare
Rödvingetrast
Kungsfågel</t>
        </is>
      </c>
      <c r="S20">
        <f>HYPERLINK("https://klasma.github.io/Logging_1880/artfynd/A 575-2024 artfynd.xlsx", "A 575-2024")</f>
        <v/>
      </c>
      <c r="T20">
        <f>HYPERLINK("https://klasma.github.io/Logging_1880/kartor/A 575-2024 karta.png", "A 575-2024")</f>
        <v/>
      </c>
      <c r="V20">
        <f>HYPERLINK("https://klasma.github.io/Logging_1880/klagomål/A 575-2024 FSC-klagomål.docx", "A 575-2024")</f>
        <v/>
      </c>
      <c r="W20">
        <f>HYPERLINK("https://klasma.github.io/Logging_1880/klagomålsmail/A 575-2024 FSC-klagomål mail.docx", "A 575-2024")</f>
        <v/>
      </c>
      <c r="X20">
        <f>HYPERLINK("https://klasma.github.io/Logging_1880/tillsyn/A 575-2024 tillsynsbegäran.docx", "A 575-2024")</f>
        <v/>
      </c>
      <c r="Y20">
        <f>HYPERLINK("https://klasma.github.io/Logging_1880/tillsynsmail/A 575-2024 tillsynsbegäran mail.docx", "A 575-2024")</f>
        <v/>
      </c>
      <c r="Z20">
        <f>HYPERLINK("https://klasma.github.io/Logging_1880/fåglar/A 575-2024 prioriterade fågelarter.docx", "A 575-2024")</f>
        <v/>
      </c>
    </row>
    <row r="21" ht="15" customHeight="1">
      <c r="A21" t="inlineStr">
        <is>
          <t>A 12974-2022</t>
        </is>
      </c>
      <c r="B21" s="1" t="n">
        <v>44643.38490740741</v>
      </c>
      <c r="C21" s="1" t="n">
        <v>45914</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45914</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45914</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45914</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45914</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45914</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45914</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14956-2025</t>
        </is>
      </c>
      <c r="B28" s="1" t="n">
        <v>45743.58409722222</v>
      </c>
      <c r="C28" s="1" t="n">
        <v>45914</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13395-2024</t>
        </is>
      </c>
      <c r="B29" s="1" t="n">
        <v>45387.42296296296</v>
      </c>
      <c r="C29" s="1" t="n">
        <v>45914</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22577-2024</t>
        </is>
      </c>
      <c r="B30" s="1" t="n">
        <v>45447</v>
      </c>
      <c r="C30" s="1" t="n">
        <v>45914</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30409-2025</t>
        </is>
      </c>
      <c r="B31" s="1" t="n">
        <v>45827.59738425926</v>
      </c>
      <c r="C31" s="1" t="n">
        <v>45914</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8267-2021</t>
        </is>
      </c>
      <c r="B32" s="1" t="n">
        <v>44244</v>
      </c>
      <c r="C32" s="1" t="n">
        <v>45914</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37019-2024</t>
        </is>
      </c>
      <c r="B33" s="1" t="n">
        <v>45539.37905092593</v>
      </c>
      <c r="C33" s="1" t="n">
        <v>45914</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7608-2024</t>
        </is>
      </c>
      <c r="B34" s="1" t="n">
        <v>45348</v>
      </c>
      <c r="C34" s="1" t="n">
        <v>45914</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45914</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45914</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45914</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43332-2022</t>
        </is>
      </c>
      <c r="B38" s="1" t="n">
        <v>44834</v>
      </c>
      <c r="C38" s="1" t="n">
        <v>45914</v>
      </c>
      <c r="D38" t="inlineStr">
        <is>
          <t>ÖREBRO LÄN</t>
        </is>
      </c>
      <c r="E38" t="inlineStr">
        <is>
          <t>ÖREBRO</t>
        </is>
      </c>
      <c r="G38" t="n">
        <v>2.3</v>
      </c>
      <c r="H38" t="n">
        <v>1</v>
      </c>
      <c r="I38" t="n">
        <v>0</v>
      </c>
      <c r="J38" t="n">
        <v>1</v>
      </c>
      <c r="K38" t="n">
        <v>0</v>
      </c>
      <c r="L38" t="n">
        <v>0</v>
      </c>
      <c r="M38" t="n">
        <v>0</v>
      </c>
      <c r="N38" t="n">
        <v>0</v>
      </c>
      <c r="O38" t="n">
        <v>1</v>
      </c>
      <c r="P38" t="n">
        <v>0</v>
      </c>
      <c r="Q38" t="n">
        <v>1</v>
      </c>
      <c r="R38" s="2" t="inlineStr">
        <is>
          <t>Spillkråka</t>
        </is>
      </c>
      <c r="S38">
        <f>HYPERLINK("https://klasma.github.io/Logging_1880/artfynd/A 43332-2022 artfynd.xlsx", "A 43332-2022")</f>
        <v/>
      </c>
      <c r="T38">
        <f>HYPERLINK("https://klasma.github.io/Logging_1880/kartor/A 43332-2022 karta.png", "A 43332-2022")</f>
        <v/>
      </c>
      <c r="V38">
        <f>HYPERLINK("https://klasma.github.io/Logging_1880/klagomål/A 43332-2022 FSC-klagomål.docx", "A 43332-2022")</f>
        <v/>
      </c>
      <c r="W38">
        <f>HYPERLINK("https://klasma.github.io/Logging_1880/klagomålsmail/A 43332-2022 FSC-klagomål mail.docx", "A 43332-2022")</f>
        <v/>
      </c>
      <c r="X38">
        <f>HYPERLINK("https://klasma.github.io/Logging_1880/tillsyn/A 43332-2022 tillsynsbegäran.docx", "A 43332-2022")</f>
        <v/>
      </c>
      <c r="Y38">
        <f>HYPERLINK("https://klasma.github.io/Logging_1880/tillsynsmail/A 43332-2022 tillsynsbegäran mail.docx", "A 43332-2022")</f>
        <v/>
      </c>
      <c r="Z38">
        <f>HYPERLINK("https://klasma.github.io/Logging_1880/fåglar/A 43332-2022 prioriterade fågelarter.docx", "A 43332-2022")</f>
        <v/>
      </c>
    </row>
    <row r="39" ht="15" customHeight="1">
      <c r="A39" t="inlineStr">
        <is>
          <t>A 30725-2023</t>
        </is>
      </c>
      <c r="B39" s="1" t="n">
        <v>45112.61451388889</v>
      </c>
      <c r="C39" s="1" t="n">
        <v>45914</v>
      </c>
      <c r="D39" t="inlineStr">
        <is>
          <t>ÖREBRO LÄN</t>
        </is>
      </c>
      <c r="E39" t="inlineStr">
        <is>
          <t>ÖREBRO</t>
        </is>
      </c>
      <c r="G39" t="n">
        <v>1.8</v>
      </c>
      <c r="H39" t="n">
        <v>1</v>
      </c>
      <c r="I39" t="n">
        <v>0</v>
      </c>
      <c r="J39" t="n">
        <v>1</v>
      </c>
      <c r="K39" t="n">
        <v>0</v>
      </c>
      <c r="L39" t="n">
        <v>0</v>
      </c>
      <c r="M39" t="n">
        <v>0</v>
      </c>
      <c r="N39" t="n">
        <v>0</v>
      </c>
      <c r="O39" t="n">
        <v>1</v>
      </c>
      <c r="P39" t="n">
        <v>0</v>
      </c>
      <c r="Q39" t="n">
        <v>1</v>
      </c>
      <c r="R39" s="2" t="inlineStr">
        <is>
          <t>Gulsparv</t>
        </is>
      </c>
      <c r="S39">
        <f>HYPERLINK("https://klasma.github.io/Logging_1880/artfynd/A 30725-2023 artfynd.xlsx", "A 30725-2023")</f>
        <v/>
      </c>
      <c r="T39">
        <f>HYPERLINK("https://klasma.github.io/Logging_1880/kartor/A 30725-2023 karta.png", "A 30725-2023")</f>
        <v/>
      </c>
      <c r="V39">
        <f>HYPERLINK("https://klasma.github.io/Logging_1880/klagomål/A 30725-2023 FSC-klagomål.docx", "A 30725-2023")</f>
        <v/>
      </c>
      <c r="W39">
        <f>HYPERLINK("https://klasma.github.io/Logging_1880/klagomålsmail/A 30725-2023 FSC-klagomål mail.docx", "A 30725-2023")</f>
        <v/>
      </c>
      <c r="X39">
        <f>HYPERLINK("https://klasma.github.io/Logging_1880/tillsyn/A 30725-2023 tillsynsbegäran.docx", "A 30725-2023")</f>
        <v/>
      </c>
      <c r="Y39">
        <f>HYPERLINK("https://klasma.github.io/Logging_1880/tillsynsmail/A 30725-2023 tillsynsbegäran mail.docx", "A 30725-2023")</f>
        <v/>
      </c>
      <c r="Z39">
        <f>HYPERLINK("https://klasma.github.io/Logging_1880/fåglar/A 30725-2023 prioriterade fågelarter.docx", "A 30725-2023")</f>
        <v/>
      </c>
    </row>
    <row r="40" ht="15" customHeight="1">
      <c r="A40" t="inlineStr">
        <is>
          <t>A 5097-2023</t>
        </is>
      </c>
      <c r="B40" s="1" t="n">
        <v>44958</v>
      </c>
      <c r="C40" s="1" t="n">
        <v>45914</v>
      </c>
      <c r="D40" t="inlineStr">
        <is>
          <t>ÖREBRO LÄN</t>
        </is>
      </c>
      <c r="E40" t="inlineStr">
        <is>
          <t>ÖREBRO</t>
        </is>
      </c>
      <c r="G40" t="n">
        <v>3.6</v>
      </c>
      <c r="H40" t="n">
        <v>1</v>
      </c>
      <c r="I40" t="n">
        <v>0</v>
      </c>
      <c r="J40" t="n">
        <v>0</v>
      </c>
      <c r="K40" t="n">
        <v>0</v>
      </c>
      <c r="L40" t="n">
        <v>0</v>
      </c>
      <c r="M40" t="n">
        <v>0</v>
      </c>
      <c r="N40" t="n">
        <v>0</v>
      </c>
      <c r="O40" t="n">
        <v>0</v>
      </c>
      <c r="P40" t="n">
        <v>0</v>
      </c>
      <c r="Q40" t="n">
        <v>1</v>
      </c>
      <c r="R40" s="2" t="inlineStr">
        <is>
          <t>Grönvit nattviol</t>
        </is>
      </c>
      <c r="S40">
        <f>HYPERLINK("https://klasma.github.io/Logging_1880/artfynd/A 5097-2023 artfynd.xlsx", "A 5097-2023")</f>
        <v/>
      </c>
      <c r="T40">
        <f>HYPERLINK("https://klasma.github.io/Logging_1880/kartor/A 5097-2023 karta.png", "A 5097-2023")</f>
        <v/>
      </c>
      <c r="V40">
        <f>HYPERLINK("https://klasma.github.io/Logging_1880/klagomål/A 5097-2023 FSC-klagomål.docx", "A 5097-2023")</f>
        <v/>
      </c>
      <c r="W40">
        <f>HYPERLINK("https://klasma.github.io/Logging_1880/klagomålsmail/A 5097-2023 FSC-klagomål mail.docx", "A 5097-2023")</f>
        <v/>
      </c>
      <c r="X40">
        <f>HYPERLINK("https://klasma.github.io/Logging_1880/tillsyn/A 5097-2023 tillsynsbegäran.docx", "A 5097-2023")</f>
        <v/>
      </c>
      <c r="Y40">
        <f>HYPERLINK("https://klasma.github.io/Logging_1880/tillsynsmail/A 5097-2023 tillsynsbegäran mail.docx", "A 5097-2023")</f>
        <v/>
      </c>
    </row>
    <row r="41" ht="15" customHeight="1">
      <c r="A41" t="inlineStr">
        <is>
          <t>A 44744-2024</t>
        </is>
      </c>
      <c r="B41" s="1" t="n">
        <v>45574.59789351852</v>
      </c>
      <c r="C41" s="1" t="n">
        <v>45914</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20247-2023</t>
        </is>
      </c>
      <c r="B42" s="1" t="n">
        <v>45055</v>
      </c>
      <c r="C42" s="1" t="n">
        <v>45914</v>
      </c>
      <c r="D42" t="inlineStr">
        <is>
          <t>ÖREBRO LÄN</t>
        </is>
      </c>
      <c r="E42" t="inlineStr">
        <is>
          <t>ÖREBRO</t>
        </is>
      </c>
      <c r="G42" t="n">
        <v>3</v>
      </c>
      <c r="H42" t="n">
        <v>1</v>
      </c>
      <c r="I42" t="n">
        <v>0</v>
      </c>
      <c r="J42" t="n">
        <v>0</v>
      </c>
      <c r="K42" t="n">
        <v>0</v>
      </c>
      <c r="L42" t="n">
        <v>0</v>
      </c>
      <c r="M42" t="n">
        <v>0</v>
      </c>
      <c r="N42" t="n">
        <v>0</v>
      </c>
      <c r="O42" t="n">
        <v>0</v>
      </c>
      <c r="P42" t="n">
        <v>0</v>
      </c>
      <c r="Q42" t="n">
        <v>1</v>
      </c>
      <c r="R42" s="2" t="inlineStr">
        <is>
          <t>Större vattensalamander</t>
        </is>
      </c>
      <c r="S42">
        <f>HYPERLINK("https://klasma.github.io/Logging_1880/artfynd/A 20247-2023 artfynd.xlsx", "A 20247-2023")</f>
        <v/>
      </c>
      <c r="T42">
        <f>HYPERLINK("https://klasma.github.io/Logging_1880/kartor/A 20247-2023 karta.png", "A 20247-2023")</f>
        <v/>
      </c>
      <c r="V42">
        <f>HYPERLINK("https://klasma.github.io/Logging_1880/klagomål/A 20247-2023 FSC-klagomål.docx", "A 20247-2023")</f>
        <v/>
      </c>
      <c r="W42">
        <f>HYPERLINK("https://klasma.github.io/Logging_1880/klagomålsmail/A 20247-2023 FSC-klagomål mail.docx", "A 20247-2023")</f>
        <v/>
      </c>
      <c r="X42">
        <f>HYPERLINK("https://klasma.github.io/Logging_1880/tillsyn/A 20247-2023 tillsynsbegäran.docx", "A 20247-2023")</f>
        <v/>
      </c>
      <c r="Y42">
        <f>HYPERLINK("https://klasma.github.io/Logging_1880/tillsynsmail/A 20247-2023 tillsynsbegäran mail.docx", "A 20247-2023")</f>
        <v/>
      </c>
    </row>
    <row r="43" ht="15" customHeight="1">
      <c r="A43" t="inlineStr">
        <is>
          <t>A 6926-2021</t>
        </is>
      </c>
      <c r="B43" s="1" t="n">
        <v>44237</v>
      </c>
      <c r="C43" s="1" t="n">
        <v>45914</v>
      </c>
      <c r="D43" t="inlineStr">
        <is>
          <t>ÖREBRO LÄN</t>
        </is>
      </c>
      <c r="E43" t="inlineStr">
        <is>
          <t>ÖREBRO</t>
        </is>
      </c>
      <c r="G43" t="n">
        <v>0.9</v>
      </c>
      <c r="H43" t="n">
        <v>1</v>
      </c>
      <c r="I43" t="n">
        <v>1</v>
      </c>
      <c r="J43" t="n">
        <v>0</v>
      </c>
      <c r="K43" t="n">
        <v>0</v>
      </c>
      <c r="L43" t="n">
        <v>0</v>
      </c>
      <c r="M43" t="n">
        <v>0</v>
      </c>
      <c r="N43" t="n">
        <v>0</v>
      </c>
      <c r="O43" t="n">
        <v>0</v>
      </c>
      <c r="P43" t="n">
        <v>0</v>
      </c>
      <c r="Q43" t="n">
        <v>1</v>
      </c>
      <c r="R43" s="2" t="inlineStr">
        <is>
          <t>Skogsknipprot</t>
        </is>
      </c>
      <c r="S43">
        <f>HYPERLINK("https://klasma.github.io/Logging_1880/artfynd/A 6926-2021 artfynd.xlsx", "A 6926-2021")</f>
        <v/>
      </c>
      <c r="T43">
        <f>HYPERLINK("https://klasma.github.io/Logging_1880/kartor/A 6926-2021 karta.png", "A 6926-2021")</f>
        <v/>
      </c>
      <c r="V43">
        <f>HYPERLINK("https://klasma.github.io/Logging_1880/klagomål/A 6926-2021 FSC-klagomål.docx", "A 6926-2021")</f>
        <v/>
      </c>
      <c r="W43">
        <f>HYPERLINK("https://klasma.github.io/Logging_1880/klagomålsmail/A 6926-2021 FSC-klagomål mail.docx", "A 6926-2021")</f>
        <v/>
      </c>
      <c r="X43">
        <f>HYPERLINK("https://klasma.github.io/Logging_1880/tillsyn/A 6926-2021 tillsynsbegäran.docx", "A 6926-2021")</f>
        <v/>
      </c>
      <c r="Y43">
        <f>HYPERLINK("https://klasma.github.io/Logging_1880/tillsynsmail/A 6926-2021 tillsynsbegäran mail.docx", "A 6926-2021")</f>
        <v/>
      </c>
    </row>
    <row r="44" ht="15" customHeight="1">
      <c r="A44" t="inlineStr">
        <is>
          <t>A 55904-2024</t>
        </is>
      </c>
      <c r="B44" s="1" t="n">
        <v>45623.58190972222</v>
      </c>
      <c r="C44" s="1" t="n">
        <v>45914</v>
      </c>
      <c r="D44" t="inlineStr">
        <is>
          <t>ÖREBRO LÄN</t>
        </is>
      </c>
      <c r="E44" t="inlineStr">
        <is>
          <t>ÖREBRO</t>
        </is>
      </c>
      <c r="G44" t="n">
        <v>1.2</v>
      </c>
      <c r="H44" t="n">
        <v>1</v>
      </c>
      <c r="I44" t="n">
        <v>0</v>
      </c>
      <c r="J44" t="n">
        <v>0</v>
      </c>
      <c r="K44" t="n">
        <v>0</v>
      </c>
      <c r="L44" t="n">
        <v>0</v>
      </c>
      <c r="M44" t="n">
        <v>0</v>
      </c>
      <c r="N44" t="n">
        <v>0</v>
      </c>
      <c r="O44" t="n">
        <v>0</v>
      </c>
      <c r="P44" t="n">
        <v>0</v>
      </c>
      <c r="Q44" t="n">
        <v>1</v>
      </c>
      <c r="R44" s="2" t="inlineStr">
        <is>
          <t>Trana</t>
        </is>
      </c>
      <c r="S44">
        <f>HYPERLINK("https://klasma.github.io/Logging_1880/artfynd/A 55904-2024 artfynd.xlsx", "A 55904-2024")</f>
        <v/>
      </c>
      <c r="T44">
        <f>HYPERLINK("https://klasma.github.io/Logging_1880/kartor/A 55904-2024 karta.png", "A 55904-2024")</f>
        <v/>
      </c>
      <c r="V44">
        <f>HYPERLINK("https://klasma.github.io/Logging_1880/klagomål/A 55904-2024 FSC-klagomål.docx", "A 55904-2024")</f>
        <v/>
      </c>
      <c r="W44">
        <f>HYPERLINK("https://klasma.github.io/Logging_1880/klagomålsmail/A 55904-2024 FSC-klagomål mail.docx", "A 55904-2024")</f>
        <v/>
      </c>
      <c r="X44">
        <f>HYPERLINK("https://klasma.github.io/Logging_1880/tillsyn/A 55904-2024 tillsynsbegäran.docx", "A 55904-2024")</f>
        <v/>
      </c>
      <c r="Y44">
        <f>HYPERLINK("https://klasma.github.io/Logging_1880/tillsynsmail/A 55904-2024 tillsynsbegäran mail.docx", "A 55904-2024")</f>
        <v/>
      </c>
      <c r="Z44">
        <f>HYPERLINK("https://klasma.github.io/Logging_1880/fåglar/A 55904-2024 prioriterade fågelarter.docx", "A 55904-2024")</f>
        <v/>
      </c>
    </row>
    <row r="45" ht="15" customHeight="1">
      <c r="A45" t="inlineStr">
        <is>
          <t>A 23998-2025</t>
        </is>
      </c>
      <c r="B45" s="1" t="n">
        <v>45796.42209490741</v>
      </c>
      <c r="C45" s="1" t="n">
        <v>45914</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45914</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45914</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58966-2020</t>
        </is>
      </c>
      <c r="B48" s="1" t="n">
        <v>44146</v>
      </c>
      <c r="C48" s="1" t="n">
        <v>45914</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28936-2025</t>
        </is>
      </c>
      <c r="B49" s="1" t="n">
        <v>45820.69287037037</v>
      </c>
      <c r="C49" s="1" t="n">
        <v>45914</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26890-2022</t>
        </is>
      </c>
      <c r="B50" s="1" t="n">
        <v>44740</v>
      </c>
      <c r="C50" s="1" t="n">
        <v>45914</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4014-2021</t>
        </is>
      </c>
      <c r="B51" s="1" t="n">
        <v>44218</v>
      </c>
      <c r="C51" s="1" t="n">
        <v>45914</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57920-2024</t>
        </is>
      </c>
      <c r="B52" s="1" t="n">
        <v>45631.50894675926</v>
      </c>
      <c r="C52" s="1" t="n">
        <v>45914</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32226-2025</t>
        </is>
      </c>
      <c r="B53" s="1" t="n">
        <v>45835.59478009259</v>
      </c>
      <c r="C53" s="1" t="n">
        <v>45914</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45914</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45914</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20032-2023</t>
        </is>
      </c>
      <c r="B56" s="1" t="n">
        <v>45054</v>
      </c>
      <c r="C56" s="1" t="n">
        <v>45914</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22604-2024</t>
        </is>
      </c>
      <c r="B57" s="1" t="n">
        <v>45447</v>
      </c>
      <c r="C57" s="1" t="n">
        <v>45914</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2077-2023</t>
        </is>
      </c>
      <c r="B58" s="1" t="n">
        <v>44939</v>
      </c>
      <c r="C58" s="1" t="n">
        <v>45914</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44389-2021</t>
        </is>
      </c>
      <c r="B59" s="1" t="n">
        <v>44435</v>
      </c>
      <c r="C59" s="1" t="n">
        <v>45914</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31695-2024</t>
        </is>
      </c>
      <c r="B60" s="1" t="n">
        <v>45508</v>
      </c>
      <c r="C60" s="1" t="n">
        <v>45914</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9406-2021</t>
        </is>
      </c>
      <c r="B61" s="1" t="n">
        <v>44251</v>
      </c>
      <c r="C61" s="1" t="n">
        <v>45914</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45914</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45914</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45914</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45914</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45914</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46053-2020</t>
        </is>
      </c>
      <c r="B67" s="1" t="n">
        <v>44088</v>
      </c>
      <c r="C67" s="1" t="n">
        <v>45914</v>
      </c>
      <c r="D67" t="inlineStr">
        <is>
          <t>ÖREBRO LÄN</t>
        </is>
      </c>
      <c r="E67" t="inlineStr">
        <is>
          <t>ÖREBRO</t>
        </is>
      </c>
      <c r="G67" t="n">
        <v>0.9</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45914</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45914</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45914</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45914</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13760-2021</t>
        </is>
      </c>
      <c r="B72" s="1" t="n">
        <v>44274</v>
      </c>
      <c r="C72" s="1" t="n">
        <v>45914</v>
      </c>
      <c r="D72" t="inlineStr">
        <is>
          <t>ÖREBRO LÄN</t>
        </is>
      </c>
      <c r="E72" t="inlineStr">
        <is>
          <t>ÖREBRO</t>
        </is>
      </c>
      <c r="G72" t="n">
        <v>2.1</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45914</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45914</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45914</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45914</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45914</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45914</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45914</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45914</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45914</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45914</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45914</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45914</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45914</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45914</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45914</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45914</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14877-2022</t>
        </is>
      </c>
      <c r="B89" s="1" t="n">
        <v>44656</v>
      </c>
      <c r="C89" s="1" t="n">
        <v>45914</v>
      </c>
      <c r="D89" t="inlineStr">
        <is>
          <t>ÖREBRO LÄN</t>
        </is>
      </c>
      <c r="E89" t="inlineStr">
        <is>
          <t>ÖREBRO</t>
        </is>
      </c>
      <c r="G89" t="n">
        <v>3.8</v>
      </c>
      <c r="H89" t="n">
        <v>0</v>
      </c>
      <c r="I89" t="n">
        <v>0</v>
      </c>
      <c r="J89" t="n">
        <v>0</v>
      </c>
      <c r="K89" t="n">
        <v>0</v>
      </c>
      <c r="L89" t="n">
        <v>0</v>
      </c>
      <c r="M89" t="n">
        <v>0</v>
      </c>
      <c r="N89" t="n">
        <v>0</v>
      </c>
      <c r="O89" t="n">
        <v>0</v>
      </c>
      <c r="P89" t="n">
        <v>0</v>
      </c>
      <c r="Q89" t="n">
        <v>0</v>
      </c>
      <c r="R89" s="2" t="inlineStr"/>
    </row>
    <row r="90" ht="15" customHeight="1">
      <c r="A90" t="inlineStr">
        <is>
          <t>A 14878-2022</t>
        </is>
      </c>
      <c r="B90" s="1" t="n">
        <v>44656</v>
      </c>
      <c r="C90" s="1" t="n">
        <v>45914</v>
      </c>
      <c r="D90" t="inlineStr">
        <is>
          <t>ÖREBRO LÄN</t>
        </is>
      </c>
      <c r="E90" t="inlineStr">
        <is>
          <t>ÖREBRO</t>
        </is>
      </c>
      <c r="G90" t="n">
        <v>5.4</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45914</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45914</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45914</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45914</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45914</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45914</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45914</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45914</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45914</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45914</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45914</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45914</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45914</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45914</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45914</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45914</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45914</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45914</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15571-2021</t>
        </is>
      </c>
      <c r="B109" s="1" t="n">
        <v>44285</v>
      </c>
      <c r="C109" s="1" t="n">
        <v>45914</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45914</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45914</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45914</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45914</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45914</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26153-2021</t>
        </is>
      </c>
      <c r="B115" s="1" t="n">
        <v>44347</v>
      </c>
      <c r="C115" s="1" t="n">
        <v>45914</v>
      </c>
      <c r="D115" t="inlineStr">
        <is>
          <t>ÖREBRO LÄN</t>
        </is>
      </c>
      <c r="E115" t="inlineStr">
        <is>
          <t>ÖREBRO</t>
        </is>
      </c>
      <c r="G115" t="n">
        <v>1.5</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45914</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45914</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35836-2021</t>
        </is>
      </c>
      <c r="B118" s="1" t="n">
        <v>44386</v>
      </c>
      <c r="C118" s="1" t="n">
        <v>45914</v>
      </c>
      <c r="D118" t="inlineStr">
        <is>
          <t>ÖREBRO LÄN</t>
        </is>
      </c>
      <c r="E118" t="inlineStr">
        <is>
          <t>ÖREBRO</t>
        </is>
      </c>
      <c r="F118" t="inlineStr">
        <is>
          <t>Kommuner</t>
        </is>
      </c>
      <c r="G118" t="n">
        <v>2.1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45914</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45914</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45914</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45914</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45914</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44146-2021</t>
        </is>
      </c>
      <c r="B124" s="1" t="n">
        <v>44434</v>
      </c>
      <c r="C124" s="1" t="n">
        <v>45914</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45914</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45914</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61232-2021</t>
        </is>
      </c>
      <c r="B127" s="1" t="n">
        <v>44498</v>
      </c>
      <c r="C127" s="1" t="n">
        <v>45914</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45914</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46607-2020</t>
        </is>
      </c>
      <c r="B129" s="1" t="n">
        <v>44095</v>
      </c>
      <c r="C129" s="1" t="n">
        <v>45914</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45914</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30760-2022</t>
        </is>
      </c>
      <c r="B131" s="1" t="n">
        <v>44764.51827546296</v>
      </c>
      <c r="C131" s="1" t="n">
        <v>45914</v>
      </c>
      <c r="D131" t="inlineStr">
        <is>
          <t>ÖREBRO LÄN</t>
        </is>
      </c>
      <c r="E131" t="inlineStr">
        <is>
          <t>ÖREBRO</t>
        </is>
      </c>
      <c r="G131" t="n">
        <v>4</v>
      </c>
      <c r="H131" t="n">
        <v>0</v>
      </c>
      <c r="I131" t="n">
        <v>0</v>
      </c>
      <c r="J131" t="n">
        <v>0</v>
      </c>
      <c r="K131" t="n">
        <v>0</v>
      </c>
      <c r="L131" t="n">
        <v>0</v>
      </c>
      <c r="M131" t="n">
        <v>0</v>
      </c>
      <c r="N131" t="n">
        <v>0</v>
      </c>
      <c r="O131" t="n">
        <v>0</v>
      </c>
      <c r="P131" t="n">
        <v>0</v>
      </c>
      <c r="Q131" t="n">
        <v>0</v>
      </c>
      <c r="R131" s="2" t="inlineStr"/>
    </row>
    <row r="132" ht="15" customHeight="1">
      <c r="A132" t="inlineStr">
        <is>
          <t>A 29490-2022</t>
        </is>
      </c>
      <c r="B132" s="1" t="n">
        <v>44753</v>
      </c>
      <c r="C132" s="1" t="n">
        <v>45914</v>
      </c>
      <c r="D132" t="inlineStr">
        <is>
          <t>ÖREBRO LÄN</t>
        </is>
      </c>
      <c r="E132" t="inlineStr">
        <is>
          <t>ÖREBRO</t>
        </is>
      </c>
      <c r="F132" t="inlineStr">
        <is>
          <t>Kommuner</t>
        </is>
      </c>
      <c r="G132" t="n">
        <v>0.3</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45914</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45914</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66936-2021</t>
        </is>
      </c>
      <c r="B135" s="1" t="n">
        <v>44522.56349537037</v>
      </c>
      <c r="C135" s="1" t="n">
        <v>45914</v>
      </c>
      <c r="D135" t="inlineStr">
        <is>
          <t>ÖREBRO LÄN</t>
        </is>
      </c>
      <c r="E135" t="inlineStr">
        <is>
          <t>ÖREBRO</t>
        </is>
      </c>
      <c r="G135" t="n">
        <v>6.8</v>
      </c>
      <c r="H135" t="n">
        <v>0</v>
      </c>
      <c r="I135" t="n">
        <v>0</v>
      </c>
      <c r="J135" t="n">
        <v>0</v>
      </c>
      <c r="K135" t="n">
        <v>0</v>
      </c>
      <c r="L135" t="n">
        <v>0</v>
      </c>
      <c r="M135" t="n">
        <v>0</v>
      </c>
      <c r="N135" t="n">
        <v>0</v>
      </c>
      <c r="O135" t="n">
        <v>0</v>
      </c>
      <c r="P135" t="n">
        <v>0</v>
      </c>
      <c r="Q135" t="n">
        <v>0</v>
      </c>
      <c r="R135" s="2" t="inlineStr"/>
    </row>
    <row r="136" ht="15" customHeight="1">
      <c r="A136" t="inlineStr">
        <is>
          <t>A 44131-2022</t>
        </is>
      </c>
      <c r="B136" s="1" t="n">
        <v>44839</v>
      </c>
      <c r="C136" s="1" t="n">
        <v>45914</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45914</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45914</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45914</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45914</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16258-2022</t>
        </is>
      </c>
      <c r="B141" s="1" t="n">
        <v>44670</v>
      </c>
      <c r="C141" s="1" t="n">
        <v>45914</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15422-2022</t>
        </is>
      </c>
      <c r="B142" s="1" t="n">
        <v>44659.63753472222</v>
      </c>
      <c r="C142" s="1" t="n">
        <v>45914</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7117-2021</t>
        </is>
      </c>
      <c r="B143" s="1" t="n">
        <v>44238</v>
      </c>
      <c r="C143" s="1" t="n">
        <v>45914</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46092-2020</t>
        </is>
      </c>
      <c r="B144" s="1" t="n">
        <v>44091</v>
      </c>
      <c r="C144" s="1" t="n">
        <v>45914</v>
      </c>
      <c r="D144" t="inlineStr">
        <is>
          <t>ÖREBRO LÄN</t>
        </is>
      </c>
      <c r="E144" t="inlineStr">
        <is>
          <t>ÖREBRO</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26509-2021</t>
        </is>
      </c>
      <c r="B145" s="1" t="n">
        <v>44348.45107638889</v>
      </c>
      <c r="C145" s="1" t="n">
        <v>45914</v>
      </c>
      <c r="D145" t="inlineStr">
        <is>
          <t>ÖREBRO LÄN</t>
        </is>
      </c>
      <c r="E145" t="inlineStr">
        <is>
          <t>ÖREBRO</t>
        </is>
      </c>
      <c r="G145" t="n">
        <v>2.5</v>
      </c>
      <c r="H145" t="n">
        <v>0</v>
      </c>
      <c r="I145" t="n">
        <v>0</v>
      </c>
      <c r="J145" t="n">
        <v>0</v>
      </c>
      <c r="K145" t="n">
        <v>0</v>
      </c>
      <c r="L145" t="n">
        <v>0</v>
      </c>
      <c r="M145" t="n">
        <v>0</v>
      </c>
      <c r="N145" t="n">
        <v>0</v>
      </c>
      <c r="O145" t="n">
        <v>0</v>
      </c>
      <c r="P145" t="n">
        <v>0</v>
      </c>
      <c r="Q145" t="n">
        <v>0</v>
      </c>
      <c r="R145" s="2" t="inlineStr"/>
    </row>
    <row r="146" ht="15" customHeight="1">
      <c r="A146" t="inlineStr">
        <is>
          <t>A 4766-2022</t>
        </is>
      </c>
      <c r="B146" s="1" t="n">
        <v>44592</v>
      </c>
      <c r="C146" s="1" t="n">
        <v>45914</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3087-2021</t>
        </is>
      </c>
      <c r="B147" s="1" t="n">
        <v>44216</v>
      </c>
      <c r="C147" s="1" t="n">
        <v>45914</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32231-2022</t>
        </is>
      </c>
      <c r="B148" s="1" t="n">
        <v>44781</v>
      </c>
      <c r="C148" s="1" t="n">
        <v>45914</v>
      </c>
      <c r="D148" t="inlineStr">
        <is>
          <t>ÖREBRO LÄN</t>
        </is>
      </c>
      <c r="E148" t="inlineStr">
        <is>
          <t>ÖREBRO</t>
        </is>
      </c>
      <c r="G148" t="n">
        <v>1</v>
      </c>
      <c r="H148" t="n">
        <v>0</v>
      </c>
      <c r="I148" t="n">
        <v>0</v>
      </c>
      <c r="J148" t="n">
        <v>0</v>
      </c>
      <c r="K148" t="n">
        <v>0</v>
      </c>
      <c r="L148" t="n">
        <v>0</v>
      </c>
      <c r="M148" t="n">
        <v>0</v>
      </c>
      <c r="N148" t="n">
        <v>0</v>
      </c>
      <c r="O148" t="n">
        <v>0</v>
      </c>
      <c r="P148" t="n">
        <v>0</v>
      </c>
      <c r="Q148" t="n">
        <v>0</v>
      </c>
      <c r="R148" s="2" t="inlineStr"/>
    </row>
    <row r="149" ht="15" customHeight="1">
      <c r="A149" t="inlineStr">
        <is>
          <t>A 32247-2022</t>
        </is>
      </c>
      <c r="B149" s="1" t="n">
        <v>44781</v>
      </c>
      <c r="C149" s="1" t="n">
        <v>45914</v>
      </c>
      <c r="D149" t="inlineStr">
        <is>
          <t>ÖREBRO LÄN</t>
        </is>
      </c>
      <c r="E149" t="inlineStr">
        <is>
          <t>ÖREBRO</t>
        </is>
      </c>
      <c r="G149" t="n">
        <v>3</v>
      </c>
      <c r="H149" t="n">
        <v>0</v>
      </c>
      <c r="I149" t="n">
        <v>0</v>
      </c>
      <c r="J149" t="n">
        <v>0</v>
      </c>
      <c r="K149" t="n">
        <v>0</v>
      </c>
      <c r="L149" t="n">
        <v>0</v>
      </c>
      <c r="M149" t="n">
        <v>0</v>
      </c>
      <c r="N149" t="n">
        <v>0</v>
      </c>
      <c r="O149" t="n">
        <v>0</v>
      </c>
      <c r="P149" t="n">
        <v>0</v>
      </c>
      <c r="Q149" t="n">
        <v>0</v>
      </c>
      <c r="R149" s="2" t="inlineStr"/>
    </row>
    <row r="150" ht="15" customHeight="1">
      <c r="A150" t="inlineStr">
        <is>
          <t>A 40312-2021</t>
        </is>
      </c>
      <c r="B150" s="1" t="n">
        <v>44419</v>
      </c>
      <c r="C150" s="1" t="n">
        <v>45914</v>
      </c>
      <c r="D150" t="inlineStr">
        <is>
          <t>ÖREBRO LÄN</t>
        </is>
      </c>
      <c r="E150" t="inlineStr">
        <is>
          <t>ÖREBRO</t>
        </is>
      </c>
      <c r="F150" t="inlineStr">
        <is>
          <t>Övriga Aktiebolag</t>
        </is>
      </c>
      <c r="G150" t="n">
        <v>2.6</v>
      </c>
      <c r="H150" t="n">
        <v>0</v>
      </c>
      <c r="I150" t="n">
        <v>0</v>
      </c>
      <c r="J150" t="n">
        <v>0</v>
      </c>
      <c r="K150" t="n">
        <v>0</v>
      </c>
      <c r="L150" t="n">
        <v>0</v>
      </c>
      <c r="M150" t="n">
        <v>0</v>
      </c>
      <c r="N150" t="n">
        <v>0</v>
      </c>
      <c r="O150" t="n">
        <v>0</v>
      </c>
      <c r="P150" t="n">
        <v>0</v>
      </c>
      <c r="Q150" t="n">
        <v>0</v>
      </c>
      <c r="R150" s="2" t="inlineStr"/>
    </row>
    <row r="151" ht="15" customHeight="1">
      <c r="A151" t="inlineStr">
        <is>
          <t>A 63247-2021</t>
        </is>
      </c>
      <c r="B151" s="1" t="n">
        <v>44505</v>
      </c>
      <c r="C151" s="1" t="n">
        <v>45914</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41553-2022</t>
        </is>
      </c>
      <c r="B152" s="1" t="n">
        <v>44827.3940625</v>
      </c>
      <c r="C152" s="1" t="n">
        <v>45914</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45914</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14562-2022</t>
        </is>
      </c>
      <c r="B154" s="1" t="n">
        <v>44655</v>
      </c>
      <c r="C154" s="1" t="n">
        <v>45914</v>
      </c>
      <c r="D154" t="inlineStr">
        <is>
          <t>ÖREBRO LÄN</t>
        </is>
      </c>
      <c r="E154" t="inlineStr">
        <is>
          <t>ÖREBRO</t>
        </is>
      </c>
      <c r="G154" t="n">
        <v>3.6</v>
      </c>
      <c r="H154" t="n">
        <v>0</v>
      </c>
      <c r="I154" t="n">
        <v>0</v>
      </c>
      <c r="J154" t="n">
        <v>0</v>
      </c>
      <c r="K154" t="n">
        <v>0</v>
      </c>
      <c r="L154" t="n">
        <v>0</v>
      </c>
      <c r="M154" t="n">
        <v>0</v>
      </c>
      <c r="N154" t="n">
        <v>0</v>
      </c>
      <c r="O154" t="n">
        <v>0</v>
      </c>
      <c r="P154" t="n">
        <v>0</v>
      </c>
      <c r="Q154" t="n">
        <v>0</v>
      </c>
      <c r="R154" s="2" t="inlineStr"/>
    </row>
    <row r="155" ht="15" customHeight="1">
      <c r="A155" t="inlineStr">
        <is>
          <t>A 62651-2020</t>
        </is>
      </c>
      <c r="B155" s="1" t="n">
        <v>44161</v>
      </c>
      <c r="C155" s="1" t="n">
        <v>45914</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45914</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60311-2020</t>
        </is>
      </c>
      <c r="B157" s="1" t="n">
        <v>44151</v>
      </c>
      <c r="C157" s="1" t="n">
        <v>45914</v>
      </c>
      <c r="D157" t="inlineStr">
        <is>
          <t>ÖREBRO LÄN</t>
        </is>
      </c>
      <c r="E157" t="inlineStr">
        <is>
          <t>ÖREBRO</t>
        </is>
      </c>
      <c r="F157" t="inlineStr">
        <is>
          <t>Kommuner</t>
        </is>
      </c>
      <c r="G157" t="n">
        <v>0.8</v>
      </c>
      <c r="H157" t="n">
        <v>0</v>
      </c>
      <c r="I157" t="n">
        <v>0</v>
      </c>
      <c r="J157" t="n">
        <v>0</v>
      </c>
      <c r="K157" t="n">
        <v>0</v>
      </c>
      <c r="L157" t="n">
        <v>0</v>
      </c>
      <c r="M157" t="n">
        <v>0</v>
      </c>
      <c r="N157" t="n">
        <v>0</v>
      </c>
      <c r="O157" t="n">
        <v>0</v>
      </c>
      <c r="P157" t="n">
        <v>0</v>
      </c>
      <c r="Q157" t="n">
        <v>0</v>
      </c>
      <c r="R157" s="2" t="inlineStr"/>
    </row>
    <row r="158" ht="15" customHeight="1">
      <c r="A158" t="inlineStr">
        <is>
          <t>A 19831-2021</t>
        </is>
      </c>
      <c r="B158" s="1" t="n">
        <v>44313</v>
      </c>
      <c r="C158" s="1" t="n">
        <v>45914</v>
      </c>
      <c r="D158" t="inlineStr">
        <is>
          <t>ÖREBRO LÄN</t>
        </is>
      </c>
      <c r="E158" t="inlineStr">
        <is>
          <t>ÖREBRO</t>
        </is>
      </c>
      <c r="G158" t="n">
        <v>3.2</v>
      </c>
      <c r="H158" t="n">
        <v>0</v>
      </c>
      <c r="I158" t="n">
        <v>0</v>
      </c>
      <c r="J158" t="n">
        <v>0</v>
      </c>
      <c r="K158" t="n">
        <v>0</v>
      </c>
      <c r="L158" t="n">
        <v>0</v>
      </c>
      <c r="M158" t="n">
        <v>0</v>
      </c>
      <c r="N158" t="n">
        <v>0</v>
      </c>
      <c r="O158" t="n">
        <v>0</v>
      </c>
      <c r="P158" t="n">
        <v>0</v>
      </c>
      <c r="Q158" t="n">
        <v>0</v>
      </c>
      <c r="R158" s="2" t="inlineStr"/>
    </row>
    <row r="159" ht="15" customHeight="1">
      <c r="A159" t="inlineStr">
        <is>
          <t>A 5357-2024</t>
        </is>
      </c>
      <c r="B159" s="1" t="n">
        <v>45331</v>
      </c>
      <c r="C159" s="1" t="n">
        <v>45914</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15354-2024</t>
        </is>
      </c>
      <c r="B160" s="1" t="n">
        <v>45400.85319444445</v>
      </c>
      <c r="C160" s="1" t="n">
        <v>45914</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11067-2025</t>
        </is>
      </c>
      <c r="B161" s="1" t="n">
        <v>45723</v>
      </c>
      <c r="C161" s="1" t="n">
        <v>45914</v>
      </c>
      <c r="D161" t="inlineStr">
        <is>
          <t>ÖREBRO LÄN</t>
        </is>
      </c>
      <c r="E161" t="inlineStr">
        <is>
          <t>ÖREBRO</t>
        </is>
      </c>
      <c r="G161" t="n">
        <v>3.1</v>
      </c>
      <c r="H161" t="n">
        <v>0</v>
      </c>
      <c r="I161" t="n">
        <v>0</v>
      </c>
      <c r="J161" t="n">
        <v>0</v>
      </c>
      <c r="K161" t="n">
        <v>0</v>
      </c>
      <c r="L161" t="n">
        <v>0</v>
      </c>
      <c r="M161" t="n">
        <v>0</v>
      </c>
      <c r="N161" t="n">
        <v>0</v>
      </c>
      <c r="O161" t="n">
        <v>0</v>
      </c>
      <c r="P161" t="n">
        <v>0</v>
      </c>
      <c r="Q161" t="n">
        <v>0</v>
      </c>
      <c r="R161" s="2" t="inlineStr"/>
    </row>
    <row r="162" ht="15" customHeight="1">
      <c r="A162" t="inlineStr">
        <is>
          <t>A 9585-2025</t>
        </is>
      </c>
      <c r="B162" s="1" t="n">
        <v>45715.63409722222</v>
      </c>
      <c r="C162" s="1" t="n">
        <v>45914</v>
      </c>
      <c r="D162" t="inlineStr">
        <is>
          <t>ÖREBRO LÄN</t>
        </is>
      </c>
      <c r="E162" t="inlineStr">
        <is>
          <t>ÖREBRO</t>
        </is>
      </c>
      <c r="G162" t="n">
        <v>3.4</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45914</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45914</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13169-2024</t>
        </is>
      </c>
      <c r="B165" s="1" t="n">
        <v>45386.40489583334</v>
      </c>
      <c r="C165" s="1" t="n">
        <v>45914</v>
      </c>
      <c r="D165" t="inlineStr">
        <is>
          <t>ÖREBRO LÄN</t>
        </is>
      </c>
      <c r="E165" t="inlineStr">
        <is>
          <t>ÖREBRO</t>
        </is>
      </c>
      <c r="G165" t="n">
        <v>4.3</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45914</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6638-2022</t>
        </is>
      </c>
      <c r="B167" s="1" t="n">
        <v>44601</v>
      </c>
      <c r="C167" s="1" t="n">
        <v>45914</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14234-2024</t>
        </is>
      </c>
      <c r="B168" s="1" t="n">
        <v>45393.46980324074</v>
      </c>
      <c r="C168" s="1" t="n">
        <v>45914</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52256-2023</t>
        </is>
      </c>
      <c r="B169" s="1" t="n">
        <v>45224.51471064815</v>
      </c>
      <c r="C169" s="1" t="n">
        <v>45914</v>
      </c>
      <c r="D169" t="inlineStr">
        <is>
          <t>ÖREBRO LÄN</t>
        </is>
      </c>
      <c r="E169" t="inlineStr">
        <is>
          <t>ÖREBRO</t>
        </is>
      </c>
      <c r="G169" t="n">
        <v>2.8</v>
      </c>
      <c r="H169" t="n">
        <v>0</v>
      </c>
      <c r="I169" t="n">
        <v>0</v>
      </c>
      <c r="J169" t="n">
        <v>0</v>
      </c>
      <c r="K169" t="n">
        <v>0</v>
      </c>
      <c r="L169" t="n">
        <v>0</v>
      </c>
      <c r="M169" t="n">
        <v>0</v>
      </c>
      <c r="N169" t="n">
        <v>0</v>
      </c>
      <c r="O169" t="n">
        <v>0</v>
      </c>
      <c r="P169" t="n">
        <v>0</v>
      </c>
      <c r="Q169" t="n">
        <v>0</v>
      </c>
      <c r="R169" s="2" t="inlineStr"/>
    </row>
    <row r="170" ht="15" customHeight="1">
      <c r="A170" t="inlineStr">
        <is>
          <t>A 19978-2025</t>
        </is>
      </c>
      <c r="B170" s="1" t="n">
        <v>45771.7062037037</v>
      </c>
      <c r="C170" s="1" t="n">
        <v>45914</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5762-2025</t>
        </is>
      </c>
      <c r="B171" s="1" t="n">
        <v>45694.57181712963</v>
      </c>
      <c r="C171" s="1" t="n">
        <v>45914</v>
      </c>
      <c r="D171" t="inlineStr">
        <is>
          <t>ÖREBRO LÄN</t>
        </is>
      </c>
      <c r="E171" t="inlineStr">
        <is>
          <t>ÖREBRO</t>
        </is>
      </c>
      <c r="F171" t="inlineStr">
        <is>
          <t>Övriga Aktiebolag</t>
        </is>
      </c>
      <c r="G171" t="n">
        <v>1.5</v>
      </c>
      <c r="H171" t="n">
        <v>0</v>
      </c>
      <c r="I171" t="n">
        <v>0</v>
      </c>
      <c r="J171" t="n">
        <v>0</v>
      </c>
      <c r="K171" t="n">
        <v>0</v>
      </c>
      <c r="L171" t="n">
        <v>0</v>
      </c>
      <c r="M171" t="n">
        <v>0</v>
      </c>
      <c r="N171" t="n">
        <v>0</v>
      </c>
      <c r="O171" t="n">
        <v>0</v>
      </c>
      <c r="P171" t="n">
        <v>0</v>
      </c>
      <c r="Q171" t="n">
        <v>0</v>
      </c>
      <c r="R171" s="2" t="inlineStr"/>
    </row>
    <row r="172" ht="15" customHeight="1">
      <c r="A172" t="inlineStr">
        <is>
          <t>A 45029-2020</t>
        </is>
      </c>
      <c r="B172" s="1" t="n">
        <v>44088</v>
      </c>
      <c r="C172" s="1" t="n">
        <v>45914</v>
      </c>
      <c r="D172" t="inlineStr">
        <is>
          <t>ÖREBRO LÄN</t>
        </is>
      </c>
      <c r="E172" t="inlineStr">
        <is>
          <t>ÖREBRO</t>
        </is>
      </c>
      <c r="G172" t="n">
        <v>3.8</v>
      </c>
      <c r="H172" t="n">
        <v>0</v>
      </c>
      <c r="I172" t="n">
        <v>0</v>
      </c>
      <c r="J172" t="n">
        <v>0</v>
      </c>
      <c r="K172" t="n">
        <v>0</v>
      </c>
      <c r="L172" t="n">
        <v>0</v>
      </c>
      <c r="M172" t="n">
        <v>0</v>
      </c>
      <c r="N172" t="n">
        <v>0</v>
      </c>
      <c r="O172" t="n">
        <v>0</v>
      </c>
      <c r="P172" t="n">
        <v>0</v>
      </c>
      <c r="Q172" t="n">
        <v>0</v>
      </c>
      <c r="R172" s="2" t="inlineStr"/>
    </row>
    <row r="173" ht="15" customHeight="1">
      <c r="A173" t="inlineStr">
        <is>
          <t>A 55593-2022</t>
        </is>
      </c>
      <c r="B173" s="1" t="n">
        <v>44888</v>
      </c>
      <c r="C173" s="1" t="n">
        <v>45914</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58277-2022</t>
        </is>
      </c>
      <c r="B174" s="1" t="n">
        <v>44901.48108796297</v>
      </c>
      <c r="C174" s="1" t="n">
        <v>45914</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31906-2023</t>
        </is>
      </c>
      <c r="B175" s="1" t="n">
        <v>45118.8353125</v>
      </c>
      <c r="C175" s="1" t="n">
        <v>45914</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50446-2023</t>
        </is>
      </c>
      <c r="B176" s="1" t="n">
        <v>45216</v>
      </c>
      <c r="C176" s="1" t="n">
        <v>45914</v>
      </c>
      <c r="D176" t="inlineStr">
        <is>
          <t>ÖREBRO LÄN</t>
        </is>
      </c>
      <c r="E176" t="inlineStr">
        <is>
          <t>ÖREBRO</t>
        </is>
      </c>
      <c r="F176" t="inlineStr">
        <is>
          <t>Övriga Aktiebolag</t>
        </is>
      </c>
      <c r="G176" t="n">
        <v>2.8</v>
      </c>
      <c r="H176" t="n">
        <v>0</v>
      </c>
      <c r="I176" t="n">
        <v>0</v>
      </c>
      <c r="J176" t="n">
        <v>0</v>
      </c>
      <c r="K176" t="n">
        <v>0</v>
      </c>
      <c r="L176" t="n">
        <v>0</v>
      </c>
      <c r="M176" t="n">
        <v>0</v>
      </c>
      <c r="N176" t="n">
        <v>0</v>
      </c>
      <c r="O176" t="n">
        <v>0</v>
      </c>
      <c r="P176" t="n">
        <v>0</v>
      </c>
      <c r="Q176" t="n">
        <v>0</v>
      </c>
      <c r="R176" s="2" t="inlineStr"/>
    </row>
    <row r="177" ht="15" customHeight="1">
      <c r="A177" t="inlineStr">
        <is>
          <t>A 50450-2023</t>
        </is>
      </c>
      <c r="B177" s="1" t="n">
        <v>45216.73533564815</v>
      </c>
      <c r="C177" s="1" t="n">
        <v>45914</v>
      </c>
      <c r="D177" t="inlineStr">
        <is>
          <t>ÖREBRO LÄN</t>
        </is>
      </c>
      <c r="E177" t="inlineStr">
        <is>
          <t>ÖREBRO</t>
        </is>
      </c>
      <c r="F177" t="inlineStr">
        <is>
          <t>Övriga Aktiebolag</t>
        </is>
      </c>
      <c r="G177" t="n">
        <v>0.8</v>
      </c>
      <c r="H177" t="n">
        <v>0</v>
      </c>
      <c r="I177" t="n">
        <v>0</v>
      </c>
      <c r="J177" t="n">
        <v>0</v>
      </c>
      <c r="K177" t="n">
        <v>0</v>
      </c>
      <c r="L177" t="n">
        <v>0</v>
      </c>
      <c r="M177" t="n">
        <v>0</v>
      </c>
      <c r="N177" t="n">
        <v>0</v>
      </c>
      <c r="O177" t="n">
        <v>0</v>
      </c>
      <c r="P177" t="n">
        <v>0</v>
      </c>
      <c r="Q177" t="n">
        <v>0</v>
      </c>
      <c r="R177" s="2" t="inlineStr"/>
    </row>
    <row r="178" ht="15" customHeight="1">
      <c r="A178" t="inlineStr">
        <is>
          <t>A 62794-2021</t>
        </is>
      </c>
      <c r="B178" s="1" t="n">
        <v>44504</v>
      </c>
      <c r="C178" s="1" t="n">
        <v>45914</v>
      </c>
      <c r="D178" t="inlineStr">
        <is>
          <t>ÖREBRO LÄN</t>
        </is>
      </c>
      <c r="E178" t="inlineStr">
        <is>
          <t>ÖREBRO</t>
        </is>
      </c>
      <c r="G178" t="n">
        <v>3.3</v>
      </c>
      <c r="H178" t="n">
        <v>0</v>
      </c>
      <c r="I178" t="n">
        <v>0</v>
      </c>
      <c r="J178" t="n">
        <v>0</v>
      </c>
      <c r="K178" t="n">
        <v>0</v>
      </c>
      <c r="L178" t="n">
        <v>0</v>
      </c>
      <c r="M178" t="n">
        <v>0</v>
      </c>
      <c r="N178" t="n">
        <v>0</v>
      </c>
      <c r="O178" t="n">
        <v>0</v>
      </c>
      <c r="P178" t="n">
        <v>0</v>
      </c>
      <c r="Q178" t="n">
        <v>0</v>
      </c>
      <c r="R178" s="2" t="inlineStr"/>
    </row>
    <row r="179" ht="15" customHeight="1">
      <c r="A179" t="inlineStr">
        <is>
          <t>A 43612-2022</t>
        </is>
      </c>
      <c r="B179" s="1" t="n">
        <v>44837</v>
      </c>
      <c r="C179" s="1" t="n">
        <v>45914</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52612-2024</t>
        </is>
      </c>
      <c r="B180" s="1" t="n">
        <v>45609</v>
      </c>
      <c r="C180" s="1" t="n">
        <v>45914</v>
      </c>
      <c r="D180" t="inlineStr">
        <is>
          <t>ÖREBRO LÄN</t>
        </is>
      </c>
      <c r="E180" t="inlineStr">
        <is>
          <t>ÖREBRO</t>
        </is>
      </c>
      <c r="F180" t="inlineStr">
        <is>
          <t>Kommuner</t>
        </is>
      </c>
      <c r="G180" t="n">
        <v>5.5</v>
      </c>
      <c r="H180" t="n">
        <v>0</v>
      </c>
      <c r="I180" t="n">
        <v>0</v>
      </c>
      <c r="J180" t="n">
        <v>0</v>
      </c>
      <c r="K180" t="n">
        <v>0</v>
      </c>
      <c r="L180" t="n">
        <v>0</v>
      </c>
      <c r="M180" t="n">
        <v>0</v>
      </c>
      <c r="N180" t="n">
        <v>0</v>
      </c>
      <c r="O180" t="n">
        <v>0</v>
      </c>
      <c r="P180" t="n">
        <v>0</v>
      </c>
      <c r="Q180" t="n">
        <v>0</v>
      </c>
      <c r="R180" s="2" t="inlineStr"/>
    </row>
    <row r="181" ht="15" customHeight="1">
      <c r="A181" t="inlineStr">
        <is>
          <t>A 6387-2021</t>
        </is>
      </c>
      <c r="B181" s="1" t="n">
        <v>44235</v>
      </c>
      <c r="C181" s="1" t="n">
        <v>45914</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5795-2024</t>
        </is>
      </c>
      <c r="B182" s="1" t="n">
        <v>45335.4531712963</v>
      </c>
      <c r="C182" s="1" t="n">
        <v>45914</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37771-2024</t>
        </is>
      </c>
      <c r="B183" s="1" t="n">
        <v>45542.31359953704</v>
      </c>
      <c r="C183" s="1" t="n">
        <v>45914</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15652-2025</t>
        </is>
      </c>
      <c r="B184" s="1" t="n">
        <v>45748</v>
      </c>
      <c r="C184" s="1" t="n">
        <v>45914</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57343-2021</t>
        </is>
      </c>
      <c r="B185" s="1" t="n">
        <v>44482</v>
      </c>
      <c r="C185" s="1" t="n">
        <v>45914</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10937-2024</t>
        </is>
      </c>
      <c r="B186" s="1" t="n">
        <v>45370.44461805555</v>
      </c>
      <c r="C186" s="1" t="n">
        <v>45914</v>
      </c>
      <c r="D186" t="inlineStr">
        <is>
          <t>ÖREBRO LÄN</t>
        </is>
      </c>
      <c r="E186" t="inlineStr">
        <is>
          <t>ÖREBRO</t>
        </is>
      </c>
      <c r="G186" t="n">
        <v>4.3</v>
      </c>
      <c r="H186" t="n">
        <v>0</v>
      </c>
      <c r="I186" t="n">
        <v>0</v>
      </c>
      <c r="J186" t="n">
        <v>0</v>
      </c>
      <c r="K186" t="n">
        <v>0</v>
      </c>
      <c r="L186" t="n">
        <v>0</v>
      </c>
      <c r="M186" t="n">
        <v>0</v>
      </c>
      <c r="N186" t="n">
        <v>0</v>
      </c>
      <c r="O186" t="n">
        <v>0</v>
      </c>
      <c r="P186" t="n">
        <v>0</v>
      </c>
      <c r="Q186" t="n">
        <v>0</v>
      </c>
      <c r="R186" s="2" t="inlineStr"/>
    </row>
    <row r="187" ht="15" customHeight="1">
      <c r="A187" t="inlineStr">
        <is>
          <t>A 22079-2023</t>
        </is>
      </c>
      <c r="B187" s="1" t="n">
        <v>45069</v>
      </c>
      <c r="C187" s="1" t="n">
        <v>45914</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2076-2025</t>
        </is>
      </c>
      <c r="B188" s="1" t="n">
        <v>45672</v>
      </c>
      <c r="C188" s="1" t="n">
        <v>45914</v>
      </c>
      <c r="D188" t="inlineStr">
        <is>
          <t>ÖREBRO LÄN</t>
        </is>
      </c>
      <c r="E188" t="inlineStr">
        <is>
          <t>ÖREBRO</t>
        </is>
      </c>
      <c r="G188" t="n">
        <v>1</v>
      </c>
      <c r="H188" t="n">
        <v>0</v>
      </c>
      <c r="I188" t="n">
        <v>0</v>
      </c>
      <c r="J188" t="n">
        <v>0</v>
      </c>
      <c r="K188" t="n">
        <v>0</v>
      </c>
      <c r="L188" t="n">
        <v>0</v>
      </c>
      <c r="M188" t="n">
        <v>0</v>
      </c>
      <c r="N188" t="n">
        <v>0</v>
      </c>
      <c r="O188" t="n">
        <v>0</v>
      </c>
      <c r="P188" t="n">
        <v>0</v>
      </c>
      <c r="Q188" t="n">
        <v>0</v>
      </c>
      <c r="R188" s="2" t="inlineStr"/>
    </row>
    <row r="189" ht="15" customHeight="1">
      <c r="A189" t="inlineStr">
        <is>
          <t>A 52447-2024</t>
        </is>
      </c>
      <c r="B189" s="1" t="n">
        <v>45609.49157407408</v>
      </c>
      <c r="C189" s="1" t="n">
        <v>45914</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14960-2025</t>
        </is>
      </c>
      <c r="B190" s="1" t="n">
        <v>45743.5853125</v>
      </c>
      <c r="C190" s="1" t="n">
        <v>45914</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60022-2024</t>
        </is>
      </c>
      <c r="B191" s="1" t="n">
        <v>45642</v>
      </c>
      <c r="C191" s="1" t="n">
        <v>45914</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42138-2024</t>
        </is>
      </c>
      <c r="B192" s="1" t="n">
        <v>45562.41854166667</v>
      </c>
      <c r="C192" s="1" t="n">
        <v>45914</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3841-2023</t>
        </is>
      </c>
      <c r="B193" s="1" t="n">
        <v>44951</v>
      </c>
      <c r="C193" s="1" t="n">
        <v>45914</v>
      </c>
      <c r="D193" t="inlineStr">
        <is>
          <t>ÖREBRO LÄN</t>
        </is>
      </c>
      <c r="E193" t="inlineStr">
        <is>
          <t>ÖREBRO</t>
        </is>
      </c>
      <c r="G193" t="n">
        <v>4.3</v>
      </c>
      <c r="H193" t="n">
        <v>0</v>
      </c>
      <c r="I193" t="n">
        <v>0</v>
      </c>
      <c r="J193" t="n">
        <v>0</v>
      </c>
      <c r="K193" t="n">
        <v>0</v>
      </c>
      <c r="L193" t="n">
        <v>0</v>
      </c>
      <c r="M193" t="n">
        <v>0</v>
      </c>
      <c r="N193" t="n">
        <v>0</v>
      </c>
      <c r="O193" t="n">
        <v>0</v>
      </c>
      <c r="P193" t="n">
        <v>0</v>
      </c>
      <c r="Q193" t="n">
        <v>0</v>
      </c>
      <c r="R193" s="2" t="inlineStr"/>
    </row>
    <row r="194" ht="15" customHeight="1">
      <c r="A194" t="inlineStr">
        <is>
          <t>A 34874-2022</t>
        </is>
      </c>
      <c r="B194" s="1" t="n">
        <v>44796</v>
      </c>
      <c r="C194" s="1" t="n">
        <v>45914</v>
      </c>
      <c r="D194" t="inlineStr">
        <is>
          <t>ÖREBRO LÄN</t>
        </is>
      </c>
      <c r="E194" t="inlineStr">
        <is>
          <t>ÖREBRO</t>
        </is>
      </c>
      <c r="F194" t="inlineStr">
        <is>
          <t>Övriga Aktiebolag</t>
        </is>
      </c>
      <c r="G194" t="n">
        <v>2.3</v>
      </c>
      <c r="H194" t="n">
        <v>0</v>
      </c>
      <c r="I194" t="n">
        <v>0</v>
      </c>
      <c r="J194" t="n">
        <v>0</v>
      </c>
      <c r="K194" t="n">
        <v>0</v>
      </c>
      <c r="L194" t="n">
        <v>0</v>
      </c>
      <c r="M194" t="n">
        <v>0</v>
      </c>
      <c r="N194" t="n">
        <v>0</v>
      </c>
      <c r="O194" t="n">
        <v>0</v>
      </c>
      <c r="P194" t="n">
        <v>0</v>
      </c>
      <c r="Q194" t="n">
        <v>0</v>
      </c>
      <c r="R194" s="2" t="inlineStr"/>
    </row>
    <row r="195" ht="15" customHeight="1">
      <c r="A195" t="inlineStr">
        <is>
          <t>A 22510-2024</t>
        </is>
      </c>
      <c r="B195" s="1" t="n">
        <v>45447.37440972222</v>
      </c>
      <c r="C195" s="1" t="n">
        <v>45914</v>
      </c>
      <c r="D195" t="inlineStr">
        <is>
          <t>ÖREBRO LÄN</t>
        </is>
      </c>
      <c r="E195" t="inlineStr">
        <is>
          <t>ÖREBRO</t>
        </is>
      </c>
      <c r="G195" t="n">
        <v>1.7</v>
      </c>
      <c r="H195" t="n">
        <v>0</v>
      </c>
      <c r="I195" t="n">
        <v>0</v>
      </c>
      <c r="J195" t="n">
        <v>0</v>
      </c>
      <c r="K195" t="n">
        <v>0</v>
      </c>
      <c r="L195" t="n">
        <v>0</v>
      </c>
      <c r="M195" t="n">
        <v>0</v>
      </c>
      <c r="N195" t="n">
        <v>0</v>
      </c>
      <c r="O195" t="n">
        <v>0</v>
      </c>
      <c r="P195" t="n">
        <v>0</v>
      </c>
      <c r="Q195" t="n">
        <v>0</v>
      </c>
      <c r="R195" s="2" t="inlineStr"/>
    </row>
    <row r="196" ht="15" customHeight="1">
      <c r="A196" t="inlineStr">
        <is>
          <t>A 21097-2025</t>
        </is>
      </c>
      <c r="B196" s="1" t="n">
        <v>45777.63863425926</v>
      </c>
      <c r="C196" s="1" t="n">
        <v>45914</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61593-2023</t>
        </is>
      </c>
      <c r="B197" s="1" t="n">
        <v>45265</v>
      </c>
      <c r="C197" s="1" t="n">
        <v>45914</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38489-2023</t>
        </is>
      </c>
      <c r="B198" s="1" t="n">
        <v>45162</v>
      </c>
      <c r="C198" s="1" t="n">
        <v>45914</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56138-2020</t>
        </is>
      </c>
      <c r="B199" s="1" t="n">
        <v>44133</v>
      </c>
      <c r="C199" s="1" t="n">
        <v>45914</v>
      </c>
      <c r="D199" t="inlineStr">
        <is>
          <t>ÖREBRO LÄN</t>
        </is>
      </c>
      <c r="E199" t="inlineStr">
        <is>
          <t>ÖREBRO</t>
        </is>
      </c>
      <c r="F199" t="inlineStr">
        <is>
          <t>Allmännings- och besparingsskogar</t>
        </is>
      </c>
      <c r="G199" t="n">
        <v>4.9</v>
      </c>
      <c r="H199" t="n">
        <v>0</v>
      </c>
      <c r="I199" t="n">
        <v>0</v>
      </c>
      <c r="J199" t="n">
        <v>0</v>
      </c>
      <c r="K199" t="n">
        <v>0</v>
      </c>
      <c r="L199" t="n">
        <v>0</v>
      </c>
      <c r="M199" t="n">
        <v>0</v>
      </c>
      <c r="N199" t="n">
        <v>0</v>
      </c>
      <c r="O199" t="n">
        <v>0</v>
      </c>
      <c r="P199" t="n">
        <v>0</v>
      </c>
      <c r="Q199" t="n">
        <v>0</v>
      </c>
      <c r="R199" s="2" t="inlineStr"/>
    </row>
    <row r="200" ht="15" customHeight="1">
      <c r="A200" t="inlineStr">
        <is>
          <t>A 70719-2021</t>
        </is>
      </c>
      <c r="B200" s="1" t="n">
        <v>44537</v>
      </c>
      <c r="C200" s="1" t="n">
        <v>45914</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38573-2023</t>
        </is>
      </c>
      <c r="B201" s="1" t="n">
        <v>45162.61837962963</v>
      </c>
      <c r="C201" s="1" t="n">
        <v>45914</v>
      </c>
      <c r="D201" t="inlineStr">
        <is>
          <t>ÖREBRO LÄN</t>
        </is>
      </c>
      <c r="E201" t="inlineStr">
        <is>
          <t>ÖREBRO</t>
        </is>
      </c>
      <c r="G201" t="n">
        <v>2.2</v>
      </c>
      <c r="H201" t="n">
        <v>0</v>
      </c>
      <c r="I201" t="n">
        <v>0</v>
      </c>
      <c r="J201" t="n">
        <v>0</v>
      </c>
      <c r="K201" t="n">
        <v>0</v>
      </c>
      <c r="L201" t="n">
        <v>0</v>
      </c>
      <c r="M201" t="n">
        <v>0</v>
      </c>
      <c r="N201" t="n">
        <v>0</v>
      </c>
      <c r="O201" t="n">
        <v>0</v>
      </c>
      <c r="P201" t="n">
        <v>0</v>
      </c>
      <c r="Q201" t="n">
        <v>0</v>
      </c>
      <c r="R201" s="2" t="inlineStr"/>
    </row>
    <row r="202" ht="15" customHeight="1">
      <c r="A202" t="inlineStr">
        <is>
          <t>A 4757-2024</t>
        </is>
      </c>
      <c r="B202" s="1" t="n">
        <v>45328</v>
      </c>
      <c r="C202" s="1" t="n">
        <v>45914</v>
      </c>
      <c r="D202" t="inlineStr">
        <is>
          <t>ÖREBRO LÄN</t>
        </is>
      </c>
      <c r="E202" t="inlineStr">
        <is>
          <t>ÖREBRO</t>
        </is>
      </c>
      <c r="G202" t="n">
        <v>1.9</v>
      </c>
      <c r="H202" t="n">
        <v>0</v>
      </c>
      <c r="I202" t="n">
        <v>0</v>
      </c>
      <c r="J202" t="n">
        <v>0</v>
      </c>
      <c r="K202" t="n">
        <v>0</v>
      </c>
      <c r="L202" t="n">
        <v>0</v>
      </c>
      <c r="M202" t="n">
        <v>0</v>
      </c>
      <c r="N202" t="n">
        <v>0</v>
      </c>
      <c r="O202" t="n">
        <v>0</v>
      </c>
      <c r="P202" t="n">
        <v>0</v>
      </c>
      <c r="Q202" t="n">
        <v>0</v>
      </c>
      <c r="R202" s="2" t="inlineStr"/>
    </row>
    <row r="203" ht="15" customHeight="1">
      <c r="A203" t="inlineStr">
        <is>
          <t>A 38842-2022</t>
        </is>
      </c>
      <c r="B203" s="1" t="n">
        <v>44814</v>
      </c>
      <c r="C203" s="1" t="n">
        <v>45914</v>
      </c>
      <c r="D203" t="inlineStr">
        <is>
          <t>ÖREBRO LÄN</t>
        </is>
      </c>
      <c r="E203" t="inlineStr">
        <is>
          <t>ÖREBRO</t>
        </is>
      </c>
      <c r="G203" t="n">
        <v>5</v>
      </c>
      <c r="H203" t="n">
        <v>0</v>
      </c>
      <c r="I203" t="n">
        <v>0</v>
      </c>
      <c r="J203" t="n">
        <v>0</v>
      </c>
      <c r="K203" t="n">
        <v>0</v>
      </c>
      <c r="L203" t="n">
        <v>0</v>
      </c>
      <c r="M203" t="n">
        <v>0</v>
      </c>
      <c r="N203" t="n">
        <v>0</v>
      </c>
      <c r="O203" t="n">
        <v>0</v>
      </c>
      <c r="P203" t="n">
        <v>0</v>
      </c>
      <c r="Q203" t="n">
        <v>0</v>
      </c>
      <c r="R203" s="2" t="inlineStr"/>
    </row>
    <row r="204" ht="15" customHeight="1">
      <c r="A204" t="inlineStr">
        <is>
          <t>A 35819-2024</t>
        </is>
      </c>
      <c r="B204" s="1" t="n">
        <v>45532</v>
      </c>
      <c r="C204" s="1" t="n">
        <v>45914</v>
      </c>
      <c r="D204" t="inlineStr">
        <is>
          <t>ÖREBRO LÄN</t>
        </is>
      </c>
      <c r="E204" t="inlineStr">
        <is>
          <t>ÖREBRO</t>
        </is>
      </c>
      <c r="G204" t="n">
        <v>6.4</v>
      </c>
      <c r="H204" t="n">
        <v>0</v>
      </c>
      <c r="I204" t="n">
        <v>0</v>
      </c>
      <c r="J204" t="n">
        <v>0</v>
      </c>
      <c r="K204" t="n">
        <v>0</v>
      </c>
      <c r="L204" t="n">
        <v>0</v>
      </c>
      <c r="M204" t="n">
        <v>0</v>
      </c>
      <c r="N204" t="n">
        <v>0</v>
      </c>
      <c r="O204" t="n">
        <v>0</v>
      </c>
      <c r="P204" t="n">
        <v>0</v>
      </c>
      <c r="Q204" t="n">
        <v>0</v>
      </c>
      <c r="R204" s="2" t="inlineStr"/>
    </row>
    <row r="205" ht="15" customHeight="1">
      <c r="A205" t="inlineStr">
        <is>
          <t>A 21578-2025</t>
        </is>
      </c>
      <c r="B205" s="1" t="n">
        <v>45782.88587962963</v>
      </c>
      <c r="C205" s="1" t="n">
        <v>45914</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32076-2023</t>
        </is>
      </c>
      <c r="B206" s="1" t="n">
        <v>45119.58324074074</v>
      </c>
      <c r="C206" s="1" t="n">
        <v>45914</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48140-2024</t>
        </is>
      </c>
      <c r="B207" s="1" t="n">
        <v>45589.66474537037</v>
      </c>
      <c r="C207" s="1" t="n">
        <v>45914</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2658-2023</t>
        </is>
      </c>
      <c r="B208" s="1" t="n">
        <v>44944</v>
      </c>
      <c r="C208" s="1" t="n">
        <v>45914</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11565-2023</t>
        </is>
      </c>
      <c r="B209" s="1" t="n">
        <v>44994</v>
      </c>
      <c r="C209" s="1" t="n">
        <v>45914</v>
      </c>
      <c r="D209" t="inlineStr">
        <is>
          <t>ÖREBRO LÄN</t>
        </is>
      </c>
      <c r="E209" t="inlineStr">
        <is>
          <t>ÖREBRO</t>
        </is>
      </c>
      <c r="G209" t="n">
        <v>4.7</v>
      </c>
      <c r="H209" t="n">
        <v>0</v>
      </c>
      <c r="I209" t="n">
        <v>0</v>
      </c>
      <c r="J209" t="n">
        <v>0</v>
      </c>
      <c r="K209" t="n">
        <v>0</v>
      </c>
      <c r="L209" t="n">
        <v>0</v>
      </c>
      <c r="M209" t="n">
        <v>0</v>
      </c>
      <c r="N209" t="n">
        <v>0</v>
      </c>
      <c r="O209" t="n">
        <v>0</v>
      </c>
      <c r="P209" t="n">
        <v>0</v>
      </c>
      <c r="Q209" t="n">
        <v>0</v>
      </c>
      <c r="R209" s="2" t="inlineStr"/>
    </row>
    <row r="210" ht="15" customHeight="1">
      <c r="A210" t="inlineStr">
        <is>
          <t>A 16736-2023</t>
        </is>
      </c>
      <c r="B210" s="1" t="n">
        <v>45030.72328703704</v>
      </c>
      <c r="C210" s="1" t="n">
        <v>45914</v>
      </c>
      <c r="D210" t="inlineStr">
        <is>
          <t>ÖREBRO LÄN</t>
        </is>
      </c>
      <c r="E210" t="inlineStr">
        <is>
          <t>ÖREBRO</t>
        </is>
      </c>
      <c r="G210" t="n">
        <v>4</v>
      </c>
      <c r="H210" t="n">
        <v>0</v>
      </c>
      <c r="I210" t="n">
        <v>0</v>
      </c>
      <c r="J210" t="n">
        <v>0</v>
      </c>
      <c r="K210" t="n">
        <v>0</v>
      </c>
      <c r="L210" t="n">
        <v>0</v>
      </c>
      <c r="M210" t="n">
        <v>0</v>
      </c>
      <c r="N210" t="n">
        <v>0</v>
      </c>
      <c r="O210" t="n">
        <v>0</v>
      </c>
      <c r="P210" t="n">
        <v>0</v>
      </c>
      <c r="Q210" t="n">
        <v>0</v>
      </c>
      <c r="R210" s="2" t="inlineStr"/>
    </row>
    <row r="211" ht="15" customHeight="1">
      <c r="A211" t="inlineStr">
        <is>
          <t>A 2630-2023</t>
        </is>
      </c>
      <c r="B211" s="1" t="n">
        <v>44944.39105324074</v>
      </c>
      <c r="C211" s="1" t="n">
        <v>45914</v>
      </c>
      <c r="D211" t="inlineStr">
        <is>
          <t>ÖREBRO LÄN</t>
        </is>
      </c>
      <c r="E211" t="inlineStr">
        <is>
          <t>ÖREBRO</t>
        </is>
      </c>
      <c r="G211" t="n">
        <v>6.1</v>
      </c>
      <c r="H211" t="n">
        <v>0</v>
      </c>
      <c r="I211" t="n">
        <v>0</v>
      </c>
      <c r="J211" t="n">
        <v>0</v>
      </c>
      <c r="K211" t="n">
        <v>0</v>
      </c>
      <c r="L211" t="n">
        <v>0</v>
      </c>
      <c r="M211" t="n">
        <v>0</v>
      </c>
      <c r="N211" t="n">
        <v>0</v>
      </c>
      <c r="O211" t="n">
        <v>0</v>
      </c>
      <c r="P211" t="n">
        <v>0</v>
      </c>
      <c r="Q211" t="n">
        <v>0</v>
      </c>
      <c r="R211" s="2" t="inlineStr"/>
    </row>
    <row r="212" ht="15" customHeight="1">
      <c r="A212" t="inlineStr">
        <is>
          <t>A 764-2024</t>
        </is>
      </c>
      <c r="B212" s="1" t="n">
        <v>45300.51512731481</v>
      </c>
      <c r="C212" s="1" t="n">
        <v>45914</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40597-2021</t>
        </is>
      </c>
      <c r="B213" s="1" t="n">
        <v>44420</v>
      </c>
      <c r="C213" s="1" t="n">
        <v>45914</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30015-2023</t>
        </is>
      </c>
      <c r="B214" s="1" t="n">
        <v>45109</v>
      </c>
      <c r="C214" s="1" t="n">
        <v>45914</v>
      </c>
      <c r="D214" t="inlineStr">
        <is>
          <t>ÖREBRO LÄN</t>
        </is>
      </c>
      <c r="E214" t="inlineStr">
        <is>
          <t>ÖREBRO</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37968-2024</t>
        </is>
      </c>
      <c r="B215" s="1" t="n">
        <v>45544</v>
      </c>
      <c r="C215" s="1" t="n">
        <v>45914</v>
      </c>
      <c r="D215" t="inlineStr">
        <is>
          <t>ÖREBRO LÄN</t>
        </is>
      </c>
      <c r="E215" t="inlineStr">
        <is>
          <t>ÖREBRO</t>
        </is>
      </c>
      <c r="G215" t="n">
        <v>2</v>
      </c>
      <c r="H215" t="n">
        <v>0</v>
      </c>
      <c r="I215" t="n">
        <v>0</v>
      </c>
      <c r="J215" t="n">
        <v>0</v>
      </c>
      <c r="K215" t="n">
        <v>0</v>
      </c>
      <c r="L215" t="n">
        <v>0</v>
      </c>
      <c r="M215" t="n">
        <v>0</v>
      </c>
      <c r="N215" t="n">
        <v>0</v>
      </c>
      <c r="O215" t="n">
        <v>0</v>
      </c>
      <c r="P215" t="n">
        <v>0</v>
      </c>
      <c r="Q215" t="n">
        <v>0</v>
      </c>
      <c r="R215" s="2" t="inlineStr"/>
    </row>
    <row r="216" ht="15" customHeight="1">
      <c r="A216" t="inlineStr">
        <is>
          <t>A 8575-2021</t>
        </is>
      </c>
      <c r="B216" s="1" t="n">
        <v>44245</v>
      </c>
      <c r="C216" s="1" t="n">
        <v>45914</v>
      </c>
      <c r="D216" t="inlineStr">
        <is>
          <t>ÖREBRO LÄN</t>
        </is>
      </c>
      <c r="E216" t="inlineStr">
        <is>
          <t>ÖREBRO</t>
        </is>
      </c>
      <c r="G216" t="n">
        <v>3.4</v>
      </c>
      <c r="H216" t="n">
        <v>0</v>
      </c>
      <c r="I216" t="n">
        <v>0</v>
      </c>
      <c r="J216" t="n">
        <v>0</v>
      </c>
      <c r="K216" t="n">
        <v>0</v>
      </c>
      <c r="L216" t="n">
        <v>0</v>
      </c>
      <c r="M216" t="n">
        <v>0</v>
      </c>
      <c r="N216" t="n">
        <v>0</v>
      </c>
      <c r="O216" t="n">
        <v>0</v>
      </c>
      <c r="P216" t="n">
        <v>0</v>
      </c>
      <c r="Q216" t="n">
        <v>0</v>
      </c>
      <c r="R216" s="2" t="inlineStr"/>
    </row>
    <row r="217" ht="15" customHeight="1">
      <c r="A217" t="inlineStr">
        <is>
          <t>A 31326-2024</t>
        </is>
      </c>
      <c r="B217" s="1" t="n">
        <v>45504.5934375</v>
      </c>
      <c r="C217" s="1" t="n">
        <v>45914</v>
      </c>
      <c r="D217" t="inlineStr">
        <is>
          <t>ÖREBRO LÄN</t>
        </is>
      </c>
      <c r="E217" t="inlineStr">
        <is>
          <t>ÖREBRO</t>
        </is>
      </c>
      <c r="G217" t="n">
        <v>6.4</v>
      </c>
      <c r="H217" t="n">
        <v>0</v>
      </c>
      <c r="I217" t="n">
        <v>0</v>
      </c>
      <c r="J217" t="n">
        <v>0</v>
      </c>
      <c r="K217" t="n">
        <v>0</v>
      </c>
      <c r="L217" t="n">
        <v>0</v>
      </c>
      <c r="M217" t="n">
        <v>0</v>
      </c>
      <c r="N217" t="n">
        <v>0</v>
      </c>
      <c r="O217" t="n">
        <v>0</v>
      </c>
      <c r="P217" t="n">
        <v>0</v>
      </c>
      <c r="Q217" t="n">
        <v>0</v>
      </c>
      <c r="R217" s="2" t="inlineStr"/>
    </row>
    <row r="218" ht="15" customHeight="1">
      <c r="A218" t="inlineStr">
        <is>
          <t>A 26338-2021</t>
        </is>
      </c>
      <c r="B218" s="1" t="n">
        <v>44347</v>
      </c>
      <c r="C218" s="1" t="n">
        <v>45914</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13418-2024</t>
        </is>
      </c>
      <c r="B219" s="1" t="n">
        <v>45387.46482638889</v>
      </c>
      <c r="C219" s="1" t="n">
        <v>45914</v>
      </c>
      <c r="D219" t="inlineStr">
        <is>
          <t>ÖREBRO LÄN</t>
        </is>
      </c>
      <c r="E219" t="inlineStr">
        <is>
          <t>ÖREBRO</t>
        </is>
      </c>
      <c r="G219" t="n">
        <v>4.2</v>
      </c>
      <c r="H219" t="n">
        <v>0</v>
      </c>
      <c r="I219" t="n">
        <v>0</v>
      </c>
      <c r="J219" t="n">
        <v>0</v>
      </c>
      <c r="K219" t="n">
        <v>0</v>
      </c>
      <c r="L219" t="n">
        <v>0</v>
      </c>
      <c r="M219" t="n">
        <v>0</v>
      </c>
      <c r="N219" t="n">
        <v>0</v>
      </c>
      <c r="O219" t="n">
        <v>0</v>
      </c>
      <c r="P219" t="n">
        <v>0</v>
      </c>
      <c r="Q219" t="n">
        <v>0</v>
      </c>
      <c r="R219" s="2" t="inlineStr"/>
    </row>
    <row r="220" ht="15" customHeight="1">
      <c r="A220" t="inlineStr">
        <is>
          <t>A 71266-2021</t>
        </is>
      </c>
      <c r="B220" s="1" t="n">
        <v>44539</v>
      </c>
      <c r="C220" s="1" t="n">
        <v>45914</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71267-2021</t>
        </is>
      </c>
      <c r="B221" s="1" t="n">
        <v>44539</v>
      </c>
      <c r="C221" s="1" t="n">
        <v>45914</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71280-2021</t>
        </is>
      </c>
      <c r="B222" s="1" t="n">
        <v>44539</v>
      </c>
      <c r="C222" s="1" t="n">
        <v>45914</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26118-2021</t>
        </is>
      </c>
      <c r="B223" s="1" t="n">
        <v>44345</v>
      </c>
      <c r="C223" s="1" t="n">
        <v>45914</v>
      </c>
      <c r="D223" t="inlineStr">
        <is>
          <t>ÖREBRO LÄN</t>
        </is>
      </c>
      <c r="E223" t="inlineStr">
        <is>
          <t>ÖREBRO</t>
        </is>
      </c>
      <c r="G223" t="n">
        <v>2.2</v>
      </c>
      <c r="H223" t="n">
        <v>0</v>
      </c>
      <c r="I223" t="n">
        <v>0</v>
      </c>
      <c r="J223" t="n">
        <v>0</v>
      </c>
      <c r="K223" t="n">
        <v>0</v>
      </c>
      <c r="L223" t="n">
        <v>0</v>
      </c>
      <c r="M223" t="n">
        <v>0</v>
      </c>
      <c r="N223" t="n">
        <v>0</v>
      </c>
      <c r="O223" t="n">
        <v>0</v>
      </c>
      <c r="P223" t="n">
        <v>0</v>
      </c>
      <c r="Q223" t="n">
        <v>0</v>
      </c>
      <c r="R223" s="2" t="inlineStr"/>
    </row>
    <row r="224" ht="15" customHeight="1">
      <c r="A224" t="inlineStr">
        <is>
          <t>A 26119-2021</t>
        </is>
      </c>
      <c r="B224" s="1" t="n">
        <v>44345.33282407407</v>
      </c>
      <c r="C224" s="1" t="n">
        <v>45914</v>
      </c>
      <c r="D224" t="inlineStr">
        <is>
          <t>ÖREBRO LÄN</t>
        </is>
      </c>
      <c r="E224" t="inlineStr">
        <is>
          <t>ÖREBRO</t>
        </is>
      </c>
      <c r="G224" t="n">
        <v>1.6</v>
      </c>
      <c r="H224" t="n">
        <v>0</v>
      </c>
      <c r="I224" t="n">
        <v>0</v>
      </c>
      <c r="J224" t="n">
        <v>0</v>
      </c>
      <c r="K224" t="n">
        <v>0</v>
      </c>
      <c r="L224" t="n">
        <v>0</v>
      </c>
      <c r="M224" t="n">
        <v>0</v>
      </c>
      <c r="N224" t="n">
        <v>0</v>
      </c>
      <c r="O224" t="n">
        <v>0</v>
      </c>
      <c r="P224" t="n">
        <v>0</v>
      </c>
      <c r="Q224" t="n">
        <v>0</v>
      </c>
      <c r="R224" s="2" t="inlineStr"/>
    </row>
    <row r="225" ht="15" customHeight="1">
      <c r="A225" t="inlineStr">
        <is>
          <t>A 42636-2023</t>
        </is>
      </c>
      <c r="B225" s="1" t="n">
        <v>45181.49559027778</v>
      </c>
      <c r="C225" s="1" t="n">
        <v>45914</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58644-2023</t>
        </is>
      </c>
      <c r="B226" s="1" t="n">
        <v>45251.58716435185</v>
      </c>
      <c r="C226" s="1" t="n">
        <v>45914</v>
      </c>
      <c r="D226" t="inlineStr">
        <is>
          <t>ÖREBRO LÄN</t>
        </is>
      </c>
      <c r="E226" t="inlineStr">
        <is>
          <t>ÖREBRO</t>
        </is>
      </c>
      <c r="F226" t="inlineStr">
        <is>
          <t>Övriga Aktiebolag</t>
        </is>
      </c>
      <c r="G226" t="n">
        <v>1.9</v>
      </c>
      <c r="H226" t="n">
        <v>0</v>
      </c>
      <c r="I226" t="n">
        <v>0</v>
      </c>
      <c r="J226" t="n">
        <v>0</v>
      </c>
      <c r="K226" t="n">
        <v>0</v>
      </c>
      <c r="L226" t="n">
        <v>0</v>
      </c>
      <c r="M226" t="n">
        <v>0</v>
      </c>
      <c r="N226" t="n">
        <v>0</v>
      </c>
      <c r="O226" t="n">
        <v>0</v>
      </c>
      <c r="P226" t="n">
        <v>0</v>
      </c>
      <c r="Q226" t="n">
        <v>0</v>
      </c>
      <c r="R226" s="2" t="inlineStr"/>
    </row>
    <row r="227" ht="15" customHeight="1">
      <c r="A227" t="inlineStr">
        <is>
          <t>A 21338-2025</t>
        </is>
      </c>
      <c r="B227" s="1" t="n">
        <v>45780</v>
      </c>
      <c r="C227" s="1" t="n">
        <v>45914</v>
      </c>
      <c r="D227" t="inlineStr">
        <is>
          <t>ÖREBRO LÄN</t>
        </is>
      </c>
      <c r="E227" t="inlineStr">
        <is>
          <t>ÖREBRO</t>
        </is>
      </c>
      <c r="G227" t="n">
        <v>3.2</v>
      </c>
      <c r="H227" t="n">
        <v>0</v>
      </c>
      <c r="I227" t="n">
        <v>0</v>
      </c>
      <c r="J227" t="n">
        <v>0</v>
      </c>
      <c r="K227" t="n">
        <v>0</v>
      </c>
      <c r="L227" t="n">
        <v>0</v>
      </c>
      <c r="M227" t="n">
        <v>0</v>
      </c>
      <c r="N227" t="n">
        <v>0</v>
      </c>
      <c r="O227" t="n">
        <v>0</v>
      </c>
      <c r="P227" t="n">
        <v>0</v>
      </c>
      <c r="Q227" t="n">
        <v>0</v>
      </c>
      <c r="R227" s="2" t="inlineStr"/>
    </row>
    <row r="228" ht="15" customHeight="1">
      <c r="A228" t="inlineStr">
        <is>
          <t>A 48581-2024</t>
        </is>
      </c>
      <c r="B228" s="1" t="n">
        <v>45593.41642361111</v>
      </c>
      <c r="C228" s="1" t="n">
        <v>45914</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22755-2025</t>
        </is>
      </c>
      <c r="B229" s="1" t="n">
        <v>45789.61872685186</v>
      </c>
      <c r="C229" s="1" t="n">
        <v>45914</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44199-2024</t>
        </is>
      </c>
      <c r="B230" s="1" t="n">
        <v>45573</v>
      </c>
      <c r="C230" s="1" t="n">
        <v>45914</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34336-2024</t>
        </is>
      </c>
      <c r="B231" s="1" t="n">
        <v>45524.94774305556</v>
      </c>
      <c r="C231" s="1" t="n">
        <v>45914</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26443-2024</t>
        </is>
      </c>
      <c r="B232" s="1" t="n">
        <v>45469.49901620371</v>
      </c>
      <c r="C232" s="1" t="n">
        <v>45914</v>
      </c>
      <c r="D232" t="inlineStr">
        <is>
          <t>ÖREBRO LÄN</t>
        </is>
      </c>
      <c r="E232" t="inlineStr">
        <is>
          <t>ÖREBRO</t>
        </is>
      </c>
      <c r="G232" t="n">
        <v>5.7</v>
      </c>
      <c r="H232" t="n">
        <v>0</v>
      </c>
      <c r="I232" t="n">
        <v>0</v>
      </c>
      <c r="J232" t="n">
        <v>0</v>
      </c>
      <c r="K232" t="n">
        <v>0</v>
      </c>
      <c r="L232" t="n">
        <v>0</v>
      </c>
      <c r="M232" t="n">
        <v>0</v>
      </c>
      <c r="N232" t="n">
        <v>0</v>
      </c>
      <c r="O232" t="n">
        <v>0</v>
      </c>
      <c r="P232" t="n">
        <v>0</v>
      </c>
      <c r="Q232" t="n">
        <v>0</v>
      </c>
      <c r="R232" s="2" t="inlineStr"/>
    </row>
    <row r="233" ht="15" customHeight="1">
      <c r="A233" t="inlineStr">
        <is>
          <t>A 35477-2024</t>
        </is>
      </c>
      <c r="B233" s="1" t="n">
        <v>45531</v>
      </c>
      <c r="C233" s="1" t="n">
        <v>45914</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22045-2024</t>
        </is>
      </c>
      <c r="B234" s="1" t="n">
        <v>45443.61171296296</v>
      </c>
      <c r="C234" s="1" t="n">
        <v>45914</v>
      </c>
      <c r="D234" t="inlineStr">
        <is>
          <t>ÖREBRO LÄN</t>
        </is>
      </c>
      <c r="E234" t="inlineStr">
        <is>
          <t>ÖREBRO</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47047-2022</t>
        </is>
      </c>
      <c r="B235" s="1" t="n">
        <v>44852.39063657408</v>
      </c>
      <c r="C235" s="1" t="n">
        <v>45914</v>
      </c>
      <c r="D235" t="inlineStr">
        <is>
          <t>ÖREBRO LÄN</t>
        </is>
      </c>
      <c r="E235" t="inlineStr">
        <is>
          <t>ÖREBRO</t>
        </is>
      </c>
      <c r="G235" t="n">
        <v>1.6</v>
      </c>
      <c r="H235" t="n">
        <v>0</v>
      </c>
      <c r="I235" t="n">
        <v>0</v>
      </c>
      <c r="J235" t="n">
        <v>0</v>
      </c>
      <c r="K235" t="n">
        <v>0</v>
      </c>
      <c r="L235" t="n">
        <v>0</v>
      </c>
      <c r="M235" t="n">
        <v>0</v>
      </c>
      <c r="N235" t="n">
        <v>0</v>
      </c>
      <c r="O235" t="n">
        <v>0</v>
      </c>
      <c r="P235" t="n">
        <v>0</v>
      </c>
      <c r="Q235" t="n">
        <v>0</v>
      </c>
      <c r="R235" s="2" t="inlineStr"/>
    </row>
    <row r="236" ht="15" customHeight="1">
      <c r="A236" t="inlineStr">
        <is>
          <t>A 69613-2020</t>
        </is>
      </c>
      <c r="B236" s="1" t="n">
        <v>44195</v>
      </c>
      <c r="C236" s="1" t="n">
        <v>45914</v>
      </c>
      <c r="D236" t="inlineStr">
        <is>
          <t>ÖREBRO LÄN</t>
        </is>
      </c>
      <c r="E236" t="inlineStr">
        <is>
          <t>ÖREBRO</t>
        </is>
      </c>
      <c r="G236" t="n">
        <v>4.7</v>
      </c>
      <c r="H236" t="n">
        <v>0</v>
      </c>
      <c r="I236" t="n">
        <v>0</v>
      </c>
      <c r="J236" t="n">
        <v>0</v>
      </c>
      <c r="K236" t="n">
        <v>0</v>
      </c>
      <c r="L236" t="n">
        <v>0</v>
      </c>
      <c r="M236" t="n">
        <v>0</v>
      </c>
      <c r="N236" t="n">
        <v>0</v>
      </c>
      <c r="O236" t="n">
        <v>0</v>
      </c>
      <c r="P236" t="n">
        <v>0</v>
      </c>
      <c r="Q236" t="n">
        <v>0</v>
      </c>
      <c r="R236" s="2" t="inlineStr"/>
    </row>
    <row r="237" ht="15" customHeight="1">
      <c r="A237" t="inlineStr">
        <is>
          <t>A 58684-2023</t>
        </is>
      </c>
      <c r="B237" s="1" t="n">
        <v>45251</v>
      </c>
      <c r="C237" s="1" t="n">
        <v>45914</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19468-2021</t>
        </is>
      </c>
      <c r="B238" s="1" t="n">
        <v>44311</v>
      </c>
      <c r="C238" s="1" t="n">
        <v>45914</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22719-2025</t>
        </is>
      </c>
      <c r="B239" s="1" t="n">
        <v>45789</v>
      </c>
      <c r="C239" s="1" t="n">
        <v>45914</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38898-2023</t>
        </is>
      </c>
      <c r="B240" s="1" t="n">
        <v>45163</v>
      </c>
      <c r="C240" s="1" t="n">
        <v>45914</v>
      </c>
      <c r="D240" t="inlineStr">
        <is>
          <t>ÖREBRO LÄN</t>
        </is>
      </c>
      <c r="E240" t="inlineStr">
        <is>
          <t>ÖREBRO</t>
        </is>
      </c>
      <c r="G240" t="n">
        <v>5.1</v>
      </c>
      <c r="H240" t="n">
        <v>0</v>
      </c>
      <c r="I240" t="n">
        <v>0</v>
      </c>
      <c r="J240" t="n">
        <v>0</v>
      </c>
      <c r="K240" t="n">
        <v>0</v>
      </c>
      <c r="L240" t="n">
        <v>0</v>
      </c>
      <c r="M240" t="n">
        <v>0</v>
      </c>
      <c r="N240" t="n">
        <v>0</v>
      </c>
      <c r="O240" t="n">
        <v>0</v>
      </c>
      <c r="P240" t="n">
        <v>0</v>
      </c>
      <c r="Q240" t="n">
        <v>0</v>
      </c>
      <c r="R240" s="2" t="inlineStr"/>
    </row>
    <row r="241" ht="15" customHeight="1">
      <c r="A241" t="inlineStr">
        <is>
          <t>A 21036-2024</t>
        </is>
      </c>
      <c r="B241" s="1" t="n">
        <v>45439.65954861111</v>
      </c>
      <c r="C241" s="1" t="n">
        <v>45914</v>
      </c>
      <c r="D241" t="inlineStr">
        <is>
          <t>ÖREBRO LÄN</t>
        </is>
      </c>
      <c r="E241" t="inlineStr">
        <is>
          <t>ÖREBRO</t>
        </is>
      </c>
      <c r="F241" t="inlineStr">
        <is>
          <t>Övriga Aktiebolag</t>
        </is>
      </c>
      <c r="G241" t="n">
        <v>5.7</v>
      </c>
      <c r="H241" t="n">
        <v>0</v>
      </c>
      <c r="I241" t="n">
        <v>0</v>
      </c>
      <c r="J241" t="n">
        <v>0</v>
      </c>
      <c r="K241" t="n">
        <v>0</v>
      </c>
      <c r="L241" t="n">
        <v>0</v>
      </c>
      <c r="M241" t="n">
        <v>0</v>
      </c>
      <c r="N241" t="n">
        <v>0</v>
      </c>
      <c r="O241" t="n">
        <v>0</v>
      </c>
      <c r="P241" t="n">
        <v>0</v>
      </c>
      <c r="Q241" t="n">
        <v>0</v>
      </c>
      <c r="R241" s="2" t="inlineStr"/>
    </row>
    <row r="242" ht="15" customHeight="1">
      <c r="A242" t="inlineStr">
        <is>
          <t>A 13321-2024</t>
        </is>
      </c>
      <c r="B242" s="1" t="n">
        <v>45386.83142361111</v>
      </c>
      <c r="C242" s="1" t="n">
        <v>45914</v>
      </c>
      <c r="D242" t="inlineStr">
        <is>
          <t>ÖREBRO LÄN</t>
        </is>
      </c>
      <c r="E242" t="inlineStr">
        <is>
          <t>ÖREBRO</t>
        </is>
      </c>
      <c r="G242" t="n">
        <v>13.1</v>
      </c>
      <c r="H242" t="n">
        <v>0</v>
      </c>
      <c r="I242" t="n">
        <v>0</v>
      </c>
      <c r="J242" t="n">
        <v>0</v>
      </c>
      <c r="K242" t="n">
        <v>0</v>
      </c>
      <c r="L242" t="n">
        <v>0</v>
      </c>
      <c r="M242" t="n">
        <v>0</v>
      </c>
      <c r="N242" t="n">
        <v>0</v>
      </c>
      <c r="O242" t="n">
        <v>0</v>
      </c>
      <c r="P242" t="n">
        <v>0</v>
      </c>
      <c r="Q242" t="n">
        <v>0</v>
      </c>
      <c r="R242" s="2" t="inlineStr"/>
    </row>
    <row r="243" ht="15" customHeight="1">
      <c r="A243" t="inlineStr">
        <is>
          <t>A 30316-2024</t>
        </is>
      </c>
      <c r="B243" s="1" t="n">
        <v>45490</v>
      </c>
      <c r="C243" s="1" t="n">
        <v>45914</v>
      </c>
      <c r="D243" t="inlineStr">
        <is>
          <t>ÖREBRO LÄN</t>
        </is>
      </c>
      <c r="E243" t="inlineStr">
        <is>
          <t>ÖREBRO</t>
        </is>
      </c>
      <c r="G243" t="n">
        <v>5.5</v>
      </c>
      <c r="H243" t="n">
        <v>0</v>
      </c>
      <c r="I243" t="n">
        <v>0</v>
      </c>
      <c r="J243" t="n">
        <v>0</v>
      </c>
      <c r="K243" t="n">
        <v>0</v>
      </c>
      <c r="L243" t="n">
        <v>0</v>
      </c>
      <c r="M243" t="n">
        <v>0</v>
      </c>
      <c r="N243" t="n">
        <v>0</v>
      </c>
      <c r="O243" t="n">
        <v>0</v>
      </c>
      <c r="P243" t="n">
        <v>0</v>
      </c>
      <c r="Q243" t="n">
        <v>0</v>
      </c>
      <c r="R243" s="2" t="inlineStr"/>
    </row>
    <row r="244" ht="15" customHeight="1">
      <c r="A244" t="inlineStr">
        <is>
          <t>A 38790-2024</t>
        </is>
      </c>
      <c r="B244" s="1" t="n">
        <v>45547.48450231482</v>
      </c>
      <c r="C244" s="1" t="n">
        <v>45914</v>
      </c>
      <c r="D244" t="inlineStr">
        <is>
          <t>ÖREBRO LÄN</t>
        </is>
      </c>
      <c r="E244" t="inlineStr">
        <is>
          <t>ÖREBRO</t>
        </is>
      </c>
      <c r="G244" t="n">
        <v>2</v>
      </c>
      <c r="H244" t="n">
        <v>0</v>
      </c>
      <c r="I244" t="n">
        <v>0</v>
      </c>
      <c r="J244" t="n">
        <v>0</v>
      </c>
      <c r="K244" t="n">
        <v>0</v>
      </c>
      <c r="L244" t="n">
        <v>0</v>
      </c>
      <c r="M244" t="n">
        <v>0</v>
      </c>
      <c r="N244" t="n">
        <v>0</v>
      </c>
      <c r="O244" t="n">
        <v>0</v>
      </c>
      <c r="P244" t="n">
        <v>0</v>
      </c>
      <c r="Q244" t="n">
        <v>0</v>
      </c>
      <c r="R244" s="2" t="inlineStr"/>
    </row>
    <row r="245" ht="15" customHeight="1">
      <c r="A245" t="inlineStr">
        <is>
          <t>A 61279-2024</t>
        </is>
      </c>
      <c r="B245" s="1" t="n">
        <v>45645</v>
      </c>
      <c r="C245" s="1" t="n">
        <v>45914</v>
      </c>
      <c r="D245" t="inlineStr">
        <is>
          <t>ÖREBRO LÄN</t>
        </is>
      </c>
      <c r="E245" t="inlineStr">
        <is>
          <t>ÖREBRO</t>
        </is>
      </c>
      <c r="G245" t="n">
        <v>0.7</v>
      </c>
      <c r="H245" t="n">
        <v>0</v>
      </c>
      <c r="I245" t="n">
        <v>0</v>
      </c>
      <c r="J245" t="n">
        <v>0</v>
      </c>
      <c r="K245" t="n">
        <v>0</v>
      </c>
      <c r="L245" t="n">
        <v>0</v>
      </c>
      <c r="M245" t="n">
        <v>0</v>
      </c>
      <c r="N245" t="n">
        <v>0</v>
      </c>
      <c r="O245" t="n">
        <v>0</v>
      </c>
      <c r="P245" t="n">
        <v>0</v>
      </c>
      <c r="Q245" t="n">
        <v>0</v>
      </c>
      <c r="R245" s="2" t="inlineStr"/>
    </row>
    <row r="246" ht="15" customHeight="1">
      <c r="A246" t="inlineStr">
        <is>
          <t>A 38583-2023</t>
        </is>
      </c>
      <c r="B246" s="1" t="n">
        <v>45162.62861111111</v>
      </c>
      <c r="C246" s="1" t="n">
        <v>45914</v>
      </c>
      <c r="D246" t="inlineStr">
        <is>
          <t>ÖREBRO LÄN</t>
        </is>
      </c>
      <c r="E246" t="inlineStr">
        <is>
          <t>ÖREBRO</t>
        </is>
      </c>
      <c r="G246" t="n">
        <v>5.7</v>
      </c>
      <c r="H246" t="n">
        <v>0</v>
      </c>
      <c r="I246" t="n">
        <v>0</v>
      </c>
      <c r="J246" t="n">
        <v>0</v>
      </c>
      <c r="K246" t="n">
        <v>0</v>
      </c>
      <c r="L246" t="n">
        <v>0</v>
      </c>
      <c r="M246" t="n">
        <v>0</v>
      </c>
      <c r="N246" t="n">
        <v>0</v>
      </c>
      <c r="O246" t="n">
        <v>0</v>
      </c>
      <c r="P246" t="n">
        <v>0</v>
      </c>
      <c r="Q246" t="n">
        <v>0</v>
      </c>
      <c r="R246" s="2" t="inlineStr"/>
    </row>
    <row r="247" ht="15" customHeight="1">
      <c r="A247" t="inlineStr">
        <is>
          <t>A 71269-2021</t>
        </is>
      </c>
      <c r="B247" s="1" t="n">
        <v>44539</v>
      </c>
      <c r="C247" s="1" t="n">
        <v>45914</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14291-2023</t>
        </is>
      </c>
      <c r="B248" s="1" t="n">
        <v>45010</v>
      </c>
      <c r="C248" s="1" t="n">
        <v>45914</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15555-2025</t>
        </is>
      </c>
      <c r="B249" s="1" t="n">
        <v>45747.67768518518</v>
      </c>
      <c r="C249" s="1" t="n">
        <v>45914</v>
      </c>
      <c r="D249" t="inlineStr">
        <is>
          <t>ÖREBRO LÄN</t>
        </is>
      </c>
      <c r="E249" t="inlineStr">
        <is>
          <t>ÖREBRO</t>
        </is>
      </c>
      <c r="G249" t="n">
        <v>1.7</v>
      </c>
      <c r="H249" t="n">
        <v>0</v>
      </c>
      <c r="I249" t="n">
        <v>0</v>
      </c>
      <c r="J249" t="n">
        <v>0</v>
      </c>
      <c r="K249" t="n">
        <v>0</v>
      </c>
      <c r="L249" t="n">
        <v>0</v>
      </c>
      <c r="M249" t="n">
        <v>0</v>
      </c>
      <c r="N249" t="n">
        <v>0</v>
      </c>
      <c r="O249" t="n">
        <v>0</v>
      </c>
      <c r="P249" t="n">
        <v>0</v>
      </c>
      <c r="Q249" t="n">
        <v>0</v>
      </c>
      <c r="R249" s="2" t="inlineStr"/>
    </row>
    <row r="250" ht="15" customHeight="1">
      <c r="A250" t="inlineStr">
        <is>
          <t>A 9314-2023</t>
        </is>
      </c>
      <c r="B250" s="1" t="n">
        <v>44980.67747685185</v>
      </c>
      <c r="C250" s="1" t="n">
        <v>45914</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33455-2023</t>
        </is>
      </c>
      <c r="B251" s="1" t="n">
        <v>45130.98962962963</v>
      </c>
      <c r="C251" s="1" t="n">
        <v>45914</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21306-2024</t>
        </is>
      </c>
      <c r="B252" s="1" t="n">
        <v>45440.67883101852</v>
      </c>
      <c r="C252" s="1" t="n">
        <v>45914</v>
      </c>
      <c r="D252" t="inlineStr">
        <is>
          <t>ÖREBRO LÄN</t>
        </is>
      </c>
      <c r="E252" t="inlineStr">
        <is>
          <t>ÖREBRO</t>
        </is>
      </c>
      <c r="F252" t="inlineStr">
        <is>
          <t>Övriga Aktiebolag</t>
        </is>
      </c>
      <c r="G252" t="n">
        <v>2</v>
      </c>
      <c r="H252" t="n">
        <v>0</v>
      </c>
      <c r="I252" t="n">
        <v>0</v>
      </c>
      <c r="J252" t="n">
        <v>0</v>
      </c>
      <c r="K252" t="n">
        <v>0</v>
      </c>
      <c r="L252" t="n">
        <v>0</v>
      </c>
      <c r="M252" t="n">
        <v>0</v>
      </c>
      <c r="N252" t="n">
        <v>0</v>
      </c>
      <c r="O252" t="n">
        <v>0</v>
      </c>
      <c r="P252" t="n">
        <v>0</v>
      </c>
      <c r="Q252" t="n">
        <v>0</v>
      </c>
      <c r="R252" s="2" t="inlineStr"/>
    </row>
    <row r="253" ht="15" customHeight="1">
      <c r="A253" t="inlineStr">
        <is>
          <t>A 5136-2024</t>
        </is>
      </c>
      <c r="B253" s="1" t="n">
        <v>45330</v>
      </c>
      <c r="C253" s="1" t="n">
        <v>45914</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7634-2024</t>
        </is>
      </c>
      <c r="B254" s="1" t="n">
        <v>45348</v>
      </c>
      <c r="C254" s="1" t="n">
        <v>45914</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4380-2025</t>
        </is>
      </c>
      <c r="B255" s="1" t="n">
        <v>45686.3959375</v>
      </c>
      <c r="C255" s="1" t="n">
        <v>45914</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5324-2024</t>
        </is>
      </c>
      <c r="B256" s="1" t="n">
        <v>45331</v>
      </c>
      <c r="C256" s="1" t="n">
        <v>45914</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52401-2024</t>
        </is>
      </c>
      <c r="B257" s="1" t="n">
        <v>45609.44553240741</v>
      </c>
      <c r="C257" s="1" t="n">
        <v>45914</v>
      </c>
      <c r="D257" t="inlineStr">
        <is>
          <t>ÖREBRO LÄN</t>
        </is>
      </c>
      <c r="E257" t="inlineStr">
        <is>
          <t>ÖREBRO</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9362-2022</t>
        </is>
      </c>
      <c r="B258" s="1" t="n">
        <v>44616.59946759259</v>
      </c>
      <c r="C258" s="1" t="n">
        <v>45914</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34358-2022</t>
        </is>
      </c>
      <c r="B259" s="1" t="n">
        <v>44792.45494212963</v>
      </c>
      <c r="C259" s="1" t="n">
        <v>45914</v>
      </c>
      <c r="D259" t="inlineStr">
        <is>
          <t>ÖREBRO LÄN</t>
        </is>
      </c>
      <c r="E259" t="inlineStr">
        <is>
          <t>ÖREBRO</t>
        </is>
      </c>
      <c r="F259" t="inlineStr">
        <is>
          <t>Övriga Aktiebolag</t>
        </is>
      </c>
      <c r="G259" t="n">
        <v>3.4</v>
      </c>
      <c r="H259" t="n">
        <v>0</v>
      </c>
      <c r="I259" t="n">
        <v>0</v>
      </c>
      <c r="J259" t="n">
        <v>0</v>
      </c>
      <c r="K259" t="n">
        <v>0</v>
      </c>
      <c r="L259" t="n">
        <v>0</v>
      </c>
      <c r="M259" t="n">
        <v>0</v>
      </c>
      <c r="N259" t="n">
        <v>0</v>
      </c>
      <c r="O259" t="n">
        <v>0</v>
      </c>
      <c r="P259" t="n">
        <v>0</v>
      </c>
      <c r="Q259" t="n">
        <v>0</v>
      </c>
      <c r="R259" s="2" t="inlineStr"/>
    </row>
    <row r="260" ht="15" customHeight="1">
      <c r="A260" t="inlineStr">
        <is>
          <t>A 15695-2024</t>
        </is>
      </c>
      <c r="B260" s="1" t="n">
        <v>45404.45487268519</v>
      </c>
      <c r="C260" s="1" t="n">
        <v>45914</v>
      </c>
      <c r="D260" t="inlineStr">
        <is>
          <t>ÖREBRO LÄN</t>
        </is>
      </c>
      <c r="E260" t="inlineStr">
        <is>
          <t>ÖREBRO</t>
        </is>
      </c>
      <c r="G260" t="n">
        <v>2.7</v>
      </c>
      <c r="H260" t="n">
        <v>0</v>
      </c>
      <c r="I260" t="n">
        <v>0</v>
      </c>
      <c r="J260" t="n">
        <v>0</v>
      </c>
      <c r="K260" t="n">
        <v>0</v>
      </c>
      <c r="L260" t="n">
        <v>0</v>
      </c>
      <c r="M260" t="n">
        <v>0</v>
      </c>
      <c r="N260" t="n">
        <v>0</v>
      </c>
      <c r="O260" t="n">
        <v>0</v>
      </c>
      <c r="P260" t="n">
        <v>0</v>
      </c>
      <c r="Q260" t="n">
        <v>0</v>
      </c>
      <c r="R260" s="2" t="inlineStr"/>
    </row>
    <row r="261" ht="15" customHeight="1">
      <c r="A261" t="inlineStr">
        <is>
          <t>A 16739-2023</t>
        </is>
      </c>
      <c r="B261" s="1" t="n">
        <v>45030.72627314815</v>
      </c>
      <c r="C261" s="1" t="n">
        <v>45914</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14963-2025</t>
        </is>
      </c>
      <c r="B262" s="1" t="n">
        <v>45743.58699074074</v>
      </c>
      <c r="C262" s="1" t="n">
        <v>45914</v>
      </c>
      <c r="D262" t="inlineStr">
        <is>
          <t>ÖREBRO LÄN</t>
        </is>
      </c>
      <c r="E262" t="inlineStr">
        <is>
          <t>ÖREBRO</t>
        </is>
      </c>
      <c r="G262" t="n">
        <v>9.1</v>
      </c>
      <c r="H262" t="n">
        <v>0</v>
      </c>
      <c r="I262" t="n">
        <v>0</v>
      </c>
      <c r="J262" t="n">
        <v>0</v>
      </c>
      <c r="K262" t="n">
        <v>0</v>
      </c>
      <c r="L262" t="n">
        <v>0</v>
      </c>
      <c r="M262" t="n">
        <v>0</v>
      </c>
      <c r="N262" t="n">
        <v>0</v>
      </c>
      <c r="O262" t="n">
        <v>0</v>
      </c>
      <c r="P262" t="n">
        <v>0</v>
      </c>
      <c r="Q262" t="n">
        <v>0</v>
      </c>
      <c r="R262" s="2" t="inlineStr"/>
    </row>
    <row r="263" ht="15" customHeight="1">
      <c r="A263" t="inlineStr">
        <is>
          <t>A 2771-2023</t>
        </is>
      </c>
      <c r="B263" s="1" t="n">
        <v>44944.64704861111</v>
      </c>
      <c r="C263" s="1" t="n">
        <v>45914</v>
      </c>
      <c r="D263" t="inlineStr">
        <is>
          <t>ÖREBRO LÄN</t>
        </is>
      </c>
      <c r="E263" t="inlineStr">
        <is>
          <t>ÖREBRO</t>
        </is>
      </c>
      <c r="G263" t="n">
        <v>15.4</v>
      </c>
      <c r="H263" t="n">
        <v>0</v>
      </c>
      <c r="I263" t="n">
        <v>0</v>
      </c>
      <c r="J263" t="n">
        <v>0</v>
      </c>
      <c r="K263" t="n">
        <v>0</v>
      </c>
      <c r="L263" t="n">
        <v>0</v>
      </c>
      <c r="M263" t="n">
        <v>0</v>
      </c>
      <c r="N263" t="n">
        <v>0</v>
      </c>
      <c r="O263" t="n">
        <v>0</v>
      </c>
      <c r="P263" t="n">
        <v>0</v>
      </c>
      <c r="Q263" t="n">
        <v>0</v>
      </c>
      <c r="R263" s="2" t="inlineStr"/>
    </row>
    <row r="264" ht="15" customHeight="1">
      <c r="A264" t="inlineStr">
        <is>
          <t>A 5406-2025</t>
        </is>
      </c>
      <c r="B264" s="1" t="n">
        <v>45692.64821759259</v>
      </c>
      <c r="C264" s="1" t="n">
        <v>45914</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55357-2024</t>
        </is>
      </c>
      <c r="B265" s="1" t="n">
        <v>45621.81126157408</v>
      </c>
      <c r="C265" s="1" t="n">
        <v>45914</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38422-2023</t>
        </is>
      </c>
      <c r="B266" s="1" t="n">
        <v>45162.36422453704</v>
      </c>
      <c r="C266" s="1" t="n">
        <v>45914</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12017-2024</t>
        </is>
      </c>
      <c r="B267" s="1" t="n">
        <v>45377</v>
      </c>
      <c r="C267" s="1" t="n">
        <v>45914</v>
      </c>
      <c r="D267" t="inlineStr">
        <is>
          <t>ÖREBRO LÄN</t>
        </is>
      </c>
      <c r="E267" t="inlineStr">
        <is>
          <t>ÖREBRO</t>
        </is>
      </c>
      <c r="G267" t="n">
        <v>1.8</v>
      </c>
      <c r="H267" t="n">
        <v>0</v>
      </c>
      <c r="I267" t="n">
        <v>0</v>
      </c>
      <c r="J267" t="n">
        <v>0</v>
      </c>
      <c r="K267" t="n">
        <v>0</v>
      </c>
      <c r="L267" t="n">
        <v>0</v>
      </c>
      <c r="M267" t="n">
        <v>0</v>
      </c>
      <c r="N267" t="n">
        <v>0</v>
      </c>
      <c r="O267" t="n">
        <v>0</v>
      </c>
      <c r="P267" t="n">
        <v>0</v>
      </c>
      <c r="Q267" t="n">
        <v>0</v>
      </c>
      <c r="R267" s="2" t="inlineStr"/>
    </row>
    <row r="268" ht="15" customHeight="1">
      <c r="A268" t="inlineStr">
        <is>
          <t>A 22348-2024</t>
        </is>
      </c>
      <c r="B268" s="1" t="n">
        <v>45446.61256944444</v>
      </c>
      <c r="C268" s="1" t="n">
        <v>45914</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46518-2023</t>
        </is>
      </c>
      <c r="B269" s="1" t="n">
        <v>45197.72777777778</v>
      </c>
      <c r="C269" s="1" t="n">
        <v>45914</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56077-2022</t>
        </is>
      </c>
      <c r="B270" s="1" t="n">
        <v>44889.60872685185</v>
      </c>
      <c r="C270" s="1" t="n">
        <v>45914</v>
      </c>
      <c r="D270" t="inlineStr">
        <is>
          <t>ÖREBRO LÄN</t>
        </is>
      </c>
      <c r="E270" t="inlineStr">
        <is>
          <t>ÖREBRO</t>
        </is>
      </c>
      <c r="F270" t="inlineStr">
        <is>
          <t>Övriga Aktiebolag</t>
        </is>
      </c>
      <c r="G270" t="n">
        <v>2.5</v>
      </c>
      <c r="H270" t="n">
        <v>0</v>
      </c>
      <c r="I270" t="n">
        <v>0</v>
      </c>
      <c r="J270" t="n">
        <v>0</v>
      </c>
      <c r="K270" t="n">
        <v>0</v>
      </c>
      <c r="L270" t="n">
        <v>0</v>
      </c>
      <c r="M270" t="n">
        <v>0</v>
      </c>
      <c r="N270" t="n">
        <v>0</v>
      </c>
      <c r="O270" t="n">
        <v>0</v>
      </c>
      <c r="P270" t="n">
        <v>0</v>
      </c>
      <c r="Q270" t="n">
        <v>0</v>
      </c>
      <c r="R270" s="2" t="inlineStr"/>
    </row>
    <row r="271" ht="15" customHeight="1">
      <c r="A271" t="inlineStr">
        <is>
          <t>A 52018-2024</t>
        </is>
      </c>
      <c r="B271" s="1" t="n">
        <v>45607.82974537037</v>
      </c>
      <c r="C271" s="1" t="n">
        <v>45914</v>
      </c>
      <c r="D271" t="inlineStr">
        <is>
          <t>ÖREBRO LÄN</t>
        </is>
      </c>
      <c r="E271" t="inlineStr">
        <is>
          <t>ÖREBRO</t>
        </is>
      </c>
      <c r="G271" t="n">
        <v>4.3</v>
      </c>
      <c r="H271" t="n">
        <v>0</v>
      </c>
      <c r="I271" t="n">
        <v>0</v>
      </c>
      <c r="J271" t="n">
        <v>0</v>
      </c>
      <c r="K271" t="n">
        <v>0</v>
      </c>
      <c r="L271" t="n">
        <v>0</v>
      </c>
      <c r="M271" t="n">
        <v>0</v>
      </c>
      <c r="N271" t="n">
        <v>0</v>
      </c>
      <c r="O271" t="n">
        <v>0</v>
      </c>
      <c r="P271" t="n">
        <v>0</v>
      </c>
      <c r="Q271" t="n">
        <v>0</v>
      </c>
      <c r="R271" s="2" t="inlineStr"/>
    </row>
    <row r="272" ht="15" customHeight="1">
      <c r="A272" t="inlineStr">
        <is>
          <t>A 30089-2024</t>
        </is>
      </c>
      <c r="B272" s="1" t="n">
        <v>45485</v>
      </c>
      <c r="C272" s="1" t="n">
        <v>45914</v>
      </c>
      <c r="D272" t="inlineStr">
        <is>
          <t>ÖREBRO LÄN</t>
        </is>
      </c>
      <c r="E272" t="inlineStr">
        <is>
          <t>ÖREBRO</t>
        </is>
      </c>
      <c r="G272" t="n">
        <v>2.2</v>
      </c>
      <c r="H272" t="n">
        <v>0</v>
      </c>
      <c r="I272" t="n">
        <v>0</v>
      </c>
      <c r="J272" t="n">
        <v>0</v>
      </c>
      <c r="K272" t="n">
        <v>0</v>
      </c>
      <c r="L272" t="n">
        <v>0</v>
      </c>
      <c r="M272" t="n">
        <v>0</v>
      </c>
      <c r="N272" t="n">
        <v>0</v>
      </c>
      <c r="O272" t="n">
        <v>0</v>
      </c>
      <c r="P272" t="n">
        <v>0</v>
      </c>
      <c r="Q272" t="n">
        <v>0</v>
      </c>
      <c r="R272" s="2" t="inlineStr"/>
    </row>
    <row r="273" ht="15" customHeight="1">
      <c r="A273" t="inlineStr">
        <is>
          <t>A 9609-2023</t>
        </is>
      </c>
      <c r="B273" s="1" t="n">
        <v>44983.93344907407</v>
      </c>
      <c r="C273" s="1" t="n">
        <v>45914</v>
      </c>
      <c r="D273" t="inlineStr">
        <is>
          <t>ÖREBRO LÄN</t>
        </is>
      </c>
      <c r="E273" t="inlineStr">
        <is>
          <t>ÖREBRO</t>
        </is>
      </c>
      <c r="G273" t="n">
        <v>2</v>
      </c>
      <c r="H273" t="n">
        <v>0</v>
      </c>
      <c r="I273" t="n">
        <v>0</v>
      </c>
      <c r="J273" t="n">
        <v>0</v>
      </c>
      <c r="K273" t="n">
        <v>0</v>
      </c>
      <c r="L273" t="n">
        <v>0</v>
      </c>
      <c r="M273" t="n">
        <v>0</v>
      </c>
      <c r="N273" t="n">
        <v>0</v>
      </c>
      <c r="O273" t="n">
        <v>0</v>
      </c>
      <c r="P273" t="n">
        <v>0</v>
      </c>
      <c r="Q273" t="n">
        <v>0</v>
      </c>
      <c r="R273" s="2" t="inlineStr"/>
    </row>
    <row r="274" ht="15" customHeight="1">
      <c r="A274" t="inlineStr">
        <is>
          <t>A 71295-2021</t>
        </is>
      </c>
      <c r="B274" s="1" t="n">
        <v>44539.63009259259</v>
      </c>
      <c r="C274" s="1" t="n">
        <v>45914</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46030-2024</t>
        </is>
      </c>
      <c r="B275" s="1" t="n">
        <v>45580.70377314815</v>
      </c>
      <c r="C275" s="1" t="n">
        <v>45914</v>
      </c>
      <c r="D275" t="inlineStr">
        <is>
          <t>ÖREBRO LÄN</t>
        </is>
      </c>
      <c r="E275" t="inlineStr">
        <is>
          <t>ÖREBRO</t>
        </is>
      </c>
      <c r="G275" t="n">
        <v>3.9</v>
      </c>
      <c r="H275" t="n">
        <v>0</v>
      </c>
      <c r="I275" t="n">
        <v>0</v>
      </c>
      <c r="J275" t="n">
        <v>0</v>
      </c>
      <c r="K275" t="n">
        <v>0</v>
      </c>
      <c r="L275" t="n">
        <v>0</v>
      </c>
      <c r="M275" t="n">
        <v>0</v>
      </c>
      <c r="N275" t="n">
        <v>0</v>
      </c>
      <c r="O275" t="n">
        <v>0</v>
      </c>
      <c r="P275" t="n">
        <v>0</v>
      </c>
      <c r="Q275" t="n">
        <v>0</v>
      </c>
      <c r="R275" s="2" t="inlineStr"/>
    </row>
    <row r="276" ht="15" customHeight="1">
      <c r="A276" t="inlineStr">
        <is>
          <t>A 70707-2021</t>
        </is>
      </c>
      <c r="B276" s="1" t="n">
        <v>44537</v>
      </c>
      <c r="C276" s="1" t="n">
        <v>45914</v>
      </c>
      <c r="D276" t="inlineStr">
        <is>
          <t>ÖREBRO LÄN</t>
        </is>
      </c>
      <c r="E276" t="inlineStr">
        <is>
          <t>ÖREBRO</t>
        </is>
      </c>
      <c r="G276" t="n">
        <v>13.2</v>
      </c>
      <c r="H276" t="n">
        <v>0</v>
      </c>
      <c r="I276" t="n">
        <v>0</v>
      </c>
      <c r="J276" t="n">
        <v>0</v>
      </c>
      <c r="K276" t="n">
        <v>0</v>
      </c>
      <c r="L276" t="n">
        <v>0</v>
      </c>
      <c r="M276" t="n">
        <v>0</v>
      </c>
      <c r="N276" t="n">
        <v>0</v>
      </c>
      <c r="O276" t="n">
        <v>0</v>
      </c>
      <c r="P276" t="n">
        <v>0</v>
      </c>
      <c r="Q276" t="n">
        <v>0</v>
      </c>
      <c r="R276" s="2" t="inlineStr"/>
    </row>
    <row r="277" ht="15" customHeight="1">
      <c r="A277" t="inlineStr">
        <is>
          <t>A 5643-2025</t>
        </is>
      </c>
      <c r="B277" s="1" t="n">
        <v>45693</v>
      </c>
      <c r="C277" s="1" t="n">
        <v>45914</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57243-2022</t>
        </is>
      </c>
      <c r="B278" s="1" t="n">
        <v>44895.71835648148</v>
      </c>
      <c r="C278" s="1" t="n">
        <v>45914</v>
      </c>
      <c r="D278" t="inlineStr">
        <is>
          <t>ÖREBRO LÄN</t>
        </is>
      </c>
      <c r="E278" t="inlineStr">
        <is>
          <t>ÖREBRO</t>
        </is>
      </c>
      <c r="G278" t="n">
        <v>6</v>
      </c>
      <c r="H278" t="n">
        <v>0</v>
      </c>
      <c r="I278" t="n">
        <v>0</v>
      </c>
      <c r="J278" t="n">
        <v>0</v>
      </c>
      <c r="K278" t="n">
        <v>0</v>
      </c>
      <c r="L278" t="n">
        <v>0</v>
      </c>
      <c r="M278" t="n">
        <v>0</v>
      </c>
      <c r="N278" t="n">
        <v>0</v>
      </c>
      <c r="O278" t="n">
        <v>0</v>
      </c>
      <c r="P278" t="n">
        <v>0</v>
      </c>
      <c r="Q278" t="n">
        <v>0</v>
      </c>
      <c r="R278" s="2" t="inlineStr"/>
    </row>
    <row r="279" ht="15" customHeight="1">
      <c r="A279" t="inlineStr">
        <is>
          <t>A 16261-2022</t>
        </is>
      </c>
      <c r="B279" s="1" t="n">
        <v>44670</v>
      </c>
      <c r="C279" s="1" t="n">
        <v>45914</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11516-2024</t>
        </is>
      </c>
      <c r="B280" s="1" t="n">
        <v>45372</v>
      </c>
      <c r="C280" s="1" t="n">
        <v>45914</v>
      </c>
      <c r="D280" t="inlineStr">
        <is>
          <t>ÖREBRO LÄN</t>
        </is>
      </c>
      <c r="E280" t="inlineStr">
        <is>
          <t>ÖREBRO</t>
        </is>
      </c>
      <c r="G280" t="n">
        <v>10.7</v>
      </c>
      <c r="H280" t="n">
        <v>0</v>
      </c>
      <c r="I280" t="n">
        <v>0</v>
      </c>
      <c r="J280" t="n">
        <v>0</v>
      </c>
      <c r="K280" t="n">
        <v>0</v>
      </c>
      <c r="L280" t="n">
        <v>0</v>
      </c>
      <c r="M280" t="n">
        <v>0</v>
      </c>
      <c r="N280" t="n">
        <v>0</v>
      </c>
      <c r="O280" t="n">
        <v>0</v>
      </c>
      <c r="P280" t="n">
        <v>0</v>
      </c>
      <c r="Q280" t="n">
        <v>0</v>
      </c>
      <c r="R280" s="2" t="inlineStr"/>
    </row>
    <row r="281" ht="15" customHeight="1">
      <c r="A281" t="inlineStr">
        <is>
          <t>A 41703-2024</t>
        </is>
      </c>
      <c r="B281" s="1" t="n">
        <v>45560</v>
      </c>
      <c r="C281" s="1" t="n">
        <v>45914</v>
      </c>
      <c r="D281" t="inlineStr">
        <is>
          <t>ÖREBRO LÄN</t>
        </is>
      </c>
      <c r="E281" t="inlineStr">
        <is>
          <t>ÖREBRO</t>
        </is>
      </c>
      <c r="G281" t="n">
        <v>6.4</v>
      </c>
      <c r="H281" t="n">
        <v>0</v>
      </c>
      <c r="I281" t="n">
        <v>0</v>
      </c>
      <c r="J281" t="n">
        <v>0</v>
      </c>
      <c r="K281" t="n">
        <v>0</v>
      </c>
      <c r="L281" t="n">
        <v>0</v>
      </c>
      <c r="M281" t="n">
        <v>0</v>
      </c>
      <c r="N281" t="n">
        <v>0</v>
      </c>
      <c r="O281" t="n">
        <v>0</v>
      </c>
      <c r="P281" t="n">
        <v>0</v>
      </c>
      <c r="Q281" t="n">
        <v>0</v>
      </c>
      <c r="R281" s="2" t="inlineStr"/>
    </row>
    <row r="282" ht="15" customHeight="1">
      <c r="A282" t="inlineStr">
        <is>
          <t>A 5342-2024</t>
        </is>
      </c>
      <c r="B282" s="1" t="n">
        <v>45331.44145833333</v>
      </c>
      <c r="C282" s="1" t="n">
        <v>45914</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58621-2024</t>
        </is>
      </c>
      <c r="B283" s="1" t="n">
        <v>45635.56321759259</v>
      </c>
      <c r="C283" s="1" t="n">
        <v>45914</v>
      </c>
      <c r="D283" t="inlineStr">
        <is>
          <t>ÖREBRO LÄN</t>
        </is>
      </c>
      <c r="E283" t="inlineStr">
        <is>
          <t>ÖREBRO</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58216-2024</t>
        </is>
      </c>
      <c r="B284" s="1" t="n">
        <v>45632</v>
      </c>
      <c r="C284" s="1" t="n">
        <v>45914</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19763-2024</t>
        </is>
      </c>
      <c r="B285" s="1" t="n">
        <v>45432</v>
      </c>
      <c r="C285" s="1" t="n">
        <v>45914</v>
      </c>
      <c r="D285" t="inlineStr">
        <is>
          <t>ÖREBRO LÄN</t>
        </is>
      </c>
      <c r="E285" t="inlineStr">
        <is>
          <t>ÖREBRO</t>
        </is>
      </c>
      <c r="G285" t="n">
        <v>1.9</v>
      </c>
      <c r="H285" t="n">
        <v>0</v>
      </c>
      <c r="I285" t="n">
        <v>0</v>
      </c>
      <c r="J285" t="n">
        <v>0</v>
      </c>
      <c r="K285" t="n">
        <v>0</v>
      </c>
      <c r="L285" t="n">
        <v>0</v>
      </c>
      <c r="M285" t="n">
        <v>0</v>
      </c>
      <c r="N285" t="n">
        <v>0</v>
      </c>
      <c r="O285" t="n">
        <v>0</v>
      </c>
      <c r="P285" t="n">
        <v>0</v>
      </c>
      <c r="Q285" t="n">
        <v>0</v>
      </c>
      <c r="R285" s="2" t="inlineStr"/>
    </row>
    <row r="286" ht="15" customHeight="1">
      <c r="A286" t="inlineStr">
        <is>
          <t>A 44165-2022</t>
        </is>
      </c>
      <c r="B286" s="1" t="n">
        <v>44839</v>
      </c>
      <c r="C286" s="1" t="n">
        <v>45914</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31247-2023</t>
        </is>
      </c>
      <c r="B287" s="1" t="n">
        <v>45114</v>
      </c>
      <c r="C287" s="1" t="n">
        <v>45914</v>
      </c>
      <c r="D287" t="inlineStr">
        <is>
          <t>ÖREBRO LÄN</t>
        </is>
      </c>
      <c r="E287" t="inlineStr">
        <is>
          <t>ÖREBRO</t>
        </is>
      </c>
      <c r="F287" t="inlineStr">
        <is>
          <t>Allmännings- och besparingsskogar</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36635-2023</t>
        </is>
      </c>
      <c r="B288" s="1" t="n">
        <v>45153</v>
      </c>
      <c r="C288" s="1" t="n">
        <v>45914</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54149-2024</t>
        </is>
      </c>
      <c r="B289" s="1" t="n">
        <v>45616</v>
      </c>
      <c r="C289" s="1" t="n">
        <v>45914</v>
      </c>
      <c r="D289" t="inlineStr">
        <is>
          <t>ÖREBRO LÄN</t>
        </is>
      </c>
      <c r="E289" t="inlineStr">
        <is>
          <t>ÖREBRO</t>
        </is>
      </c>
      <c r="G289" t="n">
        <v>2.7</v>
      </c>
      <c r="H289" t="n">
        <v>0</v>
      </c>
      <c r="I289" t="n">
        <v>0</v>
      </c>
      <c r="J289" t="n">
        <v>0</v>
      </c>
      <c r="K289" t="n">
        <v>0</v>
      </c>
      <c r="L289" t="n">
        <v>0</v>
      </c>
      <c r="M289" t="n">
        <v>0</v>
      </c>
      <c r="N289" t="n">
        <v>0</v>
      </c>
      <c r="O289" t="n">
        <v>0</v>
      </c>
      <c r="P289" t="n">
        <v>0</v>
      </c>
      <c r="Q289" t="n">
        <v>0</v>
      </c>
      <c r="R289" s="2" t="inlineStr"/>
    </row>
    <row r="290" ht="15" customHeight="1">
      <c r="A290" t="inlineStr">
        <is>
          <t>A 37012-2024</t>
        </is>
      </c>
      <c r="B290" s="1" t="n">
        <v>45539</v>
      </c>
      <c r="C290" s="1" t="n">
        <v>45914</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37020-2024</t>
        </is>
      </c>
      <c r="B291" s="1" t="n">
        <v>45539.38059027777</v>
      </c>
      <c r="C291" s="1" t="n">
        <v>45914</v>
      </c>
      <c r="D291" t="inlineStr">
        <is>
          <t>ÖREBRO LÄN</t>
        </is>
      </c>
      <c r="E291" t="inlineStr">
        <is>
          <t>ÖREBRO</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55353-2024</t>
        </is>
      </c>
      <c r="B292" s="1" t="n">
        <v>45621.79526620371</v>
      </c>
      <c r="C292" s="1" t="n">
        <v>45914</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49797-2024</t>
        </is>
      </c>
      <c r="B293" s="1" t="n">
        <v>45597.37265046296</v>
      </c>
      <c r="C293" s="1" t="n">
        <v>45914</v>
      </c>
      <c r="D293" t="inlineStr">
        <is>
          <t>ÖREBRO LÄN</t>
        </is>
      </c>
      <c r="E293" t="inlineStr">
        <is>
          <t>ÖREBRO</t>
        </is>
      </c>
      <c r="G293" t="n">
        <v>11.6</v>
      </c>
      <c r="H293" t="n">
        <v>0</v>
      </c>
      <c r="I293" t="n">
        <v>0</v>
      </c>
      <c r="J293" t="n">
        <v>0</v>
      </c>
      <c r="K293" t="n">
        <v>0</v>
      </c>
      <c r="L293" t="n">
        <v>0</v>
      </c>
      <c r="M293" t="n">
        <v>0</v>
      </c>
      <c r="N293" t="n">
        <v>0</v>
      </c>
      <c r="O293" t="n">
        <v>0</v>
      </c>
      <c r="P293" t="n">
        <v>0</v>
      </c>
      <c r="Q293" t="n">
        <v>0</v>
      </c>
      <c r="R293" s="2" t="inlineStr"/>
    </row>
    <row r="294" ht="15" customHeight="1">
      <c r="A294" t="inlineStr">
        <is>
          <t>A 25578-2025</t>
        </is>
      </c>
      <c r="B294" s="1" t="n">
        <v>45803.47803240741</v>
      </c>
      <c r="C294" s="1" t="n">
        <v>45914</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11663-2024</t>
        </is>
      </c>
      <c r="B295" s="1" t="n">
        <v>45373</v>
      </c>
      <c r="C295" s="1" t="n">
        <v>45914</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25519-2025</t>
        </is>
      </c>
      <c r="B296" s="1" t="n">
        <v>45803.38447916666</v>
      </c>
      <c r="C296" s="1" t="n">
        <v>45914</v>
      </c>
      <c r="D296" t="inlineStr">
        <is>
          <t>ÖREBRO LÄN</t>
        </is>
      </c>
      <c r="E296" t="inlineStr">
        <is>
          <t>ÖREBRO</t>
        </is>
      </c>
      <c r="G296" t="n">
        <v>7.4</v>
      </c>
      <c r="H296" t="n">
        <v>0</v>
      </c>
      <c r="I296" t="n">
        <v>0</v>
      </c>
      <c r="J296" t="n">
        <v>0</v>
      </c>
      <c r="K296" t="n">
        <v>0</v>
      </c>
      <c r="L296" t="n">
        <v>0</v>
      </c>
      <c r="M296" t="n">
        <v>0</v>
      </c>
      <c r="N296" t="n">
        <v>0</v>
      </c>
      <c r="O296" t="n">
        <v>0</v>
      </c>
      <c r="P296" t="n">
        <v>0</v>
      </c>
      <c r="Q296" t="n">
        <v>0</v>
      </c>
      <c r="R296" s="2" t="inlineStr"/>
    </row>
    <row r="297" ht="15" customHeight="1">
      <c r="A297" t="inlineStr">
        <is>
          <t>A 32086-2023</t>
        </is>
      </c>
      <c r="B297" s="1" t="n">
        <v>45119.59789351852</v>
      </c>
      <c r="C297" s="1" t="n">
        <v>45914</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13856-2022</t>
        </is>
      </c>
      <c r="B298" s="1" t="n">
        <v>44649.6965162037</v>
      </c>
      <c r="C298" s="1" t="n">
        <v>45914</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23863-2023</t>
        </is>
      </c>
      <c r="B299" s="1" t="n">
        <v>45078.48994212963</v>
      </c>
      <c r="C299" s="1" t="n">
        <v>45914</v>
      </c>
      <c r="D299" t="inlineStr">
        <is>
          <t>ÖREBRO LÄN</t>
        </is>
      </c>
      <c r="E299" t="inlineStr">
        <is>
          <t>ÖREBRO</t>
        </is>
      </c>
      <c r="F299" t="inlineStr">
        <is>
          <t>Övriga Aktiebolag</t>
        </is>
      </c>
      <c r="G299" t="n">
        <v>5.9</v>
      </c>
      <c r="H299" t="n">
        <v>0</v>
      </c>
      <c r="I299" t="n">
        <v>0</v>
      </c>
      <c r="J299" t="n">
        <v>0</v>
      </c>
      <c r="K299" t="n">
        <v>0</v>
      </c>
      <c r="L299" t="n">
        <v>0</v>
      </c>
      <c r="M299" t="n">
        <v>0</v>
      </c>
      <c r="N299" t="n">
        <v>0</v>
      </c>
      <c r="O299" t="n">
        <v>0</v>
      </c>
      <c r="P299" t="n">
        <v>0</v>
      </c>
      <c r="Q299" t="n">
        <v>0</v>
      </c>
      <c r="R299" s="2" t="inlineStr"/>
    </row>
    <row r="300" ht="15" customHeight="1">
      <c r="A300" t="inlineStr">
        <is>
          <t>A 39130-2023</t>
        </is>
      </c>
      <c r="B300" s="1" t="n">
        <v>45165</v>
      </c>
      <c r="C300" s="1" t="n">
        <v>45914</v>
      </c>
      <c r="D300" t="inlineStr">
        <is>
          <t>ÖREBRO LÄN</t>
        </is>
      </c>
      <c r="E300" t="inlineStr">
        <is>
          <t>ÖREBRO</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13599-2025</t>
        </is>
      </c>
      <c r="B301" s="1" t="n">
        <v>45736.60597222222</v>
      </c>
      <c r="C301" s="1" t="n">
        <v>45914</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541-2025</t>
        </is>
      </c>
      <c r="B302" s="1" t="n">
        <v>45664.52034722222</v>
      </c>
      <c r="C302" s="1" t="n">
        <v>45914</v>
      </c>
      <c r="D302" t="inlineStr">
        <is>
          <t>ÖREBRO LÄN</t>
        </is>
      </c>
      <c r="E302" t="inlineStr">
        <is>
          <t>ÖREBRO</t>
        </is>
      </c>
      <c r="G302" t="n">
        <v>2.2</v>
      </c>
      <c r="H302" t="n">
        <v>0</v>
      </c>
      <c r="I302" t="n">
        <v>0</v>
      </c>
      <c r="J302" t="n">
        <v>0</v>
      </c>
      <c r="K302" t="n">
        <v>0</v>
      </c>
      <c r="L302" t="n">
        <v>0</v>
      </c>
      <c r="M302" t="n">
        <v>0</v>
      </c>
      <c r="N302" t="n">
        <v>0</v>
      </c>
      <c r="O302" t="n">
        <v>0</v>
      </c>
      <c r="P302" t="n">
        <v>0</v>
      </c>
      <c r="Q302" t="n">
        <v>0</v>
      </c>
      <c r="R302" s="2" t="inlineStr"/>
    </row>
    <row r="303" ht="15" customHeight="1">
      <c r="A303" t="inlineStr">
        <is>
          <t>A 19553-2023</t>
        </is>
      </c>
      <c r="B303" s="1" t="n">
        <v>45050</v>
      </c>
      <c r="C303" s="1" t="n">
        <v>45914</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37025-2024</t>
        </is>
      </c>
      <c r="B304" s="1" t="n">
        <v>45539.3840162037</v>
      </c>
      <c r="C304" s="1" t="n">
        <v>45914</v>
      </c>
      <c r="D304" t="inlineStr">
        <is>
          <t>ÖREBRO LÄN</t>
        </is>
      </c>
      <c r="E304" t="inlineStr">
        <is>
          <t>ÖREBRO</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37027-2024</t>
        </is>
      </c>
      <c r="B305" s="1" t="n">
        <v>45539.38487268519</v>
      </c>
      <c r="C305" s="1" t="n">
        <v>45914</v>
      </c>
      <c r="D305" t="inlineStr">
        <is>
          <t>ÖREBRO LÄN</t>
        </is>
      </c>
      <c r="E305" t="inlineStr">
        <is>
          <t>ÖREBRO</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23594-2023</t>
        </is>
      </c>
      <c r="B306" s="1" t="n">
        <v>45077</v>
      </c>
      <c r="C306" s="1" t="n">
        <v>45914</v>
      </c>
      <c r="D306" t="inlineStr">
        <is>
          <t>ÖREBRO LÄN</t>
        </is>
      </c>
      <c r="E306" t="inlineStr">
        <is>
          <t>ÖREBRO</t>
        </is>
      </c>
      <c r="G306" t="n">
        <v>9.9</v>
      </c>
      <c r="H306" t="n">
        <v>0</v>
      </c>
      <c r="I306" t="n">
        <v>0</v>
      </c>
      <c r="J306" t="n">
        <v>0</v>
      </c>
      <c r="K306" t="n">
        <v>0</v>
      </c>
      <c r="L306" t="n">
        <v>0</v>
      </c>
      <c r="M306" t="n">
        <v>0</v>
      </c>
      <c r="N306" t="n">
        <v>0</v>
      </c>
      <c r="O306" t="n">
        <v>0</v>
      </c>
      <c r="P306" t="n">
        <v>0</v>
      </c>
      <c r="Q306" t="n">
        <v>0</v>
      </c>
      <c r="R306" s="2" t="inlineStr"/>
    </row>
    <row r="307" ht="15" customHeight="1">
      <c r="A307" t="inlineStr">
        <is>
          <t>A 8022-2022</t>
        </is>
      </c>
      <c r="B307" s="1" t="n">
        <v>44609</v>
      </c>
      <c r="C307" s="1" t="n">
        <v>45914</v>
      </c>
      <c r="D307" t="inlineStr">
        <is>
          <t>ÖREBRO LÄN</t>
        </is>
      </c>
      <c r="E307" t="inlineStr">
        <is>
          <t>ÖREBRO</t>
        </is>
      </c>
      <c r="G307" t="n">
        <v>5.6</v>
      </c>
      <c r="H307" t="n">
        <v>0</v>
      </c>
      <c r="I307" t="n">
        <v>0</v>
      </c>
      <c r="J307" t="n">
        <v>0</v>
      </c>
      <c r="K307" t="n">
        <v>0</v>
      </c>
      <c r="L307" t="n">
        <v>0</v>
      </c>
      <c r="M307" t="n">
        <v>0</v>
      </c>
      <c r="N307" t="n">
        <v>0</v>
      </c>
      <c r="O307" t="n">
        <v>0</v>
      </c>
      <c r="P307" t="n">
        <v>0</v>
      </c>
      <c r="Q307" t="n">
        <v>0</v>
      </c>
      <c r="R307" s="2" t="inlineStr"/>
    </row>
    <row r="308" ht="15" customHeight="1">
      <c r="A308" t="inlineStr">
        <is>
          <t>A 47193-2023</t>
        </is>
      </c>
      <c r="B308" s="1" t="n">
        <v>45202.3074537037</v>
      </c>
      <c r="C308" s="1" t="n">
        <v>45914</v>
      </c>
      <c r="D308" t="inlineStr">
        <is>
          <t>ÖREBRO LÄN</t>
        </is>
      </c>
      <c r="E308" t="inlineStr">
        <is>
          <t>ÖREBRO</t>
        </is>
      </c>
      <c r="G308" t="n">
        <v>2.4</v>
      </c>
      <c r="H308" t="n">
        <v>0</v>
      </c>
      <c r="I308" t="n">
        <v>0</v>
      </c>
      <c r="J308" t="n">
        <v>0</v>
      </c>
      <c r="K308" t="n">
        <v>0</v>
      </c>
      <c r="L308" t="n">
        <v>0</v>
      </c>
      <c r="M308" t="n">
        <v>0</v>
      </c>
      <c r="N308" t="n">
        <v>0</v>
      </c>
      <c r="O308" t="n">
        <v>0</v>
      </c>
      <c r="P308" t="n">
        <v>0</v>
      </c>
      <c r="Q308" t="n">
        <v>0</v>
      </c>
      <c r="R308" s="2" t="inlineStr"/>
    </row>
    <row r="309" ht="15" customHeight="1">
      <c r="A309" t="inlineStr">
        <is>
          <t>A 58598-2022</t>
        </is>
      </c>
      <c r="B309" s="1" t="n">
        <v>44902</v>
      </c>
      <c r="C309" s="1" t="n">
        <v>45914</v>
      </c>
      <c r="D309" t="inlineStr">
        <is>
          <t>ÖREBRO LÄN</t>
        </is>
      </c>
      <c r="E309" t="inlineStr">
        <is>
          <t>ÖREBRO</t>
        </is>
      </c>
      <c r="G309" t="n">
        <v>0.4</v>
      </c>
      <c r="H309" t="n">
        <v>0</v>
      </c>
      <c r="I309" t="n">
        <v>0</v>
      </c>
      <c r="J309" t="n">
        <v>0</v>
      </c>
      <c r="K309" t="n">
        <v>0</v>
      </c>
      <c r="L309" t="n">
        <v>0</v>
      </c>
      <c r="M309" t="n">
        <v>0</v>
      </c>
      <c r="N309" t="n">
        <v>0</v>
      </c>
      <c r="O309" t="n">
        <v>0</v>
      </c>
      <c r="P309" t="n">
        <v>0</v>
      </c>
      <c r="Q309" t="n">
        <v>0</v>
      </c>
      <c r="R309" s="2" t="inlineStr"/>
    </row>
    <row r="310" ht="15" customHeight="1">
      <c r="A310" t="inlineStr">
        <is>
          <t>A 50375-2024</t>
        </is>
      </c>
      <c r="B310" s="1" t="n">
        <v>45601.29311342593</v>
      </c>
      <c r="C310" s="1" t="n">
        <v>45914</v>
      </c>
      <c r="D310" t="inlineStr">
        <is>
          <t>ÖREBRO LÄN</t>
        </is>
      </c>
      <c r="E310" t="inlineStr">
        <is>
          <t>ÖREBRO</t>
        </is>
      </c>
      <c r="G310" t="n">
        <v>5</v>
      </c>
      <c r="H310" t="n">
        <v>0</v>
      </c>
      <c r="I310" t="n">
        <v>0</v>
      </c>
      <c r="J310" t="n">
        <v>0</v>
      </c>
      <c r="K310" t="n">
        <v>0</v>
      </c>
      <c r="L310" t="n">
        <v>0</v>
      </c>
      <c r="M310" t="n">
        <v>0</v>
      </c>
      <c r="N310" t="n">
        <v>0</v>
      </c>
      <c r="O310" t="n">
        <v>0</v>
      </c>
      <c r="P310" t="n">
        <v>0</v>
      </c>
      <c r="Q310" t="n">
        <v>0</v>
      </c>
      <c r="R310" s="2" t="inlineStr"/>
    </row>
    <row r="311" ht="15" customHeight="1">
      <c r="A311" t="inlineStr">
        <is>
          <t>A 52391-2024</t>
        </is>
      </c>
      <c r="B311" s="1" t="n">
        <v>45609.43180555556</v>
      </c>
      <c r="C311" s="1" t="n">
        <v>45914</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71206-2021</t>
        </is>
      </c>
      <c r="B312" s="1" t="n">
        <v>44539</v>
      </c>
      <c r="C312" s="1" t="n">
        <v>45914</v>
      </c>
      <c r="D312" t="inlineStr">
        <is>
          <t>ÖREBRO LÄN</t>
        </is>
      </c>
      <c r="E312" t="inlineStr">
        <is>
          <t>ÖREBRO</t>
        </is>
      </c>
      <c r="G312" t="n">
        <v>2.5</v>
      </c>
      <c r="H312" t="n">
        <v>0</v>
      </c>
      <c r="I312" t="n">
        <v>0</v>
      </c>
      <c r="J312" t="n">
        <v>0</v>
      </c>
      <c r="K312" t="n">
        <v>0</v>
      </c>
      <c r="L312" t="n">
        <v>0</v>
      </c>
      <c r="M312" t="n">
        <v>0</v>
      </c>
      <c r="N312" t="n">
        <v>0</v>
      </c>
      <c r="O312" t="n">
        <v>0</v>
      </c>
      <c r="P312" t="n">
        <v>0</v>
      </c>
      <c r="Q312" t="n">
        <v>0</v>
      </c>
      <c r="R312" s="2" t="inlineStr"/>
    </row>
    <row r="313" ht="15" customHeight="1">
      <c r="A313" t="inlineStr">
        <is>
          <t>A 16739-2022</t>
        </is>
      </c>
      <c r="B313" s="1" t="n">
        <v>44673</v>
      </c>
      <c r="C313" s="1" t="n">
        <v>45914</v>
      </c>
      <c r="D313" t="inlineStr">
        <is>
          <t>ÖREBRO LÄN</t>
        </is>
      </c>
      <c r="E313" t="inlineStr">
        <is>
          <t>ÖREBRO</t>
        </is>
      </c>
      <c r="G313" t="n">
        <v>4.7</v>
      </c>
      <c r="H313" t="n">
        <v>0</v>
      </c>
      <c r="I313" t="n">
        <v>0</v>
      </c>
      <c r="J313" t="n">
        <v>0</v>
      </c>
      <c r="K313" t="n">
        <v>0</v>
      </c>
      <c r="L313" t="n">
        <v>0</v>
      </c>
      <c r="M313" t="n">
        <v>0</v>
      </c>
      <c r="N313" t="n">
        <v>0</v>
      </c>
      <c r="O313" t="n">
        <v>0</v>
      </c>
      <c r="P313" t="n">
        <v>0</v>
      </c>
      <c r="Q313" t="n">
        <v>0</v>
      </c>
      <c r="R313" s="2" t="inlineStr"/>
    </row>
    <row r="314" ht="15" customHeight="1">
      <c r="A314" t="inlineStr">
        <is>
          <t>A 9379-2024</t>
        </is>
      </c>
      <c r="B314" s="1" t="n">
        <v>45359.37298611111</v>
      </c>
      <c r="C314" s="1" t="n">
        <v>45914</v>
      </c>
      <c r="D314" t="inlineStr">
        <is>
          <t>ÖREBRO LÄN</t>
        </is>
      </c>
      <c r="E314" t="inlineStr">
        <is>
          <t>ÖREBRO</t>
        </is>
      </c>
      <c r="G314" t="n">
        <v>2.4</v>
      </c>
      <c r="H314" t="n">
        <v>0</v>
      </c>
      <c r="I314" t="n">
        <v>0</v>
      </c>
      <c r="J314" t="n">
        <v>0</v>
      </c>
      <c r="K314" t="n">
        <v>0</v>
      </c>
      <c r="L314" t="n">
        <v>0</v>
      </c>
      <c r="M314" t="n">
        <v>0</v>
      </c>
      <c r="N314" t="n">
        <v>0</v>
      </c>
      <c r="O314" t="n">
        <v>0</v>
      </c>
      <c r="P314" t="n">
        <v>0</v>
      </c>
      <c r="Q314" t="n">
        <v>0</v>
      </c>
      <c r="R314" s="2" t="inlineStr"/>
    </row>
    <row r="315" ht="15" customHeight="1">
      <c r="A315" t="inlineStr">
        <is>
          <t>A 5398-2022</t>
        </is>
      </c>
      <c r="B315" s="1" t="n">
        <v>44595.3353587963</v>
      </c>
      <c r="C315" s="1" t="n">
        <v>45914</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27220-2025</t>
        </is>
      </c>
      <c r="B316" s="1" t="n">
        <v>45812.42293981482</v>
      </c>
      <c r="C316" s="1" t="n">
        <v>45914</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58532-2024</t>
        </is>
      </c>
      <c r="B317" s="1" t="n">
        <v>45635.44899305556</v>
      </c>
      <c r="C317" s="1" t="n">
        <v>45914</v>
      </c>
      <c r="D317" t="inlineStr">
        <is>
          <t>ÖREBRO LÄN</t>
        </is>
      </c>
      <c r="E317" t="inlineStr">
        <is>
          <t>ÖREBRO</t>
        </is>
      </c>
      <c r="F317" t="inlineStr">
        <is>
          <t>Sveaskog</t>
        </is>
      </c>
      <c r="G317" t="n">
        <v>5.2</v>
      </c>
      <c r="H317" t="n">
        <v>0</v>
      </c>
      <c r="I317" t="n">
        <v>0</v>
      </c>
      <c r="J317" t="n">
        <v>0</v>
      </c>
      <c r="K317" t="n">
        <v>0</v>
      </c>
      <c r="L317" t="n">
        <v>0</v>
      </c>
      <c r="M317" t="n">
        <v>0</v>
      </c>
      <c r="N317" t="n">
        <v>0</v>
      </c>
      <c r="O317" t="n">
        <v>0</v>
      </c>
      <c r="P317" t="n">
        <v>0</v>
      </c>
      <c r="Q317" t="n">
        <v>0</v>
      </c>
      <c r="R317" s="2" t="inlineStr"/>
    </row>
    <row r="318" ht="15" customHeight="1">
      <c r="A318" t="inlineStr">
        <is>
          <t>A 27180-2025</t>
        </is>
      </c>
      <c r="B318" s="1" t="n">
        <v>45812.35736111111</v>
      </c>
      <c r="C318" s="1" t="n">
        <v>45914</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27215-2025</t>
        </is>
      </c>
      <c r="B319" s="1" t="n">
        <v>45812.41869212963</v>
      </c>
      <c r="C319" s="1" t="n">
        <v>45914</v>
      </c>
      <c r="D319" t="inlineStr">
        <is>
          <t>ÖREBRO LÄN</t>
        </is>
      </c>
      <c r="E319" t="inlineStr">
        <is>
          <t>ÖREBRO</t>
        </is>
      </c>
      <c r="G319" t="n">
        <v>1.2</v>
      </c>
      <c r="H319" t="n">
        <v>0</v>
      </c>
      <c r="I319" t="n">
        <v>0</v>
      </c>
      <c r="J319" t="n">
        <v>0</v>
      </c>
      <c r="K319" t="n">
        <v>0</v>
      </c>
      <c r="L319" t="n">
        <v>0</v>
      </c>
      <c r="M319" t="n">
        <v>0</v>
      </c>
      <c r="N319" t="n">
        <v>0</v>
      </c>
      <c r="O319" t="n">
        <v>0</v>
      </c>
      <c r="P319" t="n">
        <v>0</v>
      </c>
      <c r="Q319" t="n">
        <v>0</v>
      </c>
      <c r="R319" s="2" t="inlineStr"/>
    </row>
    <row r="320" ht="15" customHeight="1">
      <c r="A320" t="inlineStr">
        <is>
          <t>A 27225-2025</t>
        </is>
      </c>
      <c r="B320" s="1" t="n">
        <v>45812.42856481481</v>
      </c>
      <c r="C320" s="1" t="n">
        <v>45914</v>
      </c>
      <c r="D320" t="inlineStr">
        <is>
          <t>ÖREBRO LÄN</t>
        </is>
      </c>
      <c r="E320" t="inlineStr">
        <is>
          <t>ÖREBRO</t>
        </is>
      </c>
      <c r="G320" t="n">
        <v>4</v>
      </c>
      <c r="H320" t="n">
        <v>0</v>
      </c>
      <c r="I320" t="n">
        <v>0</v>
      </c>
      <c r="J320" t="n">
        <v>0</v>
      </c>
      <c r="K320" t="n">
        <v>0</v>
      </c>
      <c r="L320" t="n">
        <v>0</v>
      </c>
      <c r="M320" t="n">
        <v>0</v>
      </c>
      <c r="N320" t="n">
        <v>0</v>
      </c>
      <c r="O320" t="n">
        <v>0</v>
      </c>
      <c r="P320" t="n">
        <v>0</v>
      </c>
      <c r="Q320" t="n">
        <v>0</v>
      </c>
      <c r="R320" s="2" t="inlineStr"/>
    </row>
    <row r="321" ht="15" customHeight="1">
      <c r="A321" t="inlineStr">
        <is>
          <t>A 41995-2024</t>
        </is>
      </c>
      <c r="B321" s="1" t="n">
        <v>45561.6475462963</v>
      </c>
      <c r="C321" s="1" t="n">
        <v>45914</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20150-2024</t>
        </is>
      </c>
      <c r="B322" s="1" t="n">
        <v>45434.57969907407</v>
      </c>
      <c r="C322" s="1" t="n">
        <v>45914</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58208-2024</t>
        </is>
      </c>
      <c r="B323" s="1" t="n">
        <v>45632</v>
      </c>
      <c r="C323" s="1" t="n">
        <v>45914</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19388-2024</t>
        </is>
      </c>
      <c r="B324" s="1" t="n">
        <v>45429.37775462963</v>
      </c>
      <c r="C324" s="1" t="n">
        <v>45914</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16737-2023</t>
        </is>
      </c>
      <c r="B325" s="1" t="n">
        <v>45030.72472222222</v>
      </c>
      <c r="C325" s="1" t="n">
        <v>45914</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15866-2022</t>
        </is>
      </c>
      <c r="B326" s="1" t="n">
        <v>44664</v>
      </c>
      <c r="C326" s="1" t="n">
        <v>45914</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28120-2025</t>
        </is>
      </c>
      <c r="B327" s="1" t="n">
        <v>45818.30459490741</v>
      </c>
      <c r="C327" s="1" t="n">
        <v>45914</v>
      </c>
      <c r="D327" t="inlineStr">
        <is>
          <t>ÖREBRO LÄN</t>
        </is>
      </c>
      <c r="E327" t="inlineStr">
        <is>
          <t>ÖREBRO</t>
        </is>
      </c>
      <c r="G327" t="n">
        <v>1.5</v>
      </c>
      <c r="H327" t="n">
        <v>0</v>
      </c>
      <c r="I327" t="n">
        <v>0</v>
      </c>
      <c r="J327" t="n">
        <v>0</v>
      </c>
      <c r="K327" t="n">
        <v>0</v>
      </c>
      <c r="L327" t="n">
        <v>0</v>
      </c>
      <c r="M327" t="n">
        <v>0</v>
      </c>
      <c r="N327" t="n">
        <v>0</v>
      </c>
      <c r="O327" t="n">
        <v>0</v>
      </c>
      <c r="P327" t="n">
        <v>0</v>
      </c>
      <c r="Q327" t="n">
        <v>0</v>
      </c>
      <c r="R327" s="2" t="inlineStr"/>
    </row>
    <row r="328" ht="15" customHeight="1">
      <c r="A328" t="inlineStr">
        <is>
          <t>A 2318-2023</t>
        </is>
      </c>
      <c r="B328" s="1" t="n">
        <v>44942</v>
      </c>
      <c r="C328" s="1" t="n">
        <v>45914</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7506-2025</t>
        </is>
      </c>
      <c r="B329" s="1" t="n">
        <v>45705</v>
      </c>
      <c r="C329" s="1" t="n">
        <v>45914</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4344-2025</t>
        </is>
      </c>
      <c r="B330" s="1" t="n">
        <v>45685</v>
      </c>
      <c r="C330" s="1" t="n">
        <v>45914</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16300-2022</t>
        </is>
      </c>
      <c r="B331" s="1" t="n">
        <v>44670</v>
      </c>
      <c r="C331" s="1" t="n">
        <v>45914</v>
      </c>
      <c r="D331" t="inlineStr">
        <is>
          <t>ÖREBRO LÄN</t>
        </is>
      </c>
      <c r="E331" t="inlineStr">
        <is>
          <t>ÖREBRO</t>
        </is>
      </c>
      <c r="G331" t="n">
        <v>0.8</v>
      </c>
      <c r="H331" t="n">
        <v>0</v>
      </c>
      <c r="I331" t="n">
        <v>0</v>
      </c>
      <c r="J331" t="n">
        <v>0</v>
      </c>
      <c r="K331" t="n">
        <v>0</v>
      </c>
      <c r="L331" t="n">
        <v>0</v>
      </c>
      <c r="M331" t="n">
        <v>0</v>
      </c>
      <c r="N331" t="n">
        <v>0</v>
      </c>
      <c r="O331" t="n">
        <v>0</v>
      </c>
      <c r="P331" t="n">
        <v>0</v>
      </c>
      <c r="Q331" t="n">
        <v>0</v>
      </c>
      <c r="R331" s="2" t="inlineStr"/>
    </row>
    <row r="332" ht="15" customHeight="1">
      <c r="A332" t="inlineStr">
        <is>
          <t>A 5764-2022</t>
        </is>
      </c>
      <c r="B332" s="1" t="n">
        <v>44596</v>
      </c>
      <c r="C332" s="1" t="n">
        <v>45914</v>
      </c>
      <c r="D332" t="inlineStr">
        <is>
          <t>ÖREBRO LÄN</t>
        </is>
      </c>
      <c r="E332" t="inlineStr">
        <is>
          <t>ÖREBRO</t>
        </is>
      </c>
      <c r="G332" t="n">
        <v>3.5</v>
      </c>
      <c r="H332" t="n">
        <v>0</v>
      </c>
      <c r="I332" t="n">
        <v>0</v>
      </c>
      <c r="J332" t="n">
        <v>0</v>
      </c>
      <c r="K332" t="n">
        <v>0</v>
      </c>
      <c r="L332" t="n">
        <v>0</v>
      </c>
      <c r="M332" t="n">
        <v>0</v>
      </c>
      <c r="N332" t="n">
        <v>0</v>
      </c>
      <c r="O332" t="n">
        <v>0</v>
      </c>
      <c r="P332" t="n">
        <v>0</v>
      </c>
      <c r="Q332" t="n">
        <v>0</v>
      </c>
      <c r="R332" s="2" t="inlineStr"/>
    </row>
    <row r="333" ht="15" customHeight="1">
      <c r="A333" t="inlineStr">
        <is>
          <t>A 16958-2022</t>
        </is>
      </c>
      <c r="B333" s="1" t="n">
        <v>44676.50481481481</v>
      </c>
      <c r="C333" s="1" t="n">
        <v>45914</v>
      </c>
      <c r="D333" t="inlineStr">
        <is>
          <t>ÖREBRO LÄN</t>
        </is>
      </c>
      <c r="E333" t="inlineStr">
        <is>
          <t>ÖREBRO</t>
        </is>
      </c>
      <c r="G333" t="n">
        <v>3.1</v>
      </c>
      <c r="H333" t="n">
        <v>0</v>
      </c>
      <c r="I333" t="n">
        <v>0</v>
      </c>
      <c r="J333" t="n">
        <v>0</v>
      </c>
      <c r="K333" t="n">
        <v>0</v>
      </c>
      <c r="L333" t="n">
        <v>0</v>
      </c>
      <c r="M333" t="n">
        <v>0</v>
      </c>
      <c r="N333" t="n">
        <v>0</v>
      </c>
      <c r="O333" t="n">
        <v>0</v>
      </c>
      <c r="P333" t="n">
        <v>0</v>
      </c>
      <c r="Q333" t="n">
        <v>0</v>
      </c>
      <c r="R333" s="2" t="inlineStr"/>
    </row>
    <row r="334" ht="15" customHeight="1">
      <c r="A334" t="inlineStr">
        <is>
          <t>A 55472-2023</t>
        </is>
      </c>
      <c r="B334" s="1" t="n">
        <v>45238</v>
      </c>
      <c r="C334" s="1" t="n">
        <v>45914</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45027-2024</t>
        </is>
      </c>
      <c r="B335" s="1" t="n">
        <v>45575</v>
      </c>
      <c r="C335" s="1" t="n">
        <v>45914</v>
      </c>
      <c r="D335" t="inlineStr">
        <is>
          <t>ÖREBRO LÄN</t>
        </is>
      </c>
      <c r="E335" t="inlineStr">
        <is>
          <t>ÖREBRO</t>
        </is>
      </c>
      <c r="G335" t="n">
        <v>6.3</v>
      </c>
      <c r="H335" t="n">
        <v>0</v>
      </c>
      <c r="I335" t="n">
        <v>0</v>
      </c>
      <c r="J335" t="n">
        <v>0</v>
      </c>
      <c r="K335" t="n">
        <v>0</v>
      </c>
      <c r="L335" t="n">
        <v>0</v>
      </c>
      <c r="M335" t="n">
        <v>0</v>
      </c>
      <c r="N335" t="n">
        <v>0</v>
      </c>
      <c r="O335" t="n">
        <v>0</v>
      </c>
      <c r="P335" t="n">
        <v>0</v>
      </c>
      <c r="Q335" t="n">
        <v>0</v>
      </c>
      <c r="R335" s="2" t="inlineStr"/>
    </row>
    <row r="336" ht="15" customHeight="1">
      <c r="A336" t="inlineStr">
        <is>
          <t>A 40051-2024</t>
        </is>
      </c>
      <c r="B336" s="1" t="n">
        <v>45553</v>
      </c>
      <c r="C336" s="1" t="n">
        <v>45914</v>
      </c>
      <c r="D336" t="inlineStr">
        <is>
          <t>ÖREBRO LÄN</t>
        </is>
      </c>
      <c r="E336" t="inlineStr">
        <is>
          <t>ÖREBRO</t>
        </is>
      </c>
      <c r="G336" t="n">
        <v>3.5</v>
      </c>
      <c r="H336" t="n">
        <v>0</v>
      </c>
      <c r="I336" t="n">
        <v>0</v>
      </c>
      <c r="J336" t="n">
        <v>0</v>
      </c>
      <c r="K336" t="n">
        <v>0</v>
      </c>
      <c r="L336" t="n">
        <v>0</v>
      </c>
      <c r="M336" t="n">
        <v>0</v>
      </c>
      <c r="N336" t="n">
        <v>0</v>
      </c>
      <c r="O336" t="n">
        <v>0</v>
      </c>
      <c r="P336" t="n">
        <v>0</v>
      </c>
      <c r="Q336" t="n">
        <v>0</v>
      </c>
      <c r="R336" s="2" t="inlineStr"/>
    </row>
    <row r="337" ht="15" customHeight="1">
      <c r="A337" t="inlineStr">
        <is>
          <t>A 41543-2024</t>
        </is>
      </c>
      <c r="B337" s="1" t="n">
        <v>45560</v>
      </c>
      <c r="C337" s="1" t="n">
        <v>45914</v>
      </c>
      <c r="D337" t="inlineStr">
        <is>
          <t>ÖREBRO LÄN</t>
        </is>
      </c>
      <c r="E337" t="inlineStr">
        <is>
          <t>ÖREBRO</t>
        </is>
      </c>
      <c r="G337" t="n">
        <v>2.8</v>
      </c>
      <c r="H337" t="n">
        <v>0</v>
      </c>
      <c r="I337" t="n">
        <v>0</v>
      </c>
      <c r="J337" t="n">
        <v>0</v>
      </c>
      <c r="K337" t="n">
        <v>0</v>
      </c>
      <c r="L337" t="n">
        <v>0</v>
      </c>
      <c r="M337" t="n">
        <v>0</v>
      </c>
      <c r="N337" t="n">
        <v>0</v>
      </c>
      <c r="O337" t="n">
        <v>0</v>
      </c>
      <c r="P337" t="n">
        <v>0</v>
      </c>
      <c r="Q337" t="n">
        <v>0</v>
      </c>
      <c r="R337" s="2" t="inlineStr"/>
    </row>
    <row r="338" ht="15" customHeight="1">
      <c r="A338" t="inlineStr">
        <is>
          <t>A 10799-2024</t>
        </is>
      </c>
      <c r="B338" s="1" t="n">
        <v>45369</v>
      </c>
      <c r="C338" s="1" t="n">
        <v>45914</v>
      </c>
      <c r="D338" t="inlineStr">
        <is>
          <t>ÖREBRO LÄN</t>
        </is>
      </c>
      <c r="E338" t="inlineStr">
        <is>
          <t>ÖREBRO</t>
        </is>
      </c>
      <c r="G338" t="n">
        <v>5.8</v>
      </c>
      <c r="H338" t="n">
        <v>0</v>
      </c>
      <c r="I338" t="n">
        <v>0</v>
      </c>
      <c r="J338" t="n">
        <v>0</v>
      </c>
      <c r="K338" t="n">
        <v>0</v>
      </c>
      <c r="L338" t="n">
        <v>0</v>
      </c>
      <c r="M338" t="n">
        <v>0</v>
      </c>
      <c r="N338" t="n">
        <v>0</v>
      </c>
      <c r="O338" t="n">
        <v>0</v>
      </c>
      <c r="P338" t="n">
        <v>0</v>
      </c>
      <c r="Q338" t="n">
        <v>0</v>
      </c>
      <c r="R338" s="2" t="inlineStr"/>
    </row>
    <row r="339" ht="15" customHeight="1">
      <c r="A339" t="inlineStr">
        <is>
          <t>A 54925-2023</t>
        </is>
      </c>
      <c r="B339" s="1" t="n">
        <v>45229</v>
      </c>
      <c r="C339" s="1" t="n">
        <v>45914</v>
      </c>
      <c r="D339" t="inlineStr">
        <is>
          <t>ÖREBRO LÄN</t>
        </is>
      </c>
      <c r="E339" t="inlineStr">
        <is>
          <t>ÖREBRO</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8568-2021</t>
        </is>
      </c>
      <c r="B340" s="1" t="n">
        <v>44245</v>
      </c>
      <c r="C340" s="1" t="n">
        <v>45914</v>
      </c>
      <c r="D340" t="inlineStr">
        <is>
          <t>ÖREBRO LÄN</t>
        </is>
      </c>
      <c r="E340" t="inlineStr">
        <is>
          <t>ÖREBRO</t>
        </is>
      </c>
      <c r="G340" t="n">
        <v>4.8</v>
      </c>
      <c r="H340" t="n">
        <v>0</v>
      </c>
      <c r="I340" t="n">
        <v>0</v>
      </c>
      <c r="J340" t="n">
        <v>0</v>
      </c>
      <c r="K340" t="n">
        <v>0</v>
      </c>
      <c r="L340" t="n">
        <v>0</v>
      </c>
      <c r="M340" t="n">
        <v>0</v>
      </c>
      <c r="N340" t="n">
        <v>0</v>
      </c>
      <c r="O340" t="n">
        <v>0</v>
      </c>
      <c r="P340" t="n">
        <v>0</v>
      </c>
      <c r="Q340" t="n">
        <v>0</v>
      </c>
      <c r="R340" s="2" t="inlineStr"/>
    </row>
    <row r="341" ht="15" customHeight="1">
      <c r="A341" t="inlineStr">
        <is>
          <t>A 28938-2025</t>
        </is>
      </c>
      <c r="B341" s="1" t="n">
        <v>45820.70626157407</v>
      </c>
      <c r="C341" s="1" t="n">
        <v>45914</v>
      </c>
      <c r="D341" t="inlineStr">
        <is>
          <t>ÖREBRO LÄN</t>
        </is>
      </c>
      <c r="E341" t="inlineStr">
        <is>
          <t>ÖREBRO</t>
        </is>
      </c>
      <c r="G341" t="n">
        <v>1.9</v>
      </c>
      <c r="H341" t="n">
        <v>0</v>
      </c>
      <c r="I341" t="n">
        <v>0</v>
      </c>
      <c r="J341" t="n">
        <v>0</v>
      </c>
      <c r="K341" t="n">
        <v>0</v>
      </c>
      <c r="L341" t="n">
        <v>0</v>
      </c>
      <c r="M341" t="n">
        <v>0</v>
      </c>
      <c r="N341" t="n">
        <v>0</v>
      </c>
      <c r="O341" t="n">
        <v>0</v>
      </c>
      <c r="P341" t="n">
        <v>0</v>
      </c>
      <c r="Q341" t="n">
        <v>0</v>
      </c>
      <c r="R341" s="2" t="inlineStr"/>
    </row>
    <row r="342" ht="15" customHeight="1">
      <c r="A342" t="inlineStr">
        <is>
          <t>A 16694-2025</t>
        </is>
      </c>
      <c r="B342" s="1" t="n">
        <v>45754.46480324074</v>
      </c>
      <c r="C342" s="1" t="n">
        <v>45914</v>
      </c>
      <c r="D342" t="inlineStr">
        <is>
          <t>ÖREBRO LÄN</t>
        </is>
      </c>
      <c r="E342" t="inlineStr">
        <is>
          <t>ÖREBRO</t>
        </is>
      </c>
      <c r="G342" t="n">
        <v>1.2</v>
      </c>
      <c r="H342" t="n">
        <v>0</v>
      </c>
      <c r="I342" t="n">
        <v>0</v>
      </c>
      <c r="J342" t="n">
        <v>0</v>
      </c>
      <c r="K342" t="n">
        <v>0</v>
      </c>
      <c r="L342" t="n">
        <v>0</v>
      </c>
      <c r="M342" t="n">
        <v>0</v>
      </c>
      <c r="N342" t="n">
        <v>0</v>
      </c>
      <c r="O342" t="n">
        <v>0</v>
      </c>
      <c r="P342" t="n">
        <v>0</v>
      </c>
      <c r="Q342" t="n">
        <v>0</v>
      </c>
      <c r="R342" s="2" t="inlineStr"/>
    </row>
    <row r="343" ht="15" customHeight="1">
      <c r="A343" t="inlineStr">
        <is>
          <t>A 16961-2022</t>
        </is>
      </c>
      <c r="B343" s="1" t="n">
        <v>44676</v>
      </c>
      <c r="C343" s="1" t="n">
        <v>45914</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28920-2025</t>
        </is>
      </c>
      <c r="B344" s="1" t="n">
        <v>45820.66532407407</v>
      </c>
      <c r="C344" s="1" t="n">
        <v>45914</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15424-2022</t>
        </is>
      </c>
      <c r="B345" s="1" t="n">
        <v>44659</v>
      </c>
      <c r="C345" s="1" t="n">
        <v>45914</v>
      </c>
      <c r="D345" t="inlineStr">
        <is>
          <t>ÖREBRO LÄN</t>
        </is>
      </c>
      <c r="E345" t="inlineStr">
        <is>
          <t>ÖREBRO</t>
        </is>
      </c>
      <c r="G345" t="n">
        <v>2.2</v>
      </c>
      <c r="H345" t="n">
        <v>0</v>
      </c>
      <c r="I345" t="n">
        <v>0</v>
      </c>
      <c r="J345" t="n">
        <v>0</v>
      </c>
      <c r="K345" t="n">
        <v>0</v>
      </c>
      <c r="L345" t="n">
        <v>0</v>
      </c>
      <c r="M345" t="n">
        <v>0</v>
      </c>
      <c r="N345" t="n">
        <v>0</v>
      </c>
      <c r="O345" t="n">
        <v>0</v>
      </c>
      <c r="P345" t="n">
        <v>0</v>
      </c>
      <c r="Q345" t="n">
        <v>0</v>
      </c>
      <c r="R345" s="2" t="inlineStr"/>
    </row>
    <row r="346" ht="15" customHeight="1">
      <c r="A346" t="inlineStr">
        <is>
          <t>A 49465-2024</t>
        </is>
      </c>
      <c r="B346" s="1" t="n">
        <v>45596</v>
      </c>
      <c r="C346" s="1" t="n">
        <v>45914</v>
      </c>
      <c r="D346" t="inlineStr">
        <is>
          <t>ÖREBRO LÄN</t>
        </is>
      </c>
      <c r="E346" t="inlineStr">
        <is>
          <t>ÖREBRO</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29286-2025</t>
        </is>
      </c>
      <c r="B347" s="1" t="n">
        <v>45824.43502314815</v>
      </c>
      <c r="C347" s="1" t="n">
        <v>45914</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29339-2025</t>
        </is>
      </c>
      <c r="B348" s="1" t="n">
        <v>45824.5044212963</v>
      </c>
      <c r="C348" s="1" t="n">
        <v>45914</v>
      </c>
      <c r="D348" t="inlineStr">
        <is>
          <t>ÖREBRO LÄN</t>
        </is>
      </c>
      <c r="E348" t="inlineStr">
        <is>
          <t>ÖREBRO</t>
        </is>
      </c>
      <c r="G348" t="n">
        <v>4.3</v>
      </c>
      <c r="H348" t="n">
        <v>0</v>
      </c>
      <c r="I348" t="n">
        <v>0</v>
      </c>
      <c r="J348" t="n">
        <v>0</v>
      </c>
      <c r="K348" t="n">
        <v>0</v>
      </c>
      <c r="L348" t="n">
        <v>0</v>
      </c>
      <c r="M348" t="n">
        <v>0</v>
      </c>
      <c r="N348" t="n">
        <v>0</v>
      </c>
      <c r="O348" t="n">
        <v>0</v>
      </c>
      <c r="P348" t="n">
        <v>0</v>
      </c>
      <c r="Q348" t="n">
        <v>0</v>
      </c>
      <c r="R348" s="2" t="inlineStr"/>
    </row>
    <row r="349" ht="15" customHeight="1">
      <c r="A349" t="inlineStr">
        <is>
          <t>A 13700-2024</t>
        </is>
      </c>
      <c r="B349" s="1" t="n">
        <v>45390.59277777778</v>
      </c>
      <c r="C349" s="1" t="n">
        <v>45914</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60059-2023</t>
        </is>
      </c>
      <c r="B350" s="1" t="n">
        <v>45258.38157407408</v>
      </c>
      <c r="C350" s="1" t="n">
        <v>45914</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26858-2024</t>
        </is>
      </c>
      <c r="B351" s="1" t="n">
        <v>45470</v>
      </c>
      <c r="C351" s="1" t="n">
        <v>45914</v>
      </c>
      <c r="D351" t="inlineStr">
        <is>
          <t>ÖREBRO LÄN</t>
        </is>
      </c>
      <c r="E351" t="inlineStr">
        <is>
          <t>ÖREBRO</t>
        </is>
      </c>
      <c r="G351" t="n">
        <v>2.3</v>
      </c>
      <c r="H351" t="n">
        <v>0</v>
      </c>
      <c r="I351" t="n">
        <v>0</v>
      </c>
      <c r="J351" t="n">
        <v>0</v>
      </c>
      <c r="K351" t="n">
        <v>0</v>
      </c>
      <c r="L351" t="n">
        <v>0</v>
      </c>
      <c r="M351" t="n">
        <v>0</v>
      </c>
      <c r="N351" t="n">
        <v>0</v>
      </c>
      <c r="O351" t="n">
        <v>0</v>
      </c>
      <c r="P351" t="n">
        <v>0</v>
      </c>
      <c r="Q351" t="n">
        <v>0</v>
      </c>
      <c r="R351" s="2" t="inlineStr"/>
    </row>
    <row r="352" ht="15" customHeight="1">
      <c r="A352" t="inlineStr">
        <is>
          <t>A 29701-2025</t>
        </is>
      </c>
      <c r="B352" s="1" t="n">
        <v>45825.55261574074</v>
      </c>
      <c r="C352" s="1" t="n">
        <v>45914</v>
      </c>
      <c r="D352" t="inlineStr">
        <is>
          <t>ÖREBRO LÄN</t>
        </is>
      </c>
      <c r="E352" t="inlineStr">
        <is>
          <t>ÖREBRO</t>
        </is>
      </c>
      <c r="G352" t="n">
        <v>5.8</v>
      </c>
      <c r="H352" t="n">
        <v>0</v>
      </c>
      <c r="I352" t="n">
        <v>0</v>
      </c>
      <c r="J352" t="n">
        <v>0</v>
      </c>
      <c r="K352" t="n">
        <v>0</v>
      </c>
      <c r="L352" t="n">
        <v>0</v>
      </c>
      <c r="M352" t="n">
        <v>0</v>
      </c>
      <c r="N352" t="n">
        <v>0</v>
      </c>
      <c r="O352" t="n">
        <v>0</v>
      </c>
      <c r="P352" t="n">
        <v>0</v>
      </c>
      <c r="Q352" t="n">
        <v>0</v>
      </c>
      <c r="R352" s="2" t="inlineStr"/>
    </row>
    <row r="353" ht="15" customHeight="1">
      <c r="A353" t="inlineStr">
        <is>
          <t>A 29554-2025</t>
        </is>
      </c>
      <c r="B353" s="1" t="n">
        <v>45825</v>
      </c>
      <c r="C353" s="1" t="n">
        <v>45914</v>
      </c>
      <c r="D353" t="inlineStr">
        <is>
          <t>ÖREBRO LÄN</t>
        </is>
      </c>
      <c r="E353" t="inlineStr">
        <is>
          <t>ÖREBRO</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3659-2025</t>
        </is>
      </c>
      <c r="B354" s="1" t="n">
        <v>45681</v>
      </c>
      <c r="C354" s="1" t="n">
        <v>45914</v>
      </c>
      <c r="D354" t="inlineStr">
        <is>
          <t>ÖREBRO LÄN</t>
        </is>
      </c>
      <c r="E354" t="inlineStr">
        <is>
          <t>ÖREBRO</t>
        </is>
      </c>
      <c r="G354" t="n">
        <v>15.8</v>
      </c>
      <c r="H354" t="n">
        <v>0</v>
      </c>
      <c r="I354" t="n">
        <v>0</v>
      </c>
      <c r="J354" t="n">
        <v>0</v>
      </c>
      <c r="K354" t="n">
        <v>0</v>
      </c>
      <c r="L354" t="n">
        <v>0</v>
      </c>
      <c r="M354" t="n">
        <v>0</v>
      </c>
      <c r="N354" t="n">
        <v>0</v>
      </c>
      <c r="O354" t="n">
        <v>0</v>
      </c>
      <c r="P354" t="n">
        <v>0</v>
      </c>
      <c r="Q354" t="n">
        <v>0</v>
      </c>
      <c r="R354" s="2" t="inlineStr"/>
    </row>
    <row r="355" ht="15" customHeight="1">
      <c r="A355" t="inlineStr">
        <is>
          <t>A 59121-2024</t>
        </is>
      </c>
      <c r="B355" s="1" t="n">
        <v>45637.37755787037</v>
      </c>
      <c r="C355" s="1" t="n">
        <v>45914</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49215-2023</t>
        </is>
      </c>
      <c r="B356" s="1" t="n">
        <v>45210.61050925926</v>
      </c>
      <c r="C356" s="1" t="n">
        <v>45914</v>
      </c>
      <c r="D356" t="inlineStr">
        <is>
          <t>ÖREBRO LÄN</t>
        </is>
      </c>
      <c r="E356" t="inlineStr">
        <is>
          <t>ÖREBRO</t>
        </is>
      </c>
      <c r="F356" t="inlineStr">
        <is>
          <t>Övriga Aktiebolag</t>
        </is>
      </c>
      <c r="G356" t="n">
        <v>4.2</v>
      </c>
      <c r="H356" t="n">
        <v>0</v>
      </c>
      <c r="I356" t="n">
        <v>0</v>
      </c>
      <c r="J356" t="n">
        <v>0</v>
      </c>
      <c r="K356" t="n">
        <v>0</v>
      </c>
      <c r="L356" t="n">
        <v>0</v>
      </c>
      <c r="M356" t="n">
        <v>0</v>
      </c>
      <c r="N356" t="n">
        <v>0</v>
      </c>
      <c r="O356" t="n">
        <v>0</v>
      </c>
      <c r="P356" t="n">
        <v>0</v>
      </c>
      <c r="Q356" t="n">
        <v>0</v>
      </c>
      <c r="R356" s="2" t="inlineStr"/>
    </row>
    <row r="357" ht="15" customHeight="1">
      <c r="A357" t="inlineStr">
        <is>
          <t>A 1014-2024</t>
        </is>
      </c>
      <c r="B357" s="1" t="n">
        <v>45301</v>
      </c>
      <c r="C357" s="1" t="n">
        <v>45914</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17983-2025</t>
        </is>
      </c>
      <c r="B358" s="1" t="n">
        <v>45761.38829861111</v>
      </c>
      <c r="C358" s="1" t="n">
        <v>45914</v>
      </c>
      <c r="D358" t="inlineStr">
        <is>
          <t>ÖREBRO LÄN</t>
        </is>
      </c>
      <c r="E358" t="inlineStr">
        <is>
          <t>ÖREBRO</t>
        </is>
      </c>
      <c r="G358" t="n">
        <v>0.8</v>
      </c>
      <c r="H358" t="n">
        <v>0</v>
      </c>
      <c r="I358" t="n">
        <v>0</v>
      </c>
      <c r="J358" t="n">
        <v>0</v>
      </c>
      <c r="K358" t="n">
        <v>0</v>
      </c>
      <c r="L358" t="n">
        <v>0</v>
      </c>
      <c r="M358" t="n">
        <v>0</v>
      </c>
      <c r="N358" t="n">
        <v>0</v>
      </c>
      <c r="O358" t="n">
        <v>0</v>
      </c>
      <c r="P358" t="n">
        <v>0</v>
      </c>
      <c r="Q358" t="n">
        <v>0</v>
      </c>
      <c r="R358" s="2" t="inlineStr"/>
    </row>
    <row r="359" ht="15" customHeight="1">
      <c r="A359" t="inlineStr">
        <is>
          <t>A 8374-2021</t>
        </is>
      </c>
      <c r="B359" s="1" t="n">
        <v>44244</v>
      </c>
      <c r="C359" s="1" t="n">
        <v>45914</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30550-2025</t>
        </is>
      </c>
      <c r="B360" s="1" t="n">
        <v>45831.38224537037</v>
      </c>
      <c r="C360" s="1" t="n">
        <v>45914</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30731-2025</t>
        </is>
      </c>
      <c r="B361" s="1" t="n">
        <v>45831.57280092593</v>
      </c>
      <c r="C361" s="1" t="n">
        <v>45914</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8571-2021</t>
        </is>
      </c>
      <c r="B362" s="1" t="n">
        <v>44245</v>
      </c>
      <c r="C362" s="1" t="n">
        <v>45914</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767-2024</t>
        </is>
      </c>
      <c r="B363" s="1" t="n">
        <v>45300.51892361111</v>
      </c>
      <c r="C363" s="1" t="n">
        <v>45914</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18550-2025</t>
        </is>
      </c>
      <c r="B364" s="1" t="n">
        <v>45763.43422453704</v>
      </c>
      <c r="C364" s="1" t="n">
        <v>45914</v>
      </c>
      <c r="D364" t="inlineStr">
        <is>
          <t>ÖREBRO LÄN</t>
        </is>
      </c>
      <c r="E364" t="inlineStr">
        <is>
          <t>ÖREBRO</t>
        </is>
      </c>
      <c r="G364" t="n">
        <v>11.5</v>
      </c>
      <c r="H364" t="n">
        <v>0</v>
      </c>
      <c r="I364" t="n">
        <v>0</v>
      </c>
      <c r="J364" t="n">
        <v>0</v>
      </c>
      <c r="K364" t="n">
        <v>0</v>
      </c>
      <c r="L364" t="n">
        <v>0</v>
      </c>
      <c r="M364" t="n">
        <v>0</v>
      </c>
      <c r="N364" t="n">
        <v>0</v>
      </c>
      <c r="O364" t="n">
        <v>0</v>
      </c>
      <c r="P364" t="n">
        <v>0</v>
      </c>
      <c r="Q364" t="n">
        <v>0</v>
      </c>
      <c r="R364" s="2" t="inlineStr"/>
    </row>
    <row r="365" ht="15" customHeight="1">
      <c r="A365" t="inlineStr">
        <is>
          <t>A 30951-2025</t>
        </is>
      </c>
      <c r="B365" s="1" t="n">
        <v>45832.43225694444</v>
      </c>
      <c r="C365" s="1" t="n">
        <v>45914</v>
      </c>
      <c r="D365" t="inlineStr">
        <is>
          <t>ÖREBRO LÄN</t>
        </is>
      </c>
      <c r="E365" t="inlineStr">
        <is>
          <t>ÖREBRO</t>
        </is>
      </c>
      <c r="F365" t="inlineStr">
        <is>
          <t>Övriga Aktiebolag</t>
        </is>
      </c>
      <c r="G365" t="n">
        <v>2.3</v>
      </c>
      <c r="H365" t="n">
        <v>0</v>
      </c>
      <c r="I365" t="n">
        <v>0</v>
      </c>
      <c r="J365" t="n">
        <v>0</v>
      </c>
      <c r="K365" t="n">
        <v>0</v>
      </c>
      <c r="L365" t="n">
        <v>0</v>
      </c>
      <c r="M365" t="n">
        <v>0</v>
      </c>
      <c r="N365" t="n">
        <v>0</v>
      </c>
      <c r="O365" t="n">
        <v>0</v>
      </c>
      <c r="P365" t="n">
        <v>0</v>
      </c>
      <c r="Q365" t="n">
        <v>0</v>
      </c>
      <c r="R365" s="2" t="inlineStr"/>
    </row>
    <row r="366" ht="15" customHeight="1">
      <c r="A366" t="inlineStr">
        <is>
          <t>A 31066-2025</t>
        </is>
      </c>
      <c r="B366" s="1" t="n">
        <v>45832</v>
      </c>
      <c r="C366" s="1" t="n">
        <v>45914</v>
      </c>
      <c r="D366" t="inlineStr">
        <is>
          <t>ÖREBRO LÄN</t>
        </is>
      </c>
      <c r="E366" t="inlineStr">
        <is>
          <t>ÖREBRO</t>
        </is>
      </c>
      <c r="G366" t="n">
        <v>11.1</v>
      </c>
      <c r="H366" t="n">
        <v>0</v>
      </c>
      <c r="I366" t="n">
        <v>0</v>
      </c>
      <c r="J366" t="n">
        <v>0</v>
      </c>
      <c r="K366" t="n">
        <v>0</v>
      </c>
      <c r="L366" t="n">
        <v>0</v>
      </c>
      <c r="M366" t="n">
        <v>0</v>
      </c>
      <c r="N366" t="n">
        <v>0</v>
      </c>
      <c r="O366" t="n">
        <v>0</v>
      </c>
      <c r="P366" t="n">
        <v>0</v>
      </c>
      <c r="Q366" t="n">
        <v>0</v>
      </c>
      <c r="R366" s="2" t="inlineStr"/>
    </row>
    <row r="367" ht="15" customHeight="1">
      <c r="A367" t="inlineStr">
        <is>
          <t>A 55692-2023</t>
        </is>
      </c>
      <c r="B367" s="1" t="n">
        <v>45239</v>
      </c>
      <c r="C367" s="1" t="n">
        <v>45914</v>
      </c>
      <c r="D367" t="inlineStr">
        <is>
          <t>ÖREBRO LÄN</t>
        </is>
      </c>
      <c r="E367" t="inlineStr">
        <is>
          <t>ÖREBRO</t>
        </is>
      </c>
      <c r="F367" t="inlineStr">
        <is>
          <t>Övriga Aktiebolag</t>
        </is>
      </c>
      <c r="G367" t="n">
        <v>0.4</v>
      </c>
      <c r="H367" t="n">
        <v>0</v>
      </c>
      <c r="I367" t="n">
        <v>0</v>
      </c>
      <c r="J367" t="n">
        <v>0</v>
      </c>
      <c r="K367" t="n">
        <v>0</v>
      </c>
      <c r="L367" t="n">
        <v>0</v>
      </c>
      <c r="M367" t="n">
        <v>0</v>
      </c>
      <c r="N367" t="n">
        <v>0</v>
      </c>
      <c r="O367" t="n">
        <v>0</v>
      </c>
      <c r="P367" t="n">
        <v>0</v>
      </c>
      <c r="Q367" t="n">
        <v>0</v>
      </c>
      <c r="R367" s="2" t="inlineStr"/>
    </row>
    <row r="368" ht="15" customHeight="1">
      <c r="A368" t="inlineStr">
        <is>
          <t>A 44511-2023</t>
        </is>
      </c>
      <c r="B368" s="1" t="n">
        <v>45189</v>
      </c>
      <c r="C368" s="1" t="n">
        <v>45914</v>
      </c>
      <c r="D368" t="inlineStr">
        <is>
          <t>ÖREBRO LÄN</t>
        </is>
      </c>
      <c r="E368" t="inlineStr">
        <is>
          <t>ÖREBRO</t>
        </is>
      </c>
      <c r="F368" t="inlineStr">
        <is>
          <t>Allmännings- och besparingsskogar</t>
        </is>
      </c>
      <c r="G368" t="n">
        <v>2.7</v>
      </c>
      <c r="H368" t="n">
        <v>0</v>
      </c>
      <c r="I368" t="n">
        <v>0</v>
      </c>
      <c r="J368" t="n">
        <v>0</v>
      </c>
      <c r="K368" t="n">
        <v>0</v>
      </c>
      <c r="L368" t="n">
        <v>0</v>
      </c>
      <c r="M368" t="n">
        <v>0</v>
      </c>
      <c r="N368" t="n">
        <v>0</v>
      </c>
      <c r="O368" t="n">
        <v>0</v>
      </c>
      <c r="P368" t="n">
        <v>0</v>
      </c>
      <c r="Q368" t="n">
        <v>0</v>
      </c>
      <c r="R368" s="2" t="inlineStr"/>
    </row>
    <row r="369" ht="15" customHeight="1">
      <c r="A369" t="inlineStr">
        <is>
          <t>A 53234-2023</t>
        </is>
      </c>
      <c r="B369" s="1" t="n">
        <v>45229</v>
      </c>
      <c r="C369" s="1" t="n">
        <v>45914</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8512-2025</t>
        </is>
      </c>
      <c r="B370" s="1" t="n">
        <v>45709.54873842592</v>
      </c>
      <c r="C370" s="1" t="n">
        <v>45914</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14715-2024</t>
        </is>
      </c>
      <c r="B371" s="1" t="n">
        <v>45397.5500462963</v>
      </c>
      <c r="C371" s="1" t="n">
        <v>45914</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28054-2022</t>
        </is>
      </c>
      <c r="B372" s="1" t="n">
        <v>44746.41938657407</v>
      </c>
      <c r="C372" s="1" t="n">
        <v>45914</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12682-2023</t>
        </is>
      </c>
      <c r="B373" s="1" t="n">
        <v>45000.6115625</v>
      </c>
      <c r="C373" s="1" t="n">
        <v>45914</v>
      </c>
      <c r="D373" t="inlineStr">
        <is>
          <t>ÖREBRO LÄN</t>
        </is>
      </c>
      <c r="E373" t="inlineStr">
        <is>
          <t>ÖREBRO</t>
        </is>
      </c>
      <c r="F373" t="inlineStr">
        <is>
          <t>Övriga Aktiebolag</t>
        </is>
      </c>
      <c r="G373" t="n">
        <v>4.4</v>
      </c>
      <c r="H373" t="n">
        <v>0</v>
      </c>
      <c r="I373" t="n">
        <v>0</v>
      </c>
      <c r="J373" t="n">
        <v>0</v>
      </c>
      <c r="K373" t="n">
        <v>0</v>
      </c>
      <c r="L373" t="n">
        <v>0</v>
      </c>
      <c r="M373" t="n">
        <v>0</v>
      </c>
      <c r="N373" t="n">
        <v>0</v>
      </c>
      <c r="O373" t="n">
        <v>0</v>
      </c>
      <c r="P373" t="n">
        <v>0</v>
      </c>
      <c r="Q373" t="n">
        <v>0</v>
      </c>
      <c r="R373" s="2" t="inlineStr"/>
    </row>
    <row r="374" ht="15" customHeight="1">
      <c r="A374" t="inlineStr">
        <is>
          <t>A 1647-2024</t>
        </is>
      </c>
      <c r="B374" s="1" t="n">
        <v>45306</v>
      </c>
      <c r="C374" s="1" t="n">
        <v>45914</v>
      </c>
      <c r="D374" t="inlineStr">
        <is>
          <t>ÖREBRO LÄN</t>
        </is>
      </c>
      <c r="E374" t="inlineStr">
        <is>
          <t>ÖREBRO</t>
        </is>
      </c>
      <c r="G374" t="n">
        <v>1.3</v>
      </c>
      <c r="H374" t="n">
        <v>0</v>
      </c>
      <c r="I374" t="n">
        <v>0</v>
      </c>
      <c r="J374" t="n">
        <v>0</v>
      </c>
      <c r="K374" t="n">
        <v>0</v>
      </c>
      <c r="L374" t="n">
        <v>0</v>
      </c>
      <c r="M374" t="n">
        <v>0</v>
      </c>
      <c r="N374" t="n">
        <v>0</v>
      </c>
      <c r="O374" t="n">
        <v>0</v>
      </c>
      <c r="P374" t="n">
        <v>0</v>
      </c>
      <c r="Q374" t="n">
        <v>0</v>
      </c>
      <c r="R374" s="2" t="inlineStr"/>
    </row>
    <row r="375" ht="15" customHeight="1">
      <c r="A375" t="inlineStr">
        <is>
          <t>A 13592-2023</t>
        </is>
      </c>
      <c r="B375" s="1" t="n">
        <v>45006.56870370371</v>
      </c>
      <c r="C375" s="1" t="n">
        <v>45914</v>
      </c>
      <c r="D375" t="inlineStr">
        <is>
          <t>ÖREBRO LÄN</t>
        </is>
      </c>
      <c r="E375" t="inlineStr">
        <is>
          <t>ÖREBRO</t>
        </is>
      </c>
      <c r="G375" t="n">
        <v>2</v>
      </c>
      <c r="H375" t="n">
        <v>0</v>
      </c>
      <c r="I375" t="n">
        <v>0</v>
      </c>
      <c r="J375" t="n">
        <v>0</v>
      </c>
      <c r="K375" t="n">
        <v>0</v>
      </c>
      <c r="L375" t="n">
        <v>0</v>
      </c>
      <c r="M375" t="n">
        <v>0</v>
      </c>
      <c r="N375" t="n">
        <v>0</v>
      </c>
      <c r="O375" t="n">
        <v>0</v>
      </c>
      <c r="P375" t="n">
        <v>0</v>
      </c>
      <c r="Q375" t="n">
        <v>0</v>
      </c>
      <c r="R375" s="2" t="inlineStr"/>
    </row>
    <row r="376" ht="15" customHeight="1">
      <c r="A376" t="inlineStr">
        <is>
          <t>A 31233-2025</t>
        </is>
      </c>
      <c r="B376" s="1" t="n">
        <v>45832.83341435185</v>
      </c>
      <c r="C376" s="1" t="n">
        <v>45914</v>
      </c>
      <c r="D376" t="inlineStr">
        <is>
          <t>ÖREBRO LÄN</t>
        </is>
      </c>
      <c r="E376" t="inlineStr">
        <is>
          <t>ÖREBRO</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57485-2023</t>
        </is>
      </c>
      <c r="B377" s="1" t="n">
        <v>45246</v>
      </c>
      <c r="C377" s="1" t="n">
        <v>45914</v>
      </c>
      <c r="D377" t="inlineStr">
        <is>
          <t>ÖREBRO LÄN</t>
        </is>
      </c>
      <c r="E377" t="inlineStr">
        <is>
          <t>ÖREBRO</t>
        </is>
      </c>
      <c r="G377" t="n">
        <v>0.9</v>
      </c>
      <c r="H377" t="n">
        <v>0</v>
      </c>
      <c r="I377" t="n">
        <v>0</v>
      </c>
      <c r="J377" t="n">
        <v>0</v>
      </c>
      <c r="K377" t="n">
        <v>0</v>
      </c>
      <c r="L377" t="n">
        <v>0</v>
      </c>
      <c r="M377" t="n">
        <v>0</v>
      </c>
      <c r="N377" t="n">
        <v>0</v>
      </c>
      <c r="O377" t="n">
        <v>0</v>
      </c>
      <c r="P377" t="n">
        <v>0</v>
      </c>
      <c r="Q377" t="n">
        <v>0</v>
      </c>
      <c r="R377" s="2" t="inlineStr"/>
    </row>
    <row r="378" ht="15" customHeight="1">
      <c r="A378" t="inlineStr">
        <is>
          <t>A 31232-2025</t>
        </is>
      </c>
      <c r="B378" s="1" t="n">
        <v>45832.8252199074</v>
      </c>
      <c r="C378" s="1" t="n">
        <v>45914</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45914</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58032-2023</t>
        </is>
      </c>
      <c r="B380" s="1" t="n">
        <v>45247</v>
      </c>
      <c r="C380" s="1" t="n">
        <v>45914</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58035-2023</t>
        </is>
      </c>
      <c r="B381" s="1" t="n">
        <v>45247</v>
      </c>
      <c r="C381" s="1" t="n">
        <v>45914</v>
      </c>
      <c r="D381" t="inlineStr">
        <is>
          <t>ÖREBRO LÄN</t>
        </is>
      </c>
      <c r="E381" t="inlineStr">
        <is>
          <t>ÖREBRO</t>
        </is>
      </c>
      <c r="G381" t="n">
        <v>1.4</v>
      </c>
      <c r="H381" t="n">
        <v>0</v>
      </c>
      <c r="I381" t="n">
        <v>0</v>
      </c>
      <c r="J381" t="n">
        <v>0</v>
      </c>
      <c r="K381" t="n">
        <v>0</v>
      </c>
      <c r="L381" t="n">
        <v>0</v>
      </c>
      <c r="M381" t="n">
        <v>0</v>
      </c>
      <c r="N381" t="n">
        <v>0</v>
      </c>
      <c r="O381" t="n">
        <v>0</v>
      </c>
      <c r="P381" t="n">
        <v>0</v>
      </c>
      <c r="Q381" t="n">
        <v>0</v>
      </c>
      <c r="R381" s="2" t="inlineStr"/>
    </row>
    <row r="382" ht="15" customHeight="1">
      <c r="A382" t="inlineStr">
        <is>
          <t>A 31237-2025</t>
        </is>
      </c>
      <c r="B382" s="1" t="n">
        <v>45832.84313657408</v>
      </c>
      <c r="C382" s="1" t="n">
        <v>45914</v>
      </c>
      <c r="D382" t="inlineStr">
        <is>
          <t>ÖREBRO LÄN</t>
        </is>
      </c>
      <c r="E382" t="inlineStr">
        <is>
          <t>ÖREBRO</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35829-2024</t>
        </is>
      </c>
      <c r="B383" s="1" t="n">
        <v>45532</v>
      </c>
      <c r="C383" s="1" t="n">
        <v>45914</v>
      </c>
      <c r="D383" t="inlineStr">
        <is>
          <t>ÖREBRO LÄN</t>
        </is>
      </c>
      <c r="E383" t="inlineStr">
        <is>
          <t>ÖREBRO</t>
        </is>
      </c>
      <c r="G383" t="n">
        <v>4.6</v>
      </c>
      <c r="H383" t="n">
        <v>0</v>
      </c>
      <c r="I383" t="n">
        <v>0</v>
      </c>
      <c r="J383" t="n">
        <v>0</v>
      </c>
      <c r="K383" t="n">
        <v>0</v>
      </c>
      <c r="L383" t="n">
        <v>0</v>
      </c>
      <c r="M383" t="n">
        <v>0</v>
      </c>
      <c r="N383" t="n">
        <v>0</v>
      </c>
      <c r="O383" t="n">
        <v>0</v>
      </c>
      <c r="P383" t="n">
        <v>0</v>
      </c>
      <c r="Q383" t="n">
        <v>0</v>
      </c>
      <c r="R383" s="2" t="inlineStr"/>
    </row>
    <row r="384" ht="15" customHeight="1">
      <c r="A384" t="inlineStr">
        <is>
          <t>A 35833-2024</t>
        </is>
      </c>
      <c r="B384" s="1" t="n">
        <v>45532.68699074074</v>
      </c>
      <c r="C384" s="1" t="n">
        <v>45914</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59736-2023</t>
        </is>
      </c>
      <c r="B385" s="1" t="n">
        <v>45257.374375</v>
      </c>
      <c r="C385" s="1" t="n">
        <v>45914</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55355-2024</t>
        </is>
      </c>
      <c r="B386" s="1" t="n">
        <v>45621.80475694445</v>
      </c>
      <c r="C386" s="1" t="n">
        <v>45914</v>
      </c>
      <c r="D386" t="inlineStr">
        <is>
          <t>ÖREBRO LÄN</t>
        </is>
      </c>
      <c r="E386" t="inlineStr">
        <is>
          <t>ÖREBRO</t>
        </is>
      </c>
      <c r="G386" t="n">
        <v>1.6</v>
      </c>
      <c r="H386" t="n">
        <v>0</v>
      </c>
      <c r="I386" t="n">
        <v>0</v>
      </c>
      <c r="J386" t="n">
        <v>0</v>
      </c>
      <c r="K386" t="n">
        <v>0</v>
      </c>
      <c r="L386" t="n">
        <v>0</v>
      </c>
      <c r="M386" t="n">
        <v>0</v>
      </c>
      <c r="N386" t="n">
        <v>0</v>
      </c>
      <c r="O386" t="n">
        <v>0</v>
      </c>
      <c r="P386" t="n">
        <v>0</v>
      </c>
      <c r="Q386" t="n">
        <v>0</v>
      </c>
      <c r="R386" s="2" t="inlineStr"/>
    </row>
    <row r="387" ht="15" customHeight="1">
      <c r="A387" t="inlineStr">
        <is>
          <t>A 49029-2024</t>
        </is>
      </c>
      <c r="B387" s="1" t="n">
        <v>45594</v>
      </c>
      <c r="C387" s="1" t="n">
        <v>45914</v>
      </c>
      <c r="D387" t="inlineStr">
        <is>
          <t>ÖREBRO LÄN</t>
        </is>
      </c>
      <c r="E387" t="inlineStr">
        <is>
          <t>ÖREBRO</t>
        </is>
      </c>
      <c r="G387" t="n">
        <v>3.7</v>
      </c>
      <c r="H387" t="n">
        <v>0</v>
      </c>
      <c r="I387" t="n">
        <v>0</v>
      </c>
      <c r="J387" t="n">
        <v>0</v>
      </c>
      <c r="K387" t="n">
        <v>0</v>
      </c>
      <c r="L387" t="n">
        <v>0</v>
      </c>
      <c r="M387" t="n">
        <v>0</v>
      </c>
      <c r="N387" t="n">
        <v>0</v>
      </c>
      <c r="O387" t="n">
        <v>0</v>
      </c>
      <c r="P387" t="n">
        <v>0</v>
      </c>
      <c r="Q387" t="n">
        <v>0</v>
      </c>
      <c r="R387" s="2" t="inlineStr"/>
    </row>
    <row r="388" ht="15" customHeight="1">
      <c r="A388" t="inlineStr">
        <is>
          <t>A 20115-2024</t>
        </is>
      </c>
      <c r="B388" s="1" t="n">
        <v>45434</v>
      </c>
      <c r="C388" s="1" t="n">
        <v>45914</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55875-2024</t>
        </is>
      </c>
      <c r="B389" s="1" t="n">
        <v>45623.55375</v>
      </c>
      <c r="C389" s="1" t="n">
        <v>45914</v>
      </c>
      <c r="D389" t="inlineStr">
        <is>
          <t>ÖREBRO LÄN</t>
        </is>
      </c>
      <c r="E389" t="inlineStr">
        <is>
          <t>ÖREBRO</t>
        </is>
      </c>
      <c r="G389" t="n">
        <v>3.5</v>
      </c>
      <c r="H389" t="n">
        <v>0</v>
      </c>
      <c r="I389" t="n">
        <v>0</v>
      </c>
      <c r="J389" t="n">
        <v>0</v>
      </c>
      <c r="K389" t="n">
        <v>0</v>
      </c>
      <c r="L389" t="n">
        <v>0</v>
      </c>
      <c r="M389" t="n">
        <v>0</v>
      </c>
      <c r="N389" t="n">
        <v>0</v>
      </c>
      <c r="O389" t="n">
        <v>0</v>
      </c>
      <c r="P389" t="n">
        <v>0</v>
      </c>
      <c r="Q389" t="n">
        <v>0</v>
      </c>
      <c r="R389" s="2" t="inlineStr"/>
    </row>
    <row r="390" ht="15" customHeight="1">
      <c r="A390" t="inlineStr">
        <is>
          <t>A 23710-2022</t>
        </is>
      </c>
      <c r="B390" s="1" t="n">
        <v>44722</v>
      </c>
      <c r="C390" s="1" t="n">
        <v>45914</v>
      </c>
      <c r="D390" t="inlineStr">
        <is>
          <t>ÖREBRO LÄN</t>
        </is>
      </c>
      <c r="E390" t="inlineStr">
        <is>
          <t>ÖREBRO</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10470-2025</t>
        </is>
      </c>
      <c r="B391" s="1" t="n">
        <v>45720</v>
      </c>
      <c r="C391" s="1" t="n">
        <v>45914</v>
      </c>
      <c r="D391" t="inlineStr">
        <is>
          <t>ÖREBRO LÄN</t>
        </is>
      </c>
      <c r="E391" t="inlineStr">
        <is>
          <t>ÖREBRO</t>
        </is>
      </c>
      <c r="G391" t="n">
        <v>11.5</v>
      </c>
      <c r="H391" t="n">
        <v>0</v>
      </c>
      <c r="I391" t="n">
        <v>0</v>
      </c>
      <c r="J391" t="n">
        <v>0</v>
      </c>
      <c r="K391" t="n">
        <v>0</v>
      </c>
      <c r="L391" t="n">
        <v>0</v>
      </c>
      <c r="M391" t="n">
        <v>0</v>
      </c>
      <c r="N391" t="n">
        <v>0</v>
      </c>
      <c r="O391" t="n">
        <v>0</v>
      </c>
      <c r="P391" t="n">
        <v>0</v>
      </c>
      <c r="Q391" t="n">
        <v>0</v>
      </c>
      <c r="R391" s="2" t="inlineStr"/>
    </row>
    <row r="392" ht="15" customHeight="1">
      <c r="A392" t="inlineStr">
        <is>
          <t>A 46056-2024</t>
        </is>
      </c>
      <c r="B392" s="1" t="n">
        <v>45580.91502314815</v>
      </c>
      <c r="C392" s="1" t="n">
        <v>45914</v>
      </c>
      <c r="D392" t="inlineStr">
        <is>
          <t>ÖREBRO LÄN</t>
        </is>
      </c>
      <c r="E392" t="inlineStr">
        <is>
          <t>ÖREBRO</t>
        </is>
      </c>
      <c r="F392" t="inlineStr">
        <is>
          <t>Övriga Aktiebolag</t>
        </is>
      </c>
      <c r="G392" t="n">
        <v>4.5</v>
      </c>
      <c r="H392" t="n">
        <v>0</v>
      </c>
      <c r="I392" t="n">
        <v>0</v>
      </c>
      <c r="J392" t="n">
        <v>0</v>
      </c>
      <c r="K392" t="n">
        <v>0</v>
      </c>
      <c r="L392" t="n">
        <v>0</v>
      </c>
      <c r="M392" t="n">
        <v>0</v>
      </c>
      <c r="N392" t="n">
        <v>0</v>
      </c>
      <c r="O392" t="n">
        <v>0</v>
      </c>
      <c r="P392" t="n">
        <v>0</v>
      </c>
      <c r="Q392" t="n">
        <v>0</v>
      </c>
      <c r="R392" s="2" t="inlineStr"/>
    </row>
    <row r="393" ht="15" customHeight="1">
      <c r="A393" t="inlineStr">
        <is>
          <t>A 14717-2024</t>
        </is>
      </c>
      <c r="B393" s="1" t="n">
        <v>45397.55104166667</v>
      </c>
      <c r="C393" s="1" t="n">
        <v>45914</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13355-2023</t>
        </is>
      </c>
      <c r="B394" s="1" t="n">
        <v>45004</v>
      </c>
      <c r="C394" s="1" t="n">
        <v>45914</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65257-2023</t>
        </is>
      </c>
      <c r="B395" s="1" t="n">
        <v>45290</v>
      </c>
      <c r="C395" s="1" t="n">
        <v>45914</v>
      </c>
      <c r="D395" t="inlineStr">
        <is>
          <t>ÖREBRO LÄN</t>
        </is>
      </c>
      <c r="E395" t="inlineStr">
        <is>
          <t>ÖREBRO</t>
        </is>
      </c>
      <c r="F395" t="inlineStr">
        <is>
          <t>Övriga Aktiebolag</t>
        </is>
      </c>
      <c r="G395" t="n">
        <v>2.4</v>
      </c>
      <c r="H395" t="n">
        <v>0</v>
      </c>
      <c r="I395" t="n">
        <v>0</v>
      </c>
      <c r="J395" t="n">
        <v>0</v>
      </c>
      <c r="K395" t="n">
        <v>0</v>
      </c>
      <c r="L395" t="n">
        <v>0</v>
      </c>
      <c r="M395" t="n">
        <v>0</v>
      </c>
      <c r="N395" t="n">
        <v>0</v>
      </c>
      <c r="O395" t="n">
        <v>0</v>
      </c>
      <c r="P395" t="n">
        <v>0</v>
      </c>
      <c r="Q395" t="n">
        <v>0</v>
      </c>
      <c r="R395" s="2" t="inlineStr"/>
    </row>
    <row r="396" ht="15" customHeight="1">
      <c r="A396" t="inlineStr">
        <is>
          <t>A 6522-2023</t>
        </is>
      </c>
      <c r="B396" s="1" t="n">
        <v>44966</v>
      </c>
      <c r="C396" s="1" t="n">
        <v>45914</v>
      </c>
      <c r="D396" t="inlineStr">
        <is>
          <t>ÖREBRO LÄN</t>
        </is>
      </c>
      <c r="E396" t="inlineStr">
        <is>
          <t>ÖREBRO</t>
        </is>
      </c>
      <c r="G396" t="n">
        <v>4.4</v>
      </c>
      <c r="H396" t="n">
        <v>0</v>
      </c>
      <c r="I396" t="n">
        <v>0</v>
      </c>
      <c r="J396" t="n">
        <v>0</v>
      </c>
      <c r="K396" t="n">
        <v>0</v>
      </c>
      <c r="L396" t="n">
        <v>0</v>
      </c>
      <c r="M396" t="n">
        <v>0</v>
      </c>
      <c r="N396" t="n">
        <v>0</v>
      </c>
      <c r="O396" t="n">
        <v>0</v>
      </c>
      <c r="P396" t="n">
        <v>0</v>
      </c>
      <c r="Q396" t="n">
        <v>0</v>
      </c>
      <c r="R396" s="2" t="inlineStr"/>
    </row>
    <row r="397" ht="15" customHeight="1">
      <c r="A397" t="inlineStr">
        <is>
          <t>A 56040-2024</t>
        </is>
      </c>
      <c r="B397" s="1" t="n">
        <v>45624.3344212963</v>
      </c>
      <c r="C397" s="1" t="n">
        <v>45914</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32218-2025</t>
        </is>
      </c>
      <c r="B398" s="1" t="n">
        <v>45835.58880787037</v>
      </c>
      <c r="C398" s="1" t="n">
        <v>45914</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52444-2024</t>
        </is>
      </c>
      <c r="B399" s="1" t="n">
        <v>45609.48894675926</v>
      </c>
      <c r="C399" s="1" t="n">
        <v>45914</v>
      </c>
      <c r="D399" t="inlineStr">
        <is>
          <t>ÖREBRO LÄN</t>
        </is>
      </c>
      <c r="E399" t="inlineStr">
        <is>
          <t>ÖREBRO</t>
        </is>
      </c>
      <c r="G399" t="n">
        <v>1.7</v>
      </c>
      <c r="H399" t="n">
        <v>0</v>
      </c>
      <c r="I399" t="n">
        <v>0</v>
      </c>
      <c r="J399" t="n">
        <v>0</v>
      </c>
      <c r="K399" t="n">
        <v>0</v>
      </c>
      <c r="L399" t="n">
        <v>0</v>
      </c>
      <c r="M399" t="n">
        <v>0</v>
      </c>
      <c r="N399" t="n">
        <v>0</v>
      </c>
      <c r="O399" t="n">
        <v>0</v>
      </c>
      <c r="P399" t="n">
        <v>0</v>
      </c>
      <c r="Q399" t="n">
        <v>0</v>
      </c>
      <c r="R399" s="2" t="inlineStr"/>
    </row>
    <row r="400" ht="15" customHeight="1">
      <c r="A400" t="inlineStr">
        <is>
          <t>A 60128-2023</t>
        </is>
      </c>
      <c r="B400" s="1" t="n">
        <v>45258</v>
      </c>
      <c r="C400" s="1" t="n">
        <v>45914</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16140-2023</t>
        </is>
      </c>
      <c r="B401" s="1" t="n">
        <v>45027.6433912037</v>
      </c>
      <c r="C401" s="1" t="n">
        <v>45914</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32188-2025</t>
        </is>
      </c>
      <c r="B402" s="1" t="n">
        <v>45835.56965277778</v>
      </c>
      <c r="C402" s="1" t="n">
        <v>45914</v>
      </c>
      <c r="D402" t="inlineStr">
        <is>
          <t>ÖREBRO LÄN</t>
        </is>
      </c>
      <c r="E402" t="inlineStr">
        <is>
          <t>ÖREBRO</t>
        </is>
      </c>
      <c r="G402" t="n">
        <v>2.9</v>
      </c>
      <c r="H402" t="n">
        <v>0</v>
      </c>
      <c r="I402" t="n">
        <v>0</v>
      </c>
      <c r="J402" t="n">
        <v>0</v>
      </c>
      <c r="K402" t="n">
        <v>0</v>
      </c>
      <c r="L402" t="n">
        <v>0</v>
      </c>
      <c r="M402" t="n">
        <v>0</v>
      </c>
      <c r="N402" t="n">
        <v>0</v>
      </c>
      <c r="O402" t="n">
        <v>0</v>
      </c>
      <c r="P402" t="n">
        <v>0</v>
      </c>
      <c r="Q402" t="n">
        <v>0</v>
      </c>
      <c r="R402" s="2" t="inlineStr"/>
    </row>
    <row r="403" ht="15" customHeight="1">
      <c r="A403" t="inlineStr">
        <is>
          <t>A 32195-2025</t>
        </is>
      </c>
      <c r="B403" s="1" t="n">
        <v>45835.57407407407</v>
      </c>
      <c r="C403" s="1" t="n">
        <v>45914</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38057-2025</t>
        </is>
      </c>
      <c r="B404" s="1" t="n">
        <v>45882.42570601852</v>
      </c>
      <c r="C404" s="1" t="n">
        <v>45914</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5133-2024</t>
        </is>
      </c>
      <c r="B405" s="1" t="n">
        <v>45330</v>
      </c>
      <c r="C405" s="1" t="n">
        <v>45914</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6752-2022</t>
        </is>
      </c>
      <c r="B406" s="1" t="n">
        <v>44602.48082175926</v>
      </c>
      <c r="C406" s="1" t="n">
        <v>45914</v>
      </c>
      <c r="D406" t="inlineStr">
        <is>
          <t>ÖREBRO LÄN</t>
        </is>
      </c>
      <c r="E406" t="inlineStr">
        <is>
          <t>ÖREBRO</t>
        </is>
      </c>
      <c r="G406" t="n">
        <v>3.1</v>
      </c>
      <c r="H406" t="n">
        <v>0</v>
      </c>
      <c r="I406" t="n">
        <v>0</v>
      </c>
      <c r="J406" t="n">
        <v>0</v>
      </c>
      <c r="K406" t="n">
        <v>0</v>
      </c>
      <c r="L406" t="n">
        <v>0</v>
      </c>
      <c r="M406" t="n">
        <v>0</v>
      </c>
      <c r="N406" t="n">
        <v>0</v>
      </c>
      <c r="O406" t="n">
        <v>0</v>
      </c>
      <c r="P406" t="n">
        <v>0</v>
      </c>
      <c r="Q406" t="n">
        <v>0</v>
      </c>
      <c r="R406" s="2" t="inlineStr"/>
    </row>
    <row r="407" ht="15" customHeight="1">
      <c r="A407" t="inlineStr">
        <is>
          <t>A 34056-2023</t>
        </is>
      </c>
      <c r="B407" s="1" t="n">
        <v>45135</v>
      </c>
      <c r="C407" s="1" t="n">
        <v>45914</v>
      </c>
      <c r="D407" t="inlineStr">
        <is>
          <t>ÖREBRO LÄN</t>
        </is>
      </c>
      <c r="E407" t="inlineStr">
        <is>
          <t>ÖREBRO</t>
        </is>
      </c>
      <c r="F407" t="inlineStr">
        <is>
          <t>Övriga Aktiebolag</t>
        </is>
      </c>
      <c r="G407" t="n">
        <v>4.1</v>
      </c>
      <c r="H407" t="n">
        <v>0</v>
      </c>
      <c r="I407" t="n">
        <v>0</v>
      </c>
      <c r="J407" t="n">
        <v>0</v>
      </c>
      <c r="K407" t="n">
        <v>0</v>
      </c>
      <c r="L407" t="n">
        <v>0</v>
      </c>
      <c r="M407" t="n">
        <v>0</v>
      </c>
      <c r="N407" t="n">
        <v>0</v>
      </c>
      <c r="O407" t="n">
        <v>0</v>
      </c>
      <c r="P407" t="n">
        <v>0</v>
      </c>
      <c r="Q407" t="n">
        <v>0</v>
      </c>
      <c r="R407" s="2" t="inlineStr"/>
    </row>
    <row r="408" ht="15" customHeight="1">
      <c r="A408" t="inlineStr">
        <is>
          <t>A 33457-2023</t>
        </is>
      </c>
      <c r="B408" s="1" t="n">
        <v>45131</v>
      </c>
      <c r="C408" s="1" t="n">
        <v>45914</v>
      </c>
      <c r="D408" t="inlineStr">
        <is>
          <t>ÖREBRO LÄN</t>
        </is>
      </c>
      <c r="E408" t="inlineStr">
        <is>
          <t>ÖREBRO</t>
        </is>
      </c>
      <c r="G408" t="n">
        <v>0.5</v>
      </c>
      <c r="H408" t="n">
        <v>0</v>
      </c>
      <c r="I408" t="n">
        <v>0</v>
      </c>
      <c r="J408" t="n">
        <v>0</v>
      </c>
      <c r="K408" t="n">
        <v>0</v>
      </c>
      <c r="L408" t="n">
        <v>0</v>
      </c>
      <c r="M408" t="n">
        <v>0</v>
      </c>
      <c r="N408" t="n">
        <v>0</v>
      </c>
      <c r="O408" t="n">
        <v>0</v>
      </c>
      <c r="P408" t="n">
        <v>0</v>
      </c>
      <c r="Q408" t="n">
        <v>0</v>
      </c>
      <c r="R408" s="2" t="inlineStr"/>
    </row>
    <row r="409" ht="15" customHeight="1">
      <c r="A409" t="inlineStr">
        <is>
          <t>A 45237-2023</t>
        </is>
      </c>
      <c r="B409" s="1" t="n">
        <v>45191</v>
      </c>
      <c r="C409" s="1" t="n">
        <v>45914</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5946-2021</t>
        </is>
      </c>
      <c r="B410" s="1" t="n">
        <v>44230</v>
      </c>
      <c r="C410" s="1" t="n">
        <v>45914</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51180-2023</t>
        </is>
      </c>
      <c r="B411" s="1" t="n">
        <v>45219</v>
      </c>
      <c r="C411" s="1" t="n">
        <v>45914</v>
      </c>
      <c r="D411" t="inlineStr">
        <is>
          <t>ÖREBRO LÄN</t>
        </is>
      </c>
      <c r="E411" t="inlineStr">
        <is>
          <t>ÖREBRO</t>
        </is>
      </c>
      <c r="G411" t="n">
        <v>6.5</v>
      </c>
      <c r="H411" t="n">
        <v>0</v>
      </c>
      <c r="I411" t="n">
        <v>0</v>
      </c>
      <c r="J411" t="n">
        <v>0</v>
      </c>
      <c r="K411" t="n">
        <v>0</v>
      </c>
      <c r="L411" t="n">
        <v>0</v>
      </c>
      <c r="M411" t="n">
        <v>0</v>
      </c>
      <c r="N411" t="n">
        <v>0</v>
      </c>
      <c r="O411" t="n">
        <v>0</v>
      </c>
      <c r="P411" t="n">
        <v>0</v>
      </c>
      <c r="Q411" t="n">
        <v>0</v>
      </c>
      <c r="R411" s="2" t="inlineStr"/>
    </row>
    <row r="412" ht="15" customHeight="1">
      <c r="A412" t="inlineStr">
        <is>
          <t>A 60028-2024</t>
        </is>
      </c>
      <c r="B412" s="1" t="n">
        <v>45642</v>
      </c>
      <c r="C412" s="1" t="n">
        <v>45914</v>
      </c>
      <c r="D412" t="inlineStr">
        <is>
          <t>ÖREBRO LÄN</t>
        </is>
      </c>
      <c r="E412" t="inlineStr">
        <is>
          <t>ÖREBRO</t>
        </is>
      </c>
      <c r="G412" t="n">
        <v>1.7</v>
      </c>
      <c r="H412" t="n">
        <v>0</v>
      </c>
      <c r="I412" t="n">
        <v>0</v>
      </c>
      <c r="J412" t="n">
        <v>0</v>
      </c>
      <c r="K412" t="n">
        <v>0</v>
      </c>
      <c r="L412" t="n">
        <v>0</v>
      </c>
      <c r="M412" t="n">
        <v>0</v>
      </c>
      <c r="N412" t="n">
        <v>0</v>
      </c>
      <c r="O412" t="n">
        <v>0</v>
      </c>
      <c r="P412" t="n">
        <v>0</v>
      </c>
      <c r="Q412" t="n">
        <v>0</v>
      </c>
      <c r="R412" s="2" t="inlineStr"/>
    </row>
    <row r="413" ht="15" customHeight="1">
      <c r="A413" t="inlineStr">
        <is>
          <t>A 33294-2023</t>
        </is>
      </c>
      <c r="B413" s="1" t="n">
        <v>45127</v>
      </c>
      <c r="C413" s="1" t="n">
        <v>45914</v>
      </c>
      <c r="D413" t="inlineStr">
        <is>
          <t>ÖREBRO LÄN</t>
        </is>
      </c>
      <c r="E413" t="inlineStr">
        <is>
          <t>ÖREBRO</t>
        </is>
      </c>
      <c r="F413" t="inlineStr">
        <is>
          <t>Övriga Aktiebolag</t>
        </is>
      </c>
      <c r="G413" t="n">
        <v>6.7</v>
      </c>
      <c r="H413" t="n">
        <v>0</v>
      </c>
      <c r="I413" t="n">
        <v>0</v>
      </c>
      <c r="J413" t="n">
        <v>0</v>
      </c>
      <c r="K413" t="n">
        <v>0</v>
      </c>
      <c r="L413" t="n">
        <v>0</v>
      </c>
      <c r="M413" t="n">
        <v>0</v>
      </c>
      <c r="N413" t="n">
        <v>0</v>
      </c>
      <c r="O413" t="n">
        <v>0</v>
      </c>
      <c r="P413" t="n">
        <v>0</v>
      </c>
      <c r="Q413" t="n">
        <v>0</v>
      </c>
      <c r="R413" s="2" t="inlineStr"/>
    </row>
    <row r="414" ht="15" customHeight="1">
      <c r="A414" t="inlineStr">
        <is>
          <t>A 14432-2023</t>
        </is>
      </c>
      <c r="B414" s="1" t="n">
        <v>45012</v>
      </c>
      <c r="C414" s="1" t="n">
        <v>45914</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10339-2023</t>
        </is>
      </c>
      <c r="B415" s="1" t="n">
        <v>44987</v>
      </c>
      <c r="C415" s="1" t="n">
        <v>45914</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33191-2025</t>
        </is>
      </c>
      <c r="B416" s="1" t="n">
        <v>45840.6003587963</v>
      </c>
      <c r="C416" s="1" t="n">
        <v>45914</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190-2024</t>
        </is>
      </c>
      <c r="B417" s="1" t="n">
        <v>45294.61858796296</v>
      </c>
      <c r="C417" s="1" t="n">
        <v>45914</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13857-2022</t>
        </is>
      </c>
      <c r="B418" s="1" t="n">
        <v>44649</v>
      </c>
      <c r="C418" s="1" t="n">
        <v>45914</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32426-2025</t>
        </is>
      </c>
      <c r="B419" s="1" t="n">
        <v>45838.36179398148</v>
      </c>
      <c r="C419" s="1" t="n">
        <v>45914</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62497-2023</t>
        </is>
      </c>
      <c r="B420" s="1" t="n">
        <v>45268.59935185185</v>
      </c>
      <c r="C420" s="1" t="n">
        <v>45914</v>
      </c>
      <c r="D420" t="inlineStr">
        <is>
          <t>ÖREBRO LÄN</t>
        </is>
      </c>
      <c r="E420" t="inlineStr">
        <is>
          <t>ÖREBRO</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61078-2024</t>
        </is>
      </c>
      <c r="B421" s="1" t="n">
        <v>45645.51034722223</v>
      </c>
      <c r="C421" s="1" t="n">
        <v>45914</v>
      </c>
      <c r="D421" t="inlineStr">
        <is>
          <t>ÖREBRO LÄN</t>
        </is>
      </c>
      <c r="E421" t="inlineStr">
        <is>
          <t>ÖREBRO</t>
        </is>
      </c>
      <c r="G421" t="n">
        <v>4.1</v>
      </c>
      <c r="H421" t="n">
        <v>0</v>
      </c>
      <c r="I421" t="n">
        <v>0</v>
      </c>
      <c r="J421" t="n">
        <v>0</v>
      </c>
      <c r="K421" t="n">
        <v>0</v>
      </c>
      <c r="L421" t="n">
        <v>0</v>
      </c>
      <c r="M421" t="n">
        <v>0</v>
      </c>
      <c r="N421" t="n">
        <v>0</v>
      </c>
      <c r="O421" t="n">
        <v>0</v>
      </c>
      <c r="P421" t="n">
        <v>0</v>
      </c>
      <c r="Q421" t="n">
        <v>0</v>
      </c>
      <c r="R421" s="2" t="inlineStr"/>
    </row>
    <row r="422" ht="15" customHeight="1">
      <c r="A422" t="inlineStr">
        <is>
          <t>A 32904-2025</t>
        </is>
      </c>
      <c r="B422" s="1" t="n">
        <v>45839</v>
      </c>
      <c r="C422" s="1" t="n">
        <v>45914</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12871-2021</t>
        </is>
      </c>
      <c r="B423" s="1" t="n">
        <v>44271.42121527778</v>
      </c>
      <c r="C423" s="1" t="n">
        <v>45914</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13158-2024</t>
        </is>
      </c>
      <c r="B424" s="1" t="n">
        <v>45386.38728009259</v>
      </c>
      <c r="C424" s="1" t="n">
        <v>45914</v>
      </c>
      <c r="D424" t="inlineStr">
        <is>
          <t>ÖREBRO LÄN</t>
        </is>
      </c>
      <c r="E424" t="inlineStr">
        <is>
          <t>ÖREBRO</t>
        </is>
      </c>
      <c r="G424" t="n">
        <v>1.8</v>
      </c>
      <c r="H424" t="n">
        <v>0</v>
      </c>
      <c r="I424" t="n">
        <v>0</v>
      </c>
      <c r="J424" t="n">
        <v>0</v>
      </c>
      <c r="K424" t="n">
        <v>0</v>
      </c>
      <c r="L424" t="n">
        <v>0</v>
      </c>
      <c r="M424" t="n">
        <v>0</v>
      </c>
      <c r="N424" t="n">
        <v>0</v>
      </c>
      <c r="O424" t="n">
        <v>0</v>
      </c>
      <c r="P424" t="n">
        <v>0</v>
      </c>
      <c r="Q424" t="n">
        <v>0</v>
      </c>
      <c r="R424" s="2" t="inlineStr"/>
    </row>
    <row r="425" ht="15" customHeight="1">
      <c r="A425" t="inlineStr">
        <is>
          <t>A 43399-2022</t>
        </is>
      </c>
      <c r="B425" s="1" t="n">
        <v>44834</v>
      </c>
      <c r="C425" s="1" t="n">
        <v>45914</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13181-2023</t>
        </is>
      </c>
      <c r="B426" s="1" t="n">
        <v>45002.60659722222</v>
      </c>
      <c r="C426" s="1" t="n">
        <v>45914</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25996-2024</t>
        </is>
      </c>
      <c r="B427" s="1" t="n">
        <v>45467.89081018518</v>
      </c>
      <c r="C427" s="1" t="n">
        <v>45914</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16676-2025</t>
        </is>
      </c>
      <c r="B428" s="1" t="n">
        <v>45754.44658564815</v>
      </c>
      <c r="C428" s="1" t="n">
        <v>45914</v>
      </c>
      <c r="D428" t="inlineStr">
        <is>
          <t>ÖREBRO LÄN</t>
        </is>
      </c>
      <c r="E428" t="inlineStr">
        <is>
          <t>ÖREBRO</t>
        </is>
      </c>
      <c r="G428" t="n">
        <v>5.8</v>
      </c>
      <c r="H428" t="n">
        <v>0</v>
      </c>
      <c r="I428" t="n">
        <v>0</v>
      </c>
      <c r="J428" t="n">
        <v>0</v>
      </c>
      <c r="K428" t="n">
        <v>0</v>
      </c>
      <c r="L428" t="n">
        <v>0</v>
      </c>
      <c r="M428" t="n">
        <v>0</v>
      </c>
      <c r="N428" t="n">
        <v>0</v>
      </c>
      <c r="O428" t="n">
        <v>0</v>
      </c>
      <c r="P428" t="n">
        <v>0</v>
      </c>
      <c r="Q428" t="n">
        <v>0</v>
      </c>
      <c r="R428" s="2" t="inlineStr"/>
    </row>
    <row r="429" ht="15" customHeight="1">
      <c r="A429" t="inlineStr">
        <is>
          <t>A 23741-2022</t>
        </is>
      </c>
      <c r="B429" s="1" t="n">
        <v>44722</v>
      </c>
      <c r="C429" s="1" t="n">
        <v>45914</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8274-2025</t>
        </is>
      </c>
      <c r="B430" s="1" t="n">
        <v>45708</v>
      </c>
      <c r="C430" s="1" t="n">
        <v>45914</v>
      </c>
      <c r="D430" t="inlineStr">
        <is>
          <t>ÖREBRO LÄN</t>
        </is>
      </c>
      <c r="E430" t="inlineStr">
        <is>
          <t>ÖREBRO</t>
        </is>
      </c>
      <c r="G430" t="n">
        <v>5.8</v>
      </c>
      <c r="H430" t="n">
        <v>0</v>
      </c>
      <c r="I430" t="n">
        <v>0</v>
      </c>
      <c r="J430" t="n">
        <v>0</v>
      </c>
      <c r="K430" t="n">
        <v>0</v>
      </c>
      <c r="L430" t="n">
        <v>0</v>
      </c>
      <c r="M430" t="n">
        <v>0</v>
      </c>
      <c r="N430" t="n">
        <v>0</v>
      </c>
      <c r="O430" t="n">
        <v>0</v>
      </c>
      <c r="P430" t="n">
        <v>0</v>
      </c>
      <c r="Q430" t="n">
        <v>0</v>
      </c>
      <c r="R430" s="2" t="inlineStr"/>
    </row>
    <row r="431" ht="15" customHeight="1">
      <c r="A431" t="inlineStr">
        <is>
          <t>A 58620-2024</t>
        </is>
      </c>
      <c r="B431" s="1" t="n">
        <v>45635.56246527778</v>
      </c>
      <c r="C431" s="1" t="n">
        <v>45914</v>
      </c>
      <c r="D431" t="inlineStr">
        <is>
          <t>ÖREBRO LÄN</t>
        </is>
      </c>
      <c r="E431" t="inlineStr">
        <is>
          <t>ÖREBRO</t>
        </is>
      </c>
      <c r="F431" t="inlineStr">
        <is>
          <t>Sveaskog</t>
        </is>
      </c>
      <c r="G431" t="n">
        <v>4.5</v>
      </c>
      <c r="H431" t="n">
        <v>0</v>
      </c>
      <c r="I431" t="n">
        <v>0</v>
      </c>
      <c r="J431" t="n">
        <v>0</v>
      </c>
      <c r="K431" t="n">
        <v>0</v>
      </c>
      <c r="L431" t="n">
        <v>0</v>
      </c>
      <c r="M431" t="n">
        <v>0</v>
      </c>
      <c r="N431" t="n">
        <v>0</v>
      </c>
      <c r="O431" t="n">
        <v>0</v>
      </c>
      <c r="P431" t="n">
        <v>0</v>
      </c>
      <c r="Q431" t="n">
        <v>0</v>
      </c>
      <c r="R431" s="2" t="inlineStr"/>
    </row>
    <row r="432" ht="15" customHeight="1">
      <c r="A432" t="inlineStr">
        <is>
          <t>A 48644-2024</t>
        </is>
      </c>
      <c r="B432" s="1" t="n">
        <v>45593.47466435185</v>
      </c>
      <c r="C432" s="1" t="n">
        <v>45914</v>
      </c>
      <c r="D432" t="inlineStr">
        <is>
          <t>ÖREBRO LÄN</t>
        </is>
      </c>
      <c r="E432" t="inlineStr">
        <is>
          <t>ÖREBRO</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7141-2025</t>
        </is>
      </c>
      <c r="B433" s="1" t="n">
        <v>45702</v>
      </c>
      <c r="C433" s="1" t="n">
        <v>45914</v>
      </c>
      <c r="D433" t="inlineStr">
        <is>
          <t>ÖREBRO LÄN</t>
        </is>
      </c>
      <c r="E433" t="inlineStr">
        <is>
          <t>ÖREBRO</t>
        </is>
      </c>
      <c r="G433" t="n">
        <v>2.9</v>
      </c>
      <c r="H433" t="n">
        <v>0</v>
      </c>
      <c r="I433" t="n">
        <v>0</v>
      </c>
      <c r="J433" t="n">
        <v>0</v>
      </c>
      <c r="K433" t="n">
        <v>0</v>
      </c>
      <c r="L433" t="n">
        <v>0</v>
      </c>
      <c r="M433" t="n">
        <v>0</v>
      </c>
      <c r="N433" t="n">
        <v>0</v>
      </c>
      <c r="O433" t="n">
        <v>0</v>
      </c>
      <c r="P433" t="n">
        <v>0</v>
      </c>
      <c r="Q433" t="n">
        <v>0</v>
      </c>
      <c r="R433" s="2" t="inlineStr"/>
    </row>
    <row r="434" ht="15" customHeight="1">
      <c r="A434" t="inlineStr">
        <is>
          <t>A 59024-2024</t>
        </is>
      </c>
      <c r="B434" s="1" t="n">
        <v>45636.68505787037</v>
      </c>
      <c r="C434" s="1" t="n">
        <v>45914</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13657-2025</t>
        </is>
      </c>
      <c r="B435" s="1" t="n">
        <v>45736.7427662037</v>
      </c>
      <c r="C435" s="1" t="n">
        <v>45914</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57867-2024</t>
        </is>
      </c>
      <c r="B436" s="1" t="n">
        <v>45631.43864583333</v>
      </c>
      <c r="C436" s="1" t="n">
        <v>45914</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29138-2022</t>
        </is>
      </c>
      <c r="B437" s="1" t="n">
        <v>44750</v>
      </c>
      <c r="C437" s="1" t="n">
        <v>45914</v>
      </c>
      <c r="D437" t="inlineStr">
        <is>
          <t>ÖREBRO LÄN</t>
        </is>
      </c>
      <c r="E437" t="inlineStr">
        <is>
          <t>ÖREBRO</t>
        </is>
      </c>
      <c r="G437" t="n">
        <v>3.3</v>
      </c>
      <c r="H437" t="n">
        <v>0</v>
      </c>
      <c r="I437" t="n">
        <v>0</v>
      </c>
      <c r="J437" t="n">
        <v>0</v>
      </c>
      <c r="K437" t="n">
        <v>0</v>
      </c>
      <c r="L437" t="n">
        <v>0</v>
      </c>
      <c r="M437" t="n">
        <v>0</v>
      </c>
      <c r="N437" t="n">
        <v>0</v>
      </c>
      <c r="O437" t="n">
        <v>0</v>
      </c>
      <c r="P437" t="n">
        <v>0</v>
      </c>
      <c r="Q437" t="n">
        <v>0</v>
      </c>
      <c r="R437" s="2" t="inlineStr"/>
    </row>
    <row r="438" ht="15" customHeight="1">
      <c r="A438" t="inlineStr">
        <is>
          <t>A 29143-2022</t>
        </is>
      </c>
      <c r="B438" s="1" t="n">
        <v>44750</v>
      </c>
      <c r="C438" s="1" t="n">
        <v>45914</v>
      </c>
      <c r="D438" t="inlineStr">
        <is>
          <t>ÖREBRO LÄN</t>
        </is>
      </c>
      <c r="E438" t="inlineStr">
        <is>
          <t>ÖREBRO</t>
        </is>
      </c>
      <c r="G438" t="n">
        <v>5.6</v>
      </c>
      <c r="H438" t="n">
        <v>0</v>
      </c>
      <c r="I438" t="n">
        <v>0</v>
      </c>
      <c r="J438" t="n">
        <v>0</v>
      </c>
      <c r="K438" t="n">
        <v>0</v>
      </c>
      <c r="L438" t="n">
        <v>0</v>
      </c>
      <c r="M438" t="n">
        <v>0</v>
      </c>
      <c r="N438" t="n">
        <v>0</v>
      </c>
      <c r="O438" t="n">
        <v>0</v>
      </c>
      <c r="P438" t="n">
        <v>0</v>
      </c>
      <c r="Q438" t="n">
        <v>0</v>
      </c>
      <c r="R438" s="2" t="inlineStr"/>
    </row>
    <row r="439" ht="15" customHeight="1">
      <c r="A439" t="inlineStr">
        <is>
          <t>A 21983-2021</t>
        </is>
      </c>
      <c r="B439" s="1" t="n">
        <v>44323</v>
      </c>
      <c r="C439" s="1" t="n">
        <v>45914</v>
      </c>
      <c r="D439" t="inlineStr">
        <is>
          <t>ÖREBRO LÄN</t>
        </is>
      </c>
      <c r="E439" t="inlineStr">
        <is>
          <t>ÖREBRO</t>
        </is>
      </c>
      <c r="F439" t="inlineStr">
        <is>
          <t>Övriga Aktiebolag</t>
        </is>
      </c>
      <c r="G439" t="n">
        <v>0.7</v>
      </c>
      <c r="H439" t="n">
        <v>0</v>
      </c>
      <c r="I439" t="n">
        <v>0</v>
      </c>
      <c r="J439" t="n">
        <v>0</v>
      </c>
      <c r="K439" t="n">
        <v>0</v>
      </c>
      <c r="L439" t="n">
        <v>0</v>
      </c>
      <c r="M439" t="n">
        <v>0</v>
      </c>
      <c r="N439" t="n">
        <v>0</v>
      </c>
      <c r="O439" t="n">
        <v>0</v>
      </c>
      <c r="P439" t="n">
        <v>0</v>
      </c>
      <c r="Q439" t="n">
        <v>0</v>
      </c>
      <c r="R439" s="2" t="inlineStr"/>
    </row>
    <row r="440" ht="15" customHeight="1">
      <c r="A440" t="inlineStr">
        <is>
          <t>A 63142-2023</t>
        </is>
      </c>
      <c r="B440" s="1" t="n">
        <v>45273</v>
      </c>
      <c r="C440" s="1" t="n">
        <v>45914</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3120-2022</t>
        </is>
      </c>
      <c r="B441" s="1" t="n">
        <v>44582</v>
      </c>
      <c r="C441" s="1" t="n">
        <v>45914</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58606-2024</t>
        </is>
      </c>
      <c r="B442" s="1" t="n">
        <v>45635.54747685185</v>
      </c>
      <c r="C442" s="1" t="n">
        <v>45914</v>
      </c>
      <c r="D442" t="inlineStr">
        <is>
          <t>ÖREBRO LÄN</t>
        </is>
      </c>
      <c r="E442" t="inlineStr">
        <is>
          <t>ÖREBRO</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37021-2024</t>
        </is>
      </c>
      <c r="B443" s="1" t="n">
        <v>45539.38146990741</v>
      </c>
      <c r="C443" s="1" t="n">
        <v>45914</v>
      </c>
      <c r="D443" t="inlineStr">
        <is>
          <t>ÖREBRO LÄN</t>
        </is>
      </c>
      <c r="E443" t="inlineStr">
        <is>
          <t>ÖREBRO</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26101-2022</t>
        </is>
      </c>
      <c r="B444" s="1" t="n">
        <v>44734</v>
      </c>
      <c r="C444" s="1" t="n">
        <v>45914</v>
      </c>
      <c r="D444" t="inlineStr">
        <is>
          <t>ÖREBRO LÄN</t>
        </is>
      </c>
      <c r="E444" t="inlineStr">
        <is>
          <t>ÖREBRO</t>
        </is>
      </c>
      <c r="G444" t="n">
        <v>15.8</v>
      </c>
      <c r="H444" t="n">
        <v>0</v>
      </c>
      <c r="I444" t="n">
        <v>0</v>
      </c>
      <c r="J444" t="n">
        <v>0</v>
      </c>
      <c r="K444" t="n">
        <v>0</v>
      </c>
      <c r="L444" t="n">
        <v>0</v>
      </c>
      <c r="M444" t="n">
        <v>0</v>
      </c>
      <c r="N444" t="n">
        <v>0</v>
      </c>
      <c r="O444" t="n">
        <v>0</v>
      </c>
      <c r="P444" t="n">
        <v>0</v>
      </c>
      <c r="Q444" t="n">
        <v>0</v>
      </c>
      <c r="R444" s="2" t="inlineStr"/>
    </row>
    <row r="445" ht="15" customHeight="1">
      <c r="A445" t="inlineStr">
        <is>
          <t>A 23573-2023</t>
        </is>
      </c>
      <c r="B445" s="1" t="n">
        <v>45077.41672453703</v>
      </c>
      <c r="C445" s="1" t="n">
        <v>45914</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13762-2023</t>
        </is>
      </c>
      <c r="B446" s="1" t="n">
        <v>45007.43729166667</v>
      </c>
      <c r="C446" s="1" t="n">
        <v>45914</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33019-2025</t>
        </is>
      </c>
      <c r="B447" s="1" t="n">
        <v>45840</v>
      </c>
      <c r="C447" s="1" t="n">
        <v>45914</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58486-2024</t>
        </is>
      </c>
      <c r="B448" s="1" t="n">
        <v>45635</v>
      </c>
      <c r="C448" s="1" t="n">
        <v>45914</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14053-2025</t>
        </is>
      </c>
      <c r="B449" s="1" t="n">
        <v>45739</v>
      </c>
      <c r="C449" s="1" t="n">
        <v>45914</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35345-2024</t>
        </is>
      </c>
      <c r="B450" s="1" t="n">
        <v>45530</v>
      </c>
      <c r="C450" s="1" t="n">
        <v>45914</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123-2025</t>
        </is>
      </c>
      <c r="B451" s="1" t="n">
        <v>45659.54851851852</v>
      </c>
      <c r="C451" s="1" t="n">
        <v>45914</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5129-2024</t>
        </is>
      </c>
      <c r="B452" s="1" t="n">
        <v>45330</v>
      </c>
      <c r="C452" s="1" t="n">
        <v>45914</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30472-2022</t>
        </is>
      </c>
      <c r="B453" s="1" t="n">
        <v>44761.70467592592</v>
      </c>
      <c r="C453" s="1" t="n">
        <v>45914</v>
      </c>
      <c r="D453" t="inlineStr">
        <is>
          <t>ÖREBRO LÄN</t>
        </is>
      </c>
      <c r="E453" t="inlineStr">
        <is>
          <t>ÖREBRO</t>
        </is>
      </c>
      <c r="F453" t="inlineStr">
        <is>
          <t>Övriga Aktiebolag</t>
        </is>
      </c>
      <c r="G453" t="n">
        <v>5.6</v>
      </c>
      <c r="H453" t="n">
        <v>0</v>
      </c>
      <c r="I453" t="n">
        <v>0</v>
      </c>
      <c r="J453" t="n">
        <v>0</v>
      </c>
      <c r="K453" t="n">
        <v>0</v>
      </c>
      <c r="L453" t="n">
        <v>0</v>
      </c>
      <c r="M453" t="n">
        <v>0</v>
      </c>
      <c r="N453" t="n">
        <v>0</v>
      </c>
      <c r="O453" t="n">
        <v>0</v>
      </c>
      <c r="P453" t="n">
        <v>0</v>
      </c>
      <c r="Q453" t="n">
        <v>0</v>
      </c>
      <c r="R453" s="2" t="inlineStr"/>
    </row>
    <row r="454" ht="15" customHeight="1">
      <c r="A454" t="inlineStr">
        <is>
          <t>A 6869-2025</t>
        </is>
      </c>
      <c r="B454" s="1" t="n">
        <v>45700</v>
      </c>
      <c r="C454" s="1" t="n">
        <v>45914</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57869-2024</t>
        </is>
      </c>
      <c r="B455" s="1" t="n">
        <v>45631.44207175926</v>
      </c>
      <c r="C455" s="1" t="n">
        <v>45914</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37277-2022</t>
        </is>
      </c>
      <c r="B456" s="1" t="n">
        <v>44807.49150462963</v>
      </c>
      <c r="C456" s="1" t="n">
        <v>45914</v>
      </c>
      <c r="D456" t="inlineStr">
        <is>
          <t>ÖREBRO LÄN</t>
        </is>
      </c>
      <c r="E456" t="inlineStr">
        <is>
          <t>ÖREBRO</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1492-2022</t>
        </is>
      </c>
      <c r="B457" s="1" t="n">
        <v>44573</v>
      </c>
      <c r="C457" s="1" t="n">
        <v>45914</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27956-2023</t>
        </is>
      </c>
      <c r="B458" s="1" t="n">
        <v>45098</v>
      </c>
      <c r="C458" s="1" t="n">
        <v>45914</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51331-2023</t>
        </is>
      </c>
      <c r="B459" s="1" t="n">
        <v>45219</v>
      </c>
      <c r="C459" s="1" t="n">
        <v>45914</v>
      </c>
      <c r="D459" t="inlineStr">
        <is>
          <t>ÖREBRO LÄN</t>
        </is>
      </c>
      <c r="E459" t="inlineStr">
        <is>
          <t>ÖREBRO</t>
        </is>
      </c>
      <c r="F459" t="inlineStr">
        <is>
          <t>Kommuner</t>
        </is>
      </c>
      <c r="G459" t="n">
        <v>1.3</v>
      </c>
      <c r="H459" t="n">
        <v>0</v>
      </c>
      <c r="I459" t="n">
        <v>0</v>
      </c>
      <c r="J459" t="n">
        <v>0</v>
      </c>
      <c r="K459" t="n">
        <v>0</v>
      </c>
      <c r="L459" t="n">
        <v>0</v>
      </c>
      <c r="M459" t="n">
        <v>0</v>
      </c>
      <c r="N459" t="n">
        <v>0</v>
      </c>
      <c r="O459" t="n">
        <v>0</v>
      </c>
      <c r="P459" t="n">
        <v>0</v>
      </c>
      <c r="Q459" t="n">
        <v>0</v>
      </c>
      <c r="R459" s="2" t="inlineStr"/>
    </row>
    <row r="460" ht="15" customHeight="1">
      <c r="A460" t="inlineStr">
        <is>
          <t>A 40588-2021</t>
        </is>
      </c>
      <c r="B460" s="1" t="n">
        <v>44420</v>
      </c>
      <c r="C460" s="1" t="n">
        <v>45914</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40231-2022</t>
        </is>
      </c>
      <c r="B461" s="1" t="n">
        <v>44820</v>
      </c>
      <c r="C461" s="1" t="n">
        <v>45914</v>
      </c>
      <c r="D461" t="inlineStr">
        <is>
          <t>ÖREBRO LÄN</t>
        </is>
      </c>
      <c r="E461" t="inlineStr">
        <is>
          <t>ÖREBRO</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4284-2025</t>
        </is>
      </c>
      <c r="B462" s="1" t="n">
        <v>45685</v>
      </c>
      <c r="C462" s="1" t="n">
        <v>45914</v>
      </c>
      <c r="D462" t="inlineStr">
        <is>
          <t>ÖREBRO LÄN</t>
        </is>
      </c>
      <c r="E462" t="inlineStr">
        <is>
          <t>ÖREBRO</t>
        </is>
      </c>
      <c r="G462" t="n">
        <v>1.7</v>
      </c>
      <c r="H462" t="n">
        <v>0</v>
      </c>
      <c r="I462" t="n">
        <v>0</v>
      </c>
      <c r="J462" t="n">
        <v>0</v>
      </c>
      <c r="K462" t="n">
        <v>0</v>
      </c>
      <c r="L462" t="n">
        <v>0</v>
      </c>
      <c r="M462" t="n">
        <v>0</v>
      </c>
      <c r="N462" t="n">
        <v>0</v>
      </c>
      <c r="O462" t="n">
        <v>0</v>
      </c>
      <c r="P462" t="n">
        <v>0</v>
      </c>
      <c r="Q462" t="n">
        <v>0</v>
      </c>
      <c r="R462" s="2" t="inlineStr"/>
    </row>
    <row r="463" ht="15" customHeight="1">
      <c r="A463" t="inlineStr">
        <is>
          <t>A 8331-2021</t>
        </is>
      </c>
      <c r="B463" s="1" t="n">
        <v>44244</v>
      </c>
      <c r="C463" s="1" t="n">
        <v>45914</v>
      </c>
      <c r="D463" t="inlineStr">
        <is>
          <t>ÖREBRO LÄN</t>
        </is>
      </c>
      <c r="E463" t="inlineStr">
        <is>
          <t>ÖREBRO</t>
        </is>
      </c>
      <c r="G463" t="n">
        <v>9.1</v>
      </c>
      <c r="H463" t="n">
        <v>0</v>
      </c>
      <c r="I463" t="n">
        <v>0</v>
      </c>
      <c r="J463" t="n">
        <v>0</v>
      </c>
      <c r="K463" t="n">
        <v>0</v>
      </c>
      <c r="L463" t="n">
        <v>0</v>
      </c>
      <c r="M463" t="n">
        <v>0</v>
      </c>
      <c r="N463" t="n">
        <v>0</v>
      </c>
      <c r="O463" t="n">
        <v>0</v>
      </c>
      <c r="P463" t="n">
        <v>0</v>
      </c>
      <c r="Q463" t="n">
        <v>0</v>
      </c>
      <c r="R463" s="2" t="inlineStr"/>
    </row>
    <row r="464" ht="15" customHeight="1">
      <c r="A464" t="inlineStr">
        <is>
          <t>A 8332-2021</t>
        </is>
      </c>
      <c r="B464" s="1" t="n">
        <v>44244</v>
      </c>
      <c r="C464" s="1" t="n">
        <v>45914</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59026-2024</t>
        </is>
      </c>
      <c r="B465" s="1" t="n">
        <v>45636.6875</v>
      </c>
      <c r="C465" s="1" t="n">
        <v>45914</v>
      </c>
      <c r="D465" t="inlineStr">
        <is>
          <t>ÖREBRO LÄN</t>
        </is>
      </c>
      <c r="E465" t="inlineStr">
        <is>
          <t>ÖREBRO</t>
        </is>
      </c>
      <c r="G465" t="n">
        <v>0.9</v>
      </c>
      <c r="H465" t="n">
        <v>0</v>
      </c>
      <c r="I465" t="n">
        <v>0</v>
      </c>
      <c r="J465" t="n">
        <v>0</v>
      </c>
      <c r="K465" t="n">
        <v>0</v>
      </c>
      <c r="L465" t="n">
        <v>0</v>
      </c>
      <c r="M465" t="n">
        <v>0</v>
      </c>
      <c r="N465" t="n">
        <v>0</v>
      </c>
      <c r="O465" t="n">
        <v>0</v>
      </c>
      <c r="P465" t="n">
        <v>0</v>
      </c>
      <c r="Q465" t="n">
        <v>0</v>
      </c>
      <c r="R465" s="2" t="inlineStr"/>
    </row>
    <row r="466" ht="15" customHeight="1">
      <c r="A466" t="inlineStr">
        <is>
          <t>A 25443-2021</t>
        </is>
      </c>
      <c r="B466" s="1" t="n">
        <v>44342</v>
      </c>
      <c r="C466" s="1" t="n">
        <v>45914</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52623-2024</t>
        </is>
      </c>
      <c r="B467" s="1" t="n">
        <v>45609</v>
      </c>
      <c r="C467" s="1" t="n">
        <v>45914</v>
      </c>
      <c r="D467" t="inlineStr">
        <is>
          <t>ÖREBRO LÄN</t>
        </is>
      </c>
      <c r="E467" t="inlineStr">
        <is>
          <t>ÖREBRO</t>
        </is>
      </c>
      <c r="F467" t="inlineStr">
        <is>
          <t>Kommuner</t>
        </is>
      </c>
      <c r="G467" t="n">
        <v>1.7</v>
      </c>
      <c r="H467" t="n">
        <v>0</v>
      </c>
      <c r="I467" t="n">
        <v>0</v>
      </c>
      <c r="J467" t="n">
        <v>0</v>
      </c>
      <c r="K467" t="n">
        <v>0</v>
      </c>
      <c r="L467" t="n">
        <v>0</v>
      </c>
      <c r="M467" t="n">
        <v>0</v>
      </c>
      <c r="N467" t="n">
        <v>0</v>
      </c>
      <c r="O467" t="n">
        <v>0</v>
      </c>
      <c r="P467" t="n">
        <v>0</v>
      </c>
      <c r="Q467" t="n">
        <v>0</v>
      </c>
      <c r="R467" s="2" t="inlineStr"/>
    </row>
    <row r="468" ht="15" customHeight="1">
      <c r="A468" t="inlineStr">
        <is>
          <t>A 42623-2022</t>
        </is>
      </c>
      <c r="B468" s="1" t="n">
        <v>44831</v>
      </c>
      <c r="C468" s="1" t="n">
        <v>45914</v>
      </c>
      <c r="D468" t="inlineStr">
        <is>
          <t>ÖREBRO LÄN</t>
        </is>
      </c>
      <c r="E468" t="inlineStr">
        <is>
          <t>ÖREBRO</t>
        </is>
      </c>
      <c r="G468" t="n">
        <v>3.6</v>
      </c>
      <c r="H468" t="n">
        <v>0</v>
      </c>
      <c r="I468" t="n">
        <v>0</v>
      </c>
      <c r="J468" t="n">
        <v>0</v>
      </c>
      <c r="K468" t="n">
        <v>0</v>
      </c>
      <c r="L468" t="n">
        <v>0</v>
      </c>
      <c r="M468" t="n">
        <v>0</v>
      </c>
      <c r="N468" t="n">
        <v>0</v>
      </c>
      <c r="O468" t="n">
        <v>0</v>
      </c>
      <c r="P468" t="n">
        <v>0</v>
      </c>
      <c r="Q468" t="n">
        <v>0</v>
      </c>
      <c r="R468" s="2" t="inlineStr"/>
    </row>
    <row r="469" ht="15" customHeight="1">
      <c r="A469" t="inlineStr">
        <is>
          <t>A 3763-2025</t>
        </is>
      </c>
      <c r="B469" s="1" t="n">
        <v>45681</v>
      </c>
      <c r="C469" s="1" t="n">
        <v>45914</v>
      </c>
      <c r="D469" t="inlineStr">
        <is>
          <t>ÖREBRO LÄN</t>
        </is>
      </c>
      <c r="E469" t="inlineStr">
        <is>
          <t>ÖREBRO</t>
        </is>
      </c>
      <c r="G469" t="n">
        <v>10.1</v>
      </c>
      <c r="H469" t="n">
        <v>0</v>
      </c>
      <c r="I469" t="n">
        <v>0</v>
      </c>
      <c r="J469" t="n">
        <v>0</v>
      </c>
      <c r="K469" t="n">
        <v>0</v>
      </c>
      <c r="L469" t="n">
        <v>0</v>
      </c>
      <c r="M469" t="n">
        <v>0</v>
      </c>
      <c r="N469" t="n">
        <v>0</v>
      </c>
      <c r="O469" t="n">
        <v>0</v>
      </c>
      <c r="P469" t="n">
        <v>0</v>
      </c>
      <c r="Q469" t="n">
        <v>0</v>
      </c>
      <c r="R469" s="2" t="inlineStr"/>
    </row>
    <row r="470" ht="15" customHeight="1">
      <c r="A470" t="inlineStr">
        <is>
          <t>A 10829-2023</t>
        </is>
      </c>
      <c r="B470" s="1" t="n">
        <v>44990.88512731482</v>
      </c>
      <c r="C470" s="1" t="n">
        <v>45914</v>
      </c>
      <c r="D470" t="inlineStr">
        <is>
          <t>ÖREBRO LÄN</t>
        </is>
      </c>
      <c r="E470" t="inlineStr">
        <is>
          <t>ÖREBRO</t>
        </is>
      </c>
      <c r="G470" t="n">
        <v>4.4</v>
      </c>
      <c r="H470" t="n">
        <v>0</v>
      </c>
      <c r="I470" t="n">
        <v>0</v>
      </c>
      <c r="J470" t="n">
        <v>0</v>
      </c>
      <c r="K470" t="n">
        <v>0</v>
      </c>
      <c r="L470" t="n">
        <v>0</v>
      </c>
      <c r="M470" t="n">
        <v>0</v>
      </c>
      <c r="N470" t="n">
        <v>0</v>
      </c>
      <c r="O470" t="n">
        <v>0</v>
      </c>
      <c r="P470" t="n">
        <v>0</v>
      </c>
      <c r="Q470" t="n">
        <v>0</v>
      </c>
      <c r="R470" s="2" t="inlineStr"/>
    </row>
    <row r="471" ht="15" customHeight="1">
      <c r="A471" t="inlineStr">
        <is>
          <t>A 10831-2023</t>
        </is>
      </c>
      <c r="B471" s="1" t="n">
        <v>44990.90357638889</v>
      </c>
      <c r="C471" s="1" t="n">
        <v>45914</v>
      </c>
      <c r="D471" t="inlineStr">
        <is>
          <t>ÖREBRO LÄN</t>
        </is>
      </c>
      <c r="E471" t="inlineStr">
        <is>
          <t>ÖREBRO</t>
        </is>
      </c>
      <c r="G471" t="n">
        <v>1.9</v>
      </c>
      <c r="H471" t="n">
        <v>0</v>
      </c>
      <c r="I471" t="n">
        <v>0</v>
      </c>
      <c r="J471" t="n">
        <v>0</v>
      </c>
      <c r="K471" t="n">
        <v>0</v>
      </c>
      <c r="L471" t="n">
        <v>0</v>
      </c>
      <c r="M471" t="n">
        <v>0</v>
      </c>
      <c r="N471" t="n">
        <v>0</v>
      </c>
      <c r="O471" t="n">
        <v>0</v>
      </c>
      <c r="P471" t="n">
        <v>0</v>
      </c>
      <c r="Q471" t="n">
        <v>0</v>
      </c>
      <c r="R471" s="2" t="inlineStr"/>
    </row>
    <row r="472" ht="15" customHeight="1">
      <c r="A472" t="inlineStr">
        <is>
          <t>A 62511-2023</t>
        </is>
      </c>
      <c r="B472" s="1" t="n">
        <v>45268.61855324074</v>
      </c>
      <c r="C472" s="1" t="n">
        <v>45914</v>
      </c>
      <c r="D472" t="inlineStr">
        <is>
          <t>ÖREBRO LÄN</t>
        </is>
      </c>
      <c r="E472" t="inlineStr">
        <is>
          <t>ÖREBRO</t>
        </is>
      </c>
      <c r="F472" t="inlineStr">
        <is>
          <t>Övriga Aktiebolag</t>
        </is>
      </c>
      <c r="G472" t="n">
        <v>3.6</v>
      </c>
      <c r="H472" t="n">
        <v>0</v>
      </c>
      <c r="I472" t="n">
        <v>0</v>
      </c>
      <c r="J472" t="n">
        <v>0</v>
      </c>
      <c r="K472" t="n">
        <v>0</v>
      </c>
      <c r="L472" t="n">
        <v>0</v>
      </c>
      <c r="M472" t="n">
        <v>0</v>
      </c>
      <c r="N472" t="n">
        <v>0</v>
      </c>
      <c r="O472" t="n">
        <v>0</v>
      </c>
      <c r="P472" t="n">
        <v>0</v>
      </c>
      <c r="Q472" t="n">
        <v>0</v>
      </c>
      <c r="R472" s="2" t="inlineStr"/>
    </row>
    <row r="473" ht="15" customHeight="1">
      <c r="A473" t="inlineStr">
        <is>
          <t>A 16165-2023</t>
        </is>
      </c>
      <c r="B473" s="1" t="n">
        <v>45027</v>
      </c>
      <c r="C473" s="1" t="n">
        <v>45914</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57247-2022</t>
        </is>
      </c>
      <c r="B474" s="1" t="n">
        <v>44895.73065972222</v>
      </c>
      <c r="C474" s="1" t="n">
        <v>45914</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46757-2021</t>
        </is>
      </c>
      <c r="B475" s="1" t="n">
        <v>44445</v>
      </c>
      <c r="C475" s="1" t="n">
        <v>45914</v>
      </c>
      <c r="D475" t="inlineStr">
        <is>
          <t>ÖREBRO LÄN</t>
        </is>
      </c>
      <c r="E475" t="inlineStr">
        <is>
          <t>ÖREBRO</t>
        </is>
      </c>
      <c r="G475" t="n">
        <v>5.6</v>
      </c>
      <c r="H475" t="n">
        <v>0</v>
      </c>
      <c r="I475" t="n">
        <v>0</v>
      </c>
      <c r="J475" t="n">
        <v>0</v>
      </c>
      <c r="K475" t="n">
        <v>0</v>
      </c>
      <c r="L475" t="n">
        <v>0</v>
      </c>
      <c r="M475" t="n">
        <v>0</v>
      </c>
      <c r="N475" t="n">
        <v>0</v>
      </c>
      <c r="O475" t="n">
        <v>0</v>
      </c>
      <c r="P475" t="n">
        <v>0</v>
      </c>
      <c r="Q475" t="n">
        <v>0</v>
      </c>
      <c r="R475" s="2" t="inlineStr"/>
    </row>
    <row r="476" ht="15" customHeight="1">
      <c r="A476" t="inlineStr">
        <is>
          <t>A 40522-2024</t>
        </is>
      </c>
      <c r="B476" s="1" t="n">
        <v>45555.59717592593</v>
      </c>
      <c r="C476" s="1" t="n">
        <v>45914</v>
      </c>
      <c r="D476" t="inlineStr">
        <is>
          <t>ÖREBRO LÄN</t>
        </is>
      </c>
      <c r="E476" t="inlineStr">
        <is>
          <t>ÖREBRO</t>
        </is>
      </c>
      <c r="G476" t="n">
        <v>5.1</v>
      </c>
      <c r="H476" t="n">
        <v>0</v>
      </c>
      <c r="I476" t="n">
        <v>0</v>
      </c>
      <c r="J476" t="n">
        <v>0</v>
      </c>
      <c r="K476" t="n">
        <v>0</v>
      </c>
      <c r="L476" t="n">
        <v>0</v>
      </c>
      <c r="M476" t="n">
        <v>0</v>
      </c>
      <c r="N476" t="n">
        <v>0</v>
      </c>
      <c r="O476" t="n">
        <v>0</v>
      </c>
      <c r="P476" t="n">
        <v>0</v>
      </c>
      <c r="Q476" t="n">
        <v>0</v>
      </c>
      <c r="R476" s="2" t="inlineStr"/>
    </row>
    <row r="477" ht="15" customHeight="1">
      <c r="A477" t="inlineStr">
        <is>
          <t>A 30374-2023</t>
        </is>
      </c>
      <c r="B477" s="1" t="n">
        <v>45111</v>
      </c>
      <c r="C477" s="1" t="n">
        <v>45914</v>
      </c>
      <c r="D477" t="inlineStr">
        <is>
          <t>ÖREBRO LÄN</t>
        </is>
      </c>
      <c r="E477" t="inlineStr">
        <is>
          <t>ÖREBRO</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54678-2023</t>
        </is>
      </c>
      <c r="B478" s="1" t="n">
        <v>45235</v>
      </c>
      <c r="C478" s="1" t="n">
        <v>45914</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58219-2024</t>
        </is>
      </c>
      <c r="B479" s="1" t="n">
        <v>45632</v>
      </c>
      <c r="C479" s="1" t="n">
        <v>45914</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59265-2020</t>
        </is>
      </c>
      <c r="B480" s="1" t="n">
        <v>44147.67359953704</v>
      </c>
      <c r="C480" s="1" t="n">
        <v>45914</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33577-2023</t>
        </is>
      </c>
      <c r="B481" s="1" t="n">
        <v>45131</v>
      </c>
      <c r="C481" s="1" t="n">
        <v>45914</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18360-2024</t>
        </is>
      </c>
      <c r="B482" s="1" t="n">
        <v>45422</v>
      </c>
      <c r="C482" s="1" t="n">
        <v>45914</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7611-2024</t>
        </is>
      </c>
      <c r="B483" s="1" t="n">
        <v>45348.58864583333</v>
      </c>
      <c r="C483" s="1" t="n">
        <v>45914</v>
      </c>
      <c r="D483" t="inlineStr">
        <is>
          <t>ÖREBRO LÄN</t>
        </is>
      </c>
      <c r="E483" t="inlineStr">
        <is>
          <t>ÖREBRO</t>
        </is>
      </c>
      <c r="G483" t="n">
        <v>4.2</v>
      </c>
      <c r="H483" t="n">
        <v>0</v>
      </c>
      <c r="I483" t="n">
        <v>0</v>
      </c>
      <c r="J483" t="n">
        <v>0</v>
      </c>
      <c r="K483" t="n">
        <v>0</v>
      </c>
      <c r="L483" t="n">
        <v>0</v>
      </c>
      <c r="M483" t="n">
        <v>0</v>
      </c>
      <c r="N483" t="n">
        <v>0</v>
      </c>
      <c r="O483" t="n">
        <v>0</v>
      </c>
      <c r="P483" t="n">
        <v>0</v>
      </c>
      <c r="Q483" t="n">
        <v>0</v>
      </c>
      <c r="R483" s="2" t="inlineStr"/>
    </row>
    <row r="484" ht="15" customHeight="1">
      <c r="A484" t="inlineStr">
        <is>
          <t>A 42518-2021</t>
        </is>
      </c>
      <c r="B484" s="1" t="n">
        <v>44427.81496527778</v>
      </c>
      <c r="C484" s="1" t="n">
        <v>45914</v>
      </c>
      <c r="D484" t="inlineStr">
        <is>
          <t>ÖREBRO LÄN</t>
        </is>
      </c>
      <c r="E484" t="inlineStr">
        <is>
          <t>ÖREBRO</t>
        </is>
      </c>
      <c r="G484" t="n">
        <v>4.5</v>
      </c>
      <c r="H484" t="n">
        <v>0</v>
      </c>
      <c r="I484" t="n">
        <v>0</v>
      </c>
      <c r="J484" t="n">
        <v>0</v>
      </c>
      <c r="K484" t="n">
        <v>0</v>
      </c>
      <c r="L484" t="n">
        <v>0</v>
      </c>
      <c r="M484" t="n">
        <v>0</v>
      </c>
      <c r="N484" t="n">
        <v>0</v>
      </c>
      <c r="O484" t="n">
        <v>0</v>
      </c>
      <c r="P484" t="n">
        <v>0</v>
      </c>
      <c r="Q484" t="n">
        <v>0</v>
      </c>
      <c r="R484" s="2" t="inlineStr"/>
    </row>
    <row r="485" ht="15" customHeight="1">
      <c r="A485" t="inlineStr">
        <is>
          <t>A 14545-2023</t>
        </is>
      </c>
      <c r="B485" s="1" t="n">
        <v>45013.34895833334</v>
      </c>
      <c r="C485" s="1" t="n">
        <v>45914</v>
      </c>
      <c r="D485" t="inlineStr">
        <is>
          <t>ÖREBRO LÄN</t>
        </is>
      </c>
      <c r="E485" t="inlineStr">
        <is>
          <t>ÖREBRO</t>
        </is>
      </c>
      <c r="G485" t="n">
        <v>2.5</v>
      </c>
      <c r="H485" t="n">
        <v>0</v>
      </c>
      <c r="I485" t="n">
        <v>0</v>
      </c>
      <c r="J485" t="n">
        <v>0</v>
      </c>
      <c r="K485" t="n">
        <v>0</v>
      </c>
      <c r="L485" t="n">
        <v>0</v>
      </c>
      <c r="M485" t="n">
        <v>0</v>
      </c>
      <c r="N485" t="n">
        <v>0</v>
      </c>
      <c r="O485" t="n">
        <v>0</v>
      </c>
      <c r="P485" t="n">
        <v>0</v>
      </c>
      <c r="Q485" t="n">
        <v>0</v>
      </c>
      <c r="R485" s="2" t="inlineStr"/>
    </row>
    <row r="486" ht="15" customHeight="1">
      <c r="A486" t="inlineStr">
        <is>
          <t>A 27112-2023</t>
        </is>
      </c>
      <c r="B486" s="1" t="n">
        <v>45096</v>
      </c>
      <c r="C486" s="1" t="n">
        <v>45914</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14524-2025</t>
        </is>
      </c>
      <c r="B487" s="1" t="n">
        <v>45741.64815972222</v>
      </c>
      <c r="C487" s="1" t="n">
        <v>45914</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13347-2023</t>
        </is>
      </c>
      <c r="B488" s="1" t="n">
        <v>45004</v>
      </c>
      <c r="C488" s="1" t="n">
        <v>45914</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46834-2022</t>
        </is>
      </c>
      <c r="B489" s="1" t="n">
        <v>44851</v>
      </c>
      <c r="C489" s="1" t="n">
        <v>45914</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187-2024</t>
        </is>
      </c>
      <c r="B490" s="1" t="n">
        <v>45294</v>
      </c>
      <c r="C490" s="1" t="n">
        <v>45914</v>
      </c>
      <c r="D490" t="inlineStr">
        <is>
          <t>ÖREBRO LÄN</t>
        </is>
      </c>
      <c r="E490" t="inlineStr">
        <is>
          <t>ÖREBRO</t>
        </is>
      </c>
      <c r="G490" t="n">
        <v>5.9</v>
      </c>
      <c r="H490" t="n">
        <v>0</v>
      </c>
      <c r="I490" t="n">
        <v>0</v>
      </c>
      <c r="J490" t="n">
        <v>0</v>
      </c>
      <c r="K490" t="n">
        <v>0</v>
      </c>
      <c r="L490" t="n">
        <v>0</v>
      </c>
      <c r="M490" t="n">
        <v>0</v>
      </c>
      <c r="N490" t="n">
        <v>0</v>
      </c>
      <c r="O490" t="n">
        <v>0</v>
      </c>
      <c r="P490" t="n">
        <v>0</v>
      </c>
      <c r="Q490" t="n">
        <v>0</v>
      </c>
      <c r="R490" s="2" t="inlineStr"/>
    </row>
    <row r="491" ht="15" customHeight="1">
      <c r="A491" t="inlineStr">
        <is>
          <t>A 10832-2023</t>
        </is>
      </c>
      <c r="B491" s="1" t="n">
        <v>44990.91711805556</v>
      </c>
      <c r="C491" s="1" t="n">
        <v>45914</v>
      </c>
      <c r="D491" t="inlineStr">
        <is>
          <t>ÖREBRO LÄN</t>
        </is>
      </c>
      <c r="E491" t="inlineStr">
        <is>
          <t>ÖREBRO</t>
        </is>
      </c>
      <c r="G491" t="n">
        <v>1.4</v>
      </c>
      <c r="H491" t="n">
        <v>0</v>
      </c>
      <c r="I491" t="n">
        <v>0</v>
      </c>
      <c r="J491" t="n">
        <v>0</v>
      </c>
      <c r="K491" t="n">
        <v>0</v>
      </c>
      <c r="L491" t="n">
        <v>0</v>
      </c>
      <c r="M491" t="n">
        <v>0</v>
      </c>
      <c r="N491" t="n">
        <v>0</v>
      </c>
      <c r="O491" t="n">
        <v>0</v>
      </c>
      <c r="P491" t="n">
        <v>0</v>
      </c>
      <c r="Q491" t="n">
        <v>0</v>
      </c>
      <c r="R491" s="2" t="inlineStr"/>
    </row>
    <row r="492" ht="15" customHeight="1">
      <c r="A492" t="inlineStr">
        <is>
          <t>A 57638-2022</t>
        </is>
      </c>
      <c r="B492" s="1" t="n">
        <v>44897</v>
      </c>
      <c r="C492" s="1" t="n">
        <v>45914</v>
      </c>
      <c r="D492" t="inlineStr">
        <is>
          <t>ÖREBRO LÄN</t>
        </is>
      </c>
      <c r="E492" t="inlineStr">
        <is>
          <t>ÖREBRO</t>
        </is>
      </c>
      <c r="G492" t="n">
        <v>1.6</v>
      </c>
      <c r="H492" t="n">
        <v>0</v>
      </c>
      <c r="I492" t="n">
        <v>0</v>
      </c>
      <c r="J492" t="n">
        <v>0</v>
      </c>
      <c r="K492" t="n">
        <v>0</v>
      </c>
      <c r="L492" t="n">
        <v>0</v>
      </c>
      <c r="M492" t="n">
        <v>0</v>
      </c>
      <c r="N492" t="n">
        <v>0</v>
      </c>
      <c r="O492" t="n">
        <v>0</v>
      </c>
      <c r="P492" t="n">
        <v>0</v>
      </c>
      <c r="Q492" t="n">
        <v>0</v>
      </c>
      <c r="R492" s="2" t="inlineStr"/>
    </row>
    <row r="493" ht="15" customHeight="1">
      <c r="A493" t="inlineStr">
        <is>
          <t>A 2152-2023</t>
        </is>
      </c>
      <c r="B493" s="1" t="n">
        <v>44941.55056712963</v>
      </c>
      <c r="C493" s="1" t="n">
        <v>45914</v>
      </c>
      <c r="D493" t="inlineStr">
        <is>
          <t>ÖREBRO LÄN</t>
        </is>
      </c>
      <c r="E493" t="inlineStr">
        <is>
          <t>ÖREBRO</t>
        </is>
      </c>
      <c r="G493" t="n">
        <v>8</v>
      </c>
      <c r="H493" t="n">
        <v>0</v>
      </c>
      <c r="I493" t="n">
        <v>0</v>
      </c>
      <c r="J493" t="n">
        <v>0</v>
      </c>
      <c r="K493" t="n">
        <v>0</v>
      </c>
      <c r="L493" t="n">
        <v>0</v>
      </c>
      <c r="M493" t="n">
        <v>0</v>
      </c>
      <c r="N493" t="n">
        <v>0</v>
      </c>
      <c r="O493" t="n">
        <v>0</v>
      </c>
      <c r="P493" t="n">
        <v>0</v>
      </c>
      <c r="Q493" t="n">
        <v>0</v>
      </c>
      <c r="R493" s="2" t="inlineStr"/>
    </row>
    <row r="494" ht="15" customHeight="1">
      <c r="A494" t="inlineStr">
        <is>
          <t>A 2596-2022</t>
        </is>
      </c>
      <c r="B494" s="1" t="n">
        <v>44580</v>
      </c>
      <c r="C494" s="1" t="n">
        <v>45914</v>
      </c>
      <c r="D494" t="inlineStr">
        <is>
          <t>ÖREBRO LÄN</t>
        </is>
      </c>
      <c r="E494" t="inlineStr">
        <is>
          <t>ÖREBRO</t>
        </is>
      </c>
      <c r="G494" t="n">
        <v>4.3</v>
      </c>
      <c r="H494" t="n">
        <v>0</v>
      </c>
      <c r="I494" t="n">
        <v>0</v>
      </c>
      <c r="J494" t="n">
        <v>0</v>
      </c>
      <c r="K494" t="n">
        <v>0</v>
      </c>
      <c r="L494" t="n">
        <v>0</v>
      </c>
      <c r="M494" t="n">
        <v>0</v>
      </c>
      <c r="N494" t="n">
        <v>0</v>
      </c>
      <c r="O494" t="n">
        <v>0</v>
      </c>
      <c r="P494" t="n">
        <v>0</v>
      </c>
      <c r="Q494" t="n">
        <v>0</v>
      </c>
      <c r="R494" s="2" t="inlineStr"/>
    </row>
    <row r="495" ht="15" customHeight="1">
      <c r="A495" t="inlineStr">
        <is>
          <t>A 5338-2024</t>
        </is>
      </c>
      <c r="B495" s="1" t="n">
        <v>45331</v>
      </c>
      <c r="C495" s="1" t="n">
        <v>45914</v>
      </c>
      <c r="D495" t="inlineStr">
        <is>
          <t>ÖREBRO LÄN</t>
        </is>
      </c>
      <c r="E495" t="inlineStr">
        <is>
          <t>ÖREBRO</t>
        </is>
      </c>
      <c r="G495" t="n">
        <v>0.6</v>
      </c>
      <c r="H495" t="n">
        <v>0</v>
      </c>
      <c r="I495" t="n">
        <v>0</v>
      </c>
      <c r="J495" t="n">
        <v>0</v>
      </c>
      <c r="K495" t="n">
        <v>0</v>
      </c>
      <c r="L495" t="n">
        <v>0</v>
      </c>
      <c r="M495" t="n">
        <v>0</v>
      </c>
      <c r="N495" t="n">
        <v>0</v>
      </c>
      <c r="O495" t="n">
        <v>0</v>
      </c>
      <c r="P495" t="n">
        <v>0</v>
      </c>
      <c r="Q495" t="n">
        <v>0</v>
      </c>
      <c r="R495" s="2" t="inlineStr"/>
    </row>
    <row r="496" ht="15" customHeight="1">
      <c r="A496" t="inlineStr">
        <is>
          <t>A 39003-2025</t>
        </is>
      </c>
      <c r="B496" s="1" t="n">
        <v>45888.34467592592</v>
      </c>
      <c r="C496" s="1" t="n">
        <v>45914</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55745-2023</t>
        </is>
      </c>
      <c r="B497" s="1" t="n">
        <v>45239.44811342593</v>
      </c>
      <c r="C497" s="1" t="n">
        <v>45914</v>
      </c>
      <c r="D497" t="inlineStr">
        <is>
          <t>ÖREBRO LÄN</t>
        </is>
      </c>
      <c r="E497" t="inlineStr">
        <is>
          <t>ÖREBRO</t>
        </is>
      </c>
      <c r="G497" t="n">
        <v>13.3</v>
      </c>
      <c r="H497" t="n">
        <v>0</v>
      </c>
      <c r="I497" t="n">
        <v>0</v>
      </c>
      <c r="J497" t="n">
        <v>0</v>
      </c>
      <c r="K497" t="n">
        <v>0</v>
      </c>
      <c r="L497" t="n">
        <v>0</v>
      </c>
      <c r="M497" t="n">
        <v>0</v>
      </c>
      <c r="N497" t="n">
        <v>0</v>
      </c>
      <c r="O497" t="n">
        <v>0</v>
      </c>
      <c r="P497" t="n">
        <v>0</v>
      </c>
      <c r="Q497" t="n">
        <v>0</v>
      </c>
      <c r="R497" s="2" t="inlineStr"/>
    </row>
    <row r="498" ht="15" customHeight="1">
      <c r="A498" t="inlineStr">
        <is>
          <t>A 20589-2024</t>
        </is>
      </c>
      <c r="B498" s="1" t="n">
        <v>45436.42077546296</v>
      </c>
      <c r="C498" s="1" t="n">
        <v>45914</v>
      </c>
      <c r="D498" t="inlineStr">
        <is>
          <t>ÖREBRO LÄN</t>
        </is>
      </c>
      <c r="E498" t="inlineStr">
        <is>
          <t>ÖREBRO</t>
        </is>
      </c>
      <c r="G498" t="n">
        <v>3.7</v>
      </c>
      <c r="H498" t="n">
        <v>0</v>
      </c>
      <c r="I498" t="n">
        <v>0</v>
      </c>
      <c r="J498" t="n">
        <v>0</v>
      </c>
      <c r="K498" t="n">
        <v>0</v>
      </c>
      <c r="L498" t="n">
        <v>0</v>
      </c>
      <c r="M498" t="n">
        <v>0</v>
      </c>
      <c r="N498" t="n">
        <v>0</v>
      </c>
      <c r="O498" t="n">
        <v>0</v>
      </c>
      <c r="P498" t="n">
        <v>0</v>
      </c>
      <c r="Q498" t="n">
        <v>0</v>
      </c>
      <c r="R498" s="2" t="inlineStr"/>
    </row>
    <row r="499" ht="15" customHeight="1">
      <c r="A499" t="inlineStr">
        <is>
          <t>A 71285-2021</t>
        </is>
      </c>
      <c r="B499" s="1" t="n">
        <v>44539.62236111111</v>
      </c>
      <c r="C499" s="1" t="n">
        <v>45914</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14487-2023</t>
        </is>
      </c>
      <c r="B500" s="1" t="n">
        <v>45012</v>
      </c>
      <c r="C500" s="1" t="n">
        <v>45914</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48687-2024</t>
        </is>
      </c>
      <c r="B501" s="1" t="n">
        <v>45593.49899305555</v>
      </c>
      <c r="C501" s="1" t="n">
        <v>45914</v>
      </c>
      <c r="D501" t="inlineStr">
        <is>
          <t>ÖREBRO LÄN</t>
        </is>
      </c>
      <c r="E501" t="inlineStr">
        <is>
          <t>ÖREBRO</t>
        </is>
      </c>
      <c r="F501" t="inlineStr">
        <is>
          <t>Övriga Aktiebolag</t>
        </is>
      </c>
      <c r="G501" t="n">
        <v>3.8</v>
      </c>
      <c r="H501" t="n">
        <v>0</v>
      </c>
      <c r="I501" t="n">
        <v>0</v>
      </c>
      <c r="J501" t="n">
        <v>0</v>
      </c>
      <c r="K501" t="n">
        <v>0</v>
      </c>
      <c r="L501" t="n">
        <v>0</v>
      </c>
      <c r="M501" t="n">
        <v>0</v>
      </c>
      <c r="N501" t="n">
        <v>0</v>
      </c>
      <c r="O501" t="n">
        <v>0</v>
      </c>
      <c r="P501" t="n">
        <v>0</v>
      </c>
      <c r="Q501" t="n">
        <v>0</v>
      </c>
      <c r="R501" s="2" t="inlineStr"/>
    </row>
    <row r="502" ht="15" customHeight="1">
      <c r="A502" t="inlineStr">
        <is>
          <t>A 8565-2021</t>
        </is>
      </c>
      <c r="B502" s="1" t="n">
        <v>44245</v>
      </c>
      <c r="C502" s="1" t="n">
        <v>45914</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4970-2022</t>
        </is>
      </c>
      <c r="B503" s="1" t="n">
        <v>44593.51175925926</v>
      </c>
      <c r="C503" s="1" t="n">
        <v>45914</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18047-2023</t>
        </is>
      </c>
      <c r="B504" s="1" t="n">
        <v>45040</v>
      </c>
      <c r="C504" s="1" t="n">
        <v>45914</v>
      </c>
      <c r="D504" t="inlineStr">
        <is>
          <t>ÖREBRO LÄN</t>
        </is>
      </c>
      <c r="E504" t="inlineStr">
        <is>
          <t>ÖREBRO</t>
        </is>
      </c>
      <c r="G504" t="n">
        <v>3.9</v>
      </c>
      <c r="H504" t="n">
        <v>0</v>
      </c>
      <c r="I504" t="n">
        <v>0</v>
      </c>
      <c r="J504" t="n">
        <v>0</v>
      </c>
      <c r="K504" t="n">
        <v>0</v>
      </c>
      <c r="L504" t="n">
        <v>0</v>
      </c>
      <c r="M504" t="n">
        <v>0</v>
      </c>
      <c r="N504" t="n">
        <v>0</v>
      </c>
      <c r="O504" t="n">
        <v>0</v>
      </c>
      <c r="P504" t="n">
        <v>0</v>
      </c>
      <c r="Q504" t="n">
        <v>0</v>
      </c>
      <c r="R504" s="2" t="inlineStr"/>
    </row>
    <row r="505" ht="15" customHeight="1">
      <c r="A505" t="inlineStr">
        <is>
          <t>A 39479-2025</t>
        </is>
      </c>
      <c r="B505" s="1" t="n">
        <v>45890.34752314815</v>
      </c>
      <c r="C505" s="1" t="n">
        <v>45914</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39446-2025</t>
        </is>
      </c>
      <c r="B506" s="1" t="n">
        <v>45889.70388888889</v>
      </c>
      <c r="C506" s="1" t="n">
        <v>45914</v>
      </c>
      <c r="D506" t="inlineStr">
        <is>
          <t>ÖREBRO LÄN</t>
        </is>
      </c>
      <c r="E506" t="inlineStr">
        <is>
          <t>ÖREBRO</t>
        </is>
      </c>
      <c r="F506" t="inlineStr">
        <is>
          <t>Kyrkan</t>
        </is>
      </c>
      <c r="G506" t="n">
        <v>3.2</v>
      </c>
      <c r="H506" t="n">
        <v>0</v>
      </c>
      <c r="I506" t="n">
        <v>0</v>
      </c>
      <c r="J506" t="n">
        <v>0</v>
      </c>
      <c r="K506" t="n">
        <v>0</v>
      </c>
      <c r="L506" t="n">
        <v>0</v>
      </c>
      <c r="M506" t="n">
        <v>0</v>
      </c>
      <c r="N506" t="n">
        <v>0</v>
      </c>
      <c r="O506" t="n">
        <v>0</v>
      </c>
      <c r="P506" t="n">
        <v>0</v>
      </c>
      <c r="Q506" t="n">
        <v>0</v>
      </c>
      <c r="R506" s="2" t="inlineStr"/>
    </row>
    <row r="507" ht="15" customHeight="1">
      <c r="A507" t="inlineStr">
        <is>
          <t>A 3789-2023</t>
        </is>
      </c>
      <c r="B507" s="1" t="n">
        <v>44951</v>
      </c>
      <c r="C507" s="1" t="n">
        <v>45914</v>
      </c>
      <c r="D507" t="inlineStr">
        <is>
          <t>ÖREBRO LÄN</t>
        </is>
      </c>
      <c r="E507" t="inlineStr">
        <is>
          <t>ÖREBRO</t>
        </is>
      </c>
      <c r="G507" t="n">
        <v>7.5</v>
      </c>
      <c r="H507" t="n">
        <v>0</v>
      </c>
      <c r="I507" t="n">
        <v>0</v>
      </c>
      <c r="J507" t="n">
        <v>0</v>
      </c>
      <c r="K507" t="n">
        <v>0</v>
      </c>
      <c r="L507" t="n">
        <v>0</v>
      </c>
      <c r="M507" t="n">
        <v>0</v>
      </c>
      <c r="N507" t="n">
        <v>0</v>
      </c>
      <c r="O507" t="n">
        <v>0</v>
      </c>
      <c r="P507" t="n">
        <v>0</v>
      </c>
      <c r="Q507" t="n">
        <v>0</v>
      </c>
      <c r="R507" s="2" t="inlineStr"/>
    </row>
    <row r="508" ht="15" customHeight="1">
      <c r="A508" t="inlineStr">
        <is>
          <t>A 60289-2023</t>
        </is>
      </c>
      <c r="B508" s="1" t="n">
        <v>45257</v>
      </c>
      <c r="C508" s="1" t="n">
        <v>45914</v>
      </c>
      <c r="D508" t="inlineStr">
        <is>
          <t>ÖREBRO LÄN</t>
        </is>
      </c>
      <c r="E508" t="inlineStr">
        <is>
          <t>ÖREBRO</t>
        </is>
      </c>
      <c r="G508" t="n">
        <v>10.9</v>
      </c>
      <c r="H508" t="n">
        <v>0</v>
      </c>
      <c r="I508" t="n">
        <v>0</v>
      </c>
      <c r="J508" t="n">
        <v>0</v>
      </c>
      <c r="K508" t="n">
        <v>0</v>
      </c>
      <c r="L508" t="n">
        <v>0</v>
      </c>
      <c r="M508" t="n">
        <v>0</v>
      </c>
      <c r="N508" t="n">
        <v>0</v>
      </c>
      <c r="O508" t="n">
        <v>0</v>
      </c>
      <c r="P508" t="n">
        <v>0</v>
      </c>
      <c r="Q508" t="n">
        <v>0</v>
      </c>
      <c r="R508" s="2" t="inlineStr"/>
    </row>
    <row r="509" ht="15" customHeight="1">
      <c r="A509" t="inlineStr">
        <is>
          <t>A 12099-2023</t>
        </is>
      </c>
      <c r="B509" s="1" t="n">
        <v>44998.37043981482</v>
      </c>
      <c r="C509" s="1" t="n">
        <v>45914</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35062-2025</t>
        </is>
      </c>
      <c r="B510" s="1" t="n">
        <v>45852</v>
      </c>
      <c r="C510" s="1" t="n">
        <v>45914</v>
      </c>
      <c r="D510" t="inlineStr">
        <is>
          <t>ÖREBRO LÄN</t>
        </is>
      </c>
      <c r="E510" t="inlineStr">
        <is>
          <t>ÖREBRO</t>
        </is>
      </c>
      <c r="G510" t="n">
        <v>2.8</v>
      </c>
      <c r="H510" t="n">
        <v>0</v>
      </c>
      <c r="I510" t="n">
        <v>0</v>
      </c>
      <c r="J510" t="n">
        <v>0</v>
      </c>
      <c r="K510" t="n">
        <v>0</v>
      </c>
      <c r="L510" t="n">
        <v>0</v>
      </c>
      <c r="M510" t="n">
        <v>0</v>
      </c>
      <c r="N510" t="n">
        <v>0</v>
      </c>
      <c r="O510" t="n">
        <v>0</v>
      </c>
      <c r="P510" t="n">
        <v>0</v>
      </c>
      <c r="Q510" t="n">
        <v>0</v>
      </c>
      <c r="R510" s="2" t="inlineStr"/>
    </row>
    <row r="511" ht="15" customHeight="1">
      <c r="A511" t="inlineStr">
        <is>
          <t>A 5026-2022</t>
        </is>
      </c>
      <c r="B511" s="1" t="n">
        <v>44593.63974537037</v>
      </c>
      <c r="C511" s="1" t="n">
        <v>45914</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40330-2025</t>
        </is>
      </c>
      <c r="B512" s="1" t="n">
        <v>45895.4531712963</v>
      </c>
      <c r="C512" s="1" t="n">
        <v>45914</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40332-2025</t>
        </is>
      </c>
      <c r="B513" s="1" t="n">
        <v>45895.46060185185</v>
      </c>
      <c r="C513" s="1" t="n">
        <v>45914</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54917-2023</t>
        </is>
      </c>
      <c r="B514" s="1" t="n">
        <v>45229</v>
      </c>
      <c r="C514" s="1" t="n">
        <v>45914</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72329-2021</t>
        </is>
      </c>
      <c r="B515" s="1" t="n">
        <v>44545.46072916667</v>
      </c>
      <c r="C515" s="1" t="n">
        <v>45914</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43803-2023</t>
        </is>
      </c>
      <c r="B516" s="1" t="n">
        <v>45187</v>
      </c>
      <c r="C516" s="1" t="n">
        <v>45914</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15789-2023</t>
        </is>
      </c>
      <c r="B517" s="1" t="n">
        <v>45021.71539351852</v>
      </c>
      <c r="C517" s="1" t="n">
        <v>45914</v>
      </c>
      <c r="D517" t="inlineStr">
        <is>
          <t>ÖREBRO LÄN</t>
        </is>
      </c>
      <c r="E517" t="inlineStr">
        <is>
          <t>ÖREBRO</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58539-2024</t>
        </is>
      </c>
      <c r="B518" s="1" t="n">
        <v>45635.45157407408</v>
      </c>
      <c r="C518" s="1" t="n">
        <v>45914</v>
      </c>
      <c r="D518" t="inlineStr">
        <is>
          <t>ÖREBRO LÄN</t>
        </is>
      </c>
      <c r="E518" t="inlineStr">
        <is>
          <t>ÖREBRO</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59757-2023</t>
        </is>
      </c>
      <c r="B519" s="1" t="n">
        <v>45257.40833333333</v>
      </c>
      <c r="C519" s="1" t="n">
        <v>45914</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17869-2024</t>
        </is>
      </c>
      <c r="B520" s="1" t="n">
        <v>45419</v>
      </c>
      <c r="C520" s="1" t="n">
        <v>45914</v>
      </c>
      <c r="D520" t="inlineStr">
        <is>
          <t>ÖREBRO LÄN</t>
        </is>
      </c>
      <c r="E520" t="inlineStr">
        <is>
          <t>ÖREBRO</t>
        </is>
      </c>
      <c r="G520" t="n">
        <v>3.7</v>
      </c>
      <c r="H520" t="n">
        <v>0</v>
      </c>
      <c r="I520" t="n">
        <v>0</v>
      </c>
      <c r="J520" t="n">
        <v>0</v>
      </c>
      <c r="K520" t="n">
        <v>0</v>
      </c>
      <c r="L520" t="n">
        <v>0</v>
      </c>
      <c r="M520" t="n">
        <v>0</v>
      </c>
      <c r="N520" t="n">
        <v>0</v>
      </c>
      <c r="O520" t="n">
        <v>0</v>
      </c>
      <c r="P520" t="n">
        <v>0</v>
      </c>
      <c r="Q520" t="n">
        <v>0</v>
      </c>
      <c r="R520" s="2" t="inlineStr"/>
    </row>
    <row r="521" ht="15" customHeight="1">
      <c r="A521" t="inlineStr">
        <is>
          <t>A 71272-2021</t>
        </is>
      </c>
      <c r="B521" s="1" t="n">
        <v>44539.61571759259</v>
      </c>
      <c r="C521" s="1" t="n">
        <v>45914</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4557-2023</t>
        </is>
      </c>
      <c r="B522" s="1" t="n">
        <v>44956.6655787037</v>
      </c>
      <c r="C522" s="1" t="n">
        <v>45914</v>
      </c>
      <c r="D522" t="inlineStr">
        <is>
          <t>ÖREBRO LÄN</t>
        </is>
      </c>
      <c r="E522" t="inlineStr">
        <is>
          <t>ÖREBRO</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60100-2022</t>
        </is>
      </c>
      <c r="B523" s="1" t="n">
        <v>44902</v>
      </c>
      <c r="C523" s="1" t="n">
        <v>45914</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17465-2023</t>
        </is>
      </c>
      <c r="B524" s="1" t="n">
        <v>45036</v>
      </c>
      <c r="C524" s="1" t="n">
        <v>45914</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28821-2025</t>
        </is>
      </c>
      <c r="B525" s="1" t="n">
        <v>45820</v>
      </c>
      <c r="C525" s="1" t="n">
        <v>45914</v>
      </c>
      <c r="D525" t="inlineStr">
        <is>
          <t>ÖREBRO LÄN</t>
        </is>
      </c>
      <c r="E525" t="inlineStr">
        <is>
          <t>ÖREBRO</t>
        </is>
      </c>
      <c r="G525" t="n">
        <v>12.6</v>
      </c>
      <c r="H525" t="n">
        <v>0</v>
      </c>
      <c r="I525" t="n">
        <v>0</v>
      </c>
      <c r="J525" t="n">
        <v>0</v>
      </c>
      <c r="K525" t="n">
        <v>0</v>
      </c>
      <c r="L525" t="n">
        <v>0</v>
      </c>
      <c r="M525" t="n">
        <v>0</v>
      </c>
      <c r="N525" t="n">
        <v>0</v>
      </c>
      <c r="O525" t="n">
        <v>0</v>
      </c>
      <c r="P525" t="n">
        <v>0</v>
      </c>
      <c r="Q525" t="n">
        <v>0</v>
      </c>
      <c r="R525" s="2" t="inlineStr"/>
    </row>
    <row r="526" ht="15" customHeight="1">
      <c r="A526" t="inlineStr">
        <is>
          <t>A 6213-2021</t>
        </is>
      </c>
      <c r="B526" s="1" t="n">
        <v>44232</v>
      </c>
      <c r="C526" s="1" t="n">
        <v>45914</v>
      </c>
      <c r="D526" t="inlineStr">
        <is>
          <t>ÖREBRO LÄN</t>
        </is>
      </c>
      <c r="E526" t="inlineStr">
        <is>
          <t>ÖREBRO</t>
        </is>
      </c>
      <c r="G526" t="n">
        <v>4</v>
      </c>
      <c r="H526" t="n">
        <v>0</v>
      </c>
      <c r="I526" t="n">
        <v>0</v>
      </c>
      <c r="J526" t="n">
        <v>0</v>
      </c>
      <c r="K526" t="n">
        <v>0</v>
      </c>
      <c r="L526" t="n">
        <v>0</v>
      </c>
      <c r="M526" t="n">
        <v>0</v>
      </c>
      <c r="N526" t="n">
        <v>0</v>
      </c>
      <c r="O526" t="n">
        <v>0</v>
      </c>
      <c r="P526" t="n">
        <v>0</v>
      </c>
      <c r="Q526" t="n">
        <v>0</v>
      </c>
      <c r="R526" s="2" t="inlineStr"/>
    </row>
    <row r="527" ht="15" customHeight="1">
      <c r="A527" t="inlineStr">
        <is>
          <t>A 52016-2024</t>
        </is>
      </c>
      <c r="B527" s="1" t="n">
        <v>45607.81917824074</v>
      </c>
      <c r="C527" s="1" t="n">
        <v>45914</v>
      </c>
      <c r="D527" t="inlineStr">
        <is>
          <t>ÖREBRO LÄN</t>
        </is>
      </c>
      <c r="E527" t="inlineStr">
        <is>
          <t>ÖREBRO</t>
        </is>
      </c>
      <c r="G527" t="n">
        <v>1.9</v>
      </c>
      <c r="H527" t="n">
        <v>0</v>
      </c>
      <c r="I527" t="n">
        <v>0</v>
      </c>
      <c r="J527" t="n">
        <v>0</v>
      </c>
      <c r="K527" t="n">
        <v>0</v>
      </c>
      <c r="L527" t="n">
        <v>0</v>
      </c>
      <c r="M527" t="n">
        <v>0</v>
      </c>
      <c r="N527" t="n">
        <v>0</v>
      </c>
      <c r="O527" t="n">
        <v>0</v>
      </c>
      <c r="P527" t="n">
        <v>0</v>
      </c>
      <c r="Q527" t="n">
        <v>0</v>
      </c>
      <c r="R527" s="2" t="inlineStr"/>
    </row>
    <row r="528" ht="15" customHeight="1">
      <c r="A528" t="inlineStr">
        <is>
          <t>A 35637-2025</t>
        </is>
      </c>
      <c r="B528" s="1" t="n">
        <v>45859.46859953704</v>
      </c>
      <c r="C528" s="1" t="n">
        <v>45914</v>
      </c>
      <c r="D528" t="inlineStr">
        <is>
          <t>ÖREBRO LÄN</t>
        </is>
      </c>
      <c r="E528" t="inlineStr">
        <is>
          <t>ÖREBRO</t>
        </is>
      </c>
      <c r="G528" t="n">
        <v>2.1</v>
      </c>
      <c r="H528" t="n">
        <v>0</v>
      </c>
      <c r="I528" t="n">
        <v>0</v>
      </c>
      <c r="J528" t="n">
        <v>0</v>
      </c>
      <c r="K528" t="n">
        <v>0</v>
      </c>
      <c r="L528" t="n">
        <v>0</v>
      </c>
      <c r="M528" t="n">
        <v>0</v>
      </c>
      <c r="N528" t="n">
        <v>0</v>
      </c>
      <c r="O528" t="n">
        <v>0</v>
      </c>
      <c r="P528" t="n">
        <v>0</v>
      </c>
      <c r="Q528" t="n">
        <v>0</v>
      </c>
      <c r="R528" s="2" t="inlineStr"/>
    </row>
    <row r="529" ht="15" customHeight="1">
      <c r="A529" t="inlineStr">
        <is>
          <t>A 41722-2025</t>
        </is>
      </c>
      <c r="B529" s="1" t="n">
        <v>45902.44993055556</v>
      </c>
      <c r="C529" s="1" t="n">
        <v>45914</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41669-2025</t>
        </is>
      </c>
      <c r="B530" s="1" t="n">
        <v>45902.36149305556</v>
      </c>
      <c r="C530" s="1" t="n">
        <v>45914</v>
      </c>
      <c r="D530" t="inlineStr">
        <is>
          <t>ÖREBRO LÄN</t>
        </is>
      </c>
      <c r="E530" t="inlineStr">
        <is>
          <t>ÖREBRO</t>
        </is>
      </c>
      <c r="G530" t="n">
        <v>2.8</v>
      </c>
      <c r="H530" t="n">
        <v>0</v>
      </c>
      <c r="I530" t="n">
        <v>0</v>
      </c>
      <c r="J530" t="n">
        <v>0</v>
      </c>
      <c r="K530" t="n">
        <v>0</v>
      </c>
      <c r="L530" t="n">
        <v>0</v>
      </c>
      <c r="M530" t="n">
        <v>0</v>
      </c>
      <c r="N530" t="n">
        <v>0</v>
      </c>
      <c r="O530" t="n">
        <v>0</v>
      </c>
      <c r="P530" t="n">
        <v>0</v>
      </c>
      <c r="Q530" t="n">
        <v>0</v>
      </c>
      <c r="R530" s="2" t="inlineStr"/>
    </row>
    <row r="531" ht="15" customHeight="1">
      <c r="A531" t="inlineStr">
        <is>
          <t>A 41412-2025</t>
        </is>
      </c>
      <c r="B531" s="1" t="n">
        <v>45901.3549537037</v>
      </c>
      <c r="C531" s="1" t="n">
        <v>45914</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52477-2024</t>
        </is>
      </c>
      <c r="B532" s="1" t="n">
        <v>45609</v>
      </c>
      <c r="C532" s="1" t="n">
        <v>45914</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53558-2023</t>
        </is>
      </c>
      <c r="B533" s="1" t="n">
        <v>45230.47266203703</v>
      </c>
      <c r="C533" s="1" t="n">
        <v>45914</v>
      </c>
      <c r="D533" t="inlineStr">
        <is>
          <t>ÖREBRO LÄN</t>
        </is>
      </c>
      <c r="E533" t="inlineStr">
        <is>
          <t>ÖREBRO</t>
        </is>
      </c>
      <c r="F533" t="inlineStr">
        <is>
          <t>Övriga Aktiebolag</t>
        </is>
      </c>
      <c r="G533" t="n">
        <v>4.7</v>
      </c>
      <c r="H533" t="n">
        <v>0</v>
      </c>
      <c r="I533" t="n">
        <v>0</v>
      </c>
      <c r="J533" t="n">
        <v>0</v>
      </c>
      <c r="K533" t="n">
        <v>0</v>
      </c>
      <c r="L533" t="n">
        <v>0</v>
      </c>
      <c r="M533" t="n">
        <v>0</v>
      </c>
      <c r="N533" t="n">
        <v>0</v>
      </c>
      <c r="O533" t="n">
        <v>0</v>
      </c>
      <c r="P533" t="n">
        <v>0</v>
      </c>
      <c r="Q533" t="n">
        <v>0</v>
      </c>
      <c r="R533" s="2" t="inlineStr"/>
    </row>
    <row r="534" ht="15" customHeight="1">
      <c r="A534" t="inlineStr">
        <is>
          <t>A 35843-2022</t>
        </is>
      </c>
      <c r="B534" s="1" t="n">
        <v>44802</v>
      </c>
      <c r="C534" s="1" t="n">
        <v>45914</v>
      </c>
      <c r="D534" t="inlineStr">
        <is>
          <t>ÖREBRO LÄN</t>
        </is>
      </c>
      <c r="E534" t="inlineStr">
        <is>
          <t>ÖREBRO</t>
        </is>
      </c>
      <c r="G534" t="n">
        <v>2.4</v>
      </c>
      <c r="H534" t="n">
        <v>0</v>
      </c>
      <c r="I534" t="n">
        <v>0</v>
      </c>
      <c r="J534" t="n">
        <v>0</v>
      </c>
      <c r="K534" t="n">
        <v>0</v>
      </c>
      <c r="L534" t="n">
        <v>0</v>
      </c>
      <c r="M534" t="n">
        <v>0</v>
      </c>
      <c r="N534" t="n">
        <v>0</v>
      </c>
      <c r="O534" t="n">
        <v>0</v>
      </c>
      <c r="P534" t="n">
        <v>0</v>
      </c>
      <c r="Q534" t="n">
        <v>0</v>
      </c>
      <c r="R534" s="2" t="inlineStr"/>
    </row>
    <row r="535" ht="15" customHeight="1">
      <c r="A535" t="inlineStr">
        <is>
          <t>A 35928-2025</t>
        </is>
      </c>
      <c r="B535" s="1" t="n">
        <v>45862</v>
      </c>
      <c r="C535" s="1" t="n">
        <v>45914</v>
      </c>
      <c r="D535" t="inlineStr">
        <is>
          <t>ÖREBRO LÄN</t>
        </is>
      </c>
      <c r="E535" t="inlineStr">
        <is>
          <t>ÖREBRO</t>
        </is>
      </c>
      <c r="G535" t="n">
        <v>4.4</v>
      </c>
      <c r="H535" t="n">
        <v>0</v>
      </c>
      <c r="I535" t="n">
        <v>0</v>
      </c>
      <c r="J535" t="n">
        <v>0</v>
      </c>
      <c r="K535" t="n">
        <v>0</v>
      </c>
      <c r="L535" t="n">
        <v>0</v>
      </c>
      <c r="M535" t="n">
        <v>0</v>
      </c>
      <c r="N535" t="n">
        <v>0</v>
      </c>
      <c r="O535" t="n">
        <v>0</v>
      </c>
      <c r="P535" t="n">
        <v>0</v>
      </c>
      <c r="Q535" t="n">
        <v>0</v>
      </c>
      <c r="R535" s="2" t="inlineStr"/>
    </row>
    <row r="536" ht="15" customHeight="1">
      <c r="A536" t="inlineStr">
        <is>
          <t>A 55453-2024</t>
        </is>
      </c>
      <c r="B536" s="1" t="n">
        <v>45622.42097222222</v>
      </c>
      <c r="C536" s="1" t="n">
        <v>45914</v>
      </c>
      <c r="D536" t="inlineStr">
        <is>
          <t>ÖREBRO LÄN</t>
        </is>
      </c>
      <c r="E536" t="inlineStr">
        <is>
          <t>ÖREBRO</t>
        </is>
      </c>
      <c r="G536" t="n">
        <v>8.5</v>
      </c>
      <c r="H536" t="n">
        <v>0</v>
      </c>
      <c r="I536" t="n">
        <v>0</v>
      </c>
      <c r="J536" t="n">
        <v>0</v>
      </c>
      <c r="K536" t="n">
        <v>0</v>
      </c>
      <c r="L536" t="n">
        <v>0</v>
      </c>
      <c r="M536" t="n">
        <v>0</v>
      </c>
      <c r="N536" t="n">
        <v>0</v>
      </c>
      <c r="O536" t="n">
        <v>0</v>
      </c>
      <c r="P536" t="n">
        <v>0</v>
      </c>
      <c r="Q536" t="n">
        <v>0</v>
      </c>
      <c r="R536" s="2" t="inlineStr"/>
    </row>
    <row r="537" ht="15" customHeight="1">
      <c r="A537" t="inlineStr">
        <is>
          <t>A 51373-2023</t>
        </is>
      </c>
      <c r="B537" s="1" t="n">
        <v>45213</v>
      </c>
      <c r="C537" s="1" t="n">
        <v>45914</v>
      </c>
      <c r="D537" t="inlineStr">
        <is>
          <t>ÖREBRO LÄN</t>
        </is>
      </c>
      <c r="E537" t="inlineStr">
        <is>
          <t>ÖREBRO</t>
        </is>
      </c>
      <c r="G537" t="n">
        <v>5.9</v>
      </c>
      <c r="H537" t="n">
        <v>0</v>
      </c>
      <c r="I537" t="n">
        <v>0</v>
      </c>
      <c r="J537" t="n">
        <v>0</v>
      </c>
      <c r="K537" t="n">
        <v>0</v>
      </c>
      <c r="L537" t="n">
        <v>0</v>
      </c>
      <c r="M537" t="n">
        <v>0</v>
      </c>
      <c r="N537" t="n">
        <v>0</v>
      </c>
      <c r="O537" t="n">
        <v>0</v>
      </c>
      <c r="P537" t="n">
        <v>0</v>
      </c>
      <c r="Q537" t="n">
        <v>0</v>
      </c>
      <c r="R537" s="2" t="inlineStr"/>
    </row>
    <row r="538" ht="15" customHeight="1">
      <c r="A538" t="inlineStr">
        <is>
          <t>A 1257-2022</t>
        </is>
      </c>
      <c r="B538" s="1" t="n">
        <v>44572</v>
      </c>
      <c r="C538" s="1" t="n">
        <v>45914</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40656-2023</t>
        </is>
      </c>
      <c r="B539" s="1" t="n">
        <v>45170</v>
      </c>
      <c r="C539" s="1" t="n">
        <v>45914</v>
      </c>
      <c r="D539" t="inlineStr">
        <is>
          <t>ÖREBRO LÄN</t>
        </is>
      </c>
      <c r="E539" t="inlineStr">
        <is>
          <t>ÖREBRO</t>
        </is>
      </c>
      <c r="F539" t="inlineStr">
        <is>
          <t>Övriga Aktiebolag</t>
        </is>
      </c>
      <c r="G539" t="n">
        <v>0.8</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45914</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32025-2024</t>
        </is>
      </c>
      <c r="B541" s="1" t="n">
        <v>45510.65754629629</v>
      </c>
      <c r="C541" s="1" t="n">
        <v>45914</v>
      </c>
      <c r="D541" t="inlineStr">
        <is>
          <t>ÖREBRO LÄN</t>
        </is>
      </c>
      <c r="E541" t="inlineStr">
        <is>
          <t>ÖREBRO</t>
        </is>
      </c>
      <c r="G541" t="n">
        <v>4</v>
      </c>
      <c r="H541" t="n">
        <v>0</v>
      </c>
      <c r="I541" t="n">
        <v>0</v>
      </c>
      <c r="J541" t="n">
        <v>0</v>
      </c>
      <c r="K541" t="n">
        <v>0</v>
      </c>
      <c r="L541" t="n">
        <v>0</v>
      </c>
      <c r="M541" t="n">
        <v>0</v>
      </c>
      <c r="N541" t="n">
        <v>0</v>
      </c>
      <c r="O541" t="n">
        <v>0</v>
      </c>
      <c r="P541" t="n">
        <v>0</v>
      </c>
      <c r="Q541" t="n">
        <v>0</v>
      </c>
      <c r="R541" s="2" t="inlineStr"/>
    </row>
    <row r="542" ht="15" customHeight="1">
      <c r="A542" t="inlineStr">
        <is>
          <t>A 71288-2021</t>
        </is>
      </c>
      <c r="B542" s="1" t="n">
        <v>44539.62481481482</v>
      </c>
      <c r="C542" s="1" t="n">
        <v>45914</v>
      </c>
      <c r="D542" t="inlineStr">
        <is>
          <t>ÖREBRO LÄN</t>
        </is>
      </c>
      <c r="E542" t="inlineStr">
        <is>
          <t>ÖREBRO</t>
        </is>
      </c>
      <c r="G542" t="n">
        <v>3.9</v>
      </c>
      <c r="H542" t="n">
        <v>0</v>
      </c>
      <c r="I542" t="n">
        <v>0</v>
      </c>
      <c r="J542" t="n">
        <v>0</v>
      </c>
      <c r="K542" t="n">
        <v>0</v>
      </c>
      <c r="L542" t="n">
        <v>0</v>
      </c>
      <c r="M542" t="n">
        <v>0</v>
      </c>
      <c r="N542" t="n">
        <v>0</v>
      </c>
      <c r="O542" t="n">
        <v>0</v>
      </c>
      <c r="P542" t="n">
        <v>0</v>
      </c>
      <c r="Q542" t="n">
        <v>0</v>
      </c>
      <c r="R542" s="2" t="inlineStr"/>
    </row>
    <row r="543" ht="15" customHeight="1">
      <c r="A543" t="inlineStr">
        <is>
          <t>A 10830-2023</t>
        </is>
      </c>
      <c r="B543" s="1" t="n">
        <v>44990.89752314815</v>
      </c>
      <c r="C543" s="1" t="n">
        <v>45914</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7692-2023</t>
        </is>
      </c>
      <c r="B544" s="1" t="n">
        <v>44972.7762962963</v>
      </c>
      <c r="C544" s="1" t="n">
        <v>45914</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41678-2024</t>
        </is>
      </c>
      <c r="B545" s="1" t="n">
        <v>45560</v>
      </c>
      <c r="C545" s="1" t="n">
        <v>45914</v>
      </c>
      <c r="D545" t="inlineStr">
        <is>
          <t>ÖREBRO LÄN</t>
        </is>
      </c>
      <c r="E545" t="inlineStr">
        <is>
          <t>ÖREBRO</t>
        </is>
      </c>
      <c r="G545" t="n">
        <v>11.3</v>
      </c>
      <c r="H545" t="n">
        <v>0</v>
      </c>
      <c r="I545" t="n">
        <v>0</v>
      </c>
      <c r="J545" t="n">
        <v>0</v>
      </c>
      <c r="K545" t="n">
        <v>0</v>
      </c>
      <c r="L545" t="n">
        <v>0</v>
      </c>
      <c r="M545" t="n">
        <v>0</v>
      </c>
      <c r="N545" t="n">
        <v>0</v>
      </c>
      <c r="O545" t="n">
        <v>0</v>
      </c>
      <c r="P545" t="n">
        <v>0</v>
      </c>
      <c r="Q545" t="n">
        <v>0</v>
      </c>
      <c r="R545" s="2" t="inlineStr"/>
    </row>
    <row r="546" ht="15" customHeight="1">
      <c r="A546" t="inlineStr">
        <is>
          <t>A 31240-2023</t>
        </is>
      </c>
      <c r="B546" s="1" t="n">
        <v>45114</v>
      </c>
      <c r="C546" s="1" t="n">
        <v>45914</v>
      </c>
      <c r="D546" t="inlineStr">
        <is>
          <t>ÖREBRO LÄN</t>
        </is>
      </c>
      <c r="E546" t="inlineStr">
        <is>
          <t>ÖREBRO</t>
        </is>
      </c>
      <c r="F546" t="inlineStr">
        <is>
          <t>Allmännings- och besparingsskogar</t>
        </is>
      </c>
      <c r="G546" t="n">
        <v>6.2</v>
      </c>
      <c r="H546" t="n">
        <v>0</v>
      </c>
      <c r="I546" t="n">
        <v>0</v>
      </c>
      <c r="J546" t="n">
        <v>0</v>
      </c>
      <c r="K546" t="n">
        <v>0</v>
      </c>
      <c r="L546" t="n">
        <v>0</v>
      </c>
      <c r="M546" t="n">
        <v>0</v>
      </c>
      <c r="N546" t="n">
        <v>0</v>
      </c>
      <c r="O546" t="n">
        <v>0</v>
      </c>
      <c r="P546" t="n">
        <v>0</v>
      </c>
      <c r="Q546" t="n">
        <v>0</v>
      </c>
      <c r="R546" s="2" t="inlineStr"/>
    </row>
    <row r="547" ht="15" customHeight="1">
      <c r="A547" t="inlineStr">
        <is>
          <t>A 50026-2024</t>
        </is>
      </c>
      <c r="B547" s="1" t="n">
        <v>45599.60541666667</v>
      </c>
      <c r="C547" s="1" t="n">
        <v>45914</v>
      </c>
      <c r="D547" t="inlineStr">
        <is>
          <t>ÖREBRO LÄN</t>
        </is>
      </c>
      <c r="E547" t="inlineStr">
        <is>
          <t>ÖREBRO</t>
        </is>
      </c>
      <c r="G547" t="n">
        <v>2.2</v>
      </c>
      <c r="H547" t="n">
        <v>0</v>
      </c>
      <c r="I547" t="n">
        <v>0</v>
      </c>
      <c r="J547" t="n">
        <v>0</v>
      </c>
      <c r="K547" t="n">
        <v>0</v>
      </c>
      <c r="L547" t="n">
        <v>0</v>
      </c>
      <c r="M547" t="n">
        <v>0</v>
      </c>
      <c r="N547" t="n">
        <v>0</v>
      </c>
      <c r="O547" t="n">
        <v>0</v>
      </c>
      <c r="P547" t="n">
        <v>0</v>
      </c>
      <c r="Q547" t="n">
        <v>0</v>
      </c>
      <c r="R547" s="2" t="inlineStr"/>
    </row>
    <row r="548" ht="15" customHeight="1">
      <c r="A548" t="inlineStr">
        <is>
          <t>A 18449-2023</t>
        </is>
      </c>
      <c r="B548" s="1" t="n">
        <v>45042.5203125</v>
      </c>
      <c r="C548" s="1" t="n">
        <v>45914</v>
      </c>
      <c r="D548" t="inlineStr">
        <is>
          <t>ÖREBRO LÄN</t>
        </is>
      </c>
      <c r="E548" t="inlineStr">
        <is>
          <t>ÖREBRO</t>
        </is>
      </c>
      <c r="G548" t="n">
        <v>1.5</v>
      </c>
      <c r="H548" t="n">
        <v>0</v>
      </c>
      <c r="I548" t="n">
        <v>0</v>
      </c>
      <c r="J548" t="n">
        <v>0</v>
      </c>
      <c r="K548" t="n">
        <v>0</v>
      </c>
      <c r="L548" t="n">
        <v>0</v>
      </c>
      <c r="M548" t="n">
        <v>0</v>
      </c>
      <c r="N548" t="n">
        <v>0</v>
      </c>
      <c r="O548" t="n">
        <v>0</v>
      </c>
      <c r="P548" t="n">
        <v>0</v>
      </c>
      <c r="Q548" t="n">
        <v>0</v>
      </c>
      <c r="R548" s="2" t="inlineStr"/>
    </row>
    <row r="549" ht="15" customHeight="1">
      <c r="A549" t="inlineStr">
        <is>
          <t>A 16936-2023</t>
        </is>
      </c>
      <c r="B549" s="1" t="n">
        <v>45033.63005787037</v>
      </c>
      <c r="C549" s="1" t="n">
        <v>45914</v>
      </c>
      <c r="D549" t="inlineStr">
        <is>
          <t>ÖREBRO LÄN</t>
        </is>
      </c>
      <c r="E549" t="inlineStr">
        <is>
          <t>ÖREBRO</t>
        </is>
      </c>
      <c r="G549" t="n">
        <v>2</v>
      </c>
      <c r="H549" t="n">
        <v>0</v>
      </c>
      <c r="I549" t="n">
        <v>0</v>
      </c>
      <c r="J549" t="n">
        <v>0</v>
      </c>
      <c r="K549" t="n">
        <v>0</v>
      </c>
      <c r="L549" t="n">
        <v>0</v>
      </c>
      <c r="M549" t="n">
        <v>0</v>
      </c>
      <c r="N549" t="n">
        <v>0</v>
      </c>
      <c r="O549" t="n">
        <v>0</v>
      </c>
      <c r="P549" t="n">
        <v>0</v>
      </c>
      <c r="Q549" t="n">
        <v>0</v>
      </c>
      <c r="R549" s="2" t="inlineStr"/>
    </row>
    <row r="550" ht="15" customHeight="1">
      <c r="A550" t="inlineStr">
        <is>
          <t>A 58145-2024</t>
        </is>
      </c>
      <c r="B550" s="1" t="n">
        <v>45632.43230324074</v>
      </c>
      <c r="C550" s="1" t="n">
        <v>45914</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36448-2025</t>
        </is>
      </c>
      <c r="B551" s="1" t="n">
        <v>45869.41929398148</v>
      </c>
      <c r="C551" s="1" t="n">
        <v>45914</v>
      </c>
      <c r="D551" t="inlineStr">
        <is>
          <t>ÖREBRO LÄN</t>
        </is>
      </c>
      <c r="E551" t="inlineStr">
        <is>
          <t>ÖREBRO</t>
        </is>
      </c>
      <c r="F551" t="inlineStr">
        <is>
          <t>Övriga Aktiebolag</t>
        </is>
      </c>
      <c r="G551" t="n">
        <v>4.3</v>
      </c>
      <c r="H551" t="n">
        <v>0</v>
      </c>
      <c r="I551" t="n">
        <v>0</v>
      </c>
      <c r="J551" t="n">
        <v>0</v>
      </c>
      <c r="K551" t="n">
        <v>0</v>
      </c>
      <c r="L551" t="n">
        <v>0</v>
      </c>
      <c r="M551" t="n">
        <v>0</v>
      </c>
      <c r="N551" t="n">
        <v>0</v>
      </c>
      <c r="O551" t="n">
        <v>0</v>
      </c>
      <c r="P551" t="n">
        <v>0</v>
      </c>
      <c r="Q551" t="n">
        <v>0</v>
      </c>
      <c r="R551" s="2" t="inlineStr"/>
    </row>
    <row r="552" ht="15" customHeight="1">
      <c r="A552" t="inlineStr">
        <is>
          <t>A 36447-2025</t>
        </is>
      </c>
      <c r="B552" s="1" t="n">
        <v>45869.41387731482</v>
      </c>
      <c r="C552" s="1" t="n">
        <v>45914</v>
      </c>
      <c r="D552" t="inlineStr">
        <is>
          <t>ÖREBRO LÄN</t>
        </is>
      </c>
      <c r="E552" t="inlineStr">
        <is>
          <t>ÖREBRO</t>
        </is>
      </c>
      <c r="F552" t="inlineStr">
        <is>
          <t>Övriga Aktiebolag</t>
        </is>
      </c>
      <c r="G552" t="n">
        <v>12.6</v>
      </c>
      <c r="H552" t="n">
        <v>0</v>
      </c>
      <c r="I552" t="n">
        <v>0</v>
      </c>
      <c r="J552" t="n">
        <v>0</v>
      </c>
      <c r="K552" t="n">
        <v>0</v>
      </c>
      <c r="L552" t="n">
        <v>0</v>
      </c>
      <c r="M552" t="n">
        <v>0</v>
      </c>
      <c r="N552" t="n">
        <v>0</v>
      </c>
      <c r="O552" t="n">
        <v>0</v>
      </c>
      <c r="P552" t="n">
        <v>0</v>
      </c>
      <c r="Q552" t="n">
        <v>0</v>
      </c>
      <c r="R552" s="2" t="inlineStr"/>
    </row>
    <row r="553" ht="15" customHeight="1">
      <c r="A553" t="inlineStr">
        <is>
          <t>A 64730-2023</t>
        </is>
      </c>
      <c r="B553" s="1" t="n">
        <v>45281</v>
      </c>
      <c r="C553" s="1" t="n">
        <v>45914</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44284-2022</t>
        </is>
      </c>
      <c r="B554" s="1" t="n">
        <v>44839.59194444444</v>
      </c>
      <c r="C554" s="1" t="n">
        <v>45914</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14544-2023</t>
        </is>
      </c>
      <c r="B555" s="1" t="n">
        <v>45013</v>
      </c>
      <c r="C555" s="1" t="n">
        <v>45914</v>
      </c>
      <c r="D555" t="inlineStr">
        <is>
          <t>ÖREBRO LÄN</t>
        </is>
      </c>
      <c r="E555" t="inlineStr">
        <is>
          <t>ÖREBRO</t>
        </is>
      </c>
      <c r="G555" t="n">
        <v>0.5</v>
      </c>
      <c r="H555" t="n">
        <v>0</v>
      </c>
      <c r="I555" t="n">
        <v>0</v>
      </c>
      <c r="J555" t="n">
        <v>0</v>
      </c>
      <c r="K555" t="n">
        <v>0</v>
      </c>
      <c r="L555" t="n">
        <v>0</v>
      </c>
      <c r="M555" t="n">
        <v>0</v>
      </c>
      <c r="N555" t="n">
        <v>0</v>
      </c>
      <c r="O555" t="n">
        <v>0</v>
      </c>
      <c r="P555" t="n">
        <v>0</v>
      </c>
      <c r="Q555" t="n">
        <v>0</v>
      </c>
      <c r="R555" s="2" t="inlineStr"/>
    </row>
    <row r="556" ht="15" customHeight="1">
      <c r="A556" t="inlineStr">
        <is>
          <t>A 15682-2023</t>
        </is>
      </c>
      <c r="B556" s="1" t="n">
        <v>45021</v>
      </c>
      <c r="C556" s="1" t="n">
        <v>45914</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4416-2023</t>
        </is>
      </c>
      <c r="B557" s="1" t="n">
        <v>44956</v>
      </c>
      <c r="C557" s="1" t="n">
        <v>45914</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49062-2023</t>
        </is>
      </c>
      <c r="B558" s="1" t="n">
        <v>45210.35119212963</v>
      </c>
      <c r="C558" s="1" t="n">
        <v>45914</v>
      </c>
      <c r="D558" t="inlineStr">
        <is>
          <t>ÖREBRO LÄN</t>
        </is>
      </c>
      <c r="E558" t="inlineStr">
        <is>
          <t>ÖREBRO</t>
        </is>
      </c>
      <c r="G558" t="n">
        <v>1.6</v>
      </c>
      <c r="H558" t="n">
        <v>0</v>
      </c>
      <c r="I558" t="n">
        <v>0</v>
      </c>
      <c r="J558" t="n">
        <v>0</v>
      </c>
      <c r="K558" t="n">
        <v>0</v>
      </c>
      <c r="L558" t="n">
        <v>0</v>
      </c>
      <c r="M558" t="n">
        <v>0</v>
      </c>
      <c r="N558" t="n">
        <v>0</v>
      </c>
      <c r="O558" t="n">
        <v>0</v>
      </c>
      <c r="P558" t="n">
        <v>0</v>
      </c>
      <c r="Q558" t="n">
        <v>0</v>
      </c>
      <c r="R558" s="2" t="inlineStr"/>
    </row>
    <row r="559" ht="15" customHeight="1">
      <c r="A559" t="inlineStr">
        <is>
          <t>A 32321-2023</t>
        </is>
      </c>
      <c r="B559" s="1" t="n">
        <v>45120</v>
      </c>
      <c r="C559" s="1" t="n">
        <v>45914</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2095-2025</t>
        </is>
      </c>
      <c r="B560" s="1" t="n">
        <v>45672</v>
      </c>
      <c r="C560" s="1" t="n">
        <v>45914</v>
      </c>
      <c r="D560" t="inlineStr">
        <is>
          <t>ÖREBRO LÄN</t>
        </is>
      </c>
      <c r="E560" t="inlineStr">
        <is>
          <t>ÖREBRO</t>
        </is>
      </c>
      <c r="G560" t="n">
        <v>1.2</v>
      </c>
      <c r="H560" t="n">
        <v>0</v>
      </c>
      <c r="I560" t="n">
        <v>0</v>
      </c>
      <c r="J560" t="n">
        <v>0</v>
      </c>
      <c r="K560" t="n">
        <v>0</v>
      </c>
      <c r="L560" t="n">
        <v>0</v>
      </c>
      <c r="M560" t="n">
        <v>0</v>
      </c>
      <c r="N560" t="n">
        <v>0</v>
      </c>
      <c r="O560" t="n">
        <v>0</v>
      </c>
      <c r="P560" t="n">
        <v>0</v>
      </c>
      <c r="Q560" t="n">
        <v>0</v>
      </c>
      <c r="R560" s="2" t="inlineStr"/>
    </row>
    <row r="561" ht="15" customHeight="1">
      <c r="A561" t="inlineStr">
        <is>
          <t>A 71275-2021</t>
        </is>
      </c>
      <c r="B561" s="1" t="n">
        <v>44539</v>
      </c>
      <c r="C561" s="1" t="n">
        <v>45914</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58608-2024</t>
        </is>
      </c>
      <c r="B562" s="1" t="n">
        <v>45635.55185185185</v>
      </c>
      <c r="C562" s="1" t="n">
        <v>45914</v>
      </c>
      <c r="D562" t="inlineStr">
        <is>
          <t>ÖREBRO LÄN</t>
        </is>
      </c>
      <c r="E562" t="inlineStr">
        <is>
          <t>ÖREBRO</t>
        </is>
      </c>
      <c r="F562" t="inlineStr">
        <is>
          <t>Sveaskog</t>
        </is>
      </c>
      <c r="G562" t="n">
        <v>0.3</v>
      </c>
      <c r="H562" t="n">
        <v>0</v>
      </c>
      <c r="I562" t="n">
        <v>0</v>
      </c>
      <c r="J562" t="n">
        <v>0</v>
      </c>
      <c r="K562" t="n">
        <v>0</v>
      </c>
      <c r="L562" t="n">
        <v>0</v>
      </c>
      <c r="M562" t="n">
        <v>0</v>
      </c>
      <c r="N562" t="n">
        <v>0</v>
      </c>
      <c r="O562" t="n">
        <v>0</v>
      </c>
      <c r="P562" t="n">
        <v>0</v>
      </c>
      <c r="Q562" t="n">
        <v>0</v>
      </c>
      <c r="R562" s="2" t="inlineStr"/>
    </row>
    <row r="563" ht="15" customHeight="1">
      <c r="A563" t="inlineStr">
        <is>
          <t>A 2153-2023</t>
        </is>
      </c>
      <c r="B563" s="1" t="n">
        <v>44941</v>
      </c>
      <c r="C563" s="1" t="n">
        <v>45914</v>
      </c>
      <c r="D563" t="inlineStr">
        <is>
          <t>ÖREBRO LÄN</t>
        </is>
      </c>
      <c r="E563" t="inlineStr">
        <is>
          <t>ÖREBRO</t>
        </is>
      </c>
      <c r="G563" t="n">
        <v>6.3</v>
      </c>
      <c r="H563" t="n">
        <v>0</v>
      </c>
      <c r="I563" t="n">
        <v>0</v>
      </c>
      <c r="J563" t="n">
        <v>0</v>
      </c>
      <c r="K563" t="n">
        <v>0</v>
      </c>
      <c r="L563" t="n">
        <v>0</v>
      </c>
      <c r="M563" t="n">
        <v>0</v>
      </c>
      <c r="N563" t="n">
        <v>0</v>
      </c>
      <c r="O563" t="n">
        <v>0</v>
      </c>
      <c r="P563" t="n">
        <v>0</v>
      </c>
      <c r="Q563" t="n">
        <v>0</v>
      </c>
      <c r="R563" s="2" t="inlineStr"/>
    </row>
    <row r="564" ht="15" customHeight="1">
      <c r="A564" t="inlineStr">
        <is>
          <t>A 2069-2025</t>
        </is>
      </c>
      <c r="B564" s="1" t="n">
        <v>45672.56614583333</v>
      </c>
      <c r="C564" s="1" t="n">
        <v>45914</v>
      </c>
      <c r="D564" t="inlineStr">
        <is>
          <t>ÖREBRO LÄN</t>
        </is>
      </c>
      <c r="E564" t="inlineStr">
        <is>
          <t>ÖREBRO</t>
        </is>
      </c>
      <c r="G564" t="n">
        <v>3.8</v>
      </c>
      <c r="H564" t="n">
        <v>0</v>
      </c>
      <c r="I564" t="n">
        <v>0</v>
      </c>
      <c r="J564" t="n">
        <v>0</v>
      </c>
      <c r="K564" t="n">
        <v>0</v>
      </c>
      <c r="L564" t="n">
        <v>0</v>
      </c>
      <c r="M564" t="n">
        <v>0</v>
      </c>
      <c r="N564" t="n">
        <v>0</v>
      </c>
      <c r="O564" t="n">
        <v>0</v>
      </c>
      <c r="P564" t="n">
        <v>0</v>
      </c>
      <c r="Q564" t="n">
        <v>0</v>
      </c>
      <c r="R564" s="2" t="inlineStr"/>
    </row>
    <row r="565" ht="15" customHeight="1">
      <c r="A565" t="inlineStr">
        <is>
          <t>A 852-2025</t>
        </is>
      </c>
      <c r="B565" s="1" t="n">
        <v>45665.60148148148</v>
      </c>
      <c r="C565" s="1" t="n">
        <v>45914</v>
      </c>
      <c r="D565" t="inlineStr">
        <is>
          <t>ÖREBRO LÄN</t>
        </is>
      </c>
      <c r="E565" t="inlineStr">
        <is>
          <t>ÖREBRO</t>
        </is>
      </c>
      <c r="G565" t="n">
        <v>2.9</v>
      </c>
      <c r="H565" t="n">
        <v>0</v>
      </c>
      <c r="I565" t="n">
        <v>0</v>
      </c>
      <c r="J565" t="n">
        <v>0</v>
      </c>
      <c r="K565" t="n">
        <v>0</v>
      </c>
      <c r="L565" t="n">
        <v>0</v>
      </c>
      <c r="M565" t="n">
        <v>0</v>
      </c>
      <c r="N565" t="n">
        <v>0</v>
      </c>
      <c r="O565" t="n">
        <v>0</v>
      </c>
      <c r="P565" t="n">
        <v>0</v>
      </c>
      <c r="Q565" t="n">
        <v>0</v>
      </c>
      <c r="R565" s="2" t="inlineStr"/>
    </row>
    <row r="566" ht="15" customHeight="1">
      <c r="A566" t="inlineStr">
        <is>
          <t>A 50398-2022</t>
        </is>
      </c>
      <c r="B566" s="1" t="n">
        <v>44861</v>
      </c>
      <c r="C566" s="1" t="n">
        <v>45914</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52441-2024</t>
        </is>
      </c>
      <c r="B567" s="1" t="n">
        <v>45609.48451388889</v>
      </c>
      <c r="C567" s="1" t="n">
        <v>45914</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52499-2024</t>
        </is>
      </c>
      <c r="B568" s="1" t="n">
        <v>45609.58422453704</v>
      </c>
      <c r="C568" s="1" t="n">
        <v>45914</v>
      </c>
      <c r="D568" t="inlineStr">
        <is>
          <t>ÖREBRO LÄN</t>
        </is>
      </c>
      <c r="E568" t="inlineStr">
        <is>
          <t>ÖREBRO</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8008-2024</t>
        </is>
      </c>
      <c r="B569" s="1" t="n">
        <v>45350.6794212963</v>
      </c>
      <c r="C569" s="1" t="n">
        <v>45914</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18181-2024</t>
        </is>
      </c>
      <c r="B570" s="1" t="n">
        <v>45420.64561342593</v>
      </c>
      <c r="C570" s="1" t="n">
        <v>45914</v>
      </c>
      <c r="D570" t="inlineStr">
        <is>
          <t>ÖREBRO LÄN</t>
        </is>
      </c>
      <c r="E570" t="inlineStr">
        <is>
          <t>ÖREBRO</t>
        </is>
      </c>
      <c r="G570" t="n">
        <v>7.6</v>
      </c>
      <c r="H570" t="n">
        <v>0</v>
      </c>
      <c r="I570" t="n">
        <v>0</v>
      </c>
      <c r="J570" t="n">
        <v>0</v>
      </c>
      <c r="K570" t="n">
        <v>0</v>
      </c>
      <c r="L570" t="n">
        <v>0</v>
      </c>
      <c r="M570" t="n">
        <v>0</v>
      </c>
      <c r="N570" t="n">
        <v>0</v>
      </c>
      <c r="O570" t="n">
        <v>0</v>
      </c>
      <c r="P570" t="n">
        <v>0</v>
      </c>
      <c r="Q570" t="n">
        <v>0</v>
      </c>
      <c r="R570" s="2" t="inlineStr"/>
    </row>
    <row r="571" ht="15" customHeight="1">
      <c r="A571" t="inlineStr">
        <is>
          <t>A 38415-2023</t>
        </is>
      </c>
      <c r="B571" s="1" t="n">
        <v>45162.35502314815</v>
      </c>
      <c r="C571" s="1" t="n">
        <v>45914</v>
      </c>
      <c r="D571" t="inlineStr">
        <is>
          <t>ÖREBRO LÄN</t>
        </is>
      </c>
      <c r="E571" t="inlineStr">
        <is>
          <t>ÖREBRO</t>
        </is>
      </c>
      <c r="G571" t="n">
        <v>2.6</v>
      </c>
      <c r="H571" t="n">
        <v>0</v>
      </c>
      <c r="I571" t="n">
        <v>0</v>
      </c>
      <c r="J571" t="n">
        <v>0</v>
      </c>
      <c r="K571" t="n">
        <v>0</v>
      </c>
      <c r="L571" t="n">
        <v>0</v>
      </c>
      <c r="M571" t="n">
        <v>0</v>
      </c>
      <c r="N571" t="n">
        <v>0</v>
      </c>
      <c r="O571" t="n">
        <v>0</v>
      </c>
      <c r="P571" t="n">
        <v>0</v>
      </c>
      <c r="Q571" t="n">
        <v>0</v>
      </c>
      <c r="R571" s="2" t="inlineStr"/>
    </row>
    <row r="572" ht="15" customHeight="1">
      <c r="A572" t="inlineStr">
        <is>
          <t>A 16374-2022</t>
        </is>
      </c>
      <c r="B572" s="1" t="n">
        <v>44671</v>
      </c>
      <c r="C572" s="1" t="n">
        <v>45914</v>
      </c>
      <c r="D572" t="inlineStr">
        <is>
          <t>ÖREBRO LÄN</t>
        </is>
      </c>
      <c r="E572" t="inlineStr">
        <is>
          <t>ÖREBRO</t>
        </is>
      </c>
      <c r="F572" t="inlineStr">
        <is>
          <t>Övriga Aktiebolag</t>
        </is>
      </c>
      <c r="G572" t="n">
        <v>30.3</v>
      </c>
      <c r="H572" t="n">
        <v>0</v>
      </c>
      <c r="I572" t="n">
        <v>0</v>
      </c>
      <c r="J572" t="n">
        <v>0</v>
      </c>
      <c r="K572" t="n">
        <v>0</v>
      </c>
      <c r="L572" t="n">
        <v>0</v>
      </c>
      <c r="M572" t="n">
        <v>0</v>
      </c>
      <c r="N572" t="n">
        <v>0</v>
      </c>
      <c r="O572" t="n">
        <v>0</v>
      </c>
      <c r="P572" t="n">
        <v>0</v>
      </c>
      <c r="Q572" t="n">
        <v>0</v>
      </c>
      <c r="R572" s="2" t="inlineStr"/>
    </row>
    <row r="573" ht="15" customHeight="1">
      <c r="A573" t="inlineStr">
        <is>
          <t>A 9704-2023</t>
        </is>
      </c>
      <c r="B573" s="1" t="n">
        <v>44984</v>
      </c>
      <c r="C573" s="1" t="n">
        <v>45914</v>
      </c>
      <c r="D573" t="inlineStr">
        <is>
          <t>ÖREBRO LÄN</t>
        </is>
      </c>
      <c r="E573" t="inlineStr">
        <is>
          <t>ÖREBRO</t>
        </is>
      </c>
      <c r="G573" t="n">
        <v>1</v>
      </c>
      <c r="H573" t="n">
        <v>0</v>
      </c>
      <c r="I573" t="n">
        <v>0</v>
      </c>
      <c r="J573" t="n">
        <v>0</v>
      </c>
      <c r="K573" t="n">
        <v>0</v>
      </c>
      <c r="L573" t="n">
        <v>0</v>
      </c>
      <c r="M573" t="n">
        <v>0</v>
      </c>
      <c r="N573" t="n">
        <v>0</v>
      </c>
      <c r="O573" t="n">
        <v>0</v>
      </c>
      <c r="P573" t="n">
        <v>0</v>
      </c>
      <c r="Q573" t="n">
        <v>0</v>
      </c>
      <c r="R573" s="2" t="inlineStr"/>
    </row>
    <row r="574" ht="15" customHeight="1">
      <c r="A574" t="inlineStr">
        <is>
          <t>A 19180-2025</t>
        </is>
      </c>
      <c r="B574" s="1" t="n">
        <v>45769.40133101852</v>
      </c>
      <c r="C574" s="1" t="n">
        <v>45914</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46052-2024</t>
        </is>
      </c>
      <c r="B575" s="1" t="n">
        <v>45580.89116898148</v>
      </c>
      <c r="C575" s="1" t="n">
        <v>45914</v>
      </c>
      <c r="D575" t="inlineStr">
        <is>
          <t>ÖREBRO LÄN</t>
        </is>
      </c>
      <c r="E575" t="inlineStr">
        <is>
          <t>ÖREBRO</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58527-2024</t>
        </is>
      </c>
      <c r="B576" s="1" t="n">
        <v>45635.44388888889</v>
      </c>
      <c r="C576" s="1" t="n">
        <v>45914</v>
      </c>
      <c r="D576" t="inlineStr">
        <is>
          <t>ÖREBRO LÄN</t>
        </is>
      </c>
      <c r="E576" t="inlineStr">
        <is>
          <t>ÖREBRO</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37022-2024</t>
        </is>
      </c>
      <c r="B577" s="1" t="n">
        <v>45539.3822337963</v>
      </c>
      <c r="C577" s="1" t="n">
        <v>45914</v>
      </c>
      <c r="D577" t="inlineStr">
        <is>
          <t>ÖREBRO LÄN</t>
        </is>
      </c>
      <c r="E577" t="inlineStr">
        <is>
          <t>ÖREBRO</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37024-2024</t>
        </is>
      </c>
      <c r="B578" s="1" t="n">
        <v>45539.38329861111</v>
      </c>
      <c r="C578" s="1" t="n">
        <v>45914</v>
      </c>
      <c r="D578" t="inlineStr">
        <is>
          <t>ÖREBRO LÄN</t>
        </is>
      </c>
      <c r="E578" t="inlineStr">
        <is>
          <t>ÖREBRO</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38075-2022</t>
        </is>
      </c>
      <c r="B579" s="1" t="n">
        <v>44811</v>
      </c>
      <c r="C579" s="1" t="n">
        <v>45914</v>
      </c>
      <c r="D579" t="inlineStr">
        <is>
          <t>ÖREBRO LÄN</t>
        </is>
      </c>
      <c r="E579" t="inlineStr">
        <is>
          <t>ÖREBRO</t>
        </is>
      </c>
      <c r="G579" t="n">
        <v>0.2</v>
      </c>
      <c r="H579" t="n">
        <v>0</v>
      </c>
      <c r="I579" t="n">
        <v>0</v>
      </c>
      <c r="J579" t="n">
        <v>0</v>
      </c>
      <c r="K579" t="n">
        <v>0</v>
      </c>
      <c r="L579" t="n">
        <v>0</v>
      </c>
      <c r="M579" t="n">
        <v>0</v>
      </c>
      <c r="N579" t="n">
        <v>0</v>
      </c>
      <c r="O579" t="n">
        <v>0</v>
      </c>
      <c r="P579" t="n">
        <v>0</v>
      </c>
      <c r="Q579" t="n">
        <v>0</v>
      </c>
      <c r="R579" s="2" t="inlineStr"/>
    </row>
    <row r="580" ht="15" customHeight="1">
      <c r="A580" t="inlineStr">
        <is>
          <t>A 11382-2023</t>
        </is>
      </c>
      <c r="B580" s="1" t="n">
        <v>44993.45635416666</v>
      </c>
      <c r="C580" s="1" t="n">
        <v>45914</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20121-2024</t>
        </is>
      </c>
      <c r="B581" s="1" t="n">
        <v>45434</v>
      </c>
      <c r="C581" s="1" t="n">
        <v>45914</v>
      </c>
      <c r="D581" t="inlineStr">
        <is>
          <t>ÖREBRO LÄN</t>
        </is>
      </c>
      <c r="E581" t="inlineStr">
        <is>
          <t>ÖREBRO</t>
        </is>
      </c>
      <c r="G581" t="n">
        <v>1.8</v>
      </c>
      <c r="H581" t="n">
        <v>0</v>
      </c>
      <c r="I581" t="n">
        <v>0</v>
      </c>
      <c r="J581" t="n">
        <v>0</v>
      </c>
      <c r="K581" t="n">
        <v>0</v>
      </c>
      <c r="L581" t="n">
        <v>0</v>
      </c>
      <c r="M581" t="n">
        <v>0</v>
      </c>
      <c r="N581" t="n">
        <v>0</v>
      </c>
      <c r="O581" t="n">
        <v>0</v>
      </c>
      <c r="P581" t="n">
        <v>0</v>
      </c>
      <c r="Q581" t="n">
        <v>0</v>
      </c>
      <c r="R581" s="2" t="inlineStr"/>
    </row>
    <row r="582" ht="15" customHeight="1">
      <c r="A582" t="inlineStr">
        <is>
          <t>A 26117-2021</t>
        </is>
      </c>
      <c r="B582" s="1" t="n">
        <v>44345</v>
      </c>
      <c r="C582" s="1" t="n">
        <v>45914</v>
      </c>
      <c r="D582" t="inlineStr">
        <is>
          <t>ÖREBRO LÄN</t>
        </is>
      </c>
      <c r="E582" t="inlineStr">
        <is>
          <t>ÖREBRO</t>
        </is>
      </c>
      <c r="G582" t="n">
        <v>8.1</v>
      </c>
      <c r="H582" t="n">
        <v>0</v>
      </c>
      <c r="I582" t="n">
        <v>0</v>
      </c>
      <c r="J582" t="n">
        <v>0</v>
      </c>
      <c r="K582" t="n">
        <v>0</v>
      </c>
      <c r="L582" t="n">
        <v>0</v>
      </c>
      <c r="M582" t="n">
        <v>0</v>
      </c>
      <c r="N582" t="n">
        <v>0</v>
      </c>
      <c r="O582" t="n">
        <v>0</v>
      </c>
      <c r="P582" t="n">
        <v>0</v>
      </c>
      <c r="Q582" t="n">
        <v>0</v>
      </c>
      <c r="R582" s="2" t="inlineStr"/>
    </row>
    <row r="583" ht="15" customHeight="1">
      <c r="A583" t="inlineStr">
        <is>
          <t>A 55943-2024</t>
        </is>
      </c>
      <c r="B583" s="1" t="n">
        <v>45623.61278935185</v>
      </c>
      <c r="C583" s="1" t="n">
        <v>45914</v>
      </c>
      <c r="D583" t="inlineStr">
        <is>
          <t>ÖREBRO LÄN</t>
        </is>
      </c>
      <c r="E583" t="inlineStr">
        <is>
          <t>ÖREBRO</t>
        </is>
      </c>
      <c r="G583" t="n">
        <v>4.8</v>
      </c>
      <c r="H583" t="n">
        <v>0</v>
      </c>
      <c r="I583" t="n">
        <v>0</v>
      </c>
      <c r="J583" t="n">
        <v>0</v>
      </c>
      <c r="K583" t="n">
        <v>0</v>
      </c>
      <c r="L583" t="n">
        <v>0</v>
      </c>
      <c r="M583" t="n">
        <v>0</v>
      </c>
      <c r="N583" t="n">
        <v>0</v>
      </c>
      <c r="O583" t="n">
        <v>0</v>
      </c>
      <c r="P583" t="n">
        <v>0</v>
      </c>
      <c r="Q583" t="n">
        <v>0</v>
      </c>
      <c r="R583" s="2" t="inlineStr"/>
    </row>
    <row r="584" ht="15" customHeight="1">
      <c r="A584" t="inlineStr">
        <is>
          <t>A 1013-2024</t>
        </is>
      </c>
      <c r="B584" s="1" t="n">
        <v>45301</v>
      </c>
      <c r="C584" s="1" t="n">
        <v>45914</v>
      </c>
      <c r="D584" t="inlineStr">
        <is>
          <t>ÖREBRO LÄN</t>
        </is>
      </c>
      <c r="E584" t="inlineStr">
        <is>
          <t>ÖREBRO</t>
        </is>
      </c>
      <c r="G584" t="n">
        <v>2.6</v>
      </c>
      <c r="H584" t="n">
        <v>0</v>
      </c>
      <c r="I584" t="n">
        <v>0</v>
      </c>
      <c r="J584" t="n">
        <v>0</v>
      </c>
      <c r="K584" t="n">
        <v>0</v>
      </c>
      <c r="L584" t="n">
        <v>0</v>
      </c>
      <c r="M584" t="n">
        <v>0</v>
      </c>
      <c r="N584" t="n">
        <v>0</v>
      </c>
      <c r="O584" t="n">
        <v>0</v>
      </c>
      <c r="P584" t="n">
        <v>0</v>
      </c>
      <c r="Q584" t="n">
        <v>0</v>
      </c>
      <c r="R584" s="2" t="inlineStr"/>
    </row>
    <row r="585" ht="15" customHeight="1">
      <c r="A585" t="inlineStr">
        <is>
          <t>A 13623-2024</t>
        </is>
      </c>
      <c r="B585" s="1" t="n">
        <v>45390.38626157407</v>
      </c>
      <c r="C585" s="1" t="n">
        <v>45914</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5330-2024</t>
        </is>
      </c>
      <c r="B586" s="1" t="n">
        <v>45331.4187962963</v>
      </c>
      <c r="C586" s="1" t="n">
        <v>45914</v>
      </c>
      <c r="D586" t="inlineStr">
        <is>
          <t>ÖREBRO LÄN</t>
        </is>
      </c>
      <c r="E586" t="inlineStr">
        <is>
          <t>ÖREBRO</t>
        </is>
      </c>
      <c r="G586" t="n">
        <v>1.4</v>
      </c>
      <c r="H586" t="n">
        <v>0</v>
      </c>
      <c r="I586" t="n">
        <v>0</v>
      </c>
      <c r="J586" t="n">
        <v>0</v>
      </c>
      <c r="K586" t="n">
        <v>0</v>
      </c>
      <c r="L586" t="n">
        <v>0</v>
      </c>
      <c r="M586" t="n">
        <v>0</v>
      </c>
      <c r="N586" t="n">
        <v>0</v>
      </c>
      <c r="O586" t="n">
        <v>0</v>
      </c>
      <c r="P586" t="n">
        <v>0</v>
      </c>
      <c r="Q586" t="n">
        <v>0</v>
      </c>
      <c r="R586" s="2" t="inlineStr"/>
    </row>
    <row r="587" ht="15" customHeight="1">
      <c r="A587" t="inlineStr">
        <is>
          <t>A 6794-2025</t>
        </is>
      </c>
      <c r="B587" s="1" t="n">
        <v>45700.66429398148</v>
      </c>
      <c r="C587" s="1" t="n">
        <v>45914</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3-2024</t>
        </is>
      </c>
      <c r="B588" s="1" t="n">
        <v>45292</v>
      </c>
      <c r="C588" s="1" t="n">
        <v>45914</v>
      </c>
      <c r="D588" t="inlineStr">
        <is>
          <t>ÖREBRO LÄN</t>
        </is>
      </c>
      <c r="E588" t="inlineStr">
        <is>
          <t>ÖREBRO</t>
        </is>
      </c>
      <c r="G588" t="n">
        <v>2.7</v>
      </c>
      <c r="H588" t="n">
        <v>0</v>
      </c>
      <c r="I588" t="n">
        <v>0</v>
      </c>
      <c r="J588" t="n">
        <v>0</v>
      </c>
      <c r="K588" t="n">
        <v>0</v>
      </c>
      <c r="L588" t="n">
        <v>0</v>
      </c>
      <c r="M588" t="n">
        <v>0</v>
      </c>
      <c r="N588" t="n">
        <v>0</v>
      </c>
      <c r="O588" t="n">
        <v>0</v>
      </c>
      <c r="P588" t="n">
        <v>0</v>
      </c>
      <c r="Q588" t="n">
        <v>0</v>
      </c>
      <c r="R588" s="2" t="inlineStr"/>
    </row>
    <row r="589" ht="15" customHeight="1">
      <c r="A589" t="inlineStr">
        <is>
          <t>A 5619-2023</t>
        </is>
      </c>
      <c r="B589" s="1" t="n">
        <v>44958</v>
      </c>
      <c r="C589" s="1" t="n">
        <v>45914</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5578-2024</t>
        </is>
      </c>
      <c r="B590" s="1" t="n">
        <v>45334.49104166667</v>
      </c>
      <c r="C590" s="1" t="n">
        <v>45914</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46050-2024</t>
        </is>
      </c>
      <c r="B591" s="1" t="n">
        <v>45580.88078703704</v>
      </c>
      <c r="C591" s="1" t="n">
        <v>45914</v>
      </c>
      <c r="D591" t="inlineStr">
        <is>
          <t>ÖREBRO LÄN</t>
        </is>
      </c>
      <c r="E591" t="inlineStr">
        <is>
          <t>ÖREBRO</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37786-2024</t>
        </is>
      </c>
      <c r="B592" s="1" t="n">
        <v>45542.82987268519</v>
      </c>
      <c r="C592" s="1" t="n">
        <v>45914</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58615-2024</t>
        </is>
      </c>
      <c r="B593" s="1" t="n">
        <v>45635.5587037037</v>
      </c>
      <c r="C593" s="1" t="n">
        <v>45914</v>
      </c>
      <c r="D593" t="inlineStr">
        <is>
          <t>ÖREBRO LÄN</t>
        </is>
      </c>
      <c r="E593" t="inlineStr">
        <is>
          <t>ÖREBRO</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45517-2023</t>
        </is>
      </c>
      <c r="B594" s="1" t="n">
        <v>45194.49594907407</v>
      </c>
      <c r="C594" s="1" t="n">
        <v>45914</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3652-2022</t>
        </is>
      </c>
      <c r="B595" s="1" t="n">
        <v>44586.46921296296</v>
      </c>
      <c r="C595" s="1" t="n">
        <v>45914</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25407-2021</t>
        </is>
      </c>
      <c r="B596" s="1" t="n">
        <v>44342</v>
      </c>
      <c r="C596" s="1" t="n">
        <v>45914</v>
      </c>
      <c r="D596" t="inlineStr">
        <is>
          <t>ÖREBRO LÄN</t>
        </is>
      </c>
      <c r="E596" t="inlineStr">
        <is>
          <t>ÖREBRO</t>
        </is>
      </c>
      <c r="F596" t="inlineStr">
        <is>
          <t>Kommuner</t>
        </is>
      </c>
      <c r="G596" t="n">
        <v>7.2</v>
      </c>
      <c r="H596" t="n">
        <v>0</v>
      </c>
      <c r="I596" t="n">
        <v>0</v>
      </c>
      <c r="J596" t="n">
        <v>0</v>
      </c>
      <c r="K596" t="n">
        <v>0</v>
      </c>
      <c r="L596" t="n">
        <v>0</v>
      </c>
      <c r="M596" t="n">
        <v>0</v>
      </c>
      <c r="N596" t="n">
        <v>0</v>
      </c>
      <c r="O596" t="n">
        <v>0</v>
      </c>
      <c r="P596" t="n">
        <v>0</v>
      </c>
      <c r="Q596" t="n">
        <v>0</v>
      </c>
      <c r="R596" s="2" t="inlineStr"/>
    </row>
    <row r="597" ht="15" customHeight="1">
      <c r="A597" t="inlineStr">
        <is>
          <t>A 12245-2023</t>
        </is>
      </c>
      <c r="B597" s="1" t="n">
        <v>44998.64402777778</v>
      </c>
      <c r="C597" s="1" t="n">
        <v>45914</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7134-2025</t>
        </is>
      </c>
      <c r="B598" s="1" t="n">
        <v>45702</v>
      </c>
      <c r="C598" s="1" t="n">
        <v>45914</v>
      </c>
      <c r="D598" t="inlineStr">
        <is>
          <t>ÖREBRO LÄN</t>
        </is>
      </c>
      <c r="E598" t="inlineStr">
        <is>
          <t>ÖREBRO</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60506-2024</t>
        </is>
      </c>
      <c r="B599" s="1" t="n">
        <v>45643.66630787037</v>
      </c>
      <c r="C599" s="1" t="n">
        <v>45914</v>
      </c>
      <c r="D599" t="inlineStr">
        <is>
          <t>ÖREBRO LÄN</t>
        </is>
      </c>
      <c r="E599" t="inlineStr">
        <is>
          <t>ÖREBRO</t>
        </is>
      </c>
      <c r="G599" t="n">
        <v>5.8</v>
      </c>
      <c r="H599" t="n">
        <v>0</v>
      </c>
      <c r="I599" t="n">
        <v>0</v>
      </c>
      <c r="J599" t="n">
        <v>0</v>
      </c>
      <c r="K599" t="n">
        <v>0</v>
      </c>
      <c r="L599" t="n">
        <v>0</v>
      </c>
      <c r="M599" t="n">
        <v>0</v>
      </c>
      <c r="N599" t="n">
        <v>0</v>
      </c>
      <c r="O599" t="n">
        <v>0</v>
      </c>
      <c r="P599" t="n">
        <v>0</v>
      </c>
      <c r="Q599" t="n">
        <v>0</v>
      </c>
      <c r="R599" s="2" t="inlineStr"/>
    </row>
    <row r="600" ht="15" customHeight="1">
      <c r="A600" t="inlineStr">
        <is>
          <t>A 29978-2024</t>
        </is>
      </c>
      <c r="B600" s="1" t="n">
        <v>45488.48340277778</v>
      </c>
      <c r="C600" s="1" t="n">
        <v>45914</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45914</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58611-2024</t>
        </is>
      </c>
      <c r="B602" s="1" t="n">
        <v>45635.55555555555</v>
      </c>
      <c r="C602" s="1" t="n">
        <v>45914</v>
      </c>
      <c r="D602" t="inlineStr">
        <is>
          <t>ÖREBRO LÄN</t>
        </is>
      </c>
      <c r="E602" t="inlineStr">
        <is>
          <t>ÖREBRO</t>
        </is>
      </c>
      <c r="F602" t="inlineStr">
        <is>
          <t>Sveaskog</t>
        </is>
      </c>
      <c r="G602" t="n">
        <v>0.3</v>
      </c>
      <c r="H602" t="n">
        <v>0</v>
      </c>
      <c r="I602" t="n">
        <v>0</v>
      </c>
      <c r="J602" t="n">
        <v>0</v>
      </c>
      <c r="K602" t="n">
        <v>0</v>
      </c>
      <c r="L602" t="n">
        <v>0</v>
      </c>
      <c r="M602" t="n">
        <v>0</v>
      </c>
      <c r="N602" t="n">
        <v>0</v>
      </c>
      <c r="O602" t="n">
        <v>0</v>
      </c>
      <c r="P602" t="n">
        <v>0</v>
      </c>
      <c r="Q602" t="n">
        <v>0</v>
      </c>
      <c r="R602" s="2" t="inlineStr"/>
    </row>
    <row r="603" ht="15" customHeight="1">
      <c r="A603" t="inlineStr">
        <is>
          <t>A 46323-2024</t>
        </is>
      </c>
      <c r="B603" s="1" t="n">
        <v>45581.84538194445</v>
      </c>
      <c r="C603" s="1" t="n">
        <v>45914</v>
      </c>
      <c r="D603" t="inlineStr">
        <is>
          <t>ÖREBRO LÄN</t>
        </is>
      </c>
      <c r="E603" t="inlineStr">
        <is>
          <t>ÖREBRO</t>
        </is>
      </c>
      <c r="F603" t="inlineStr">
        <is>
          <t>Övriga Aktiebolag</t>
        </is>
      </c>
      <c r="G603" t="n">
        <v>1.4</v>
      </c>
      <c r="H603" t="n">
        <v>0</v>
      </c>
      <c r="I603" t="n">
        <v>0</v>
      </c>
      <c r="J603" t="n">
        <v>0</v>
      </c>
      <c r="K603" t="n">
        <v>0</v>
      </c>
      <c r="L603" t="n">
        <v>0</v>
      </c>
      <c r="M603" t="n">
        <v>0</v>
      </c>
      <c r="N603" t="n">
        <v>0</v>
      </c>
      <c r="O603" t="n">
        <v>0</v>
      </c>
      <c r="P603" t="n">
        <v>0</v>
      </c>
      <c r="Q603" t="n">
        <v>0</v>
      </c>
      <c r="R603" s="2" t="inlineStr"/>
    </row>
    <row r="604" ht="15" customHeight="1">
      <c r="A604" t="inlineStr">
        <is>
          <t>A 20146-2024</t>
        </is>
      </c>
      <c r="B604" s="1" t="n">
        <v>45434.57641203704</v>
      </c>
      <c r="C604" s="1" t="n">
        <v>45914</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53143-2023</t>
        </is>
      </c>
      <c r="B605" s="1" t="n">
        <v>45229</v>
      </c>
      <c r="C605" s="1" t="n">
        <v>45914</v>
      </c>
      <c r="D605" t="inlineStr">
        <is>
          <t>ÖREBRO LÄN</t>
        </is>
      </c>
      <c r="E605" t="inlineStr">
        <is>
          <t>ÖREBRO</t>
        </is>
      </c>
      <c r="G605" t="n">
        <v>3.3</v>
      </c>
      <c r="H605" t="n">
        <v>0</v>
      </c>
      <c r="I605" t="n">
        <v>0</v>
      </c>
      <c r="J605" t="n">
        <v>0</v>
      </c>
      <c r="K605" t="n">
        <v>0</v>
      </c>
      <c r="L605" t="n">
        <v>0</v>
      </c>
      <c r="M605" t="n">
        <v>0</v>
      </c>
      <c r="N605" t="n">
        <v>0</v>
      </c>
      <c r="O605" t="n">
        <v>0</v>
      </c>
      <c r="P605" t="n">
        <v>0</v>
      </c>
      <c r="Q605" t="n">
        <v>0</v>
      </c>
      <c r="R605" s="2" t="inlineStr"/>
    </row>
    <row r="606">
      <c r="A606" t="inlineStr">
        <is>
          <t>A 8656-2025</t>
        </is>
      </c>
      <c r="B606" s="1" t="n">
        <v>45712.38268518518</v>
      </c>
      <c r="C606" s="1" t="n">
        <v>45914</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2025-09-14T13:27:20Z</dcterms:created>
  <dcterms:modified xmlns:dcterms="http://purl.org/dc/terms/" xmlns:xsi="http://www.w3.org/2001/XMLSchema-instance" xsi:type="dcterms:W3CDTF">2025-09-14T13:27:21Z</dcterms:modified>
</cp:coreProperties>
</file>