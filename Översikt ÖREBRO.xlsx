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45993</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45993</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45993</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45993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45993</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45993</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45993</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51530-2024</t>
        </is>
      </c>
      <c r="B12" s="1" t="n">
        <v>45604</v>
      </c>
      <c r="C12" s="1" t="n">
        <v>45993</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12974-2022</t>
        </is>
      </c>
      <c r="B13" s="1" t="n">
        <v>44643.38490740741</v>
      </c>
      <c r="C13" s="1" t="n">
        <v>45993</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33069-2025</t>
        </is>
      </c>
      <c r="B14" s="1" t="n">
        <v>45840</v>
      </c>
      <c r="C14" s="1" t="n">
        <v>45993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45993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45993</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45993</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29487-2022</t>
        </is>
      </c>
      <c r="B18" s="1" t="n">
        <v>44753</v>
      </c>
      <c r="C18" s="1" t="n">
        <v>45993</v>
      </c>
      <c r="D18" t="inlineStr">
        <is>
          <t>ÖREBRO LÄN</t>
        </is>
      </c>
      <c r="E18" t="inlineStr">
        <is>
          <t>ÖREBRO</t>
        </is>
      </c>
      <c r="F18" t="inlineStr">
        <is>
          <t>Kommuner</t>
        </is>
      </c>
      <c r="G18" t="n">
        <v>0.7</v>
      </c>
      <c r="H18" t="n">
        <v>0</v>
      </c>
      <c r="I18" t="n">
        <v>2</v>
      </c>
      <c r="J18" t="n">
        <v>1</v>
      </c>
      <c r="K18" t="n">
        <v>0</v>
      </c>
      <c r="L18" t="n">
        <v>0</v>
      </c>
      <c r="M18" t="n">
        <v>0</v>
      </c>
      <c r="N18" t="n">
        <v>0</v>
      </c>
      <c r="O18" t="n">
        <v>1</v>
      </c>
      <c r="P18" t="n">
        <v>0</v>
      </c>
      <c r="Q18" t="n">
        <v>3</v>
      </c>
      <c r="R18" s="2" t="inlineStr">
        <is>
          <t>Svartvit taggsvamp
Fjällig taggsvamp s.str.
Rödgul trumpetsvamp</t>
        </is>
      </c>
      <c r="S18">
        <f>HYPERLINK("https://klasma.github.io/Logging_1880/artfynd/A 29487-2022 artfynd.xlsx", "A 29487-2022")</f>
        <v/>
      </c>
      <c r="T18">
        <f>HYPERLINK("https://klasma.github.io/Logging_1880/kartor/A 29487-2022 karta.png", "A 29487-2022")</f>
        <v/>
      </c>
      <c r="V18">
        <f>HYPERLINK("https://klasma.github.io/Logging_1880/klagomål/A 29487-2022 FSC-klagomål.docx", "A 29487-2022")</f>
        <v/>
      </c>
      <c r="W18">
        <f>HYPERLINK("https://klasma.github.io/Logging_1880/klagomålsmail/A 29487-2022 FSC-klagomål mail.docx", "A 29487-2022")</f>
        <v/>
      </c>
      <c r="X18">
        <f>HYPERLINK("https://klasma.github.io/Logging_1880/tillsyn/A 29487-2022 tillsynsbegäran.docx", "A 29487-2022")</f>
        <v/>
      </c>
      <c r="Y18">
        <f>HYPERLINK("https://klasma.github.io/Logging_1880/tillsynsmail/A 29487-2022 tillsynsbegäran mail.docx", "A 29487-2022")</f>
        <v/>
      </c>
    </row>
    <row r="19" ht="15" customHeight="1">
      <c r="A19" t="inlineStr">
        <is>
          <t>A 20838-2021</t>
        </is>
      </c>
      <c r="B19" s="1" t="n">
        <v>44319</v>
      </c>
      <c r="C19" s="1" t="n">
        <v>45993</v>
      </c>
      <c r="D19" t="inlineStr">
        <is>
          <t>ÖREBRO LÄN</t>
        </is>
      </c>
      <c r="E19" t="inlineStr">
        <is>
          <t>ÖREBRO</t>
        </is>
      </c>
      <c r="G19" t="n">
        <v>1.9</v>
      </c>
      <c r="H19" t="n">
        <v>0</v>
      </c>
      <c r="I19" t="n">
        <v>3</v>
      </c>
      <c r="J19" t="n">
        <v>0</v>
      </c>
      <c r="K19" t="n">
        <v>0</v>
      </c>
      <c r="L19" t="n">
        <v>0</v>
      </c>
      <c r="M19" t="n">
        <v>0</v>
      </c>
      <c r="N19" t="n">
        <v>0</v>
      </c>
      <c r="O19" t="n">
        <v>0</v>
      </c>
      <c r="P19" t="n">
        <v>0</v>
      </c>
      <c r="Q19" t="n">
        <v>3</v>
      </c>
      <c r="R19" s="2" t="inlineStr">
        <is>
          <t>Fjällig taggsvamp s.str.
Rödgul trumpetsvamp
Toppvaxing</t>
        </is>
      </c>
      <c r="S19">
        <f>HYPERLINK("https://klasma.github.io/Logging_1880/artfynd/A 20838-2021 artfynd.xlsx", "A 20838-2021")</f>
        <v/>
      </c>
      <c r="T19">
        <f>HYPERLINK("https://klasma.github.io/Logging_1880/kartor/A 20838-2021 karta.png", "A 20838-2021")</f>
        <v/>
      </c>
      <c r="V19">
        <f>HYPERLINK("https://klasma.github.io/Logging_1880/klagomål/A 20838-2021 FSC-klagomål.docx", "A 20838-2021")</f>
        <v/>
      </c>
      <c r="W19">
        <f>HYPERLINK("https://klasma.github.io/Logging_1880/klagomålsmail/A 20838-2021 FSC-klagomål mail.docx", "A 20838-2021")</f>
        <v/>
      </c>
      <c r="X19">
        <f>HYPERLINK("https://klasma.github.io/Logging_1880/tillsyn/A 20838-2021 tillsynsbegäran.docx", "A 20838-2021")</f>
        <v/>
      </c>
      <c r="Y19">
        <f>HYPERLINK("https://klasma.github.io/Logging_1880/tillsynsmail/A 20838-2021 tillsynsbegäran mail.docx", "A 20838-2021")</f>
        <v/>
      </c>
    </row>
    <row r="20" ht="15" customHeight="1">
      <c r="A20" t="inlineStr">
        <is>
          <t>A 13627-2025</t>
        </is>
      </c>
      <c r="B20" s="1" t="n">
        <v>45736</v>
      </c>
      <c r="C20" s="1" t="n">
        <v>45993</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575-2024</t>
        </is>
      </c>
      <c r="B21" s="1" t="n">
        <v>45299</v>
      </c>
      <c r="C21" s="1" t="n">
        <v>45993</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50096-2023</t>
        </is>
      </c>
      <c r="B22" s="1" t="n">
        <v>45215</v>
      </c>
      <c r="C22" s="1" t="n">
        <v>45993</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17074-2024</t>
        </is>
      </c>
      <c r="B23" s="1" t="n">
        <v>45412</v>
      </c>
      <c r="C23" s="1" t="n">
        <v>45993</v>
      </c>
      <c r="D23" t="inlineStr">
        <is>
          <t>ÖREBRO LÄN</t>
        </is>
      </c>
      <c r="E23" t="inlineStr">
        <is>
          <t>ÖREBRO</t>
        </is>
      </c>
      <c r="F23" t="inlineStr">
        <is>
          <t>Sveaskog</t>
        </is>
      </c>
      <c r="G23" t="n">
        <v>7.2</v>
      </c>
      <c r="H23" t="n">
        <v>1</v>
      </c>
      <c r="I23" t="n">
        <v>2</v>
      </c>
      <c r="J23" t="n">
        <v>0</v>
      </c>
      <c r="K23" t="n">
        <v>0</v>
      </c>
      <c r="L23" t="n">
        <v>1</v>
      </c>
      <c r="M23" t="n">
        <v>0</v>
      </c>
      <c r="N23" t="n">
        <v>0</v>
      </c>
      <c r="O23" t="n">
        <v>1</v>
      </c>
      <c r="P23" t="n">
        <v>1</v>
      </c>
      <c r="Q23" t="n">
        <v>3</v>
      </c>
      <c r="R23" s="2" t="inlineStr">
        <is>
          <t>Ask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row>
    <row r="24" ht="15" customHeight="1">
      <c r="A24" t="inlineStr">
        <is>
          <t>A 59517-2025</t>
        </is>
      </c>
      <c r="B24" s="1" t="n">
        <v>45989.65462962963</v>
      </c>
      <c r="C24" s="1" t="n">
        <v>45993</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35098-2025</t>
        </is>
      </c>
      <c r="B25" s="1" t="n">
        <v>45852.5469212963</v>
      </c>
      <c r="C25" s="1" t="n">
        <v>45993</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29478-2022</t>
        </is>
      </c>
      <c r="B26" s="1" t="n">
        <v>44753</v>
      </c>
      <c r="C26" s="1" t="n">
        <v>45993</v>
      </c>
      <c r="D26" t="inlineStr">
        <is>
          <t>ÖREBRO LÄN</t>
        </is>
      </c>
      <c r="E26" t="inlineStr">
        <is>
          <t>ÖREBRO</t>
        </is>
      </c>
      <c r="F26" t="inlineStr">
        <is>
          <t>Kommuner</t>
        </is>
      </c>
      <c r="G26" t="n">
        <v>0.5</v>
      </c>
      <c r="H26" t="n">
        <v>0</v>
      </c>
      <c r="I26" t="n">
        <v>2</v>
      </c>
      <c r="J26" t="n">
        <v>0</v>
      </c>
      <c r="K26" t="n">
        <v>0</v>
      </c>
      <c r="L26" t="n">
        <v>0</v>
      </c>
      <c r="M26" t="n">
        <v>0</v>
      </c>
      <c r="N26" t="n">
        <v>0</v>
      </c>
      <c r="O26" t="n">
        <v>0</v>
      </c>
      <c r="P26" t="n">
        <v>0</v>
      </c>
      <c r="Q26" t="n">
        <v>2</v>
      </c>
      <c r="R26" s="2" t="inlineStr">
        <is>
          <t>Fjällig taggsvamp s.str.
Svavelriska</t>
        </is>
      </c>
      <c r="S26">
        <f>HYPERLINK("https://klasma.github.io/Logging_1880/artfynd/A 29478-2022 artfynd.xlsx", "A 29478-2022")</f>
        <v/>
      </c>
      <c r="T26">
        <f>HYPERLINK("https://klasma.github.io/Logging_1880/kartor/A 29478-2022 karta.png", "A 29478-2022")</f>
        <v/>
      </c>
      <c r="V26">
        <f>HYPERLINK("https://klasma.github.io/Logging_1880/klagomål/A 29478-2022 FSC-klagomål.docx", "A 29478-2022")</f>
        <v/>
      </c>
      <c r="W26">
        <f>HYPERLINK("https://klasma.github.io/Logging_1880/klagomålsmail/A 29478-2022 FSC-klagomål mail.docx", "A 29478-2022")</f>
        <v/>
      </c>
      <c r="X26">
        <f>HYPERLINK("https://klasma.github.io/Logging_1880/tillsyn/A 29478-2022 tillsynsbegäran.docx", "A 29478-2022")</f>
        <v/>
      </c>
      <c r="Y26">
        <f>HYPERLINK("https://klasma.github.io/Logging_1880/tillsynsmail/A 29478-2022 tillsynsbegäran mail.docx", "A 29478-2022")</f>
        <v/>
      </c>
    </row>
    <row r="27" ht="15" customHeight="1">
      <c r="A27" t="inlineStr">
        <is>
          <t>A 2586-2021</t>
        </is>
      </c>
      <c r="B27" s="1" t="n">
        <v>44214</v>
      </c>
      <c r="C27" s="1" t="n">
        <v>45993</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49552-2022</t>
        </is>
      </c>
      <c r="B28" s="1" t="n">
        <v>44862.31013888889</v>
      </c>
      <c r="C28" s="1" t="n">
        <v>45993</v>
      </c>
      <c r="D28" t="inlineStr">
        <is>
          <t>ÖREBRO LÄN</t>
        </is>
      </c>
      <c r="E28" t="inlineStr">
        <is>
          <t>ÖREBRO</t>
        </is>
      </c>
      <c r="G28" t="n">
        <v>2.1</v>
      </c>
      <c r="H28" t="n">
        <v>0</v>
      </c>
      <c r="I28" t="n">
        <v>0</v>
      </c>
      <c r="J28" t="n">
        <v>1</v>
      </c>
      <c r="K28" t="n">
        <v>1</v>
      </c>
      <c r="L28" t="n">
        <v>0</v>
      </c>
      <c r="M28" t="n">
        <v>0</v>
      </c>
      <c r="N28" t="n">
        <v>0</v>
      </c>
      <c r="O28" t="n">
        <v>2</v>
      </c>
      <c r="P28" t="n">
        <v>1</v>
      </c>
      <c r="Q28" t="n">
        <v>2</v>
      </c>
      <c r="R28" s="2" t="inlineStr">
        <is>
          <t>Ulltickeporing
Ullticka</t>
        </is>
      </c>
      <c r="S28">
        <f>HYPERLINK("https://klasma.github.io/Logging_1880/artfynd/A 49552-2022 artfynd.xlsx", "A 49552-2022")</f>
        <v/>
      </c>
      <c r="T28">
        <f>HYPERLINK("https://klasma.github.io/Logging_1880/kartor/A 49552-2022 karta.png", "A 49552-2022")</f>
        <v/>
      </c>
      <c r="V28">
        <f>HYPERLINK("https://klasma.github.io/Logging_1880/klagomål/A 49552-2022 FSC-klagomål.docx", "A 49552-2022")</f>
        <v/>
      </c>
      <c r="W28">
        <f>HYPERLINK("https://klasma.github.io/Logging_1880/klagomålsmail/A 49552-2022 FSC-klagomål mail.docx", "A 49552-2022")</f>
        <v/>
      </c>
      <c r="X28">
        <f>HYPERLINK("https://klasma.github.io/Logging_1880/tillsyn/A 49552-2022 tillsynsbegäran.docx", "A 49552-2022")</f>
        <v/>
      </c>
      <c r="Y28">
        <f>HYPERLINK("https://klasma.github.io/Logging_1880/tillsynsmail/A 49552-2022 tillsynsbegäran mail.docx", "A 49552-2022")</f>
        <v/>
      </c>
    </row>
    <row r="29" ht="15" customHeight="1">
      <c r="A29" t="inlineStr">
        <is>
          <t>A 32782-2022</t>
        </is>
      </c>
      <c r="B29" s="1" t="n">
        <v>44783</v>
      </c>
      <c r="C29" s="1" t="n">
        <v>45993</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13458-2024</t>
        </is>
      </c>
      <c r="B30" s="1" t="n">
        <v>45387.54642361111</v>
      </c>
      <c r="C30" s="1" t="n">
        <v>45993</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13395-2024</t>
        </is>
      </c>
      <c r="B31" s="1" t="n">
        <v>45387.42296296296</v>
      </c>
      <c r="C31" s="1" t="n">
        <v>45993</v>
      </c>
      <c r="D31" t="inlineStr">
        <is>
          <t>ÖREBRO LÄN</t>
        </is>
      </c>
      <c r="E31" t="inlineStr">
        <is>
          <t>ÖREBRO</t>
        </is>
      </c>
      <c r="G31" t="n">
        <v>1.9</v>
      </c>
      <c r="H31" t="n">
        <v>2</v>
      </c>
      <c r="I31" t="n">
        <v>0</v>
      </c>
      <c r="J31" t="n">
        <v>0</v>
      </c>
      <c r="K31" t="n">
        <v>0</v>
      </c>
      <c r="L31" t="n">
        <v>0</v>
      </c>
      <c r="M31" t="n">
        <v>0</v>
      </c>
      <c r="N31" t="n">
        <v>0</v>
      </c>
      <c r="O31" t="n">
        <v>0</v>
      </c>
      <c r="P31" t="n">
        <v>0</v>
      </c>
      <c r="Q31" t="n">
        <v>2</v>
      </c>
      <c r="R31" s="2" t="inlineStr">
        <is>
          <t>Järnsparv
Kungsfågel</t>
        </is>
      </c>
      <c r="S31">
        <f>HYPERLINK("https://klasma.github.io/Logging_1880/artfynd/A 13395-2024 artfynd.xlsx", "A 13395-2024")</f>
        <v/>
      </c>
      <c r="T31">
        <f>HYPERLINK("https://klasma.github.io/Logging_1880/kartor/A 13395-2024 karta.png", "A 13395-2024")</f>
        <v/>
      </c>
      <c r="V31">
        <f>HYPERLINK("https://klasma.github.io/Logging_1880/klagomål/A 13395-2024 FSC-klagomål.docx", "A 13395-2024")</f>
        <v/>
      </c>
      <c r="W31">
        <f>HYPERLINK("https://klasma.github.io/Logging_1880/klagomålsmail/A 13395-2024 FSC-klagomål mail.docx", "A 13395-2024")</f>
        <v/>
      </c>
      <c r="X31">
        <f>HYPERLINK("https://klasma.github.io/Logging_1880/tillsyn/A 13395-2024 tillsynsbegäran.docx", "A 13395-2024")</f>
        <v/>
      </c>
      <c r="Y31">
        <f>HYPERLINK("https://klasma.github.io/Logging_1880/tillsynsmail/A 13395-2024 tillsynsbegäran mail.docx", "A 13395-2024")</f>
        <v/>
      </c>
      <c r="Z31">
        <f>HYPERLINK("https://klasma.github.io/Logging_1880/fåglar/A 13395-2024 prioriterade fågelarter.docx", "A 13395-2024")</f>
        <v/>
      </c>
    </row>
    <row r="32" ht="15" customHeight="1">
      <c r="A32" t="inlineStr">
        <is>
          <t>A 22577-2024</t>
        </is>
      </c>
      <c r="B32" s="1" t="n">
        <v>45447</v>
      </c>
      <c r="C32" s="1" t="n">
        <v>45993</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8267-2021</t>
        </is>
      </c>
      <c r="B33" s="1" t="n">
        <v>44244</v>
      </c>
      <c r="C33" s="1" t="n">
        <v>45993</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52400-2024</t>
        </is>
      </c>
      <c r="B34" s="1" t="n">
        <v>45609.44461805555</v>
      </c>
      <c r="C34" s="1" t="n">
        <v>45993</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51550-2025</t>
        </is>
      </c>
      <c r="B35" s="1" t="n">
        <v>45950.83359953704</v>
      </c>
      <c r="C35" s="1" t="n">
        <v>45993</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37019-2024</t>
        </is>
      </c>
      <c r="B36" s="1" t="n">
        <v>45539.37905092593</v>
      </c>
      <c r="C36" s="1" t="n">
        <v>45993</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14956-2025</t>
        </is>
      </c>
      <c r="B37" s="1" t="n">
        <v>45743.58409722222</v>
      </c>
      <c r="C37" s="1" t="n">
        <v>45993</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7608-2024</t>
        </is>
      </c>
      <c r="B38" s="1" t="n">
        <v>45348</v>
      </c>
      <c r="C38" s="1" t="n">
        <v>45993</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58837-2025</t>
        </is>
      </c>
      <c r="B39" s="1" t="n">
        <v>45987.35875</v>
      </c>
      <c r="C39" s="1" t="n">
        <v>45993</v>
      </c>
      <c r="D39" t="inlineStr">
        <is>
          <t>ÖREBRO LÄN</t>
        </is>
      </c>
      <c r="E39" t="inlineStr">
        <is>
          <t>ÖREBRO</t>
        </is>
      </c>
      <c r="G39" t="n">
        <v>3.8</v>
      </c>
      <c r="H39" t="n">
        <v>1</v>
      </c>
      <c r="I39" t="n">
        <v>0</v>
      </c>
      <c r="J39" t="n">
        <v>1</v>
      </c>
      <c r="K39" t="n">
        <v>0</v>
      </c>
      <c r="L39" t="n">
        <v>0</v>
      </c>
      <c r="M39" t="n">
        <v>0</v>
      </c>
      <c r="N39" t="n">
        <v>0</v>
      </c>
      <c r="O39" t="n">
        <v>1</v>
      </c>
      <c r="P39" t="n">
        <v>0</v>
      </c>
      <c r="Q39" t="n">
        <v>2</v>
      </c>
      <c r="R39" s="2" t="inlineStr">
        <is>
          <t>Svartöra
Kungsfågel</t>
        </is>
      </c>
      <c r="S39">
        <f>HYPERLINK("https://klasma.github.io/Logging_1880/artfynd/A 58837-2025 artfynd.xlsx", "A 58837-2025")</f>
        <v/>
      </c>
      <c r="T39">
        <f>HYPERLINK("https://klasma.github.io/Logging_1880/kartor/A 58837-2025 karta.png", "A 58837-2025")</f>
        <v/>
      </c>
      <c r="V39">
        <f>HYPERLINK("https://klasma.github.io/Logging_1880/klagomål/A 58837-2025 FSC-klagomål.docx", "A 58837-2025")</f>
        <v/>
      </c>
      <c r="W39">
        <f>HYPERLINK("https://klasma.github.io/Logging_1880/klagomålsmail/A 58837-2025 FSC-klagomål mail.docx", "A 58837-2025")</f>
        <v/>
      </c>
      <c r="X39">
        <f>HYPERLINK("https://klasma.github.io/Logging_1880/tillsyn/A 58837-2025 tillsynsbegäran.docx", "A 58837-2025")</f>
        <v/>
      </c>
      <c r="Y39">
        <f>HYPERLINK("https://klasma.github.io/Logging_1880/tillsynsmail/A 58837-2025 tillsynsbegäran mail.docx", "A 58837-2025")</f>
        <v/>
      </c>
      <c r="Z39">
        <f>HYPERLINK("https://klasma.github.io/Logging_1880/fåglar/A 58837-2025 prioriterade fågelarter.docx", "A 58837-2025")</f>
        <v/>
      </c>
    </row>
    <row r="40" ht="15" customHeight="1">
      <c r="A40" t="inlineStr">
        <is>
          <t>A 59519-2025</t>
        </is>
      </c>
      <c r="B40" s="1" t="n">
        <v>45989.65541666667</v>
      </c>
      <c r="C40" s="1" t="n">
        <v>45993</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30409-2025</t>
        </is>
      </c>
      <c r="B41" s="1" t="n">
        <v>45827.59738425926</v>
      </c>
      <c r="C41" s="1" t="n">
        <v>45993</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29704-2022</t>
        </is>
      </c>
      <c r="B42" s="1" t="n">
        <v>44755</v>
      </c>
      <c r="C42" s="1" t="n">
        <v>45993</v>
      </c>
      <c r="D42" t="inlineStr">
        <is>
          <t>ÖREBRO LÄN</t>
        </is>
      </c>
      <c r="E42" t="inlineStr">
        <is>
          <t>ÖREBRO</t>
        </is>
      </c>
      <c r="F42" t="inlineStr">
        <is>
          <t>Kommuner</t>
        </is>
      </c>
      <c r="G42" t="n">
        <v>1.1</v>
      </c>
      <c r="H42" t="n">
        <v>0</v>
      </c>
      <c r="I42" t="n">
        <v>0</v>
      </c>
      <c r="J42" t="n">
        <v>1</v>
      </c>
      <c r="K42" t="n">
        <v>0</v>
      </c>
      <c r="L42" t="n">
        <v>0</v>
      </c>
      <c r="M42" t="n">
        <v>0</v>
      </c>
      <c r="N42" t="n">
        <v>0</v>
      </c>
      <c r="O42" t="n">
        <v>1</v>
      </c>
      <c r="P42" t="n">
        <v>0</v>
      </c>
      <c r="Q42" t="n">
        <v>1</v>
      </c>
      <c r="R42" s="2" t="inlineStr">
        <is>
          <t>Motaggsvamp</t>
        </is>
      </c>
      <c r="S42">
        <f>HYPERLINK("https://klasma.github.io/Logging_1880/artfynd/A 29704-2022 artfynd.xlsx", "A 29704-2022")</f>
        <v/>
      </c>
      <c r="T42">
        <f>HYPERLINK("https://klasma.github.io/Logging_1880/kartor/A 29704-2022 karta.png", "A 29704-2022")</f>
        <v/>
      </c>
      <c r="V42">
        <f>HYPERLINK("https://klasma.github.io/Logging_1880/klagomål/A 29704-2022 FSC-klagomål.docx", "A 29704-2022")</f>
        <v/>
      </c>
      <c r="W42">
        <f>HYPERLINK("https://klasma.github.io/Logging_1880/klagomålsmail/A 29704-2022 FSC-klagomål mail.docx", "A 29704-2022")</f>
        <v/>
      </c>
      <c r="X42">
        <f>HYPERLINK("https://klasma.github.io/Logging_1880/tillsyn/A 29704-2022 tillsynsbegäran.docx", "A 29704-2022")</f>
        <v/>
      </c>
      <c r="Y42">
        <f>HYPERLINK("https://klasma.github.io/Logging_1880/tillsynsmail/A 29704-2022 tillsynsbegäran mail.docx", "A 29704-2022")</f>
        <v/>
      </c>
    </row>
    <row r="43" ht="15" customHeight="1">
      <c r="A43" t="inlineStr">
        <is>
          <t>A 4943-2022</t>
        </is>
      </c>
      <c r="B43" s="1" t="n">
        <v>44593</v>
      </c>
      <c r="C43" s="1" t="n">
        <v>45993</v>
      </c>
      <c r="D43" t="inlineStr">
        <is>
          <t>ÖREBRO LÄN</t>
        </is>
      </c>
      <c r="E43" t="inlineStr">
        <is>
          <t>ÖREBRO</t>
        </is>
      </c>
      <c r="G43" t="n">
        <v>1.1</v>
      </c>
      <c r="H43" t="n">
        <v>0</v>
      </c>
      <c r="I43" t="n">
        <v>0</v>
      </c>
      <c r="J43" t="n">
        <v>1</v>
      </c>
      <c r="K43" t="n">
        <v>0</v>
      </c>
      <c r="L43" t="n">
        <v>0</v>
      </c>
      <c r="M43" t="n">
        <v>0</v>
      </c>
      <c r="N43" t="n">
        <v>0</v>
      </c>
      <c r="O43" t="n">
        <v>1</v>
      </c>
      <c r="P43" t="n">
        <v>0</v>
      </c>
      <c r="Q43" t="n">
        <v>1</v>
      </c>
      <c r="R43" s="2" t="inlineStr">
        <is>
          <t>Skinntagging</t>
        </is>
      </c>
      <c r="S43">
        <f>HYPERLINK("https://klasma.github.io/Logging_1880/artfynd/A 4943-2022 artfynd.xlsx", "A 4943-2022")</f>
        <v/>
      </c>
      <c r="T43">
        <f>HYPERLINK("https://klasma.github.io/Logging_1880/kartor/A 4943-2022 karta.png", "A 4943-2022")</f>
        <v/>
      </c>
      <c r="V43">
        <f>HYPERLINK("https://klasma.github.io/Logging_1880/klagomål/A 4943-2022 FSC-klagomål.docx", "A 4943-2022")</f>
        <v/>
      </c>
      <c r="W43">
        <f>HYPERLINK("https://klasma.github.io/Logging_1880/klagomålsmail/A 4943-2022 FSC-klagomål mail.docx", "A 4943-2022")</f>
        <v/>
      </c>
      <c r="X43">
        <f>HYPERLINK("https://klasma.github.io/Logging_1880/tillsyn/A 4943-2022 tillsynsbegäran.docx", "A 4943-2022")</f>
        <v/>
      </c>
      <c r="Y43">
        <f>HYPERLINK("https://klasma.github.io/Logging_1880/tillsynsmail/A 4943-2022 tillsynsbegäran mail.docx", "A 4943-2022")</f>
        <v/>
      </c>
    </row>
    <row r="44" ht="15" customHeight="1">
      <c r="A44" t="inlineStr">
        <is>
          <t>A 6926-2021</t>
        </is>
      </c>
      <c r="B44" s="1" t="n">
        <v>44237</v>
      </c>
      <c r="C44" s="1" t="n">
        <v>45993</v>
      </c>
      <c r="D44" t="inlineStr">
        <is>
          <t>ÖREBRO LÄN</t>
        </is>
      </c>
      <c r="E44" t="inlineStr">
        <is>
          <t>ÖREBRO</t>
        </is>
      </c>
      <c r="G44" t="n">
        <v>0.9</v>
      </c>
      <c r="H44" t="n">
        <v>1</v>
      </c>
      <c r="I44" t="n">
        <v>1</v>
      </c>
      <c r="J44" t="n">
        <v>0</v>
      </c>
      <c r="K44" t="n">
        <v>0</v>
      </c>
      <c r="L44" t="n">
        <v>0</v>
      </c>
      <c r="M44" t="n">
        <v>0</v>
      </c>
      <c r="N44" t="n">
        <v>0</v>
      </c>
      <c r="O44" t="n">
        <v>0</v>
      </c>
      <c r="P44" t="n">
        <v>0</v>
      </c>
      <c r="Q44" t="n">
        <v>1</v>
      </c>
      <c r="R44" s="2" t="inlineStr">
        <is>
          <t>Skogsknipprot</t>
        </is>
      </c>
      <c r="S44">
        <f>HYPERLINK("https://klasma.github.io/Logging_1880/artfynd/A 6926-2021 artfynd.xlsx", "A 6926-2021")</f>
        <v/>
      </c>
      <c r="T44">
        <f>HYPERLINK("https://klasma.github.io/Logging_1880/kartor/A 6926-2021 karta.png", "A 6926-2021")</f>
        <v/>
      </c>
      <c r="V44">
        <f>HYPERLINK("https://klasma.github.io/Logging_1880/klagomål/A 6926-2021 FSC-klagomål.docx", "A 6926-2021")</f>
        <v/>
      </c>
      <c r="W44">
        <f>HYPERLINK("https://klasma.github.io/Logging_1880/klagomålsmail/A 6926-2021 FSC-klagomål mail.docx", "A 6926-2021")</f>
        <v/>
      </c>
      <c r="X44">
        <f>HYPERLINK("https://klasma.github.io/Logging_1880/tillsyn/A 6926-2021 tillsynsbegäran.docx", "A 6926-2021")</f>
        <v/>
      </c>
      <c r="Y44">
        <f>HYPERLINK("https://klasma.github.io/Logging_1880/tillsynsmail/A 6926-2021 tillsynsbegäran mail.docx", "A 6926-2021")</f>
        <v/>
      </c>
    </row>
    <row r="45" ht="15" customHeight="1">
      <c r="A45" t="inlineStr">
        <is>
          <t>A 11501-2025</t>
        </is>
      </c>
      <c r="B45" s="1" t="n">
        <v>45726</v>
      </c>
      <c r="C45" s="1" t="n">
        <v>45993</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30725-2023</t>
        </is>
      </c>
      <c r="B46" s="1" t="n">
        <v>45112.61451388889</v>
      </c>
      <c r="C46" s="1" t="n">
        <v>45993</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5097-2023</t>
        </is>
      </c>
      <c r="B47" s="1" t="n">
        <v>44958</v>
      </c>
      <c r="C47" s="1" t="n">
        <v>45993</v>
      </c>
      <c r="D47" t="inlineStr">
        <is>
          <t>ÖREBRO LÄN</t>
        </is>
      </c>
      <c r="E47" t="inlineStr">
        <is>
          <t>ÖREBRO</t>
        </is>
      </c>
      <c r="G47" t="n">
        <v>3.6</v>
      </c>
      <c r="H47" t="n">
        <v>1</v>
      </c>
      <c r="I47" t="n">
        <v>0</v>
      </c>
      <c r="J47" t="n">
        <v>0</v>
      </c>
      <c r="K47" t="n">
        <v>0</v>
      </c>
      <c r="L47" t="n">
        <v>0</v>
      </c>
      <c r="M47" t="n">
        <v>0</v>
      </c>
      <c r="N47" t="n">
        <v>0</v>
      </c>
      <c r="O47" t="n">
        <v>0</v>
      </c>
      <c r="P47" t="n">
        <v>0</v>
      </c>
      <c r="Q47" t="n">
        <v>1</v>
      </c>
      <c r="R47" s="2" t="inlineStr">
        <is>
          <t>Grönvit nattviol</t>
        </is>
      </c>
      <c r="S47">
        <f>HYPERLINK("https://klasma.github.io/Logging_1880/artfynd/A 5097-2023 artfynd.xlsx", "A 5097-2023")</f>
        <v/>
      </c>
      <c r="T47">
        <f>HYPERLINK("https://klasma.github.io/Logging_1880/kartor/A 5097-2023 karta.png", "A 5097-2023")</f>
        <v/>
      </c>
      <c r="V47">
        <f>HYPERLINK("https://klasma.github.io/Logging_1880/klagomål/A 5097-2023 FSC-klagomål.docx", "A 5097-2023")</f>
        <v/>
      </c>
      <c r="W47">
        <f>HYPERLINK("https://klasma.github.io/Logging_1880/klagomålsmail/A 5097-2023 FSC-klagomål mail.docx", "A 5097-2023")</f>
        <v/>
      </c>
      <c r="X47">
        <f>HYPERLINK("https://klasma.github.io/Logging_1880/tillsyn/A 5097-2023 tillsynsbegäran.docx", "A 5097-2023")</f>
        <v/>
      </c>
      <c r="Y47">
        <f>HYPERLINK("https://klasma.github.io/Logging_1880/tillsynsmail/A 5097-2023 tillsynsbegäran mail.docx", "A 5097-2023")</f>
        <v/>
      </c>
    </row>
    <row r="48" ht="15" customHeight="1">
      <c r="A48" t="inlineStr">
        <is>
          <t>A 43332-2022</t>
        </is>
      </c>
      <c r="B48" s="1" t="n">
        <v>44834</v>
      </c>
      <c r="C48" s="1" t="n">
        <v>45993</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20247-2023</t>
        </is>
      </c>
      <c r="B49" s="1" t="n">
        <v>45055</v>
      </c>
      <c r="C49" s="1" t="n">
        <v>45993</v>
      </c>
      <c r="D49" t="inlineStr">
        <is>
          <t>ÖREBRO LÄN</t>
        </is>
      </c>
      <c r="E49" t="inlineStr">
        <is>
          <t>ÖREBRO</t>
        </is>
      </c>
      <c r="G49" t="n">
        <v>3</v>
      </c>
      <c r="H49" t="n">
        <v>1</v>
      </c>
      <c r="I49" t="n">
        <v>0</v>
      </c>
      <c r="J49" t="n">
        <v>0</v>
      </c>
      <c r="K49" t="n">
        <v>0</v>
      </c>
      <c r="L49" t="n">
        <v>0</v>
      </c>
      <c r="M49" t="n">
        <v>0</v>
      </c>
      <c r="N49" t="n">
        <v>0</v>
      </c>
      <c r="O49" t="n">
        <v>0</v>
      </c>
      <c r="P49" t="n">
        <v>0</v>
      </c>
      <c r="Q49" t="n">
        <v>1</v>
      </c>
      <c r="R49" s="2" t="inlineStr">
        <is>
          <t>Större vattensalamander</t>
        </is>
      </c>
      <c r="S49">
        <f>HYPERLINK("https://klasma.github.io/Logging_1880/artfynd/A 20247-2023 artfynd.xlsx", "A 20247-2023")</f>
        <v/>
      </c>
      <c r="T49">
        <f>HYPERLINK("https://klasma.github.io/Logging_1880/kartor/A 20247-2023 karta.png", "A 20247-2023")</f>
        <v/>
      </c>
      <c r="V49">
        <f>HYPERLINK("https://klasma.github.io/Logging_1880/klagomål/A 20247-2023 FSC-klagomål.docx", "A 20247-2023")</f>
        <v/>
      </c>
      <c r="W49">
        <f>HYPERLINK("https://klasma.github.io/Logging_1880/klagomålsmail/A 20247-2023 FSC-klagomål mail.docx", "A 20247-2023")</f>
        <v/>
      </c>
      <c r="X49">
        <f>HYPERLINK("https://klasma.github.io/Logging_1880/tillsyn/A 20247-2023 tillsynsbegäran.docx", "A 20247-2023")</f>
        <v/>
      </c>
      <c r="Y49">
        <f>HYPERLINK("https://klasma.github.io/Logging_1880/tillsynsmail/A 20247-2023 tillsynsbegäran mail.docx", "A 20247-2023")</f>
        <v/>
      </c>
    </row>
    <row r="50" ht="15" customHeight="1">
      <c r="A50" t="inlineStr">
        <is>
          <t>A 44744-2024</t>
        </is>
      </c>
      <c r="B50" s="1" t="n">
        <v>45574.59789351852</v>
      </c>
      <c r="C50" s="1" t="n">
        <v>45993</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4014-2021</t>
        </is>
      </c>
      <c r="B51" s="1" t="n">
        <v>44218</v>
      </c>
      <c r="C51" s="1" t="n">
        <v>45993</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23998-2025</t>
        </is>
      </c>
      <c r="B52" s="1" t="n">
        <v>45796.42209490741</v>
      </c>
      <c r="C52" s="1" t="n">
        <v>45993</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32105-2023</t>
        </is>
      </c>
      <c r="B53" s="1" t="n">
        <v>45119</v>
      </c>
      <c r="C53" s="1" t="n">
        <v>45993</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26890-2022</t>
        </is>
      </c>
      <c r="B54" s="1" t="n">
        <v>44740</v>
      </c>
      <c r="C54" s="1" t="n">
        <v>45993</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57920-2024</t>
        </is>
      </c>
      <c r="B55" s="1" t="n">
        <v>45631.50894675926</v>
      </c>
      <c r="C55" s="1" t="n">
        <v>45993</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20032-2023</t>
        </is>
      </c>
      <c r="B56" s="1" t="n">
        <v>45054</v>
      </c>
      <c r="C56" s="1" t="n">
        <v>45993</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2077-2023</t>
        </is>
      </c>
      <c r="B57" s="1" t="n">
        <v>44939</v>
      </c>
      <c r="C57" s="1" t="n">
        <v>45993</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45993</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22604-2024</t>
        </is>
      </c>
      <c r="B59" s="1" t="n">
        <v>45447</v>
      </c>
      <c r="C59" s="1" t="n">
        <v>45993</v>
      </c>
      <c r="D59" t="inlineStr">
        <is>
          <t>ÖREBRO LÄN</t>
        </is>
      </c>
      <c r="E59" t="inlineStr">
        <is>
          <t>ÖREBRO</t>
        </is>
      </c>
      <c r="G59" t="n">
        <v>4.4</v>
      </c>
      <c r="H59" t="n">
        <v>0</v>
      </c>
      <c r="I59" t="n">
        <v>0</v>
      </c>
      <c r="J59" t="n">
        <v>1</v>
      </c>
      <c r="K59" t="n">
        <v>0</v>
      </c>
      <c r="L59" t="n">
        <v>0</v>
      </c>
      <c r="M59" t="n">
        <v>0</v>
      </c>
      <c r="N59" t="n">
        <v>0</v>
      </c>
      <c r="O59" t="n">
        <v>1</v>
      </c>
      <c r="P59" t="n">
        <v>0</v>
      </c>
      <c r="Q59" t="n">
        <v>1</v>
      </c>
      <c r="R59" s="2" t="inlineStr">
        <is>
          <t>Månlåsbräken</t>
        </is>
      </c>
      <c r="S59">
        <f>HYPERLINK("https://klasma.github.io/Logging_1880/artfynd/A 22604-2024 artfynd.xlsx", "A 22604-2024")</f>
        <v/>
      </c>
      <c r="T59">
        <f>HYPERLINK("https://klasma.github.io/Logging_1880/kartor/A 22604-2024 karta.png", "A 22604-2024")</f>
        <v/>
      </c>
      <c r="V59">
        <f>HYPERLINK("https://klasma.github.io/Logging_1880/klagomål/A 22604-2024 FSC-klagomål.docx", "A 22604-2024")</f>
        <v/>
      </c>
      <c r="W59">
        <f>HYPERLINK("https://klasma.github.io/Logging_1880/klagomålsmail/A 22604-2024 FSC-klagomål mail.docx", "A 22604-2024")</f>
        <v/>
      </c>
      <c r="X59">
        <f>HYPERLINK("https://klasma.github.io/Logging_1880/tillsyn/A 22604-2024 tillsynsbegäran.docx", "A 22604-2024")</f>
        <v/>
      </c>
      <c r="Y59">
        <f>HYPERLINK("https://klasma.github.io/Logging_1880/tillsynsmail/A 22604-2024 tillsynsbegäran mail.docx", "A 22604-2024")</f>
        <v/>
      </c>
    </row>
    <row r="60" ht="15" customHeight="1">
      <c r="A60" t="inlineStr">
        <is>
          <t>A 42636-2023</t>
        </is>
      </c>
      <c r="B60" s="1" t="n">
        <v>45181.49559027778</v>
      </c>
      <c r="C60" s="1" t="n">
        <v>45993</v>
      </c>
      <c r="D60" t="inlineStr">
        <is>
          <t>ÖREBRO LÄN</t>
        </is>
      </c>
      <c r="E60" t="inlineStr">
        <is>
          <t>ÖREBRO</t>
        </is>
      </c>
      <c r="G60" t="n">
        <v>1.7</v>
      </c>
      <c r="H60" t="n">
        <v>0</v>
      </c>
      <c r="I60" t="n">
        <v>0</v>
      </c>
      <c r="J60" t="n">
        <v>1</v>
      </c>
      <c r="K60" t="n">
        <v>0</v>
      </c>
      <c r="L60" t="n">
        <v>0</v>
      </c>
      <c r="M60" t="n">
        <v>0</v>
      </c>
      <c r="N60" t="n">
        <v>0</v>
      </c>
      <c r="O60" t="n">
        <v>1</v>
      </c>
      <c r="P60" t="n">
        <v>0</v>
      </c>
      <c r="Q60" t="n">
        <v>1</v>
      </c>
      <c r="R60" s="2" t="inlineStr">
        <is>
          <t>Igelkott</t>
        </is>
      </c>
      <c r="S60">
        <f>HYPERLINK("https://klasma.github.io/Logging_1880/artfynd/A 42636-2023 artfynd.xlsx", "A 42636-2023")</f>
        <v/>
      </c>
      <c r="T60">
        <f>HYPERLINK("https://klasma.github.io/Logging_1880/kartor/A 42636-2023 karta.png", "A 42636-2023")</f>
        <v/>
      </c>
      <c r="V60">
        <f>HYPERLINK("https://klasma.github.io/Logging_1880/klagomål/A 42636-2023 FSC-klagomål.docx", "A 42636-2023")</f>
        <v/>
      </c>
      <c r="W60">
        <f>HYPERLINK("https://klasma.github.io/Logging_1880/klagomålsmail/A 42636-2023 FSC-klagomål mail.docx", "A 42636-2023")</f>
        <v/>
      </c>
      <c r="X60">
        <f>HYPERLINK("https://klasma.github.io/Logging_1880/tillsyn/A 42636-2023 tillsynsbegäran.docx", "A 42636-2023")</f>
        <v/>
      </c>
      <c r="Y60">
        <f>HYPERLINK("https://klasma.github.io/Logging_1880/tillsynsmail/A 42636-2023 tillsynsbegäran mail.docx", "A 42636-2023")</f>
        <v/>
      </c>
    </row>
    <row r="61" ht="15" customHeight="1">
      <c r="A61" t="inlineStr">
        <is>
          <t>A 31695-2024</t>
        </is>
      </c>
      <c r="B61" s="1" t="n">
        <v>45508</v>
      </c>
      <c r="C61" s="1" t="n">
        <v>45993</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55904-2024</t>
        </is>
      </c>
      <c r="B62" s="1" t="n">
        <v>45623.58190972222</v>
      </c>
      <c r="C62" s="1" t="n">
        <v>45993</v>
      </c>
      <c r="D62" t="inlineStr">
        <is>
          <t>ÖREBRO LÄN</t>
        </is>
      </c>
      <c r="E62" t="inlineStr">
        <is>
          <t>ÖREBRO</t>
        </is>
      </c>
      <c r="G62" t="n">
        <v>1.2</v>
      </c>
      <c r="H62" t="n">
        <v>1</v>
      </c>
      <c r="I62" t="n">
        <v>0</v>
      </c>
      <c r="J62" t="n">
        <v>0</v>
      </c>
      <c r="K62" t="n">
        <v>0</v>
      </c>
      <c r="L62" t="n">
        <v>0</v>
      </c>
      <c r="M62" t="n">
        <v>0</v>
      </c>
      <c r="N62" t="n">
        <v>0</v>
      </c>
      <c r="O62" t="n">
        <v>0</v>
      </c>
      <c r="P62" t="n">
        <v>0</v>
      </c>
      <c r="Q62" t="n">
        <v>1</v>
      </c>
      <c r="R62" s="2" t="inlineStr">
        <is>
          <t>Trana</t>
        </is>
      </c>
      <c r="S62">
        <f>HYPERLINK("https://klasma.github.io/Logging_1880/artfynd/A 55904-2024 artfynd.xlsx", "A 55904-2024")</f>
        <v/>
      </c>
      <c r="T62">
        <f>HYPERLINK("https://klasma.github.io/Logging_1880/kartor/A 55904-2024 karta.png", "A 55904-2024")</f>
        <v/>
      </c>
      <c r="V62">
        <f>HYPERLINK("https://klasma.github.io/Logging_1880/klagomål/A 55904-2024 FSC-klagomål.docx", "A 55904-2024")</f>
        <v/>
      </c>
      <c r="W62">
        <f>HYPERLINK("https://klasma.github.io/Logging_1880/klagomålsmail/A 55904-2024 FSC-klagomål mail.docx", "A 55904-2024")</f>
        <v/>
      </c>
      <c r="X62">
        <f>HYPERLINK("https://klasma.github.io/Logging_1880/tillsyn/A 55904-2024 tillsynsbegäran.docx", "A 55904-2024")</f>
        <v/>
      </c>
      <c r="Y62">
        <f>HYPERLINK("https://klasma.github.io/Logging_1880/tillsynsmail/A 55904-2024 tillsynsbegäran mail.docx", "A 55904-2024")</f>
        <v/>
      </c>
      <c r="Z62">
        <f>HYPERLINK("https://klasma.github.io/Logging_1880/fåglar/A 55904-2024 prioriterade fågelarter.docx", "A 55904-2024")</f>
        <v/>
      </c>
    </row>
    <row r="63" ht="15" customHeight="1">
      <c r="A63" t="inlineStr">
        <is>
          <t>A 15621-2021</t>
        </is>
      </c>
      <c r="B63" s="1" t="n">
        <v>44285</v>
      </c>
      <c r="C63" s="1" t="n">
        <v>45993</v>
      </c>
      <c r="D63" t="inlineStr">
        <is>
          <t>ÖREBRO LÄN</t>
        </is>
      </c>
      <c r="E63" t="inlineStr">
        <is>
          <t>ÖREBRO</t>
        </is>
      </c>
      <c r="G63" t="n">
        <v>2.8</v>
      </c>
      <c r="H63" t="n">
        <v>1</v>
      </c>
      <c r="I63" t="n">
        <v>0</v>
      </c>
      <c r="J63" t="n">
        <v>0</v>
      </c>
      <c r="K63" t="n">
        <v>0</v>
      </c>
      <c r="L63" t="n">
        <v>0</v>
      </c>
      <c r="M63" t="n">
        <v>0</v>
      </c>
      <c r="N63" t="n">
        <v>0</v>
      </c>
      <c r="O63" t="n">
        <v>0</v>
      </c>
      <c r="P63" t="n">
        <v>0</v>
      </c>
      <c r="Q63" t="n">
        <v>1</v>
      </c>
      <c r="R63" s="2" t="inlineStr">
        <is>
          <t>Fläcknycklar</t>
        </is>
      </c>
      <c r="S63">
        <f>HYPERLINK("https://klasma.github.io/Logging_1880/artfynd/A 15621-2021 artfynd.xlsx", "A 15621-2021")</f>
        <v/>
      </c>
      <c r="T63">
        <f>HYPERLINK("https://klasma.github.io/Logging_1880/kartor/A 15621-2021 karta.png", "A 15621-2021")</f>
        <v/>
      </c>
      <c r="V63">
        <f>HYPERLINK("https://klasma.github.io/Logging_1880/klagomål/A 15621-2021 FSC-klagomål.docx", "A 15621-2021")</f>
        <v/>
      </c>
      <c r="W63">
        <f>HYPERLINK("https://klasma.github.io/Logging_1880/klagomålsmail/A 15621-2021 FSC-klagomål mail.docx", "A 15621-2021")</f>
        <v/>
      </c>
      <c r="X63">
        <f>HYPERLINK("https://klasma.github.io/Logging_1880/tillsyn/A 15621-2021 tillsynsbegäran.docx", "A 15621-2021")</f>
        <v/>
      </c>
      <c r="Y63">
        <f>HYPERLINK("https://klasma.github.io/Logging_1880/tillsynsmail/A 15621-2021 tillsynsbegäran mail.docx", "A 15621-2021")</f>
        <v/>
      </c>
    </row>
    <row r="64" ht="15" customHeight="1">
      <c r="A64" t="inlineStr">
        <is>
          <t>A 58832-2025</t>
        </is>
      </c>
      <c r="B64" s="1" t="n">
        <v>45987.35384259259</v>
      </c>
      <c r="C64" s="1" t="n">
        <v>45993</v>
      </c>
      <c r="D64" t="inlineStr">
        <is>
          <t>ÖREBRO LÄN</t>
        </is>
      </c>
      <c r="E64" t="inlineStr">
        <is>
          <t>ÖREBRO</t>
        </is>
      </c>
      <c r="G64" t="n">
        <v>0.9</v>
      </c>
      <c r="H64" t="n">
        <v>1</v>
      </c>
      <c r="I64" t="n">
        <v>0</v>
      </c>
      <c r="J64" t="n">
        <v>0</v>
      </c>
      <c r="K64" t="n">
        <v>0</v>
      </c>
      <c r="L64" t="n">
        <v>1</v>
      </c>
      <c r="M64" t="n">
        <v>0</v>
      </c>
      <c r="N64" t="n">
        <v>0</v>
      </c>
      <c r="O64" t="n">
        <v>1</v>
      </c>
      <c r="P64" t="n">
        <v>1</v>
      </c>
      <c r="Q64" t="n">
        <v>1</v>
      </c>
      <c r="R64" s="2" t="inlineStr">
        <is>
          <t>Mosippa</t>
        </is>
      </c>
      <c r="S64">
        <f>HYPERLINK("https://klasma.github.io/Logging_1880/artfynd/A 58832-2025 artfynd.xlsx", "A 58832-2025")</f>
        <v/>
      </c>
      <c r="T64">
        <f>HYPERLINK("https://klasma.github.io/Logging_1880/kartor/A 58832-2025 karta.png", "A 58832-2025")</f>
        <v/>
      </c>
      <c r="V64">
        <f>HYPERLINK("https://klasma.github.io/Logging_1880/klagomål/A 58832-2025 FSC-klagomål.docx", "A 58832-2025")</f>
        <v/>
      </c>
      <c r="W64">
        <f>HYPERLINK("https://klasma.github.io/Logging_1880/klagomålsmail/A 58832-2025 FSC-klagomål mail.docx", "A 58832-2025")</f>
        <v/>
      </c>
      <c r="X64">
        <f>HYPERLINK("https://klasma.github.io/Logging_1880/tillsyn/A 58832-2025 tillsynsbegäran.docx", "A 58832-2025")</f>
        <v/>
      </c>
      <c r="Y64">
        <f>HYPERLINK("https://klasma.github.io/Logging_1880/tillsynsmail/A 58832-2025 tillsynsbegäran mail.docx", "A 58832-2025")</f>
        <v/>
      </c>
    </row>
    <row r="65" ht="15" customHeight="1">
      <c r="A65" t="inlineStr">
        <is>
          <t>A 50499-2025</t>
        </is>
      </c>
      <c r="B65" s="1" t="n">
        <v>45945.41712962963</v>
      </c>
      <c r="C65" s="1" t="n">
        <v>45993</v>
      </c>
      <c r="D65" t="inlineStr">
        <is>
          <t>ÖREBRO LÄN</t>
        </is>
      </c>
      <c r="E65" t="inlineStr">
        <is>
          <t>ÖREBRO</t>
        </is>
      </c>
      <c r="G65" t="n">
        <v>6.7</v>
      </c>
      <c r="H65" t="n">
        <v>0</v>
      </c>
      <c r="I65" t="n">
        <v>0</v>
      </c>
      <c r="J65" t="n">
        <v>1</v>
      </c>
      <c r="K65" t="n">
        <v>0</v>
      </c>
      <c r="L65" t="n">
        <v>0</v>
      </c>
      <c r="M65" t="n">
        <v>0</v>
      </c>
      <c r="N65" t="n">
        <v>0</v>
      </c>
      <c r="O65" t="n">
        <v>1</v>
      </c>
      <c r="P65" t="n">
        <v>0</v>
      </c>
      <c r="Q65" t="n">
        <v>1</v>
      </c>
      <c r="R65" s="2" t="inlineStr">
        <is>
          <t>Gullklöver</t>
        </is>
      </c>
      <c r="S65">
        <f>HYPERLINK("https://klasma.github.io/Logging_1880/artfynd/A 50499-2025 artfynd.xlsx", "A 50499-2025")</f>
        <v/>
      </c>
      <c r="T65">
        <f>HYPERLINK("https://klasma.github.io/Logging_1880/kartor/A 50499-2025 karta.png", "A 50499-2025")</f>
        <v/>
      </c>
      <c r="V65">
        <f>HYPERLINK("https://klasma.github.io/Logging_1880/klagomål/A 50499-2025 FSC-klagomål.docx", "A 50499-2025")</f>
        <v/>
      </c>
      <c r="W65">
        <f>HYPERLINK("https://klasma.github.io/Logging_1880/klagomålsmail/A 50499-2025 FSC-klagomål mail.docx", "A 50499-2025")</f>
        <v/>
      </c>
      <c r="X65">
        <f>HYPERLINK("https://klasma.github.io/Logging_1880/tillsyn/A 50499-2025 tillsynsbegäran.docx", "A 50499-2025")</f>
        <v/>
      </c>
      <c r="Y65">
        <f>HYPERLINK("https://klasma.github.io/Logging_1880/tillsynsmail/A 50499-2025 tillsynsbegäran mail.docx", "A 50499-2025")</f>
        <v/>
      </c>
    </row>
    <row r="66" ht="15" customHeight="1">
      <c r="A66" t="inlineStr">
        <is>
          <t>A 28936-2025</t>
        </is>
      </c>
      <c r="B66" s="1" t="n">
        <v>45820.69287037037</v>
      </c>
      <c r="C66" s="1" t="n">
        <v>45993</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59516-2025</t>
        </is>
      </c>
      <c r="B67" s="1" t="n">
        <v>45989.65396990741</v>
      </c>
      <c r="C67" s="1" t="n">
        <v>45993</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32226-2025</t>
        </is>
      </c>
      <c r="B68" s="1" t="n">
        <v>45835.59478009259</v>
      </c>
      <c r="C68" s="1" t="n">
        <v>45993</v>
      </c>
      <c r="D68" t="inlineStr">
        <is>
          <t>ÖREBRO LÄN</t>
        </is>
      </c>
      <c r="E68" t="inlineStr">
        <is>
          <t>ÖREBRO</t>
        </is>
      </c>
      <c r="G68" t="n">
        <v>1.2</v>
      </c>
      <c r="H68" t="n">
        <v>0</v>
      </c>
      <c r="I68" t="n">
        <v>0</v>
      </c>
      <c r="J68" t="n">
        <v>1</v>
      </c>
      <c r="K68" t="n">
        <v>0</v>
      </c>
      <c r="L68" t="n">
        <v>0</v>
      </c>
      <c r="M68" t="n">
        <v>0</v>
      </c>
      <c r="N68" t="n">
        <v>0</v>
      </c>
      <c r="O68" t="n">
        <v>1</v>
      </c>
      <c r="P68" t="n">
        <v>0</v>
      </c>
      <c r="Q68" t="n">
        <v>1</v>
      </c>
      <c r="R68" s="2" t="inlineStr">
        <is>
          <t>Dofttaggsvamp</t>
        </is>
      </c>
      <c r="S68">
        <f>HYPERLINK("https://klasma.github.io/Logging_1880/artfynd/A 32226-2025 artfynd.xlsx", "A 32226-2025")</f>
        <v/>
      </c>
      <c r="T68">
        <f>HYPERLINK("https://klasma.github.io/Logging_1880/kartor/A 32226-2025 karta.png", "A 32226-2025")</f>
        <v/>
      </c>
      <c r="V68">
        <f>HYPERLINK("https://klasma.github.io/Logging_1880/klagomål/A 32226-2025 FSC-klagomål.docx", "A 32226-2025")</f>
        <v/>
      </c>
      <c r="W68">
        <f>HYPERLINK("https://klasma.github.io/Logging_1880/klagomålsmail/A 32226-2025 FSC-klagomål mail.docx", "A 32226-2025")</f>
        <v/>
      </c>
      <c r="X68">
        <f>HYPERLINK("https://klasma.github.io/Logging_1880/tillsyn/A 32226-2025 tillsynsbegäran.docx", "A 32226-2025")</f>
        <v/>
      </c>
      <c r="Y68">
        <f>HYPERLINK("https://klasma.github.io/Logging_1880/tillsynsmail/A 32226-2025 tillsynsbegäran mail.docx", "A 32226-2025")</f>
        <v/>
      </c>
    </row>
    <row r="69" ht="15" customHeight="1">
      <c r="A69" t="inlineStr">
        <is>
          <t>A 32204-2025</t>
        </is>
      </c>
      <c r="B69" s="1" t="n">
        <v>45835.58074074074</v>
      </c>
      <c r="C69" s="1" t="n">
        <v>45993</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9406-2021</t>
        </is>
      </c>
      <c r="B70" s="1" t="n">
        <v>44251</v>
      </c>
      <c r="C70" s="1" t="n">
        <v>45993</v>
      </c>
      <c r="D70" t="inlineStr">
        <is>
          <t>ÖREBRO LÄN</t>
        </is>
      </c>
      <c r="E70" t="inlineStr">
        <is>
          <t>ÖREBRO</t>
        </is>
      </c>
      <c r="G70" t="n">
        <v>6.1</v>
      </c>
      <c r="H70" t="n">
        <v>0</v>
      </c>
      <c r="I70" t="n">
        <v>0</v>
      </c>
      <c r="J70" t="n">
        <v>0</v>
      </c>
      <c r="K70" t="n">
        <v>0</v>
      </c>
      <c r="L70" t="n">
        <v>0</v>
      </c>
      <c r="M70" t="n">
        <v>0</v>
      </c>
      <c r="N70" t="n">
        <v>0</v>
      </c>
      <c r="O70" t="n">
        <v>0</v>
      </c>
      <c r="P70" t="n">
        <v>0</v>
      </c>
      <c r="Q70" t="n">
        <v>0</v>
      </c>
      <c r="R70" s="2" t="inlineStr"/>
    </row>
    <row r="71" ht="15" customHeight="1">
      <c r="A71" t="inlineStr">
        <is>
          <t>A 23606-2021</t>
        </is>
      </c>
      <c r="B71" s="1" t="n">
        <v>44334</v>
      </c>
      <c r="C71" s="1" t="n">
        <v>45993</v>
      </c>
      <c r="D71" t="inlineStr">
        <is>
          <t>ÖREBRO LÄN</t>
        </is>
      </c>
      <c r="E71" t="inlineStr">
        <is>
          <t>ÖREBRO</t>
        </is>
      </c>
      <c r="G71" t="n">
        <v>2.4</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45993</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45993</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45993</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45993</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45993</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45993</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45993</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45993</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45993</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45993</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45993</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45993</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45993</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65592-2020</t>
        </is>
      </c>
      <c r="B85" s="1" t="n">
        <v>44173</v>
      </c>
      <c r="C85" s="1" t="n">
        <v>45993</v>
      </c>
      <c r="D85" t="inlineStr">
        <is>
          <t>ÖREBRO LÄN</t>
        </is>
      </c>
      <c r="E85" t="inlineStr">
        <is>
          <t>ÖREBRO</t>
        </is>
      </c>
      <c r="G85" t="n">
        <v>8.9</v>
      </c>
      <c r="H85" t="n">
        <v>0</v>
      </c>
      <c r="I85" t="n">
        <v>0</v>
      </c>
      <c r="J85" t="n">
        <v>0</v>
      </c>
      <c r="K85" t="n">
        <v>0</v>
      </c>
      <c r="L85" t="n">
        <v>0</v>
      </c>
      <c r="M85" t="n">
        <v>0</v>
      </c>
      <c r="N85" t="n">
        <v>0</v>
      </c>
      <c r="O85" t="n">
        <v>0</v>
      </c>
      <c r="P85" t="n">
        <v>0</v>
      </c>
      <c r="Q85" t="n">
        <v>0</v>
      </c>
      <c r="R85" s="2" t="inlineStr"/>
    </row>
    <row r="86" ht="15" customHeight="1">
      <c r="A86" t="inlineStr">
        <is>
          <t>A 13193-2021</t>
        </is>
      </c>
      <c r="B86" s="1" t="n">
        <v>44272.55052083333</v>
      </c>
      <c r="C86" s="1" t="n">
        <v>45993</v>
      </c>
      <c r="D86" t="inlineStr">
        <is>
          <t>ÖREBRO LÄN</t>
        </is>
      </c>
      <c r="E86" t="inlineStr">
        <is>
          <t>ÖREBRO</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31235-2021</t>
        </is>
      </c>
      <c r="B87" s="1" t="n">
        <v>44368.65681712963</v>
      </c>
      <c r="C87" s="1" t="n">
        <v>45993</v>
      </c>
      <c r="D87" t="inlineStr">
        <is>
          <t>ÖREBRO LÄN</t>
        </is>
      </c>
      <c r="E87" t="inlineStr">
        <is>
          <t>ÖREBRO</t>
        </is>
      </c>
      <c r="F87" t="inlineStr">
        <is>
          <t>Övriga Aktiebolag</t>
        </is>
      </c>
      <c r="G87" t="n">
        <v>1.5</v>
      </c>
      <c r="H87" t="n">
        <v>0</v>
      </c>
      <c r="I87" t="n">
        <v>0</v>
      </c>
      <c r="J87" t="n">
        <v>0</v>
      </c>
      <c r="K87" t="n">
        <v>0</v>
      </c>
      <c r="L87" t="n">
        <v>0</v>
      </c>
      <c r="M87" t="n">
        <v>0</v>
      </c>
      <c r="N87" t="n">
        <v>0</v>
      </c>
      <c r="O87" t="n">
        <v>0</v>
      </c>
      <c r="P87" t="n">
        <v>0</v>
      </c>
      <c r="Q87" t="n">
        <v>0</v>
      </c>
      <c r="R87" s="2" t="inlineStr"/>
    </row>
    <row r="88" ht="15" customHeight="1">
      <c r="A88" t="inlineStr">
        <is>
          <t>A 41892-2022</t>
        </is>
      </c>
      <c r="B88" s="1" t="n">
        <v>44830.33280092593</v>
      </c>
      <c r="C88" s="1" t="n">
        <v>45993</v>
      </c>
      <c r="D88" t="inlineStr">
        <is>
          <t>ÖREBRO LÄN</t>
        </is>
      </c>
      <c r="E88" t="inlineStr">
        <is>
          <t>ÖREBRO</t>
        </is>
      </c>
      <c r="G88" t="n">
        <v>1.1</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45993</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45993</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45993</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45993</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45993</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45993</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45993</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45993</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45993</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67627-2020</t>
        </is>
      </c>
      <c r="B98" s="1" t="n">
        <v>44182</v>
      </c>
      <c r="C98" s="1" t="n">
        <v>45993</v>
      </c>
      <c r="D98" t="inlineStr">
        <is>
          <t>ÖREBRO LÄN</t>
        </is>
      </c>
      <c r="E98" t="inlineStr">
        <is>
          <t>ÖREBRO</t>
        </is>
      </c>
      <c r="G98" t="n">
        <v>1.4</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45993</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45993</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45993</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45993</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45993</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45993</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45993</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45993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45993</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25660-2021</t>
        </is>
      </c>
      <c r="B108" s="1" t="n">
        <v>44343.5619212963</v>
      </c>
      <c r="C108" s="1" t="n">
        <v>45993</v>
      </c>
      <c r="D108" t="inlineStr">
        <is>
          <t>ÖREBRO LÄN</t>
        </is>
      </c>
      <c r="E108" t="inlineStr">
        <is>
          <t>ÖREBRO</t>
        </is>
      </c>
      <c r="G108" t="n">
        <v>1.8</v>
      </c>
      <c r="H108" t="n">
        <v>0</v>
      </c>
      <c r="I108" t="n">
        <v>0</v>
      </c>
      <c r="J108" t="n">
        <v>0</v>
      </c>
      <c r="K108" t="n">
        <v>0</v>
      </c>
      <c r="L108" t="n">
        <v>0</v>
      </c>
      <c r="M108" t="n">
        <v>0</v>
      </c>
      <c r="N108" t="n">
        <v>0</v>
      </c>
      <c r="O108" t="n">
        <v>0</v>
      </c>
      <c r="P108" t="n">
        <v>0</v>
      </c>
      <c r="Q108" t="n">
        <v>0</v>
      </c>
      <c r="R108" s="2" t="inlineStr"/>
    </row>
    <row r="109" ht="15" customHeight="1">
      <c r="A109" t="inlineStr">
        <is>
          <t>A 70199-2021</t>
        </is>
      </c>
      <c r="B109" s="1" t="n">
        <v>44534.80712962963</v>
      </c>
      <c r="C109" s="1" t="n">
        <v>45993</v>
      </c>
      <c r="D109" t="inlineStr">
        <is>
          <t>ÖREBRO LÄN</t>
        </is>
      </c>
      <c r="E109" t="inlineStr">
        <is>
          <t>ÖREBRO</t>
        </is>
      </c>
      <c r="G109" t="n">
        <v>4.1</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45993</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45993</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45993</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45993</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32231-2022</t>
        </is>
      </c>
      <c r="B114" s="1" t="n">
        <v>44781</v>
      </c>
      <c r="C114" s="1" t="n">
        <v>45993</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32247-2022</t>
        </is>
      </c>
      <c r="B115" s="1" t="n">
        <v>44781</v>
      </c>
      <c r="C115" s="1" t="n">
        <v>45993</v>
      </c>
      <c r="D115" t="inlineStr">
        <is>
          <t>ÖREBRO LÄN</t>
        </is>
      </c>
      <c r="E115" t="inlineStr">
        <is>
          <t>ÖREBRO</t>
        </is>
      </c>
      <c r="G115" t="n">
        <v>3</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45993</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6638-2022</t>
        </is>
      </c>
      <c r="B117" s="1" t="n">
        <v>44601</v>
      </c>
      <c r="C117" s="1" t="n">
        <v>45993</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45993</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41553-2022</t>
        </is>
      </c>
      <c r="B119" s="1" t="n">
        <v>44827.3940625</v>
      </c>
      <c r="C119" s="1" t="n">
        <v>45993</v>
      </c>
      <c r="D119" t="inlineStr">
        <is>
          <t>ÖREBRO LÄN</t>
        </is>
      </c>
      <c r="E119" t="inlineStr">
        <is>
          <t>ÖREBRO</t>
        </is>
      </c>
      <c r="G119" t="n">
        <v>3.7</v>
      </c>
      <c r="H119" t="n">
        <v>0</v>
      </c>
      <c r="I119" t="n">
        <v>0</v>
      </c>
      <c r="J119" t="n">
        <v>0</v>
      </c>
      <c r="K119" t="n">
        <v>0</v>
      </c>
      <c r="L119" t="n">
        <v>0</v>
      </c>
      <c r="M119" t="n">
        <v>0</v>
      </c>
      <c r="N119" t="n">
        <v>0</v>
      </c>
      <c r="O119" t="n">
        <v>0</v>
      </c>
      <c r="P119" t="n">
        <v>0</v>
      </c>
      <c r="Q119" t="n">
        <v>0</v>
      </c>
      <c r="R119" s="2" t="inlineStr"/>
    </row>
    <row r="120" ht="15" customHeight="1">
      <c r="A120" t="inlineStr">
        <is>
          <t>A 14562-2022</t>
        </is>
      </c>
      <c r="B120" s="1" t="n">
        <v>44655</v>
      </c>
      <c r="C120" s="1" t="n">
        <v>45993</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19458-2022</t>
        </is>
      </c>
      <c r="B121" s="1" t="n">
        <v>44693</v>
      </c>
      <c r="C121" s="1" t="n">
        <v>45993</v>
      </c>
      <c r="D121" t="inlineStr">
        <is>
          <t>ÖREBRO LÄN</t>
        </is>
      </c>
      <c r="E121" t="inlineStr">
        <is>
          <t>ÖREBRO</t>
        </is>
      </c>
      <c r="G121" t="n">
        <v>0.7</v>
      </c>
      <c r="H121" t="n">
        <v>0</v>
      </c>
      <c r="I121" t="n">
        <v>0</v>
      </c>
      <c r="J121" t="n">
        <v>0</v>
      </c>
      <c r="K121" t="n">
        <v>0</v>
      </c>
      <c r="L121" t="n">
        <v>0</v>
      </c>
      <c r="M121" t="n">
        <v>0</v>
      </c>
      <c r="N121" t="n">
        <v>0</v>
      </c>
      <c r="O121" t="n">
        <v>0</v>
      </c>
      <c r="P121" t="n">
        <v>0</v>
      </c>
      <c r="Q121" t="n">
        <v>0</v>
      </c>
      <c r="R121" s="2" t="inlineStr"/>
    </row>
    <row r="122" ht="15" customHeight="1">
      <c r="A122" t="inlineStr">
        <is>
          <t>A 64523-2021</t>
        </is>
      </c>
      <c r="B122" s="1" t="n">
        <v>44511</v>
      </c>
      <c r="C122" s="1" t="n">
        <v>45993</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30760-2022</t>
        </is>
      </c>
      <c r="B123" s="1" t="n">
        <v>44764.51827546296</v>
      </c>
      <c r="C123" s="1" t="n">
        <v>45993</v>
      </c>
      <c r="D123" t="inlineStr">
        <is>
          <t>ÖREBRO LÄN</t>
        </is>
      </c>
      <c r="E123" t="inlineStr">
        <is>
          <t>ÖREBRO</t>
        </is>
      </c>
      <c r="G123" t="n">
        <v>4</v>
      </c>
      <c r="H123" t="n">
        <v>0</v>
      </c>
      <c r="I123" t="n">
        <v>0</v>
      </c>
      <c r="J123" t="n">
        <v>0</v>
      </c>
      <c r="K123" t="n">
        <v>0</v>
      </c>
      <c r="L123" t="n">
        <v>0</v>
      </c>
      <c r="M123" t="n">
        <v>0</v>
      </c>
      <c r="N123" t="n">
        <v>0</v>
      </c>
      <c r="O123" t="n">
        <v>0</v>
      </c>
      <c r="P123" t="n">
        <v>0</v>
      </c>
      <c r="Q123" t="n">
        <v>0</v>
      </c>
      <c r="R123" s="2" t="inlineStr"/>
    </row>
    <row r="124" ht="15" customHeight="1">
      <c r="A124" t="inlineStr">
        <is>
          <t>A 29490-2022</t>
        </is>
      </c>
      <c r="B124" s="1" t="n">
        <v>44753</v>
      </c>
      <c r="C124" s="1" t="n">
        <v>45993</v>
      </c>
      <c r="D124" t="inlineStr">
        <is>
          <t>ÖREBRO LÄN</t>
        </is>
      </c>
      <c r="E124" t="inlineStr">
        <is>
          <t>ÖREBRO</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33814-2021</t>
        </is>
      </c>
      <c r="B125" s="1" t="n">
        <v>44378</v>
      </c>
      <c r="C125" s="1" t="n">
        <v>45993</v>
      </c>
      <c r="D125" t="inlineStr">
        <is>
          <t>ÖREBRO LÄN</t>
        </is>
      </c>
      <c r="E125" t="inlineStr">
        <is>
          <t>ÖREBRO</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45993</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45993</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66936-2021</t>
        </is>
      </c>
      <c r="B128" s="1" t="n">
        <v>44522.56349537037</v>
      </c>
      <c r="C128" s="1" t="n">
        <v>45993</v>
      </c>
      <c r="D128" t="inlineStr">
        <is>
          <t>ÖREBRO LÄN</t>
        </is>
      </c>
      <c r="E128" t="inlineStr">
        <is>
          <t>ÖREBRO</t>
        </is>
      </c>
      <c r="G128" t="n">
        <v>6.8</v>
      </c>
      <c r="H128" t="n">
        <v>0</v>
      </c>
      <c r="I128" t="n">
        <v>0</v>
      </c>
      <c r="J128" t="n">
        <v>0</v>
      </c>
      <c r="K128" t="n">
        <v>0</v>
      </c>
      <c r="L128" t="n">
        <v>0</v>
      </c>
      <c r="M128" t="n">
        <v>0</v>
      </c>
      <c r="N128" t="n">
        <v>0</v>
      </c>
      <c r="O128" t="n">
        <v>0</v>
      </c>
      <c r="P128" t="n">
        <v>0</v>
      </c>
      <c r="Q128" t="n">
        <v>0</v>
      </c>
      <c r="R128" s="2" t="inlineStr"/>
    </row>
    <row r="129" ht="15" customHeight="1">
      <c r="A129" t="inlineStr">
        <is>
          <t>A 44131-2022</t>
        </is>
      </c>
      <c r="B129" s="1" t="n">
        <v>44839</v>
      </c>
      <c r="C129" s="1" t="n">
        <v>45993</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18321-2022</t>
        </is>
      </c>
      <c r="B130" s="1" t="n">
        <v>44685</v>
      </c>
      <c r="C130" s="1" t="n">
        <v>45993</v>
      </c>
      <c r="D130" t="inlineStr">
        <is>
          <t>ÖREBRO LÄN</t>
        </is>
      </c>
      <c r="E130" t="inlineStr">
        <is>
          <t>ÖREBRO</t>
        </is>
      </c>
      <c r="G130" t="n">
        <v>2.1</v>
      </c>
      <c r="H130" t="n">
        <v>0</v>
      </c>
      <c r="I130" t="n">
        <v>0</v>
      </c>
      <c r="J130" t="n">
        <v>0</v>
      </c>
      <c r="K130" t="n">
        <v>0</v>
      </c>
      <c r="L130" t="n">
        <v>0</v>
      </c>
      <c r="M130" t="n">
        <v>0</v>
      </c>
      <c r="N130" t="n">
        <v>0</v>
      </c>
      <c r="O130" t="n">
        <v>0</v>
      </c>
      <c r="P130" t="n">
        <v>0</v>
      </c>
      <c r="Q130" t="n">
        <v>0</v>
      </c>
      <c r="R130" s="2" t="inlineStr"/>
    </row>
    <row r="131" ht="15" customHeight="1">
      <c r="A131" t="inlineStr">
        <is>
          <t>A 16258-2022</t>
        </is>
      </c>
      <c r="B131" s="1" t="n">
        <v>44670</v>
      </c>
      <c r="C131" s="1" t="n">
        <v>45993</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7117-2021</t>
        </is>
      </c>
      <c r="B132" s="1" t="n">
        <v>44238</v>
      </c>
      <c r="C132" s="1" t="n">
        <v>45993</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57343-2021</t>
        </is>
      </c>
      <c r="B133" s="1" t="n">
        <v>44482</v>
      </c>
      <c r="C133" s="1" t="n">
        <v>45993</v>
      </c>
      <c r="D133" t="inlineStr">
        <is>
          <t>ÖREBRO LÄN</t>
        </is>
      </c>
      <c r="E133" t="inlineStr">
        <is>
          <t>ÖREBRO</t>
        </is>
      </c>
      <c r="G133" t="n">
        <v>3.3</v>
      </c>
      <c r="H133" t="n">
        <v>0</v>
      </c>
      <c r="I133" t="n">
        <v>0</v>
      </c>
      <c r="J133" t="n">
        <v>0</v>
      </c>
      <c r="K133" t="n">
        <v>0</v>
      </c>
      <c r="L133" t="n">
        <v>0</v>
      </c>
      <c r="M133" t="n">
        <v>0</v>
      </c>
      <c r="N133" t="n">
        <v>0</v>
      </c>
      <c r="O133" t="n">
        <v>0</v>
      </c>
      <c r="P133" t="n">
        <v>0</v>
      </c>
      <c r="Q133" t="n">
        <v>0</v>
      </c>
      <c r="R133" s="2" t="inlineStr"/>
    </row>
    <row r="134" ht="15" customHeight="1">
      <c r="A134" t="inlineStr">
        <is>
          <t>A 26118-2021</t>
        </is>
      </c>
      <c r="B134" s="1" t="n">
        <v>44345</v>
      </c>
      <c r="C134" s="1" t="n">
        <v>45993</v>
      </c>
      <c r="D134" t="inlineStr">
        <is>
          <t>ÖREBRO LÄN</t>
        </is>
      </c>
      <c r="E134" t="inlineStr">
        <is>
          <t>ÖREBRO</t>
        </is>
      </c>
      <c r="G134" t="n">
        <v>2.2</v>
      </c>
      <c r="H134" t="n">
        <v>0</v>
      </c>
      <c r="I134" t="n">
        <v>0</v>
      </c>
      <c r="J134" t="n">
        <v>0</v>
      </c>
      <c r="K134" t="n">
        <v>0</v>
      </c>
      <c r="L134" t="n">
        <v>0</v>
      </c>
      <c r="M134" t="n">
        <v>0</v>
      </c>
      <c r="N134" t="n">
        <v>0</v>
      </c>
      <c r="O134" t="n">
        <v>0</v>
      </c>
      <c r="P134" t="n">
        <v>0</v>
      </c>
      <c r="Q134" t="n">
        <v>0</v>
      </c>
      <c r="R134" s="2" t="inlineStr"/>
    </row>
    <row r="135" ht="15" customHeight="1">
      <c r="A135" t="inlineStr">
        <is>
          <t>A 26119-2021</t>
        </is>
      </c>
      <c r="B135" s="1" t="n">
        <v>44345.33282407407</v>
      </c>
      <c r="C135" s="1" t="n">
        <v>45993</v>
      </c>
      <c r="D135" t="inlineStr">
        <is>
          <t>ÖREBRO LÄN</t>
        </is>
      </c>
      <c r="E135" t="inlineStr">
        <is>
          <t>ÖREBRO</t>
        </is>
      </c>
      <c r="G135" t="n">
        <v>1.6</v>
      </c>
      <c r="H135" t="n">
        <v>0</v>
      </c>
      <c r="I135" t="n">
        <v>0</v>
      </c>
      <c r="J135" t="n">
        <v>0</v>
      </c>
      <c r="K135" t="n">
        <v>0</v>
      </c>
      <c r="L135" t="n">
        <v>0</v>
      </c>
      <c r="M135" t="n">
        <v>0</v>
      </c>
      <c r="N135" t="n">
        <v>0</v>
      </c>
      <c r="O135" t="n">
        <v>0</v>
      </c>
      <c r="P135" t="n">
        <v>0</v>
      </c>
      <c r="Q135" t="n">
        <v>0</v>
      </c>
      <c r="R135" s="2" t="inlineStr"/>
    </row>
    <row r="136" ht="15" customHeight="1">
      <c r="A136" t="inlineStr">
        <is>
          <t>A 28870-2021</t>
        </is>
      </c>
      <c r="B136" s="1" t="n">
        <v>44357.75265046296</v>
      </c>
      <c r="C136" s="1" t="n">
        <v>45993</v>
      </c>
      <c r="D136" t="inlineStr">
        <is>
          <t>ÖREBRO LÄN</t>
        </is>
      </c>
      <c r="E136" t="inlineStr">
        <is>
          <t>ÖREBRO</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69613-2020</t>
        </is>
      </c>
      <c r="B137" s="1" t="n">
        <v>44195</v>
      </c>
      <c r="C137" s="1" t="n">
        <v>45993</v>
      </c>
      <c r="D137" t="inlineStr">
        <is>
          <t>ÖREBRO LÄN</t>
        </is>
      </c>
      <c r="E137" t="inlineStr">
        <is>
          <t>ÖREBRO</t>
        </is>
      </c>
      <c r="G137" t="n">
        <v>4.7</v>
      </c>
      <c r="H137" t="n">
        <v>0</v>
      </c>
      <c r="I137" t="n">
        <v>0</v>
      </c>
      <c r="J137" t="n">
        <v>0</v>
      </c>
      <c r="K137" t="n">
        <v>0</v>
      </c>
      <c r="L137" t="n">
        <v>0</v>
      </c>
      <c r="M137" t="n">
        <v>0</v>
      </c>
      <c r="N137" t="n">
        <v>0</v>
      </c>
      <c r="O137" t="n">
        <v>0</v>
      </c>
      <c r="P137" t="n">
        <v>0</v>
      </c>
      <c r="Q137" t="n">
        <v>0</v>
      </c>
      <c r="R137" s="2" t="inlineStr"/>
    </row>
    <row r="138" ht="15" customHeight="1">
      <c r="A138" t="inlineStr">
        <is>
          <t>A 19468-2021</t>
        </is>
      </c>
      <c r="B138" s="1" t="n">
        <v>44311</v>
      </c>
      <c r="C138" s="1" t="n">
        <v>45993</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63247-2021</t>
        </is>
      </c>
      <c r="B139" s="1" t="n">
        <v>44505</v>
      </c>
      <c r="C139" s="1" t="n">
        <v>45993</v>
      </c>
      <c r="D139" t="inlineStr">
        <is>
          <t>ÖREBRO LÄN</t>
        </is>
      </c>
      <c r="E139" t="inlineStr">
        <is>
          <t>ÖREBRO</t>
        </is>
      </c>
      <c r="G139" t="n">
        <v>1.5</v>
      </c>
      <c r="H139" t="n">
        <v>0</v>
      </c>
      <c r="I139" t="n">
        <v>0</v>
      </c>
      <c r="J139" t="n">
        <v>0</v>
      </c>
      <c r="K139" t="n">
        <v>0</v>
      </c>
      <c r="L139" t="n">
        <v>0</v>
      </c>
      <c r="M139" t="n">
        <v>0</v>
      </c>
      <c r="N139" t="n">
        <v>0</v>
      </c>
      <c r="O139" t="n">
        <v>0</v>
      </c>
      <c r="P139" t="n">
        <v>0</v>
      </c>
      <c r="Q139" t="n">
        <v>0</v>
      </c>
      <c r="R139" s="2" t="inlineStr"/>
    </row>
    <row r="140" ht="15" customHeight="1">
      <c r="A140" t="inlineStr">
        <is>
          <t>A 3087-2021</t>
        </is>
      </c>
      <c r="B140" s="1" t="n">
        <v>44216</v>
      </c>
      <c r="C140" s="1" t="n">
        <v>45993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9362-2022</t>
        </is>
      </c>
      <c r="B141" s="1" t="n">
        <v>44616.59946759259</v>
      </c>
      <c r="C141" s="1" t="n">
        <v>45993</v>
      </c>
      <c r="D141" t="inlineStr">
        <is>
          <t>ÖREBRO LÄN</t>
        </is>
      </c>
      <c r="E141" t="inlineStr">
        <is>
          <t>ÖREBRO</t>
        </is>
      </c>
      <c r="G141" t="n">
        <v>1.3</v>
      </c>
      <c r="H141" t="n">
        <v>0</v>
      </c>
      <c r="I141" t="n">
        <v>0</v>
      </c>
      <c r="J141" t="n">
        <v>0</v>
      </c>
      <c r="K141" t="n">
        <v>0</v>
      </c>
      <c r="L141" t="n">
        <v>0</v>
      </c>
      <c r="M141" t="n">
        <v>0</v>
      </c>
      <c r="N141" t="n">
        <v>0</v>
      </c>
      <c r="O141" t="n">
        <v>0</v>
      </c>
      <c r="P141" t="n">
        <v>0</v>
      </c>
      <c r="Q141" t="n">
        <v>0</v>
      </c>
      <c r="R141" s="2" t="inlineStr"/>
    </row>
    <row r="142" ht="15" customHeight="1">
      <c r="A142" t="inlineStr">
        <is>
          <t>A 16261-2022</t>
        </is>
      </c>
      <c r="B142" s="1" t="n">
        <v>44670</v>
      </c>
      <c r="C142" s="1" t="n">
        <v>45993</v>
      </c>
      <c r="D142" t="inlineStr">
        <is>
          <t>ÖREBRO LÄN</t>
        </is>
      </c>
      <c r="E142" t="inlineStr">
        <is>
          <t>ÖREBRO</t>
        </is>
      </c>
      <c r="G142" t="n">
        <v>1.2</v>
      </c>
      <c r="H142" t="n">
        <v>0</v>
      </c>
      <c r="I142" t="n">
        <v>0</v>
      </c>
      <c r="J142" t="n">
        <v>0</v>
      </c>
      <c r="K142" t="n">
        <v>0</v>
      </c>
      <c r="L142" t="n">
        <v>0</v>
      </c>
      <c r="M142" t="n">
        <v>0</v>
      </c>
      <c r="N142" t="n">
        <v>0</v>
      </c>
      <c r="O142" t="n">
        <v>0</v>
      </c>
      <c r="P142" t="n">
        <v>0</v>
      </c>
      <c r="Q142" t="n">
        <v>0</v>
      </c>
      <c r="R142" s="2" t="inlineStr"/>
    </row>
    <row r="143" ht="15" customHeight="1">
      <c r="A143" t="inlineStr">
        <is>
          <t>A 44165-2022</t>
        </is>
      </c>
      <c r="B143" s="1" t="n">
        <v>44839</v>
      </c>
      <c r="C143" s="1" t="n">
        <v>45993</v>
      </c>
      <c r="D143" t="inlineStr">
        <is>
          <t>ÖREBRO LÄN</t>
        </is>
      </c>
      <c r="E143" t="inlineStr">
        <is>
          <t>ÖREBRO</t>
        </is>
      </c>
      <c r="G143" t="n">
        <v>0.5</v>
      </c>
      <c r="H143" t="n">
        <v>0</v>
      </c>
      <c r="I143" t="n">
        <v>0</v>
      </c>
      <c r="J143" t="n">
        <v>0</v>
      </c>
      <c r="K143" t="n">
        <v>0</v>
      </c>
      <c r="L143" t="n">
        <v>0</v>
      </c>
      <c r="M143" t="n">
        <v>0</v>
      </c>
      <c r="N143" t="n">
        <v>0</v>
      </c>
      <c r="O143" t="n">
        <v>0</v>
      </c>
      <c r="P143" t="n">
        <v>0</v>
      </c>
      <c r="Q143" t="n">
        <v>0</v>
      </c>
      <c r="R143" s="2" t="inlineStr"/>
    </row>
    <row r="144" ht="15" customHeight="1">
      <c r="A144" t="inlineStr">
        <is>
          <t>A 18047-2022</t>
        </is>
      </c>
      <c r="B144" s="1" t="n">
        <v>44684</v>
      </c>
      <c r="C144" s="1" t="n">
        <v>45993</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61232-2021</t>
        </is>
      </c>
      <c r="B145" s="1" t="n">
        <v>44498</v>
      </c>
      <c r="C145" s="1" t="n">
        <v>45993</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48581-2024</t>
        </is>
      </c>
      <c r="B146" s="1" t="n">
        <v>45593.41642361111</v>
      </c>
      <c r="C146" s="1" t="n">
        <v>45993</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57498-2021</t>
        </is>
      </c>
      <c r="B147" s="1" t="n">
        <v>44483</v>
      </c>
      <c r="C147" s="1" t="n">
        <v>45993</v>
      </c>
      <c r="D147" t="inlineStr">
        <is>
          <t>ÖREBRO LÄN</t>
        </is>
      </c>
      <c r="E147" t="inlineStr">
        <is>
          <t>ÖREBRO</t>
        </is>
      </c>
      <c r="F147" t="inlineStr">
        <is>
          <t>Övriga Aktiebolag</t>
        </is>
      </c>
      <c r="G147" t="n">
        <v>2.7</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45993</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4766-2022</t>
        </is>
      </c>
      <c r="B149" s="1" t="n">
        <v>44592</v>
      </c>
      <c r="C149" s="1" t="n">
        <v>45993</v>
      </c>
      <c r="D149" t="inlineStr">
        <is>
          <t>ÖREBRO LÄN</t>
        </is>
      </c>
      <c r="E149" t="inlineStr">
        <is>
          <t>ÖREBRO</t>
        </is>
      </c>
      <c r="G149" t="n">
        <v>2.9</v>
      </c>
      <c r="H149" t="n">
        <v>0</v>
      </c>
      <c r="I149" t="n">
        <v>0</v>
      </c>
      <c r="J149" t="n">
        <v>0</v>
      </c>
      <c r="K149" t="n">
        <v>0</v>
      </c>
      <c r="L149" t="n">
        <v>0</v>
      </c>
      <c r="M149" t="n">
        <v>0</v>
      </c>
      <c r="N149" t="n">
        <v>0</v>
      </c>
      <c r="O149" t="n">
        <v>0</v>
      </c>
      <c r="P149" t="n">
        <v>0</v>
      </c>
      <c r="Q149" t="n">
        <v>0</v>
      </c>
      <c r="R149" s="2" t="inlineStr"/>
    </row>
    <row r="150" ht="15" customHeight="1">
      <c r="A150" t="inlineStr">
        <is>
          <t>A 47047-2022</t>
        </is>
      </c>
      <c r="B150" s="1" t="n">
        <v>44852.39063657408</v>
      </c>
      <c r="C150" s="1" t="n">
        <v>45993</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21036-2024</t>
        </is>
      </c>
      <c r="B151" s="1" t="n">
        <v>45439.65954861111</v>
      </c>
      <c r="C151" s="1" t="n">
        <v>45993</v>
      </c>
      <c r="D151" t="inlineStr">
        <is>
          <t>ÖREBRO LÄN</t>
        </is>
      </c>
      <c r="E151" t="inlineStr">
        <is>
          <t>ÖREBRO</t>
        </is>
      </c>
      <c r="F151" t="inlineStr">
        <is>
          <t>Övriga Aktiebolag</t>
        </is>
      </c>
      <c r="G151" t="n">
        <v>5.7</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45993</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40312-2021</t>
        </is>
      </c>
      <c r="B153" s="1" t="n">
        <v>44419</v>
      </c>
      <c r="C153" s="1" t="n">
        <v>45993</v>
      </c>
      <c r="D153" t="inlineStr">
        <is>
          <t>ÖREBRO LÄN</t>
        </is>
      </c>
      <c r="E153" t="inlineStr">
        <is>
          <t>ÖREBRO</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10019-2022</t>
        </is>
      </c>
      <c r="B154" s="1" t="n">
        <v>44621</v>
      </c>
      <c r="C154" s="1" t="n">
        <v>45993</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12478-2022</t>
        </is>
      </c>
      <c r="B155" s="1" t="n">
        <v>44638</v>
      </c>
      <c r="C155" s="1" t="n">
        <v>45993</v>
      </c>
      <c r="D155" t="inlineStr">
        <is>
          <t>ÖREBRO LÄN</t>
        </is>
      </c>
      <c r="E155" t="inlineStr">
        <is>
          <t>ÖREBRO</t>
        </is>
      </c>
      <c r="F155" t="inlineStr">
        <is>
          <t>Kyrkan</t>
        </is>
      </c>
      <c r="G155" t="n">
        <v>1.4</v>
      </c>
      <c r="H155" t="n">
        <v>0</v>
      </c>
      <c r="I155" t="n">
        <v>0</v>
      </c>
      <c r="J155" t="n">
        <v>0</v>
      </c>
      <c r="K155" t="n">
        <v>0</v>
      </c>
      <c r="L155" t="n">
        <v>0</v>
      </c>
      <c r="M155" t="n">
        <v>0</v>
      </c>
      <c r="N155" t="n">
        <v>0</v>
      </c>
      <c r="O155" t="n">
        <v>0</v>
      </c>
      <c r="P155" t="n">
        <v>0</v>
      </c>
      <c r="Q155" t="n">
        <v>0</v>
      </c>
      <c r="R155" s="2" t="inlineStr"/>
    </row>
    <row r="156" ht="15" customHeight="1">
      <c r="A156" t="inlineStr">
        <is>
          <t>A 5401-2022</t>
        </is>
      </c>
      <c r="B156" s="1" t="n">
        <v>44595</v>
      </c>
      <c r="C156" s="1" t="n">
        <v>45993</v>
      </c>
      <c r="D156" t="inlineStr">
        <is>
          <t>ÖREBRO LÄN</t>
        </is>
      </c>
      <c r="E156" t="inlineStr">
        <is>
          <t>ÖREBRO</t>
        </is>
      </c>
      <c r="G156" t="n">
        <v>2.3</v>
      </c>
      <c r="H156" t="n">
        <v>0</v>
      </c>
      <c r="I156" t="n">
        <v>0</v>
      </c>
      <c r="J156" t="n">
        <v>0</v>
      </c>
      <c r="K156" t="n">
        <v>0</v>
      </c>
      <c r="L156" t="n">
        <v>0</v>
      </c>
      <c r="M156" t="n">
        <v>0</v>
      </c>
      <c r="N156" t="n">
        <v>0</v>
      </c>
      <c r="O156" t="n">
        <v>0</v>
      </c>
      <c r="P156" t="n">
        <v>0</v>
      </c>
      <c r="Q156" t="n">
        <v>0</v>
      </c>
      <c r="R156" s="2" t="inlineStr"/>
    </row>
    <row r="157" ht="15" customHeight="1">
      <c r="A157" t="inlineStr">
        <is>
          <t>A 44146-2021</t>
        </is>
      </c>
      <c r="B157" s="1" t="n">
        <v>44434</v>
      </c>
      <c r="C157" s="1" t="n">
        <v>45993</v>
      </c>
      <c r="D157" t="inlineStr">
        <is>
          <t>ÖREBRO LÄN</t>
        </is>
      </c>
      <c r="E157" t="inlineStr">
        <is>
          <t>ÖREBRO</t>
        </is>
      </c>
      <c r="G157" t="n">
        <v>1.7</v>
      </c>
      <c r="H157" t="n">
        <v>0</v>
      </c>
      <c r="I157" t="n">
        <v>0</v>
      </c>
      <c r="J157" t="n">
        <v>0</v>
      </c>
      <c r="K157" t="n">
        <v>0</v>
      </c>
      <c r="L157" t="n">
        <v>0</v>
      </c>
      <c r="M157" t="n">
        <v>0</v>
      </c>
      <c r="N157" t="n">
        <v>0</v>
      </c>
      <c r="O157" t="n">
        <v>0</v>
      </c>
      <c r="P157" t="n">
        <v>0</v>
      </c>
      <c r="Q157" t="n">
        <v>0</v>
      </c>
      <c r="R157" s="2" t="inlineStr"/>
    </row>
    <row r="158" ht="15" customHeight="1">
      <c r="A158" t="inlineStr">
        <is>
          <t>A 21567-2022</t>
        </is>
      </c>
      <c r="B158" s="1" t="n">
        <v>44706</v>
      </c>
      <c r="C158" s="1" t="n">
        <v>45993</v>
      </c>
      <c r="D158" t="inlineStr">
        <is>
          <t>ÖREBRO LÄN</t>
        </is>
      </c>
      <c r="E158" t="inlineStr">
        <is>
          <t>ÖREBRO</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58277-2022</t>
        </is>
      </c>
      <c r="B159" s="1" t="n">
        <v>44901.48108796297</v>
      </c>
      <c r="C159" s="1" t="n">
        <v>45993</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31906-2023</t>
        </is>
      </c>
      <c r="B160" s="1" t="n">
        <v>45118.8353125</v>
      </c>
      <c r="C160" s="1" t="n">
        <v>45993</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16739-2023</t>
        </is>
      </c>
      <c r="B161" s="1" t="n">
        <v>45030.72627314815</v>
      </c>
      <c r="C161" s="1" t="n">
        <v>45993</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6387-2021</t>
        </is>
      </c>
      <c r="B162" s="1" t="n">
        <v>44235</v>
      </c>
      <c r="C162" s="1" t="n">
        <v>45993</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2771-2023</t>
        </is>
      </c>
      <c r="B163" s="1" t="n">
        <v>44944.64704861111</v>
      </c>
      <c r="C163" s="1" t="n">
        <v>45993</v>
      </c>
      <c r="D163" t="inlineStr">
        <is>
          <t>ÖREBRO LÄN</t>
        </is>
      </c>
      <c r="E163" t="inlineStr">
        <is>
          <t>ÖREBRO</t>
        </is>
      </c>
      <c r="G163" t="n">
        <v>15.4</v>
      </c>
      <c r="H163" t="n">
        <v>0</v>
      </c>
      <c r="I163" t="n">
        <v>0</v>
      </c>
      <c r="J163" t="n">
        <v>0</v>
      </c>
      <c r="K163" t="n">
        <v>0</v>
      </c>
      <c r="L163" t="n">
        <v>0</v>
      </c>
      <c r="M163" t="n">
        <v>0</v>
      </c>
      <c r="N163" t="n">
        <v>0</v>
      </c>
      <c r="O163" t="n">
        <v>0</v>
      </c>
      <c r="P163" t="n">
        <v>0</v>
      </c>
      <c r="Q163" t="n">
        <v>0</v>
      </c>
      <c r="R163" s="2" t="inlineStr"/>
    </row>
    <row r="164" ht="15" customHeight="1">
      <c r="A164" t="inlineStr">
        <is>
          <t>A 19978-2025</t>
        </is>
      </c>
      <c r="B164" s="1" t="n">
        <v>45771.7062037037</v>
      </c>
      <c r="C164" s="1" t="n">
        <v>45993</v>
      </c>
      <c r="D164" t="inlineStr">
        <is>
          <t>ÖREBRO LÄN</t>
        </is>
      </c>
      <c r="E164" t="inlineStr">
        <is>
          <t>ÖREBRO</t>
        </is>
      </c>
      <c r="G164" t="n">
        <v>2</v>
      </c>
      <c r="H164" t="n">
        <v>0</v>
      </c>
      <c r="I164" t="n">
        <v>0</v>
      </c>
      <c r="J164" t="n">
        <v>0</v>
      </c>
      <c r="K164" t="n">
        <v>0</v>
      </c>
      <c r="L164" t="n">
        <v>0</v>
      </c>
      <c r="M164" t="n">
        <v>0</v>
      </c>
      <c r="N164" t="n">
        <v>0</v>
      </c>
      <c r="O164" t="n">
        <v>0</v>
      </c>
      <c r="P164" t="n">
        <v>0</v>
      </c>
      <c r="Q164" t="n">
        <v>0</v>
      </c>
      <c r="R164" s="2" t="inlineStr"/>
    </row>
    <row r="165" ht="15" customHeight="1">
      <c r="A165" t="inlineStr">
        <is>
          <t>A 10937-2024</t>
        </is>
      </c>
      <c r="B165" s="1" t="n">
        <v>45370.44461805555</v>
      </c>
      <c r="C165" s="1" t="n">
        <v>45993</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22079-2023</t>
        </is>
      </c>
      <c r="B166" s="1" t="n">
        <v>45069</v>
      </c>
      <c r="C166" s="1" t="n">
        <v>45993</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52447-2024</t>
        </is>
      </c>
      <c r="B167" s="1" t="n">
        <v>45609.49157407408</v>
      </c>
      <c r="C167" s="1" t="n">
        <v>45993</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58138-2021</t>
        </is>
      </c>
      <c r="B168" s="1" t="n">
        <v>44487</v>
      </c>
      <c r="C168" s="1" t="n">
        <v>45993</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3841-2023</t>
        </is>
      </c>
      <c r="B169" s="1" t="n">
        <v>44951</v>
      </c>
      <c r="C169" s="1" t="n">
        <v>45993</v>
      </c>
      <c r="D169" t="inlineStr">
        <is>
          <t>ÖREBRO LÄN</t>
        </is>
      </c>
      <c r="E169" t="inlineStr">
        <is>
          <t>ÖREBRO</t>
        </is>
      </c>
      <c r="G169" t="n">
        <v>4.3</v>
      </c>
      <c r="H169" t="n">
        <v>0</v>
      </c>
      <c r="I169" t="n">
        <v>0</v>
      </c>
      <c r="J169" t="n">
        <v>0</v>
      </c>
      <c r="K169" t="n">
        <v>0</v>
      </c>
      <c r="L169" t="n">
        <v>0</v>
      </c>
      <c r="M169" t="n">
        <v>0</v>
      </c>
      <c r="N169" t="n">
        <v>0</v>
      </c>
      <c r="O169" t="n">
        <v>0</v>
      </c>
      <c r="P169" t="n">
        <v>0</v>
      </c>
      <c r="Q169" t="n">
        <v>0</v>
      </c>
      <c r="R169" s="2" t="inlineStr"/>
    </row>
    <row r="170" ht="15" customHeight="1">
      <c r="A170" t="inlineStr">
        <is>
          <t>A 15682-2023</t>
        </is>
      </c>
      <c r="B170" s="1" t="n">
        <v>45021</v>
      </c>
      <c r="C170" s="1" t="n">
        <v>45993</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4416-2023</t>
        </is>
      </c>
      <c r="B171" s="1" t="n">
        <v>44956</v>
      </c>
      <c r="C171" s="1" t="n">
        <v>45993</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12017-2024</t>
        </is>
      </c>
      <c r="B172" s="1" t="n">
        <v>45377</v>
      </c>
      <c r="C172" s="1" t="n">
        <v>45993</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19831-2021</t>
        </is>
      </c>
      <c r="B173" s="1" t="n">
        <v>44313</v>
      </c>
      <c r="C173" s="1" t="n">
        <v>45993</v>
      </c>
      <c r="D173" t="inlineStr">
        <is>
          <t>ÖREBRO LÄN</t>
        </is>
      </c>
      <c r="E173" t="inlineStr">
        <is>
          <t>ÖREBRO</t>
        </is>
      </c>
      <c r="G173" t="n">
        <v>3.2</v>
      </c>
      <c r="H173" t="n">
        <v>0</v>
      </c>
      <c r="I173" t="n">
        <v>0</v>
      </c>
      <c r="J173" t="n">
        <v>0</v>
      </c>
      <c r="K173" t="n">
        <v>0</v>
      </c>
      <c r="L173" t="n">
        <v>0</v>
      </c>
      <c r="M173" t="n">
        <v>0</v>
      </c>
      <c r="N173" t="n">
        <v>0</v>
      </c>
      <c r="O173" t="n">
        <v>0</v>
      </c>
      <c r="P173" t="n">
        <v>0</v>
      </c>
      <c r="Q173" t="n">
        <v>0</v>
      </c>
      <c r="R173" s="2" t="inlineStr"/>
    </row>
    <row r="174" ht="15" customHeight="1">
      <c r="A174" t="inlineStr">
        <is>
          <t>A 56077-2022</t>
        </is>
      </c>
      <c r="B174" s="1" t="n">
        <v>44889.60872685185</v>
      </c>
      <c r="C174" s="1" t="n">
        <v>45993</v>
      </c>
      <c r="D174" t="inlineStr">
        <is>
          <t>ÖREBRO LÄN</t>
        </is>
      </c>
      <c r="E174" t="inlineStr">
        <is>
          <t>ÖREBRO</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49062-2023</t>
        </is>
      </c>
      <c r="B175" s="1" t="n">
        <v>45210.35119212963</v>
      </c>
      <c r="C175" s="1" t="n">
        <v>45993</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5357-2024</t>
        </is>
      </c>
      <c r="B176" s="1" t="n">
        <v>45331</v>
      </c>
      <c r="C176" s="1" t="n">
        <v>45993</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9609-2023</t>
        </is>
      </c>
      <c r="B177" s="1" t="n">
        <v>44983.93344907407</v>
      </c>
      <c r="C177" s="1" t="n">
        <v>45993</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15354-2024</t>
        </is>
      </c>
      <c r="B178" s="1" t="n">
        <v>45400.85319444445</v>
      </c>
      <c r="C178" s="1" t="n">
        <v>45993</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11067-2025</t>
        </is>
      </c>
      <c r="B179" s="1" t="n">
        <v>45723</v>
      </c>
      <c r="C179" s="1" t="n">
        <v>45993</v>
      </c>
      <c r="D179" t="inlineStr">
        <is>
          <t>ÖREBRO LÄN</t>
        </is>
      </c>
      <c r="E179" t="inlineStr">
        <is>
          <t>ÖREBRO</t>
        </is>
      </c>
      <c r="G179" t="n">
        <v>3.1</v>
      </c>
      <c r="H179" t="n">
        <v>0</v>
      </c>
      <c r="I179" t="n">
        <v>0</v>
      </c>
      <c r="J179" t="n">
        <v>0</v>
      </c>
      <c r="K179" t="n">
        <v>0</v>
      </c>
      <c r="L179" t="n">
        <v>0</v>
      </c>
      <c r="M179" t="n">
        <v>0</v>
      </c>
      <c r="N179" t="n">
        <v>0</v>
      </c>
      <c r="O179" t="n">
        <v>0</v>
      </c>
      <c r="P179" t="n">
        <v>0</v>
      </c>
      <c r="Q179" t="n">
        <v>0</v>
      </c>
      <c r="R179" s="2" t="inlineStr"/>
    </row>
    <row r="180" ht="15" customHeight="1">
      <c r="A180" t="inlineStr">
        <is>
          <t>A 70707-2021</t>
        </is>
      </c>
      <c r="B180" s="1" t="n">
        <v>44537</v>
      </c>
      <c r="C180" s="1" t="n">
        <v>45993</v>
      </c>
      <c r="D180" t="inlineStr">
        <is>
          <t>ÖREBRO LÄN</t>
        </is>
      </c>
      <c r="E180" t="inlineStr">
        <is>
          <t>ÖREBRO</t>
        </is>
      </c>
      <c r="G180" t="n">
        <v>13.2</v>
      </c>
      <c r="H180" t="n">
        <v>0</v>
      </c>
      <c r="I180" t="n">
        <v>0</v>
      </c>
      <c r="J180" t="n">
        <v>0</v>
      </c>
      <c r="K180" t="n">
        <v>0</v>
      </c>
      <c r="L180" t="n">
        <v>0</v>
      </c>
      <c r="M180" t="n">
        <v>0</v>
      </c>
      <c r="N180" t="n">
        <v>0</v>
      </c>
      <c r="O180" t="n">
        <v>0</v>
      </c>
      <c r="P180" t="n">
        <v>0</v>
      </c>
      <c r="Q180" t="n">
        <v>0</v>
      </c>
      <c r="R180" s="2" t="inlineStr"/>
    </row>
    <row r="181" ht="15" customHeight="1">
      <c r="A181" t="inlineStr">
        <is>
          <t>A 9585-2025</t>
        </is>
      </c>
      <c r="B181" s="1" t="n">
        <v>45715.63409722222</v>
      </c>
      <c r="C181" s="1" t="n">
        <v>45993</v>
      </c>
      <c r="D181" t="inlineStr">
        <is>
          <t>ÖREBRO LÄN</t>
        </is>
      </c>
      <c r="E181" t="inlineStr">
        <is>
          <t>ÖREBRO</t>
        </is>
      </c>
      <c r="G181" t="n">
        <v>3.4</v>
      </c>
      <c r="H181" t="n">
        <v>0</v>
      </c>
      <c r="I181" t="n">
        <v>0</v>
      </c>
      <c r="J181" t="n">
        <v>0</v>
      </c>
      <c r="K181" t="n">
        <v>0</v>
      </c>
      <c r="L181" t="n">
        <v>0</v>
      </c>
      <c r="M181" t="n">
        <v>0</v>
      </c>
      <c r="N181" t="n">
        <v>0</v>
      </c>
      <c r="O181" t="n">
        <v>0</v>
      </c>
      <c r="P181" t="n">
        <v>0</v>
      </c>
      <c r="Q181" t="n">
        <v>0</v>
      </c>
      <c r="R181" s="2" t="inlineStr"/>
    </row>
    <row r="182" ht="15" customHeight="1">
      <c r="A182" t="inlineStr">
        <is>
          <t>A 57243-2022</t>
        </is>
      </c>
      <c r="B182" s="1" t="n">
        <v>44895.71835648148</v>
      </c>
      <c r="C182" s="1" t="n">
        <v>45993</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38489-2023</t>
        </is>
      </c>
      <c r="B183" s="1" t="n">
        <v>45162</v>
      </c>
      <c r="C183" s="1" t="n">
        <v>45993</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6879-2024</t>
        </is>
      </c>
      <c r="B184" s="1" t="n">
        <v>45342.85280092592</v>
      </c>
      <c r="C184" s="1" t="n">
        <v>45993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681-2024</t>
        </is>
      </c>
      <c r="B185" s="1" t="n">
        <v>45300</v>
      </c>
      <c r="C185" s="1" t="n">
        <v>45993</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58621-2024</t>
        </is>
      </c>
      <c r="B186" s="1" t="n">
        <v>45635.56321759259</v>
      </c>
      <c r="C186" s="1" t="n">
        <v>45993</v>
      </c>
      <c r="D186" t="inlineStr">
        <is>
          <t>ÖREBRO LÄN</t>
        </is>
      </c>
      <c r="E186" t="inlineStr">
        <is>
          <t>ÖREBRO</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58216-2024</t>
        </is>
      </c>
      <c r="B187" s="1" t="n">
        <v>45632</v>
      </c>
      <c r="C187" s="1" t="n">
        <v>45993</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13169-2024</t>
        </is>
      </c>
      <c r="B188" s="1" t="n">
        <v>45386.40489583334</v>
      </c>
      <c r="C188" s="1" t="n">
        <v>45993</v>
      </c>
      <c r="D188" t="inlineStr">
        <is>
          <t>ÖREBRO LÄN</t>
        </is>
      </c>
      <c r="E188" t="inlineStr">
        <is>
          <t>ÖREBRO</t>
        </is>
      </c>
      <c r="G188" t="n">
        <v>4.3</v>
      </c>
      <c r="H188" t="n">
        <v>0</v>
      </c>
      <c r="I188" t="n">
        <v>0</v>
      </c>
      <c r="J188" t="n">
        <v>0</v>
      </c>
      <c r="K188" t="n">
        <v>0</v>
      </c>
      <c r="L188" t="n">
        <v>0</v>
      </c>
      <c r="M188" t="n">
        <v>0</v>
      </c>
      <c r="N188" t="n">
        <v>0</v>
      </c>
      <c r="O188" t="n">
        <v>0</v>
      </c>
      <c r="P188" t="n">
        <v>0</v>
      </c>
      <c r="Q188" t="n">
        <v>0</v>
      </c>
      <c r="R188" s="2" t="inlineStr"/>
    </row>
    <row r="189" ht="15" customHeight="1">
      <c r="A189" t="inlineStr">
        <is>
          <t>A 70719-2021</t>
        </is>
      </c>
      <c r="B189" s="1" t="n">
        <v>44537</v>
      </c>
      <c r="C189" s="1" t="n">
        <v>45993</v>
      </c>
      <c r="D189" t="inlineStr">
        <is>
          <t>ÖREBRO LÄN</t>
        </is>
      </c>
      <c r="E189" t="inlineStr">
        <is>
          <t>ÖREBRO</t>
        </is>
      </c>
      <c r="G189" t="n">
        <v>4.3</v>
      </c>
      <c r="H189" t="n">
        <v>0</v>
      </c>
      <c r="I189" t="n">
        <v>0</v>
      </c>
      <c r="J189" t="n">
        <v>0</v>
      </c>
      <c r="K189" t="n">
        <v>0</v>
      </c>
      <c r="L189" t="n">
        <v>0</v>
      </c>
      <c r="M189" t="n">
        <v>0</v>
      </c>
      <c r="N189" t="n">
        <v>0</v>
      </c>
      <c r="O189" t="n">
        <v>0</v>
      </c>
      <c r="P189" t="n">
        <v>0</v>
      </c>
      <c r="Q189" t="n">
        <v>0</v>
      </c>
      <c r="R189" s="2" t="inlineStr"/>
    </row>
    <row r="190" ht="15" customHeight="1">
      <c r="A190" t="inlineStr">
        <is>
          <t>A 38573-2023</t>
        </is>
      </c>
      <c r="B190" s="1" t="n">
        <v>45162.61837962963</v>
      </c>
      <c r="C190" s="1" t="n">
        <v>45993</v>
      </c>
      <c r="D190" t="inlineStr">
        <is>
          <t>ÖREBRO LÄN</t>
        </is>
      </c>
      <c r="E190" t="inlineStr">
        <is>
          <t>ÖREBRO</t>
        </is>
      </c>
      <c r="G190" t="n">
        <v>2.2</v>
      </c>
      <c r="H190" t="n">
        <v>0</v>
      </c>
      <c r="I190" t="n">
        <v>0</v>
      </c>
      <c r="J190" t="n">
        <v>0</v>
      </c>
      <c r="K190" t="n">
        <v>0</v>
      </c>
      <c r="L190" t="n">
        <v>0</v>
      </c>
      <c r="M190" t="n">
        <v>0</v>
      </c>
      <c r="N190" t="n">
        <v>0</v>
      </c>
      <c r="O190" t="n">
        <v>0</v>
      </c>
      <c r="P190" t="n">
        <v>0</v>
      </c>
      <c r="Q190" t="n">
        <v>0</v>
      </c>
      <c r="R190" s="2" t="inlineStr"/>
    </row>
    <row r="191" ht="15" customHeight="1">
      <c r="A191" t="inlineStr">
        <is>
          <t>A 4757-2024</t>
        </is>
      </c>
      <c r="B191" s="1" t="n">
        <v>45328</v>
      </c>
      <c r="C191" s="1" t="n">
        <v>45993</v>
      </c>
      <c r="D191" t="inlineStr">
        <is>
          <t>ÖREBRO LÄN</t>
        </is>
      </c>
      <c r="E191" t="inlineStr">
        <is>
          <t>ÖREBRO</t>
        </is>
      </c>
      <c r="G191" t="n">
        <v>1.9</v>
      </c>
      <c r="H191" t="n">
        <v>0</v>
      </c>
      <c r="I191" t="n">
        <v>0</v>
      </c>
      <c r="J191" t="n">
        <v>0</v>
      </c>
      <c r="K191" t="n">
        <v>0</v>
      </c>
      <c r="L191" t="n">
        <v>0</v>
      </c>
      <c r="M191" t="n">
        <v>0</v>
      </c>
      <c r="N191" t="n">
        <v>0</v>
      </c>
      <c r="O191" t="n">
        <v>0</v>
      </c>
      <c r="P191" t="n">
        <v>0</v>
      </c>
      <c r="Q191" t="n">
        <v>0</v>
      </c>
      <c r="R191" s="2" t="inlineStr"/>
    </row>
    <row r="192" ht="15" customHeight="1">
      <c r="A192" t="inlineStr">
        <is>
          <t>A 5125-2024</t>
        </is>
      </c>
      <c r="B192" s="1" t="n">
        <v>45330</v>
      </c>
      <c r="C192" s="1" t="n">
        <v>45993</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14234-2024</t>
        </is>
      </c>
      <c r="B193" s="1" t="n">
        <v>45393.46980324074</v>
      </c>
      <c r="C193" s="1" t="n">
        <v>45993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48140-2024</t>
        </is>
      </c>
      <c r="B194" s="1" t="n">
        <v>45589.66474537037</v>
      </c>
      <c r="C194" s="1" t="n">
        <v>45993</v>
      </c>
      <c r="D194" t="inlineStr">
        <is>
          <t>ÖREBRO LÄN</t>
        </is>
      </c>
      <c r="E194" t="inlineStr">
        <is>
          <t>ÖREBRO</t>
        </is>
      </c>
      <c r="G194" t="n">
        <v>2.4</v>
      </c>
      <c r="H194" t="n">
        <v>0</v>
      </c>
      <c r="I194" t="n">
        <v>0</v>
      </c>
      <c r="J194" t="n">
        <v>0</v>
      </c>
      <c r="K194" t="n">
        <v>0</v>
      </c>
      <c r="L194" t="n">
        <v>0</v>
      </c>
      <c r="M194" t="n">
        <v>0</v>
      </c>
      <c r="N194" t="n">
        <v>0</v>
      </c>
      <c r="O194" t="n">
        <v>0</v>
      </c>
      <c r="P194" t="n">
        <v>0</v>
      </c>
      <c r="Q194" t="n">
        <v>0</v>
      </c>
      <c r="R194" s="2" t="inlineStr"/>
    </row>
    <row r="195" ht="15" customHeight="1">
      <c r="A195" t="inlineStr">
        <is>
          <t>A 2658-2023</t>
        </is>
      </c>
      <c r="B195" s="1" t="n">
        <v>44944</v>
      </c>
      <c r="C195" s="1" t="n">
        <v>45993</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32321-2023</t>
        </is>
      </c>
      <c r="B196" s="1" t="n">
        <v>45120</v>
      </c>
      <c r="C196" s="1" t="n">
        <v>45993</v>
      </c>
      <c r="D196" t="inlineStr">
        <is>
          <t>ÖREBRO LÄN</t>
        </is>
      </c>
      <c r="E196" t="inlineStr">
        <is>
          <t>ÖREBRO</t>
        </is>
      </c>
      <c r="G196" t="n">
        <v>3.4</v>
      </c>
      <c r="H196" t="n">
        <v>0</v>
      </c>
      <c r="I196" t="n">
        <v>0</v>
      </c>
      <c r="J196" t="n">
        <v>0</v>
      </c>
      <c r="K196" t="n">
        <v>0</v>
      </c>
      <c r="L196" t="n">
        <v>0</v>
      </c>
      <c r="M196" t="n">
        <v>0</v>
      </c>
      <c r="N196" t="n">
        <v>0</v>
      </c>
      <c r="O196" t="n">
        <v>0</v>
      </c>
      <c r="P196" t="n">
        <v>0</v>
      </c>
      <c r="Q196" t="n">
        <v>0</v>
      </c>
      <c r="R196" s="2" t="inlineStr"/>
    </row>
    <row r="197" ht="15" customHeight="1">
      <c r="A197" t="inlineStr">
        <is>
          <t>A 11565-2023</t>
        </is>
      </c>
      <c r="B197" s="1" t="n">
        <v>44994</v>
      </c>
      <c r="C197" s="1" t="n">
        <v>45993</v>
      </c>
      <c r="D197" t="inlineStr">
        <is>
          <t>ÖREBRO LÄN</t>
        </is>
      </c>
      <c r="E197" t="inlineStr">
        <is>
          <t>ÖREBRO</t>
        </is>
      </c>
      <c r="G197" t="n">
        <v>4.7</v>
      </c>
      <c r="H197" t="n">
        <v>0</v>
      </c>
      <c r="I197" t="n">
        <v>0</v>
      </c>
      <c r="J197" t="n">
        <v>0</v>
      </c>
      <c r="K197" t="n">
        <v>0</v>
      </c>
      <c r="L197" t="n">
        <v>0</v>
      </c>
      <c r="M197" t="n">
        <v>0</v>
      </c>
      <c r="N197" t="n">
        <v>0</v>
      </c>
      <c r="O197" t="n">
        <v>0</v>
      </c>
      <c r="P197" t="n">
        <v>0</v>
      </c>
      <c r="Q197" t="n">
        <v>0</v>
      </c>
      <c r="R197" s="2" t="inlineStr"/>
    </row>
    <row r="198" ht="15" customHeight="1">
      <c r="A198" t="inlineStr">
        <is>
          <t>A 52256-2023</t>
        </is>
      </c>
      <c r="B198" s="1" t="n">
        <v>45224.51471064815</v>
      </c>
      <c r="C198" s="1" t="n">
        <v>45993</v>
      </c>
      <c r="D198" t="inlineStr">
        <is>
          <t>ÖREBRO LÄN</t>
        </is>
      </c>
      <c r="E198" t="inlineStr">
        <is>
          <t>ÖREBRO</t>
        </is>
      </c>
      <c r="G198" t="n">
        <v>2.8</v>
      </c>
      <c r="H198" t="n">
        <v>0</v>
      </c>
      <c r="I198" t="n">
        <v>0</v>
      </c>
      <c r="J198" t="n">
        <v>0</v>
      </c>
      <c r="K198" t="n">
        <v>0</v>
      </c>
      <c r="L198" t="n">
        <v>0</v>
      </c>
      <c r="M198" t="n">
        <v>0</v>
      </c>
      <c r="N198" t="n">
        <v>0</v>
      </c>
      <c r="O198" t="n">
        <v>0</v>
      </c>
      <c r="P198" t="n">
        <v>0</v>
      </c>
      <c r="Q198" t="n">
        <v>0</v>
      </c>
      <c r="R198" s="2" t="inlineStr"/>
    </row>
    <row r="199" ht="15" customHeight="1">
      <c r="A199" t="inlineStr">
        <is>
          <t>A 16736-2023</t>
        </is>
      </c>
      <c r="B199" s="1" t="n">
        <v>45030.72328703704</v>
      </c>
      <c r="C199" s="1" t="n">
        <v>45993</v>
      </c>
      <c r="D199" t="inlineStr">
        <is>
          <t>ÖREBRO LÄN</t>
        </is>
      </c>
      <c r="E199" t="inlineStr">
        <is>
          <t>ÖREBRO</t>
        </is>
      </c>
      <c r="G199" t="n">
        <v>4</v>
      </c>
      <c r="H199" t="n">
        <v>0</v>
      </c>
      <c r="I199" t="n">
        <v>0</v>
      </c>
      <c r="J199" t="n">
        <v>0</v>
      </c>
      <c r="K199" t="n">
        <v>0</v>
      </c>
      <c r="L199" t="n">
        <v>0</v>
      </c>
      <c r="M199" t="n">
        <v>0</v>
      </c>
      <c r="N199" t="n">
        <v>0</v>
      </c>
      <c r="O199" t="n">
        <v>0</v>
      </c>
      <c r="P199" t="n">
        <v>0</v>
      </c>
      <c r="Q199" t="n">
        <v>0</v>
      </c>
      <c r="R199" s="2" t="inlineStr"/>
    </row>
    <row r="200" ht="15" customHeight="1">
      <c r="A200" t="inlineStr">
        <is>
          <t>A 37012-2024</t>
        </is>
      </c>
      <c r="B200" s="1" t="n">
        <v>45539</v>
      </c>
      <c r="C200" s="1" t="n">
        <v>45993</v>
      </c>
      <c r="D200" t="inlineStr">
        <is>
          <t>ÖREBRO LÄN</t>
        </is>
      </c>
      <c r="E200" t="inlineStr">
        <is>
          <t>ÖREBRO</t>
        </is>
      </c>
      <c r="G200" t="n">
        <v>4.1</v>
      </c>
      <c r="H200" t="n">
        <v>0</v>
      </c>
      <c r="I200" t="n">
        <v>0</v>
      </c>
      <c r="J200" t="n">
        <v>0</v>
      </c>
      <c r="K200" t="n">
        <v>0</v>
      </c>
      <c r="L200" t="n">
        <v>0</v>
      </c>
      <c r="M200" t="n">
        <v>0</v>
      </c>
      <c r="N200" t="n">
        <v>0</v>
      </c>
      <c r="O200" t="n">
        <v>0</v>
      </c>
      <c r="P200" t="n">
        <v>0</v>
      </c>
      <c r="Q200" t="n">
        <v>0</v>
      </c>
      <c r="R200" s="2" t="inlineStr"/>
    </row>
    <row r="201" ht="15" customHeight="1">
      <c r="A201" t="inlineStr">
        <is>
          <t>A 37020-2024</t>
        </is>
      </c>
      <c r="B201" s="1" t="n">
        <v>45539.38059027777</v>
      </c>
      <c r="C201" s="1" t="n">
        <v>45993</v>
      </c>
      <c r="D201" t="inlineStr">
        <is>
          <t>ÖREBRO LÄN</t>
        </is>
      </c>
      <c r="E201" t="inlineStr">
        <is>
          <t>ÖREBRO</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55353-2024</t>
        </is>
      </c>
      <c r="B202" s="1" t="n">
        <v>45621.79526620371</v>
      </c>
      <c r="C202" s="1" t="n">
        <v>45993</v>
      </c>
      <c r="D202" t="inlineStr">
        <is>
          <t>ÖREBRO LÄN</t>
        </is>
      </c>
      <c r="E202" t="inlineStr">
        <is>
          <t>ÖREBRO</t>
        </is>
      </c>
      <c r="G202" t="n">
        <v>0.5</v>
      </c>
      <c r="H202" t="n">
        <v>0</v>
      </c>
      <c r="I202" t="n">
        <v>0</v>
      </c>
      <c r="J202" t="n">
        <v>0</v>
      </c>
      <c r="K202" t="n">
        <v>0</v>
      </c>
      <c r="L202" t="n">
        <v>0</v>
      </c>
      <c r="M202" t="n">
        <v>0</v>
      </c>
      <c r="N202" t="n">
        <v>0</v>
      </c>
      <c r="O202" t="n">
        <v>0</v>
      </c>
      <c r="P202" t="n">
        <v>0</v>
      </c>
      <c r="Q202" t="n">
        <v>0</v>
      </c>
      <c r="R202" s="2" t="inlineStr"/>
    </row>
    <row r="203" ht="15" customHeight="1">
      <c r="A203" t="inlineStr">
        <is>
          <t>A 2630-2023</t>
        </is>
      </c>
      <c r="B203" s="1" t="n">
        <v>44944.39105324074</v>
      </c>
      <c r="C203" s="1" t="n">
        <v>45993</v>
      </c>
      <c r="D203" t="inlineStr">
        <is>
          <t>ÖREBRO LÄN</t>
        </is>
      </c>
      <c r="E203" t="inlineStr">
        <is>
          <t>ÖREBRO</t>
        </is>
      </c>
      <c r="G203" t="n">
        <v>6.1</v>
      </c>
      <c r="H203" t="n">
        <v>0</v>
      </c>
      <c r="I203" t="n">
        <v>0</v>
      </c>
      <c r="J203" t="n">
        <v>0</v>
      </c>
      <c r="K203" t="n">
        <v>0</v>
      </c>
      <c r="L203" t="n">
        <v>0</v>
      </c>
      <c r="M203" t="n">
        <v>0</v>
      </c>
      <c r="N203" t="n">
        <v>0</v>
      </c>
      <c r="O203" t="n">
        <v>0</v>
      </c>
      <c r="P203" t="n">
        <v>0</v>
      </c>
      <c r="Q203" t="n">
        <v>0</v>
      </c>
      <c r="R203" s="2" t="inlineStr"/>
    </row>
    <row r="204" ht="15" customHeight="1">
      <c r="A204" t="inlineStr">
        <is>
          <t>A 30015-2023</t>
        </is>
      </c>
      <c r="B204" s="1" t="n">
        <v>45109</v>
      </c>
      <c r="C204" s="1" t="n">
        <v>45993</v>
      </c>
      <c r="D204" t="inlineStr">
        <is>
          <t>ÖREBRO LÄN</t>
        </is>
      </c>
      <c r="E204" t="inlineStr">
        <is>
          <t>ÖREBRO</t>
        </is>
      </c>
      <c r="G204" t="n">
        <v>8.800000000000001</v>
      </c>
      <c r="H204" t="n">
        <v>0</v>
      </c>
      <c r="I204" t="n">
        <v>0</v>
      </c>
      <c r="J204" t="n">
        <v>0</v>
      </c>
      <c r="K204" t="n">
        <v>0</v>
      </c>
      <c r="L204" t="n">
        <v>0</v>
      </c>
      <c r="M204" t="n">
        <v>0</v>
      </c>
      <c r="N204" t="n">
        <v>0</v>
      </c>
      <c r="O204" t="n">
        <v>0</v>
      </c>
      <c r="P204" t="n">
        <v>0</v>
      </c>
      <c r="Q204" t="n">
        <v>0</v>
      </c>
      <c r="R204" s="2" t="inlineStr"/>
    </row>
    <row r="205" ht="15" customHeight="1">
      <c r="A205" t="inlineStr">
        <is>
          <t>A 37968-2024</t>
        </is>
      </c>
      <c r="B205" s="1" t="n">
        <v>45544</v>
      </c>
      <c r="C205" s="1" t="n">
        <v>45993</v>
      </c>
      <c r="D205" t="inlineStr">
        <is>
          <t>ÖREBRO LÄN</t>
        </is>
      </c>
      <c r="E205" t="inlineStr">
        <is>
          <t>ÖREBRO</t>
        </is>
      </c>
      <c r="G205" t="n">
        <v>2</v>
      </c>
      <c r="H205" t="n">
        <v>0</v>
      </c>
      <c r="I205" t="n">
        <v>0</v>
      </c>
      <c r="J205" t="n">
        <v>0</v>
      </c>
      <c r="K205" t="n">
        <v>0</v>
      </c>
      <c r="L205" t="n">
        <v>0</v>
      </c>
      <c r="M205" t="n">
        <v>0</v>
      </c>
      <c r="N205" t="n">
        <v>0</v>
      </c>
      <c r="O205" t="n">
        <v>0</v>
      </c>
      <c r="P205" t="n">
        <v>0</v>
      </c>
      <c r="Q205" t="n">
        <v>0</v>
      </c>
      <c r="R205" s="2" t="inlineStr"/>
    </row>
    <row r="206" ht="15" customHeight="1">
      <c r="A206" t="inlineStr">
        <is>
          <t>A 541-2025</t>
        </is>
      </c>
      <c r="B206" s="1" t="n">
        <v>45664.52034722222</v>
      </c>
      <c r="C206" s="1" t="n">
        <v>45993</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2095-2025</t>
        </is>
      </c>
      <c r="B207" s="1" t="n">
        <v>45672</v>
      </c>
      <c r="C207" s="1" t="n">
        <v>45993</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31326-2024</t>
        </is>
      </c>
      <c r="B208" s="1" t="n">
        <v>45504.5934375</v>
      </c>
      <c r="C208" s="1" t="n">
        <v>45993</v>
      </c>
      <c r="D208" t="inlineStr">
        <is>
          <t>ÖREBRO LÄN</t>
        </is>
      </c>
      <c r="E208" t="inlineStr">
        <is>
          <t>ÖREBRO</t>
        </is>
      </c>
      <c r="G208" t="n">
        <v>6.4</v>
      </c>
      <c r="H208" t="n">
        <v>0</v>
      </c>
      <c r="I208" t="n">
        <v>0</v>
      </c>
      <c r="J208" t="n">
        <v>0</v>
      </c>
      <c r="K208" t="n">
        <v>0</v>
      </c>
      <c r="L208" t="n">
        <v>0</v>
      </c>
      <c r="M208" t="n">
        <v>0</v>
      </c>
      <c r="N208" t="n">
        <v>0</v>
      </c>
      <c r="O208" t="n">
        <v>0</v>
      </c>
      <c r="P208" t="n">
        <v>0</v>
      </c>
      <c r="Q208" t="n">
        <v>0</v>
      </c>
      <c r="R208" s="2" t="inlineStr"/>
    </row>
    <row r="209" ht="15" customHeight="1">
      <c r="A209" t="inlineStr">
        <is>
          <t>A 19553-2023</t>
        </is>
      </c>
      <c r="B209" s="1" t="n">
        <v>45050</v>
      </c>
      <c r="C209" s="1" t="n">
        <v>45993</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37025-2024</t>
        </is>
      </c>
      <c r="B210" s="1" t="n">
        <v>45539.3840162037</v>
      </c>
      <c r="C210" s="1" t="n">
        <v>45993</v>
      </c>
      <c r="D210" t="inlineStr">
        <is>
          <t>ÖREBRO LÄN</t>
        </is>
      </c>
      <c r="E210" t="inlineStr">
        <is>
          <t>ÖREBRO</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37027-2024</t>
        </is>
      </c>
      <c r="B211" s="1" t="n">
        <v>45539.38487268519</v>
      </c>
      <c r="C211" s="1" t="n">
        <v>45993</v>
      </c>
      <c r="D211" t="inlineStr">
        <is>
          <t>ÖREBRO LÄN</t>
        </is>
      </c>
      <c r="E211" t="inlineStr">
        <is>
          <t>ÖREBRO</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23594-2023</t>
        </is>
      </c>
      <c r="B212" s="1" t="n">
        <v>45077</v>
      </c>
      <c r="C212" s="1" t="n">
        <v>45993</v>
      </c>
      <c r="D212" t="inlineStr">
        <is>
          <t>ÖREBRO LÄN</t>
        </is>
      </c>
      <c r="E212" t="inlineStr">
        <is>
          <t>ÖREBRO</t>
        </is>
      </c>
      <c r="G212" t="n">
        <v>9.9</v>
      </c>
      <c r="H212" t="n">
        <v>0</v>
      </c>
      <c r="I212" t="n">
        <v>0</v>
      </c>
      <c r="J212" t="n">
        <v>0</v>
      </c>
      <c r="K212" t="n">
        <v>0</v>
      </c>
      <c r="L212" t="n">
        <v>0</v>
      </c>
      <c r="M212" t="n">
        <v>0</v>
      </c>
      <c r="N212" t="n">
        <v>0</v>
      </c>
      <c r="O212" t="n">
        <v>0</v>
      </c>
      <c r="P212" t="n">
        <v>0</v>
      </c>
      <c r="Q212" t="n">
        <v>0</v>
      </c>
      <c r="R212" s="2" t="inlineStr"/>
    </row>
    <row r="213" ht="15" customHeight="1">
      <c r="A213" t="inlineStr">
        <is>
          <t>A 55593-2022</t>
        </is>
      </c>
      <c r="B213" s="1" t="n">
        <v>44888</v>
      </c>
      <c r="C213" s="1" t="n">
        <v>45993</v>
      </c>
      <c r="D213" t="inlineStr">
        <is>
          <t>ÖREBRO LÄN</t>
        </is>
      </c>
      <c r="E213" t="inlineStr">
        <is>
          <t>ÖREBRO</t>
        </is>
      </c>
      <c r="G213" t="n">
        <v>3.6</v>
      </c>
      <c r="H213" t="n">
        <v>0</v>
      </c>
      <c r="I213" t="n">
        <v>0</v>
      </c>
      <c r="J213" t="n">
        <v>0</v>
      </c>
      <c r="K213" t="n">
        <v>0</v>
      </c>
      <c r="L213" t="n">
        <v>0</v>
      </c>
      <c r="M213" t="n">
        <v>0</v>
      </c>
      <c r="N213" t="n">
        <v>0</v>
      </c>
      <c r="O213" t="n">
        <v>0</v>
      </c>
      <c r="P213" t="n">
        <v>0</v>
      </c>
      <c r="Q213" t="n">
        <v>0</v>
      </c>
      <c r="R213" s="2" t="inlineStr"/>
    </row>
    <row r="214" ht="15" customHeight="1">
      <c r="A214" t="inlineStr">
        <is>
          <t>A 8022-2022</t>
        </is>
      </c>
      <c r="B214" s="1" t="n">
        <v>44609</v>
      </c>
      <c r="C214" s="1" t="n">
        <v>45993</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47193-2023</t>
        </is>
      </c>
      <c r="B215" s="1" t="n">
        <v>45202.3074537037</v>
      </c>
      <c r="C215" s="1" t="n">
        <v>45993</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50446-2023</t>
        </is>
      </c>
      <c r="B216" s="1" t="n">
        <v>45216</v>
      </c>
      <c r="C216" s="1" t="n">
        <v>45993</v>
      </c>
      <c r="D216" t="inlineStr">
        <is>
          <t>ÖREBRO LÄN</t>
        </is>
      </c>
      <c r="E216" t="inlineStr">
        <is>
          <t>ÖREBRO</t>
        </is>
      </c>
      <c r="F216" t="inlineStr">
        <is>
          <t>Övriga Aktiebolag</t>
        </is>
      </c>
      <c r="G216" t="n">
        <v>2.8</v>
      </c>
      <c r="H216" t="n">
        <v>0</v>
      </c>
      <c r="I216" t="n">
        <v>0</v>
      </c>
      <c r="J216" t="n">
        <v>0</v>
      </c>
      <c r="K216" t="n">
        <v>0</v>
      </c>
      <c r="L216" t="n">
        <v>0</v>
      </c>
      <c r="M216" t="n">
        <v>0</v>
      </c>
      <c r="N216" t="n">
        <v>0</v>
      </c>
      <c r="O216" t="n">
        <v>0</v>
      </c>
      <c r="P216" t="n">
        <v>0</v>
      </c>
      <c r="Q216" t="n">
        <v>0</v>
      </c>
      <c r="R216" s="2" t="inlineStr"/>
    </row>
    <row r="217" ht="15" customHeight="1">
      <c r="A217" t="inlineStr">
        <is>
          <t>A 50450-2023</t>
        </is>
      </c>
      <c r="B217" s="1" t="n">
        <v>45216.73533564815</v>
      </c>
      <c r="C217" s="1" t="n">
        <v>45993</v>
      </c>
      <c r="D217" t="inlineStr">
        <is>
          <t>ÖREBRO LÄN</t>
        </is>
      </c>
      <c r="E217" t="inlineStr">
        <is>
          <t>ÖREBRO</t>
        </is>
      </c>
      <c r="F217" t="inlineStr">
        <is>
          <t>Övriga Aktiebolag</t>
        </is>
      </c>
      <c r="G217" t="n">
        <v>0.8</v>
      </c>
      <c r="H217" t="n">
        <v>0</v>
      </c>
      <c r="I217" t="n">
        <v>0</v>
      </c>
      <c r="J217" t="n">
        <v>0</v>
      </c>
      <c r="K217" t="n">
        <v>0</v>
      </c>
      <c r="L217" t="n">
        <v>0</v>
      </c>
      <c r="M217" t="n">
        <v>0</v>
      </c>
      <c r="N217" t="n">
        <v>0</v>
      </c>
      <c r="O217" t="n">
        <v>0</v>
      </c>
      <c r="P217" t="n">
        <v>0</v>
      </c>
      <c r="Q217" t="n">
        <v>0</v>
      </c>
      <c r="R217" s="2" t="inlineStr"/>
    </row>
    <row r="218" ht="15" customHeight="1">
      <c r="A218" t="inlineStr">
        <is>
          <t>A 43612-2022</t>
        </is>
      </c>
      <c r="B218" s="1" t="n">
        <v>44837</v>
      </c>
      <c r="C218" s="1" t="n">
        <v>45993</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58598-2022</t>
        </is>
      </c>
      <c r="B219" s="1" t="n">
        <v>44902</v>
      </c>
      <c r="C219" s="1" t="n">
        <v>45993</v>
      </c>
      <c r="D219" t="inlineStr">
        <is>
          <t>ÖREBRO LÄN</t>
        </is>
      </c>
      <c r="E219" t="inlineStr">
        <is>
          <t>ÖREBRO</t>
        </is>
      </c>
      <c r="G219" t="n">
        <v>0.4</v>
      </c>
      <c r="H219" t="n">
        <v>0</v>
      </c>
      <c r="I219" t="n">
        <v>0</v>
      </c>
      <c r="J219" t="n">
        <v>0</v>
      </c>
      <c r="K219" t="n">
        <v>0</v>
      </c>
      <c r="L219" t="n">
        <v>0</v>
      </c>
      <c r="M219" t="n">
        <v>0</v>
      </c>
      <c r="N219" t="n">
        <v>0</v>
      </c>
      <c r="O219" t="n">
        <v>0</v>
      </c>
      <c r="P219" t="n">
        <v>0</v>
      </c>
      <c r="Q219" t="n">
        <v>0</v>
      </c>
      <c r="R219" s="2" t="inlineStr"/>
    </row>
    <row r="220" ht="15" customHeight="1">
      <c r="A220" t="inlineStr">
        <is>
          <t>A 71275-2021</t>
        </is>
      </c>
      <c r="B220" s="1" t="n">
        <v>44539</v>
      </c>
      <c r="C220" s="1" t="n">
        <v>45993</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71206-2021</t>
        </is>
      </c>
      <c r="B221" s="1" t="n">
        <v>44539</v>
      </c>
      <c r="C221" s="1" t="n">
        <v>45993</v>
      </c>
      <c r="D221" t="inlineStr">
        <is>
          <t>ÖREBRO LÄN</t>
        </is>
      </c>
      <c r="E221" t="inlineStr">
        <is>
          <t>ÖREBRO</t>
        </is>
      </c>
      <c r="G221" t="n">
        <v>2.5</v>
      </c>
      <c r="H221" t="n">
        <v>0</v>
      </c>
      <c r="I221" t="n">
        <v>0</v>
      </c>
      <c r="J221" t="n">
        <v>0</v>
      </c>
      <c r="K221" t="n">
        <v>0</v>
      </c>
      <c r="L221" t="n">
        <v>0</v>
      </c>
      <c r="M221" t="n">
        <v>0</v>
      </c>
      <c r="N221" t="n">
        <v>0</v>
      </c>
      <c r="O221" t="n">
        <v>0</v>
      </c>
      <c r="P221" t="n">
        <v>0</v>
      </c>
      <c r="Q221" t="n">
        <v>0</v>
      </c>
      <c r="R221" s="2" t="inlineStr"/>
    </row>
    <row r="222" ht="15" customHeight="1">
      <c r="A222" t="inlineStr">
        <is>
          <t>A 42138-2024</t>
        </is>
      </c>
      <c r="B222" s="1" t="n">
        <v>45562.41854166667</v>
      </c>
      <c r="C222" s="1" t="n">
        <v>45993</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58608-2024</t>
        </is>
      </c>
      <c r="B223" s="1" t="n">
        <v>45635.55185185185</v>
      </c>
      <c r="C223" s="1" t="n">
        <v>45993</v>
      </c>
      <c r="D223" t="inlineStr">
        <is>
          <t>ÖREBRO LÄN</t>
        </is>
      </c>
      <c r="E223" t="inlineStr">
        <is>
          <t>ÖREBRO</t>
        </is>
      </c>
      <c r="F223" t="inlineStr">
        <is>
          <t>Sveaskog</t>
        </is>
      </c>
      <c r="G223" t="n">
        <v>0.3</v>
      </c>
      <c r="H223" t="n">
        <v>0</v>
      </c>
      <c r="I223" t="n">
        <v>0</v>
      </c>
      <c r="J223" t="n">
        <v>0</v>
      </c>
      <c r="K223" t="n">
        <v>0</v>
      </c>
      <c r="L223" t="n">
        <v>0</v>
      </c>
      <c r="M223" t="n">
        <v>0</v>
      </c>
      <c r="N223" t="n">
        <v>0</v>
      </c>
      <c r="O223" t="n">
        <v>0</v>
      </c>
      <c r="P223" t="n">
        <v>0</v>
      </c>
      <c r="Q223" t="n">
        <v>0</v>
      </c>
      <c r="R223" s="2" t="inlineStr"/>
    </row>
    <row r="224" ht="15" customHeight="1">
      <c r="A224" t="inlineStr">
        <is>
          <t>A 34874-2022</t>
        </is>
      </c>
      <c r="B224" s="1" t="n">
        <v>44796</v>
      </c>
      <c r="C224" s="1" t="n">
        <v>45993</v>
      </c>
      <c r="D224" t="inlineStr">
        <is>
          <t>ÖREBRO LÄN</t>
        </is>
      </c>
      <c r="E224" t="inlineStr">
        <is>
          <t>ÖREBRO</t>
        </is>
      </c>
      <c r="F224" t="inlineStr">
        <is>
          <t>Övriga Aktiebolag</t>
        </is>
      </c>
      <c r="G224" t="n">
        <v>2.3</v>
      </c>
      <c r="H224" t="n">
        <v>0</v>
      </c>
      <c r="I224" t="n">
        <v>0</v>
      </c>
      <c r="J224" t="n">
        <v>0</v>
      </c>
      <c r="K224" t="n">
        <v>0</v>
      </c>
      <c r="L224" t="n">
        <v>0</v>
      </c>
      <c r="M224" t="n">
        <v>0</v>
      </c>
      <c r="N224" t="n">
        <v>0</v>
      </c>
      <c r="O224" t="n">
        <v>0</v>
      </c>
      <c r="P224" t="n">
        <v>0</v>
      </c>
      <c r="Q224" t="n">
        <v>0</v>
      </c>
      <c r="R224" s="2" t="inlineStr"/>
    </row>
    <row r="225" ht="15" customHeight="1">
      <c r="A225" t="inlineStr">
        <is>
          <t>A 2153-2023</t>
        </is>
      </c>
      <c r="B225" s="1" t="n">
        <v>44941</v>
      </c>
      <c r="C225" s="1" t="n">
        <v>45993</v>
      </c>
      <c r="D225" t="inlineStr">
        <is>
          <t>ÖREBRO LÄN</t>
        </is>
      </c>
      <c r="E225" t="inlineStr">
        <is>
          <t>ÖREBRO</t>
        </is>
      </c>
      <c r="G225" t="n">
        <v>6.3</v>
      </c>
      <c r="H225" t="n">
        <v>0</v>
      </c>
      <c r="I225" t="n">
        <v>0</v>
      </c>
      <c r="J225" t="n">
        <v>0</v>
      </c>
      <c r="K225" t="n">
        <v>0</v>
      </c>
      <c r="L225" t="n">
        <v>0</v>
      </c>
      <c r="M225" t="n">
        <v>0</v>
      </c>
      <c r="N225" t="n">
        <v>0</v>
      </c>
      <c r="O225" t="n">
        <v>0</v>
      </c>
      <c r="P225" t="n">
        <v>0</v>
      </c>
      <c r="Q225" t="n">
        <v>0</v>
      </c>
      <c r="R225" s="2" t="inlineStr"/>
    </row>
    <row r="226" ht="15" customHeight="1">
      <c r="A226" t="inlineStr">
        <is>
          <t>A 16739-2022</t>
        </is>
      </c>
      <c r="B226" s="1" t="n">
        <v>44673</v>
      </c>
      <c r="C226" s="1" t="n">
        <v>45993</v>
      </c>
      <c r="D226" t="inlineStr">
        <is>
          <t>ÖREBRO LÄN</t>
        </is>
      </c>
      <c r="E226" t="inlineStr">
        <is>
          <t>ÖREBRO</t>
        </is>
      </c>
      <c r="G226" t="n">
        <v>4.7</v>
      </c>
      <c r="H226" t="n">
        <v>0</v>
      </c>
      <c r="I226" t="n">
        <v>0</v>
      </c>
      <c r="J226" t="n">
        <v>0</v>
      </c>
      <c r="K226" t="n">
        <v>0</v>
      </c>
      <c r="L226" t="n">
        <v>0</v>
      </c>
      <c r="M226" t="n">
        <v>0</v>
      </c>
      <c r="N226" t="n">
        <v>0</v>
      </c>
      <c r="O226" t="n">
        <v>0</v>
      </c>
      <c r="P226" t="n">
        <v>0</v>
      </c>
      <c r="Q226" t="n">
        <v>0</v>
      </c>
      <c r="R226" s="2" t="inlineStr"/>
    </row>
    <row r="227" ht="15" customHeight="1">
      <c r="A227" t="inlineStr">
        <is>
          <t>A 61593-2023</t>
        </is>
      </c>
      <c r="B227" s="1" t="n">
        <v>45265</v>
      </c>
      <c r="C227" s="1" t="n">
        <v>45993</v>
      </c>
      <c r="D227" t="inlineStr">
        <is>
          <t>ÖREBRO LÄN</t>
        </is>
      </c>
      <c r="E227" t="inlineStr">
        <is>
          <t>ÖREBRO</t>
        </is>
      </c>
      <c r="G227" t="n">
        <v>2.5</v>
      </c>
      <c r="H227" t="n">
        <v>0</v>
      </c>
      <c r="I227" t="n">
        <v>0</v>
      </c>
      <c r="J227" t="n">
        <v>0</v>
      </c>
      <c r="K227" t="n">
        <v>0</v>
      </c>
      <c r="L227" t="n">
        <v>0</v>
      </c>
      <c r="M227" t="n">
        <v>0</v>
      </c>
      <c r="N227" t="n">
        <v>0</v>
      </c>
      <c r="O227" t="n">
        <v>0</v>
      </c>
      <c r="P227" t="n">
        <v>0</v>
      </c>
      <c r="Q227" t="n">
        <v>0</v>
      </c>
      <c r="R227" s="2" t="inlineStr"/>
    </row>
    <row r="228" ht="15" customHeight="1">
      <c r="A228" t="inlineStr">
        <is>
          <t>A 22045-2024</t>
        </is>
      </c>
      <c r="B228" s="1" t="n">
        <v>45443.61171296296</v>
      </c>
      <c r="C228" s="1" t="n">
        <v>45993</v>
      </c>
      <c r="D228" t="inlineStr">
        <is>
          <t>ÖREBRO LÄN</t>
        </is>
      </c>
      <c r="E228" t="inlineStr">
        <is>
          <t>ÖREBRO</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38842-2022</t>
        </is>
      </c>
      <c r="B229" s="1" t="n">
        <v>44814</v>
      </c>
      <c r="C229" s="1" t="n">
        <v>45993</v>
      </c>
      <c r="D229" t="inlineStr">
        <is>
          <t>ÖREBRO LÄN</t>
        </is>
      </c>
      <c r="E229" t="inlineStr">
        <is>
          <t>ÖREBRO</t>
        </is>
      </c>
      <c r="G229" t="n">
        <v>5</v>
      </c>
      <c r="H229" t="n">
        <v>0</v>
      </c>
      <c r="I229" t="n">
        <v>0</v>
      </c>
      <c r="J229" t="n">
        <v>0</v>
      </c>
      <c r="K229" t="n">
        <v>0</v>
      </c>
      <c r="L229" t="n">
        <v>0</v>
      </c>
      <c r="M229" t="n">
        <v>0</v>
      </c>
      <c r="N229" t="n">
        <v>0</v>
      </c>
      <c r="O229" t="n">
        <v>0</v>
      </c>
      <c r="P229" t="n">
        <v>0</v>
      </c>
      <c r="Q229" t="n">
        <v>0</v>
      </c>
      <c r="R229" s="2" t="inlineStr"/>
    </row>
    <row r="230" ht="15" customHeight="1">
      <c r="A230" t="inlineStr">
        <is>
          <t>A 58684-2023</t>
        </is>
      </c>
      <c r="B230" s="1" t="n">
        <v>45251</v>
      </c>
      <c r="C230" s="1" t="n">
        <v>45993</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9379-2024</t>
        </is>
      </c>
      <c r="B231" s="1" t="n">
        <v>45359.37298611111</v>
      </c>
      <c r="C231" s="1" t="n">
        <v>45993</v>
      </c>
      <c r="D231" t="inlineStr">
        <is>
          <t>ÖREBRO LÄN</t>
        </is>
      </c>
      <c r="E231" t="inlineStr">
        <is>
          <t>ÖREBRO</t>
        </is>
      </c>
      <c r="G231" t="n">
        <v>2.4</v>
      </c>
      <c r="H231" t="n">
        <v>0</v>
      </c>
      <c r="I231" t="n">
        <v>0</v>
      </c>
      <c r="J231" t="n">
        <v>0</v>
      </c>
      <c r="K231" t="n">
        <v>0</v>
      </c>
      <c r="L231" t="n">
        <v>0</v>
      </c>
      <c r="M231" t="n">
        <v>0</v>
      </c>
      <c r="N231" t="n">
        <v>0</v>
      </c>
      <c r="O231" t="n">
        <v>0</v>
      </c>
      <c r="P231" t="n">
        <v>0</v>
      </c>
      <c r="Q231" t="n">
        <v>0</v>
      </c>
      <c r="R231" s="2" t="inlineStr"/>
    </row>
    <row r="232" ht="15" customHeight="1">
      <c r="A232" t="inlineStr">
        <is>
          <t>A 5398-2022</t>
        </is>
      </c>
      <c r="B232" s="1" t="n">
        <v>44595.3353587963</v>
      </c>
      <c r="C232" s="1" t="n">
        <v>45993</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38898-2023</t>
        </is>
      </c>
      <c r="B233" s="1" t="n">
        <v>45163</v>
      </c>
      <c r="C233" s="1" t="n">
        <v>45993</v>
      </c>
      <c r="D233" t="inlineStr">
        <is>
          <t>ÖREBRO LÄN</t>
        </is>
      </c>
      <c r="E233" t="inlineStr">
        <is>
          <t>ÖREBRO</t>
        </is>
      </c>
      <c r="G233" t="n">
        <v>5.1</v>
      </c>
      <c r="H233" t="n">
        <v>0</v>
      </c>
      <c r="I233" t="n">
        <v>0</v>
      </c>
      <c r="J233" t="n">
        <v>0</v>
      </c>
      <c r="K233" t="n">
        <v>0</v>
      </c>
      <c r="L233" t="n">
        <v>0</v>
      </c>
      <c r="M233" t="n">
        <v>0</v>
      </c>
      <c r="N233" t="n">
        <v>0</v>
      </c>
      <c r="O233" t="n">
        <v>0</v>
      </c>
      <c r="P233" t="n">
        <v>0</v>
      </c>
      <c r="Q233" t="n">
        <v>0</v>
      </c>
      <c r="R233" s="2" t="inlineStr"/>
    </row>
    <row r="234" ht="15" customHeight="1">
      <c r="A234" t="inlineStr">
        <is>
          <t>A 2069-2025</t>
        </is>
      </c>
      <c r="B234" s="1" t="n">
        <v>45672.56614583333</v>
      </c>
      <c r="C234" s="1" t="n">
        <v>45993</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40597-2021</t>
        </is>
      </c>
      <c r="B235" s="1" t="n">
        <v>44420</v>
      </c>
      <c r="C235" s="1" t="n">
        <v>45993</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852-2025</t>
        </is>
      </c>
      <c r="B236" s="1" t="n">
        <v>45665.60148148148</v>
      </c>
      <c r="C236" s="1" t="n">
        <v>45993</v>
      </c>
      <c r="D236" t="inlineStr">
        <is>
          <t>ÖREBRO LÄN</t>
        </is>
      </c>
      <c r="E236" t="inlineStr">
        <is>
          <t>ÖREBRO</t>
        </is>
      </c>
      <c r="G236" t="n">
        <v>2.9</v>
      </c>
      <c r="H236" t="n">
        <v>0</v>
      </c>
      <c r="I236" t="n">
        <v>0</v>
      </c>
      <c r="J236" t="n">
        <v>0</v>
      </c>
      <c r="K236" t="n">
        <v>0</v>
      </c>
      <c r="L236" t="n">
        <v>0</v>
      </c>
      <c r="M236" t="n">
        <v>0</v>
      </c>
      <c r="N236" t="n">
        <v>0</v>
      </c>
      <c r="O236" t="n">
        <v>0</v>
      </c>
      <c r="P236" t="n">
        <v>0</v>
      </c>
      <c r="Q236" t="n">
        <v>0</v>
      </c>
      <c r="R236" s="2" t="inlineStr"/>
    </row>
    <row r="237" ht="15" customHeight="1">
      <c r="A237" t="inlineStr">
        <is>
          <t>A 50398-2022</t>
        </is>
      </c>
      <c r="B237" s="1" t="n">
        <v>44861</v>
      </c>
      <c r="C237" s="1" t="n">
        <v>45993</v>
      </c>
      <c r="D237" t="inlineStr">
        <is>
          <t>ÖREBRO LÄN</t>
        </is>
      </c>
      <c r="E237" t="inlineStr">
        <is>
          <t>ÖREBRO</t>
        </is>
      </c>
      <c r="G237" t="n">
        <v>1.9</v>
      </c>
      <c r="H237" t="n">
        <v>0</v>
      </c>
      <c r="I237" t="n">
        <v>0</v>
      </c>
      <c r="J237" t="n">
        <v>0</v>
      </c>
      <c r="K237" t="n">
        <v>0</v>
      </c>
      <c r="L237" t="n">
        <v>0</v>
      </c>
      <c r="M237" t="n">
        <v>0</v>
      </c>
      <c r="N237" t="n">
        <v>0</v>
      </c>
      <c r="O237" t="n">
        <v>0</v>
      </c>
      <c r="P237" t="n">
        <v>0</v>
      </c>
      <c r="Q237" t="n">
        <v>0</v>
      </c>
      <c r="R237" s="2" t="inlineStr"/>
    </row>
    <row r="238" ht="15" customHeight="1">
      <c r="A238" t="inlineStr">
        <is>
          <t>A 13321-2024</t>
        </is>
      </c>
      <c r="B238" s="1" t="n">
        <v>45386.83142361111</v>
      </c>
      <c r="C238" s="1" t="n">
        <v>45993</v>
      </c>
      <c r="D238" t="inlineStr">
        <is>
          <t>ÖREBRO LÄN</t>
        </is>
      </c>
      <c r="E238" t="inlineStr">
        <is>
          <t>ÖREBRO</t>
        </is>
      </c>
      <c r="G238" t="n">
        <v>13.1</v>
      </c>
      <c r="H238" t="n">
        <v>0</v>
      </c>
      <c r="I238" t="n">
        <v>0</v>
      </c>
      <c r="J238" t="n">
        <v>0</v>
      </c>
      <c r="K238" t="n">
        <v>0</v>
      </c>
      <c r="L238" t="n">
        <v>0</v>
      </c>
      <c r="M238" t="n">
        <v>0</v>
      </c>
      <c r="N238" t="n">
        <v>0</v>
      </c>
      <c r="O238" t="n">
        <v>0</v>
      </c>
      <c r="P238" t="n">
        <v>0</v>
      </c>
      <c r="Q238" t="n">
        <v>0</v>
      </c>
      <c r="R238" s="2" t="inlineStr"/>
    </row>
    <row r="239" ht="15" customHeight="1">
      <c r="A239" t="inlineStr">
        <is>
          <t>A 52441-2024</t>
        </is>
      </c>
      <c r="B239" s="1" t="n">
        <v>45609.48451388889</v>
      </c>
      <c r="C239" s="1" t="n">
        <v>45993</v>
      </c>
      <c r="D239" t="inlineStr">
        <is>
          <t>ÖREBRO LÄN</t>
        </is>
      </c>
      <c r="E239" t="inlineStr">
        <is>
          <t>ÖREBRO</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52499-2024</t>
        </is>
      </c>
      <c r="B240" s="1" t="n">
        <v>45609.58422453704</v>
      </c>
      <c r="C240" s="1" t="n">
        <v>45993</v>
      </c>
      <c r="D240" t="inlineStr">
        <is>
          <t>ÖREBRO LÄN</t>
        </is>
      </c>
      <c r="E240" t="inlineStr">
        <is>
          <t>ÖREBRO</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8008-2024</t>
        </is>
      </c>
      <c r="B241" s="1" t="n">
        <v>45350.6794212963</v>
      </c>
      <c r="C241" s="1" t="n">
        <v>45993</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18181-2024</t>
        </is>
      </c>
      <c r="B242" s="1" t="n">
        <v>45420.64561342593</v>
      </c>
      <c r="C242" s="1" t="n">
        <v>45993</v>
      </c>
      <c r="D242" t="inlineStr">
        <is>
          <t>ÖREBRO LÄN</t>
        </is>
      </c>
      <c r="E242" t="inlineStr">
        <is>
          <t>ÖREBRO</t>
        </is>
      </c>
      <c r="G242" t="n">
        <v>7.6</v>
      </c>
      <c r="H242" t="n">
        <v>0</v>
      </c>
      <c r="I242" t="n">
        <v>0</v>
      </c>
      <c r="J242" t="n">
        <v>0</v>
      </c>
      <c r="K242" t="n">
        <v>0</v>
      </c>
      <c r="L242" t="n">
        <v>0</v>
      </c>
      <c r="M242" t="n">
        <v>0</v>
      </c>
      <c r="N242" t="n">
        <v>0</v>
      </c>
      <c r="O242" t="n">
        <v>0</v>
      </c>
      <c r="P242" t="n">
        <v>0</v>
      </c>
      <c r="Q242" t="n">
        <v>0</v>
      </c>
      <c r="R242" s="2" t="inlineStr"/>
    </row>
    <row r="243" ht="15" customHeight="1">
      <c r="A243" t="inlineStr">
        <is>
          <t>A 8575-2021</t>
        </is>
      </c>
      <c r="B243" s="1" t="n">
        <v>44245</v>
      </c>
      <c r="C243" s="1" t="n">
        <v>45993</v>
      </c>
      <c r="D243" t="inlineStr">
        <is>
          <t>ÖREBRO LÄN</t>
        </is>
      </c>
      <c r="E243" t="inlineStr">
        <is>
          <t>ÖREBRO</t>
        </is>
      </c>
      <c r="G243" t="n">
        <v>3.4</v>
      </c>
      <c r="H243" t="n">
        <v>0</v>
      </c>
      <c r="I243" t="n">
        <v>0</v>
      </c>
      <c r="J243" t="n">
        <v>0</v>
      </c>
      <c r="K243" t="n">
        <v>0</v>
      </c>
      <c r="L243" t="n">
        <v>0</v>
      </c>
      <c r="M243" t="n">
        <v>0</v>
      </c>
      <c r="N243" t="n">
        <v>0</v>
      </c>
      <c r="O243" t="n">
        <v>0</v>
      </c>
      <c r="P243" t="n">
        <v>0</v>
      </c>
      <c r="Q243" t="n">
        <v>0</v>
      </c>
      <c r="R243" s="2" t="inlineStr"/>
    </row>
    <row r="244" ht="15" customHeight="1">
      <c r="A244" t="inlineStr">
        <is>
          <t>A 41995-2024</t>
        </is>
      </c>
      <c r="B244" s="1" t="n">
        <v>45561.6475462963</v>
      </c>
      <c r="C244" s="1" t="n">
        <v>45993</v>
      </c>
      <c r="D244" t="inlineStr">
        <is>
          <t>ÖREBRO LÄN</t>
        </is>
      </c>
      <c r="E244" t="inlineStr">
        <is>
          <t>ÖREBRO</t>
        </is>
      </c>
      <c r="G244" t="n">
        <v>1.3</v>
      </c>
      <c r="H244" t="n">
        <v>0</v>
      </c>
      <c r="I244" t="n">
        <v>0</v>
      </c>
      <c r="J244" t="n">
        <v>0</v>
      </c>
      <c r="K244" t="n">
        <v>0</v>
      </c>
      <c r="L244" t="n">
        <v>0</v>
      </c>
      <c r="M244" t="n">
        <v>0</v>
      </c>
      <c r="N244" t="n">
        <v>0</v>
      </c>
      <c r="O244" t="n">
        <v>0</v>
      </c>
      <c r="P244" t="n">
        <v>0</v>
      </c>
      <c r="Q244" t="n">
        <v>0</v>
      </c>
      <c r="R244" s="2" t="inlineStr"/>
    </row>
    <row r="245" ht="15" customHeight="1">
      <c r="A245" t="inlineStr">
        <is>
          <t>A 38583-2023</t>
        </is>
      </c>
      <c r="B245" s="1" t="n">
        <v>45162.62861111111</v>
      </c>
      <c r="C245" s="1" t="n">
        <v>45993</v>
      </c>
      <c r="D245" t="inlineStr">
        <is>
          <t>ÖREBRO LÄN</t>
        </is>
      </c>
      <c r="E245" t="inlineStr">
        <is>
          <t>ÖREBRO</t>
        </is>
      </c>
      <c r="G245" t="n">
        <v>5.7</v>
      </c>
      <c r="H245" t="n">
        <v>0</v>
      </c>
      <c r="I245" t="n">
        <v>0</v>
      </c>
      <c r="J245" t="n">
        <v>0</v>
      </c>
      <c r="K245" t="n">
        <v>0</v>
      </c>
      <c r="L245" t="n">
        <v>0</v>
      </c>
      <c r="M245" t="n">
        <v>0</v>
      </c>
      <c r="N245" t="n">
        <v>0</v>
      </c>
      <c r="O245" t="n">
        <v>0</v>
      </c>
      <c r="P245" t="n">
        <v>0</v>
      </c>
      <c r="Q245" t="n">
        <v>0</v>
      </c>
      <c r="R245" s="2" t="inlineStr"/>
    </row>
    <row r="246" ht="15" customHeight="1">
      <c r="A246" t="inlineStr">
        <is>
          <t>A 26338-2021</t>
        </is>
      </c>
      <c r="B246" s="1" t="n">
        <v>44347</v>
      </c>
      <c r="C246" s="1" t="n">
        <v>45993</v>
      </c>
      <c r="D246" t="inlineStr">
        <is>
          <t>ÖREBRO LÄN</t>
        </is>
      </c>
      <c r="E246" t="inlineStr">
        <is>
          <t>ÖREBRO</t>
        </is>
      </c>
      <c r="G246" t="n">
        <v>0.5</v>
      </c>
      <c r="H246" t="n">
        <v>0</v>
      </c>
      <c r="I246" t="n">
        <v>0</v>
      </c>
      <c r="J246" t="n">
        <v>0</v>
      </c>
      <c r="K246" t="n">
        <v>0</v>
      </c>
      <c r="L246" t="n">
        <v>0</v>
      </c>
      <c r="M246" t="n">
        <v>0</v>
      </c>
      <c r="N246" t="n">
        <v>0</v>
      </c>
      <c r="O246" t="n">
        <v>0</v>
      </c>
      <c r="P246" t="n">
        <v>0</v>
      </c>
      <c r="Q246" t="n">
        <v>0</v>
      </c>
      <c r="R246" s="2" t="inlineStr"/>
    </row>
    <row r="247" ht="15" customHeight="1">
      <c r="A247" t="inlineStr">
        <is>
          <t>A 14291-2023</t>
        </is>
      </c>
      <c r="B247" s="1" t="n">
        <v>45010</v>
      </c>
      <c r="C247" s="1" t="n">
        <v>45993</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38415-2023</t>
        </is>
      </c>
      <c r="B248" s="1" t="n">
        <v>45162.35502314815</v>
      </c>
      <c r="C248" s="1" t="n">
        <v>45993</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71266-2021</t>
        </is>
      </c>
      <c r="B249" s="1" t="n">
        <v>44539</v>
      </c>
      <c r="C249" s="1" t="n">
        <v>45993</v>
      </c>
      <c r="D249" t="inlineStr">
        <is>
          <t>ÖREBRO LÄN</t>
        </is>
      </c>
      <c r="E249" t="inlineStr">
        <is>
          <t>ÖREBRO</t>
        </is>
      </c>
      <c r="G249" t="n">
        <v>1.8</v>
      </c>
      <c r="H249" t="n">
        <v>0</v>
      </c>
      <c r="I249" t="n">
        <v>0</v>
      </c>
      <c r="J249" t="n">
        <v>0</v>
      </c>
      <c r="K249" t="n">
        <v>0</v>
      </c>
      <c r="L249" t="n">
        <v>0</v>
      </c>
      <c r="M249" t="n">
        <v>0</v>
      </c>
      <c r="N249" t="n">
        <v>0</v>
      </c>
      <c r="O249" t="n">
        <v>0</v>
      </c>
      <c r="P249" t="n">
        <v>0</v>
      </c>
      <c r="Q249" t="n">
        <v>0</v>
      </c>
      <c r="R249" s="2" t="inlineStr"/>
    </row>
    <row r="250" ht="15" customHeight="1">
      <c r="A250" t="inlineStr">
        <is>
          <t>A 71267-2021</t>
        </is>
      </c>
      <c r="B250" s="1" t="n">
        <v>44539</v>
      </c>
      <c r="C250" s="1" t="n">
        <v>45993</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71280-2021</t>
        </is>
      </c>
      <c r="B251" s="1" t="n">
        <v>44539</v>
      </c>
      <c r="C251" s="1" t="n">
        <v>45993</v>
      </c>
      <c r="D251" t="inlineStr">
        <is>
          <t>ÖREBRO LÄN</t>
        </is>
      </c>
      <c r="E251" t="inlineStr">
        <is>
          <t>ÖREBRO</t>
        </is>
      </c>
      <c r="G251" t="n">
        <v>0.6</v>
      </c>
      <c r="H251" t="n">
        <v>0</v>
      </c>
      <c r="I251" t="n">
        <v>0</v>
      </c>
      <c r="J251" t="n">
        <v>0</v>
      </c>
      <c r="K251" t="n">
        <v>0</v>
      </c>
      <c r="L251" t="n">
        <v>0</v>
      </c>
      <c r="M251" t="n">
        <v>0</v>
      </c>
      <c r="N251" t="n">
        <v>0</v>
      </c>
      <c r="O251" t="n">
        <v>0</v>
      </c>
      <c r="P251" t="n">
        <v>0</v>
      </c>
      <c r="Q251" t="n">
        <v>0</v>
      </c>
      <c r="R251" s="2" t="inlineStr"/>
    </row>
    <row r="252" ht="15" customHeight="1">
      <c r="A252" t="inlineStr">
        <is>
          <t>A 16737-2023</t>
        </is>
      </c>
      <c r="B252" s="1" t="n">
        <v>45030.72472222222</v>
      </c>
      <c r="C252" s="1" t="n">
        <v>45993</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9314-2023</t>
        </is>
      </c>
      <c r="B253" s="1" t="n">
        <v>44980.67747685185</v>
      </c>
      <c r="C253" s="1" t="n">
        <v>45993</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15866-2022</t>
        </is>
      </c>
      <c r="B254" s="1" t="n">
        <v>44664</v>
      </c>
      <c r="C254" s="1" t="n">
        <v>45993</v>
      </c>
      <c r="D254" t="inlineStr">
        <is>
          <t>ÖREBRO LÄN</t>
        </is>
      </c>
      <c r="E254" t="inlineStr">
        <is>
          <t>ÖREBRO</t>
        </is>
      </c>
      <c r="G254" t="n">
        <v>4</v>
      </c>
      <c r="H254" t="n">
        <v>0</v>
      </c>
      <c r="I254" t="n">
        <v>0</v>
      </c>
      <c r="J254" t="n">
        <v>0</v>
      </c>
      <c r="K254" t="n">
        <v>0</v>
      </c>
      <c r="L254" t="n">
        <v>0</v>
      </c>
      <c r="M254" t="n">
        <v>0</v>
      </c>
      <c r="N254" t="n">
        <v>0</v>
      </c>
      <c r="O254" t="n">
        <v>0</v>
      </c>
      <c r="P254" t="n">
        <v>0</v>
      </c>
      <c r="Q254" t="n">
        <v>0</v>
      </c>
      <c r="R254" s="2" t="inlineStr"/>
    </row>
    <row r="255" ht="15" customHeight="1">
      <c r="A255" t="inlineStr">
        <is>
          <t>A 2318-2023</t>
        </is>
      </c>
      <c r="B255" s="1" t="n">
        <v>44942</v>
      </c>
      <c r="C255" s="1" t="n">
        <v>45993</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33455-2023</t>
        </is>
      </c>
      <c r="B256" s="1" t="n">
        <v>45130.98962962963</v>
      </c>
      <c r="C256" s="1" t="n">
        <v>45993</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21306-2024</t>
        </is>
      </c>
      <c r="B257" s="1" t="n">
        <v>45440.67883101852</v>
      </c>
      <c r="C257" s="1" t="n">
        <v>45993</v>
      </c>
      <c r="D257" t="inlineStr">
        <is>
          <t>ÖREBRO LÄN</t>
        </is>
      </c>
      <c r="E257" t="inlineStr">
        <is>
          <t>ÖREBRO</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16374-2022</t>
        </is>
      </c>
      <c r="B258" s="1" t="n">
        <v>44671</v>
      </c>
      <c r="C258" s="1" t="n">
        <v>45993</v>
      </c>
      <c r="D258" t="inlineStr">
        <is>
          <t>ÖREBRO LÄN</t>
        </is>
      </c>
      <c r="E258" t="inlineStr">
        <is>
          <t>ÖREBRO</t>
        </is>
      </c>
      <c r="F258" t="inlineStr">
        <is>
          <t>Övriga Aktiebolag</t>
        </is>
      </c>
      <c r="G258" t="n">
        <v>30.3</v>
      </c>
      <c r="H258" t="n">
        <v>0</v>
      </c>
      <c r="I258" t="n">
        <v>0</v>
      </c>
      <c r="J258" t="n">
        <v>0</v>
      </c>
      <c r="K258" t="n">
        <v>0</v>
      </c>
      <c r="L258" t="n">
        <v>0</v>
      </c>
      <c r="M258" t="n">
        <v>0</v>
      </c>
      <c r="N258" t="n">
        <v>0</v>
      </c>
      <c r="O258" t="n">
        <v>0</v>
      </c>
      <c r="P258" t="n">
        <v>0</v>
      </c>
      <c r="Q258" t="n">
        <v>0</v>
      </c>
      <c r="R258" s="2" t="inlineStr"/>
    </row>
    <row r="259" ht="15" customHeight="1">
      <c r="A259" t="inlineStr">
        <is>
          <t>A 7634-2024</t>
        </is>
      </c>
      <c r="B259" s="1" t="n">
        <v>45348</v>
      </c>
      <c r="C259" s="1" t="n">
        <v>45993</v>
      </c>
      <c r="D259" t="inlineStr">
        <is>
          <t>ÖREBRO LÄN</t>
        </is>
      </c>
      <c r="E259" t="inlineStr">
        <is>
          <t>ÖREBRO</t>
        </is>
      </c>
      <c r="G259" t="n">
        <v>1.8</v>
      </c>
      <c r="H259" t="n">
        <v>0</v>
      </c>
      <c r="I259" t="n">
        <v>0</v>
      </c>
      <c r="J259" t="n">
        <v>0</v>
      </c>
      <c r="K259" t="n">
        <v>0</v>
      </c>
      <c r="L259" t="n">
        <v>0</v>
      </c>
      <c r="M259" t="n">
        <v>0</v>
      </c>
      <c r="N259" t="n">
        <v>0</v>
      </c>
      <c r="O259" t="n">
        <v>0</v>
      </c>
      <c r="P259" t="n">
        <v>0</v>
      </c>
      <c r="Q259" t="n">
        <v>0</v>
      </c>
      <c r="R259" s="2" t="inlineStr"/>
    </row>
    <row r="260" ht="15" customHeight="1">
      <c r="A260" t="inlineStr">
        <is>
          <t>A 5324-2024</t>
        </is>
      </c>
      <c r="B260" s="1" t="n">
        <v>45331</v>
      </c>
      <c r="C260" s="1" t="n">
        <v>45993</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52401-2024</t>
        </is>
      </c>
      <c r="B261" s="1" t="n">
        <v>45609.44553240741</v>
      </c>
      <c r="C261" s="1" t="n">
        <v>45993</v>
      </c>
      <c r="D261" t="inlineStr">
        <is>
          <t>ÖREBRO LÄN</t>
        </is>
      </c>
      <c r="E261" t="inlineStr">
        <is>
          <t>ÖREBRO</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5764-2022</t>
        </is>
      </c>
      <c r="B262" s="1" t="n">
        <v>44596</v>
      </c>
      <c r="C262" s="1" t="n">
        <v>45993</v>
      </c>
      <c r="D262" t="inlineStr">
        <is>
          <t>ÖREBRO LÄN</t>
        </is>
      </c>
      <c r="E262" t="inlineStr">
        <is>
          <t>ÖREBRO</t>
        </is>
      </c>
      <c r="G262" t="n">
        <v>3.5</v>
      </c>
      <c r="H262" t="n">
        <v>0</v>
      </c>
      <c r="I262" t="n">
        <v>0</v>
      </c>
      <c r="J262" t="n">
        <v>0</v>
      </c>
      <c r="K262" t="n">
        <v>0</v>
      </c>
      <c r="L262" t="n">
        <v>0</v>
      </c>
      <c r="M262" t="n">
        <v>0</v>
      </c>
      <c r="N262" t="n">
        <v>0</v>
      </c>
      <c r="O262" t="n">
        <v>0</v>
      </c>
      <c r="P262" t="n">
        <v>0</v>
      </c>
      <c r="Q262" t="n">
        <v>0</v>
      </c>
      <c r="R262" s="2" t="inlineStr"/>
    </row>
    <row r="263" ht="15" customHeight="1">
      <c r="A263" t="inlineStr">
        <is>
          <t>A 45027-2024</t>
        </is>
      </c>
      <c r="B263" s="1" t="n">
        <v>45575</v>
      </c>
      <c r="C263" s="1" t="n">
        <v>45993</v>
      </c>
      <c r="D263" t="inlineStr">
        <is>
          <t>ÖREBRO LÄN</t>
        </is>
      </c>
      <c r="E263" t="inlineStr">
        <is>
          <t>ÖREBRO</t>
        </is>
      </c>
      <c r="G263" t="n">
        <v>6.3</v>
      </c>
      <c r="H263" t="n">
        <v>0</v>
      </c>
      <c r="I263" t="n">
        <v>0</v>
      </c>
      <c r="J263" t="n">
        <v>0</v>
      </c>
      <c r="K263" t="n">
        <v>0</v>
      </c>
      <c r="L263" t="n">
        <v>0</v>
      </c>
      <c r="M263" t="n">
        <v>0</v>
      </c>
      <c r="N263" t="n">
        <v>0</v>
      </c>
      <c r="O263" t="n">
        <v>0</v>
      </c>
      <c r="P263" t="n">
        <v>0</v>
      </c>
      <c r="Q263" t="n">
        <v>0</v>
      </c>
      <c r="R263" s="2" t="inlineStr"/>
    </row>
    <row r="264" ht="15" customHeight="1">
      <c r="A264" t="inlineStr">
        <is>
          <t>A 40051-2024</t>
        </is>
      </c>
      <c r="B264" s="1" t="n">
        <v>45553</v>
      </c>
      <c r="C264" s="1" t="n">
        <v>45993</v>
      </c>
      <c r="D264" t="inlineStr">
        <is>
          <t>ÖREBRO LÄN</t>
        </is>
      </c>
      <c r="E264" t="inlineStr">
        <is>
          <t>ÖREBRO</t>
        </is>
      </c>
      <c r="G264" t="n">
        <v>3.5</v>
      </c>
      <c r="H264" t="n">
        <v>0</v>
      </c>
      <c r="I264" t="n">
        <v>0</v>
      </c>
      <c r="J264" t="n">
        <v>0</v>
      </c>
      <c r="K264" t="n">
        <v>0</v>
      </c>
      <c r="L264" t="n">
        <v>0</v>
      </c>
      <c r="M264" t="n">
        <v>0</v>
      </c>
      <c r="N264" t="n">
        <v>0</v>
      </c>
      <c r="O264" t="n">
        <v>0</v>
      </c>
      <c r="P264" t="n">
        <v>0</v>
      </c>
      <c r="Q264" t="n">
        <v>0</v>
      </c>
      <c r="R264" s="2" t="inlineStr"/>
    </row>
    <row r="265" ht="15" customHeight="1">
      <c r="A265" t="inlineStr">
        <is>
          <t>A 41543-2024</t>
        </is>
      </c>
      <c r="B265" s="1" t="n">
        <v>45560</v>
      </c>
      <c r="C265" s="1" t="n">
        <v>45993</v>
      </c>
      <c r="D265" t="inlineStr">
        <is>
          <t>ÖREBRO LÄN</t>
        </is>
      </c>
      <c r="E265" t="inlineStr">
        <is>
          <t>ÖREBRO</t>
        </is>
      </c>
      <c r="G265" t="n">
        <v>2.8</v>
      </c>
      <c r="H265" t="n">
        <v>0</v>
      </c>
      <c r="I265" t="n">
        <v>0</v>
      </c>
      <c r="J265" t="n">
        <v>0</v>
      </c>
      <c r="K265" t="n">
        <v>0</v>
      </c>
      <c r="L265" t="n">
        <v>0</v>
      </c>
      <c r="M265" t="n">
        <v>0</v>
      </c>
      <c r="N265" t="n">
        <v>0</v>
      </c>
      <c r="O265" t="n">
        <v>0</v>
      </c>
      <c r="P265" t="n">
        <v>0</v>
      </c>
      <c r="Q265" t="n">
        <v>0</v>
      </c>
      <c r="R265" s="2" t="inlineStr"/>
    </row>
    <row r="266" ht="15" customHeight="1">
      <c r="A266" t="inlineStr">
        <is>
          <t>A 10799-2024</t>
        </is>
      </c>
      <c r="B266" s="1" t="n">
        <v>45369</v>
      </c>
      <c r="C266" s="1" t="n">
        <v>45993</v>
      </c>
      <c r="D266" t="inlineStr">
        <is>
          <t>ÖREBRO LÄN</t>
        </is>
      </c>
      <c r="E266" t="inlineStr">
        <is>
          <t>ÖREBRO</t>
        </is>
      </c>
      <c r="G266" t="n">
        <v>5.8</v>
      </c>
      <c r="H266" t="n">
        <v>0</v>
      </c>
      <c r="I266" t="n">
        <v>0</v>
      </c>
      <c r="J266" t="n">
        <v>0</v>
      </c>
      <c r="K266" t="n">
        <v>0</v>
      </c>
      <c r="L266" t="n">
        <v>0</v>
      </c>
      <c r="M266" t="n">
        <v>0</v>
      </c>
      <c r="N266" t="n">
        <v>0</v>
      </c>
      <c r="O266" t="n">
        <v>0</v>
      </c>
      <c r="P266" t="n">
        <v>0</v>
      </c>
      <c r="Q266" t="n">
        <v>0</v>
      </c>
      <c r="R266" s="2" t="inlineStr"/>
    </row>
    <row r="267" ht="15" customHeight="1">
      <c r="A267" t="inlineStr">
        <is>
          <t>A 14963-2025</t>
        </is>
      </c>
      <c r="B267" s="1" t="n">
        <v>45743.58699074074</v>
      </c>
      <c r="C267" s="1" t="n">
        <v>45993</v>
      </c>
      <c r="D267" t="inlineStr">
        <is>
          <t>ÖREBRO LÄN</t>
        </is>
      </c>
      <c r="E267" t="inlineStr">
        <is>
          <t>ÖREBRO</t>
        </is>
      </c>
      <c r="G267" t="n">
        <v>9.1</v>
      </c>
      <c r="H267" t="n">
        <v>0</v>
      </c>
      <c r="I267" t="n">
        <v>0</v>
      </c>
      <c r="J267" t="n">
        <v>0</v>
      </c>
      <c r="K267" t="n">
        <v>0</v>
      </c>
      <c r="L267" t="n">
        <v>0</v>
      </c>
      <c r="M267" t="n">
        <v>0</v>
      </c>
      <c r="N267" t="n">
        <v>0</v>
      </c>
      <c r="O267" t="n">
        <v>0</v>
      </c>
      <c r="P267" t="n">
        <v>0</v>
      </c>
      <c r="Q267" t="n">
        <v>0</v>
      </c>
      <c r="R267" s="2" t="inlineStr"/>
    </row>
    <row r="268" ht="15" customHeight="1">
      <c r="A268" t="inlineStr">
        <is>
          <t>A 9704-2023</t>
        </is>
      </c>
      <c r="B268" s="1" t="n">
        <v>44984</v>
      </c>
      <c r="C268" s="1" t="n">
        <v>45993</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16694-2025</t>
        </is>
      </c>
      <c r="B269" s="1" t="n">
        <v>45754.46480324074</v>
      </c>
      <c r="C269" s="1" t="n">
        <v>45993</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19180-2025</t>
        </is>
      </c>
      <c r="B270" s="1" t="n">
        <v>45769.40133101852</v>
      </c>
      <c r="C270" s="1" t="n">
        <v>45993</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55357-2024</t>
        </is>
      </c>
      <c r="B271" s="1" t="n">
        <v>45621.81126157408</v>
      </c>
      <c r="C271" s="1" t="n">
        <v>45993</v>
      </c>
      <c r="D271" t="inlineStr">
        <is>
          <t>ÖREBRO LÄN</t>
        </is>
      </c>
      <c r="E271" t="inlineStr">
        <is>
          <t>ÖREBRO</t>
        </is>
      </c>
      <c r="G271" t="n">
        <v>0.6</v>
      </c>
      <c r="H271" t="n">
        <v>0</v>
      </c>
      <c r="I271" t="n">
        <v>0</v>
      </c>
      <c r="J271" t="n">
        <v>0</v>
      </c>
      <c r="K271" t="n">
        <v>0</v>
      </c>
      <c r="L271" t="n">
        <v>0</v>
      </c>
      <c r="M271" t="n">
        <v>0</v>
      </c>
      <c r="N271" t="n">
        <v>0</v>
      </c>
      <c r="O271" t="n">
        <v>0</v>
      </c>
      <c r="P271" t="n">
        <v>0</v>
      </c>
      <c r="Q271" t="n">
        <v>0</v>
      </c>
      <c r="R271" s="2" t="inlineStr"/>
    </row>
    <row r="272" ht="15" customHeight="1">
      <c r="A272" t="inlineStr">
        <is>
          <t>A 49465-2024</t>
        </is>
      </c>
      <c r="B272" s="1" t="n">
        <v>45596</v>
      </c>
      <c r="C272" s="1" t="n">
        <v>45993</v>
      </c>
      <c r="D272" t="inlineStr">
        <is>
          <t>ÖREBRO LÄN</t>
        </is>
      </c>
      <c r="E272" t="inlineStr">
        <is>
          <t>ÖREBRO</t>
        </is>
      </c>
      <c r="F272" t="inlineStr">
        <is>
          <t>Övriga Aktiebolag</t>
        </is>
      </c>
      <c r="G272" t="n">
        <v>21</v>
      </c>
      <c r="H272" t="n">
        <v>0</v>
      </c>
      <c r="I272" t="n">
        <v>0</v>
      </c>
      <c r="J272" t="n">
        <v>0</v>
      </c>
      <c r="K272" t="n">
        <v>0</v>
      </c>
      <c r="L272" t="n">
        <v>0</v>
      </c>
      <c r="M272" t="n">
        <v>0</v>
      </c>
      <c r="N272" t="n">
        <v>0</v>
      </c>
      <c r="O272" t="n">
        <v>0</v>
      </c>
      <c r="P272" t="n">
        <v>0</v>
      </c>
      <c r="Q272" t="n">
        <v>0</v>
      </c>
      <c r="R272" s="2" t="inlineStr"/>
    </row>
    <row r="273" ht="15" customHeight="1">
      <c r="A273" t="inlineStr">
        <is>
          <t>A 38422-2023</t>
        </is>
      </c>
      <c r="B273" s="1" t="n">
        <v>45162.36422453704</v>
      </c>
      <c r="C273" s="1" t="n">
        <v>45993</v>
      </c>
      <c r="D273" t="inlineStr">
        <is>
          <t>ÖREBRO LÄN</t>
        </is>
      </c>
      <c r="E273" t="inlineStr">
        <is>
          <t>ÖREBRO</t>
        </is>
      </c>
      <c r="G273" t="n">
        <v>8</v>
      </c>
      <c r="H273" t="n">
        <v>0</v>
      </c>
      <c r="I273" t="n">
        <v>0</v>
      </c>
      <c r="J273" t="n">
        <v>0</v>
      </c>
      <c r="K273" t="n">
        <v>0</v>
      </c>
      <c r="L273" t="n">
        <v>0</v>
      </c>
      <c r="M273" t="n">
        <v>0</v>
      </c>
      <c r="N273" t="n">
        <v>0</v>
      </c>
      <c r="O273" t="n">
        <v>0</v>
      </c>
      <c r="P273" t="n">
        <v>0</v>
      </c>
      <c r="Q273" t="n">
        <v>0</v>
      </c>
      <c r="R273" s="2" t="inlineStr"/>
    </row>
    <row r="274" ht="15" customHeight="1">
      <c r="A274" t="inlineStr">
        <is>
          <t>A 46518-2023</t>
        </is>
      </c>
      <c r="B274" s="1" t="n">
        <v>45197.72777777778</v>
      </c>
      <c r="C274" s="1" t="n">
        <v>45993</v>
      </c>
      <c r="D274" t="inlineStr">
        <is>
          <t>ÖREBRO LÄN</t>
        </is>
      </c>
      <c r="E274" t="inlineStr">
        <is>
          <t>ÖREBRO</t>
        </is>
      </c>
      <c r="G274" t="n">
        <v>2.2</v>
      </c>
      <c r="H274" t="n">
        <v>0</v>
      </c>
      <c r="I274" t="n">
        <v>0</v>
      </c>
      <c r="J274" t="n">
        <v>0</v>
      </c>
      <c r="K274" t="n">
        <v>0</v>
      </c>
      <c r="L274" t="n">
        <v>0</v>
      </c>
      <c r="M274" t="n">
        <v>0</v>
      </c>
      <c r="N274" t="n">
        <v>0</v>
      </c>
      <c r="O274" t="n">
        <v>0</v>
      </c>
      <c r="P274" t="n">
        <v>0</v>
      </c>
      <c r="Q274" t="n">
        <v>0</v>
      </c>
      <c r="R274" s="2" t="inlineStr"/>
    </row>
    <row r="275" ht="15" customHeight="1">
      <c r="A275" t="inlineStr">
        <is>
          <t>A 46052-2024</t>
        </is>
      </c>
      <c r="B275" s="1" t="n">
        <v>45580.89116898148</v>
      </c>
      <c r="C275" s="1" t="n">
        <v>45993</v>
      </c>
      <c r="D275" t="inlineStr">
        <is>
          <t>ÖREBRO LÄN</t>
        </is>
      </c>
      <c r="E275" t="inlineStr">
        <is>
          <t>ÖREBRO</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29554-2025</t>
        </is>
      </c>
      <c r="B276" s="1" t="n">
        <v>45825</v>
      </c>
      <c r="C276" s="1" t="n">
        <v>45993</v>
      </c>
      <c r="D276" t="inlineStr">
        <is>
          <t>ÖREBRO LÄN</t>
        </is>
      </c>
      <c r="E276" t="inlineStr">
        <is>
          <t>ÖREBRO</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58527-2024</t>
        </is>
      </c>
      <c r="B277" s="1" t="n">
        <v>45635.44388888889</v>
      </c>
      <c r="C277" s="1" t="n">
        <v>45993</v>
      </c>
      <c r="D277" t="inlineStr">
        <is>
          <t>ÖREBRO LÄN</t>
        </is>
      </c>
      <c r="E277" t="inlineStr">
        <is>
          <t>ÖREBRO</t>
        </is>
      </c>
      <c r="F277" t="inlineStr">
        <is>
          <t>Sveaskog</t>
        </is>
      </c>
      <c r="G277" t="n">
        <v>6.4</v>
      </c>
      <c r="H277" t="n">
        <v>0</v>
      </c>
      <c r="I277" t="n">
        <v>0</v>
      </c>
      <c r="J277" t="n">
        <v>0</v>
      </c>
      <c r="K277" t="n">
        <v>0</v>
      </c>
      <c r="L277" t="n">
        <v>0</v>
      </c>
      <c r="M277" t="n">
        <v>0</v>
      </c>
      <c r="N277" t="n">
        <v>0</v>
      </c>
      <c r="O277" t="n">
        <v>0</v>
      </c>
      <c r="P277" t="n">
        <v>0</v>
      </c>
      <c r="Q277" t="n">
        <v>0</v>
      </c>
      <c r="R277" s="2" t="inlineStr"/>
    </row>
    <row r="278" ht="15" customHeight="1">
      <c r="A278" t="inlineStr">
        <is>
          <t>A 59121-2024</t>
        </is>
      </c>
      <c r="B278" s="1" t="n">
        <v>45637.37755787037</v>
      </c>
      <c r="C278" s="1" t="n">
        <v>45993</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49215-2023</t>
        </is>
      </c>
      <c r="B279" s="1" t="n">
        <v>45210.61050925926</v>
      </c>
      <c r="C279" s="1" t="n">
        <v>45993</v>
      </c>
      <c r="D279" t="inlineStr">
        <is>
          <t>ÖREBRO LÄN</t>
        </is>
      </c>
      <c r="E279" t="inlineStr">
        <is>
          <t>ÖREBRO</t>
        </is>
      </c>
      <c r="F279" t="inlineStr">
        <is>
          <t>Övriga Aktiebolag</t>
        </is>
      </c>
      <c r="G279" t="n">
        <v>4.2</v>
      </c>
      <c r="H279" t="n">
        <v>0</v>
      </c>
      <c r="I279" t="n">
        <v>0</v>
      </c>
      <c r="J279" t="n">
        <v>0</v>
      </c>
      <c r="K279" t="n">
        <v>0</v>
      </c>
      <c r="L279" t="n">
        <v>0</v>
      </c>
      <c r="M279" t="n">
        <v>0</v>
      </c>
      <c r="N279" t="n">
        <v>0</v>
      </c>
      <c r="O279" t="n">
        <v>0</v>
      </c>
      <c r="P279" t="n">
        <v>0</v>
      </c>
      <c r="Q279" t="n">
        <v>0</v>
      </c>
      <c r="R279" s="2" t="inlineStr"/>
    </row>
    <row r="280" ht="15" customHeight="1">
      <c r="A280" t="inlineStr">
        <is>
          <t>A 17983-2025</t>
        </is>
      </c>
      <c r="B280" s="1" t="n">
        <v>45761.38829861111</v>
      </c>
      <c r="C280" s="1" t="n">
        <v>45993</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41703-2024</t>
        </is>
      </c>
      <c r="B281" s="1" t="n">
        <v>45560</v>
      </c>
      <c r="C281" s="1" t="n">
        <v>45993</v>
      </c>
      <c r="D281" t="inlineStr">
        <is>
          <t>ÖREBRO LÄN</t>
        </is>
      </c>
      <c r="E281" t="inlineStr">
        <is>
          <t>ÖREBRO</t>
        </is>
      </c>
      <c r="G281" t="n">
        <v>6.4</v>
      </c>
      <c r="H281" t="n">
        <v>0</v>
      </c>
      <c r="I281" t="n">
        <v>0</v>
      </c>
      <c r="J281" t="n">
        <v>0</v>
      </c>
      <c r="K281" t="n">
        <v>0</v>
      </c>
      <c r="L281" t="n">
        <v>0</v>
      </c>
      <c r="M281" t="n">
        <v>0</v>
      </c>
      <c r="N281" t="n">
        <v>0</v>
      </c>
      <c r="O281" t="n">
        <v>0</v>
      </c>
      <c r="P281" t="n">
        <v>0</v>
      </c>
      <c r="Q281" t="n">
        <v>0</v>
      </c>
      <c r="R281" s="2" t="inlineStr"/>
    </row>
    <row r="282" ht="15" customHeight="1">
      <c r="A282" t="inlineStr">
        <is>
          <t>A 19763-2024</t>
        </is>
      </c>
      <c r="B282" s="1" t="n">
        <v>45432</v>
      </c>
      <c r="C282" s="1" t="n">
        <v>45993</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31247-2023</t>
        </is>
      </c>
      <c r="B283" s="1" t="n">
        <v>45114</v>
      </c>
      <c r="C283" s="1" t="n">
        <v>45993</v>
      </c>
      <c r="D283" t="inlineStr">
        <is>
          <t>ÖREBRO LÄN</t>
        </is>
      </c>
      <c r="E283" t="inlineStr">
        <is>
          <t>ÖREBRO</t>
        </is>
      </c>
      <c r="F283" t="inlineStr">
        <is>
          <t>Allmännings- och besparingsskogar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36635-2023</t>
        </is>
      </c>
      <c r="B284" s="1" t="n">
        <v>45153</v>
      </c>
      <c r="C284" s="1" t="n">
        <v>45993</v>
      </c>
      <c r="D284" t="inlineStr">
        <is>
          <t>ÖREBRO LÄN</t>
        </is>
      </c>
      <c r="E284" t="inlineStr">
        <is>
          <t>ÖREBRO</t>
        </is>
      </c>
      <c r="G284" t="n">
        <v>1.9</v>
      </c>
      <c r="H284" t="n">
        <v>0</v>
      </c>
      <c r="I284" t="n">
        <v>0</v>
      </c>
      <c r="J284" t="n">
        <v>0</v>
      </c>
      <c r="K284" t="n">
        <v>0</v>
      </c>
      <c r="L284" t="n">
        <v>0</v>
      </c>
      <c r="M284" t="n">
        <v>0</v>
      </c>
      <c r="N284" t="n">
        <v>0</v>
      </c>
      <c r="O284" t="n">
        <v>0</v>
      </c>
      <c r="P284" t="n">
        <v>0</v>
      </c>
      <c r="Q284" t="n">
        <v>0</v>
      </c>
      <c r="R284" s="2" t="inlineStr"/>
    </row>
    <row r="285" ht="15" customHeight="1">
      <c r="A285" t="inlineStr">
        <is>
          <t>A 54149-2024</t>
        </is>
      </c>
      <c r="B285" s="1" t="n">
        <v>45616</v>
      </c>
      <c r="C285" s="1" t="n">
        <v>45993</v>
      </c>
      <c r="D285" t="inlineStr">
        <is>
          <t>ÖREBRO LÄN</t>
        </is>
      </c>
      <c r="E285" t="inlineStr">
        <is>
          <t>ÖREBRO</t>
        </is>
      </c>
      <c r="G285" t="n">
        <v>2.7</v>
      </c>
      <c r="H285" t="n">
        <v>0</v>
      </c>
      <c r="I285" t="n">
        <v>0</v>
      </c>
      <c r="J285" t="n">
        <v>0</v>
      </c>
      <c r="K285" t="n">
        <v>0</v>
      </c>
      <c r="L285" t="n">
        <v>0</v>
      </c>
      <c r="M285" t="n">
        <v>0</v>
      </c>
      <c r="N285" t="n">
        <v>0</v>
      </c>
      <c r="O285" t="n">
        <v>0</v>
      </c>
      <c r="P285" t="n">
        <v>0</v>
      </c>
      <c r="Q285" t="n">
        <v>0</v>
      </c>
      <c r="R285" s="2" t="inlineStr"/>
    </row>
    <row r="286" ht="15" customHeight="1">
      <c r="A286" t="inlineStr">
        <is>
          <t>A 37022-2024</t>
        </is>
      </c>
      <c r="B286" s="1" t="n">
        <v>45539.3822337963</v>
      </c>
      <c r="C286" s="1" t="n">
        <v>45993</v>
      </c>
      <c r="D286" t="inlineStr">
        <is>
          <t>ÖREBRO LÄN</t>
        </is>
      </c>
      <c r="E286" t="inlineStr">
        <is>
          <t>ÖREBRO</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37024-2024</t>
        </is>
      </c>
      <c r="B287" s="1" t="n">
        <v>45539.38329861111</v>
      </c>
      <c r="C287" s="1" t="n">
        <v>45993</v>
      </c>
      <c r="D287" t="inlineStr">
        <is>
          <t>ÖREBRO LÄN</t>
        </is>
      </c>
      <c r="E287" t="inlineStr">
        <is>
          <t>ÖREBRO</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8571-2021</t>
        </is>
      </c>
      <c r="B288" s="1" t="n">
        <v>44245</v>
      </c>
      <c r="C288" s="1" t="n">
        <v>45993</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38075-2022</t>
        </is>
      </c>
      <c r="B289" s="1" t="n">
        <v>44811</v>
      </c>
      <c r="C289" s="1" t="n">
        <v>45993</v>
      </c>
      <c r="D289" t="inlineStr">
        <is>
          <t>ÖREBRO LÄN</t>
        </is>
      </c>
      <c r="E289" t="inlineStr">
        <is>
          <t>ÖREBRO</t>
        </is>
      </c>
      <c r="G289" t="n">
        <v>0.2</v>
      </c>
      <c r="H289" t="n">
        <v>0</v>
      </c>
      <c r="I289" t="n">
        <v>0</v>
      </c>
      <c r="J289" t="n">
        <v>0</v>
      </c>
      <c r="K289" t="n">
        <v>0</v>
      </c>
      <c r="L289" t="n">
        <v>0</v>
      </c>
      <c r="M289" t="n">
        <v>0</v>
      </c>
      <c r="N289" t="n">
        <v>0</v>
      </c>
      <c r="O289" t="n">
        <v>0</v>
      </c>
      <c r="P289" t="n">
        <v>0</v>
      </c>
      <c r="Q289" t="n">
        <v>0</v>
      </c>
      <c r="R289" s="2" t="inlineStr"/>
    </row>
    <row r="290" ht="15" customHeight="1">
      <c r="A290" t="inlineStr">
        <is>
          <t>A 11382-2023</t>
        </is>
      </c>
      <c r="B290" s="1" t="n">
        <v>44993.45635416666</v>
      </c>
      <c r="C290" s="1" t="n">
        <v>45993</v>
      </c>
      <c r="D290" t="inlineStr">
        <is>
          <t>ÖREBRO LÄN</t>
        </is>
      </c>
      <c r="E290" t="inlineStr">
        <is>
          <t>ÖREBRO</t>
        </is>
      </c>
      <c r="G290" t="n">
        <v>3.3</v>
      </c>
      <c r="H290" t="n">
        <v>0</v>
      </c>
      <c r="I290" t="n">
        <v>0</v>
      </c>
      <c r="J290" t="n">
        <v>0</v>
      </c>
      <c r="K290" t="n">
        <v>0</v>
      </c>
      <c r="L290" t="n">
        <v>0</v>
      </c>
      <c r="M290" t="n">
        <v>0</v>
      </c>
      <c r="N290" t="n">
        <v>0</v>
      </c>
      <c r="O290" t="n">
        <v>0</v>
      </c>
      <c r="P290" t="n">
        <v>0</v>
      </c>
      <c r="Q290" t="n">
        <v>0</v>
      </c>
      <c r="R290" s="2" t="inlineStr"/>
    </row>
    <row r="291" ht="15" customHeight="1">
      <c r="A291" t="inlineStr">
        <is>
          <t>A 55692-2023</t>
        </is>
      </c>
      <c r="B291" s="1" t="n">
        <v>45239</v>
      </c>
      <c r="C291" s="1" t="n">
        <v>45993</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49797-2024</t>
        </is>
      </c>
      <c r="B292" s="1" t="n">
        <v>45597.37265046296</v>
      </c>
      <c r="C292" s="1" t="n">
        <v>45993</v>
      </c>
      <c r="D292" t="inlineStr">
        <is>
          <t>ÖREBRO LÄN</t>
        </is>
      </c>
      <c r="E292" t="inlineStr">
        <is>
          <t>ÖREBRO</t>
        </is>
      </c>
      <c r="G292" t="n">
        <v>11.6</v>
      </c>
      <c r="H292" t="n">
        <v>0</v>
      </c>
      <c r="I292" t="n">
        <v>0</v>
      </c>
      <c r="J292" t="n">
        <v>0</v>
      </c>
      <c r="K292" t="n">
        <v>0</v>
      </c>
      <c r="L292" t="n">
        <v>0</v>
      </c>
      <c r="M292" t="n">
        <v>0</v>
      </c>
      <c r="N292" t="n">
        <v>0</v>
      </c>
      <c r="O292" t="n">
        <v>0</v>
      </c>
      <c r="P292" t="n">
        <v>0</v>
      </c>
      <c r="Q292" t="n">
        <v>0</v>
      </c>
      <c r="R292" s="2" t="inlineStr"/>
    </row>
    <row r="293" ht="15" customHeight="1">
      <c r="A293" t="inlineStr">
        <is>
          <t>A 14715-2024</t>
        </is>
      </c>
      <c r="B293" s="1" t="n">
        <v>45397.5500462963</v>
      </c>
      <c r="C293" s="1" t="n">
        <v>45993</v>
      </c>
      <c r="D293" t="inlineStr">
        <is>
          <t>ÖREBRO LÄN</t>
        </is>
      </c>
      <c r="E293" t="inlineStr">
        <is>
          <t>ÖREBRO</t>
        </is>
      </c>
      <c r="G293" t="n">
        <v>1.2</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45993</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66799-2020</t>
        </is>
      </c>
      <c r="B295" s="1" t="n">
        <v>44179</v>
      </c>
      <c r="C295" s="1" t="n">
        <v>45993</v>
      </c>
      <c r="D295" t="inlineStr">
        <is>
          <t>ÖREBRO LÄN</t>
        </is>
      </c>
      <c r="E295" t="inlineStr">
        <is>
          <t>ÖREBRO</t>
        </is>
      </c>
      <c r="G295" t="n">
        <v>5.2</v>
      </c>
      <c r="H295" t="n">
        <v>0</v>
      </c>
      <c r="I295" t="n">
        <v>0</v>
      </c>
      <c r="J295" t="n">
        <v>0</v>
      </c>
      <c r="K295" t="n">
        <v>0</v>
      </c>
      <c r="L295" t="n">
        <v>0</v>
      </c>
      <c r="M295" t="n">
        <v>0</v>
      </c>
      <c r="N295" t="n">
        <v>0</v>
      </c>
      <c r="O295" t="n">
        <v>0</v>
      </c>
      <c r="P295" t="n">
        <v>0</v>
      </c>
      <c r="Q295" t="n">
        <v>0</v>
      </c>
      <c r="R295" s="2" t="inlineStr"/>
    </row>
    <row r="296" ht="15" customHeight="1">
      <c r="A296" t="inlineStr">
        <is>
          <t>A 38057-2025</t>
        </is>
      </c>
      <c r="B296" s="1" t="n">
        <v>45882.42570601852</v>
      </c>
      <c r="C296" s="1" t="n">
        <v>45993</v>
      </c>
      <c r="D296" t="inlineStr">
        <is>
          <t>ÖREBRO LÄN</t>
        </is>
      </c>
      <c r="E296" t="inlineStr">
        <is>
          <t>ÖREBRO</t>
        </is>
      </c>
      <c r="G296" t="n">
        <v>3</v>
      </c>
      <c r="H296" t="n">
        <v>0</v>
      </c>
      <c r="I296" t="n">
        <v>0</v>
      </c>
      <c r="J296" t="n">
        <v>0</v>
      </c>
      <c r="K296" t="n">
        <v>0</v>
      </c>
      <c r="L296" t="n">
        <v>0</v>
      </c>
      <c r="M296" t="n">
        <v>0</v>
      </c>
      <c r="N296" t="n">
        <v>0</v>
      </c>
      <c r="O296" t="n">
        <v>0</v>
      </c>
      <c r="P296" t="n">
        <v>0</v>
      </c>
      <c r="Q296" t="n">
        <v>0</v>
      </c>
      <c r="R296" s="2" t="inlineStr"/>
    </row>
    <row r="297" ht="15" customHeight="1">
      <c r="A297" t="inlineStr">
        <is>
          <t>A 12682-2023</t>
        </is>
      </c>
      <c r="B297" s="1" t="n">
        <v>45000.6115625</v>
      </c>
      <c r="C297" s="1" t="n">
        <v>45993</v>
      </c>
      <c r="D297" t="inlineStr">
        <is>
          <t>ÖREBRO LÄN</t>
        </is>
      </c>
      <c r="E297" t="inlineStr">
        <is>
          <t>ÖREBRO</t>
        </is>
      </c>
      <c r="F297" t="inlineStr">
        <is>
          <t>Övriga Aktiebolag</t>
        </is>
      </c>
      <c r="G297" t="n">
        <v>4.4</v>
      </c>
      <c r="H297" t="n">
        <v>0</v>
      </c>
      <c r="I297" t="n">
        <v>0</v>
      </c>
      <c r="J297" t="n">
        <v>0</v>
      </c>
      <c r="K297" t="n">
        <v>0</v>
      </c>
      <c r="L297" t="n">
        <v>0</v>
      </c>
      <c r="M297" t="n">
        <v>0</v>
      </c>
      <c r="N297" t="n">
        <v>0</v>
      </c>
      <c r="O297" t="n">
        <v>0</v>
      </c>
      <c r="P297" t="n">
        <v>0</v>
      </c>
      <c r="Q297" t="n">
        <v>0</v>
      </c>
      <c r="R297" s="2" t="inlineStr"/>
    </row>
    <row r="298" ht="15" customHeight="1">
      <c r="A298" t="inlineStr">
        <is>
          <t>A 32086-2023</t>
        </is>
      </c>
      <c r="B298" s="1" t="n">
        <v>45119.59789351852</v>
      </c>
      <c r="C298" s="1" t="n">
        <v>45993</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13856-2022</t>
        </is>
      </c>
      <c r="B299" s="1" t="n">
        <v>44649.6965162037</v>
      </c>
      <c r="C299" s="1" t="n">
        <v>45993</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13592-2023</t>
        </is>
      </c>
      <c r="B300" s="1" t="n">
        <v>45006.56870370371</v>
      </c>
      <c r="C300" s="1" t="n">
        <v>45993</v>
      </c>
      <c r="D300" t="inlineStr">
        <is>
          <t>ÖREBRO LÄN</t>
        </is>
      </c>
      <c r="E300" t="inlineStr">
        <is>
          <t>ÖREBRO</t>
        </is>
      </c>
      <c r="G300" t="n">
        <v>2</v>
      </c>
      <c r="H300" t="n">
        <v>0</v>
      </c>
      <c r="I300" t="n">
        <v>0</v>
      </c>
      <c r="J300" t="n">
        <v>0</v>
      </c>
      <c r="K300" t="n">
        <v>0</v>
      </c>
      <c r="L300" t="n">
        <v>0</v>
      </c>
      <c r="M300" t="n">
        <v>0</v>
      </c>
      <c r="N300" t="n">
        <v>0</v>
      </c>
      <c r="O300" t="n">
        <v>0</v>
      </c>
      <c r="P300" t="n">
        <v>0</v>
      </c>
      <c r="Q300" t="n">
        <v>0</v>
      </c>
      <c r="R300" s="2" t="inlineStr"/>
    </row>
    <row r="301" ht="15" customHeight="1">
      <c r="A301" t="inlineStr">
        <is>
          <t>A 23863-2023</t>
        </is>
      </c>
      <c r="B301" s="1" t="n">
        <v>45078.48994212963</v>
      </c>
      <c r="C301" s="1" t="n">
        <v>45993</v>
      </c>
      <c r="D301" t="inlineStr">
        <is>
          <t>ÖREBRO LÄN</t>
        </is>
      </c>
      <c r="E301" t="inlineStr">
        <is>
          <t>ÖREBRO</t>
        </is>
      </c>
      <c r="F301" t="inlineStr">
        <is>
          <t>Övriga Aktiebolag</t>
        </is>
      </c>
      <c r="G301" t="n">
        <v>5.9</v>
      </c>
      <c r="H301" t="n">
        <v>0</v>
      </c>
      <c r="I301" t="n">
        <v>0</v>
      </c>
      <c r="J301" t="n">
        <v>0</v>
      </c>
      <c r="K301" t="n">
        <v>0</v>
      </c>
      <c r="L301" t="n">
        <v>0</v>
      </c>
      <c r="M301" t="n">
        <v>0</v>
      </c>
      <c r="N301" t="n">
        <v>0</v>
      </c>
      <c r="O301" t="n">
        <v>0</v>
      </c>
      <c r="P301" t="n">
        <v>0</v>
      </c>
      <c r="Q301" t="n">
        <v>0</v>
      </c>
      <c r="R301" s="2" t="inlineStr"/>
    </row>
    <row r="302" ht="15" customHeight="1">
      <c r="A302" t="inlineStr">
        <is>
          <t>A 26117-2021</t>
        </is>
      </c>
      <c r="B302" s="1" t="n">
        <v>44345</v>
      </c>
      <c r="C302" s="1" t="n">
        <v>45993</v>
      </c>
      <c r="D302" t="inlineStr">
        <is>
          <t>ÖREBRO LÄN</t>
        </is>
      </c>
      <c r="E302" t="inlineStr">
        <is>
          <t>ÖREBRO</t>
        </is>
      </c>
      <c r="G302" t="n">
        <v>8.1</v>
      </c>
      <c r="H302" t="n">
        <v>0</v>
      </c>
      <c r="I302" t="n">
        <v>0</v>
      </c>
      <c r="J302" t="n">
        <v>0</v>
      </c>
      <c r="K302" t="n">
        <v>0</v>
      </c>
      <c r="L302" t="n">
        <v>0</v>
      </c>
      <c r="M302" t="n">
        <v>0</v>
      </c>
      <c r="N302" t="n">
        <v>0</v>
      </c>
      <c r="O302" t="n">
        <v>0</v>
      </c>
      <c r="P302" t="n">
        <v>0</v>
      </c>
      <c r="Q302" t="n">
        <v>0</v>
      </c>
      <c r="R302" s="2" t="inlineStr"/>
    </row>
    <row r="303" ht="15" customHeight="1">
      <c r="A303" t="inlineStr">
        <is>
          <t>A 39130-2023</t>
        </is>
      </c>
      <c r="B303" s="1" t="n">
        <v>45165</v>
      </c>
      <c r="C303" s="1" t="n">
        <v>45993</v>
      </c>
      <c r="D303" t="inlineStr">
        <is>
          <t>ÖREBRO LÄN</t>
        </is>
      </c>
      <c r="E303" t="inlineStr">
        <is>
          <t>ÖREBRO</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10368-2021</t>
        </is>
      </c>
      <c r="B304" s="1" t="n">
        <v>44257</v>
      </c>
      <c r="C304" s="1" t="n">
        <v>45993</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59736-2023</t>
        </is>
      </c>
      <c r="B305" s="1" t="n">
        <v>45257.374375</v>
      </c>
      <c r="C305" s="1" t="n">
        <v>45993</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55943-2024</t>
        </is>
      </c>
      <c r="B306" s="1" t="n">
        <v>45623.61278935185</v>
      </c>
      <c r="C306" s="1" t="n">
        <v>45993</v>
      </c>
      <c r="D306" t="inlineStr">
        <is>
          <t>ÖREBRO LÄN</t>
        </is>
      </c>
      <c r="E306" t="inlineStr">
        <is>
          <t>ÖREBRO</t>
        </is>
      </c>
      <c r="G306" t="n">
        <v>4.8</v>
      </c>
      <c r="H306" t="n">
        <v>0</v>
      </c>
      <c r="I306" t="n">
        <v>0</v>
      </c>
      <c r="J306" t="n">
        <v>0</v>
      </c>
      <c r="K306" t="n">
        <v>0</v>
      </c>
      <c r="L306" t="n">
        <v>0</v>
      </c>
      <c r="M306" t="n">
        <v>0</v>
      </c>
      <c r="N306" t="n">
        <v>0</v>
      </c>
      <c r="O306" t="n">
        <v>0</v>
      </c>
      <c r="P306" t="n">
        <v>0</v>
      </c>
      <c r="Q306" t="n">
        <v>0</v>
      </c>
      <c r="R306" s="2" t="inlineStr"/>
    </row>
    <row r="307" ht="15" customHeight="1">
      <c r="A307" t="inlineStr">
        <is>
          <t>A 13599-2025</t>
        </is>
      </c>
      <c r="B307" s="1" t="n">
        <v>45736.60597222222</v>
      </c>
      <c r="C307" s="1" t="n">
        <v>45993</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1013-2024</t>
        </is>
      </c>
      <c r="B308" s="1" t="n">
        <v>45301</v>
      </c>
      <c r="C308" s="1" t="n">
        <v>45993</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13623-2024</t>
        </is>
      </c>
      <c r="B309" s="1" t="n">
        <v>45390.38626157407</v>
      </c>
      <c r="C309" s="1" t="n">
        <v>45993</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55355-2024</t>
        </is>
      </c>
      <c r="B310" s="1" t="n">
        <v>45621.80475694445</v>
      </c>
      <c r="C310" s="1" t="n">
        <v>45993</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49029-2024</t>
        </is>
      </c>
      <c r="B311" s="1" t="n">
        <v>45594</v>
      </c>
      <c r="C311" s="1" t="n">
        <v>45993</v>
      </c>
      <c r="D311" t="inlineStr">
        <is>
          <t>ÖREBRO LÄN</t>
        </is>
      </c>
      <c r="E311" t="inlineStr">
        <is>
          <t>ÖREBRO</t>
        </is>
      </c>
      <c r="G311" t="n">
        <v>3.7</v>
      </c>
      <c r="H311" t="n">
        <v>0</v>
      </c>
      <c r="I311" t="n">
        <v>0</v>
      </c>
      <c r="J311" t="n">
        <v>0</v>
      </c>
      <c r="K311" t="n">
        <v>0</v>
      </c>
      <c r="L311" t="n">
        <v>0</v>
      </c>
      <c r="M311" t="n">
        <v>0</v>
      </c>
      <c r="N311" t="n">
        <v>0</v>
      </c>
      <c r="O311" t="n">
        <v>0</v>
      </c>
      <c r="P311" t="n">
        <v>0</v>
      </c>
      <c r="Q311" t="n">
        <v>0</v>
      </c>
      <c r="R311" s="2" t="inlineStr"/>
    </row>
    <row r="312" ht="15" customHeight="1">
      <c r="A312" t="inlineStr">
        <is>
          <t>A 20115-2024</t>
        </is>
      </c>
      <c r="B312" s="1" t="n">
        <v>45434</v>
      </c>
      <c r="C312" s="1" t="n">
        <v>45993</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55875-2024</t>
        </is>
      </c>
      <c r="B313" s="1" t="n">
        <v>45623.55375</v>
      </c>
      <c r="C313" s="1" t="n">
        <v>45993</v>
      </c>
      <c r="D313" t="inlineStr">
        <is>
          <t>ÖREBRO LÄN</t>
        </is>
      </c>
      <c r="E313" t="inlineStr">
        <is>
          <t>ÖREBRO</t>
        </is>
      </c>
      <c r="G313" t="n">
        <v>3.5</v>
      </c>
      <c r="H313" t="n">
        <v>0</v>
      </c>
      <c r="I313" t="n">
        <v>0</v>
      </c>
      <c r="J313" t="n">
        <v>0</v>
      </c>
      <c r="K313" t="n">
        <v>0</v>
      </c>
      <c r="L313" t="n">
        <v>0</v>
      </c>
      <c r="M313" t="n">
        <v>0</v>
      </c>
      <c r="N313" t="n">
        <v>0</v>
      </c>
      <c r="O313" t="n">
        <v>0</v>
      </c>
      <c r="P313" t="n">
        <v>0</v>
      </c>
      <c r="Q313" t="n">
        <v>0</v>
      </c>
      <c r="R313" s="2" t="inlineStr"/>
    </row>
    <row r="314" ht="15" customHeight="1">
      <c r="A314" t="inlineStr">
        <is>
          <t>A 5330-2024</t>
        </is>
      </c>
      <c r="B314" s="1" t="n">
        <v>45331.4187962963</v>
      </c>
      <c r="C314" s="1" t="n">
        <v>45993</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23710-2022</t>
        </is>
      </c>
      <c r="B315" s="1" t="n">
        <v>44722</v>
      </c>
      <c r="C315" s="1" t="n">
        <v>45993</v>
      </c>
      <c r="D315" t="inlineStr">
        <is>
          <t>ÖREBRO LÄN</t>
        </is>
      </c>
      <c r="E315" t="inlineStr">
        <is>
          <t>ÖREBRO</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10470-2025</t>
        </is>
      </c>
      <c r="B316" s="1" t="n">
        <v>45720</v>
      </c>
      <c r="C316" s="1" t="n">
        <v>45993</v>
      </c>
      <c r="D316" t="inlineStr">
        <is>
          <t>ÖREBRO LÄN</t>
        </is>
      </c>
      <c r="E316" t="inlineStr">
        <is>
          <t>ÖREBRO</t>
        </is>
      </c>
      <c r="G316" t="n">
        <v>11.5</v>
      </c>
      <c r="H316" t="n">
        <v>0</v>
      </c>
      <c r="I316" t="n">
        <v>0</v>
      </c>
      <c r="J316" t="n">
        <v>0</v>
      </c>
      <c r="K316" t="n">
        <v>0</v>
      </c>
      <c r="L316" t="n">
        <v>0</v>
      </c>
      <c r="M316" t="n">
        <v>0</v>
      </c>
      <c r="N316" t="n">
        <v>0</v>
      </c>
      <c r="O316" t="n">
        <v>0</v>
      </c>
      <c r="P316" t="n">
        <v>0</v>
      </c>
      <c r="Q316" t="n">
        <v>0</v>
      </c>
      <c r="R316" s="2" t="inlineStr"/>
    </row>
    <row r="317" ht="15" customHeight="1">
      <c r="A317" t="inlineStr">
        <is>
          <t>A 46056-2024</t>
        </is>
      </c>
      <c r="B317" s="1" t="n">
        <v>45580.91502314815</v>
      </c>
      <c r="C317" s="1" t="n">
        <v>45993</v>
      </c>
      <c r="D317" t="inlineStr">
        <is>
          <t>ÖREBRO LÄN</t>
        </is>
      </c>
      <c r="E317" t="inlineStr">
        <is>
          <t>ÖREBRO</t>
        </is>
      </c>
      <c r="F317" t="inlineStr">
        <is>
          <t>Övriga Aktiebolag</t>
        </is>
      </c>
      <c r="G317" t="n">
        <v>4.5</v>
      </c>
      <c r="H317" t="n">
        <v>0</v>
      </c>
      <c r="I317" t="n">
        <v>0</v>
      </c>
      <c r="J317" t="n">
        <v>0</v>
      </c>
      <c r="K317" t="n">
        <v>0</v>
      </c>
      <c r="L317" t="n">
        <v>0</v>
      </c>
      <c r="M317" t="n">
        <v>0</v>
      </c>
      <c r="N317" t="n">
        <v>0</v>
      </c>
      <c r="O317" t="n">
        <v>0</v>
      </c>
      <c r="P317" t="n">
        <v>0</v>
      </c>
      <c r="Q317" t="n">
        <v>0</v>
      </c>
      <c r="R317" s="2" t="inlineStr"/>
    </row>
    <row r="318" ht="15" customHeight="1">
      <c r="A318" t="inlineStr">
        <is>
          <t>A 13355-2023</t>
        </is>
      </c>
      <c r="B318" s="1" t="n">
        <v>45004</v>
      </c>
      <c r="C318" s="1" t="n">
        <v>45993</v>
      </c>
      <c r="D318" t="inlineStr">
        <is>
          <t>ÖREBRO LÄN</t>
        </is>
      </c>
      <c r="E318" t="inlineStr">
        <is>
          <t>ÖREBRO</t>
        </is>
      </c>
      <c r="G318" t="n">
        <v>2.3</v>
      </c>
      <c r="H318" t="n">
        <v>0</v>
      </c>
      <c r="I318" t="n">
        <v>0</v>
      </c>
      <c r="J318" t="n">
        <v>0</v>
      </c>
      <c r="K318" t="n">
        <v>0</v>
      </c>
      <c r="L318" t="n">
        <v>0</v>
      </c>
      <c r="M318" t="n">
        <v>0</v>
      </c>
      <c r="N318" t="n">
        <v>0</v>
      </c>
      <c r="O318" t="n">
        <v>0</v>
      </c>
      <c r="P318" t="n">
        <v>0</v>
      </c>
      <c r="Q318" t="n">
        <v>0</v>
      </c>
      <c r="R318" s="2" t="inlineStr"/>
    </row>
    <row r="319" ht="15" customHeight="1">
      <c r="A319" t="inlineStr">
        <is>
          <t>A 41678-2024</t>
        </is>
      </c>
      <c r="B319" s="1" t="n">
        <v>45560</v>
      </c>
      <c r="C319" s="1" t="n">
        <v>45993</v>
      </c>
      <c r="D319" t="inlineStr">
        <is>
          <t>ÖREBRO LÄN</t>
        </is>
      </c>
      <c r="E319" t="inlineStr">
        <is>
          <t>ÖREBRO</t>
        </is>
      </c>
      <c r="G319" t="n">
        <v>11.3</v>
      </c>
      <c r="H319" t="n">
        <v>0</v>
      </c>
      <c r="I319" t="n">
        <v>0</v>
      </c>
      <c r="J319" t="n">
        <v>0</v>
      </c>
      <c r="K319" t="n">
        <v>0</v>
      </c>
      <c r="L319" t="n">
        <v>0</v>
      </c>
      <c r="M319" t="n">
        <v>0</v>
      </c>
      <c r="N319" t="n">
        <v>0</v>
      </c>
      <c r="O319" t="n">
        <v>0</v>
      </c>
      <c r="P319" t="n">
        <v>0</v>
      </c>
      <c r="Q319" t="n">
        <v>0</v>
      </c>
      <c r="R319" s="2" t="inlineStr"/>
    </row>
    <row r="320" ht="15" customHeight="1">
      <c r="A320" t="inlineStr">
        <is>
          <t>A 50375-2024</t>
        </is>
      </c>
      <c r="B320" s="1" t="n">
        <v>45601.29311342593</v>
      </c>
      <c r="C320" s="1" t="n">
        <v>45993</v>
      </c>
      <c r="D320" t="inlineStr">
        <is>
          <t>ÖREBRO LÄN</t>
        </is>
      </c>
      <c r="E320" t="inlineStr">
        <is>
          <t>ÖREBRO</t>
        </is>
      </c>
      <c r="G320" t="n">
        <v>5</v>
      </c>
      <c r="H320" t="n">
        <v>0</v>
      </c>
      <c r="I320" t="n">
        <v>0</v>
      </c>
      <c r="J320" t="n">
        <v>0</v>
      </c>
      <c r="K320" t="n">
        <v>0</v>
      </c>
      <c r="L320" t="n">
        <v>0</v>
      </c>
      <c r="M320" t="n">
        <v>0</v>
      </c>
      <c r="N320" t="n">
        <v>0</v>
      </c>
      <c r="O320" t="n">
        <v>0</v>
      </c>
      <c r="P320" t="n">
        <v>0</v>
      </c>
      <c r="Q320" t="n">
        <v>0</v>
      </c>
      <c r="R320" s="2" t="inlineStr"/>
    </row>
    <row r="321" ht="15" customHeight="1">
      <c r="A321" t="inlineStr">
        <is>
          <t>A 52391-2024</t>
        </is>
      </c>
      <c r="B321" s="1" t="n">
        <v>45609.43180555556</v>
      </c>
      <c r="C321" s="1" t="n">
        <v>45993</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18550-2025</t>
        </is>
      </c>
      <c r="B322" s="1" t="n">
        <v>45763.43422453704</v>
      </c>
      <c r="C322" s="1" t="n">
        <v>45993</v>
      </c>
      <c r="D322" t="inlineStr">
        <is>
          <t>ÖREBRO LÄN</t>
        </is>
      </c>
      <c r="E322" t="inlineStr">
        <is>
          <t>ÖREBRO</t>
        </is>
      </c>
      <c r="G322" t="n">
        <v>11.5</v>
      </c>
      <c r="H322" t="n">
        <v>0</v>
      </c>
      <c r="I322" t="n">
        <v>0</v>
      </c>
      <c r="J322" t="n">
        <v>0</v>
      </c>
      <c r="K322" t="n">
        <v>0</v>
      </c>
      <c r="L322" t="n">
        <v>0</v>
      </c>
      <c r="M322" t="n">
        <v>0</v>
      </c>
      <c r="N322" t="n">
        <v>0</v>
      </c>
      <c r="O322" t="n">
        <v>0</v>
      </c>
      <c r="P322" t="n">
        <v>0</v>
      </c>
      <c r="Q322" t="n">
        <v>0</v>
      </c>
      <c r="R322" s="2" t="inlineStr"/>
    </row>
    <row r="323" ht="15" customHeight="1">
      <c r="A323" t="inlineStr">
        <is>
          <t>A 6794-2025</t>
        </is>
      </c>
      <c r="B323" s="1" t="n">
        <v>45700.66429398148</v>
      </c>
      <c r="C323" s="1" t="n">
        <v>45993</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6522-2023</t>
        </is>
      </c>
      <c r="B324" s="1" t="n">
        <v>44966</v>
      </c>
      <c r="C324" s="1" t="n">
        <v>45993</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56040-2024</t>
        </is>
      </c>
      <c r="B325" s="1" t="n">
        <v>45624.3344212963</v>
      </c>
      <c r="C325" s="1" t="n">
        <v>45993</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52444-2024</t>
        </is>
      </c>
      <c r="B326" s="1" t="n">
        <v>45609.48894675926</v>
      </c>
      <c r="C326" s="1" t="n">
        <v>45993</v>
      </c>
      <c r="D326" t="inlineStr">
        <is>
          <t>ÖREBRO LÄN</t>
        </is>
      </c>
      <c r="E326" t="inlineStr">
        <is>
          <t>ÖREBRO</t>
        </is>
      </c>
      <c r="G326" t="n">
        <v>1.7</v>
      </c>
      <c r="H326" t="n">
        <v>0</v>
      </c>
      <c r="I326" t="n">
        <v>0</v>
      </c>
      <c r="J326" t="n">
        <v>0</v>
      </c>
      <c r="K326" t="n">
        <v>0</v>
      </c>
      <c r="L326" t="n">
        <v>0</v>
      </c>
      <c r="M326" t="n">
        <v>0</v>
      </c>
      <c r="N326" t="n">
        <v>0</v>
      </c>
      <c r="O326" t="n">
        <v>0</v>
      </c>
      <c r="P326" t="n">
        <v>0</v>
      </c>
      <c r="Q326" t="n">
        <v>0</v>
      </c>
      <c r="R326" s="2" t="inlineStr"/>
    </row>
    <row r="327" ht="15" customHeight="1">
      <c r="A327" t="inlineStr">
        <is>
          <t>A 39003-2025</t>
        </is>
      </c>
      <c r="B327" s="1" t="n">
        <v>45888.34467592592</v>
      </c>
      <c r="C327" s="1" t="n">
        <v>45993</v>
      </c>
      <c r="D327" t="inlineStr">
        <is>
          <t>ÖREBRO LÄN</t>
        </is>
      </c>
      <c r="E327" t="inlineStr">
        <is>
          <t>ÖREBRO</t>
        </is>
      </c>
      <c r="G327" t="n">
        <v>3.7</v>
      </c>
      <c r="H327" t="n">
        <v>0</v>
      </c>
      <c r="I327" t="n">
        <v>0</v>
      </c>
      <c r="J327" t="n">
        <v>0</v>
      </c>
      <c r="K327" t="n">
        <v>0</v>
      </c>
      <c r="L327" t="n">
        <v>0</v>
      </c>
      <c r="M327" t="n">
        <v>0</v>
      </c>
      <c r="N327" t="n">
        <v>0</v>
      </c>
      <c r="O327" t="n">
        <v>0</v>
      </c>
      <c r="P327" t="n">
        <v>0</v>
      </c>
      <c r="Q327" t="n">
        <v>0</v>
      </c>
      <c r="R327" s="2" t="inlineStr"/>
    </row>
    <row r="328" ht="15" customHeight="1">
      <c r="A328" t="inlineStr">
        <is>
          <t>A 15422-2022</t>
        </is>
      </c>
      <c r="B328" s="1" t="n">
        <v>44659.63753472222</v>
      </c>
      <c r="C328" s="1" t="n">
        <v>45993</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60128-2023</t>
        </is>
      </c>
      <c r="B329" s="1" t="n">
        <v>45258</v>
      </c>
      <c r="C329" s="1" t="n">
        <v>45993</v>
      </c>
      <c r="D329" t="inlineStr">
        <is>
          <t>ÖREBRO LÄN</t>
        </is>
      </c>
      <c r="E329" t="inlineStr">
        <is>
          <t>ÖREBRO</t>
        </is>
      </c>
      <c r="G329" t="n">
        <v>0.6</v>
      </c>
      <c r="H329" t="n">
        <v>0</v>
      </c>
      <c r="I329" t="n">
        <v>0</v>
      </c>
      <c r="J329" t="n">
        <v>0</v>
      </c>
      <c r="K329" t="n">
        <v>0</v>
      </c>
      <c r="L329" t="n">
        <v>0</v>
      </c>
      <c r="M329" t="n">
        <v>0</v>
      </c>
      <c r="N329" t="n">
        <v>0</v>
      </c>
      <c r="O329" t="n">
        <v>0</v>
      </c>
      <c r="P329" t="n">
        <v>0</v>
      </c>
      <c r="Q329" t="n">
        <v>0</v>
      </c>
      <c r="R329" s="2" t="inlineStr"/>
    </row>
    <row r="330" ht="15" customHeight="1">
      <c r="A330" t="inlineStr">
        <is>
          <t>A 13418-2024</t>
        </is>
      </c>
      <c r="B330" s="1" t="n">
        <v>45387.46482638889</v>
      </c>
      <c r="C330" s="1" t="n">
        <v>45993</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16140-2023</t>
        </is>
      </c>
      <c r="B331" s="1" t="n">
        <v>45027.6433912037</v>
      </c>
      <c r="C331" s="1" t="n">
        <v>45993</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46323-2024</t>
        </is>
      </c>
      <c r="B332" s="1" t="n">
        <v>45581.84538194445</v>
      </c>
      <c r="C332" s="1" t="n">
        <v>45993</v>
      </c>
      <c r="D332" t="inlineStr">
        <is>
          <t>ÖREBRO LÄN</t>
        </is>
      </c>
      <c r="E332" t="inlineStr">
        <is>
          <t>ÖREBRO</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58532-2024</t>
        </is>
      </c>
      <c r="B333" s="1" t="n">
        <v>45635.44899305556</v>
      </c>
      <c r="C333" s="1" t="n">
        <v>45993</v>
      </c>
      <c r="D333" t="inlineStr">
        <is>
          <t>ÖREBRO LÄN</t>
        </is>
      </c>
      <c r="E333" t="inlineStr">
        <is>
          <t>ÖREBRO</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39446-2025</t>
        </is>
      </c>
      <c r="B334" s="1" t="n">
        <v>45889.70388888889</v>
      </c>
      <c r="C334" s="1" t="n">
        <v>45993</v>
      </c>
      <c r="D334" t="inlineStr">
        <is>
          <t>ÖREBRO LÄN</t>
        </is>
      </c>
      <c r="E334" t="inlineStr">
        <is>
          <t>ÖREBRO</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39479-2025</t>
        </is>
      </c>
      <c r="B335" s="1" t="n">
        <v>45890.34752314815</v>
      </c>
      <c r="C335" s="1" t="n">
        <v>45993</v>
      </c>
      <c r="D335" t="inlineStr">
        <is>
          <t>ÖREBRO LÄN</t>
        </is>
      </c>
      <c r="E335" t="inlineStr">
        <is>
          <t>ÖREBRO</t>
        </is>
      </c>
      <c r="G335" t="n">
        <v>0.7</v>
      </c>
      <c r="H335" t="n">
        <v>0</v>
      </c>
      <c r="I335" t="n">
        <v>0</v>
      </c>
      <c r="J335" t="n">
        <v>0</v>
      </c>
      <c r="K335" t="n">
        <v>0</v>
      </c>
      <c r="L335" t="n">
        <v>0</v>
      </c>
      <c r="M335" t="n">
        <v>0</v>
      </c>
      <c r="N335" t="n">
        <v>0</v>
      </c>
      <c r="O335" t="n">
        <v>0</v>
      </c>
      <c r="P335" t="n">
        <v>0</v>
      </c>
      <c r="Q335" t="n">
        <v>0</v>
      </c>
      <c r="R335" s="2" t="inlineStr"/>
    </row>
    <row r="336" ht="15" customHeight="1">
      <c r="A336" t="inlineStr">
        <is>
          <t>A 6752-2022</t>
        </is>
      </c>
      <c r="B336" s="1" t="n">
        <v>44602.48082175926</v>
      </c>
      <c r="C336" s="1" t="n">
        <v>45993</v>
      </c>
      <c r="D336" t="inlineStr">
        <is>
          <t>ÖREBRO LÄN</t>
        </is>
      </c>
      <c r="E336" t="inlineStr">
        <is>
          <t>ÖREBRO</t>
        </is>
      </c>
      <c r="G336" t="n">
        <v>3.1</v>
      </c>
      <c r="H336" t="n">
        <v>0</v>
      </c>
      <c r="I336" t="n">
        <v>0</v>
      </c>
      <c r="J336" t="n">
        <v>0</v>
      </c>
      <c r="K336" t="n">
        <v>0</v>
      </c>
      <c r="L336" t="n">
        <v>0</v>
      </c>
      <c r="M336" t="n">
        <v>0</v>
      </c>
      <c r="N336" t="n">
        <v>0</v>
      </c>
      <c r="O336" t="n">
        <v>0</v>
      </c>
      <c r="P336" t="n">
        <v>0</v>
      </c>
      <c r="Q336" t="n">
        <v>0</v>
      </c>
      <c r="R336" s="2" t="inlineStr"/>
    </row>
    <row r="337" ht="15" customHeight="1">
      <c r="A337" t="inlineStr">
        <is>
          <t>A 20150-2024</t>
        </is>
      </c>
      <c r="B337" s="1" t="n">
        <v>45434.57969907407</v>
      </c>
      <c r="C337" s="1" t="n">
        <v>45993</v>
      </c>
      <c r="D337" t="inlineStr">
        <is>
          <t>ÖREBRO LÄN</t>
        </is>
      </c>
      <c r="E337" t="inlineStr">
        <is>
          <t>ÖREBRO</t>
        </is>
      </c>
      <c r="G337" t="n">
        <v>0.5</v>
      </c>
      <c r="H337" t="n">
        <v>0</v>
      </c>
      <c r="I337" t="n">
        <v>0</v>
      </c>
      <c r="J337" t="n">
        <v>0</v>
      </c>
      <c r="K337" t="n">
        <v>0</v>
      </c>
      <c r="L337" t="n">
        <v>0</v>
      </c>
      <c r="M337" t="n">
        <v>0</v>
      </c>
      <c r="N337" t="n">
        <v>0</v>
      </c>
      <c r="O337" t="n">
        <v>0</v>
      </c>
      <c r="P337" t="n">
        <v>0</v>
      </c>
      <c r="Q337" t="n">
        <v>0</v>
      </c>
      <c r="R337" s="2" t="inlineStr"/>
    </row>
    <row r="338" ht="15" customHeight="1">
      <c r="A338" t="inlineStr">
        <is>
          <t>A 58208-2024</t>
        </is>
      </c>
      <c r="B338" s="1" t="n">
        <v>45632</v>
      </c>
      <c r="C338" s="1" t="n">
        <v>45993</v>
      </c>
      <c r="D338" t="inlineStr">
        <is>
          <t>ÖREBRO LÄN</t>
        </is>
      </c>
      <c r="E338" t="inlineStr">
        <is>
          <t>ÖREBRO</t>
        </is>
      </c>
      <c r="G338" t="n">
        <v>3.1</v>
      </c>
      <c r="H338" t="n">
        <v>0</v>
      </c>
      <c r="I338" t="n">
        <v>0</v>
      </c>
      <c r="J338" t="n">
        <v>0</v>
      </c>
      <c r="K338" t="n">
        <v>0</v>
      </c>
      <c r="L338" t="n">
        <v>0</v>
      </c>
      <c r="M338" t="n">
        <v>0</v>
      </c>
      <c r="N338" t="n">
        <v>0</v>
      </c>
      <c r="O338" t="n">
        <v>0</v>
      </c>
      <c r="P338" t="n">
        <v>0</v>
      </c>
      <c r="Q338" t="n">
        <v>0</v>
      </c>
      <c r="R338" s="2" t="inlineStr"/>
    </row>
    <row r="339" ht="15" customHeight="1">
      <c r="A339" t="inlineStr">
        <is>
          <t>A 19388-2024</t>
        </is>
      </c>
      <c r="B339" s="1" t="n">
        <v>45429.37775462963</v>
      </c>
      <c r="C339" s="1" t="n">
        <v>45993</v>
      </c>
      <c r="D339" t="inlineStr">
        <is>
          <t>ÖREBRO LÄN</t>
        </is>
      </c>
      <c r="E339" t="inlineStr">
        <is>
          <t>ÖREBRO</t>
        </is>
      </c>
      <c r="G339" t="n">
        <v>4.3</v>
      </c>
      <c r="H339" t="n">
        <v>0</v>
      </c>
      <c r="I339" t="n">
        <v>0</v>
      </c>
      <c r="J339" t="n">
        <v>0</v>
      </c>
      <c r="K339" t="n">
        <v>0</v>
      </c>
      <c r="L339" t="n">
        <v>0</v>
      </c>
      <c r="M339" t="n">
        <v>0</v>
      </c>
      <c r="N339" t="n">
        <v>0</v>
      </c>
      <c r="O339" t="n">
        <v>0</v>
      </c>
      <c r="P339" t="n">
        <v>0</v>
      </c>
      <c r="Q339" t="n">
        <v>0</v>
      </c>
      <c r="R339" s="2" t="inlineStr"/>
    </row>
    <row r="340" ht="15" customHeight="1">
      <c r="A340" t="inlineStr">
        <is>
          <t>A 48644-2024</t>
        </is>
      </c>
      <c r="B340" s="1" t="n">
        <v>45593.47466435185</v>
      </c>
      <c r="C340" s="1" t="n">
        <v>45993</v>
      </c>
      <c r="D340" t="inlineStr">
        <is>
          <t>ÖREBRO LÄN</t>
        </is>
      </c>
      <c r="E340" t="inlineStr">
        <is>
          <t>ÖREBRO</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34056-2023</t>
        </is>
      </c>
      <c r="B341" s="1" t="n">
        <v>45135</v>
      </c>
      <c r="C341" s="1" t="n">
        <v>45993</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33457-2023</t>
        </is>
      </c>
      <c r="B342" s="1" t="n">
        <v>45131</v>
      </c>
      <c r="C342" s="1" t="n">
        <v>45993</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45237-2023</t>
        </is>
      </c>
      <c r="B343" s="1" t="n">
        <v>45191</v>
      </c>
      <c r="C343" s="1" t="n">
        <v>45993</v>
      </c>
      <c r="D343" t="inlineStr">
        <is>
          <t>ÖREBRO LÄN</t>
        </is>
      </c>
      <c r="E343" t="inlineStr">
        <is>
          <t>ÖREBRO</t>
        </is>
      </c>
      <c r="G343" t="n">
        <v>1.3</v>
      </c>
      <c r="H343" t="n">
        <v>0</v>
      </c>
      <c r="I343" t="n">
        <v>0</v>
      </c>
      <c r="J343" t="n">
        <v>0</v>
      </c>
      <c r="K343" t="n">
        <v>0</v>
      </c>
      <c r="L343" t="n">
        <v>0</v>
      </c>
      <c r="M343" t="n">
        <v>0</v>
      </c>
      <c r="N343" t="n">
        <v>0</v>
      </c>
      <c r="O343" t="n">
        <v>0</v>
      </c>
      <c r="P343" t="n">
        <v>0</v>
      </c>
      <c r="Q343" t="n">
        <v>0</v>
      </c>
      <c r="R343" s="2" t="inlineStr"/>
    </row>
    <row r="344" ht="15" customHeight="1">
      <c r="A344" t="inlineStr">
        <is>
          <t>A 5946-2021</t>
        </is>
      </c>
      <c r="B344" s="1" t="n">
        <v>44230</v>
      </c>
      <c r="C344" s="1" t="n">
        <v>45993</v>
      </c>
      <c r="D344" t="inlineStr">
        <is>
          <t>ÖREBRO LÄN</t>
        </is>
      </c>
      <c r="E344" t="inlineStr">
        <is>
          <t>ÖREBRO</t>
        </is>
      </c>
      <c r="G344" t="n">
        <v>1.3</v>
      </c>
      <c r="H344" t="n">
        <v>0</v>
      </c>
      <c r="I344" t="n">
        <v>0</v>
      </c>
      <c r="J344" t="n">
        <v>0</v>
      </c>
      <c r="K344" t="n">
        <v>0</v>
      </c>
      <c r="L344" t="n">
        <v>0</v>
      </c>
      <c r="M344" t="n">
        <v>0</v>
      </c>
      <c r="N344" t="n">
        <v>0</v>
      </c>
      <c r="O344" t="n">
        <v>0</v>
      </c>
      <c r="P344" t="n">
        <v>0</v>
      </c>
      <c r="Q344" t="n">
        <v>0</v>
      </c>
      <c r="R344" s="2" t="inlineStr"/>
    </row>
    <row r="345" ht="15" customHeight="1">
      <c r="A345" t="inlineStr">
        <is>
          <t>A 51180-2023</t>
        </is>
      </c>
      <c r="B345" s="1" t="n">
        <v>45219</v>
      </c>
      <c r="C345" s="1" t="n">
        <v>45993</v>
      </c>
      <c r="D345" t="inlineStr">
        <is>
          <t>ÖREBRO LÄN</t>
        </is>
      </c>
      <c r="E345" t="inlineStr">
        <is>
          <t>ÖREBRO</t>
        </is>
      </c>
      <c r="G345" t="n">
        <v>6.5</v>
      </c>
      <c r="H345" t="n">
        <v>0</v>
      </c>
      <c r="I345" t="n">
        <v>0</v>
      </c>
      <c r="J345" t="n">
        <v>0</v>
      </c>
      <c r="K345" t="n">
        <v>0</v>
      </c>
      <c r="L345" t="n">
        <v>0</v>
      </c>
      <c r="M345" t="n">
        <v>0</v>
      </c>
      <c r="N345" t="n">
        <v>0</v>
      </c>
      <c r="O345" t="n">
        <v>0</v>
      </c>
      <c r="P345" t="n">
        <v>0</v>
      </c>
      <c r="Q345" t="n">
        <v>0</v>
      </c>
      <c r="R345" s="2" t="inlineStr"/>
    </row>
    <row r="346" ht="15" customHeight="1">
      <c r="A346" t="inlineStr">
        <is>
          <t>A 7506-2025</t>
        </is>
      </c>
      <c r="B346" s="1" t="n">
        <v>45705</v>
      </c>
      <c r="C346" s="1" t="n">
        <v>45993</v>
      </c>
      <c r="D346" t="inlineStr">
        <is>
          <t>ÖREBRO LÄN</t>
        </is>
      </c>
      <c r="E346" t="inlineStr">
        <is>
          <t>ÖREBRO</t>
        </is>
      </c>
      <c r="G346" t="n">
        <v>0.5</v>
      </c>
      <c r="H346" t="n">
        <v>0</v>
      </c>
      <c r="I346" t="n">
        <v>0</v>
      </c>
      <c r="J346" t="n">
        <v>0</v>
      </c>
      <c r="K346" t="n">
        <v>0</v>
      </c>
      <c r="L346" t="n">
        <v>0</v>
      </c>
      <c r="M346" t="n">
        <v>0</v>
      </c>
      <c r="N346" t="n">
        <v>0</v>
      </c>
      <c r="O346" t="n">
        <v>0</v>
      </c>
      <c r="P346" t="n">
        <v>0</v>
      </c>
      <c r="Q346" t="n">
        <v>0</v>
      </c>
      <c r="R346" s="2" t="inlineStr"/>
    </row>
    <row r="347" ht="15" customHeight="1">
      <c r="A347" t="inlineStr">
        <is>
          <t>A 4344-2025</t>
        </is>
      </c>
      <c r="B347" s="1" t="n">
        <v>45685</v>
      </c>
      <c r="C347" s="1" t="n">
        <v>45993</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60028-2024</t>
        </is>
      </c>
      <c r="B348" s="1" t="n">
        <v>45642</v>
      </c>
      <c r="C348" s="1" t="n">
        <v>45993</v>
      </c>
      <c r="D348" t="inlineStr">
        <is>
          <t>ÖREBRO LÄN</t>
        </is>
      </c>
      <c r="E348" t="inlineStr">
        <is>
          <t>ÖREBRO</t>
        </is>
      </c>
      <c r="G348" t="n">
        <v>1.7</v>
      </c>
      <c r="H348" t="n">
        <v>0</v>
      </c>
      <c r="I348" t="n">
        <v>0</v>
      </c>
      <c r="J348" t="n">
        <v>0</v>
      </c>
      <c r="K348" t="n">
        <v>0</v>
      </c>
      <c r="L348" t="n">
        <v>0</v>
      </c>
      <c r="M348" t="n">
        <v>0</v>
      </c>
      <c r="N348" t="n">
        <v>0</v>
      </c>
      <c r="O348" t="n">
        <v>0</v>
      </c>
      <c r="P348" t="n">
        <v>0</v>
      </c>
      <c r="Q348" t="n">
        <v>0</v>
      </c>
      <c r="R348" s="2" t="inlineStr"/>
    </row>
    <row r="349" ht="15" customHeight="1">
      <c r="A349" t="inlineStr">
        <is>
          <t>A 33294-2023</t>
        </is>
      </c>
      <c r="B349" s="1" t="n">
        <v>45127</v>
      </c>
      <c r="C349" s="1" t="n">
        <v>45993</v>
      </c>
      <c r="D349" t="inlineStr">
        <is>
          <t>ÖREBRO LÄN</t>
        </is>
      </c>
      <c r="E349" t="inlineStr">
        <is>
          <t>ÖREBRO</t>
        </is>
      </c>
      <c r="F349" t="inlineStr">
        <is>
          <t>Övriga Aktiebolag</t>
        </is>
      </c>
      <c r="G349" t="n">
        <v>6.7</v>
      </c>
      <c r="H349" t="n">
        <v>0</v>
      </c>
      <c r="I349" t="n">
        <v>0</v>
      </c>
      <c r="J349" t="n">
        <v>0</v>
      </c>
      <c r="K349" t="n">
        <v>0</v>
      </c>
      <c r="L349" t="n">
        <v>0</v>
      </c>
      <c r="M349" t="n">
        <v>0</v>
      </c>
      <c r="N349" t="n">
        <v>0</v>
      </c>
      <c r="O349" t="n">
        <v>0</v>
      </c>
      <c r="P349" t="n">
        <v>0</v>
      </c>
      <c r="Q349" t="n">
        <v>0</v>
      </c>
      <c r="R349" s="2" t="inlineStr"/>
    </row>
    <row r="350" ht="15" customHeight="1">
      <c r="A350" t="inlineStr">
        <is>
          <t>A 16300-2022</t>
        </is>
      </c>
      <c r="B350" s="1" t="n">
        <v>44670</v>
      </c>
      <c r="C350" s="1" t="n">
        <v>45993</v>
      </c>
      <c r="D350" t="inlineStr">
        <is>
          <t>ÖREBRO LÄN</t>
        </is>
      </c>
      <c r="E350" t="inlineStr">
        <is>
          <t>ÖREBRO</t>
        </is>
      </c>
      <c r="G350" t="n">
        <v>0.8</v>
      </c>
      <c r="H350" t="n">
        <v>0</v>
      </c>
      <c r="I350" t="n">
        <v>0</v>
      </c>
      <c r="J350" t="n">
        <v>0</v>
      </c>
      <c r="K350" t="n">
        <v>0</v>
      </c>
      <c r="L350" t="n">
        <v>0</v>
      </c>
      <c r="M350" t="n">
        <v>0</v>
      </c>
      <c r="N350" t="n">
        <v>0</v>
      </c>
      <c r="O350" t="n">
        <v>0</v>
      </c>
      <c r="P350" t="n">
        <v>0</v>
      </c>
      <c r="Q350" t="n">
        <v>0</v>
      </c>
      <c r="R350" s="2" t="inlineStr"/>
    </row>
    <row r="351" ht="15" customHeight="1">
      <c r="A351" t="inlineStr">
        <is>
          <t>A 13857-2022</t>
        </is>
      </c>
      <c r="B351" s="1" t="n">
        <v>44649</v>
      </c>
      <c r="C351" s="1" t="n">
        <v>45993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16958-2022</t>
        </is>
      </c>
      <c r="B352" s="1" t="n">
        <v>44676.50481481481</v>
      </c>
      <c r="C352" s="1" t="n">
        <v>45993</v>
      </c>
      <c r="D352" t="inlineStr">
        <is>
          <t>ÖREBRO LÄN</t>
        </is>
      </c>
      <c r="E352" t="inlineStr">
        <is>
          <t>ÖREBRO</t>
        </is>
      </c>
      <c r="G352" t="n">
        <v>3.1</v>
      </c>
      <c r="H352" t="n">
        <v>0</v>
      </c>
      <c r="I352" t="n">
        <v>0</v>
      </c>
      <c r="J352" t="n">
        <v>0</v>
      </c>
      <c r="K352" t="n">
        <v>0</v>
      </c>
      <c r="L352" t="n">
        <v>0</v>
      </c>
      <c r="M352" t="n">
        <v>0</v>
      </c>
      <c r="N352" t="n">
        <v>0</v>
      </c>
      <c r="O352" t="n">
        <v>0</v>
      </c>
      <c r="P352" t="n">
        <v>0</v>
      </c>
      <c r="Q352" t="n">
        <v>0</v>
      </c>
      <c r="R352" s="2" t="inlineStr"/>
    </row>
    <row r="353" ht="15" customHeight="1">
      <c r="A353" t="inlineStr">
        <is>
          <t>A 3-2024</t>
        </is>
      </c>
      <c r="B353" s="1" t="n">
        <v>45292</v>
      </c>
      <c r="C353" s="1" t="n">
        <v>45993</v>
      </c>
      <c r="D353" t="inlineStr">
        <is>
          <t>ÖREBRO LÄN</t>
        </is>
      </c>
      <c r="E353" t="inlineStr">
        <is>
          <t>ÖREBRO</t>
        </is>
      </c>
      <c r="G353" t="n">
        <v>2.7</v>
      </c>
      <c r="H353" t="n">
        <v>0</v>
      </c>
      <c r="I353" t="n">
        <v>0</v>
      </c>
      <c r="J353" t="n">
        <v>0</v>
      </c>
      <c r="K353" t="n">
        <v>0</v>
      </c>
      <c r="L353" t="n">
        <v>0</v>
      </c>
      <c r="M353" t="n">
        <v>0</v>
      </c>
      <c r="N353" t="n">
        <v>0</v>
      </c>
      <c r="O353" t="n">
        <v>0</v>
      </c>
      <c r="P353" t="n">
        <v>0</v>
      </c>
      <c r="Q353" t="n">
        <v>0</v>
      </c>
      <c r="R353" s="2" t="inlineStr"/>
    </row>
    <row r="354" ht="15" customHeight="1">
      <c r="A354" t="inlineStr">
        <is>
          <t>A 61078-2024</t>
        </is>
      </c>
      <c r="B354" s="1" t="n">
        <v>45645.51034722223</v>
      </c>
      <c r="C354" s="1" t="n">
        <v>45993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55472-2023</t>
        </is>
      </c>
      <c r="B355" s="1" t="n">
        <v>45238</v>
      </c>
      <c r="C355" s="1" t="n">
        <v>45993</v>
      </c>
      <c r="D355" t="inlineStr">
        <is>
          <t>ÖREBRO LÄN</t>
        </is>
      </c>
      <c r="E355" t="inlineStr">
        <is>
          <t>ÖREBRO</t>
        </is>
      </c>
      <c r="G355" t="n">
        <v>0.6</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44271.42121527778</v>
      </c>
      <c r="C356" s="1" t="n">
        <v>45993</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13158-2024</t>
        </is>
      </c>
      <c r="B357" s="1" t="n">
        <v>45386.38728009259</v>
      </c>
      <c r="C357" s="1" t="n">
        <v>45993</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5619-2023</t>
        </is>
      </c>
      <c r="B358" s="1" t="n">
        <v>44958</v>
      </c>
      <c r="C358" s="1" t="n">
        <v>45993</v>
      </c>
      <c r="D358" t="inlineStr">
        <is>
          <t>ÖREBRO LÄN</t>
        </is>
      </c>
      <c r="E358" t="inlineStr">
        <is>
          <t>ÖREBRO</t>
        </is>
      </c>
      <c r="G358" t="n">
        <v>27</v>
      </c>
      <c r="H358" t="n">
        <v>0</v>
      </c>
      <c r="I358" t="n">
        <v>0</v>
      </c>
      <c r="J358" t="n">
        <v>0</v>
      </c>
      <c r="K358" t="n">
        <v>0</v>
      </c>
      <c r="L358" t="n">
        <v>0</v>
      </c>
      <c r="M358" t="n">
        <v>0</v>
      </c>
      <c r="N358" t="n">
        <v>0</v>
      </c>
      <c r="O358" t="n">
        <v>0</v>
      </c>
      <c r="P358" t="n">
        <v>0</v>
      </c>
      <c r="Q358" t="n">
        <v>0</v>
      </c>
      <c r="R358" s="2" t="inlineStr"/>
    </row>
    <row r="359" ht="15" customHeight="1">
      <c r="A359" t="inlineStr">
        <is>
          <t>A 13181-2023</t>
        </is>
      </c>
      <c r="B359" s="1" t="n">
        <v>45002.60659722222</v>
      </c>
      <c r="C359" s="1" t="n">
        <v>45993</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25996-2024</t>
        </is>
      </c>
      <c r="B360" s="1" t="n">
        <v>45467.89081018518</v>
      </c>
      <c r="C360" s="1" t="n">
        <v>45993</v>
      </c>
      <c r="D360" t="inlineStr">
        <is>
          <t>ÖREBRO LÄN</t>
        </is>
      </c>
      <c r="E360" t="inlineStr">
        <is>
          <t>ÖREBRO</t>
        </is>
      </c>
      <c r="G360" t="n">
        <v>4.7</v>
      </c>
      <c r="H360" t="n">
        <v>0</v>
      </c>
      <c r="I360" t="n">
        <v>0</v>
      </c>
      <c r="J360" t="n">
        <v>0</v>
      </c>
      <c r="K360" t="n">
        <v>0</v>
      </c>
      <c r="L360" t="n">
        <v>0</v>
      </c>
      <c r="M360" t="n">
        <v>0</v>
      </c>
      <c r="N360" t="n">
        <v>0</v>
      </c>
      <c r="O360" t="n">
        <v>0</v>
      </c>
      <c r="P360" t="n">
        <v>0</v>
      </c>
      <c r="Q360" t="n">
        <v>0</v>
      </c>
      <c r="R360" s="2" t="inlineStr"/>
    </row>
    <row r="361" ht="15" customHeight="1">
      <c r="A361" t="inlineStr">
        <is>
          <t>A 54925-2023</t>
        </is>
      </c>
      <c r="B361" s="1" t="n">
        <v>45229</v>
      </c>
      <c r="C361" s="1" t="n">
        <v>45993</v>
      </c>
      <c r="D361" t="inlineStr">
        <is>
          <t>ÖREBRO LÄN</t>
        </is>
      </c>
      <c r="E361" t="inlineStr">
        <is>
          <t>ÖREBRO</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8568-2021</t>
        </is>
      </c>
      <c r="B362" s="1" t="n">
        <v>44245</v>
      </c>
      <c r="C362" s="1" t="n">
        <v>45993</v>
      </c>
      <c r="D362" t="inlineStr">
        <is>
          <t>ÖREBRO LÄN</t>
        </is>
      </c>
      <c r="E362" t="inlineStr">
        <is>
          <t>ÖREBRO</t>
        </is>
      </c>
      <c r="G362" t="n">
        <v>4.8</v>
      </c>
      <c r="H362" t="n">
        <v>0</v>
      </c>
      <c r="I362" t="n">
        <v>0</v>
      </c>
      <c r="J362" t="n">
        <v>0</v>
      </c>
      <c r="K362" t="n">
        <v>0</v>
      </c>
      <c r="L362" t="n">
        <v>0</v>
      </c>
      <c r="M362" t="n">
        <v>0</v>
      </c>
      <c r="N362" t="n">
        <v>0</v>
      </c>
      <c r="O362" t="n">
        <v>0</v>
      </c>
      <c r="P362" t="n">
        <v>0</v>
      </c>
      <c r="Q362" t="n">
        <v>0</v>
      </c>
      <c r="R362" s="2" t="inlineStr"/>
    </row>
    <row r="363" ht="15" customHeight="1">
      <c r="A363" t="inlineStr">
        <is>
          <t>A 16676-2025</t>
        </is>
      </c>
      <c r="B363" s="1" t="n">
        <v>45754.44658564815</v>
      </c>
      <c r="C363" s="1" t="n">
        <v>45993</v>
      </c>
      <c r="D363" t="inlineStr">
        <is>
          <t>ÖREBRO LÄN</t>
        </is>
      </c>
      <c r="E363" t="inlineStr">
        <is>
          <t>ÖREBRO</t>
        </is>
      </c>
      <c r="G363" t="n">
        <v>5.8</v>
      </c>
      <c r="H363" t="n">
        <v>0</v>
      </c>
      <c r="I363" t="n">
        <v>0</v>
      </c>
      <c r="J363" t="n">
        <v>0</v>
      </c>
      <c r="K363" t="n">
        <v>0</v>
      </c>
      <c r="L363" t="n">
        <v>0</v>
      </c>
      <c r="M363" t="n">
        <v>0</v>
      </c>
      <c r="N363" t="n">
        <v>0</v>
      </c>
      <c r="O363" t="n">
        <v>0</v>
      </c>
      <c r="P363" t="n">
        <v>0</v>
      </c>
      <c r="Q363" t="n">
        <v>0</v>
      </c>
      <c r="R363" s="2" t="inlineStr"/>
    </row>
    <row r="364" ht="15" customHeight="1">
      <c r="A364" t="inlineStr">
        <is>
          <t>A 40330-2025</t>
        </is>
      </c>
      <c r="B364" s="1" t="n">
        <v>45895.4531712963</v>
      </c>
      <c r="C364" s="1" t="n">
        <v>45993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40332-2025</t>
        </is>
      </c>
      <c r="B365" s="1" t="n">
        <v>45895.46060185185</v>
      </c>
      <c r="C365" s="1" t="n">
        <v>45993</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23741-2022</t>
        </is>
      </c>
      <c r="B366" s="1" t="n">
        <v>44722</v>
      </c>
      <c r="C366" s="1" t="n">
        <v>45993</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8274-2025</t>
        </is>
      </c>
      <c r="B367" s="1" t="n">
        <v>45708</v>
      </c>
      <c r="C367" s="1" t="n">
        <v>45993</v>
      </c>
      <c r="D367" t="inlineStr">
        <is>
          <t>ÖREBRO LÄN</t>
        </is>
      </c>
      <c r="E367" t="inlineStr">
        <is>
          <t>ÖREBRO</t>
        </is>
      </c>
      <c r="G367" t="n">
        <v>5.8</v>
      </c>
      <c r="H367" t="n">
        <v>0</v>
      </c>
      <c r="I367" t="n">
        <v>0</v>
      </c>
      <c r="J367" t="n">
        <v>0</v>
      </c>
      <c r="K367" t="n">
        <v>0</v>
      </c>
      <c r="L367" t="n">
        <v>0</v>
      </c>
      <c r="M367" t="n">
        <v>0</v>
      </c>
      <c r="N367" t="n">
        <v>0</v>
      </c>
      <c r="O367" t="n">
        <v>0</v>
      </c>
      <c r="P367" t="n">
        <v>0</v>
      </c>
      <c r="Q367" t="n">
        <v>0</v>
      </c>
      <c r="R367" s="2" t="inlineStr"/>
    </row>
    <row r="368" ht="15" customHeight="1">
      <c r="A368" t="inlineStr">
        <is>
          <t>A 16961-2022</t>
        </is>
      </c>
      <c r="B368" s="1" t="n">
        <v>44676</v>
      </c>
      <c r="C368" s="1" t="n">
        <v>45993</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58620-2024</t>
        </is>
      </c>
      <c r="B369" s="1" t="n">
        <v>45635.56246527778</v>
      </c>
      <c r="C369" s="1" t="n">
        <v>45993</v>
      </c>
      <c r="D369" t="inlineStr">
        <is>
          <t>ÖREBRO LÄN</t>
        </is>
      </c>
      <c r="E369" t="inlineStr">
        <is>
          <t>ÖREBRO</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5578-2024</t>
        </is>
      </c>
      <c r="B370" s="1" t="n">
        <v>45334.49104166667</v>
      </c>
      <c r="C370" s="1" t="n">
        <v>45993</v>
      </c>
      <c r="D370" t="inlineStr">
        <is>
          <t>ÖREBRO LÄN</t>
        </is>
      </c>
      <c r="E370" t="inlineStr">
        <is>
          <t>ÖREBRO</t>
        </is>
      </c>
      <c r="G370" t="n">
        <v>2.4</v>
      </c>
      <c r="H370" t="n">
        <v>0</v>
      </c>
      <c r="I370" t="n">
        <v>0</v>
      </c>
      <c r="J370" t="n">
        <v>0</v>
      </c>
      <c r="K370" t="n">
        <v>0</v>
      </c>
      <c r="L370" t="n">
        <v>0</v>
      </c>
      <c r="M370" t="n">
        <v>0</v>
      </c>
      <c r="N370" t="n">
        <v>0</v>
      </c>
      <c r="O370" t="n">
        <v>0</v>
      </c>
      <c r="P370" t="n">
        <v>0</v>
      </c>
      <c r="Q370" t="n">
        <v>0</v>
      </c>
      <c r="R370" s="2" t="inlineStr"/>
    </row>
    <row r="371" ht="15" customHeight="1">
      <c r="A371" t="inlineStr">
        <is>
          <t>A 15424-2022</t>
        </is>
      </c>
      <c r="B371" s="1" t="n">
        <v>44659</v>
      </c>
      <c r="C371" s="1" t="n">
        <v>45993</v>
      </c>
      <c r="D371" t="inlineStr">
        <is>
          <t>ÖREBRO LÄN</t>
        </is>
      </c>
      <c r="E371" t="inlineStr">
        <is>
          <t>ÖREBRO</t>
        </is>
      </c>
      <c r="G371" t="n">
        <v>2.2</v>
      </c>
      <c r="H371" t="n">
        <v>0</v>
      </c>
      <c r="I371" t="n">
        <v>0</v>
      </c>
      <c r="J371" t="n">
        <v>0</v>
      </c>
      <c r="K371" t="n">
        <v>0</v>
      </c>
      <c r="L371" t="n">
        <v>0</v>
      </c>
      <c r="M371" t="n">
        <v>0</v>
      </c>
      <c r="N371" t="n">
        <v>0</v>
      </c>
      <c r="O371" t="n">
        <v>0</v>
      </c>
      <c r="P371" t="n">
        <v>0</v>
      </c>
      <c r="Q371" t="n">
        <v>0</v>
      </c>
      <c r="R371" s="2" t="inlineStr"/>
    </row>
    <row r="372" ht="15" customHeight="1">
      <c r="A372" t="inlineStr">
        <is>
          <t>A 7141-2025</t>
        </is>
      </c>
      <c r="B372" s="1" t="n">
        <v>45702</v>
      </c>
      <c r="C372" s="1" t="n">
        <v>45993</v>
      </c>
      <c r="D372" t="inlineStr">
        <is>
          <t>ÖREBRO LÄN</t>
        </is>
      </c>
      <c r="E372" t="inlineStr">
        <is>
          <t>ÖREBRO</t>
        </is>
      </c>
      <c r="G372" t="n">
        <v>2.9</v>
      </c>
      <c r="H372" t="n">
        <v>0</v>
      </c>
      <c r="I372" t="n">
        <v>0</v>
      </c>
      <c r="J372" t="n">
        <v>0</v>
      </c>
      <c r="K372" t="n">
        <v>0</v>
      </c>
      <c r="L372" t="n">
        <v>0</v>
      </c>
      <c r="M372" t="n">
        <v>0</v>
      </c>
      <c r="N372" t="n">
        <v>0</v>
      </c>
      <c r="O372" t="n">
        <v>0</v>
      </c>
      <c r="P372" t="n">
        <v>0</v>
      </c>
      <c r="Q372" t="n">
        <v>0</v>
      </c>
      <c r="R372" s="2" t="inlineStr"/>
    </row>
    <row r="373" ht="15" customHeight="1">
      <c r="A373" t="inlineStr">
        <is>
          <t>A 59024-2024</t>
        </is>
      </c>
      <c r="B373" s="1" t="n">
        <v>45636.68505787037</v>
      </c>
      <c r="C373" s="1" t="n">
        <v>45993</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13657-2025</t>
        </is>
      </c>
      <c r="B374" s="1" t="n">
        <v>45736.7427662037</v>
      </c>
      <c r="C374" s="1" t="n">
        <v>45993</v>
      </c>
      <c r="D374" t="inlineStr">
        <is>
          <t>ÖREBRO LÄN</t>
        </is>
      </c>
      <c r="E374" t="inlineStr">
        <is>
          <t>ÖREBRO</t>
        </is>
      </c>
      <c r="G374" t="n">
        <v>3.8</v>
      </c>
      <c r="H374" t="n">
        <v>0</v>
      </c>
      <c r="I374" t="n">
        <v>0</v>
      </c>
      <c r="J374" t="n">
        <v>0</v>
      </c>
      <c r="K374" t="n">
        <v>0</v>
      </c>
      <c r="L374" t="n">
        <v>0</v>
      </c>
      <c r="M374" t="n">
        <v>0</v>
      </c>
      <c r="N374" t="n">
        <v>0</v>
      </c>
      <c r="O374" t="n">
        <v>0</v>
      </c>
      <c r="P374" t="n">
        <v>0</v>
      </c>
      <c r="Q374" t="n">
        <v>0</v>
      </c>
      <c r="R374" s="2" t="inlineStr"/>
    </row>
    <row r="375" ht="15" customHeight="1">
      <c r="A375" t="inlineStr">
        <is>
          <t>A 57867-2024</t>
        </is>
      </c>
      <c r="B375" s="1" t="n">
        <v>45631.43864583333</v>
      </c>
      <c r="C375" s="1" t="n">
        <v>45993</v>
      </c>
      <c r="D375" t="inlineStr">
        <is>
          <t>ÖREBRO LÄN</t>
        </is>
      </c>
      <c r="E375" t="inlineStr">
        <is>
          <t>ÖREBRO</t>
        </is>
      </c>
      <c r="G375" t="n">
        <v>1.5</v>
      </c>
      <c r="H375" t="n">
        <v>0</v>
      </c>
      <c r="I375" t="n">
        <v>0</v>
      </c>
      <c r="J375" t="n">
        <v>0</v>
      </c>
      <c r="K375" t="n">
        <v>0</v>
      </c>
      <c r="L375" t="n">
        <v>0</v>
      </c>
      <c r="M375" t="n">
        <v>0</v>
      </c>
      <c r="N375" t="n">
        <v>0</v>
      </c>
      <c r="O375" t="n">
        <v>0</v>
      </c>
      <c r="P375" t="n">
        <v>0</v>
      </c>
      <c r="Q375" t="n">
        <v>0</v>
      </c>
      <c r="R375" s="2" t="inlineStr"/>
    </row>
    <row r="376" ht="15" customHeight="1">
      <c r="A376" t="inlineStr">
        <is>
          <t>A 29138-2022</t>
        </is>
      </c>
      <c r="B376" s="1" t="n">
        <v>44750</v>
      </c>
      <c r="C376" s="1" t="n">
        <v>45993</v>
      </c>
      <c r="D376" t="inlineStr">
        <is>
          <t>ÖREBRO LÄN</t>
        </is>
      </c>
      <c r="E376" t="inlineStr">
        <is>
          <t>ÖREBRO</t>
        </is>
      </c>
      <c r="G376" t="n">
        <v>3.3</v>
      </c>
      <c r="H376" t="n">
        <v>0</v>
      </c>
      <c r="I376" t="n">
        <v>0</v>
      </c>
      <c r="J376" t="n">
        <v>0</v>
      </c>
      <c r="K376" t="n">
        <v>0</v>
      </c>
      <c r="L376" t="n">
        <v>0</v>
      </c>
      <c r="M376" t="n">
        <v>0</v>
      </c>
      <c r="N376" t="n">
        <v>0</v>
      </c>
      <c r="O376" t="n">
        <v>0</v>
      </c>
      <c r="P376" t="n">
        <v>0</v>
      </c>
      <c r="Q376" t="n">
        <v>0</v>
      </c>
      <c r="R376" s="2" t="inlineStr"/>
    </row>
    <row r="377" ht="15" customHeight="1">
      <c r="A377" t="inlineStr">
        <is>
          <t>A 29143-2022</t>
        </is>
      </c>
      <c r="B377" s="1" t="n">
        <v>44750</v>
      </c>
      <c r="C377" s="1" t="n">
        <v>45993</v>
      </c>
      <c r="D377" t="inlineStr">
        <is>
          <t>ÖREBRO LÄN</t>
        </is>
      </c>
      <c r="E377" t="inlineStr">
        <is>
          <t>ÖREBRO</t>
        </is>
      </c>
      <c r="G377" t="n">
        <v>5.6</v>
      </c>
      <c r="H377" t="n">
        <v>0</v>
      </c>
      <c r="I377" t="n">
        <v>0</v>
      </c>
      <c r="J377" t="n">
        <v>0</v>
      </c>
      <c r="K377" t="n">
        <v>0</v>
      </c>
      <c r="L377" t="n">
        <v>0</v>
      </c>
      <c r="M377" t="n">
        <v>0</v>
      </c>
      <c r="N377" t="n">
        <v>0</v>
      </c>
      <c r="O377" t="n">
        <v>0</v>
      </c>
      <c r="P377" t="n">
        <v>0</v>
      </c>
      <c r="Q377" t="n">
        <v>0</v>
      </c>
      <c r="R377" s="2" t="inlineStr"/>
    </row>
    <row r="378" ht="15" customHeight="1">
      <c r="A378" t="inlineStr">
        <is>
          <t>A 13700-2024</t>
        </is>
      </c>
      <c r="B378" s="1" t="n">
        <v>45390.59277777778</v>
      </c>
      <c r="C378" s="1" t="n">
        <v>45993</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21983-2021</t>
        </is>
      </c>
      <c r="B379" s="1" t="n">
        <v>44323</v>
      </c>
      <c r="C379" s="1" t="n">
        <v>45993</v>
      </c>
      <c r="D379" t="inlineStr">
        <is>
          <t>ÖREBRO LÄN</t>
        </is>
      </c>
      <c r="E379" t="inlineStr">
        <is>
          <t>ÖREBRO</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3120-2022</t>
        </is>
      </c>
      <c r="B380" s="1" t="n">
        <v>44582</v>
      </c>
      <c r="C380" s="1" t="n">
        <v>45993</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58606-2024</t>
        </is>
      </c>
      <c r="B381" s="1" t="n">
        <v>45635.54747685185</v>
      </c>
      <c r="C381" s="1" t="n">
        <v>45993</v>
      </c>
      <c r="D381" t="inlineStr">
        <is>
          <t>ÖREBRO LÄN</t>
        </is>
      </c>
      <c r="E381" t="inlineStr">
        <is>
          <t>ÖREBRO</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3659-2025</t>
        </is>
      </c>
      <c r="B382" s="1" t="n">
        <v>45681</v>
      </c>
      <c r="C382" s="1" t="n">
        <v>45993</v>
      </c>
      <c r="D382" t="inlineStr">
        <is>
          <t>ÖREBRO LÄN</t>
        </is>
      </c>
      <c r="E382" t="inlineStr">
        <is>
          <t>ÖREBRO</t>
        </is>
      </c>
      <c r="G382" t="n">
        <v>15.8</v>
      </c>
      <c r="H382" t="n">
        <v>0</v>
      </c>
      <c r="I382" t="n">
        <v>0</v>
      </c>
      <c r="J382" t="n">
        <v>0</v>
      </c>
      <c r="K382" t="n">
        <v>0</v>
      </c>
      <c r="L382" t="n">
        <v>0</v>
      </c>
      <c r="M382" t="n">
        <v>0</v>
      </c>
      <c r="N382" t="n">
        <v>0</v>
      </c>
      <c r="O382" t="n">
        <v>0</v>
      </c>
      <c r="P382" t="n">
        <v>0</v>
      </c>
      <c r="Q382" t="n">
        <v>0</v>
      </c>
      <c r="R382" s="2" t="inlineStr"/>
    </row>
    <row r="383" ht="15" customHeight="1">
      <c r="A383" t="inlineStr">
        <is>
          <t>A 26101-2022</t>
        </is>
      </c>
      <c r="B383" s="1" t="n">
        <v>44734</v>
      </c>
      <c r="C383" s="1" t="n">
        <v>45993</v>
      </c>
      <c r="D383" t="inlineStr">
        <is>
          <t>ÖREBRO LÄN</t>
        </is>
      </c>
      <c r="E383" t="inlineStr">
        <is>
          <t>ÖREBRO</t>
        </is>
      </c>
      <c r="G383" t="n">
        <v>15.8</v>
      </c>
      <c r="H383" t="n">
        <v>0</v>
      </c>
      <c r="I383" t="n">
        <v>0</v>
      </c>
      <c r="J383" t="n">
        <v>0</v>
      </c>
      <c r="K383" t="n">
        <v>0</v>
      </c>
      <c r="L383" t="n">
        <v>0</v>
      </c>
      <c r="M383" t="n">
        <v>0</v>
      </c>
      <c r="N383" t="n">
        <v>0</v>
      </c>
      <c r="O383" t="n">
        <v>0</v>
      </c>
      <c r="P383" t="n">
        <v>0</v>
      </c>
      <c r="Q383" t="n">
        <v>0</v>
      </c>
      <c r="R383" s="2" t="inlineStr"/>
    </row>
    <row r="384" ht="15" customHeight="1">
      <c r="A384" t="inlineStr">
        <is>
          <t>A 1014-2024</t>
        </is>
      </c>
      <c r="B384" s="1" t="n">
        <v>45301</v>
      </c>
      <c r="C384" s="1" t="n">
        <v>45993</v>
      </c>
      <c r="D384" t="inlineStr">
        <is>
          <t>ÖREBRO LÄN</t>
        </is>
      </c>
      <c r="E384" t="inlineStr">
        <is>
          <t>ÖREBRO</t>
        </is>
      </c>
      <c r="G384" t="n">
        <v>1.4</v>
      </c>
      <c r="H384" t="n">
        <v>0</v>
      </c>
      <c r="I384" t="n">
        <v>0</v>
      </c>
      <c r="J384" t="n">
        <v>0</v>
      </c>
      <c r="K384" t="n">
        <v>0</v>
      </c>
      <c r="L384" t="n">
        <v>0</v>
      </c>
      <c r="M384" t="n">
        <v>0</v>
      </c>
      <c r="N384" t="n">
        <v>0</v>
      </c>
      <c r="O384" t="n">
        <v>0</v>
      </c>
      <c r="P384" t="n">
        <v>0</v>
      </c>
      <c r="Q384" t="n">
        <v>0</v>
      </c>
      <c r="R384" s="2" t="inlineStr"/>
    </row>
    <row r="385" ht="15" customHeight="1">
      <c r="A385" t="inlineStr">
        <is>
          <t>A 37786-2024</t>
        </is>
      </c>
      <c r="B385" s="1" t="n">
        <v>45542.82987268519</v>
      </c>
      <c r="C385" s="1" t="n">
        <v>45993</v>
      </c>
      <c r="D385" t="inlineStr">
        <is>
          <t>ÖREBRO LÄN</t>
        </is>
      </c>
      <c r="E385" t="inlineStr">
        <is>
          <t>ÖREBRO</t>
        </is>
      </c>
      <c r="G385" t="n">
        <v>3.1</v>
      </c>
      <c r="H385" t="n">
        <v>0</v>
      </c>
      <c r="I385" t="n">
        <v>0</v>
      </c>
      <c r="J385" t="n">
        <v>0</v>
      </c>
      <c r="K385" t="n">
        <v>0</v>
      </c>
      <c r="L385" t="n">
        <v>0</v>
      </c>
      <c r="M385" t="n">
        <v>0</v>
      </c>
      <c r="N385" t="n">
        <v>0</v>
      </c>
      <c r="O385" t="n">
        <v>0</v>
      </c>
      <c r="P385" t="n">
        <v>0</v>
      </c>
      <c r="Q385" t="n">
        <v>0</v>
      </c>
      <c r="R385" s="2" t="inlineStr"/>
    </row>
    <row r="386" ht="15" customHeight="1">
      <c r="A386" t="inlineStr">
        <is>
          <t>A 8374-2021</t>
        </is>
      </c>
      <c r="B386" s="1" t="n">
        <v>44244</v>
      </c>
      <c r="C386" s="1" t="n">
        <v>45993</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58486-2024</t>
        </is>
      </c>
      <c r="B387" s="1" t="n">
        <v>45635</v>
      </c>
      <c r="C387" s="1" t="n">
        <v>45993</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14053-2025</t>
        </is>
      </c>
      <c r="B388" s="1" t="n">
        <v>45739</v>
      </c>
      <c r="C388" s="1" t="n">
        <v>45993</v>
      </c>
      <c r="D388" t="inlineStr">
        <is>
          <t>ÖREBRO LÄN</t>
        </is>
      </c>
      <c r="E388" t="inlineStr">
        <is>
          <t>ÖREBRO</t>
        </is>
      </c>
      <c r="G388" t="n">
        <v>3.5</v>
      </c>
      <c r="H388" t="n">
        <v>0</v>
      </c>
      <c r="I388" t="n">
        <v>0</v>
      </c>
      <c r="J388" t="n">
        <v>0</v>
      </c>
      <c r="K388" t="n">
        <v>0</v>
      </c>
      <c r="L388" t="n">
        <v>0</v>
      </c>
      <c r="M388" t="n">
        <v>0</v>
      </c>
      <c r="N388" t="n">
        <v>0</v>
      </c>
      <c r="O388" t="n">
        <v>0</v>
      </c>
      <c r="P388" t="n">
        <v>0</v>
      </c>
      <c r="Q388" t="n">
        <v>0</v>
      </c>
      <c r="R388" s="2" t="inlineStr"/>
    </row>
    <row r="389" ht="15" customHeight="1">
      <c r="A389" t="inlineStr">
        <is>
          <t>A 58615-2024</t>
        </is>
      </c>
      <c r="B389" s="1" t="n">
        <v>45635.5587037037</v>
      </c>
      <c r="C389" s="1" t="n">
        <v>45993</v>
      </c>
      <c r="D389" t="inlineStr">
        <is>
          <t>ÖREBRO LÄN</t>
        </is>
      </c>
      <c r="E389" t="inlineStr">
        <is>
          <t>ÖREBRO</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35345-2024</t>
        </is>
      </c>
      <c r="B390" s="1" t="n">
        <v>45530</v>
      </c>
      <c r="C390" s="1" t="n">
        <v>45993</v>
      </c>
      <c r="D390" t="inlineStr">
        <is>
          <t>ÖREBRO LÄN</t>
        </is>
      </c>
      <c r="E390" t="inlineStr">
        <is>
          <t>ÖREBRO</t>
        </is>
      </c>
      <c r="G390" t="n">
        <v>0.9</v>
      </c>
      <c r="H390" t="n">
        <v>0</v>
      </c>
      <c r="I390" t="n">
        <v>0</v>
      </c>
      <c r="J390" t="n">
        <v>0</v>
      </c>
      <c r="K390" t="n">
        <v>0</v>
      </c>
      <c r="L390" t="n">
        <v>0</v>
      </c>
      <c r="M390" t="n">
        <v>0</v>
      </c>
      <c r="N390" t="n">
        <v>0</v>
      </c>
      <c r="O390" t="n">
        <v>0</v>
      </c>
      <c r="P390" t="n">
        <v>0</v>
      </c>
      <c r="Q390" t="n">
        <v>0</v>
      </c>
      <c r="R390" s="2" t="inlineStr"/>
    </row>
    <row r="391" ht="15" customHeight="1">
      <c r="A391" t="inlineStr">
        <is>
          <t>A 41669-2025</t>
        </is>
      </c>
      <c r="B391" s="1" t="n">
        <v>45902.36149305556</v>
      </c>
      <c r="C391" s="1" t="n">
        <v>45993</v>
      </c>
      <c r="D391" t="inlineStr">
        <is>
          <t>ÖREBRO LÄN</t>
        </is>
      </c>
      <c r="E391" t="inlineStr">
        <is>
          <t>ÖREBRO</t>
        </is>
      </c>
      <c r="G391" t="n">
        <v>2.8</v>
      </c>
      <c r="H391" t="n">
        <v>0</v>
      </c>
      <c r="I391" t="n">
        <v>0</v>
      </c>
      <c r="J391" t="n">
        <v>0</v>
      </c>
      <c r="K391" t="n">
        <v>0</v>
      </c>
      <c r="L391" t="n">
        <v>0</v>
      </c>
      <c r="M391" t="n">
        <v>0</v>
      </c>
      <c r="N391" t="n">
        <v>0</v>
      </c>
      <c r="O391" t="n">
        <v>0</v>
      </c>
      <c r="P391" t="n">
        <v>0</v>
      </c>
      <c r="Q391" t="n">
        <v>0</v>
      </c>
      <c r="R391" s="2" t="inlineStr"/>
    </row>
    <row r="392" ht="15" customHeight="1">
      <c r="A392" t="inlineStr">
        <is>
          <t>A 123-2025</t>
        </is>
      </c>
      <c r="B392" s="1" t="n">
        <v>45659.54851851852</v>
      </c>
      <c r="C392" s="1" t="n">
        <v>45993</v>
      </c>
      <c r="D392" t="inlineStr">
        <is>
          <t>ÖREBRO LÄN</t>
        </is>
      </c>
      <c r="E392" t="inlineStr">
        <is>
          <t>ÖREBRO</t>
        </is>
      </c>
      <c r="G392" t="n">
        <v>1.6</v>
      </c>
      <c r="H392" t="n">
        <v>0</v>
      </c>
      <c r="I392" t="n">
        <v>0</v>
      </c>
      <c r="J392" t="n">
        <v>0</v>
      </c>
      <c r="K392" t="n">
        <v>0</v>
      </c>
      <c r="L392" t="n">
        <v>0</v>
      </c>
      <c r="M392" t="n">
        <v>0</v>
      </c>
      <c r="N392" t="n">
        <v>0</v>
      </c>
      <c r="O392" t="n">
        <v>0</v>
      </c>
      <c r="P392" t="n">
        <v>0</v>
      </c>
      <c r="Q392" t="n">
        <v>0</v>
      </c>
      <c r="R392" s="2" t="inlineStr"/>
    </row>
    <row r="393" ht="15" customHeight="1">
      <c r="A393" t="inlineStr">
        <is>
          <t>A 767-2024</t>
        </is>
      </c>
      <c r="B393" s="1" t="n">
        <v>45300.51892361111</v>
      </c>
      <c r="C393" s="1" t="n">
        <v>45993</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41412-2025</t>
        </is>
      </c>
      <c r="B394" s="1" t="n">
        <v>45901.3549537037</v>
      </c>
      <c r="C394" s="1" t="n">
        <v>45993</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44511-2023</t>
        </is>
      </c>
      <c r="B395" s="1" t="n">
        <v>45189</v>
      </c>
      <c r="C395" s="1" t="n">
        <v>45993</v>
      </c>
      <c r="D395" t="inlineStr">
        <is>
          <t>ÖREBRO LÄN</t>
        </is>
      </c>
      <c r="E395" t="inlineStr">
        <is>
          <t>ÖREBRO</t>
        </is>
      </c>
      <c r="F395" t="inlineStr">
        <is>
          <t>Allmännings- och besparingsskogar</t>
        </is>
      </c>
      <c r="G395" t="n">
        <v>2.7</v>
      </c>
      <c r="H395" t="n">
        <v>0</v>
      </c>
      <c r="I395" t="n">
        <v>0</v>
      </c>
      <c r="J395" t="n">
        <v>0</v>
      </c>
      <c r="K395" t="n">
        <v>0</v>
      </c>
      <c r="L395" t="n">
        <v>0</v>
      </c>
      <c r="M395" t="n">
        <v>0</v>
      </c>
      <c r="N395" t="n">
        <v>0</v>
      </c>
      <c r="O395" t="n">
        <v>0</v>
      </c>
      <c r="P395" t="n">
        <v>0</v>
      </c>
      <c r="Q395" t="n">
        <v>0</v>
      </c>
      <c r="R395" s="2" t="inlineStr"/>
    </row>
    <row r="396" ht="15" customHeight="1">
      <c r="A396" t="inlineStr">
        <is>
          <t>A 53234-2023</t>
        </is>
      </c>
      <c r="B396" s="1" t="n">
        <v>45229</v>
      </c>
      <c r="C396" s="1" t="n">
        <v>45993</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30472-2022</t>
        </is>
      </c>
      <c r="B397" s="1" t="n">
        <v>44761.70467592592</v>
      </c>
      <c r="C397" s="1" t="n">
        <v>45993</v>
      </c>
      <c r="D397" t="inlineStr">
        <is>
          <t>ÖREBRO LÄN</t>
        </is>
      </c>
      <c r="E397" t="inlineStr">
        <is>
          <t>ÖREBRO</t>
        </is>
      </c>
      <c r="F397" t="inlineStr">
        <is>
          <t>Övriga Aktiebolag</t>
        </is>
      </c>
      <c r="G397" t="n">
        <v>5.6</v>
      </c>
      <c r="H397" t="n">
        <v>0</v>
      </c>
      <c r="I397" t="n">
        <v>0</v>
      </c>
      <c r="J397" t="n">
        <v>0</v>
      </c>
      <c r="K397" t="n">
        <v>0</v>
      </c>
      <c r="L397" t="n">
        <v>0</v>
      </c>
      <c r="M397" t="n">
        <v>0</v>
      </c>
      <c r="N397" t="n">
        <v>0</v>
      </c>
      <c r="O397" t="n">
        <v>0</v>
      </c>
      <c r="P397" t="n">
        <v>0</v>
      </c>
      <c r="Q397" t="n">
        <v>0</v>
      </c>
      <c r="R397" s="2" t="inlineStr"/>
    </row>
    <row r="398" ht="15" customHeight="1">
      <c r="A398" t="inlineStr">
        <is>
          <t>A 6869-2025</t>
        </is>
      </c>
      <c r="B398" s="1" t="n">
        <v>45700</v>
      </c>
      <c r="C398" s="1" t="n">
        <v>45993</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8512-2025</t>
        </is>
      </c>
      <c r="B399" s="1" t="n">
        <v>45709.54873842592</v>
      </c>
      <c r="C399" s="1" t="n">
        <v>45993</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45517-2023</t>
        </is>
      </c>
      <c r="B400" s="1" t="n">
        <v>45194.49594907407</v>
      </c>
      <c r="C400" s="1" t="n">
        <v>45993</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57869-2024</t>
        </is>
      </c>
      <c r="B401" s="1" t="n">
        <v>45631.44207175926</v>
      </c>
      <c r="C401" s="1" t="n">
        <v>45993</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28054-2022</t>
        </is>
      </c>
      <c r="B402" s="1" t="n">
        <v>44746.41938657407</v>
      </c>
      <c r="C402" s="1" t="n">
        <v>45993</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1647-2024</t>
        </is>
      </c>
      <c r="B403" s="1" t="n">
        <v>45306</v>
      </c>
      <c r="C403" s="1" t="n">
        <v>45993</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57485-2023</t>
        </is>
      </c>
      <c r="B404" s="1" t="n">
        <v>45246</v>
      </c>
      <c r="C404" s="1" t="n">
        <v>45993</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58032-2023</t>
        </is>
      </c>
      <c r="B405" s="1" t="n">
        <v>45247</v>
      </c>
      <c r="C405" s="1" t="n">
        <v>45993</v>
      </c>
      <c r="D405" t="inlineStr">
        <is>
          <t>ÖREBRO LÄN</t>
        </is>
      </c>
      <c r="E405" t="inlineStr">
        <is>
          <t>ÖREBRO</t>
        </is>
      </c>
      <c r="G405" t="n">
        <v>1.1</v>
      </c>
      <c r="H405" t="n">
        <v>0</v>
      </c>
      <c r="I405" t="n">
        <v>0</v>
      </c>
      <c r="J405" t="n">
        <v>0</v>
      </c>
      <c r="K405" t="n">
        <v>0</v>
      </c>
      <c r="L405" t="n">
        <v>0</v>
      </c>
      <c r="M405" t="n">
        <v>0</v>
      </c>
      <c r="N405" t="n">
        <v>0</v>
      </c>
      <c r="O405" t="n">
        <v>0</v>
      </c>
      <c r="P405" t="n">
        <v>0</v>
      </c>
      <c r="Q405" t="n">
        <v>0</v>
      </c>
      <c r="R405" s="2" t="inlineStr"/>
    </row>
    <row r="406" ht="15" customHeight="1">
      <c r="A406" t="inlineStr">
        <is>
          <t>A 58035-2023</t>
        </is>
      </c>
      <c r="B406" s="1" t="n">
        <v>45247</v>
      </c>
      <c r="C406" s="1" t="n">
        <v>45993</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3652-2022</t>
        </is>
      </c>
      <c r="B407" s="1" t="n">
        <v>44586.46921296296</v>
      </c>
      <c r="C407" s="1" t="n">
        <v>45993</v>
      </c>
      <c r="D407" t="inlineStr">
        <is>
          <t>ÖREBRO LÄN</t>
        </is>
      </c>
      <c r="E407" t="inlineStr">
        <is>
          <t>ÖREBRO</t>
        </is>
      </c>
      <c r="G407" t="n">
        <v>1.6</v>
      </c>
      <c r="H407" t="n">
        <v>0</v>
      </c>
      <c r="I407" t="n">
        <v>0</v>
      </c>
      <c r="J407" t="n">
        <v>0</v>
      </c>
      <c r="K407" t="n">
        <v>0</v>
      </c>
      <c r="L407" t="n">
        <v>0</v>
      </c>
      <c r="M407" t="n">
        <v>0</v>
      </c>
      <c r="N407" t="n">
        <v>0</v>
      </c>
      <c r="O407" t="n">
        <v>0</v>
      </c>
      <c r="P407" t="n">
        <v>0</v>
      </c>
      <c r="Q407" t="n">
        <v>0</v>
      </c>
      <c r="R407" s="2" t="inlineStr"/>
    </row>
    <row r="408" ht="15" customHeight="1">
      <c r="A408" t="inlineStr">
        <is>
          <t>A 25407-2021</t>
        </is>
      </c>
      <c r="B408" s="1" t="n">
        <v>44342</v>
      </c>
      <c r="C408" s="1" t="n">
        <v>45993</v>
      </c>
      <c r="D408" t="inlineStr">
        <is>
          <t>ÖREBRO LÄN</t>
        </is>
      </c>
      <c r="E408" t="inlineStr">
        <is>
          <t>ÖREBRO</t>
        </is>
      </c>
      <c r="F408" t="inlineStr">
        <is>
          <t>Kommuner</t>
        </is>
      </c>
      <c r="G408" t="n">
        <v>7.2</v>
      </c>
      <c r="H408" t="n">
        <v>0</v>
      </c>
      <c r="I408" t="n">
        <v>0</v>
      </c>
      <c r="J408" t="n">
        <v>0</v>
      </c>
      <c r="K408" t="n">
        <v>0</v>
      </c>
      <c r="L408" t="n">
        <v>0</v>
      </c>
      <c r="M408" t="n">
        <v>0</v>
      </c>
      <c r="N408" t="n">
        <v>0</v>
      </c>
      <c r="O408" t="n">
        <v>0</v>
      </c>
      <c r="P408" t="n">
        <v>0</v>
      </c>
      <c r="Q408" t="n">
        <v>0</v>
      </c>
      <c r="R408" s="2" t="inlineStr"/>
    </row>
    <row r="409" ht="15" customHeight="1">
      <c r="A409" t="inlineStr">
        <is>
          <t>A 35829-2024</t>
        </is>
      </c>
      <c r="B409" s="1" t="n">
        <v>45532</v>
      </c>
      <c r="C409" s="1" t="n">
        <v>45993</v>
      </c>
      <c r="D409" t="inlineStr">
        <is>
          <t>ÖREBRO LÄN</t>
        </is>
      </c>
      <c r="E409" t="inlineStr">
        <is>
          <t>ÖREBRO</t>
        </is>
      </c>
      <c r="G409" t="n">
        <v>4.6</v>
      </c>
      <c r="H409" t="n">
        <v>0</v>
      </c>
      <c r="I409" t="n">
        <v>0</v>
      </c>
      <c r="J409" t="n">
        <v>0</v>
      </c>
      <c r="K409" t="n">
        <v>0</v>
      </c>
      <c r="L409" t="n">
        <v>0</v>
      </c>
      <c r="M409" t="n">
        <v>0</v>
      </c>
      <c r="N409" t="n">
        <v>0</v>
      </c>
      <c r="O409" t="n">
        <v>0</v>
      </c>
      <c r="P409" t="n">
        <v>0</v>
      </c>
      <c r="Q409" t="n">
        <v>0</v>
      </c>
      <c r="R409" s="2" t="inlineStr"/>
    </row>
    <row r="410" ht="15" customHeight="1">
      <c r="A410" t="inlineStr">
        <is>
          <t>A 35833-2024</t>
        </is>
      </c>
      <c r="B410" s="1" t="n">
        <v>45532.68699074074</v>
      </c>
      <c r="C410" s="1" t="n">
        <v>45993</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12245-2023</t>
        </is>
      </c>
      <c r="B411" s="1" t="n">
        <v>44998.64402777778</v>
      </c>
      <c r="C411" s="1" t="n">
        <v>45993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37277-2022</t>
        </is>
      </c>
      <c r="B412" s="1" t="n">
        <v>44807.49150462963</v>
      </c>
      <c r="C412" s="1" t="n">
        <v>45993</v>
      </c>
      <c r="D412" t="inlineStr">
        <is>
          <t>ÖREBRO LÄN</t>
        </is>
      </c>
      <c r="E412" t="inlineStr">
        <is>
          <t>ÖREBRO</t>
        </is>
      </c>
      <c r="F412" t="inlineStr">
        <is>
          <t>Sveaskog</t>
        </is>
      </c>
      <c r="G412" t="n">
        <v>0.8</v>
      </c>
      <c r="H412" t="n">
        <v>0</v>
      </c>
      <c r="I412" t="n">
        <v>0</v>
      </c>
      <c r="J412" t="n">
        <v>0</v>
      </c>
      <c r="K412" t="n">
        <v>0</v>
      </c>
      <c r="L412" t="n">
        <v>0</v>
      </c>
      <c r="M412" t="n">
        <v>0</v>
      </c>
      <c r="N412" t="n">
        <v>0</v>
      </c>
      <c r="O412" t="n">
        <v>0</v>
      </c>
      <c r="P412" t="n">
        <v>0</v>
      </c>
      <c r="Q412" t="n">
        <v>0</v>
      </c>
      <c r="R412" s="2" t="inlineStr"/>
    </row>
    <row r="413" ht="15" customHeight="1">
      <c r="A413" t="inlineStr">
        <is>
          <t>A 27956-2023</t>
        </is>
      </c>
      <c r="B413" s="1" t="n">
        <v>45098</v>
      </c>
      <c r="C413" s="1" t="n">
        <v>45993</v>
      </c>
      <c r="D413" t="inlineStr">
        <is>
          <t>ÖREBRO LÄN</t>
        </is>
      </c>
      <c r="E413" t="inlineStr">
        <is>
          <t>ÖREBRO</t>
        </is>
      </c>
      <c r="G413" t="n">
        <v>0.8</v>
      </c>
      <c r="H413" t="n">
        <v>0</v>
      </c>
      <c r="I413" t="n">
        <v>0</v>
      </c>
      <c r="J413" t="n">
        <v>0</v>
      </c>
      <c r="K413" t="n">
        <v>0</v>
      </c>
      <c r="L413" t="n">
        <v>0</v>
      </c>
      <c r="M413" t="n">
        <v>0</v>
      </c>
      <c r="N413" t="n">
        <v>0</v>
      </c>
      <c r="O413" t="n">
        <v>0</v>
      </c>
      <c r="P413" t="n">
        <v>0</v>
      </c>
      <c r="Q413" t="n">
        <v>0</v>
      </c>
      <c r="R413" s="2" t="inlineStr"/>
    </row>
    <row r="414" ht="15" customHeight="1">
      <c r="A414" t="inlineStr">
        <is>
          <t>A 51331-2023</t>
        </is>
      </c>
      <c r="B414" s="1" t="n">
        <v>45219</v>
      </c>
      <c r="C414" s="1" t="n">
        <v>45993</v>
      </c>
      <c r="D414" t="inlineStr">
        <is>
          <t>ÖREBRO LÄN</t>
        </is>
      </c>
      <c r="E414" t="inlineStr">
        <is>
          <t>ÖREBRO</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14717-2024</t>
        </is>
      </c>
      <c r="B415" s="1" t="n">
        <v>45397.55104166667</v>
      </c>
      <c r="C415" s="1" t="n">
        <v>45993</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7134-2025</t>
        </is>
      </c>
      <c r="B416" s="1" t="n">
        <v>45702</v>
      </c>
      <c r="C416" s="1" t="n">
        <v>45993</v>
      </c>
      <c r="D416" t="inlineStr">
        <is>
          <t>ÖREBRO LÄN</t>
        </is>
      </c>
      <c r="E416" t="inlineStr">
        <is>
          <t>ÖREBRO</t>
        </is>
      </c>
      <c r="F416" t="inlineStr">
        <is>
          <t>Övriga Aktiebolag</t>
        </is>
      </c>
      <c r="G416" t="n">
        <v>2.1</v>
      </c>
      <c r="H416" t="n">
        <v>0</v>
      </c>
      <c r="I416" t="n">
        <v>0</v>
      </c>
      <c r="J416" t="n">
        <v>0</v>
      </c>
      <c r="K416" t="n">
        <v>0</v>
      </c>
      <c r="L416" t="n">
        <v>0</v>
      </c>
      <c r="M416" t="n">
        <v>0</v>
      </c>
      <c r="N416" t="n">
        <v>0</v>
      </c>
      <c r="O416" t="n">
        <v>0</v>
      </c>
      <c r="P416" t="n">
        <v>0</v>
      </c>
      <c r="Q416" t="n">
        <v>0</v>
      </c>
      <c r="R416" s="2" t="inlineStr"/>
    </row>
    <row r="417" ht="15" customHeight="1">
      <c r="A417" t="inlineStr">
        <is>
          <t>A 60506-2024</t>
        </is>
      </c>
      <c r="B417" s="1" t="n">
        <v>45643.66630787037</v>
      </c>
      <c r="C417" s="1" t="n">
        <v>45993</v>
      </c>
      <c r="D417" t="inlineStr">
        <is>
          <t>ÖREBRO LÄN</t>
        </is>
      </c>
      <c r="E417" t="inlineStr">
        <is>
          <t>ÖREBRO</t>
        </is>
      </c>
      <c r="G417" t="n">
        <v>5.8</v>
      </c>
      <c r="H417" t="n">
        <v>0</v>
      </c>
      <c r="I417" t="n">
        <v>0</v>
      </c>
      <c r="J417" t="n">
        <v>0</v>
      </c>
      <c r="K417" t="n">
        <v>0</v>
      </c>
      <c r="L417" t="n">
        <v>0</v>
      </c>
      <c r="M417" t="n">
        <v>0</v>
      </c>
      <c r="N417" t="n">
        <v>0</v>
      </c>
      <c r="O417" t="n">
        <v>0</v>
      </c>
      <c r="P417" t="n">
        <v>0</v>
      </c>
      <c r="Q417" t="n">
        <v>0</v>
      </c>
      <c r="R417" s="2" t="inlineStr"/>
    </row>
    <row r="418" ht="15" customHeight="1">
      <c r="A418" t="inlineStr">
        <is>
          <t>A 40588-2021</t>
        </is>
      </c>
      <c r="B418" s="1" t="n">
        <v>44420</v>
      </c>
      <c r="C418" s="1" t="n">
        <v>45993</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51937-2025</t>
        </is>
      </c>
      <c r="B419" s="1" t="n">
        <v>45952.51270833334</v>
      </c>
      <c r="C419" s="1" t="n">
        <v>45993</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52135-2025</t>
        </is>
      </c>
      <c r="B420" s="1" t="n">
        <v>45952.84231481481</v>
      </c>
      <c r="C420" s="1" t="n">
        <v>45993</v>
      </c>
      <c r="D420" t="inlineStr">
        <is>
          <t>ÖREBRO LÄN</t>
        </is>
      </c>
      <c r="E420" t="inlineStr">
        <is>
          <t>ÖREBRO</t>
        </is>
      </c>
      <c r="G420" t="n">
        <v>4</v>
      </c>
      <c r="H420" t="n">
        <v>0</v>
      </c>
      <c r="I420" t="n">
        <v>0</v>
      </c>
      <c r="J420" t="n">
        <v>0</v>
      </c>
      <c r="K420" t="n">
        <v>0</v>
      </c>
      <c r="L420" t="n">
        <v>0</v>
      </c>
      <c r="M420" t="n">
        <v>0</v>
      </c>
      <c r="N420" t="n">
        <v>0</v>
      </c>
      <c r="O420" t="n">
        <v>0</v>
      </c>
      <c r="P420" t="n">
        <v>0</v>
      </c>
      <c r="Q420" t="n">
        <v>0</v>
      </c>
      <c r="R420" s="2" t="inlineStr"/>
    </row>
    <row r="421" ht="15" customHeight="1">
      <c r="A421" t="inlineStr">
        <is>
          <t>A 40231-2022</t>
        </is>
      </c>
      <c r="B421" s="1" t="n">
        <v>44820</v>
      </c>
      <c r="C421" s="1" t="n">
        <v>45993</v>
      </c>
      <c r="D421" t="inlineStr">
        <is>
          <t>ÖREBRO LÄN</t>
        </is>
      </c>
      <c r="E421" t="inlineStr">
        <is>
          <t>ÖREBRO</t>
        </is>
      </c>
      <c r="F421" t="inlineStr">
        <is>
          <t>Allmännings- och besparingsskogar</t>
        </is>
      </c>
      <c r="G421" t="n">
        <v>2.2</v>
      </c>
      <c r="H421" t="n">
        <v>0</v>
      </c>
      <c r="I421" t="n">
        <v>0</v>
      </c>
      <c r="J421" t="n">
        <v>0</v>
      </c>
      <c r="K421" t="n">
        <v>0</v>
      </c>
      <c r="L421" t="n">
        <v>0</v>
      </c>
      <c r="M421" t="n">
        <v>0</v>
      </c>
      <c r="N421" t="n">
        <v>0</v>
      </c>
      <c r="O421" t="n">
        <v>0</v>
      </c>
      <c r="P421" t="n">
        <v>0</v>
      </c>
      <c r="Q421" t="n">
        <v>0</v>
      </c>
      <c r="R421" s="2" t="inlineStr"/>
    </row>
    <row r="422" ht="15" customHeight="1">
      <c r="A422" t="inlineStr">
        <is>
          <t>A 51923-2025</t>
        </is>
      </c>
      <c r="B422" s="1" t="n">
        <v>45952.49300925926</v>
      </c>
      <c r="C422" s="1" t="n">
        <v>45993</v>
      </c>
      <c r="D422" t="inlineStr">
        <is>
          <t>ÖREBRO LÄN</t>
        </is>
      </c>
      <c r="E422" t="inlineStr">
        <is>
          <t>ÖREBRO</t>
        </is>
      </c>
      <c r="G422" t="n">
        <v>1</v>
      </c>
      <c r="H422" t="n">
        <v>0</v>
      </c>
      <c r="I422" t="n">
        <v>0</v>
      </c>
      <c r="J422" t="n">
        <v>0</v>
      </c>
      <c r="K422" t="n">
        <v>0</v>
      </c>
      <c r="L422" t="n">
        <v>0</v>
      </c>
      <c r="M422" t="n">
        <v>0</v>
      </c>
      <c r="N422" t="n">
        <v>0</v>
      </c>
      <c r="O422" t="n">
        <v>0</v>
      </c>
      <c r="P422" t="n">
        <v>0</v>
      </c>
      <c r="Q422" t="n">
        <v>0</v>
      </c>
      <c r="R422" s="2" t="inlineStr"/>
    </row>
    <row r="423" ht="15" customHeight="1">
      <c r="A423" t="inlineStr">
        <is>
          <t>A 4284-2025</t>
        </is>
      </c>
      <c r="B423" s="1" t="n">
        <v>45685</v>
      </c>
      <c r="C423" s="1" t="n">
        <v>45993</v>
      </c>
      <c r="D423" t="inlineStr">
        <is>
          <t>ÖREBRO LÄN</t>
        </is>
      </c>
      <c r="E423" t="inlineStr">
        <is>
          <t>ÖREBRO</t>
        </is>
      </c>
      <c r="G423" t="n">
        <v>1.7</v>
      </c>
      <c r="H423" t="n">
        <v>0</v>
      </c>
      <c r="I423" t="n">
        <v>0</v>
      </c>
      <c r="J423" t="n">
        <v>0</v>
      </c>
      <c r="K423" t="n">
        <v>0</v>
      </c>
      <c r="L423" t="n">
        <v>0</v>
      </c>
      <c r="M423" t="n">
        <v>0</v>
      </c>
      <c r="N423" t="n">
        <v>0</v>
      </c>
      <c r="O423" t="n">
        <v>0</v>
      </c>
      <c r="P423" t="n">
        <v>0</v>
      </c>
      <c r="Q423" t="n">
        <v>0</v>
      </c>
      <c r="R423" s="2" t="inlineStr"/>
    </row>
    <row r="424" ht="15" customHeight="1">
      <c r="A424" t="inlineStr">
        <is>
          <t>A 8331-2021</t>
        </is>
      </c>
      <c r="B424" s="1" t="n">
        <v>44244</v>
      </c>
      <c r="C424" s="1" t="n">
        <v>45993</v>
      </c>
      <c r="D424" t="inlineStr">
        <is>
          <t>ÖREBRO LÄN</t>
        </is>
      </c>
      <c r="E424" t="inlineStr">
        <is>
          <t>ÖREBRO</t>
        </is>
      </c>
      <c r="G424" t="n">
        <v>9.1</v>
      </c>
      <c r="H424" t="n">
        <v>0</v>
      </c>
      <c r="I424" t="n">
        <v>0</v>
      </c>
      <c r="J424" t="n">
        <v>0</v>
      </c>
      <c r="K424" t="n">
        <v>0</v>
      </c>
      <c r="L424" t="n">
        <v>0</v>
      </c>
      <c r="M424" t="n">
        <v>0</v>
      </c>
      <c r="N424" t="n">
        <v>0</v>
      </c>
      <c r="O424" t="n">
        <v>0</v>
      </c>
      <c r="P424" t="n">
        <v>0</v>
      </c>
      <c r="Q424" t="n">
        <v>0</v>
      </c>
      <c r="R424" s="2" t="inlineStr"/>
    </row>
    <row r="425" ht="15" customHeight="1">
      <c r="A425" t="inlineStr">
        <is>
          <t>A 8332-2021</t>
        </is>
      </c>
      <c r="B425" s="1" t="n">
        <v>44244</v>
      </c>
      <c r="C425" s="1" t="n">
        <v>45993</v>
      </c>
      <c r="D425" t="inlineStr">
        <is>
          <t>ÖREBRO LÄN</t>
        </is>
      </c>
      <c r="E425" t="inlineStr">
        <is>
          <t>ÖREBRO</t>
        </is>
      </c>
      <c r="G425" t="n">
        <v>11</v>
      </c>
      <c r="H425" t="n">
        <v>0</v>
      </c>
      <c r="I425" t="n">
        <v>0</v>
      </c>
      <c r="J425" t="n">
        <v>0</v>
      </c>
      <c r="K425" t="n">
        <v>0</v>
      </c>
      <c r="L425" t="n">
        <v>0</v>
      </c>
      <c r="M425" t="n">
        <v>0</v>
      </c>
      <c r="N425" t="n">
        <v>0</v>
      </c>
      <c r="O425" t="n">
        <v>0</v>
      </c>
      <c r="P425" t="n">
        <v>0</v>
      </c>
      <c r="Q425" t="n">
        <v>0</v>
      </c>
      <c r="R425" s="2" t="inlineStr"/>
    </row>
    <row r="426" ht="15" customHeight="1">
      <c r="A426" t="inlineStr">
        <is>
          <t>A 25443-2021</t>
        </is>
      </c>
      <c r="B426" s="1" t="n">
        <v>44342</v>
      </c>
      <c r="C426" s="1" t="n">
        <v>45993</v>
      </c>
      <c r="D426" t="inlineStr">
        <is>
          <t>ÖREBRO LÄN</t>
        </is>
      </c>
      <c r="E426" t="inlineStr">
        <is>
          <t>ÖREBRO</t>
        </is>
      </c>
      <c r="G426" t="n">
        <v>1</v>
      </c>
      <c r="H426" t="n">
        <v>0</v>
      </c>
      <c r="I426" t="n">
        <v>0</v>
      </c>
      <c r="J426" t="n">
        <v>0</v>
      </c>
      <c r="K426" t="n">
        <v>0</v>
      </c>
      <c r="L426" t="n">
        <v>0</v>
      </c>
      <c r="M426" t="n">
        <v>0</v>
      </c>
      <c r="N426" t="n">
        <v>0</v>
      </c>
      <c r="O426" t="n">
        <v>0</v>
      </c>
      <c r="P426" t="n">
        <v>0</v>
      </c>
      <c r="Q426" t="n">
        <v>0</v>
      </c>
      <c r="R426" s="2" t="inlineStr"/>
    </row>
    <row r="427" ht="15" customHeight="1">
      <c r="A427" t="inlineStr">
        <is>
          <t>A 5133-2024</t>
        </is>
      </c>
      <c r="B427" s="1" t="n">
        <v>45330</v>
      </c>
      <c r="C427" s="1" t="n">
        <v>45993</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14432-2023</t>
        </is>
      </c>
      <c r="B428" s="1" t="n">
        <v>45012</v>
      </c>
      <c r="C428" s="1" t="n">
        <v>45993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10339-2023</t>
        </is>
      </c>
      <c r="B429" s="1" t="n">
        <v>44987</v>
      </c>
      <c r="C429" s="1" t="n">
        <v>45993</v>
      </c>
      <c r="D429" t="inlineStr">
        <is>
          <t>ÖREBRO LÄN</t>
        </is>
      </c>
      <c r="E429" t="inlineStr">
        <is>
          <t>ÖREBRO</t>
        </is>
      </c>
      <c r="G429" t="n">
        <v>1</v>
      </c>
      <c r="H429" t="n">
        <v>0</v>
      </c>
      <c r="I429" t="n">
        <v>0</v>
      </c>
      <c r="J429" t="n">
        <v>0</v>
      </c>
      <c r="K429" t="n">
        <v>0</v>
      </c>
      <c r="L429" t="n">
        <v>0</v>
      </c>
      <c r="M429" t="n">
        <v>0</v>
      </c>
      <c r="N429" t="n">
        <v>0</v>
      </c>
      <c r="O429" t="n">
        <v>0</v>
      </c>
      <c r="P429" t="n">
        <v>0</v>
      </c>
      <c r="Q429" t="n">
        <v>0</v>
      </c>
      <c r="R429" s="2" t="inlineStr"/>
    </row>
    <row r="430" ht="15" customHeight="1">
      <c r="A430" t="inlineStr">
        <is>
          <t>A 190-2024</t>
        </is>
      </c>
      <c r="B430" s="1" t="n">
        <v>45294.61858796296</v>
      </c>
      <c r="C430" s="1" t="n">
        <v>45993</v>
      </c>
      <c r="D430" t="inlineStr">
        <is>
          <t>ÖREBRO LÄN</t>
        </is>
      </c>
      <c r="E430" t="inlineStr">
        <is>
          <t>ÖREBRO</t>
        </is>
      </c>
      <c r="G430" t="n">
        <v>2.4</v>
      </c>
      <c r="H430" t="n">
        <v>0</v>
      </c>
      <c r="I430" t="n">
        <v>0</v>
      </c>
      <c r="J430" t="n">
        <v>0</v>
      </c>
      <c r="K430" t="n">
        <v>0</v>
      </c>
      <c r="L430" t="n">
        <v>0</v>
      </c>
      <c r="M430" t="n">
        <v>0</v>
      </c>
      <c r="N430" t="n">
        <v>0</v>
      </c>
      <c r="O430" t="n">
        <v>0</v>
      </c>
      <c r="P430" t="n">
        <v>0</v>
      </c>
      <c r="Q430" t="n">
        <v>0</v>
      </c>
      <c r="R430" s="2" t="inlineStr"/>
    </row>
    <row r="431" ht="15" customHeight="1">
      <c r="A431" t="inlineStr">
        <is>
          <t>A 51925-2025</t>
        </is>
      </c>
      <c r="B431" s="1" t="n">
        <v>45952.49476851852</v>
      </c>
      <c r="C431" s="1" t="n">
        <v>45993</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62497-2023</t>
        </is>
      </c>
      <c r="B432" s="1" t="n">
        <v>45268.59935185185</v>
      </c>
      <c r="C432" s="1" t="n">
        <v>45993</v>
      </c>
      <c r="D432" t="inlineStr">
        <is>
          <t>ÖREBRO LÄN</t>
        </is>
      </c>
      <c r="E432" t="inlineStr">
        <is>
          <t>ÖREBRO</t>
        </is>
      </c>
      <c r="F432" t="inlineStr">
        <is>
          <t>Övriga Aktiebolag</t>
        </is>
      </c>
      <c r="G432" t="n">
        <v>3.2</v>
      </c>
      <c r="H432" t="n">
        <v>0</v>
      </c>
      <c r="I432" t="n">
        <v>0</v>
      </c>
      <c r="J432" t="n">
        <v>0</v>
      </c>
      <c r="K432" t="n">
        <v>0</v>
      </c>
      <c r="L432" t="n">
        <v>0</v>
      </c>
      <c r="M432" t="n">
        <v>0</v>
      </c>
      <c r="N432" t="n">
        <v>0</v>
      </c>
      <c r="O432" t="n">
        <v>0</v>
      </c>
      <c r="P432" t="n">
        <v>0</v>
      </c>
      <c r="Q432" t="n">
        <v>0</v>
      </c>
      <c r="R432" s="2" t="inlineStr"/>
    </row>
    <row r="433" ht="15" customHeight="1">
      <c r="A433" t="inlineStr">
        <is>
          <t>A 29978-2024</t>
        </is>
      </c>
      <c r="B433" s="1" t="n">
        <v>45488.48340277778</v>
      </c>
      <c r="C433" s="1" t="n">
        <v>45993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43399-2022</t>
        </is>
      </c>
      <c r="B434" s="1" t="n">
        <v>44834</v>
      </c>
      <c r="C434" s="1" t="n">
        <v>45993</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42623-2022</t>
        </is>
      </c>
      <c r="B435" s="1" t="n">
        <v>44831</v>
      </c>
      <c r="C435" s="1" t="n">
        <v>45993</v>
      </c>
      <c r="D435" t="inlineStr">
        <is>
          <t>ÖREBRO LÄN</t>
        </is>
      </c>
      <c r="E435" t="inlineStr">
        <is>
          <t>ÖREBRO</t>
        </is>
      </c>
      <c r="G435" t="n">
        <v>3.6</v>
      </c>
      <c r="H435" t="n">
        <v>0</v>
      </c>
      <c r="I435" t="n">
        <v>0</v>
      </c>
      <c r="J435" t="n">
        <v>0</v>
      </c>
      <c r="K435" t="n">
        <v>0</v>
      </c>
      <c r="L435" t="n">
        <v>0</v>
      </c>
      <c r="M435" t="n">
        <v>0</v>
      </c>
      <c r="N435" t="n">
        <v>0</v>
      </c>
      <c r="O435" t="n">
        <v>0</v>
      </c>
      <c r="P435" t="n">
        <v>0</v>
      </c>
      <c r="Q435" t="n">
        <v>0</v>
      </c>
      <c r="R435" s="2" t="inlineStr"/>
    </row>
    <row r="436" ht="15" customHeight="1">
      <c r="A436" t="inlineStr">
        <is>
          <t>A 63142-2023</t>
        </is>
      </c>
      <c r="B436" s="1" t="n">
        <v>45273</v>
      </c>
      <c r="C436" s="1" t="n">
        <v>45993</v>
      </c>
      <c r="D436" t="inlineStr">
        <is>
          <t>ÖREBRO LÄN</t>
        </is>
      </c>
      <c r="E436" t="inlineStr">
        <is>
          <t>ÖREBRO</t>
        </is>
      </c>
      <c r="G436" t="n">
        <v>1.8</v>
      </c>
      <c r="H436" t="n">
        <v>0</v>
      </c>
      <c r="I436" t="n">
        <v>0</v>
      </c>
      <c r="J436" t="n">
        <v>0</v>
      </c>
      <c r="K436" t="n">
        <v>0</v>
      </c>
      <c r="L436" t="n">
        <v>0</v>
      </c>
      <c r="M436" t="n">
        <v>0</v>
      </c>
      <c r="N436" t="n">
        <v>0</v>
      </c>
      <c r="O436" t="n">
        <v>0</v>
      </c>
      <c r="P436" t="n">
        <v>0</v>
      </c>
      <c r="Q436" t="n">
        <v>0</v>
      </c>
      <c r="R436" s="2" t="inlineStr"/>
    </row>
    <row r="437" ht="15" customHeight="1">
      <c r="A437" t="inlineStr">
        <is>
          <t>A 3763-2025</t>
        </is>
      </c>
      <c r="B437" s="1" t="n">
        <v>45681</v>
      </c>
      <c r="C437" s="1" t="n">
        <v>45993</v>
      </c>
      <c r="D437" t="inlineStr">
        <is>
          <t>ÖREBRO LÄN</t>
        </is>
      </c>
      <c r="E437" t="inlineStr">
        <is>
          <t>ÖREBRO</t>
        </is>
      </c>
      <c r="G437" t="n">
        <v>10.1</v>
      </c>
      <c r="H437" t="n">
        <v>0</v>
      </c>
      <c r="I437" t="n">
        <v>0</v>
      </c>
      <c r="J437" t="n">
        <v>0</v>
      </c>
      <c r="K437" t="n">
        <v>0</v>
      </c>
      <c r="L437" t="n">
        <v>0</v>
      </c>
      <c r="M437" t="n">
        <v>0</v>
      </c>
      <c r="N437" t="n">
        <v>0</v>
      </c>
      <c r="O437" t="n">
        <v>0</v>
      </c>
      <c r="P437" t="n">
        <v>0</v>
      </c>
      <c r="Q437" t="n">
        <v>0</v>
      </c>
      <c r="R437" s="2" t="inlineStr"/>
    </row>
    <row r="438" ht="15" customHeight="1">
      <c r="A438" t="inlineStr">
        <is>
          <t>A 52382-2025</t>
        </is>
      </c>
      <c r="B438" s="1" t="n">
        <v>45953.9559837963</v>
      </c>
      <c r="C438" s="1" t="n">
        <v>45993</v>
      </c>
      <c r="D438" t="inlineStr">
        <is>
          <t>ÖREBRO LÄN</t>
        </is>
      </c>
      <c r="E438" t="inlineStr">
        <is>
          <t>ÖREBRO</t>
        </is>
      </c>
      <c r="F438" t="inlineStr">
        <is>
          <t>Sveaskog</t>
        </is>
      </c>
      <c r="G438" t="n">
        <v>3.4</v>
      </c>
      <c r="H438" t="n">
        <v>0</v>
      </c>
      <c r="I438" t="n">
        <v>0</v>
      </c>
      <c r="J438" t="n">
        <v>0</v>
      </c>
      <c r="K438" t="n">
        <v>0</v>
      </c>
      <c r="L438" t="n">
        <v>0</v>
      </c>
      <c r="M438" t="n">
        <v>0</v>
      </c>
      <c r="N438" t="n">
        <v>0</v>
      </c>
      <c r="O438" t="n">
        <v>0</v>
      </c>
      <c r="P438" t="n">
        <v>0</v>
      </c>
      <c r="Q438" t="n">
        <v>0</v>
      </c>
      <c r="R438" s="2" t="inlineStr"/>
    </row>
    <row r="439" ht="15" customHeight="1">
      <c r="A439" t="inlineStr">
        <is>
          <t>A 37021-2024</t>
        </is>
      </c>
      <c r="B439" s="1" t="n">
        <v>45539.38146990741</v>
      </c>
      <c r="C439" s="1" t="n">
        <v>45993</v>
      </c>
      <c r="D439" t="inlineStr">
        <is>
          <t>ÖREBRO LÄN</t>
        </is>
      </c>
      <c r="E439" t="inlineStr">
        <is>
          <t>ÖREBRO</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23573-2023</t>
        </is>
      </c>
      <c r="B440" s="1" t="n">
        <v>45077.41672453703</v>
      </c>
      <c r="C440" s="1" t="n">
        <v>45993</v>
      </c>
      <c r="D440" t="inlineStr">
        <is>
          <t>ÖREBRO LÄN</t>
        </is>
      </c>
      <c r="E440" t="inlineStr">
        <is>
          <t>ÖREBRO</t>
        </is>
      </c>
      <c r="G440" t="n">
        <v>2.9</v>
      </c>
      <c r="H440" t="n">
        <v>0</v>
      </c>
      <c r="I440" t="n">
        <v>0</v>
      </c>
      <c r="J440" t="n">
        <v>0</v>
      </c>
      <c r="K440" t="n">
        <v>0</v>
      </c>
      <c r="L440" t="n">
        <v>0</v>
      </c>
      <c r="M440" t="n">
        <v>0</v>
      </c>
      <c r="N440" t="n">
        <v>0</v>
      </c>
      <c r="O440" t="n">
        <v>0</v>
      </c>
      <c r="P440" t="n">
        <v>0</v>
      </c>
      <c r="Q440" t="n">
        <v>0</v>
      </c>
      <c r="R440" s="2" t="inlineStr"/>
    </row>
    <row r="441" ht="15" customHeight="1">
      <c r="A441" t="inlineStr">
        <is>
          <t>A 30903-2024</t>
        </is>
      </c>
      <c r="B441" s="1" t="n">
        <v>45498.49946759259</v>
      </c>
      <c r="C441" s="1" t="n">
        <v>45993</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13762-2023</t>
        </is>
      </c>
      <c r="B442" s="1" t="n">
        <v>45007.43729166667</v>
      </c>
      <c r="C442" s="1" t="n">
        <v>45993</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58611-2024</t>
        </is>
      </c>
      <c r="B443" s="1" t="n">
        <v>45635.55555555555</v>
      </c>
      <c r="C443" s="1" t="n">
        <v>45993</v>
      </c>
      <c r="D443" t="inlineStr">
        <is>
          <t>ÖREBRO LÄN</t>
        </is>
      </c>
      <c r="E443" t="inlineStr">
        <is>
          <t>ÖREBRO</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10829-2023</t>
        </is>
      </c>
      <c r="B444" s="1" t="n">
        <v>44990.88512731482</v>
      </c>
      <c r="C444" s="1" t="n">
        <v>45993</v>
      </c>
      <c r="D444" t="inlineStr">
        <is>
          <t>ÖREBRO LÄN</t>
        </is>
      </c>
      <c r="E444" t="inlineStr">
        <is>
          <t>ÖREBRO</t>
        </is>
      </c>
      <c r="G444" t="n">
        <v>4.4</v>
      </c>
      <c r="H444" t="n">
        <v>0</v>
      </c>
      <c r="I444" t="n">
        <v>0</v>
      </c>
      <c r="J444" t="n">
        <v>0</v>
      </c>
      <c r="K444" t="n">
        <v>0</v>
      </c>
      <c r="L444" t="n">
        <v>0</v>
      </c>
      <c r="M444" t="n">
        <v>0</v>
      </c>
      <c r="N444" t="n">
        <v>0</v>
      </c>
      <c r="O444" t="n">
        <v>0</v>
      </c>
      <c r="P444" t="n">
        <v>0</v>
      </c>
      <c r="Q444" t="n">
        <v>0</v>
      </c>
      <c r="R444" s="2" t="inlineStr"/>
    </row>
    <row r="445" ht="15" customHeight="1">
      <c r="A445" t="inlineStr">
        <is>
          <t>A 10831-2023</t>
        </is>
      </c>
      <c r="B445" s="1" t="n">
        <v>44990.90357638889</v>
      </c>
      <c r="C445" s="1" t="n">
        <v>45993</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5129-2024</t>
        </is>
      </c>
      <c r="B446" s="1" t="n">
        <v>45330</v>
      </c>
      <c r="C446" s="1" t="n">
        <v>45993</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16165-2023</t>
        </is>
      </c>
      <c r="B447" s="1" t="n">
        <v>45027</v>
      </c>
      <c r="C447" s="1" t="n">
        <v>45993</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1492-2022</t>
        </is>
      </c>
      <c r="B448" s="1" t="n">
        <v>44573</v>
      </c>
      <c r="C448" s="1" t="n">
        <v>45993</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57247-2022</t>
        </is>
      </c>
      <c r="B449" s="1" t="n">
        <v>44895.73065972222</v>
      </c>
      <c r="C449" s="1" t="n">
        <v>45993</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59026-2024</t>
        </is>
      </c>
      <c r="B450" s="1" t="n">
        <v>45636.6875</v>
      </c>
      <c r="C450" s="1" t="n">
        <v>45993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52623-2024</t>
        </is>
      </c>
      <c r="B451" s="1" t="n">
        <v>45609</v>
      </c>
      <c r="C451" s="1" t="n">
        <v>45993</v>
      </c>
      <c r="D451" t="inlineStr">
        <is>
          <t>ÖREBRO LÄN</t>
        </is>
      </c>
      <c r="E451" t="inlineStr">
        <is>
          <t>ÖREBRO</t>
        </is>
      </c>
      <c r="F451" t="inlineStr">
        <is>
          <t>Kommuner</t>
        </is>
      </c>
      <c r="G451" t="n">
        <v>1.7</v>
      </c>
      <c r="H451" t="n">
        <v>0</v>
      </c>
      <c r="I451" t="n">
        <v>0</v>
      </c>
      <c r="J451" t="n">
        <v>0</v>
      </c>
      <c r="K451" t="n">
        <v>0</v>
      </c>
      <c r="L451" t="n">
        <v>0</v>
      </c>
      <c r="M451" t="n">
        <v>0</v>
      </c>
      <c r="N451" t="n">
        <v>0</v>
      </c>
      <c r="O451" t="n">
        <v>0</v>
      </c>
      <c r="P451" t="n">
        <v>0</v>
      </c>
      <c r="Q451" t="n">
        <v>0</v>
      </c>
      <c r="R451" s="2" t="inlineStr"/>
    </row>
    <row r="452" ht="15" customHeight="1">
      <c r="A452" t="inlineStr">
        <is>
          <t>A 20146-2024</t>
        </is>
      </c>
      <c r="B452" s="1" t="n">
        <v>45434.57641203704</v>
      </c>
      <c r="C452" s="1" t="n">
        <v>45993</v>
      </c>
      <c r="D452" t="inlineStr">
        <is>
          <t>ÖREBRO LÄN</t>
        </is>
      </c>
      <c r="E452" t="inlineStr">
        <is>
          <t>ÖREBRO</t>
        </is>
      </c>
      <c r="G452" t="n">
        <v>0.5</v>
      </c>
      <c r="H452" t="n">
        <v>0</v>
      </c>
      <c r="I452" t="n">
        <v>0</v>
      </c>
      <c r="J452" t="n">
        <v>0</v>
      </c>
      <c r="K452" t="n">
        <v>0</v>
      </c>
      <c r="L452" t="n">
        <v>0</v>
      </c>
      <c r="M452" t="n">
        <v>0</v>
      </c>
      <c r="N452" t="n">
        <v>0</v>
      </c>
      <c r="O452" t="n">
        <v>0</v>
      </c>
      <c r="P452" t="n">
        <v>0</v>
      </c>
      <c r="Q452" t="n">
        <v>0</v>
      </c>
      <c r="R452" s="2" t="inlineStr"/>
    </row>
    <row r="453" ht="15" customHeight="1">
      <c r="A453" t="inlineStr">
        <is>
          <t>A 62511-2023</t>
        </is>
      </c>
      <c r="B453" s="1" t="n">
        <v>45268.61855324074</v>
      </c>
      <c r="C453" s="1" t="n">
        <v>45993</v>
      </c>
      <c r="D453" t="inlineStr">
        <is>
          <t>ÖREBRO LÄN</t>
        </is>
      </c>
      <c r="E453" t="inlineStr">
        <is>
          <t>ÖREBRO</t>
        </is>
      </c>
      <c r="F453" t="inlineStr">
        <is>
          <t>Övriga Aktiebolag</t>
        </is>
      </c>
      <c r="G453" t="n">
        <v>3.6</v>
      </c>
      <c r="H453" t="n">
        <v>0</v>
      </c>
      <c r="I453" t="n">
        <v>0</v>
      </c>
      <c r="J453" t="n">
        <v>0</v>
      </c>
      <c r="K453" t="n">
        <v>0</v>
      </c>
      <c r="L453" t="n">
        <v>0</v>
      </c>
      <c r="M453" t="n">
        <v>0</v>
      </c>
      <c r="N453" t="n">
        <v>0</v>
      </c>
      <c r="O453" t="n">
        <v>0</v>
      </c>
      <c r="P453" t="n">
        <v>0</v>
      </c>
      <c r="Q453" t="n">
        <v>0</v>
      </c>
      <c r="R453" s="2" t="inlineStr"/>
    </row>
    <row r="454" ht="15" customHeight="1">
      <c r="A454" t="inlineStr">
        <is>
          <t>A 53143-2023</t>
        </is>
      </c>
      <c r="B454" s="1" t="n">
        <v>45229</v>
      </c>
      <c r="C454" s="1" t="n">
        <v>45993</v>
      </c>
      <c r="D454" t="inlineStr">
        <is>
          <t>ÖREBRO LÄN</t>
        </is>
      </c>
      <c r="E454" t="inlineStr">
        <is>
          <t>ÖREBRO</t>
        </is>
      </c>
      <c r="G454" t="n">
        <v>3.3</v>
      </c>
      <c r="H454" t="n">
        <v>0</v>
      </c>
      <c r="I454" t="n">
        <v>0</v>
      </c>
      <c r="J454" t="n">
        <v>0</v>
      </c>
      <c r="K454" t="n">
        <v>0</v>
      </c>
      <c r="L454" t="n">
        <v>0</v>
      </c>
      <c r="M454" t="n">
        <v>0</v>
      </c>
      <c r="N454" t="n">
        <v>0</v>
      </c>
      <c r="O454" t="n">
        <v>0</v>
      </c>
      <c r="P454" t="n">
        <v>0</v>
      </c>
      <c r="Q454" t="n">
        <v>0</v>
      </c>
      <c r="R454" s="2" t="inlineStr"/>
    </row>
    <row r="455" ht="15" customHeight="1">
      <c r="A455" t="inlineStr">
        <is>
          <t>A 40522-2024</t>
        </is>
      </c>
      <c r="B455" s="1" t="n">
        <v>45555.59717592593</v>
      </c>
      <c r="C455" s="1" t="n">
        <v>45993</v>
      </c>
      <c r="D455" t="inlineStr">
        <is>
          <t>ÖREBRO LÄN</t>
        </is>
      </c>
      <c r="E455" t="inlineStr">
        <is>
          <t>ÖREBRO</t>
        </is>
      </c>
      <c r="G455" t="n">
        <v>5.1</v>
      </c>
      <c r="H455" t="n">
        <v>0</v>
      </c>
      <c r="I455" t="n">
        <v>0</v>
      </c>
      <c r="J455" t="n">
        <v>0</v>
      </c>
      <c r="K455" t="n">
        <v>0</v>
      </c>
      <c r="L455" t="n">
        <v>0</v>
      </c>
      <c r="M455" t="n">
        <v>0</v>
      </c>
      <c r="N455" t="n">
        <v>0</v>
      </c>
      <c r="O455" t="n">
        <v>0</v>
      </c>
      <c r="P455" t="n">
        <v>0</v>
      </c>
      <c r="Q455" t="n">
        <v>0</v>
      </c>
      <c r="R455" s="2" t="inlineStr"/>
    </row>
    <row r="456" ht="15" customHeight="1">
      <c r="A456" t="inlineStr">
        <is>
          <t>A 8656-2025</t>
        </is>
      </c>
      <c r="B456" s="1" t="n">
        <v>45712.38268518518</v>
      </c>
      <c r="C456" s="1" t="n">
        <v>45993</v>
      </c>
      <c r="D456" t="inlineStr">
        <is>
          <t>ÖREBRO LÄN</t>
        </is>
      </c>
      <c r="E456" t="inlineStr">
        <is>
          <t>ÖREBRO</t>
        </is>
      </c>
      <c r="G456" t="n">
        <v>2.7</v>
      </c>
      <c r="H456" t="n">
        <v>0</v>
      </c>
      <c r="I456" t="n">
        <v>0</v>
      </c>
      <c r="J456" t="n">
        <v>0</v>
      </c>
      <c r="K456" t="n">
        <v>0</v>
      </c>
      <c r="L456" t="n">
        <v>0</v>
      </c>
      <c r="M456" t="n">
        <v>0</v>
      </c>
      <c r="N456" t="n">
        <v>0</v>
      </c>
      <c r="O456" t="n">
        <v>0</v>
      </c>
      <c r="P456" t="n">
        <v>0</v>
      </c>
      <c r="Q456" t="n">
        <v>0</v>
      </c>
      <c r="R456" s="2" t="inlineStr"/>
    </row>
    <row r="457" ht="15" customHeight="1">
      <c r="A457" t="inlineStr">
        <is>
          <t>A 30743-2025</t>
        </is>
      </c>
      <c r="B457" s="1" t="n">
        <v>45831</v>
      </c>
      <c r="C457" s="1" t="n">
        <v>45993</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53443-2025</t>
        </is>
      </c>
      <c r="B458" s="1" t="n">
        <v>45959.6444675926</v>
      </c>
      <c r="C458" s="1" t="n">
        <v>45993</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33577-2023</t>
        </is>
      </c>
      <c r="B459" s="1" t="n">
        <v>45131</v>
      </c>
      <c r="C459" s="1" t="n">
        <v>45993</v>
      </c>
      <c r="D459" t="inlineStr">
        <is>
          <t>ÖREBRO LÄN</t>
        </is>
      </c>
      <c r="E459" t="inlineStr">
        <is>
          <t>ÖREBRO</t>
        </is>
      </c>
      <c r="G459" t="n">
        <v>2</v>
      </c>
      <c r="H459" t="n">
        <v>0</v>
      </c>
      <c r="I459" t="n">
        <v>0</v>
      </c>
      <c r="J459" t="n">
        <v>0</v>
      </c>
      <c r="K459" t="n">
        <v>0</v>
      </c>
      <c r="L459" t="n">
        <v>0</v>
      </c>
      <c r="M459" t="n">
        <v>0</v>
      </c>
      <c r="N459" t="n">
        <v>0</v>
      </c>
      <c r="O459" t="n">
        <v>0</v>
      </c>
      <c r="P459" t="n">
        <v>0</v>
      </c>
      <c r="Q459" t="n">
        <v>0</v>
      </c>
      <c r="R459" s="2" t="inlineStr"/>
    </row>
    <row r="460" ht="15" customHeight="1">
      <c r="A460" t="inlineStr">
        <is>
          <t>A 44875-2025</t>
        </is>
      </c>
      <c r="B460" s="1" t="n">
        <v>45918.47043981482</v>
      </c>
      <c r="C460" s="1" t="n">
        <v>45993</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5762-2025</t>
        </is>
      </c>
      <c r="B461" s="1" t="n">
        <v>45694.57181712963</v>
      </c>
      <c r="C461" s="1" t="n">
        <v>45993</v>
      </c>
      <c r="D461" t="inlineStr">
        <is>
          <t>ÖREBRO LÄN</t>
        </is>
      </c>
      <c r="E461" t="inlineStr">
        <is>
          <t>ÖREBRO</t>
        </is>
      </c>
      <c r="F461" t="inlineStr">
        <is>
          <t>Övriga Aktiebolag</t>
        </is>
      </c>
      <c r="G461" t="n">
        <v>1.5</v>
      </c>
      <c r="H461" t="n">
        <v>0</v>
      </c>
      <c r="I461" t="n">
        <v>0</v>
      </c>
      <c r="J461" t="n">
        <v>0</v>
      </c>
      <c r="K461" t="n">
        <v>0</v>
      </c>
      <c r="L461" t="n">
        <v>0</v>
      </c>
      <c r="M461" t="n">
        <v>0</v>
      </c>
      <c r="N461" t="n">
        <v>0</v>
      </c>
      <c r="O461" t="n">
        <v>0</v>
      </c>
      <c r="P461" t="n">
        <v>0</v>
      </c>
      <c r="Q461" t="n">
        <v>0</v>
      </c>
      <c r="R461" s="2" t="inlineStr"/>
    </row>
    <row r="462" ht="15" customHeight="1">
      <c r="A462" t="inlineStr">
        <is>
          <t>A 46757-2021</t>
        </is>
      </c>
      <c r="B462" s="1" t="n">
        <v>44445</v>
      </c>
      <c r="C462" s="1" t="n">
        <v>45993</v>
      </c>
      <c r="D462" t="inlineStr">
        <is>
          <t>ÖREBRO LÄN</t>
        </is>
      </c>
      <c r="E462" t="inlineStr">
        <is>
          <t>ÖREBRO</t>
        </is>
      </c>
      <c r="G462" t="n">
        <v>5.6</v>
      </c>
      <c r="H462" t="n">
        <v>0</v>
      </c>
      <c r="I462" t="n">
        <v>0</v>
      </c>
      <c r="J462" t="n">
        <v>0</v>
      </c>
      <c r="K462" t="n">
        <v>0</v>
      </c>
      <c r="L462" t="n">
        <v>0</v>
      </c>
      <c r="M462" t="n">
        <v>0</v>
      </c>
      <c r="N462" t="n">
        <v>0</v>
      </c>
      <c r="O462" t="n">
        <v>0</v>
      </c>
      <c r="P462" t="n">
        <v>0</v>
      </c>
      <c r="Q462" t="n">
        <v>0</v>
      </c>
      <c r="R462" s="2" t="inlineStr"/>
    </row>
    <row r="463" ht="15" customHeight="1">
      <c r="A463" t="inlineStr">
        <is>
          <t>A 53350-2025</t>
        </is>
      </c>
      <c r="B463" s="1" t="n">
        <v>45959.43827546296</v>
      </c>
      <c r="C463" s="1" t="n">
        <v>45993</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53715-2025</t>
        </is>
      </c>
      <c r="B464" s="1" t="n">
        <v>45960.61763888889</v>
      </c>
      <c r="C464" s="1" t="n">
        <v>45993</v>
      </c>
      <c r="D464" t="inlineStr">
        <is>
          <t>ÖREBRO LÄN</t>
        </is>
      </c>
      <c r="E464" t="inlineStr">
        <is>
          <t>ÖREBRO</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18360-2024</t>
        </is>
      </c>
      <c r="B465" s="1" t="n">
        <v>45422</v>
      </c>
      <c r="C465" s="1" t="n">
        <v>45993</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7611-2024</t>
        </is>
      </c>
      <c r="B466" s="1" t="n">
        <v>45348.58864583333</v>
      </c>
      <c r="C466" s="1" t="n">
        <v>45993</v>
      </c>
      <c r="D466" t="inlineStr">
        <is>
          <t>ÖREBRO LÄN</t>
        </is>
      </c>
      <c r="E466" t="inlineStr">
        <is>
          <t>ÖREBRO</t>
        </is>
      </c>
      <c r="G466" t="n">
        <v>4.2</v>
      </c>
      <c r="H466" t="n">
        <v>0</v>
      </c>
      <c r="I466" t="n">
        <v>0</v>
      </c>
      <c r="J466" t="n">
        <v>0</v>
      </c>
      <c r="K466" t="n">
        <v>0</v>
      </c>
      <c r="L466" t="n">
        <v>0</v>
      </c>
      <c r="M466" t="n">
        <v>0</v>
      </c>
      <c r="N466" t="n">
        <v>0</v>
      </c>
      <c r="O466" t="n">
        <v>0</v>
      </c>
      <c r="P466" t="n">
        <v>0</v>
      </c>
      <c r="Q466" t="n">
        <v>0</v>
      </c>
      <c r="R466" s="2" t="inlineStr"/>
    </row>
    <row r="467" ht="15" customHeight="1">
      <c r="A467" t="inlineStr">
        <is>
          <t>A 13347-2023</t>
        </is>
      </c>
      <c r="B467" s="1" t="n">
        <v>45004</v>
      </c>
      <c r="C467" s="1" t="n">
        <v>45993</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187-2024</t>
        </is>
      </c>
      <c r="B468" s="1" t="n">
        <v>45294</v>
      </c>
      <c r="C468" s="1" t="n">
        <v>45993</v>
      </c>
      <c r="D468" t="inlineStr">
        <is>
          <t>ÖREBRO LÄN</t>
        </is>
      </c>
      <c r="E468" t="inlineStr">
        <is>
          <t>ÖREBRO</t>
        </is>
      </c>
      <c r="G468" t="n">
        <v>5.9</v>
      </c>
      <c r="H468" t="n">
        <v>0</v>
      </c>
      <c r="I468" t="n">
        <v>0</v>
      </c>
      <c r="J468" t="n">
        <v>0</v>
      </c>
      <c r="K468" t="n">
        <v>0</v>
      </c>
      <c r="L468" t="n">
        <v>0</v>
      </c>
      <c r="M468" t="n">
        <v>0</v>
      </c>
      <c r="N468" t="n">
        <v>0</v>
      </c>
      <c r="O468" t="n">
        <v>0</v>
      </c>
      <c r="P468" t="n">
        <v>0</v>
      </c>
      <c r="Q468" t="n">
        <v>0</v>
      </c>
      <c r="R468" s="2" t="inlineStr"/>
    </row>
    <row r="469" ht="15" customHeight="1">
      <c r="A469" t="inlineStr">
        <is>
          <t>A 10832-2023</t>
        </is>
      </c>
      <c r="B469" s="1" t="n">
        <v>44990.91711805556</v>
      </c>
      <c r="C469" s="1" t="n">
        <v>45993</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30374-2023</t>
        </is>
      </c>
      <c r="B470" s="1" t="n">
        <v>45111</v>
      </c>
      <c r="C470" s="1" t="n">
        <v>45993</v>
      </c>
      <c r="D470" t="inlineStr">
        <is>
          <t>ÖREBRO LÄN</t>
        </is>
      </c>
      <c r="E470" t="inlineStr">
        <is>
          <t>ÖREBRO</t>
        </is>
      </c>
      <c r="F470" t="inlineStr">
        <is>
          <t>Övriga Aktiebolag</t>
        </is>
      </c>
      <c r="G470" t="n">
        <v>2.3</v>
      </c>
      <c r="H470" t="n">
        <v>0</v>
      </c>
      <c r="I470" t="n">
        <v>0</v>
      </c>
      <c r="J470" t="n">
        <v>0</v>
      </c>
      <c r="K470" t="n">
        <v>0</v>
      </c>
      <c r="L470" t="n">
        <v>0</v>
      </c>
      <c r="M470" t="n">
        <v>0</v>
      </c>
      <c r="N470" t="n">
        <v>0</v>
      </c>
      <c r="O470" t="n">
        <v>0</v>
      </c>
      <c r="P470" t="n">
        <v>0</v>
      </c>
      <c r="Q470" t="n">
        <v>0</v>
      </c>
      <c r="R470" s="2" t="inlineStr"/>
    </row>
    <row r="471" ht="15" customHeight="1">
      <c r="A471" t="inlineStr">
        <is>
          <t>A 53343-2025</t>
        </is>
      </c>
      <c r="B471" s="1" t="n">
        <v>45959.42025462963</v>
      </c>
      <c r="C471" s="1" t="n">
        <v>45993</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2596-2022</t>
        </is>
      </c>
      <c r="B472" s="1" t="n">
        <v>44580</v>
      </c>
      <c r="C472" s="1" t="n">
        <v>45993</v>
      </c>
      <c r="D472" t="inlineStr">
        <is>
          <t>ÖREBRO LÄN</t>
        </is>
      </c>
      <c r="E472" t="inlineStr">
        <is>
          <t>ÖREBRO</t>
        </is>
      </c>
      <c r="G472" t="n">
        <v>4.3</v>
      </c>
      <c r="H472" t="n">
        <v>0</v>
      </c>
      <c r="I472" t="n">
        <v>0</v>
      </c>
      <c r="J472" t="n">
        <v>0</v>
      </c>
      <c r="K472" t="n">
        <v>0</v>
      </c>
      <c r="L472" t="n">
        <v>0</v>
      </c>
      <c r="M472" t="n">
        <v>0</v>
      </c>
      <c r="N472" t="n">
        <v>0</v>
      </c>
      <c r="O472" t="n">
        <v>0</v>
      </c>
      <c r="P472" t="n">
        <v>0</v>
      </c>
      <c r="Q472" t="n">
        <v>0</v>
      </c>
      <c r="R472" s="2" t="inlineStr"/>
    </row>
    <row r="473" ht="15" customHeight="1">
      <c r="A473" t="inlineStr">
        <is>
          <t>A 62794-2021</t>
        </is>
      </c>
      <c r="B473" s="1" t="n">
        <v>44504</v>
      </c>
      <c r="C473" s="1" t="n">
        <v>45993</v>
      </c>
      <c r="D473" t="inlineStr">
        <is>
          <t>ÖREBRO LÄN</t>
        </is>
      </c>
      <c r="E473" t="inlineStr">
        <is>
          <t>ÖREBRO</t>
        </is>
      </c>
      <c r="G473" t="n">
        <v>3.3</v>
      </c>
      <c r="H473" t="n">
        <v>0</v>
      </c>
      <c r="I473" t="n">
        <v>0</v>
      </c>
      <c r="J473" t="n">
        <v>0</v>
      </c>
      <c r="K473" t="n">
        <v>0</v>
      </c>
      <c r="L473" t="n">
        <v>0</v>
      </c>
      <c r="M473" t="n">
        <v>0</v>
      </c>
      <c r="N473" t="n">
        <v>0</v>
      </c>
      <c r="O473" t="n">
        <v>0</v>
      </c>
      <c r="P473" t="n">
        <v>0</v>
      </c>
      <c r="Q473" t="n">
        <v>0</v>
      </c>
      <c r="R473" s="2" t="inlineStr"/>
    </row>
    <row r="474" ht="15" customHeight="1">
      <c r="A474" t="inlineStr">
        <is>
          <t>A 5338-2024</t>
        </is>
      </c>
      <c r="B474" s="1" t="n">
        <v>45331</v>
      </c>
      <c r="C474" s="1" t="n">
        <v>45993</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52612-2024</t>
        </is>
      </c>
      <c r="B475" s="1" t="n">
        <v>45609</v>
      </c>
      <c r="C475" s="1" t="n">
        <v>45993</v>
      </c>
      <c r="D475" t="inlineStr">
        <is>
          <t>ÖREBRO LÄN</t>
        </is>
      </c>
      <c r="E475" t="inlineStr">
        <is>
          <t>ÖREBRO</t>
        </is>
      </c>
      <c r="F475" t="inlineStr">
        <is>
          <t>Kommuner</t>
        </is>
      </c>
      <c r="G475" t="n">
        <v>5.5</v>
      </c>
      <c r="H475" t="n">
        <v>0</v>
      </c>
      <c r="I475" t="n">
        <v>0</v>
      </c>
      <c r="J475" t="n">
        <v>0</v>
      </c>
      <c r="K475" t="n">
        <v>0</v>
      </c>
      <c r="L475" t="n">
        <v>0</v>
      </c>
      <c r="M475" t="n">
        <v>0</v>
      </c>
      <c r="N475" t="n">
        <v>0</v>
      </c>
      <c r="O475" t="n">
        <v>0</v>
      </c>
      <c r="P475" t="n">
        <v>0</v>
      </c>
      <c r="Q475" t="n">
        <v>0</v>
      </c>
      <c r="R475" s="2" t="inlineStr"/>
    </row>
    <row r="476" ht="15" customHeight="1">
      <c r="A476" t="inlineStr">
        <is>
          <t>A 14487-2023</t>
        </is>
      </c>
      <c r="B476" s="1" t="n">
        <v>45012</v>
      </c>
      <c r="C476" s="1" t="n">
        <v>45993</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5795-2024</t>
        </is>
      </c>
      <c r="B477" s="1" t="n">
        <v>45335.4531712963</v>
      </c>
      <c r="C477" s="1" t="n">
        <v>45993</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53719-2025</t>
        </is>
      </c>
      <c r="B478" s="1" t="n">
        <v>45960.62042824074</v>
      </c>
      <c r="C478" s="1" t="n">
        <v>45993</v>
      </c>
      <c r="D478" t="inlineStr">
        <is>
          <t>ÖREBRO LÄN</t>
        </is>
      </c>
      <c r="E478" t="inlineStr">
        <is>
          <t>ÖREBRO</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37771-2024</t>
        </is>
      </c>
      <c r="B479" s="1" t="n">
        <v>45542.31359953704</v>
      </c>
      <c r="C479" s="1" t="n">
        <v>45993</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54678-2023</t>
        </is>
      </c>
      <c r="B480" s="1" t="n">
        <v>45235</v>
      </c>
      <c r="C480" s="1" t="n">
        <v>45993</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15652-2025</t>
        </is>
      </c>
      <c r="B481" s="1" t="n">
        <v>45748</v>
      </c>
      <c r="C481" s="1" t="n">
        <v>45993</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44960-2025</t>
        </is>
      </c>
      <c r="B482" s="1" t="n">
        <v>45918.61577546296</v>
      </c>
      <c r="C482" s="1" t="n">
        <v>45993</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8565-2021</t>
        </is>
      </c>
      <c r="B483" s="1" t="n">
        <v>44245</v>
      </c>
      <c r="C483" s="1" t="n">
        <v>45993</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53342-2025</t>
        </is>
      </c>
      <c r="B484" s="1" t="n">
        <v>45959.41769675926</v>
      </c>
      <c r="C484" s="1" t="n">
        <v>45993</v>
      </c>
      <c r="D484" t="inlineStr">
        <is>
          <t>ÖREBRO LÄN</t>
        </is>
      </c>
      <c r="E484" t="inlineStr">
        <is>
          <t>ÖREBRO</t>
        </is>
      </c>
      <c r="G484" t="n">
        <v>4.1</v>
      </c>
      <c r="H484" t="n">
        <v>0</v>
      </c>
      <c r="I484" t="n">
        <v>0</v>
      </c>
      <c r="J484" t="n">
        <v>0</v>
      </c>
      <c r="K484" t="n">
        <v>0</v>
      </c>
      <c r="L484" t="n">
        <v>0</v>
      </c>
      <c r="M484" t="n">
        <v>0</v>
      </c>
      <c r="N484" t="n">
        <v>0</v>
      </c>
      <c r="O484" t="n">
        <v>0</v>
      </c>
      <c r="P484" t="n">
        <v>0</v>
      </c>
      <c r="Q484" t="n">
        <v>0</v>
      </c>
      <c r="R484" s="2" t="inlineStr"/>
    </row>
    <row r="485" ht="15" customHeight="1">
      <c r="A485" t="inlineStr">
        <is>
          <t>A 53437-2025</t>
        </is>
      </c>
      <c r="B485" s="1" t="n">
        <v>45959.63440972222</v>
      </c>
      <c r="C485" s="1" t="n">
        <v>45993</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2076-2025</t>
        </is>
      </c>
      <c r="B486" s="1" t="n">
        <v>45672</v>
      </c>
      <c r="C486" s="1" t="n">
        <v>45993</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4970-2022</t>
        </is>
      </c>
      <c r="B487" s="1" t="n">
        <v>44593.51175925926</v>
      </c>
      <c r="C487" s="1" t="n">
        <v>45993</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14960-2025</t>
        </is>
      </c>
      <c r="B488" s="1" t="n">
        <v>45743.5853125</v>
      </c>
      <c r="C488" s="1" t="n">
        <v>45993</v>
      </c>
      <c r="D488" t="inlineStr">
        <is>
          <t>ÖREBRO LÄN</t>
        </is>
      </c>
      <c r="E488" t="inlineStr">
        <is>
          <t>ÖREBRO</t>
        </is>
      </c>
      <c r="G488" t="n">
        <v>1.6</v>
      </c>
      <c r="H488" t="n">
        <v>0</v>
      </c>
      <c r="I488" t="n">
        <v>0</v>
      </c>
      <c r="J488" t="n">
        <v>0</v>
      </c>
      <c r="K488" t="n">
        <v>0</v>
      </c>
      <c r="L488" t="n">
        <v>0</v>
      </c>
      <c r="M488" t="n">
        <v>0</v>
      </c>
      <c r="N488" t="n">
        <v>0</v>
      </c>
      <c r="O488" t="n">
        <v>0</v>
      </c>
      <c r="P488" t="n">
        <v>0</v>
      </c>
      <c r="Q488" t="n">
        <v>0</v>
      </c>
      <c r="R488" s="2" t="inlineStr"/>
    </row>
    <row r="489" ht="15" customHeight="1">
      <c r="A489" t="inlineStr">
        <is>
          <t>A 60022-2024</t>
        </is>
      </c>
      <c r="B489" s="1" t="n">
        <v>45642</v>
      </c>
      <c r="C489" s="1" t="n">
        <v>45993</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18047-2023</t>
        </is>
      </c>
      <c r="B490" s="1" t="n">
        <v>45040</v>
      </c>
      <c r="C490" s="1" t="n">
        <v>45993</v>
      </c>
      <c r="D490" t="inlineStr">
        <is>
          <t>ÖREBRO LÄN</t>
        </is>
      </c>
      <c r="E490" t="inlineStr">
        <is>
          <t>ÖREBRO</t>
        </is>
      </c>
      <c r="G490" t="n">
        <v>3.9</v>
      </c>
      <c r="H490" t="n">
        <v>0</v>
      </c>
      <c r="I490" t="n">
        <v>0</v>
      </c>
      <c r="J490" t="n">
        <v>0</v>
      </c>
      <c r="K490" t="n">
        <v>0</v>
      </c>
      <c r="L490" t="n">
        <v>0</v>
      </c>
      <c r="M490" t="n">
        <v>0</v>
      </c>
      <c r="N490" t="n">
        <v>0</v>
      </c>
      <c r="O490" t="n">
        <v>0</v>
      </c>
      <c r="P490" t="n">
        <v>0</v>
      </c>
      <c r="Q490" t="n">
        <v>0</v>
      </c>
      <c r="R490" s="2" t="inlineStr"/>
    </row>
    <row r="491" ht="15" customHeight="1">
      <c r="A491" t="inlineStr">
        <is>
          <t>A 3789-2023</t>
        </is>
      </c>
      <c r="B491" s="1" t="n">
        <v>44951</v>
      </c>
      <c r="C491" s="1" t="n">
        <v>45993</v>
      </c>
      <c r="D491" t="inlineStr">
        <is>
          <t>ÖREBRO LÄN</t>
        </is>
      </c>
      <c r="E491" t="inlineStr">
        <is>
          <t>ÖREBRO</t>
        </is>
      </c>
      <c r="G491" t="n">
        <v>7.5</v>
      </c>
      <c r="H491" t="n">
        <v>0</v>
      </c>
      <c r="I491" t="n">
        <v>0</v>
      </c>
      <c r="J491" t="n">
        <v>0</v>
      </c>
      <c r="K491" t="n">
        <v>0</v>
      </c>
      <c r="L491" t="n">
        <v>0</v>
      </c>
      <c r="M491" t="n">
        <v>0</v>
      </c>
      <c r="N491" t="n">
        <v>0</v>
      </c>
      <c r="O491" t="n">
        <v>0</v>
      </c>
      <c r="P491" t="n">
        <v>0</v>
      </c>
      <c r="Q491" t="n">
        <v>0</v>
      </c>
      <c r="R491" s="2" t="inlineStr"/>
    </row>
    <row r="492" ht="15" customHeight="1">
      <c r="A492" t="inlineStr">
        <is>
          <t>A 21097-2025</t>
        </is>
      </c>
      <c r="B492" s="1" t="n">
        <v>45777.63863425926</v>
      </c>
      <c r="C492" s="1" t="n">
        <v>45993</v>
      </c>
      <c r="D492" t="inlineStr">
        <is>
          <t>ÖREBRO LÄN</t>
        </is>
      </c>
      <c r="E492" t="inlineStr">
        <is>
          <t>ÖREBRO</t>
        </is>
      </c>
      <c r="G492" t="n">
        <v>2.1</v>
      </c>
      <c r="H492" t="n">
        <v>0</v>
      </c>
      <c r="I492" t="n">
        <v>0</v>
      </c>
      <c r="J492" t="n">
        <v>0</v>
      </c>
      <c r="K492" t="n">
        <v>0</v>
      </c>
      <c r="L492" t="n">
        <v>0</v>
      </c>
      <c r="M492" t="n">
        <v>0</v>
      </c>
      <c r="N492" t="n">
        <v>0</v>
      </c>
      <c r="O492" t="n">
        <v>0</v>
      </c>
      <c r="P492" t="n">
        <v>0</v>
      </c>
      <c r="Q492" t="n">
        <v>0</v>
      </c>
      <c r="R492" s="2" t="inlineStr"/>
    </row>
    <row r="493" ht="15" customHeight="1">
      <c r="A493" t="inlineStr">
        <is>
          <t>A 54205-2025</t>
        </is>
      </c>
      <c r="B493" s="1" t="n">
        <v>45964.58512731481</v>
      </c>
      <c r="C493" s="1" t="n">
        <v>45993</v>
      </c>
      <c r="D493" t="inlineStr">
        <is>
          <t>ÖREBRO LÄN</t>
        </is>
      </c>
      <c r="E493" t="inlineStr">
        <is>
          <t>ÖREBRO</t>
        </is>
      </c>
      <c r="G493" t="n">
        <v>24.3</v>
      </c>
      <c r="H493" t="n">
        <v>0</v>
      </c>
      <c r="I493" t="n">
        <v>0</v>
      </c>
      <c r="J493" t="n">
        <v>0</v>
      </c>
      <c r="K493" t="n">
        <v>0</v>
      </c>
      <c r="L493" t="n">
        <v>0</v>
      </c>
      <c r="M493" t="n">
        <v>0</v>
      </c>
      <c r="N493" t="n">
        <v>0</v>
      </c>
      <c r="O493" t="n">
        <v>0</v>
      </c>
      <c r="P493" t="n">
        <v>0</v>
      </c>
      <c r="Q493" t="n">
        <v>0</v>
      </c>
      <c r="R493" s="2" t="inlineStr"/>
    </row>
    <row r="494" ht="15" customHeight="1">
      <c r="A494" t="inlineStr">
        <is>
          <t>A 58219-2024</t>
        </is>
      </c>
      <c r="B494" s="1" t="n">
        <v>45632</v>
      </c>
      <c r="C494" s="1" t="n">
        <v>45993</v>
      </c>
      <c r="D494" t="inlineStr">
        <is>
          <t>ÖREBRO LÄN</t>
        </is>
      </c>
      <c r="E494" t="inlineStr">
        <is>
          <t>ÖREBRO</t>
        </is>
      </c>
      <c r="G494" t="n">
        <v>1.1</v>
      </c>
      <c r="H494" t="n">
        <v>0</v>
      </c>
      <c r="I494" t="n">
        <v>0</v>
      </c>
      <c r="J494" t="n">
        <v>0</v>
      </c>
      <c r="K494" t="n">
        <v>0</v>
      </c>
      <c r="L494" t="n">
        <v>0</v>
      </c>
      <c r="M494" t="n">
        <v>0</v>
      </c>
      <c r="N494" t="n">
        <v>0</v>
      </c>
      <c r="O494" t="n">
        <v>0</v>
      </c>
      <c r="P494" t="n">
        <v>0</v>
      </c>
      <c r="Q494" t="n">
        <v>0</v>
      </c>
      <c r="R494" s="2" t="inlineStr"/>
    </row>
    <row r="495" ht="15" customHeight="1">
      <c r="A495" t="inlineStr">
        <is>
          <t>A 5026-2022</t>
        </is>
      </c>
      <c r="B495" s="1" t="n">
        <v>44593.63974537037</v>
      </c>
      <c r="C495" s="1" t="n">
        <v>45993</v>
      </c>
      <c r="D495" t="inlineStr">
        <is>
          <t>ÖREBRO LÄN</t>
        </is>
      </c>
      <c r="E495" t="inlineStr">
        <is>
          <t>ÖREBRO</t>
        </is>
      </c>
      <c r="G495" t="n">
        <v>1.1</v>
      </c>
      <c r="H495" t="n">
        <v>0</v>
      </c>
      <c r="I495" t="n">
        <v>0</v>
      </c>
      <c r="J495" t="n">
        <v>0</v>
      </c>
      <c r="K495" t="n">
        <v>0</v>
      </c>
      <c r="L495" t="n">
        <v>0</v>
      </c>
      <c r="M495" t="n">
        <v>0</v>
      </c>
      <c r="N495" t="n">
        <v>0</v>
      </c>
      <c r="O495" t="n">
        <v>0</v>
      </c>
      <c r="P495" t="n">
        <v>0</v>
      </c>
      <c r="Q495" t="n">
        <v>0</v>
      </c>
      <c r="R495" s="2" t="inlineStr"/>
    </row>
    <row r="496" ht="15" customHeight="1">
      <c r="A496" t="inlineStr">
        <is>
          <t>A 42518-2021</t>
        </is>
      </c>
      <c r="B496" s="1" t="n">
        <v>44427.81496527778</v>
      </c>
      <c r="C496" s="1" t="n">
        <v>45993</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14545-2023</t>
        </is>
      </c>
      <c r="B497" s="1" t="n">
        <v>45013.34895833334</v>
      </c>
      <c r="C497" s="1" t="n">
        <v>45993</v>
      </c>
      <c r="D497" t="inlineStr">
        <is>
          <t>ÖREBRO LÄN</t>
        </is>
      </c>
      <c r="E497" t="inlineStr">
        <is>
          <t>ÖREBRO</t>
        </is>
      </c>
      <c r="G497" t="n">
        <v>2.5</v>
      </c>
      <c r="H497" t="n">
        <v>0</v>
      </c>
      <c r="I497" t="n">
        <v>0</v>
      </c>
      <c r="J497" t="n">
        <v>0</v>
      </c>
      <c r="K497" t="n">
        <v>0</v>
      </c>
      <c r="L497" t="n">
        <v>0</v>
      </c>
      <c r="M497" t="n">
        <v>0</v>
      </c>
      <c r="N497" t="n">
        <v>0</v>
      </c>
      <c r="O497" t="n">
        <v>0</v>
      </c>
      <c r="P497" t="n">
        <v>0</v>
      </c>
      <c r="Q497" t="n">
        <v>0</v>
      </c>
      <c r="R497" s="2" t="inlineStr"/>
    </row>
    <row r="498" ht="15" customHeight="1">
      <c r="A498" t="inlineStr">
        <is>
          <t>A 27112-2023</t>
        </is>
      </c>
      <c r="B498" s="1" t="n">
        <v>45096</v>
      </c>
      <c r="C498" s="1" t="n">
        <v>45993</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14524-2025</t>
        </is>
      </c>
      <c r="B499" s="1" t="n">
        <v>45741.64815972222</v>
      </c>
      <c r="C499" s="1" t="n">
        <v>45993</v>
      </c>
      <c r="D499" t="inlineStr">
        <is>
          <t>ÖREBRO LÄN</t>
        </is>
      </c>
      <c r="E499" t="inlineStr">
        <is>
          <t>ÖREBRO</t>
        </is>
      </c>
      <c r="G499" t="n">
        <v>2.8</v>
      </c>
      <c r="H499" t="n">
        <v>0</v>
      </c>
      <c r="I499" t="n">
        <v>0</v>
      </c>
      <c r="J499" t="n">
        <v>0</v>
      </c>
      <c r="K499" t="n">
        <v>0</v>
      </c>
      <c r="L499" t="n">
        <v>0</v>
      </c>
      <c r="M499" t="n">
        <v>0</v>
      </c>
      <c r="N499" t="n">
        <v>0</v>
      </c>
      <c r="O499" t="n">
        <v>0</v>
      </c>
      <c r="P499" t="n">
        <v>0</v>
      </c>
      <c r="Q499" t="n">
        <v>0</v>
      </c>
      <c r="R499" s="2" t="inlineStr"/>
    </row>
    <row r="500" ht="15" customHeight="1">
      <c r="A500" t="inlineStr">
        <is>
          <t>A 46834-2022</t>
        </is>
      </c>
      <c r="B500" s="1" t="n">
        <v>44851</v>
      </c>
      <c r="C500" s="1" t="n">
        <v>45993</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54917-2023</t>
        </is>
      </c>
      <c r="B501" s="1" t="n">
        <v>45229</v>
      </c>
      <c r="C501" s="1" t="n">
        <v>45993</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57638-2022</t>
        </is>
      </c>
      <c r="B502" s="1" t="n">
        <v>44897</v>
      </c>
      <c r="C502" s="1" t="n">
        <v>45993</v>
      </c>
      <c r="D502" t="inlineStr">
        <is>
          <t>ÖREBRO LÄN</t>
        </is>
      </c>
      <c r="E502" t="inlineStr">
        <is>
          <t>ÖREBRO</t>
        </is>
      </c>
      <c r="G502" t="n">
        <v>1.6</v>
      </c>
      <c r="H502" t="n">
        <v>0</v>
      </c>
      <c r="I502" t="n">
        <v>0</v>
      </c>
      <c r="J502" t="n">
        <v>0</v>
      </c>
      <c r="K502" t="n">
        <v>0</v>
      </c>
      <c r="L502" t="n">
        <v>0</v>
      </c>
      <c r="M502" t="n">
        <v>0</v>
      </c>
      <c r="N502" t="n">
        <v>0</v>
      </c>
      <c r="O502" t="n">
        <v>0</v>
      </c>
      <c r="P502" t="n">
        <v>0</v>
      </c>
      <c r="Q502" t="n">
        <v>0</v>
      </c>
      <c r="R502" s="2" t="inlineStr"/>
    </row>
    <row r="503" ht="15" customHeight="1">
      <c r="A503" t="inlineStr">
        <is>
          <t>A 72329-2021</t>
        </is>
      </c>
      <c r="B503" s="1" t="n">
        <v>44545.46072916667</v>
      </c>
      <c r="C503" s="1" t="n">
        <v>45993</v>
      </c>
      <c r="D503" t="inlineStr">
        <is>
          <t>ÖREBRO LÄN</t>
        </is>
      </c>
      <c r="E503" t="inlineStr">
        <is>
          <t>ÖREBRO</t>
        </is>
      </c>
      <c r="G503" t="n">
        <v>0.5</v>
      </c>
      <c r="H503" t="n">
        <v>0</v>
      </c>
      <c r="I503" t="n">
        <v>0</v>
      </c>
      <c r="J503" t="n">
        <v>0</v>
      </c>
      <c r="K503" t="n">
        <v>0</v>
      </c>
      <c r="L503" t="n">
        <v>0</v>
      </c>
      <c r="M503" t="n">
        <v>0</v>
      </c>
      <c r="N503" t="n">
        <v>0</v>
      </c>
      <c r="O503" t="n">
        <v>0</v>
      </c>
      <c r="P503" t="n">
        <v>0</v>
      </c>
      <c r="Q503" t="n">
        <v>0</v>
      </c>
      <c r="R503" s="2" t="inlineStr"/>
    </row>
    <row r="504" ht="15" customHeight="1">
      <c r="A504" t="inlineStr">
        <is>
          <t>A 43803-2023</t>
        </is>
      </c>
      <c r="B504" s="1" t="n">
        <v>45187</v>
      </c>
      <c r="C504" s="1" t="n">
        <v>45993</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15789-2023</t>
        </is>
      </c>
      <c r="B505" s="1" t="n">
        <v>45021.71539351852</v>
      </c>
      <c r="C505" s="1" t="n">
        <v>45993</v>
      </c>
      <c r="D505" t="inlineStr">
        <is>
          <t>ÖREBRO LÄN</t>
        </is>
      </c>
      <c r="E505" t="inlineStr">
        <is>
          <t>ÖREBRO</t>
        </is>
      </c>
      <c r="F505" t="inlineStr">
        <is>
          <t>Övriga Aktiebolag</t>
        </is>
      </c>
      <c r="G505" t="n">
        <v>3.7</v>
      </c>
      <c r="H505" t="n">
        <v>0</v>
      </c>
      <c r="I505" t="n">
        <v>0</v>
      </c>
      <c r="J505" t="n">
        <v>0</v>
      </c>
      <c r="K505" t="n">
        <v>0</v>
      </c>
      <c r="L505" t="n">
        <v>0</v>
      </c>
      <c r="M505" t="n">
        <v>0</v>
      </c>
      <c r="N505" t="n">
        <v>0</v>
      </c>
      <c r="O505" t="n">
        <v>0</v>
      </c>
      <c r="P505" t="n">
        <v>0</v>
      </c>
      <c r="Q505" t="n">
        <v>0</v>
      </c>
      <c r="R505" s="2" t="inlineStr"/>
    </row>
    <row r="506" ht="15" customHeight="1">
      <c r="A506" t="inlineStr">
        <is>
          <t>A 58539-2024</t>
        </is>
      </c>
      <c r="B506" s="1" t="n">
        <v>45635.45157407408</v>
      </c>
      <c r="C506" s="1" t="n">
        <v>45993</v>
      </c>
      <c r="D506" t="inlineStr">
        <is>
          <t>ÖREBRO LÄN</t>
        </is>
      </c>
      <c r="E506" t="inlineStr">
        <is>
          <t>ÖREBRO</t>
        </is>
      </c>
      <c r="F506" t="inlineStr">
        <is>
          <t>Sveaskog</t>
        </is>
      </c>
      <c r="G506" t="n">
        <v>4.1</v>
      </c>
      <c r="H506" t="n">
        <v>0</v>
      </c>
      <c r="I506" t="n">
        <v>0</v>
      </c>
      <c r="J506" t="n">
        <v>0</v>
      </c>
      <c r="K506" t="n">
        <v>0</v>
      </c>
      <c r="L506" t="n">
        <v>0</v>
      </c>
      <c r="M506" t="n">
        <v>0</v>
      </c>
      <c r="N506" t="n">
        <v>0</v>
      </c>
      <c r="O506" t="n">
        <v>0</v>
      </c>
      <c r="P506" t="n">
        <v>0</v>
      </c>
      <c r="Q506" t="n">
        <v>0</v>
      </c>
      <c r="R506" s="2" t="inlineStr"/>
    </row>
    <row r="507" ht="15" customHeight="1">
      <c r="A507" t="inlineStr">
        <is>
          <t>A 2152-2023</t>
        </is>
      </c>
      <c r="B507" s="1" t="n">
        <v>44941.55056712963</v>
      </c>
      <c r="C507" s="1" t="n">
        <v>45993</v>
      </c>
      <c r="D507" t="inlineStr">
        <is>
          <t>ÖREBRO LÄN</t>
        </is>
      </c>
      <c r="E507" t="inlineStr">
        <is>
          <t>ÖREBRO</t>
        </is>
      </c>
      <c r="G507" t="n">
        <v>8</v>
      </c>
      <c r="H507" t="n">
        <v>0</v>
      </c>
      <c r="I507" t="n">
        <v>0</v>
      </c>
      <c r="J507" t="n">
        <v>0</v>
      </c>
      <c r="K507" t="n">
        <v>0</v>
      </c>
      <c r="L507" t="n">
        <v>0</v>
      </c>
      <c r="M507" t="n">
        <v>0</v>
      </c>
      <c r="N507" t="n">
        <v>0</v>
      </c>
      <c r="O507" t="n">
        <v>0</v>
      </c>
      <c r="P507" t="n">
        <v>0</v>
      </c>
      <c r="Q507" t="n">
        <v>0</v>
      </c>
      <c r="R507" s="2" t="inlineStr"/>
    </row>
    <row r="508" ht="15" customHeight="1">
      <c r="A508" t="inlineStr">
        <is>
          <t>A 59757-2023</t>
        </is>
      </c>
      <c r="B508" s="1" t="n">
        <v>45257.40833333333</v>
      </c>
      <c r="C508" s="1" t="n">
        <v>45993</v>
      </c>
      <c r="D508" t="inlineStr">
        <is>
          <t>ÖREBRO LÄN</t>
        </is>
      </c>
      <c r="E508" t="inlineStr">
        <is>
          <t>ÖREBRO</t>
        </is>
      </c>
      <c r="G508" t="n">
        <v>1</v>
      </c>
      <c r="H508" t="n">
        <v>0</v>
      </c>
      <c r="I508" t="n">
        <v>0</v>
      </c>
      <c r="J508" t="n">
        <v>0</v>
      </c>
      <c r="K508" t="n">
        <v>0</v>
      </c>
      <c r="L508" t="n">
        <v>0</v>
      </c>
      <c r="M508" t="n">
        <v>0</v>
      </c>
      <c r="N508" t="n">
        <v>0</v>
      </c>
      <c r="O508" t="n">
        <v>0</v>
      </c>
      <c r="P508" t="n">
        <v>0</v>
      </c>
      <c r="Q508" t="n">
        <v>0</v>
      </c>
      <c r="R508" s="2" t="inlineStr"/>
    </row>
    <row r="509" ht="15" customHeight="1">
      <c r="A509" t="inlineStr">
        <is>
          <t>A 17869-2024</t>
        </is>
      </c>
      <c r="B509" s="1" t="n">
        <v>45419</v>
      </c>
      <c r="C509" s="1" t="n">
        <v>45993</v>
      </c>
      <c r="D509" t="inlineStr">
        <is>
          <t>ÖREBRO LÄN</t>
        </is>
      </c>
      <c r="E509" t="inlineStr">
        <is>
          <t>ÖREBRO</t>
        </is>
      </c>
      <c r="G509" t="n">
        <v>3.7</v>
      </c>
      <c r="H509" t="n">
        <v>0</v>
      </c>
      <c r="I509" t="n">
        <v>0</v>
      </c>
      <c r="J509" t="n">
        <v>0</v>
      </c>
      <c r="K509" t="n">
        <v>0</v>
      </c>
      <c r="L509" t="n">
        <v>0</v>
      </c>
      <c r="M509" t="n">
        <v>0</v>
      </c>
      <c r="N509" t="n">
        <v>0</v>
      </c>
      <c r="O509" t="n">
        <v>0</v>
      </c>
      <c r="P509" t="n">
        <v>0</v>
      </c>
      <c r="Q509" t="n">
        <v>0</v>
      </c>
      <c r="R509" s="2" t="inlineStr"/>
    </row>
    <row r="510" ht="15" customHeight="1">
      <c r="A510" t="inlineStr">
        <is>
          <t>A 54485-2025</t>
        </is>
      </c>
      <c r="B510" s="1" t="n">
        <v>45965.59295138889</v>
      </c>
      <c r="C510" s="1" t="n">
        <v>45993</v>
      </c>
      <c r="D510" t="inlineStr">
        <is>
          <t>ÖREBRO LÄN</t>
        </is>
      </c>
      <c r="E510" t="inlineStr">
        <is>
          <t>ÖREBRO</t>
        </is>
      </c>
      <c r="F510" t="inlineStr">
        <is>
          <t>Allmännings- och besparingsskogar</t>
        </is>
      </c>
      <c r="G510" t="n">
        <v>1.7</v>
      </c>
      <c r="H510" t="n">
        <v>0</v>
      </c>
      <c r="I510" t="n">
        <v>0</v>
      </c>
      <c r="J510" t="n">
        <v>0</v>
      </c>
      <c r="K510" t="n">
        <v>0</v>
      </c>
      <c r="L510" t="n">
        <v>0</v>
      </c>
      <c r="M510" t="n">
        <v>0</v>
      </c>
      <c r="N510" t="n">
        <v>0</v>
      </c>
      <c r="O510" t="n">
        <v>0</v>
      </c>
      <c r="P510" t="n">
        <v>0</v>
      </c>
      <c r="Q510" t="n">
        <v>0</v>
      </c>
      <c r="R510" s="2" t="inlineStr"/>
    </row>
    <row r="511" ht="15" customHeight="1">
      <c r="A511" t="inlineStr">
        <is>
          <t>A 55745-2023</t>
        </is>
      </c>
      <c r="B511" s="1" t="n">
        <v>45239.44811342593</v>
      </c>
      <c r="C511" s="1" t="n">
        <v>45993</v>
      </c>
      <c r="D511" t="inlineStr">
        <is>
          <t>ÖREBRO LÄN</t>
        </is>
      </c>
      <c r="E511" t="inlineStr">
        <is>
          <t>ÖREBRO</t>
        </is>
      </c>
      <c r="G511" t="n">
        <v>13.3</v>
      </c>
      <c r="H511" t="n">
        <v>0</v>
      </c>
      <c r="I511" t="n">
        <v>0</v>
      </c>
      <c r="J511" t="n">
        <v>0</v>
      </c>
      <c r="K511" t="n">
        <v>0</v>
      </c>
      <c r="L511" t="n">
        <v>0</v>
      </c>
      <c r="M511" t="n">
        <v>0</v>
      </c>
      <c r="N511" t="n">
        <v>0</v>
      </c>
      <c r="O511" t="n">
        <v>0</v>
      </c>
      <c r="P511" t="n">
        <v>0</v>
      </c>
      <c r="Q511" t="n">
        <v>0</v>
      </c>
      <c r="R511" s="2" t="inlineStr"/>
    </row>
    <row r="512" ht="15" customHeight="1">
      <c r="A512" t="inlineStr">
        <is>
          <t>A 71272-2021</t>
        </is>
      </c>
      <c r="B512" s="1" t="n">
        <v>44539.61571759259</v>
      </c>
      <c r="C512" s="1" t="n">
        <v>45993</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4557-2023</t>
        </is>
      </c>
      <c r="B513" s="1" t="n">
        <v>44956.6655787037</v>
      </c>
      <c r="C513" s="1" t="n">
        <v>45993</v>
      </c>
      <c r="D513" t="inlineStr">
        <is>
          <t>ÖREBRO LÄN</t>
        </is>
      </c>
      <c r="E513" t="inlineStr">
        <is>
          <t>ÖREBRO</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60100-2022</t>
        </is>
      </c>
      <c r="B514" s="1" t="n">
        <v>44902</v>
      </c>
      <c r="C514" s="1" t="n">
        <v>45993</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17465-2023</t>
        </is>
      </c>
      <c r="B515" s="1" t="n">
        <v>45036</v>
      </c>
      <c r="C515" s="1" t="n">
        <v>45993</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71285-2021</t>
        </is>
      </c>
      <c r="B516" s="1" t="n">
        <v>44539.62236111111</v>
      </c>
      <c r="C516" s="1" t="n">
        <v>45993</v>
      </c>
      <c r="D516" t="inlineStr">
        <is>
          <t>ÖREBRO LÄN</t>
        </is>
      </c>
      <c r="E516" t="inlineStr">
        <is>
          <t>ÖREBRO</t>
        </is>
      </c>
      <c r="G516" t="n">
        <v>0.8</v>
      </c>
      <c r="H516" t="n">
        <v>0</v>
      </c>
      <c r="I516" t="n">
        <v>0</v>
      </c>
      <c r="J516" t="n">
        <v>0</v>
      </c>
      <c r="K516" t="n">
        <v>0</v>
      </c>
      <c r="L516" t="n">
        <v>0</v>
      </c>
      <c r="M516" t="n">
        <v>0</v>
      </c>
      <c r="N516" t="n">
        <v>0</v>
      </c>
      <c r="O516" t="n">
        <v>0</v>
      </c>
      <c r="P516" t="n">
        <v>0</v>
      </c>
      <c r="Q516" t="n">
        <v>0</v>
      </c>
      <c r="R516" s="2" t="inlineStr"/>
    </row>
    <row r="517" ht="15" customHeight="1">
      <c r="A517" t="inlineStr">
        <is>
          <t>A 6213-2021</t>
        </is>
      </c>
      <c r="B517" s="1" t="n">
        <v>44232</v>
      </c>
      <c r="C517" s="1" t="n">
        <v>45993</v>
      </c>
      <c r="D517" t="inlineStr">
        <is>
          <t>ÖREBRO LÄN</t>
        </is>
      </c>
      <c r="E517" t="inlineStr">
        <is>
          <t>ÖREBRO</t>
        </is>
      </c>
      <c r="G517" t="n">
        <v>4</v>
      </c>
      <c r="H517" t="n">
        <v>0</v>
      </c>
      <c r="I517" t="n">
        <v>0</v>
      </c>
      <c r="J517" t="n">
        <v>0</v>
      </c>
      <c r="K517" t="n">
        <v>0</v>
      </c>
      <c r="L517" t="n">
        <v>0</v>
      </c>
      <c r="M517" t="n">
        <v>0</v>
      </c>
      <c r="N517" t="n">
        <v>0</v>
      </c>
      <c r="O517" t="n">
        <v>0</v>
      </c>
      <c r="P517" t="n">
        <v>0</v>
      </c>
      <c r="Q517" t="n">
        <v>0</v>
      </c>
      <c r="R517" s="2" t="inlineStr"/>
    </row>
    <row r="518" ht="15" customHeight="1">
      <c r="A518" t="inlineStr">
        <is>
          <t>A 52016-2024</t>
        </is>
      </c>
      <c r="B518" s="1" t="n">
        <v>45607.81917824074</v>
      </c>
      <c r="C518" s="1" t="n">
        <v>45993</v>
      </c>
      <c r="D518" t="inlineStr">
        <is>
          <t>ÖREBRO LÄN</t>
        </is>
      </c>
      <c r="E518" t="inlineStr">
        <is>
          <t>ÖREBRO</t>
        </is>
      </c>
      <c r="G518" t="n">
        <v>1.9</v>
      </c>
      <c r="H518" t="n">
        <v>0</v>
      </c>
      <c r="I518" t="n">
        <v>0</v>
      </c>
      <c r="J518" t="n">
        <v>0</v>
      </c>
      <c r="K518" t="n">
        <v>0</v>
      </c>
      <c r="L518" t="n">
        <v>0</v>
      </c>
      <c r="M518" t="n">
        <v>0</v>
      </c>
      <c r="N518" t="n">
        <v>0</v>
      </c>
      <c r="O518" t="n">
        <v>0</v>
      </c>
      <c r="P518" t="n">
        <v>0</v>
      </c>
      <c r="Q518" t="n">
        <v>0</v>
      </c>
      <c r="R518" s="2" t="inlineStr"/>
    </row>
    <row r="519" ht="15" customHeight="1">
      <c r="A519" t="inlineStr">
        <is>
          <t>A 52477-2024</t>
        </is>
      </c>
      <c r="B519" s="1" t="n">
        <v>45609</v>
      </c>
      <c r="C519" s="1" t="n">
        <v>45993</v>
      </c>
      <c r="D519" t="inlineStr">
        <is>
          <t>ÖREBRO LÄN</t>
        </is>
      </c>
      <c r="E519" t="inlineStr">
        <is>
          <t>ÖREBRO</t>
        </is>
      </c>
      <c r="G519" t="n">
        <v>0.7</v>
      </c>
      <c r="H519" t="n">
        <v>0</v>
      </c>
      <c r="I519" t="n">
        <v>0</v>
      </c>
      <c r="J519" t="n">
        <v>0</v>
      </c>
      <c r="K519" t="n">
        <v>0</v>
      </c>
      <c r="L519" t="n">
        <v>0</v>
      </c>
      <c r="M519" t="n">
        <v>0</v>
      </c>
      <c r="N519" t="n">
        <v>0</v>
      </c>
      <c r="O519" t="n">
        <v>0</v>
      </c>
      <c r="P519" t="n">
        <v>0</v>
      </c>
      <c r="Q519" t="n">
        <v>0</v>
      </c>
      <c r="R519" s="2" t="inlineStr"/>
    </row>
    <row r="520" ht="15" customHeight="1">
      <c r="A520" t="inlineStr">
        <is>
          <t>A 53558-2023</t>
        </is>
      </c>
      <c r="B520" s="1" t="n">
        <v>45230.47266203703</v>
      </c>
      <c r="C520" s="1" t="n">
        <v>45993</v>
      </c>
      <c r="D520" t="inlineStr">
        <is>
          <t>ÖREBRO LÄN</t>
        </is>
      </c>
      <c r="E520" t="inlineStr">
        <is>
          <t>ÖREBRO</t>
        </is>
      </c>
      <c r="F520" t="inlineStr">
        <is>
          <t>Övriga Aktiebolag</t>
        </is>
      </c>
      <c r="G520" t="n">
        <v>4.7</v>
      </c>
      <c r="H520" t="n">
        <v>0</v>
      </c>
      <c r="I520" t="n">
        <v>0</v>
      </c>
      <c r="J520" t="n">
        <v>0</v>
      </c>
      <c r="K520" t="n">
        <v>0</v>
      </c>
      <c r="L520" t="n">
        <v>0</v>
      </c>
      <c r="M520" t="n">
        <v>0</v>
      </c>
      <c r="N520" t="n">
        <v>0</v>
      </c>
      <c r="O520" t="n">
        <v>0</v>
      </c>
      <c r="P520" t="n">
        <v>0</v>
      </c>
      <c r="Q520" t="n">
        <v>0</v>
      </c>
      <c r="R520" s="2" t="inlineStr"/>
    </row>
    <row r="521" ht="15" customHeight="1">
      <c r="A521" t="inlineStr">
        <is>
          <t>A 55003-2025</t>
        </is>
      </c>
      <c r="B521" s="1" t="n">
        <v>45967</v>
      </c>
      <c r="C521" s="1" t="n">
        <v>45993</v>
      </c>
      <c r="D521" t="inlineStr">
        <is>
          <t>ÖREBRO LÄN</t>
        </is>
      </c>
      <c r="E521" t="inlineStr">
        <is>
          <t>ÖREBRO</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35843-2022</t>
        </is>
      </c>
      <c r="B522" s="1" t="n">
        <v>44802</v>
      </c>
      <c r="C522" s="1" t="n">
        <v>45993</v>
      </c>
      <c r="D522" t="inlineStr">
        <is>
          <t>ÖREBRO LÄN</t>
        </is>
      </c>
      <c r="E522" t="inlineStr">
        <is>
          <t>ÖREBRO</t>
        </is>
      </c>
      <c r="G522" t="n">
        <v>2.4</v>
      </c>
      <c r="H522" t="n">
        <v>0</v>
      </c>
      <c r="I522" t="n">
        <v>0</v>
      </c>
      <c r="J522" t="n">
        <v>0</v>
      </c>
      <c r="K522" t="n">
        <v>0</v>
      </c>
      <c r="L522" t="n">
        <v>0</v>
      </c>
      <c r="M522" t="n">
        <v>0</v>
      </c>
      <c r="N522" t="n">
        <v>0</v>
      </c>
      <c r="O522" t="n">
        <v>0</v>
      </c>
      <c r="P522" t="n">
        <v>0</v>
      </c>
      <c r="Q522" t="n">
        <v>0</v>
      </c>
      <c r="R522" s="2" t="inlineStr"/>
    </row>
    <row r="523" ht="15" customHeight="1">
      <c r="A523" t="inlineStr">
        <is>
          <t>A 60289-2023</t>
        </is>
      </c>
      <c r="B523" s="1" t="n">
        <v>45257</v>
      </c>
      <c r="C523" s="1" t="n">
        <v>45993</v>
      </c>
      <c r="D523" t="inlineStr">
        <is>
          <t>ÖREBRO LÄN</t>
        </is>
      </c>
      <c r="E523" t="inlineStr">
        <is>
          <t>ÖREBRO</t>
        </is>
      </c>
      <c r="G523" t="n">
        <v>10.9</v>
      </c>
      <c r="H523" t="n">
        <v>0</v>
      </c>
      <c r="I523" t="n">
        <v>0</v>
      </c>
      <c r="J523" t="n">
        <v>0</v>
      </c>
      <c r="K523" t="n">
        <v>0</v>
      </c>
      <c r="L523" t="n">
        <v>0</v>
      </c>
      <c r="M523" t="n">
        <v>0</v>
      </c>
      <c r="N523" t="n">
        <v>0</v>
      </c>
      <c r="O523" t="n">
        <v>0</v>
      </c>
      <c r="P523" t="n">
        <v>0</v>
      </c>
      <c r="Q523" t="n">
        <v>0</v>
      </c>
      <c r="R523" s="2" t="inlineStr"/>
    </row>
    <row r="524" ht="15" customHeight="1">
      <c r="A524" t="inlineStr">
        <is>
          <t>A 12099-2023</t>
        </is>
      </c>
      <c r="B524" s="1" t="n">
        <v>44998.37043981482</v>
      </c>
      <c r="C524" s="1" t="n">
        <v>45993</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35819-2024</t>
        </is>
      </c>
      <c r="B525" s="1" t="n">
        <v>45532</v>
      </c>
      <c r="C525" s="1" t="n">
        <v>45993</v>
      </c>
      <c r="D525" t="inlineStr">
        <is>
          <t>ÖREBRO LÄN</t>
        </is>
      </c>
      <c r="E525" t="inlineStr">
        <is>
          <t>ÖREBRO</t>
        </is>
      </c>
      <c r="G525" t="n">
        <v>6.4</v>
      </c>
      <c r="H525" t="n">
        <v>0</v>
      </c>
      <c r="I525" t="n">
        <v>0</v>
      </c>
      <c r="J525" t="n">
        <v>0</v>
      </c>
      <c r="K525" t="n">
        <v>0</v>
      </c>
      <c r="L525" t="n">
        <v>0</v>
      </c>
      <c r="M525" t="n">
        <v>0</v>
      </c>
      <c r="N525" t="n">
        <v>0</v>
      </c>
      <c r="O525" t="n">
        <v>0</v>
      </c>
      <c r="P525" t="n">
        <v>0</v>
      </c>
      <c r="Q525" t="n">
        <v>0</v>
      </c>
      <c r="R525" s="2" t="inlineStr"/>
    </row>
    <row r="526" ht="15" customHeight="1">
      <c r="A526" t="inlineStr">
        <is>
          <t>A 32076-2023</t>
        </is>
      </c>
      <c r="B526" s="1" t="n">
        <v>45119.58324074074</v>
      </c>
      <c r="C526" s="1" t="n">
        <v>45993</v>
      </c>
      <c r="D526" t="inlineStr">
        <is>
          <t>ÖREBRO LÄN</t>
        </is>
      </c>
      <c r="E526" t="inlineStr">
        <is>
          <t>ÖREBRO</t>
        </is>
      </c>
      <c r="G526" t="n">
        <v>1.1</v>
      </c>
      <c r="H526" t="n">
        <v>0</v>
      </c>
      <c r="I526" t="n">
        <v>0</v>
      </c>
      <c r="J526" t="n">
        <v>0</v>
      </c>
      <c r="K526" t="n">
        <v>0</v>
      </c>
      <c r="L526" t="n">
        <v>0</v>
      </c>
      <c r="M526" t="n">
        <v>0</v>
      </c>
      <c r="N526" t="n">
        <v>0</v>
      </c>
      <c r="O526" t="n">
        <v>0</v>
      </c>
      <c r="P526" t="n">
        <v>0</v>
      </c>
      <c r="Q526" t="n">
        <v>0</v>
      </c>
      <c r="R526" s="2" t="inlineStr"/>
    </row>
    <row r="527" ht="15" customHeight="1">
      <c r="A527" t="inlineStr">
        <is>
          <t>A 51373-2023</t>
        </is>
      </c>
      <c r="B527" s="1" t="n">
        <v>45213</v>
      </c>
      <c r="C527" s="1" t="n">
        <v>45993</v>
      </c>
      <c r="D527" t="inlineStr">
        <is>
          <t>ÖREBRO LÄN</t>
        </is>
      </c>
      <c r="E527" t="inlineStr">
        <is>
          <t>ÖREBRO</t>
        </is>
      </c>
      <c r="G527" t="n">
        <v>5.9</v>
      </c>
      <c r="H527" t="n">
        <v>0</v>
      </c>
      <c r="I527" t="n">
        <v>0</v>
      </c>
      <c r="J527" t="n">
        <v>0</v>
      </c>
      <c r="K527" t="n">
        <v>0</v>
      </c>
      <c r="L527" t="n">
        <v>0</v>
      </c>
      <c r="M527" t="n">
        <v>0</v>
      </c>
      <c r="N527" t="n">
        <v>0</v>
      </c>
      <c r="O527" t="n">
        <v>0</v>
      </c>
      <c r="P527" t="n">
        <v>0</v>
      </c>
      <c r="Q527" t="n">
        <v>0</v>
      </c>
      <c r="R527" s="2" t="inlineStr"/>
    </row>
    <row r="528" ht="15" customHeight="1">
      <c r="A528" t="inlineStr">
        <is>
          <t>A 1257-2022</t>
        </is>
      </c>
      <c r="B528" s="1" t="n">
        <v>44572</v>
      </c>
      <c r="C528" s="1" t="n">
        <v>45993</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40656-2023</t>
        </is>
      </c>
      <c r="B529" s="1" t="n">
        <v>45170</v>
      </c>
      <c r="C529" s="1" t="n">
        <v>45993</v>
      </c>
      <c r="D529" t="inlineStr">
        <is>
          <t>ÖREBRO LÄN</t>
        </is>
      </c>
      <c r="E529" t="inlineStr">
        <is>
          <t>ÖREBRO</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764-2024</t>
        </is>
      </c>
      <c r="B530" s="1" t="n">
        <v>45300.51512731481</v>
      </c>
      <c r="C530" s="1" t="n">
        <v>45993</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22677-2022</t>
        </is>
      </c>
      <c r="B531" s="1" t="n">
        <v>44714</v>
      </c>
      <c r="C531" s="1" t="n">
        <v>45993</v>
      </c>
      <c r="D531" t="inlineStr">
        <is>
          <t>ÖREBRO LÄN</t>
        </is>
      </c>
      <c r="E531" t="inlineStr">
        <is>
          <t>ÖREBRO</t>
        </is>
      </c>
      <c r="G531" t="n">
        <v>2.3</v>
      </c>
      <c r="H531" t="n">
        <v>0</v>
      </c>
      <c r="I531" t="n">
        <v>0</v>
      </c>
      <c r="J531" t="n">
        <v>0</v>
      </c>
      <c r="K531" t="n">
        <v>0</v>
      </c>
      <c r="L531" t="n">
        <v>0</v>
      </c>
      <c r="M531" t="n">
        <v>0</v>
      </c>
      <c r="N531" t="n">
        <v>0</v>
      </c>
      <c r="O531" t="n">
        <v>0</v>
      </c>
      <c r="P531" t="n">
        <v>0</v>
      </c>
      <c r="Q531" t="n">
        <v>0</v>
      </c>
      <c r="R531" s="2" t="inlineStr"/>
    </row>
    <row r="532" ht="15" customHeight="1">
      <c r="A532" t="inlineStr">
        <is>
          <t>A 55748-2025</t>
        </is>
      </c>
      <c r="B532" s="1" t="n">
        <v>45972.57893518519</v>
      </c>
      <c r="C532" s="1" t="n">
        <v>45993</v>
      </c>
      <c r="D532" t="inlineStr">
        <is>
          <t>ÖREBRO LÄN</t>
        </is>
      </c>
      <c r="E532" t="inlineStr">
        <is>
          <t>ÖREBRO</t>
        </is>
      </c>
      <c r="G532" t="n">
        <v>1.5</v>
      </c>
      <c r="H532" t="n">
        <v>0</v>
      </c>
      <c r="I532" t="n">
        <v>0</v>
      </c>
      <c r="J532" t="n">
        <v>0</v>
      </c>
      <c r="K532" t="n">
        <v>0</v>
      </c>
      <c r="L532" t="n">
        <v>0</v>
      </c>
      <c r="M532" t="n">
        <v>0</v>
      </c>
      <c r="N532" t="n">
        <v>0</v>
      </c>
      <c r="O532" t="n">
        <v>0</v>
      </c>
      <c r="P532" t="n">
        <v>0</v>
      </c>
      <c r="Q532" t="n">
        <v>0</v>
      </c>
      <c r="R532" s="2" t="inlineStr"/>
    </row>
    <row r="533" ht="15" customHeight="1">
      <c r="A533" t="inlineStr">
        <is>
          <t>A 71288-2021</t>
        </is>
      </c>
      <c r="B533" s="1" t="n">
        <v>44539.62481481482</v>
      </c>
      <c r="C533" s="1" t="n">
        <v>45993</v>
      </c>
      <c r="D533" t="inlineStr">
        <is>
          <t>ÖREBRO LÄN</t>
        </is>
      </c>
      <c r="E533" t="inlineStr">
        <is>
          <t>ÖREBRO</t>
        </is>
      </c>
      <c r="G533" t="n">
        <v>3.9</v>
      </c>
      <c r="H533" t="n">
        <v>0</v>
      </c>
      <c r="I533" t="n">
        <v>0</v>
      </c>
      <c r="J533" t="n">
        <v>0</v>
      </c>
      <c r="K533" t="n">
        <v>0</v>
      </c>
      <c r="L533" t="n">
        <v>0</v>
      </c>
      <c r="M533" t="n">
        <v>0</v>
      </c>
      <c r="N533" t="n">
        <v>0</v>
      </c>
      <c r="O533" t="n">
        <v>0</v>
      </c>
      <c r="P533" t="n">
        <v>0</v>
      </c>
      <c r="Q533" t="n">
        <v>0</v>
      </c>
      <c r="R533" s="2" t="inlineStr"/>
    </row>
    <row r="534" ht="15" customHeight="1">
      <c r="A534" t="inlineStr">
        <is>
          <t>A 10830-2023</t>
        </is>
      </c>
      <c r="B534" s="1" t="n">
        <v>44990.89752314815</v>
      </c>
      <c r="C534" s="1" t="n">
        <v>45993</v>
      </c>
      <c r="D534" t="inlineStr">
        <is>
          <t>ÖREBRO LÄN</t>
        </is>
      </c>
      <c r="E534" t="inlineStr">
        <is>
          <t>ÖREBRO</t>
        </is>
      </c>
      <c r="G534" t="n">
        <v>2</v>
      </c>
      <c r="H534" t="n">
        <v>0</v>
      </c>
      <c r="I534" t="n">
        <v>0</v>
      </c>
      <c r="J534" t="n">
        <v>0</v>
      </c>
      <c r="K534" t="n">
        <v>0</v>
      </c>
      <c r="L534" t="n">
        <v>0</v>
      </c>
      <c r="M534" t="n">
        <v>0</v>
      </c>
      <c r="N534" t="n">
        <v>0</v>
      </c>
      <c r="O534" t="n">
        <v>0</v>
      </c>
      <c r="P534" t="n">
        <v>0</v>
      </c>
      <c r="Q534" t="n">
        <v>0</v>
      </c>
      <c r="R534" s="2" t="inlineStr"/>
    </row>
    <row r="535" ht="15" customHeight="1">
      <c r="A535" t="inlineStr">
        <is>
          <t>A 7692-2023</t>
        </is>
      </c>
      <c r="B535" s="1" t="n">
        <v>44972.7762962963</v>
      </c>
      <c r="C535" s="1" t="n">
        <v>45993</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31240-2023</t>
        </is>
      </c>
      <c r="B536" s="1" t="n">
        <v>45114</v>
      </c>
      <c r="C536" s="1" t="n">
        <v>45993</v>
      </c>
      <c r="D536" t="inlineStr">
        <is>
          <t>ÖREBRO LÄN</t>
        </is>
      </c>
      <c r="E536" t="inlineStr">
        <is>
          <t>ÖREBRO</t>
        </is>
      </c>
      <c r="F536" t="inlineStr">
        <is>
          <t>Allmännings- och besparingsskogar</t>
        </is>
      </c>
      <c r="G536" t="n">
        <v>6.2</v>
      </c>
      <c r="H536" t="n">
        <v>0</v>
      </c>
      <c r="I536" t="n">
        <v>0</v>
      </c>
      <c r="J536" t="n">
        <v>0</v>
      </c>
      <c r="K536" t="n">
        <v>0</v>
      </c>
      <c r="L536" t="n">
        <v>0</v>
      </c>
      <c r="M536" t="n">
        <v>0</v>
      </c>
      <c r="N536" t="n">
        <v>0</v>
      </c>
      <c r="O536" t="n">
        <v>0</v>
      </c>
      <c r="P536" t="n">
        <v>0</v>
      </c>
      <c r="Q536" t="n">
        <v>0</v>
      </c>
      <c r="R536" s="2" t="inlineStr"/>
    </row>
    <row r="537" ht="15" customHeight="1">
      <c r="A537" t="inlineStr">
        <is>
          <t>A 55750-2025</t>
        </is>
      </c>
      <c r="B537" s="1" t="n">
        <v>45972.58171296296</v>
      </c>
      <c r="C537" s="1" t="n">
        <v>45993</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58644-2023</t>
        </is>
      </c>
      <c r="B538" s="1" t="n">
        <v>45251.58716435185</v>
      </c>
      <c r="C538" s="1" t="n">
        <v>45993</v>
      </c>
      <c r="D538" t="inlineStr">
        <is>
          <t>ÖREBRO LÄN</t>
        </is>
      </c>
      <c r="E538" t="inlineStr">
        <is>
          <t>ÖREBRO</t>
        </is>
      </c>
      <c r="F538" t="inlineStr">
        <is>
          <t>Övriga Aktiebolag</t>
        </is>
      </c>
      <c r="G538" t="n">
        <v>1.9</v>
      </c>
      <c r="H538" t="n">
        <v>0</v>
      </c>
      <c r="I538" t="n">
        <v>0</v>
      </c>
      <c r="J538" t="n">
        <v>0</v>
      </c>
      <c r="K538" t="n">
        <v>0</v>
      </c>
      <c r="L538" t="n">
        <v>0</v>
      </c>
      <c r="M538" t="n">
        <v>0</v>
      </c>
      <c r="N538" t="n">
        <v>0</v>
      </c>
      <c r="O538" t="n">
        <v>0</v>
      </c>
      <c r="P538" t="n">
        <v>0</v>
      </c>
      <c r="Q538" t="n">
        <v>0</v>
      </c>
      <c r="R538" s="2" t="inlineStr"/>
    </row>
    <row r="539" ht="15" customHeight="1">
      <c r="A539" t="inlineStr">
        <is>
          <t>A 50026-2024</t>
        </is>
      </c>
      <c r="B539" s="1" t="n">
        <v>45599.60541666667</v>
      </c>
      <c r="C539" s="1" t="n">
        <v>45993</v>
      </c>
      <c r="D539" t="inlineStr">
        <is>
          <t>ÖREBRO LÄN</t>
        </is>
      </c>
      <c r="E539" t="inlineStr">
        <is>
          <t>ÖREBRO</t>
        </is>
      </c>
      <c r="G539" t="n">
        <v>2.2</v>
      </c>
      <c r="H539" t="n">
        <v>0</v>
      </c>
      <c r="I539" t="n">
        <v>0</v>
      </c>
      <c r="J539" t="n">
        <v>0</v>
      </c>
      <c r="K539" t="n">
        <v>0</v>
      </c>
      <c r="L539" t="n">
        <v>0</v>
      </c>
      <c r="M539" t="n">
        <v>0</v>
      </c>
      <c r="N539" t="n">
        <v>0</v>
      </c>
      <c r="O539" t="n">
        <v>0</v>
      </c>
      <c r="P539" t="n">
        <v>0</v>
      </c>
      <c r="Q539" t="n">
        <v>0</v>
      </c>
      <c r="R539" s="2" t="inlineStr"/>
    </row>
    <row r="540" ht="15" customHeight="1">
      <c r="A540" t="inlineStr">
        <is>
          <t>A 21338-2025</t>
        </is>
      </c>
      <c r="B540" s="1" t="n">
        <v>45780</v>
      </c>
      <c r="C540" s="1" t="n">
        <v>45993</v>
      </c>
      <c r="D540" t="inlineStr">
        <is>
          <t>ÖREBRO LÄN</t>
        </is>
      </c>
      <c r="E540" t="inlineStr">
        <is>
          <t>ÖREBRO</t>
        </is>
      </c>
      <c r="G540" t="n">
        <v>3.2</v>
      </c>
      <c r="H540" t="n">
        <v>0</v>
      </c>
      <c r="I540" t="n">
        <v>0</v>
      </c>
      <c r="J540" t="n">
        <v>0</v>
      </c>
      <c r="K540" t="n">
        <v>0</v>
      </c>
      <c r="L540" t="n">
        <v>0</v>
      </c>
      <c r="M540" t="n">
        <v>0</v>
      </c>
      <c r="N540" t="n">
        <v>0</v>
      </c>
      <c r="O540" t="n">
        <v>0</v>
      </c>
      <c r="P540" t="n">
        <v>0</v>
      </c>
      <c r="Q540" t="n">
        <v>0</v>
      </c>
      <c r="R540" s="2" t="inlineStr"/>
    </row>
    <row r="541" ht="15" customHeight="1">
      <c r="A541" t="inlineStr">
        <is>
          <t>A 55879-2025</t>
        </is>
      </c>
      <c r="B541" s="1" t="n">
        <v>45973.36508101852</v>
      </c>
      <c r="C541" s="1" t="n">
        <v>45993</v>
      </c>
      <c r="D541" t="inlineStr">
        <is>
          <t>ÖREBRO LÄN</t>
        </is>
      </c>
      <c r="E541" t="inlineStr">
        <is>
          <t>ÖREBRO</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45993</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45993</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45993</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45993</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22755-2025</t>
        </is>
      </c>
      <c r="B546" s="1" t="n">
        <v>45789.61872685186</v>
      </c>
      <c r="C546" s="1" t="n">
        <v>45993</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44199-2024</t>
        </is>
      </c>
      <c r="B547" s="1" t="n">
        <v>45573</v>
      </c>
      <c r="C547" s="1" t="n">
        <v>45993</v>
      </c>
      <c r="D547" t="inlineStr">
        <is>
          <t>ÖREBRO LÄN</t>
        </is>
      </c>
      <c r="E547" t="inlineStr">
        <is>
          <t>ÖREBRO</t>
        </is>
      </c>
      <c r="G547" t="n">
        <v>4.3</v>
      </c>
      <c r="H547" t="n">
        <v>0</v>
      </c>
      <c r="I547" t="n">
        <v>0</v>
      </c>
      <c r="J547" t="n">
        <v>0</v>
      </c>
      <c r="K547" t="n">
        <v>0</v>
      </c>
      <c r="L547" t="n">
        <v>0</v>
      </c>
      <c r="M547" t="n">
        <v>0</v>
      </c>
      <c r="N547" t="n">
        <v>0</v>
      </c>
      <c r="O547" t="n">
        <v>0</v>
      </c>
      <c r="P547" t="n">
        <v>0</v>
      </c>
      <c r="Q547" t="n">
        <v>0</v>
      </c>
      <c r="R547" s="2" t="inlineStr"/>
    </row>
    <row r="548" ht="15" customHeight="1">
      <c r="A548" t="inlineStr">
        <is>
          <t>A 34336-2024</t>
        </is>
      </c>
      <c r="B548" s="1" t="n">
        <v>45524.94774305556</v>
      </c>
      <c r="C548" s="1" t="n">
        <v>45993</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26443-2024</t>
        </is>
      </c>
      <c r="B549" s="1" t="n">
        <v>45469.49901620371</v>
      </c>
      <c r="C549" s="1" t="n">
        <v>45993</v>
      </c>
      <c r="D549" t="inlineStr">
        <is>
          <t>ÖREBRO LÄN</t>
        </is>
      </c>
      <c r="E549" t="inlineStr">
        <is>
          <t>ÖREBRO</t>
        </is>
      </c>
      <c r="G549" t="n">
        <v>5.7</v>
      </c>
      <c r="H549" t="n">
        <v>0</v>
      </c>
      <c r="I549" t="n">
        <v>0</v>
      </c>
      <c r="J549" t="n">
        <v>0</v>
      </c>
      <c r="K549" t="n">
        <v>0</v>
      </c>
      <c r="L549" t="n">
        <v>0</v>
      </c>
      <c r="M549" t="n">
        <v>0</v>
      </c>
      <c r="N549" t="n">
        <v>0</v>
      </c>
      <c r="O549" t="n">
        <v>0</v>
      </c>
      <c r="P549" t="n">
        <v>0</v>
      </c>
      <c r="Q549" t="n">
        <v>0</v>
      </c>
      <c r="R549" s="2" t="inlineStr"/>
    </row>
    <row r="550" ht="15" customHeight="1">
      <c r="A550" t="inlineStr">
        <is>
          <t>A 35477-2024</t>
        </is>
      </c>
      <c r="B550" s="1" t="n">
        <v>45531</v>
      </c>
      <c r="C550" s="1" t="n">
        <v>45993</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44284-2022</t>
        </is>
      </c>
      <c r="B551" s="1" t="n">
        <v>44839.59194444444</v>
      </c>
      <c r="C551" s="1" t="n">
        <v>45993</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55888-2025</t>
        </is>
      </c>
      <c r="B552" s="1" t="n">
        <v>45973.37163194444</v>
      </c>
      <c r="C552" s="1" t="n">
        <v>45993</v>
      </c>
      <c r="D552" t="inlineStr">
        <is>
          <t>ÖREBRO LÄN</t>
        </is>
      </c>
      <c r="E552" t="inlineStr">
        <is>
          <t>ÖREBRO</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14544-2023</t>
        </is>
      </c>
      <c r="B553" s="1" t="n">
        <v>45013</v>
      </c>
      <c r="C553" s="1" t="n">
        <v>45993</v>
      </c>
      <c r="D553" t="inlineStr">
        <is>
          <t>ÖREBRO LÄN</t>
        </is>
      </c>
      <c r="E553" t="inlineStr">
        <is>
          <t>ÖREBRO</t>
        </is>
      </c>
      <c r="G553" t="n">
        <v>0.5</v>
      </c>
      <c r="H553" t="n">
        <v>0</v>
      </c>
      <c r="I553" t="n">
        <v>0</v>
      </c>
      <c r="J553" t="n">
        <v>0</v>
      </c>
      <c r="K553" t="n">
        <v>0</v>
      </c>
      <c r="L553" t="n">
        <v>0</v>
      </c>
      <c r="M553" t="n">
        <v>0</v>
      </c>
      <c r="N553" t="n">
        <v>0</v>
      </c>
      <c r="O553" t="n">
        <v>0</v>
      </c>
      <c r="P553" t="n">
        <v>0</v>
      </c>
      <c r="Q553" t="n">
        <v>0</v>
      </c>
      <c r="R553" s="2" t="inlineStr"/>
    </row>
    <row r="554" ht="15" customHeight="1">
      <c r="A554" t="inlineStr">
        <is>
          <t>A 22719-2025</t>
        </is>
      </c>
      <c r="B554" s="1" t="n">
        <v>45789</v>
      </c>
      <c r="C554" s="1" t="n">
        <v>45993</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30316-2024</t>
        </is>
      </c>
      <c r="B555" s="1" t="n">
        <v>45490</v>
      </c>
      <c r="C555" s="1" t="n">
        <v>45993</v>
      </c>
      <c r="D555" t="inlineStr">
        <is>
          <t>ÖREBRO LÄN</t>
        </is>
      </c>
      <c r="E555" t="inlineStr">
        <is>
          <t>ÖREBRO</t>
        </is>
      </c>
      <c r="G555" t="n">
        <v>5.5</v>
      </c>
      <c r="H555" t="n">
        <v>0</v>
      </c>
      <c r="I555" t="n">
        <v>0</v>
      </c>
      <c r="J555" t="n">
        <v>0</v>
      </c>
      <c r="K555" t="n">
        <v>0</v>
      </c>
      <c r="L555" t="n">
        <v>0</v>
      </c>
      <c r="M555" t="n">
        <v>0</v>
      </c>
      <c r="N555" t="n">
        <v>0</v>
      </c>
      <c r="O555" t="n">
        <v>0</v>
      </c>
      <c r="P555" t="n">
        <v>0</v>
      </c>
      <c r="Q555" t="n">
        <v>0</v>
      </c>
      <c r="R555" s="2" t="inlineStr"/>
    </row>
    <row r="556" ht="15" customHeight="1">
      <c r="A556" t="inlineStr">
        <is>
          <t>A 38790-2024</t>
        </is>
      </c>
      <c r="B556" s="1" t="n">
        <v>45547.48450231482</v>
      </c>
      <c r="C556" s="1" t="n">
        <v>45993</v>
      </c>
      <c r="D556" t="inlineStr">
        <is>
          <t>ÖREBRO LÄN</t>
        </is>
      </c>
      <c r="E556" t="inlineStr">
        <is>
          <t>ÖREBRO</t>
        </is>
      </c>
      <c r="G556" t="n">
        <v>2</v>
      </c>
      <c r="H556" t="n">
        <v>0</v>
      </c>
      <c r="I556" t="n">
        <v>0</v>
      </c>
      <c r="J556" t="n">
        <v>0</v>
      </c>
      <c r="K556" t="n">
        <v>0</v>
      </c>
      <c r="L556" t="n">
        <v>0</v>
      </c>
      <c r="M556" t="n">
        <v>0</v>
      </c>
      <c r="N556" t="n">
        <v>0</v>
      </c>
      <c r="O556" t="n">
        <v>0</v>
      </c>
      <c r="P556" t="n">
        <v>0</v>
      </c>
      <c r="Q556" t="n">
        <v>0</v>
      </c>
      <c r="R556" s="2" t="inlineStr"/>
    </row>
    <row r="557" ht="15" customHeight="1">
      <c r="A557" t="inlineStr">
        <is>
          <t>A 61279-2024</t>
        </is>
      </c>
      <c r="B557" s="1" t="n">
        <v>45645</v>
      </c>
      <c r="C557" s="1" t="n">
        <v>45993</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71269-2021</t>
        </is>
      </c>
      <c r="B558" s="1" t="n">
        <v>44539</v>
      </c>
      <c r="C558" s="1" t="n">
        <v>45993</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11663-2024</t>
        </is>
      </c>
      <c r="B559" s="1" t="n">
        <v>45373</v>
      </c>
      <c r="C559" s="1" t="n">
        <v>45993</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15555-2025</t>
        </is>
      </c>
      <c r="B560" s="1" t="n">
        <v>45747.67768518518</v>
      </c>
      <c r="C560" s="1" t="n">
        <v>45993</v>
      </c>
      <c r="D560" t="inlineStr">
        <is>
          <t>ÖREBRO LÄN</t>
        </is>
      </c>
      <c r="E560" t="inlineStr">
        <is>
          <t>ÖREBRO</t>
        </is>
      </c>
      <c r="G560" t="n">
        <v>1.7</v>
      </c>
      <c r="H560" t="n">
        <v>0</v>
      </c>
      <c r="I560" t="n">
        <v>0</v>
      </c>
      <c r="J560" t="n">
        <v>0</v>
      </c>
      <c r="K560" t="n">
        <v>0</v>
      </c>
      <c r="L560" t="n">
        <v>0</v>
      </c>
      <c r="M560" t="n">
        <v>0</v>
      </c>
      <c r="N560" t="n">
        <v>0</v>
      </c>
      <c r="O560" t="n">
        <v>0</v>
      </c>
      <c r="P560" t="n">
        <v>0</v>
      </c>
      <c r="Q560" t="n">
        <v>0</v>
      </c>
      <c r="R560" s="2" t="inlineStr"/>
    </row>
    <row r="561" ht="15" customHeight="1">
      <c r="A561" t="inlineStr">
        <is>
          <t>A 5136-2024</t>
        </is>
      </c>
      <c r="B561" s="1" t="n">
        <v>45330</v>
      </c>
      <c r="C561" s="1" t="n">
        <v>45993</v>
      </c>
      <c r="D561" t="inlineStr">
        <is>
          <t>ÖREBRO LÄN</t>
        </is>
      </c>
      <c r="E561" t="inlineStr">
        <is>
          <t>ÖREBRO</t>
        </is>
      </c>
      <c r="G561" t="n">
        <v>2.1</v>
      </c>
      <c r="H561" t="n">
        <v>0</v>
      </c>
      <c r="I561" t="n">
        <v>0</v>
      </c>
      <c r="J561" t="n">
        <v>0</v>
      </c>
      <c r="K561" t="n">
        <v>0</v>
      </c>
      <c r="L561" t="n">
        <v>0</v>
      </c>
      <c r="M561" t="n">
        <v>0</v>
      </c>
      <c r="N561" t="n">
        <v>0</v>
      </c>
      <c r="O561" t="n">
        <v>0</v>
      </c>
      <c r="P561" t="n">
        <v>0</v>
      </c>
      <c r="Q561" t="n">
        <v>0</v>
      </c>
      <c r="R561" s="2" t="inlineStr"/>
    </row>
    <row r="562" ht="15" customHeight="1">
      <c r="A562" t="inlineStr">
        <is>
          <t>A 48454-2025</t>
        </is>
      </c>
      <c r="B562" s="1" t="n">
        <v>45935.80164351852</v>
      </c>
      <c r="C562" s="1" t="n">
        <v>45993</v>
      </c>
      <c r="D562" t="inlineStr">
        <is>
          <t>ÖREBRO LÄN</t>
        </is>
      </c>
      <c r="E562" t="inlineStr">
        <is>
          <t>ÖREBRO</t>
        </is>
      </c>
      <c r="F562" t="inlineStr">
        <is>
          <t>Övriga Aktiebolag</t>
        </is>
      </c>
      <c r="G562" t="n">
        <v>18.1</v>
      </c>
      <c r="H562" t="n">
        <v>0</v>
      </c>
      <c r="I562" t="n">
        <v>0</v>
      </c>
      <c r="J562" t="n">
        <v>0</v>
      </c>
      <c r="K562" t="n">
        <v>0</v>
      </c>
      <c r="L562" t="n">
        <v>0</v>
      </c>
      <c r="M562" t="n">
        <v>0</v>
      </c>
      <c r="N562" t="n">
        <v>0</v>
      </c>
      <c r="O562" t="n">
        <v>0</v>
      </c>
      <c r="P562" t="n">
        <v>0</v>
      </c>
      <c r="Q562" t="n">
        <v>0</v>
      </c>
      <c r="R562" s="2" t="inlineStr"/>
    </row>
    <row r="563" ht="15" customHeight="1">
      <c r="A563" t="inlineStr">
        <is>
          <t>A 4380-2025</t>
        </is>
      </c>
      <c r="B563" s="1" t="n">
        <v>45686.3959375</v>
      </c>
      <c r="C563" s="1" t="n">
        <v>45993</v>
      </c>
      <c r="D563" t="inlineStr">
        <is>
          <t>ÖREBRO LÄN</t>
        </is>
      </c>
      <c r="E563" t="inlineStr">
        <is>
          <t>ÖREBRO</t>
        </is>
      </c>
      <c r="G563" t="n">
        <v>3.2</v>
      </c>
      <c r="H563" t="n">
        <v>0</v>
      </c>
      <c r="I563" t="n">
        <v>0</v>
      </c>
      <c r="J563" t="n">
        <v>0</v>
      </c>
      <c r="K563" t="n">
        <v>0</v>
      </c>
      <c r="L563" t="n">
        <v>0</v>
      </c>
      <c r="M563" t="n">
        <v>0</v>
      </c>
      <c r="N563" t="n">
        <v>0</v>
      </c>
      <c r="O563" t="n">
        <v>0</v>
      </c>
      <c r="P563" t="n">
        <v>0</v>
      </c>
      <c r="Q563" t="n">
        <v>0</v>
      </c>
      <c r="R563" s="2" t="inlineStr"/>
    </row>
    <row r="564" ht="15" customHeight="1">
      <c r="A564" t="inlineStr">
        <is>
          <t>A 34358-2022</t>
        </is>
      </c>
      <c r="B564" s="1" t="n">
        <v>44792.45494212963</v>
      </c>
      <c r="C564" s="1" t="n">
        <v>45993</v>
      </c>
      <c r="D564" t="inlineStr">
        <is>
          <t>ÖREBRO LÄN</t>
        </is>
      </c>
      <c r="E564" t="inlineStr">
        <is>
          <t>ÖREBRO</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15695-2024</t>
        </is>
      </c>
      <c r="B565" s="1" t="n">
        <v>45404.45487268519</v>
      </c>
      <c r="C565" s="1" t="n">
        <v>45993</v>
      </c>
      <c r="D565" t="inlineStr">
        <is>
          <t>ÖREBRO LÄN</t>
        </is>
      </c>
      <c r="E565" t="inlineStr">
        <is>
          <t>ÖREBRO</t>
        </is>
      </c>
      <c r="G565" t="n">
        <v>2.7</v>
      </c>
      <c r="H565" t="n">
        <v>0</v>
      </c>
      <c r="I565" t="n">
        <v>0</v>
      </c>
      <c r="J565" t="n">
        <v>0</v>
      </c>
      <c r="K565" t="n">
        <v>0</v>
      </c>
      <c r="L565" t="n">
        <v>0</v>
      </c>
      <c r="M565" t="n">
        <v>0</v>
      </c>
      <c r="N565" t="n">
        <v>0</v>
      </c>
      <c r="O565" t="n">
        <v>0</v>
      </c>
      <c r="P565" t="n">
        <v>0</v>
      </c>
      <c r="Q565" t="n">
        <v>0</v>
      </c>
      <c r="R565" s="2" t="inlineStr"/>
    </row>
    <row r="566" ht="15" customHeight="1">
      <c r="A566" t="inlineStr">
        <is>
          <t>A 5406-2025</t>
        </is>
      </c>
      <c r="B566" s="1" t="n">
        <v>45692.64821759259</v>
      </c>
      <c r="C566" s="1" t="n">
        <v>45993</v>
      </c>
      <c r="D566" t="inlineStr">
        <is>
          <t>ÖREBRO LÄN</t>
        </is>
      </c>
      <c r="E566" t="inlineStr">
        <is>
          <t>ÖREBRO</t>
        </is>
      </c>
      <c r="G566" t="n">
        <v>1.2</v>
      </c>
      <c r="H566" t="n">
        <v>0</v>
      </c>
      <c r="I566" t="n">
        <v>0</v>
      </c>
      <c r="J566" t="n">
        <v>0</v>
      </c>
      <c r="K566" t="n">
        <v>0</v>
      </c>
      <c r="L566" t="n">
        <v>0</v>
      </c>
      <c r="M566" t="n">
        <v>0</v>
      </c>
      <c r="N566" t="n">
        <v>0</v>
      </c>
      <c r="O566" t="n">
        <v>0</v>
      </c>
      <c r="P566" t="n">
        <v>0</v>
      </c>
      <c r="Q566" t="n">
        <v>0</v>
      </c>
      <c r="R566" s="2" t="inlineStr"/>
    </row>
    <row r="567" ht="15" customHeight="1">
      <c r="A567" t="inlineStr">
        <is>
          <t>A 22348-2024</t>
        </is>
      </c>
      <c r="B567" s="1" t="n">
        <v>45446.61256944444</v>
      </c>
      <c r="C567" s="1" t="n">
        <v>45993</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52018-2024</t>
        </is>
      </c>
      <c r="B568" s="1" t="n">
        <v>45607.82974537037</v>
      </c>
      <c r="C568" s="1" t="n">
        <v>45993</v>
      </c>
      <c r="D568" t="inlineStr">
        <is>
          <t>ÖREBRO LÄN</t>
        </is>
      </c>
      <c r="E568" t="inlineStr">
        <is>
          <t>ÖREBRO</t>
        </is>
      </c>
      <c r="G568" t="n">
        <v>4.3</v>
      </c>
      <c r="H568" t="n">
        <v>0</v>
      </c>
      <c r="I568" t="n">
        <v>0</v>
      </c>
      <c r="J568" t="n">
        <v>0</v>
      </c>
      <c r="K568" t="n">
        <v>0</v>
      </c>
      <c r="L568" t="n">
        <v>0</v>
      </c>
      <c r="M568" t="n">
        <v>0</v>
      </c>
      <c r="N568" t="n">
        <v>0</v>
      </c>
      <c r="O568" t="n">
        <v>0</v>
      </c>
      <c r="P568" t="n">
        <v>0</v>
      </c>
      <c r="Q568" t="n">
        <v>0</v>
      </c>
      <c r="R568" s="2" t="inlineStr"/>
    </row>
    <row r="569" ht="15" customHeight="1">
      <c r="A569" t="inlineStr">
        <is>
          <t>A 30089-2024</t>
        </is>
      </c>
      <c r="B569" s="1" t="n">
        <v>45485</v>
      </c>
      <c r="C569" s="1" t="n">
        <v>45993</v>
      </c>
      <c r="D569" t="inlineStr">
        <is>
          <t>ÖREBRO LÄN</t>
        </is>
      </c>
      <c r="E569" t="inlineStr">
        <is>
          <t>ÖREBRO</t>
        </is>
      </c>
      <c r="G569" t="n">
        <v>2.2</v>
      </c>
      <c r="H569" t="n">
        <v>0</v>
      </c>
      <c r="I569" t="n">
        <v>0</v>
      </c>
      <c r="J569" t="n">
        <v>0</v>
      </c>
      <c r="K569" t="n">
        <v>0</v>
      </c>
      <c r="L569" t="n">
        <v>0</v>
      </c>
      <c r="M569" t="n">
        <v>0</v>
      </c>
      <c r="N569" t="n">
        <v>0</v>
      </c>
      <c r="O569" t="n">
        <v>0</v>
      </c>
      <c r="P569" t="n">
        <v>0</v>
      </c>
      <c r="Q569" t="n">
        <v>0</v>
      </c>
      <c r="R569" s="2" t="inlineStr"/>
    </row>
    <row r="570" ht="15" customHeight="1">
      <c r="A570" t="inlineStr">
        <is>
          <t>A 71295-2021</t>
        </is>
      </c>
      <c r="B570" s="1" t="n">
        <v>44539.63009259259</v>
      </c>
      <c r="C570" s="1" t="n">
        <v>45993</v>
      </c>
      <c r="D570" t="inlineStr">
        <is>
          <t>ÖREBRO LÄN</t>
        </is>
      </c>
      <c r="E570" t="inlineStr">
        <is>
          <t>ÖREBRO</t>
        </is>
      </c>
      <c r="G570" t="n">
        <v>2.3</v>
      </c>
      <c r="H570" t="n">
        <v>0</v>
      </c>
      <c r="I570" t="n">
        <v>0</v>
      </c>
      <c r="J570" t="n">
        <v>0</v>
      </c>
      <c r="K570" t="n">
        <v>0</v>
      </c>
      <c r="L570" t="n">
        <v>0</v>
      </c>
      <c r="M570" t="n">
        <v>0</v>
      </c>
      <c r="N570" t="n">
        <v>0</v>
      </c>
      <c r="O570" t="n">
        <v>0</v>
      </c>
      <c r="P570" t="n">
        <v>0</v>
      </c>
      <c r="Q570" t="n">
        <v>0</v>
      </c>
      <c r="R570" s="2" t="inlineStr"/>
    </row>
    <row r="571" ht="15" customHeight="1">
      <c r="A571" t="inlineStr">
        <is>
          <t>A 46030-2024</t>
        </is>
      </c>
      <c r="B571" s="1" t="n">
        <v>45580.70377314815</v>
      </c>
      <c r="C571" s="1" t="n">
        <v>45993</v>
      </c>
      <c r="D571" t="inlineStr">
        <is>
          <t>ÖREBRO LÄN</t>
        </is>
      </c>
      <c r="E571" t="inlineStr">
        <is>
          <t>ÖREBRO</t>
        </is>
      </c>
      <c r="G571" t="n">
        <v>3.9</v>
      </c>
      <c r="H571" t="n">
        <v>0</v>
      </c>
      <c r="I571" t="n">
        <v>0</v>
      </c>
      <c r="J571" t="n">
        <v>0</v>
      </c>
      <c r="K571" t="n">
        <v>0</v>
      </c>
      <c r="L571" t="n">
        <v>0</v>
      </c>
      <c r="M571" t="n">
        <v>0</v>
      </c>
      <c r="N571" t="n">
        <v>0</v>
      </c>
      <c r="O571" t="n">
        <v>0</v>
      </c>
      <c r="P571" t="n">
        <v>0</v>
      </c>
      <c r="Q571" t="n">
        <v>0</v>
      </c>
      <c r="R571" s="2" t="inlineStr"/>
    </row>
    <row r="572" ht="15" customHeight="1">
      <c r="A572" t="inlineStr">
        <is>
          <t>A 5643-2025</t>
        </is>
      </c>
      <c r="B572" s="1" t="n">
        <v>45693</v>
      </c>
      <c r="C572" s="1" t="n">
        <v>45993</v>
      </c>
      <c r="D572" t="inlineStr">
        <is>
          <t>ÖREBRO LÄN</t>
        </is>
      </c>
      <c r="E572" t="inlineStr">
        <is>
          <t>ÖREBRO</t>
        </is>
      </c>
      <c r="G572" t="n">
        <v>2</v>
      </c>
      <c r="H572" t="n">
        <v>0</v>
      </c>
      <c r="I572" t="n">
        <v>0</v>
      </c>
      <c r="J572" t="n">
        <v>0</v>
      </c>
      <c r="K572" t="n">
        <v>0</v>
      </c>
      <c r="L572" t="n">
        <v>0</v>
      </c>
      <c r="M572" t="n">
        <v>0</v>
      </c>
      <c r="N572" t="n">
        <v>0</v>
      </c>
      <c r="O572" t="n">
        <v>0</v>
      </c>
      <c r="P572" t="n">
        <v>0</v>
      </c>
      <c r="Q572" t="n">
        <v>0</v>
      </c>
      <c r="R572" s="2" t="inlineStr"/>
    </row>
    <row r="573" ht="15" customHeight="1">
      <c r="A573" t="inlineStr">
        <is>
          <t>A 11516-2024</t>
        </is>
      </c>
      <c r="B573" s="1" t="n">
        <v>45372</v>
      </c>
      <c r="C573" s="1" t="n">
        <v>45993</v>
      </c>
      <c r="D573" t="inlineStr">
        <is>
          <t>ÖREBRO LÄN</t>
        </is>
      </c>
      <c r="E573" t="inlineStr">
        <is>
          <t>ÖREBRO</t>
        </is>
      </c>
      <c r="G573" t="n">
        <v>10.7</v>
      </c>
      <c r="H573" t="n">
        <v>0</v>
      </c>
      <c r="I573" t="n">
        <v>0</v>
      </c>
      <c r="J573" t="n">
        <v>0</v>
      </c>
      <c r="K573" t="n">
        <v>0</v>
      </c>
      <c r="L573" t="n">
        <v>0</v>
      </c>
      <c r="M573" t="n">
        <v>0</v>
      </c>
      <c r="N573" t="n">
        <v>0</v>
      </c>
      <c r="O573" t="n">
        <v>0</v>
      </c>
      <c r="P573" t="n">
        <v>0</v>
      </c>
      <c r="Q573" t="n">
        <v>0</v>
      </c>
      <c r="R573" s="2" t="inlineStr"/>
    </row>
    <row r="574" ht="15" customHeight="1">
      <c r="A574" t="inlineStr">
        <is>
          <t>A 5342-2024</t>
        </is>
      </c>
      <c r="B574" s="1" t="n">
        <v>45331.44145833333</v>
      </c>
      <c r="C574" s="1" t="n">
        <v>45993</v>
      </c>
      <c r="D574" t="inlineStr">
        <is>
          <t>ÖREBRO LÄN</t>
        </is>
      </c>
      <c r="E574" t="inlineStr">
        <is>
          <t>ÖREBRO</t>
        </is>
      </c>
      <c r="G574" t="n">
        <v>2.5</v>
      </c>
      <c r="H574" t="n">
        <v>0</v>
      </c>
      <c r="I574" t="n">
        <v>0</v>
      </c>
      <c r="J574" t="n">
        <v>0</v>
      </c>
      <c r="K574" t="n">
        <v>0</v>
      </c>
      <c r="L574" t="n">
        <v>0</v>
      </c>
      <c r="M574" t="n">
        <v>0</v>
      </c>
      <c r="N574" t="n">
        <v>0</v>
      </c>
      <c r="O574" t="n">
        <v>0</v>
      </c>
      <c r="P574" t="n">
        <v>0</v>
      </c>
      <c r="Q574" t="n">
        <v>0</v>
      </c>
      <c r="R574" s="2" t="inlineStr"/>
    </row>
    <row r="575" ht="15" customHeight="1">
      <c r="A575" t="inlineStr">
        <is>
          <t>A 57537-2025</t>
        </is>
      </c>
      <c r="B575" s="1" t="n">
        <v>45980.6446875</v>
      </c>
      <c r="C575" s="1" t="n">
        <v>45993</v>
      </c>
      <c r="D575" t="inlineStr">
        <is>
          <t>ÖREBRO LÄN</t>
        </is>
      </c>
      <c r="E575" t="inlineStr">
        <is>
          <t>ÖREBRO</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25578-2025</t>
        </is>
      </c>
      <c r="B576" s="1" t="n">
        <v>45803.47803240741</v>
      </c>
      <c r="C576" s="1" t="n">
        <v>45993</v>
      </c>
      <c r="D576" t="inlineStr">
        <is>
          <t>ÖREBRO LÄN</t>
        </is>
      </c>
      <c r="E576" t="inlineStr">
        <is>
          <t>ÖREBRO</t>
        </is>
      </c>
      <c r="G576" t="n">
        <v>0.9</v>
      </c>
      <c r="H576" t="n">
        <v>0</v>
      </c>
      <c r="I576" t="n">
        <v>0</v>
      </c>
      <c r="J576" t="n">
        <v>0</v>
      </c>
      <c r="K576" t="n">
        <v>0</v>
      </c>
      <c r="L576" t="n">
        <v>0</v>
      </c>
      <c r="M576" t="n">
        <v>0</v>
      </c>
      <c r="N576" t="n">
        <v>0</v>
      </c>
      <c r="O576" t="n">
        <v>0</v>
      </c>
      <c r="P576" t="n">
        <v>0</v>
      </c>
      <c r="Q576" t="n">
        <v>0</v>
      </c>
      <c r="R576" s="2" t="inlineStr"/>
    </row>
    <row r="577" ht="15" customHeight="1">
      <c r="A577" t="inlineStr">
        <is>
          <t>A 25519-2025</t>
        </is>
      </c>
      <c r="B577" s="1" t="n">
        <v>45803.38447916666</v>
      </c>
      <c r="C577" s="1" t="n">
        <v>45993</v>
      </c>
      <c r="D577" t="inlineStr">
        <is>
          <t>ÖREBRO LÄN</t>
        </is>
      </c>
      <c r="E577" t="inlineStr">
        <is>
          <t>ÖREBRO</t>
        </is>
      </c>
      <c r="G577" t="n">
        <v>7.4</v>
      </c>
      <c r="H577" t="n">
        <v>0</v>
      </c>
      <c r="I577" t="n">
        <v>0</v>
      </c>
      <c r="J577" t="n">
        <v>0</v>
      </c>
      <c r="K577" t="n">
        <v>0</v>
      </c>
      <c r="L577" t="n">
        <v>0</v>
      </c>
      <c r="M577" t="n">
        <v>0</v>
      </c>
      <c r="N577" t="n">
        <v>0</v>
      </c>
      <c r="O577" t="n">
        <v>0</v>
      </c>
      <c r="P577" t="n">
        <v>0</v>
      </c>
      <c r="Q577" t="n">
        <v>0</v>
      </c>
      <c r="R577" s="2" t="inlineStr"/>
    </row>
    <row r="578" ht="15" customHeight="1">
      <c r="A578" t="inlineStr">
        <is>
          <t>A 58230-2025</t>
        </is>
      </c>
      <c r="B578" s="1" t="n">
        <v>45985.38037037037</v>
      </c>
      <c r="C578" s="1" t="n">
        <v>45993</v>
      </c>
      <c r="D578" t="inlineStr">
        <is>
          <t>ÖREBRO LÄN</t>
        </is>
      </c>
      <c r="E578" t="inlineStr">
        <is>
          <t>ÖREBRO</t>
        </is>
      </c>
      <c r="F578" t="inlineStr">
        <is>
          <t>Övriga Aktiebolag</t>
        </is>
      </c>
      <c r="G578" t="n">
        <v>1.4</v>
      </c>
      <c r="H578" t="n">
        <v>0</v>
      </c>
      <c r="I578" t="n">
        <v>0</v>
      </c>
      <c r="J578" t="n">
        <v>0</v>
      </c>
      <c r="K578" t="n">
        <v>0</v>
      </c>
      <c r="L578" t="n">
        <v>0</v>
      </c>
      <c r="M578" t="n">
        <v>0</v>
      </c>
      <c r="N578" t="n">
        <v>0</v>
      </c>
      <c r="O578" t="n">
        <v>0</v>
      </c>
      <c r="P578" t="n">
        <v>0</v>
      </c>
      <c r="Q578" t="n">
        <v>0</v>
      </c>
      <c r="R578" s="2" t="inlineStr"/>
    </row>
    <row r="579" ht="15" customHeight="1">
      <c r="A579" t="inlineStr">
        <is>
          <t>A 27220-2025</t>
        </is>
      </c>
      <c r="B579" s="1" t="n">
        <v>45812.42293981482</v>
      </c>
      <c r="C579" s="1" t="n">
        <v>45993</v>
      </c>
      <c r="D579" t="inlineStr">
        <is>
          <t>ÖREBRO LÄN</t>
        </is>
      </c>
      <c r="E579" t="inlineStr">
        <is>
          <t>ÖREBRO</t>
        </is>
      </c>
      <c r="G579" t="n">
        <v>0.6</v>
      </c>
      <c r="H579" t="n">
        <v>0</v>
      </c>
      <c r="I579" t="n">
        <v>0</v>
      </c>
      <c r="J579" t="n">
        <v>0</v>
      </c>
      <c r="K579" t="n">
        <v>0</v>
      </c>
      <c r="L579" t="n">
        <v>0</v>
      </c>
      <c r="M579" t="n">
        <v>0</v>
      </c>
      <c r="N579" t="n">
        <v>0</v>
      </c>
      <c r="O579" t="n">
        <v>0</v>
      </c>
      <c r="P579" t="n">
        <v>0</v>
      </c>
      <c r="Q579" t="n">
        <v>0</v>
      </c>
      <c r="R579" s="2" t="inlineStr"/>
    </row>
    <row r="580" ht="15" customHeight="1">
      <c r="A580" t="inlineStr">
        <is>
          <t>A 58587-2025</t>
        </is>
      </c>
      <c r="B580" s="1" t="n">
        <v>45986.40208333333</v>
      </c>
      <c r="C580" s="1" t="n">
        <v>45993</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27180-2025</t>
        </is>
      </c>
      <c r="B581" s="1" t="n">
        <v>45812.35736111111</v>
      </c>
      <c r="C581" s="1" t="n">
        <v>45993</v>
      </c>
      <c r="D581" t="inlineStr">
        <is>
          <t>ÖREBRO LÄN</t>
        </is>
      </c>
      <c r="E581" t="inlineStr">
        <is>
          <t>ÖREBRO</t>
        </is>
      </c>
      <c r="G581" t="n">
        <v>1.3</v>
      </c>
      <c r="H581" t="n">
        <v>0</v>
      </c>
      <c r="I581" t="n">
        <v>0</v>
      </c>
      <c r="J581" t="n">
        <v>0</v>
      </c>
      <c r="K581" t="n">
        <v>0</v>
      </c>
      <c r="L581" t="n">
        <v>0</v>
      </c>
      <c r="M581" t="n">
        <v>0</v>
      </c>
      <c r="N581" t="n">
        <v>0</v>
      </c>
      <c r="O581" t="n">
        <v>0</v>
      </c>
      <c r="P581" t="n">
        <v>0</v>
      </c>
      <c r="Q581" t="n">
        <v>0</v>
      </c>
      <c r="R581" s="2" t="inlineStr"/>
    </row>
    <row r="582" ht="15" customHeight="1">
      <c r="A582" t="inlineStr">
        <is>
          <t>A 50311-2025</t>
        </is>
      </c>
      <c r="B582" s="1" t="n">
        <v>45944</v>
      </c>
      <c r="C582" s="1" t="n">
        <v>45993</v>
      </c>
      <c r="D582" t="inlineStr">
        <is>
          <t>ÖREBRO LÄN</t>
        </is>
      </c>
      <c r="E582" t="inlineStr">
        <is>
          <t>ÖREBRO</t>
        </is>
      </c>
      <c r="G582" t="n">
        <v>1.7</v>
      </c>
      <c r="H582" t="n">
        <v>0</v>
      </c>
      <c r="I582" t="n">
        <v>0</v>
      </c>
      <c r="J582" t="n">
        <v>0</v>
      </c>
      <c r="K582" t="n">
        <v>0</v>
      </c>
      <c r="L582" t="n">
        <v>0</v>
      </c>
      <c r="M582" t="n">
        <v>0</v>
      </c>
      <c r="N582" t="n">
        <v>0</v>
      </c>
      <c r="O582" t="n">
        <v>0</v>
      </c>
      <c r="P582" t="n">
        <v>0</v>
      </c>
      <c r="Q582" t="n">
        <v>0</v>
      </c>
      <c r="R582" s="2" t="inlineStr"/>
    </row>
    <row r="583" ht="15" customHeight="1">
      <c r="A583" t="inlineStr">
        <is>
          <t>A 27215-2025</t>
        </is>
      </c>
      <c r="B583" s="1" t="n">
        <v>45812.41869212963</v>
      </c>
      <c r="C583" s="1" t="n">
        <v>45993</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27225-2025</t>
        </is>
      </c>
      <c r="B584" s="1" t="n">
        <v>45812.42856481481</v>
      </c>
      <c r="C584" s="1" t="n">
        <v>45993</v>
      </c>
      <c r="D584" t="inlineStr">
        <is>
          <t>ÖREBRO LÄN</t>
        </is>
      </c>
      <c r="E584" t="inlineStr">
        <is>
          <t>ÖREBRO</t>
        </is>
      </c>
      <c r="G584" t="n">
        <v>4</v>
      </c>
      <c r="H584" t="n">
        <v>0</v>
      </c>
      <c r="I584" t="n">
        <v>0</v>
      </c>
      <c r="J584" t="n">
        <v>0</v>
      </c>
      <c r="K584" t="n">
        <v>0</v>
      </c>
      <c r="L584" t="n">
        <v>0</v>
      </c>
      <c r="M584" t="n">
        <v>0</v>
      </c>
      <c r="N584" t="n">
        <v>0</v>
      </c>
      <c r="O584" t="n">
        <v>0</v>
      </c>
      <c r="P584" t="n">
        <v>0</v>
      </c>
      <c r="Q584" t="n">
        <v>0</v>
      </c>
      <c r="R584" s="2" t="inlineStr"/>
    </row>
    <row r="585" ht="15" customHeight="1">
      <c r="A585" t="inlineStr">
        <is>
          <t>A 59145-2025</t>
        </is>
      </c>
      <c r="B585" s="1" t="n">
        <v>45988.52015046297</v>
      </c>
      <c r="C585" s="1" t="n">
        <v>45993</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28120-2025</t>
        </is>
      </c>
      <c r="B586" s="1" t="n">
        <v>45818.30459490741</v>
      </c>
      <c r="C586" s="1" t="n">
        <v>45993</v>
      </c>
      <c r="D586" t="inlineStr">
        <is>
          <t>ÖREBRO LÄN</t>
        </is>
      </c>
      <c r="E586" t="inlineStr">
        <is>
          <t>ÖREBRO</t>
        </is>
      </c>
      <c r="G586" t="n">
        <v>1.5</v>
      </c>
      <c r="H586" t="n">
        <v>0</v>
      </c>
      <c r="I586" t="n">
        <v>0</v>
      </c>
      <c r="J586" t="n">
        <v>0</v>
      </c>
      <c r="K586" t="n">
        <v>0</v>
      </c>
      <c r="L586" t="n">
        <v>0</v>
      </c>
      <c r="M586" t="n">
        <v>0</v>
      </c>
      <c r="N586" t="n">
        <v>0</v>
      </c>
      <c r="O586" t="n">
        <v>0</v>
      </c>
      <c r="P586" t="n">
        <v>0</v>
      </c>
      <c r="Q586" t="n">
        <v>0</v>
      </c>
      <c r="R586" s="2" t="inlineStr"/>
    </row>
    <row r="587" ht="15" customHeight="1">
      <c r="A587" t="inlineStr">
        <is>
          <t>A 58838-2025</t>
        </is>
      </c>
      <c r="B587" s="1" t="n">
        <v>45987.35973379629</v>
      </c>
      <c r="C587" s="1" t="n">
        <v>45993</v>
      </c>
      <c r="D587" t="inlineStr">
        <is>
          <t>ÖREBRO LÄN</t>
        </is>
      </c>
      <c r="E587" t="inlineStr">
        <is>
          <t>ÖREBRO</t>
        </is>
      </c>
      <c r="G587" t="n">
        <v>1.7</v>
      </c>
      <c r="H587" t="n">
        <v>0</v>
      </c>
      <c r="I587" t="n">
        <v>0</v>
      </c>
      <c r="J587" t="n">
        <v>0</v>
      </c>
      <c r="K587" t="n">
        <v>0</v>
      </c>
      <c r="L587" t="n">
        <v>0</v>
      </c>
      <c r="M587" t="n">
        <v>0</v>
      </c>
      <c r="N587" t="n">
        <v>0</v>
      </c>
      <c r="O587" t="n">
        <v>0</v>
      </c>
      <c r="P587" t="n">
        <v>0</v>
      </c>
      <c r="Q587" t="n">
        <v>0</v>
      </c>
      <c r="R587" s="2" t="inlineStr"/>
    </row>
    <row r="588" ht="15" customHeight="1">
      <c r="A588" t="inlineStr">
        <is>
          <t>A 58835-2025</t>
        </is>
      </c>
      <c r="B588" s="1" t="n">
        <v>45987.35519675926</v>
      </c>
      <c r="C588" s="1" t="n">
        <v>45993</v>
      </c>
      <c r="D588" t="inlineStr">
        <is>
          <t>ÖREBRO LÄN</t>
        </is>
      </c>
      <c r="E588" t="inlineStr">
        <is>
          <t>ÖREBRO</t>
        </is>
      </c>
      <c r="G588" t="n">
        <v>2.1</v>
      </c>
      <c r="H588" t="n">
        <v>0</v>
      </c>
      <c r="I588" t="n">
        <v>0</v>
      </c>
      <c r="J588" t="n">
        <v>0</v>
      </c>
      <c r="K588" t="n">
        <v>0</v>
      </c>
      <c r="L588" t="n">
        <v>0</v>
      </c>
      <c r="M588" t="n">
        <v>0</v>
      </c>
      <c r="N588" t="n">
        <v>0</v>
      </c>
      <c r="O588" t="n">
        <v>0</v>
      </c>
      <c r="P588" t="n">
        <v>0</v>
      </c>
      <c r="Q588" t="n">
        <v>0</v>
      </c>
      <c r="R588" s="2" t="inlineStr"/>
    </row>
    <row r="589" ht="15" customHeight="1">
      <c r="A589" t="inlineStr">
        <is>
          <t>A 51249-2025</t>
        </is>
      </c>
      <c r="B589" s="1" t="n">
        <v>45948.45704861111</v>
      </c>
      <c r="C589" s="1" t="n">
        <v>45993</v>
      </c>
      <c r="D589" t="inlineStr">
        <is>
          <t>ÖREBRO LÄN</t>
        </is>
      </c>
      <c r="E589" t="inlineStr">
        <is>
          <t>ÖREBRO</t>
        </is>
      </c>
      <c r="G589" t="n">
        <v>1.8</v>
      </c>
      <c r="H589" t="n">
        <v>0</v>
      </c>
      <c r="I589" t="n">
        <v>0</v>
      </c>
      <c r="J589" t="n">
        <v>0</v>
      </c>
      <c r="K589" t="n">
        <v>0</v>
      </c>
      <c r="L589" t="n">
        <v>0</v>
      </c>
      <c r="M589" t="n">
        <v>0</v>
      </c>
      <c r="N589" t="n">
        <v>0</v>
      </c>
      <c r="O589" t="n">
        <v>0</v>
      </c>
      <c r="P589" t="n">
        <v>0</v>
      </c>
      <c r="Q589" t="n">
        <v>0</v>
      </c>
      <c r="R589" s="2" t="inlineStr"/>
    </row>
    <row r="590" ht="15" customHeight="1">
      <c r="A590" t="inlineStr">
        <is>
          <t>A 59858-2025</t>
        </is>
      </c>
      <c r="B590" s="1" t="n">
        <v>45992.76758101852</v>
      </c>
      <c r="C590" s="1" t="n">
        <v>45993</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59859-2025</t>
        </is>
      </c>
      <c r="B591" s="1" t="n">
        <v>45992.7803125</v>
      </c>
      <c r="C591" s="1" t="n">
        <v>45993</v>
      </c>
      <c r="D591" t="inlineStr">
        <is>
          <t>ÖREBRO LÄN</t>
        </is>
      </c>
      <c r="E591" t="inlineStr">
        <is>
          <t>ÖREBRO</t>
        </is>
      </c>
      <c r="G591" t="n">
        <v>0.4</v>
      </c>
      <c r="H591" t="n">
        <v>0</v>
      </c>
      <c r="I591" t="n">
        <v>0</v>
      </c>
      <c r="J591" t="n">
        <v>0</v>
      </c>
      <c r="K591" t="n">
        <v>0</v>
      </c>
      <c r="L591" t="n">
        <v>0</v>
      </c>
      <c r="M591" t="n">
        <v>0</v>
      </c>
      <c r="N591" t="n">
        <v>0</v>
      </c>
      <c r="O591" t="n">
        <v>0</v>
      </c>
      <c r="P591" t="n">
        <v>0</v>
      </c>
      <c r="Q591" t="n">
        <v>0</v>
      </c>
      <c r="R591" s="2" t="inlineStr"/>
    </row>
    <row r="592" ht="15" customHeight="1">
      <c r="A592" t="inlineStr">
        <is>
          <t>A 59860-2025</t>
        </is>
      </c>
      <c r="B592" s="1" t="n">
        <v>45992.78351851852</v>
      </c>
      <c r="C592" s="1" t="n">
        <v>45993</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28938-2025</t>
        </is>
      </c>
      <c r="B593" s="1" t="n">
        <v>45820.70626157407</v>
      </c>
      <c r="C593" s="1" t="n">
        <v>45993</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28920-2025</t>
        </is>
      </c>
      <c r="B594" s="1" t="n">
        <v>45820.66532407407</v>
      </c>
      <c r="C594" s="1" t="n">
        <v>45993</v>
      </c>
      <c r="D594" t="inlineStr">
        <is>
          <t>ÖREBRO LÄN</t>
        </is>
      </c>
      <c r="E594" t="inlineStr">
        <is>
          <t>ÖREBRO</t>
        </is>
      </c>
      <c r="G594" t="n">
        <v>3</v>
      </c>
      <c r="H594" t="n">
        <v>0</v>
      </c>
      <c r="I594" t="n">
        <v>0</v>
      </c>
      <c r="J594" t="n">
        <v>0</v>
      </c>
      <c r="K594" t="n">
        <v>0</v>
      </c>
      <c r="L594" t="n">
        <v>0</v>
      </c>
      <c r="M594" t="n">
        <v>0</v>
      </c>
      <c r="N594" t="n">
        <v>0</v>
      </c>
      <c r="O594" t="n">
        <v>0</v>
      </c>
      <c r="P594" t="n">
        <v>0</v>
      </c>
      <c r="Q594" t="n">
        <v>0</v>
      </c>
      <c r="R594" s="2" t="inlineStr"/>
    </row>
    <row r="595" ht="15" customHeight="1">
      <c r="A595" t="inlineStr">
        <is>
          <t>A 29286-2025</t>
        </is>
      </c>
      <c r="B595" s="1" t="n">
        <v>45824.43502314815</v>
      </c>
      <c r="C595" s="1" t="n">
        <v>45993</v>
      </c>
      <c r="D595" t="inlineStr">
        <is>
          <t>ÖREBRO LÄN</t>
        </is>
      </c>
      <c r="E595" t="inlineStr">
        <is>
          <t>ÖREBRO</t>
        </is>
      </c>
      <c r="G595" t="n">
        <v>1.2</v>
      </c>
      <c r="H595" t="n">
        <v>0</v>
      </c>
      <c r="I595" t="n">
        <v>0</v>
      </c>
      <c r="J595" t="n">
        <v>0</v>
      </c>
      <c r="K595" t="n">
        <v>0</v>
      </c>
      <c r="L595" t="n">
        <v>0</v>
      </c>
      <c r="M595" t="n">
        <v>0</v>
      </c>
      <c r="N595" t="n">
        <v>0</v>
      </c>
      <c r="O595" t="n">
        <v>0</v>
      </c>
      <c r="P595" t="n">
        <v>0</v>
      </c>
      <c r="Q595" t="n">
        <v>0</v>
      </c>
      <c r="R595" s="2" t="inlineStr"/>
    </row>
    <row r="596" ht="15" customHeight="1">
      <c r="A596" t="inlineStr">
        <is>
          <t>A 51248-2025</t>
        </is>
      </c>
      <c r="B596" s="1" t="n">
        <v>45948.450625</v>
      </c>
      <c r="C596" s="1" t="n">
        <v>45993</v>
      </c>
      <c r="D596" t="inlineStr">
        <is>
          <t>ÖREBRO LÄN</t>
        </is>
      </c>
      <c r="E596" t="inlineStr">
        <is>
          <t>ÖREBRO</t>
        </is>
      </c>
      <c r="G596" t="n">
        <v>4.4</v>
      </c>
      <c r="H596" t="n">
        <v>0</v>
      </c>
      <c r="I596" t="n">
        <v>0</v>
      </c>
      <c r="J596" t="n">
        <v>0</v>
      </c>
      <c r="K596" t="n">
        <v>0</v>
      </c>
      <c r="L596" t="n">
        <v>0</v>
      </c>
      <c r="M596" t="n">
        <v>0</v>
      </c>
      <c r="N596" t="n">
        <v>0</v>
      </c>
      <c r="O596" t="n">
        <v>0</v>
      </c>
      <c r="P596" t="n">
        <v>0</v>
      </c>
      <c r="Q596" t="n">
        <v>0</v>
      </c>
      <c r="R596" s="2" t="inlineStr"/>
    </row>
    <row r="597" ht="15" customHeight="1">
      <c r="A597" t="inlineStr">
        <is>
          <t>A 29339-2025</t>
        </is>
      </c>
      <c r="B597" s="1" t="n">
        <v>45824.5044212963</v>
      </c>
      <c r="C597" s="1" t="n">
        <v>45993</v>
      </c>
      <c r="D597" t="inlineStr">
        <is>
          <t>ÖREBRO LÄN</t>
        </is>
      </c>
      <c r="E597" t="inlineStr">
        <is>
          <t>ÖREBRO</t>
        </is>
      </c>
      <c r="G597" t="n">
        <v>4.3</v>
      </c>
      <c r="H597" t="n">
        <v>0</v>
      </c>
      <c r="I597" t="n">
        <v>0</v>
      </c>
      <c r="J597" t="n">
        <v>0</v>
      </c>
      <c r="K597" t="n">
        <v>0</v>
      </c>
      <c r="L597" t="n">
        <v>0</v>
      </c>
      <c r="M597" t="n">
        <v>0</v>
      </c>
      <c r="N597" t="n">
        <v>0</v>
      </c>
      <c r="O597" t="n">
        <v>0</v>
      </c>
      <c r="P597" t="n">
        <v>0</v>
      </c>
      <c r="Q597" t="n">
        <v>0</v>
      </c>
      <c r="R597" s="2" t="inlineStr"/>
    </row>
    <row r="598" ht="15" customHeight="1">
      <c r="A598" t="inlineStr">
        <is>
          <t>A 59515-2025</t>
        </is>
      </c>
      <c r="B598" s="1" t="n">
        <v>45989.65238425926</v>
      </c>
      <c r="C598" s="1" t="n">
        <v>45993</v>
      </c>
      <c r="D598" t="inlineStr">
        <is>
          <t>ÖREBRO LÄN</t>
        </is>
      </c>
      <c r="E598" t="inlineStr">
        <is>
          <t>ÖREBRO</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60059-2023</t>
        </is>
      </c>
      <c r="B599" s="1" t="n">
        <v>45258.38157407408</v>
      </c>
      <c r="C599" s="1" t="n">
        <v>45993</v>
      </c>
      <c r="D599" t="inlineStr">
        <is>
          <t>ÖREBRO LÄN</t>
        </is>
      </c>
      <c r="E599" t="inlineStr">
        <is>
          <t>ÖREBRO</t>
        </is>
      </c>
      <c r="G599" t="n">
        <v>4</v>
      </c>
      <c r="H599" t="n">
        <v>0</v>
      </c>
      <c r="I599" t="n">
        <v>0</v>
      </c>
      <c r="J599" t="n">
        <v>0</v>
      </c>
      <c r="K599" t="n">
        <v>0</v>
      </c>
      <c r="L599" t="n">
        <v>0</v>
      </c>
      <c r="M599" t="n">
        <v>0</v>
      </c>
      <c r="N599" t="n">
        <v>0</v>
      </c>
      <c r="O599" t="n">
        <v>0</v>
      </c>
      <c r="P599" t="n">
        <v>0</v>
      </c>
      <c r="Q599" t="n">
        <v>0</v>
      </c>
      <c r="R599" s="2" t="inlineStr"/>
    </row>
    <row r="600" ht="15" customHeight="1">
      <c r="A600" t="inlineStr">
        <is>
          <t>A 26858-2024</t>
        </is>
      </c>
      <c r="B600" s="1" t="n">
        <v>45470</v>
      </c>
      <c r="C600" s="1" t="n">
        <v>45993</v>
      </c>
      <c r="D600" t="inlineStr">
        <is>
          <t>ÖREBRO LÄN</t>
        </is>
      </c>
      <c r="E600" t="inlineStr">
        <is>
          <t>ÖREBRO</t>
        </is>
      </c>
      <c r="G600" t="n">
        <v>2.3</v>
      </c>
      <c r="H600" t="n">
        <v>0</v>
      </c>
      <c r="I600" t="n">
        <v>0</v>
      </c>
      <c r="J600" t="n">
        <v>0</v>
      </c>
      <c r="K600" t="n">
        <v>0</v>
      </c>
      <c r="L600" t="n">
        <v>0</v>
      </c>
      <c r="M600" t="n">
        <v>0</v>
      </c>
      <c r="N600" t="n">
        <v>0</v>
      </c>
      <c r="O600" t="n">
        <v>0</v>
      </c>
      <c r="P600" t="n">
        <v>0</v>
      </c>
      <c r="Q600" t="n">
        <v>0</v>
      </c>
      <c r="R600" s="2" t="inlineStr"/>
    </row>
    <row r="601" ht="15" customHeight="1">
      <c r="A601" t="inlineStr">
        <is>
          <t>A 59313-2025</t>
        </is>
      </c>
      <c r="B601" s="1" t="n">
        <v>45989.30920138889</v>
      </c>
      <c r="C601" s="1" t="n">
        <v>45993</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29701-2025</t>
        </is>
      </c>
      <c r="B602" s="1" t="n">
        <v>45825.55261574074</v>
      </c>
      <c r="C602" s="1" t="n">
        <v>45993</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59856-2025</t>
        </is>
      </c>
      <c r="B603" s="1" t="n">
        <v>45992.74891203704</v>
      </c>
      <c r="C603" s="1" t="n">
        <v>45993</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59857-2025</t>
        </is>
      </c>
      <c r="B604" s="1" t="n">
        <v>45992.75820601852</v>
      </c>
      <c r="C604" s="1" t="n">
        <v>45993</v>
      </c>
      <c r="D604" t="inlineStr">
        <is>
          <t>ÖREBRO LÄN</t>
        </is>
      </c>
      <c r="E604" t="inlineStr">
        <is>
          <t>ÖREBRO</t>
        </is>
      </c>
      <c r="G604" t="n">
        <v>1.7</v>
      </c>
      <c r="H604" t="n">
        <v>0</v>
      </c>
      <c r="I604" t="n">
        <v>0</v>
      </c>
      <c r="J604" t="n">
        <v>0</v>
      </c>
      <c r="K604" t="n">
        <v>0</v>
      </c>
      <c r="L604" t="n">
        <v>0</v>
      </c>
      <c r="M604" t="n">
        <v>0</v>
      </c>
      <c r="N604" t="n">
        <v>0</v>
      </c>
      <c r="O604" t="n">
        <v>0</v>
      </c>
      <c r="P604" t="n">
        <v>0</v>
      </c>
      <c r="Q604" t="n">
        <v>0</v>
      </c>
      <c r="R604" s="2" t="inlineStr"/>
    </row>
    <row r="605" ht="15" customHeight="1">
      <c r="A605" t="inlineStr">
        <is>
          <t>A 59312-2025</t>
        </is>
      </c>
      <c r="B605" s="1" t="n">
        <v>45989.30467592592</v>
      </c>
      <c r="C605" s="1" t="n">
        <v>45993</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30550-2025</t>
        </is>
      </c>
      <c r="B606" s="1" t="n">
        <v>45831.38224537037</v>
      </c>
      <c r="C606" s="1" t="n">
        <v>45993</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30731-2025</t>
        </is>
      </c>
      <c r="B607" s="1" t="n">
        <v>45831.57280092593</v>
      </c>
      <c r="C607" s="1" t="n">
        <v>45993</v>
      </c>
      <c r="D607" t="inlineStr">
        <is>
          <t>ÖREBRO LÄN</t>
        </is>
      </c>
      <c r="E607" t="inlineStr">
        <is>
          <t>ÖREBRO</t>
        </is>
      </c>
      <c r="G607" t="n">
        <v>1</v>
      </c>
      <c r="H607" t="n">
        <v>0</v>
      </c>
      <c r="I607" t="n">
        <v>0</v>
      </c>
      <c r="J607" t="n">
        <v>0</v>
      </c>
      <c r="K607" t="n">
        <v>0</v>
      </c>
      <c r="L607" t="n">
        <v>0</v>
      </c>
      <c r="M607" t="n">
        <v>0</v>
      </c>
      <c r="N607" t="n">
        <v>0</v>
      </c>
      <c r="O607" t="n">
        <v>0</v>
      </c>
      <c r="P607" t="n">
        <v>0</v>
      </c>
      <c r="Q607" t="n">
        <v>0</v>
      </c>
      <c r="R607" s="2" t="inlineStr"/>
    </row>
    <row r="608" ht="15" customHeight="1">
      <c r="A608" t="inlineStr">
        <is>
          <t>A 30951-2025</t>
        </is>
      </c>
      <c r="B608" s="1" t="n">
        <v>45832.43225694444</v>
      </c>
      <c r="C608" s="1" t="n">
        <v>45993</v>
      </c>
      <c r="D608" t="inlineStr">
        <is>
          <t>ÖREBRO LÄN</t>
        </is>
      </c>
      <c r="E608" t="inlineStr">
        <is>
          <t>ÖREBRO</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31066-2025</t>
        </is>
      </c>
      <c r="B609" s="1" t="n">
        <v>45832</v>
      </c>
      <c r="C609" s="1" t="n">
        <v>45993</v>
      </c>
      <c r="D609" t="inlineStr">
        <is>
          <t>ÖREBRO LÄN</t>
        </is>
      </c>
      <c r="E609" t="inlineStr">
        <is>
          <t>ÖREBRO</t>
        </is>
      </c>
      <c r="G609" t="n">
        <v>11.1</v>
      </c>
      <c r="H609" t="n">
        <v>0</v>
      </c>
      <c r="I609" t="n">
        <v>0</v>
      </c>
      <c r="J609" t="n">
        <v>0</v>
      </c>
      <c r="K609" t="n">
        <v>0</v>
      </c>
      <c r="L609" t="n">
        <v>0</v>
      </c>
      <c r="M609" t="n">
        <v>0</v>
      </c>
      <c r="N609" t="n">
        <v>0</v>
      </c>
      <c r="O609" t="n">
        <v>0</v>
      </c>
      <c r="P609" t="n">
        <v>0</v>
      </c>
      <c r="Q609" t="n">
        <v>0</v>
      </c>
      <c r="R609" s="2" t="inlineStr"/>
    </row>
    <row r="610" ht="15" customHeight="1">
      <c r="A610" t="inlineStr">
        <is>
          <t>A 31233-2025</t>
        </is>
      </c>
      <c r="B610" s="1" t="n">
        <v>45832.83341435185</v>
      </c>
      <c r="C610" s="1" t="n">
        <v>45993</v>
      </c>
      <c r="D610" t="inlineStr">
        <is>
          <t>ÖREBRO LÄN</t>
        </is>
      </c>
      <c r="E610" t="inlineStr">
        <is>
          <t>ÖREBRO</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31232-2025</t>
        </is>
      </c>
      <c r="B611" s="1" t="n">
        <v>45832.8252199074</v>
      </c>
      <c r="C611" s="1" t="n">
        <v>45993</v>
      </c>
      <c r="D611" t="inlineStr">
        <is>
          <t>ÖREBRO LÄN</t>
        </is>
      </c>
      <c r="E611" t="inlineStr">
        <is>
          <t>ÖREBRO</t>
        </is>
      </c>
      <c r="F611" t="inlineStr">
        <is>
          <t>Övriga Aktiebolag</t>
        </is>
      </c>
      <c r="G611" t="n">
        <v>2.1</v>
      </c>
      <c r="H611" t="n">
        <v>0</v>
      </c>
      <c r="I611" t="n">
        <v>0</v>
      </c>
      <c r="J611" t="n">
        <v>0</v>
      </c>
      <c r="K611" t="n">
        <v>0</v>
      </c>
      <c r="L611" t="n">
        <v>0</v>
      </c>
      <c r="M611" t="n">
        <v>0</v>
      </c>
      <c r="N611" t="n">
        <v>0</v>
      </c>
      <c r="O611" t="n">
        <v>0</v>
      </c>
      <c r="P611" t="n">
        <v>0</v>
      </c>
      <c r="Q611" t="n">
        <v>0</v>
      </c>
      <c r="R611" s="2" t="inlineStr"/>
    </row>
    <row r="612" ht="15" customHeight="1">
      <c r="A612" t="inlineStr">
        <is>
          <t>A 31237-2025</t>
        </is>
      </c>
      <c r="B612" s="1" t="n">
        <v>45832.84313657408</v>
      </c>
      <c r="C612" s="1" t="n">
        <v>45993</v>
      </c>
      <c r="D612" t="inlineStr">
        <is>
          <t>ÖREBRO LÄN</t>
        </is>
      </c>
      <c r="E612" t="inlineStr">
        <is>
          <t>ÖREBRO</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32218-2025</t>
        </is>
      </c>
      <c r="B613" s="1" t="n">
        <v>45835.58880787037</v>
      </c>
      <c r="C613" s="1" t="n">
        <v>45993</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32188-2025</t>
        </is>
      </c>
      <c r="B614" s="1" t="n">
        <v>45835.56965277778</v>
      </c>
      <c r="C614" s="1" t="n">
        <v>45993</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32195-2025</t>
        </is>
      </c>
      <c r="B615" s="1" t="n">
        <v>45835.57407407407</v>
      </c>
      <c r="C615" s="1" t="n">
        <v>45993</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33191-2025</t>
        </is>
      </c>
      <c r="B616" s="1" t="n">
        <v>45840.6003587963</v>
      </c>
      <c r="C616" s="1" t="n">
        <v>45993</v>
      </c>
      <c r="D616" t="inlineStr">
        <is>
          <t>ÖREBRO LÄN</t>
        </is>
      </c>
      <c r="E616" t="inlineStr">
        <is>
          <t>ÖREBRO</t>
        </is>
      </c>
      <c r="G616" t="n">
        <v>2.6</v>
      </c>
      <c r="H616" t="n">
        <v>0</v>
      </c>
      <c r="I616" t="n">
        <v>0</v>
      </c>
      <c r="J616" t="n">
        <v>0</v>
      </c>
      <c r="K616" t="n">
        <v>0</v>
      </c>
      <c r="L616" t="n">
        <v>0</v>
      </c>
      <c r="M616" t="n">
        <v>0</v>
      </c>
      <c r="N616" t="n">
        <v>0</v>
      </c>
      <c r="O616" t="n">
        <v>0</v>
      </c>
      <c r="P616" t="n">
        <v>0</v>
      </c>
      <c r="Q616" t="n">
        <v>0</v>
      </c>
      <c r="R616" s="2" t="inlineStr"/>
    </row>
    <row r="617" ht="15" customHeight="1">
      <c r="A617" t="inlineStr">
        <is>
          <t>A 32426-2025</t>
        </is>
      </c>
      <c r="B617" s="1" t="n">
        <v>45838.36179398148</v>
      </c>
      <c r="C617" s="1" t="n">
        <v>45993</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32904-2025</t>
        </is>
      </c>
      <c r="B618" s="1" t="n">
        <v>45839</v>
      </c>
      <c r="C618" s="1" t="n">
        <v>45993</v>
      </c>
      <c r="D618" t="inlineStr">
        <is>
          <t>ÖREBRO LÄN</t>
        </is>
      </c>
      <c r="E618" t="inlineStr">
        <is>
          <t>ÖREBRO</t>
        </is>
      </c>
      <c r="G618" t="n">
        <v>0.6</v>
      </c>
      <c r="H618" t="n">
        <v>0</v>
      </c>
      <c r="I618" t="n">
        <v>0</v>
      </c>
      <c r="J618" t="n">
        <v>0</v>
      </c>
      <c r="K618" t="n">
        <v>0</v>
      </c>
      <c r="L618" t="n">
        <v>0</v>
      </c>
      <c r="M618" t="n">
        <v>0</v>
      </c>
      <c r="N618" t="n">
        <v>0</v>
      </c>
      <c r="O618" t="n">
        <v>0</v>
      </c>
      <c r="P618" t="n">
        <v>0</v>
      </c>
      <c r="Q618" t="n">
        <v>0</v>
      </c>
      <c r="R618" s="2" t="inlineStr"/>
    </row>
    <row r="619" ht="15" customHeight="1">
      <c r="A619" t="inlineStr">
        <is>
          <t>A 48687-2024</t>
        </is>
      </c>
      <c r="B619" s="1" t="n">
        <v>45593.49899305555</v>
      </c>
      <c r="C619" s="1" t="n">
        <v>45993</v>
      </c>
      <c r="D619" t="inlineStr">
        <is>
          <t>ÖREBRO LÄN</t>
        </is>
      </c>
      <c r="E619" t="inlineStr">
        <is>
          <t>ÖREBRO</t>
        </is>
      </c>
      <c r="F619" t="inlineStr">
        <is>
          <t>Övriga Aktiebolag</t>
        </is>
      </c>
      <c r="G619" t="n">
        <v>3.8</v>
      </c>
      <c r="H619" t="n">
        <v>0</v>
      </c>
      <c r="I619" t="n">
        <v>0</v>
      </c>
      <c r="J619" t="n">
        <v>0</v>
      </c>
      <c r="K619" t="n">
        <v>0</v>
      </c>
      <c r="L619" t="n">
        <v>0</v>
      </c>
      <c r="M619" t="n">
        <v>0</v>
      </c>
      <c r="N619" t="n">
        <v>0</v>
      </c>
      <c r="O619" t="n">
        <v>0</v>
      </c>
      <c r="P619" t="n">
        <v>0</v>
      </c>
      <c r="Q619" t="n">
        <v>0</v>
      </c>
      <c r="R619" s="2" t="inlineStr"/>
    </row>
    <row r="620" ht="15" customHeight="1">
      <c r="A620" t="inlineStr">
        <is>
          <t>A 35062-2025</t>
        </is>
      </c>
      <c r="B620" s="1" t="n">
        <v>45852</v>
      </c>
      <c r="C620" s="1" t="n">
        <v>45993</v>
      </c>
      <c r="D620" t="inlineStr">
        <is>
          <t>ÖREBRO LÄN</t>
        </is>
      </c>
      <c r="E620" t="inlineStr">
        <is>
          <t>ÖREBRO</t>
        </is>
      </c>
      <c r="G620" t="n">
        <v>2.8</v>
      </c>
      <c r="H620" t="n">
        <v>0</v>
      </c>
      <c r="I620" t="n">
        <v>0</v>
      </c>
      <c r="J620" t="n">
        <v>0</v>
      </c>
      <c r="K620" t="n">
        <v>0</v>
      </c>
      <c r="L620" t="n">
        <v>0</v>
      </c>
      <c r="M620" t="n">
        <v>0</v>
      </c>
      <c r="N620" t="n">
        <v>0</v>
      </c>
      <c r="O620" t="n">
        <v>0</v>
      </c>
      <c r="P620" t="n">
        <v>0</v>
      </c>
      <c r="Q620" t="n">
        <v>0</v>
      </c>
      <c r="R620" s="2" t="inlineStr"/>
    </row>
    <row r="621" ht="15" customHeight="1">
      <c r="A621" t="inlineStr">
        <is>
          <t>A 28821-2025</t>
        </is>
      </c>
      <c r="B621" s="1" t="n">
        <v>45820</v>
      </c>
      <c r="C621" s="1" t="n">
        <v>45993</v>
      </c>
      <c r="D621" t="inlineStr">
        <is>
          <t>ÖREBRO LÄN</t>
        </is>
      </c>
      <c r="E621" t="inlineStr">
        <is>
          <t>ÖREBRO</t>
        </is>
      </c>
      <c r="G621" t="n">
        <v>12.6</v>
      </c>
      <c r="H621" t="n">
        <v>0</v>
      </c>
      <c r="I621" t="n">
        <v>0</v>
      </c>
      <c r="J621" t="n">
        <v>0</v>
      </c>
      <c r="K621" t="n">
        <v>0</v>
      </c>
      <c r="L621" t="n">
        <v>0</v>
      </c>
      <c r="M621" t="n">
        <v>0</v>
      </c>
      <c r="N621" t="n">
        <v>0</v>
      </c>
      <c r="O621" t="n">
        <v>0</v>
      </c>
      <c r="P621" t="n">
        <v>0</v>
      </c>
      <c r="Q621" t="n">
        <v>0</v>
      </c>
      <c r="R621" s="2" t="inlineStr"/>
    </row>
    <row r="622" ht="15" customHeight="1">
      <c r="A622" t="inlineStr">
        <is>
          <t>A 35637-2025</t>
        </is>
      </c>
      <c r="B622" s="1" t="n">
        <v>45859.46859953704</v>
      </c>
      <c r="C622" s="1" t="n">
        <v>45993</v>
      </c>
      <c r="D622" t="inlineStr">
        <is>
          <t>ÖREBRO LÄN</t>
        </is>
      </c>
      <c r="E622" t="inlineStr">
        <is>
          <t>ÖREBRO</t>
        </is>
      </c>
      <c r="G622" t="n">
        <v>2.1</v>
      </c>
      <c r="H622" t="n">
        <v>0</v>
      </c>
      <c r="I622" t="n">
        <v>0</v>
      </c>
      <c r="J622" t="n">
        <v>0</v>
      </c>
      <c r="K622" t="n">
        <v>0</v>
      </c>
      <c r="L622" t="n">
        <v>0</v>
      </c>
      <c r="M622" t="n">
        <v>0</v>
      </c>
      <c r="N622" t="n">
        <v>0</v>
      </c>
      <c r="O622" t="n">
        <v>0</v>
      </c>
      <c r="P622" t="n">
        <v>0</v>
      </c>
      <c r="Q622" t="n">
        <v>0</v>
      </c>
      <c r="R622" s="2" t="inlineStr"/>
    </row>
    <row r="623" ht="15" customHeight="1">
      <c r="A623" t="inlineStr">
        <is>
          <t>A 35928-2025</t>
        </is>
      </c>
      <c r="B623" s="1" t="n">
        <v>45862</v>
      </c>
      <c r="C623" s="1" t="n">
        <v>45993</v>
      </c>
      <c r="D623" t="inlineStr">
        <is>
          <t>ÖREBRO LÄN</t>
        </is>
      </c>
      <c r="E623" t="inlineStr">
        <is>
          <t>ÖREBRO</t>
        </is>
      </c>
      <c r="G623" t="n">
        <v>4.4</v>
      </c>
      <c r="H623" t="n">
        <v>0</v>
      </c>
      <c r="I623" t="n">
        <v>0</v>
      </c>
      <c r="J623" t="n">
        <v>0</v>
      </c>
      <c r="K623" t="n">
        <v>0</v>
      </c>
      <c r="L623" t="n">
        <v>0</v>
      </c>
      <c r="M623" t="n">
        <v>0</v>
      </c>
      <c r="N623" t="n">
        <v>0</v>
      </c>
      <c r="O623" t="n">
        <v>0</v>
      </c>
      <c r="P623" t="n">
        <v>0</v>
      </c>
      <c r="Q623" t="n">
        <v>0</v>
      </c>
      <c r="R623" s="2" t="inlineStr"/>
    </row>
    <row r="624" ht="15" customHeight="1">
      <c r="A624" t="inlineStr">
        <is>
          <t>A 55453-2024</t>
        </is>
      </c>
      <c r="B624" s="1" t="n">
        <v>45622.42097222222</v>
      </c>
      <c r="C624" s="1" t="n">
        <v>45993</v>
      </c>
      <c r="D624" t="inlineStr">
        <is>
          <t>ÖREBRO LÄN</t>
        </is>
      </c>
      <c r="E624" t="inlineStr">
        <is>
          <t>ÖREBRO</t>
        </is>
      </c>
      <c r="G624" t="n">
        <v>8.5</v>
      </c>
      <c r="H624" t="n">
        <v>0</v>
      </c>
      <c r="I624" t="n">
        <v>0</v>
      </c>
      <c r="J624" t="n">
        <v>0</v>
      </c>
      <c r="K624" t="n">
        <v>0</v>
      </c>
      <c r="L624" t="n">
        <v>0</v>
      </c>
      <c r="M624" t="n">
        <v>0</v>
      </c>
      <c r="N624" t="n">
        <v>0</v>
      </c>
      <c r="O624" t="n">
        <v>0</v>
      </c>
      <c r="P624" t="n">
        <v>0</v>
      </c>
      <c r="Q624" t="n">
        <v>0</v>
      </c>
      <c r="R624" s="2" t="inlineStr"/>
    </row>
    <row r="625" ht="15" customHeight="1">
      <c r="A625" t="inlineStr">
        <is>
          <t>A 32025-2024</t>
        </is>
      </c>
      <c r="B625" s="1" t="n">
        <v>45510.65754629629</v>
      </c>
      <c r="C625" s="1" t="n">
        <v>45993</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36448-2025</t>
        </is>
      </c>
      <c r="B626" s="1" t="n">
        <v>45869.41929398148</v>
      </c>
      <c r="C626" s="1" t="n">
        <v>45993</v>
      </c>
      <c r="D626" t="inlineStr">
        <is>
          <t>ÖREBRO LÄN</t>
        </is>
      </c>
      <c r="E626" t="inlineStr">
        <is>
          <t>ÖREBRO</t>
        </is>
      </c>
      <c r="F626" t="inlineStr">
        <is>
          <t>Övriga Aktiebolag</t>
        </is>
      </c>
      <c r="G626" t="n">
        <v>4.3</v>
      </c>
      <c r="H626" t="n">
        <v>0</v>
      </c>
      <c r="I626" t="n">
        <v>0</v>
      </c>
      <c r="J626" t="n">
        <v>0</v>
      </c>
      <c r="K626" t="n">
        <v>0</v>
      </c>
      <c r="L626" t="n">
        <v>0</v>
      </c>
      <c r="M626" t="n">
        <v>0</v>
      </c>
      <c r="N626" t="n">
        <v>0</v>
      </c>
      <c r="O626" t="n">
        <v>0</v>
      </c>
      <c r="P626" t="n">
        <v>0</v>
      </c>
      <c r="Q626" t="n">
        <v>0</v>
      </c>
      <c r="R626" s="2" t="inlineStr"/>
    </row>
    <row r="627">
      <c r="A627" t="inlineStr">
        <is>
          <t>A 36447-2025</t>
        </is>
      </c>
      <c r="B627" s="1" t="n">
        <v>45869.41387731482</v>
      </c>
      <c r="C627" s="1" t="n">
        <v>45993</v>
      </c>
      <c r="D627" t="inlineStr">
        <is>
          <t>ÖREBRO LÄN</t>
        </is>
      </c>
      <c r="E627" t="inlineStr">
        <is>
          <t>ÖREBRO</t>
        </is>
      </c>
      <c r="F627" t="inlineStr">
        <is>
          <t>Övriga Aktiebolag</t>
        </is>
      </c>
      <c r="G627" t="n">
        <v>12.6</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2025-12-02T10:26:11Z</dcterms:created>
  <dcterms:modified xmlns:dcterms="http://purl.org/dc/terms/" xmlns:xsi="http://www.w3.org/2001/XMLSchema-instance" xsi:type="dcterms:W3CDTF">2025-12-02T10:26:12Z</dcterms:modified>
</cp:coreProperties>
</file>