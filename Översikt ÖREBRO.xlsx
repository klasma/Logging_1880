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45923</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45923</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45923</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45923</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45923</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45923</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45923</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45923</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8564-2021</t>
        </is>
      </c>
      <c r="B10" s="1" t="n">
        <v>44245</v>
      </c>
      <c r="C10" s="1" t="n">
        <v>45923</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8564-2021 artfynd.xlsx", "A 8564-2021")</f>
        <v/>
      </c>
      <c r="T10">
        <f>HYPERLINK("https://klasma.github.io/Logging_1880/kartor/A 8564-2021 karta.png", "A 8564-2021")</f>
        <v/>
      </c>
      <c r="V10">
        <f>HYPERLINK("https://klasma.github.io/Logging_1880/klagomål/A 8564-2021 FSC-klagomål.docx", "A 8564-2021")</f>
        <v/>
      </c>
      <c r="W10">
        <f>HYPERLINK("https://klasma.github.io/Logging_1880/klagomålsmail/A 8564-2021 FSC-klagomål mail.docx", "A 8564-2021")</f>
        <v/>
      </c>
      <c r="X10">
        <f>HYPERLINK("https://klasma.github.io/Logging_1880/tillsyn/A 8564-2021 tillsynsbegäran.docx", "A 8564-2021")</f>
        <v/>
      </c>
      <c r="Y10">
        <f>HYPERLINK("https://klasma.github.io/Logging_1880/tillsynsmail/A 8564-2021 tillsynsbegäran mail.docx", "A 8564-2021")</f>
        <v/>
      </c>
    </row>
    <row r="11" ht="15" customHeight="1">
      <c r="A11" t="inlineStr">
        <is>
          <t>A 33069-2025</t>
        </is>
      </c>
      <c r="B11" s="1" t="n">
        <v>45840</v>
      </c>
      <c r="C11" s="1" t="n">
        <v>45923</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45923</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51530-2024</t>
        </is>
      </c>
      <c r="B13" s="1" t="n">
        <v>45604</v>
      </c>
      <c r="C13" s="1" t="n">
        <v>45923</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45923</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45923</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45923</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45923</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35098-2025</t>
        </is>
      </c>
      <c r="B18" s="1" t="n">
        <v>45852.5469212963</v>
      </c>
      <c r="C18" s="1" t="n">
        <v>45923</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50096-2023</t>
        </is>
      </c>
      <c r="B19" s="1" t="n">
        <v>45215</v>
      </c>
      <c r="C19" s="1" t="n">
        <v>45923</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17074-2024</t>
        </is>
      </c>
      <c r="B20" s="1" t="n">
        <v>45412</v>
      </c>
      <c r="C20" s="1" t="n">
        <v>45923</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45923</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575-2024</t>
        </is>
      </c>
      <c r="B22" s="1" t="n">
        <v>45299</v>
      </c>
      <c r="C22" s="1" t="n">
        <v>45923</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29478-2022</t>
        </is>
      </c>
      <c r="B23" s="1" t="n">
        <v>44753</v>
      </c>
      <c r="C23" s="1" t="n">
        <v>45923</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45923</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45923</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13458-2024</t>
        </is>
      </c>
      <c r="B26" s="1" t="n">
        <v>45387.54642361111</v>
      </c>
      <c r="C26" s="1" t="n">
        <v>45923</v>
      </c>
      <c r="D26" t="inlineStr">
        <is>
          <t>ÖREBRO LÄN</t>
        </is>
      </c>
      <c r="E26" t="inlineStr">
        <is>
          <t>ÖREBRO</t>
        </is>
      </c>
      <c r="G26" t="n">
        <v>1.8</v>
      </c>
      <c r="H26" t="n">
        <v>2</v>
      </c>
      <c r="I26" t="n">
        <v>0</v>
      </c>
      <c r="J26" t="n">
        <v>1</v>
      </c>
      <c r="K26" t="n">
        <v>0</v>
      </c>
      <c r="L26" t="n">
        <v>0</v>
      </c>
      <c r="M26" t="n">
        <v>0</v>
      </c>
      <c r="N26" t="n">
        <v>0</v>
      </c>
      <c r="O26" t="n">
        <v>1</v>
      </c>
      <c r="P26" t="n">
        <v>0</v>
      </c>
      <c r="Q26" t="n">
        <v>2</v>
      </c>
      <c r="R26" s="2" t="inlineStr">
        <is>
          <t>Havsörn
Göktyta</t>
        </is>
      </c>
      <c r="S26">
        <f>HYPERLINK("https://klasma.github.io/Logging_1880/artfynd/A 13458-2024 artfynd.xlsx", "A 13458-2024")</f>
        <v/>
      </c>
      <c r="T26">
        <f>HYPERLINK("https://klasma.github.io/Logging_1880/kartor/A 13458-2024 karta.png", "A 13458-2024")</f>
        <v/>
      </c>
      <c r="V26">
        <f>HYPERLINK("https://klasma.github.io/Logging_1880/klagomål/A 13458-2024 FSC-klagomål.docx", "A 13458-2024")</f>
        <v/>
      </c>
      <c r="W26">
        <f>HYPERLINK("https://klasma.github.io/Logging_1880/klagomålsmail/A 13458-2024 FSC-klagomål mail.docx", "A 13458-2024")</f>
        <v/>
      </c>
      <c r="X26">
        <f>HYPERLINK("https://klasma.github.io/Logging_1880/tillsyn/A 13458-2024 tillsynsbegäran.docx", "A 13458-2024")</f>
        <v/>
      </c>
      <c r="Y26">
        <f>HYPERLINK("https://klasma.github.io/Logging_1880/tillsynsmail/A 13458-2024 tillsynsbegäran mail.docx", "A 13458-2024")</f>
        <v/>
      </c>
      <c r="Z26">
        <f>HYPERLINK("https://klasma.github.io/Logging_1880/fåglar/A 13458-2024 prioriterade fågelarter.docx", "A 13458-2024")</f>
        <v/>
      </c>
    </row>
    <row r="27" ht="15" customHeight="1">
      <c r="A27" t="inlineStr">
        <is>
          <t>A 49552-2022</t>
        </is>
      </c>
      <c r="B27" s="1" t="n">
        <v>44862.31013888889</v>
      </c>
      <c r="C27" s="1" t="n">
        <v>45923</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22577-2024</t>
        </is>
      </c>
      <c r="B28" s="1" t="n">
        <v>45447</v>
      </c>
      <c r="C28" s="1" t="n">
        <v>45923</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7608-2024</t>
        </is>
      </c>
      <c r="B29" s="1" t="n">
        <v>45348</v>
      </c>
      <c r="C29" s="1" t="n">
        <v>45923</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13395-2024</t>
        </is>
      </c>
      <c r="B30" s="1" t="n">
        <v>45387.42296296296</v>
      </c>
      <c r="C30" s="1" t="n">
        <v>45923</v>
      </c>
      <c r="D30" t="inlineStr">
        <is>
          <t>ÖREBRO LÄN</t>
        </is>
      </c>
      <c r="E30" t="inlineStr">
        <is>
          <t>ÖREBRO</t>
        </is>
      </c>
      <c r="G30" t="n">
        <v>1.9</v>
      </c>
      <c r="H30" t="n">
        <v>2</v>
      </c>
      <c r="I30" t="n">
        <v>0</v>
      </c>
      <c r="J30" t="n">
        <v>0</v>
      </c>
      <c r="K30" t="n">
        <v>0</v>
      </c>
      <c r="L30" t="n">
        <v>0</v>
      </c>
      <c r="M30" t="n">
        <v>0</v>
      </c>
      <c r="N30" t="n">
        <v>0</v>
      </c>
      <c r="O30" t="n">
        <v>0</v>
      </c>
      <c r="P30" t="n">
        <v>0</v>
      </c>
      <c r="Q30" t="n">
        <v>2</v>
      </c>
      <c r="R30" s="2" t="inlineStr">
        <is>
          <t>Järnsparv
Kungsfågel</t>
        </is>
      </c>
      <c r="S30">
        <f>HYPERLINK("https://klasma.github.io/Logging_1880/artfynd/A 13395-2024 artfynd.xlsx", "A 13395-2024")</f>
        <v/>
      </c>
      <c r="T30">
        <f>HYPERLINK("https://klasma.github.io/Logging_1880/kartor/A 13395-2024 karta.png", "A 13395-2024")</f>
        <v/>
      </c>
      <c r="V30">
        <f>HYPERLINK("https://klasma.github.io/Logging_1880/klagomål/A 13395-2024 FSC-klagomål.docx", "A 13395-2024")</f>
        <v/>
      </c>
      <c r="W30">
        <f>HYPERLINK("https://klasma.github.io/Logging_1880/klagomålsmail/A 13395-2024 FSC-klagomål mail.docx", "A 13395-2024")</f>
        <v/>
      </c>
      <c r="X30">
        <f>HYPERLINK("https://klasma.github.io/Logging_1880/tillsyn/A 13395-2024 tillsynsbegäran.docx", "A 13395-2024")</f>
        <v/>
      </c>
      <c r="Y30">
        <f>HYPERLINK("https://klasma.github.io/Logging_1880/tillsynsmail/A 13395-2024 tillsynsbegäran mail.docx", "A 13395-2024")</f>
        <v/>
      </c>
      <c r="Z30">
        <f>HYPERLINK("https://klasma.github.io/Logging_1880/fåglar/A 13395-2024 prioriterade fågelarter.docx", "A 13395-2024")</f>
        <v/>
      </c>
    </row>
    <row r="31" ht="15" customHeight="1">
      <c r="A31" t="inlineStr">
        <is>
          <t>A 52400-2024</t>
        </is>
      </c>
      <c r="B31" s="1" t="n">
        <v>45609.44461805555</v>
      </c>
      <c r="C31" s="1" t="n">
        <v>45923</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14956-2025</t>
        </is>
      </c>
      <c r="B32" s="1" t="n">
        <v>45743.58409722222</v>
      </c>
      <c r="C32" s="1" t="n">
        <v>45923</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8267-2021</t>
        </is>
      </c>
      <c r="B33" s="1" t="n">
        <v>44244</v>
      </c>
      <c r="C33" s="1" t="n">
        <v>45923</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45923</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37019-2024</t>
        </is>
      </c>
      <c r="B35" s="1" t="n">
        <v>45539.37905092593</v>
      </c>
      <c r="C35" s="1" t="n">
        <v>45923</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29704-2022</t>
        </is>
      </c>
      <c r="B36" s="1" t="n">
        <v>44755</v>
      </c>
      <c r="C36" s="1" t="n">
        <v>45923</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45923</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45923</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4014-2021</t>
        </is>
      </c>
      <c r="B39" s="1" t="n">
        <v>44218</v>
      </c>
      <c r="C39" s="1" t="n">
        <v>45923</v>
      </c>
      <c r="D39" t="inlineStr">
        <is>
          <t>ÖREBRO LÄN</t>
        </is>
      </c>
      <c r="E39" t="inlineStr">
        <is>
          <t>ÖREBRO</t>
        </is>
      </c>
      <c r="G39" t="n">
        <v>10.5</v>
      </c>
      <c r="H39" t="n">
        <v>0</v>
      </c>
      <c r="I39" t="n">
        <v>1</v>
      </c>
      <c r="J39" t="n">
        <v>0</v>
      </c>
      <c r="K39" t="n">
        <v>0</v>
      </c>
      <c r="L39" t="n">
        <v>0</v>
      </c>
      <c r="M39" t="n">
        <v>0</v>
      </c>
      <c r="N39" t="n">
        <v>0</v>
      </c>
      <c r="O39" t="n">
        <v>0</v>
      </c>
      <c r="P39" t="n">
        <v>0</v>
      </c>
      <c r="Q39" t="n">
        <v>1</v>
      </c>
      <c r="R39" s="2" t="inlineStr">
        <is>
          <t>Springkorn</t>
        </is>
      </c>
      <c r="S39">
        <f>HYPERLINK("https://klasma.github.io/Logging_1880/artfynd/A 4014-2021 artfynd.xlsx", "A 4014-2021")</f>
        <v/>
      </c>
      <c r="T39">
        <f>HYPERLINK("https://klasma.github.io/Logging_1880/kartor/A 4014-2021 karta.png", "A 4014-2021")</f>
        <v/>
      </c>
      <c r="V39">
        <f>HYPERLINK("https://klasma.github.io/Logging_1880/klagomål/A 4014-2021 FSC-klagomål.docx", "A 4014-2021")</f>
        <v/>
      </c>
      <c r="W39">
        <f>HYPERLINK("https://klasma.github.io/Logging_1880/klagomålsmail/A 4014-2021 FSC-klagomål mail.docx", "A 4014-2021")</f>
        <v/>
      </c>
      <c r="X39">
        <f>HYPERLINK("https://klasma.github.io/Logging_1880/tillsyn/A 4014-2021 tillsynsbegäran.docx", "A 4014-2021")</f>
        <v/>
      </c>
      <c r="Y39">
        <f>HYPERLINK("https://klasma.github.io/Logging_1880/tillsynsmail/A 4014-2021 tillsynsbegäran mail.docx", "A 4014-2021")</f>
        <v/>
      </c>
    </row>
    <row r="40" ht="15" customHeight="1">
      <c r="A40" t="inlineStr">
        <is>
          <t>A 43332-2022</t>
        </is>
      </c>
      <c r="B40" s="1" t="n">
        <v>44834</v>
      </c>
      <c r="C40" s="1" t="n">
        <v>45923</v>
      </c>
      <c r="D40" t="inlineStr">
        <is>
          <t>ÖREBRO LÄN</t>
        </is>
      </c>
      <c r="E40" t="inlineStr">
        <is>
          <t>ÖREBRO</t>
        </is>
      </c>
      <c r="G40" t="n">
        <v>2.3</v>
      </c>
      <c r="H40" t="n">
        <v>1</v>
      </c>
      <c r="I40" t="n">
        <v>0</v>
      </c>
      <c r="J40" t="n">
        <v>1</v>
      </c>
      <c r="K40" t="n">
        <v>0</v>
      </c>
      <c r="L40" t="n">
        <v>0</v>
      </c>
      <c r="M40" t="n">
        <v>0</v>
      </c>
      <c r="N40" t="n">
        <v>0</v>
      </c>
      <c r="O40" t="n">
        <v>1</v>
      </c>
      <c r="P40" t="n">
        <v>0</v>
      </c>
      <c r="Q40" t="n">
        <v>1</v>
      </c>
      <c r="R40" s="2" t="inlineStr">
        <is>
          <t>Spillkråka</t>
        </is>
      </c>
      <c r="S40">
        <f>HYPERLINK("https://klasma.github.io/Logging_1880/artfynd/A 43332-2022 artfynd.xlsx", "A 43332-2022")</f>
        <v/>
      </c>
      <c r="T40">
        <f>HYPERLINK("https://klasma.github.io/Logging_1880/kartor/A 43332-2022 karta.png", "A 43332-2022")</f>
        <v/>
      </c>
      <c r="V40">
        <f>HYPERLINK("https://klasma.github.io/Logging_1880/klagomål/A 43332-2022 FSC-klagomål.docx", "A 43332-2022")</f>
        <v/>
      </c>
      <c r="W40">
        <f>HYPERLINK("https://klasma.github.io/Logging_1880/klagomålsmail/A 43332-2022 FSC-klagomål mail.docx", "A 43332-2022")</f>
        <v/>
      </c>
      <c r="X40">
        <f>HYPERLINK("https://klasma.github.io/Logging_1880/tillsyn/A 43332-2022 tillsynsbegäran.docx", "A 43332-2022")</f>
        <v/>
      </c>
      <c r="Y40">
        <f>HYPERLINK("https://klasma.github.io/Logging_1880/tillsynsmail/A 43332-2022 tillsynsbegäran mail.docx", "A 43332-2022")</f>
        <v/>
      </c>
      <c r="Z40">
        <f>HYPERLINK("https://klasma.github.io/Logging_1880/fåglar/A 43332-2022 prioriterade fågelarter.docx", "A 43332-2022")</f>
        <v/>
      </c>
    </row>
    <row r="41" ht="15" customHeight="1">
      <c r="A41" t="inlineStr">
        <is>
          <t>A 44744-2024</t>
        </is>
      </c>
      <c r="B41" s="1" t="n">
        <v>45574.59789351852</v>
      </c>
      <c r="C41" s="1" t="n">
        <v>45923</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32105-2023</t>
        </is>
      </c>
      <c r="B42" s="1" t="n">
        <v>45119</v>
      </c>
      <c r="C42" s="1" t="n">
        <v>45923</v>
      </c>
      <c r="D42" t="inlineStr">
        <is>
          <t>ÖREBRO LÄN</t>
        </is>
      </c>
      <c r="E42" t="inlineStr">
        <is>
          <t>ÖREBRO</t>
        </is>
      </c>
      <c r="G42" t="n">
        <v>1.3</v>
      </c>
      <c r="H42" t="n">
        <v>1</v>
      </c>
      <c r="I42" t="n">
        <v>0</v>
      </c>
      <c r="J42" t="n">
        <v>1</v>
      </c>
      <c r="K42" t="n">
        <v>0</v>
      </c>
      <c r="L42" t="n">
        <v>0</v>
      </c>
      <c r="M42" t="n">
        <v>0</v>
      </c>
      <c r="N42" t="n">
        <v>0</v>
      </c>
      <c r="O42" t="n">
        <v>1</v>
      </c>
      <c r="P42" t="n">
        <v>0</v>
      </c>
      <c r="Q42" t="n">
        <v>1</v>
      </c>
      <c r="R42" s="2" t="inlineStr">
        <is>
          <t>Rödvingetrast</t>
        </is>
      </c>
      <c r="S42">
        <f>HYPERLINK("https://klasma.github.io/Logging_1880/artfynd/A 32105-2023 artfynd.xlsx", "A 32105-2023")</f>
        <v/>
      </c>
      <c r="T42">
        <f>HYPERLINK("https://klasma.github.io/Logging_1880/kartor/A 32105-2023 karta.png", "A 32105-2023")</f>
        <v/>
      </c>
      <c r="V42">
        <f>HYPERLINK("https://klasma.github.io/Logging_1880/klagomål/A 32105-2023 FSC-klagomål.docx", "A 32105-2023")</f>
        <v/>
      </c>
      <c r="W42">
        <f>HYPERLINK("https://klasma.github.io/Logging_1880/klagomålsmail/A 32105-2023 FSC-klagomål mail.docx", "A 32105-2023")</f>
        <v/>
      </c>
      <c r="X42">
        <f>HYPERLINK("https://klasma.github.io/Logging_1880/tillsyn/A 32105-2023 tillsynsbegäran.docx", "A 32105-2023")</f>
        <v/>
      </c>
      <c r="Y42">
        <f>HYPERLINK("https://klasma.github.io/Logging_1880/tillsynsmail/A 32105-2023 tillsynsbegäran mail.docx", "A 32105-2023")</f>
        <v/>
      </c>
      <c r="Z42">
        <f>HYPERLINK("https://klasma.github.io/Logging_1880/fåglar/A 32105-2023 prioriterade fågelarter.docx", "A 32105-2023")</f>
        <v/>
      </c>
    </row>
    <row r="43" ht="15" customHeight="1">
      <c r="A43" t="inlineStr">
        <is>
          <t>A 2077-2023</t>
        </is>
      </c>
      <c r="B43" s="1" t="n">
        <v>44939</v>
      </c>
      <c r="C43" s="1" t="n">
        <v>45923</v>
      </c>
      <c r="D43" t="inlineStr">
        <is>
          <t>ÖREBRO LÄN</t>
        </is>
      </c>
      <c r="E43" t="inlineStr">
        <is>
          <t>ÖREBRO</t>
        </is>
      </c>
      <c r="G43" t="n">
        <v>1.4</v>
      </c>
      <c r="H43" t="n">
        <v>1</v>
      </c>
      <c r="I43" t="n">
        <v>0</v>
      </c>
      <c r="J43" t="n">
        <v>1</v>
      </c>
      <c r="K43" t="n">
        <v>0</v>
      </c>
      <c r="L43" t="n">
        <v>0</v>
      </c>
      <c r="M43" t="n">
        <v>0</v>
      </c>
      <c r="N43" t="n">
        <v>0</v>
      </c>
      <c r="O43" t="n">
        <v>1</v>
      </c>
      <c r="P43" t="n">
        <v>0</v>
      </c>
      <c r="Q43" t="n">
        <v>1</v>
      </c>
      <c r="R43" s="2" t="inlineStr">
        <is>
          <t>Rödvingetrast</t>
        </is>
      </c>
      <c r="S43">
        <f>HYPERLINK("https://klasma.github.io/Logging_1880/artfynd/A 2077-2023 artfynd.xlsx", "A 2077-2023")</f>
        <v/>
      </c>
      <c r="T43">
        <f>HYPERLINK("https://klasma.github.io/Logging_1880/kartor/A 2077-2023 karta.png", "A 2077-2023")</f>
        <v/>
      </c>
      <c r="V43">
        <f>HYPERLINK("https://klasma.github.io/Logging_1880/klagomål/A 2077-2023 FSC-klagomål.docx", "A 2077-2023")</f>
        <v/>
      </c>
      <c r="W43">
        <f>HYPERLINK("https://klasma.github.io/Logging_1880/klagomålsmail/A 2077-2023 FSC-klagomål mail.docx", "A 2077-2023")</f>
        <v/>
      </c>
      <c r="X43">
        <f>HYPERLINK("https://klasma.github.io/Logging_1880/tillsyn/A 2077-2023 tillsynsbegäran.docx", "A 2077-2023")</f>
        <v/>
      </c>
      <c r="Y43">
        <f>HYPERLINK("https://klasma.github.io/Logging_1880/tillsynsmail/A 2077-2023 tillsynsbegäran mail.docx", "A 2077-2023")</f>
        <v/>
      </c>
      <c r="Z43">
        <f>HYPERLINK("https://klasma.github.io/Logging_1880/fåglar/A 2077-2023 prioriterade fågelarter.docx", "A 2077-2023")</f>
        <v/>
      </c>
    </row>
    <row r="44" ht="15" customHeight="1">
      <c r="A44" t="inlineStr">
        <is>
          <t>A 44389-2021</t>
        </is>
      </c>
      <c r="B44" s="1" t="n">
        <v>44435</v>
      </c>
      <c r="C44" s="1" t="n">
        <v>45923</v>
      </c>
      <c r="D44" t="inlineStr">
        <is>
          <t>ÖREBRO LÄN</t>
        </is>
      </c>
      <c r="E44" t="inlineStr">
        <is>
          <t>ÖREBRO</t>
        </is>
      </c>
      <c r="G44" t="n">
        <v>2.2</v>
      </c>
      <c r="H44" t="n">
        <v>1</v>
      </c>
      <c r="I44" t="n">
        <v>0</v>
      </c>
      <c r="J44" t="n">
        <v>0</v>
      </c>
      <c r="K44" t="n">
        <v>1</v>
      </c>
      <c r="L44" t="n">
        <v>0</v>
      </c>
      <c r="M44" t="n">
        <v>0</v>
      </c>
      <c r="N44" t="n">
        <v>0</v>
      </c>
      <c r="O44" t="n">
        <v>1</v>
      </c>
      <c r="P44" t="n">
        <v>1</v>
      </c>
      <c r="Q44" t="n">
        <v>1</v>
      </c>
      <c r="R44" s="2" t="inlineStr">
        <is>
          <t>Knärot</t>
        </is>
      </c>
      <c r="S44">
        <f>HYPERLINK("https://klasma.github.io/Logging_1880/artfynd/A 44389-2021 artfynd.xlsx", "A 44389-2021")</f>
        <v/>
      </c>
      <c r="T44">
        <f>HYPERLINK("https://klasma.github.io/Logging_1880/kartor/A 44389-2021 karta.png", "A 44389-2021")</f>
        <v/>
      </c>
      <c r="U44">
        <f>HYPERLINK("https://klasma.github.io/Logging_1880/knärot/A 44389-2021 karta knärot.png", "A 44389-2021")</f>
        <v/>
      </c>
      <c r="V44">
        <f>HYPERLINK("https://klasma.github.io/Logging_1880/klagomål/A 44389-2021 FSC-klagomål.docx", "A 44389-2021")</f>
        <v/>
      </c>
      <c r="W44">
        <f>HYPERLINK("https://klasma.github.io/Logging_1880/klagomålsmail/A 44389-2021 FSC-klagomål mail.docx", "A 44389-2021")</f>
        <v/>
      </c>
      <c r="X44">
        <f>HYPERLINK("https://klasma.github.io/Logging_1880/tillsyn/A 44389-2021 tillsynsbegäran.docx", "A 44389-2021")</f>
        <v/>
      </c>
      <c r="Y44">
        <f>HYPERLINK("https://klasma.github.io/Logging_1880/tillsynsmail/A 44389-2021 tillsynsbegäran mail.docx", "A 44389-2021")</f>
        <v/>
      </c>
    </row>
    <row r="45" ht="15" customHeight="1">
      <c r="A45" t="inlineStr">
        <is>
          <t>A 11501-2025</t>
        </is>
      </c>
      <c r="B45" s="1" t="n">
        <v>45726</v>
      </c>
      <c r="C45" s="1" t="n">
        <v>45923</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58966-2020</t>
        </is>
      </c>
      <c r="B46" s="1" t="n">
        <v>44146</v>
      </c>
      <c r="C46" s="1" t="n">
        <v>45923</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31695-2024</t>
        </is>
      </c>
      <c r="B47" s="1" t="n">
        <v>45508</v>
      </c>
      <c r="C47" s="1" t="n">
        <v>45923</v>
      </c>
      <c r="D47" t="inlineStr">
        <is>
          <t>ÖREBRO LÄN</t>
        </is>
      </c>
      <c r="E47" t="inlineStr">
        <is>
          <t>ÖREBRO</t>
        </is>
      </c>
      <c r="G47" t="n">
        <v>1.3</v>
      </c>
      <c r="H47" t="n">
        <v>1</v>
      </c>
      <c r="I47" t="n">
        <v>1</v>
      </c>
      <c r="J47" t="n">
        <v>0</v>
      </c>
      <c r="K47" t="n">
        <v>0</v>
      </c>
      <c r="L47" t="n">
        <v>0</v>
      </c>
      <c r="M47" t="n">
        <v>0</v>
      </c>
      <c r="N47" t="n">
        <v>0</v>
      </c>
      <c r="O47" t="n">
        <v>0</v>
      </c>
      <c r="P47" t="n">
        <v>0</v>
      </c>
      <c r="Q47" t="n">
        <v>1</v>
      </c>
      <c r="R47" s="2" t="inlineStr">
        <is>
          <t>Skogsknipprot</t>
        </is>
      </c>
      <c r="S47">
        <f>HYPERLINK("https://klasma.github.io/Logging_1880/artfynd/A 31695-2024 artfynd.xlsx", "A 31695-2024")</f>
        <v/>
      </c>
      <c r="T47">
        <f>HYPERLINK("https://klasma.github.io/Logging_1880/kartor/A 31695-2024 karta.png", "A 31695-2024")</f>
        <v/>
      </c>
      <c r="V47">
        <f>HYPERLINK("https://klasma.github.io/Logging_1880/klagomål/A 31695-2024 FSC-klagomål.docx", "A 31695-2024")</f>
        <v/>
      </c>
      <c r="W47">
        <f>HYPERLINK("https://klasma.github.io/Logging_1880/klagomålsmail/A 31695-2024 FSC-klagomål mail.docx", "A 31695-2024")</f>
        <v/>
      </c>
      <c r="X47">
        <f>HYPERLINK("https://klasma.github.io/Logging_1880/tillsyn/A 31695-2024 tillsynsbegäran.docx", "A 31695-2024")</f>
        <v/>
      </c>
      <c r="Y47">
        <f>HYPERLINK("https://klasma.github.io/Logging_1880/tillsynsmail/A 31695-2024 tillsynsbegäran mail.docx", "A 31695-2024")</f>
        <v/>
      </c>
    </row>
    <row r="48" ht="15" customHeight="1">
      <c r="A48" t="inlineStr">
        <is>
          <t>A 20032-2023</t>
        </is>
      </c>
      <c r="B48" s="1" t="n">
        <v>45054</v>
      </c>
      <c r="C48" s="1" t="n">
        <v>45923</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22604-2024</t>
        </is>
      </c>
      <c r="B49" s="1" t="n">
        <v>45447</v>
      </c>
      <c r="C49" s="1" t="n">
        <v>45923</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30725-2023</t>
        </is>
      </c>
      <c r="B50" s="1" t="n">
        <v>45112.61451388889</v>
      </c>
      <c r="C50" s="1" t="n">
        <v>45923</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5097-2023</t>
        </is>
      </c>
      <c r="B51" s="1" t="n">
        <v>44958</v>
      </c>
      <c r="C51" s="1" t="n">
        <v>45923</v>
      </c>
      <c r="D51" t="inlineStr">
        <is>
          <t>ÖREBRO LÄN</t>
        </is>
      </c>
      <c r="E51" t="inlineStr">
        <is>
          <t>ÖREBRO</t>
        </is>
      </c>
      <c r="G51" t="n">
        <v>3.6</v>
      </c>
      <c r="H51" t="n">
        <v>1</v>
      </c>
      <c r="I51" t="n">
        <v>0</v>
      </c>
      <c r="J51" t="n">
        <v>0</v>
      </c>
      <c r="K51" t="n">
        <v>0</v>
      </c>
      <c r="L51" t="n">
        <v>0</v>
      </c>
      <c r="M51" t="n">
        <v>0</v>
      </c>
      <c r="N51" t="n">
        <v>0</v>
      </c>
      <c r="O51" t="n">
        <v>0</v>
      </c>
      <c r="P51" t="n">
        <v>0</v>
      </c>
      <c r="Q51" t="n">
        <v>1</v>
      </c>
      <c r="R51" s="2" t="inlineStr">
        <is>
          <t>Grönvit nattviol</t>
        </is>
      </c>
      <c r="S51">
        <f>HYPERLINK("https://klasma.github.io/Logging_1880/artfynd/A 5097-2023 artfynd.xlsx", "A 5097-2023")</f>
        <v/>
      </c>
      <c r="T51">
        <f>HYPERLINK("https://klasma.github.io/Logging_1880/kartor/A 5097-2023 karta.png", "A 5097-2023")</f>
        <v/>
      </c>
      <c r="V51">
        <f>HYPERLINK("https://klasma.github.io/Logging_1880/klagomål/A 5097-2023 FSC-klagomål.docx", "A 5097-2023")</f>
        <v/>
      </c>
      <c r="W51">
        <f>HYPERLINK("https://klasma.github.io/Logging_1880/klagomålsmail/A 5097-2023 FSC-klagomål mail.docx", "A 5097-2023")</f>
        <v/>
      </c>
      <c r="X51">
        <f>HYPERLINK("https://klasma.github.io/Logging_1880/tillsyn/A 5097-2023 tillsynsbegäran.docx", "A 5097-2023")</f>
        <v/>
      </c>
      <c r="Y51">
        <f>HYPERLINK("https://klasma.github.io/Logging_1880/tillsynsmail/A 5097-2023 tillsynsbegäran mail.docx", "A 5097-2023")</f>
        <v/>
      </c>
    </row>
    <row r="52" ht="15" customHeight="1">
      <c r="A52" t="inlineStr">
        <is>
          <t>A 20247-2023</t>
        </is>
      </c>
      <c r="B52" s="1" t="n">
        <v>45055</v>
      </c>
      <c r="C52" s="1" t="n">
        <v>45923</v>
      </c>
      <c r="D52" t="inlineStr">
        <is>
          <t>ÖREBRO LÄN</t>
        </is>
      </c>
      <c r="E52" t="inlineStr">
        <is>
          <t>ÖREBRO</t>
        </is>
      </c>
      <c r="G52" t="n">
        <v>3</v>
      </c>
      <c r="H52" t="n">
        <v>1</v>
      </c>
      <c r="I52" t="n">
        <v>0</v>
      </c>
      <c r="J52" t="n">
        <v>0</v>
      </c>
      <c r="K52" t="n">
        <v>0</v>
      </c>
      <c r="L52" t="n">
        <v>0</v>
      </c>
      <c r="M52" t="n">
        <v>0</v>
      </c>
      <c r="N52" t="n">
        <v>0</v>
      </c>
      <c r="O52" t="n">
        <v>0</v>
      </c>
      <c r="P52" t="n">
        <v>0</v>
      </c>
      <c r="Q52" t="n">
        <v>1</v>
      </c>
      <c r="R52" s="2" t="inlineStr">
        <is>
          <t>Större vattensalamander</t>
        </is>
      </c>
      <c r="S52">
        <f>HYPERLINK("https://klasma.github.io/Logging_1880/artfynd/A 20247-2023 artfynd.xlsx", "A 20247-2023")</f>
        <v/>
      </c>
      <c r="T52">
        <f>HYPERLINK("https://klasma.github.io/Logging_1880/kartor/A 20247-2023 karta.png", "A 20247-2023")</f>
        <v/>
      </c>
      <c r="V52">
        <f>HYPERLINK("https://klasma.github.io/Logging_1880/klagomål/A 20247-2023 FSC-klagomål.docx", "A 20247-2023")</f>
        <v/>
      </c>
      <c r="W52">
        <f>HYPERLINK("https://klasma.github.io/Logging_1880/klagomålsmail/A 20247-2023 FSC-klagomål mail.docx", "A 20247-2023")</f>
        <v/>
      </c>
      <c r="X52">
        <f>HYPERLINK("https://klasma.github.io/Logging_1880/tillsyn/A 20247-2023 tillsynsbegäran.docx", "A 20247-2023")</f>
        <v/>
      </c>
      <c r="Y52">
        <f>HYPERLINK("https://klasma.github.io/Logging_1880/tillsynsmail/A 20247-2023 tillsynsbegäran mail.docx", "A 20247-2023")</f>
        <v/>
      </c>
    </row>
    <row r="53" ht="15" customHeight="1">
      <c r="A53" t="inlineStr">
        <is>
          <t>A 55904-2024</t>
        </is>
      </c>
      <c r="B53" s="1" t="n">
        <v>45623.58190972222</v>
      </c>
      <c r="C53" s="1" t="n">
        <v>45923</v>
      </c>
      <c r="D53" t="inlineStr">
        <is>
          <t>ÖREBRO LÄN</t>
        </is>
      </c>
      <c r="E53" t="inlineStr">
        <is>
          <t>ÖREBRO</t>
        </is>
      </c>
      <c r="G53" t="n">
        <v>1.2</v>
      </c>
      <c r="H53" t="n">
        <v>1</v>
      </c>
      <c r="I53" t="n">
        <v>0</v>
      </c>
      <c r="J53" t="n">
        <v>0</v>
      </c>
      <c r="K53" t="n">
        <v>0</v>
      </c>
      <c r="L53" t="n">
        <v>0</v>
      </c>
      <c r="M53" t="n">
        <v>0</v>
      </c>
      <c r="N53" t="n">
        <v>0</v>
      </c>
      <c r="O53" t="n">
        <v>0</v>
      </c>
      <c r="P53" t="n">
        <v>0</v>
      </c>
      <c r="Q53" t="n">
        <v>1</v>
      </c>
      <c r="R53" s="2" t="inlineStr">
        <is>
          <t>Trana</t>
        </is>
      </c>
      <c r="S53">
        <f>HYPERLINK("https://klasma.github.io/Logging_1880/artfynd/A 55904-2024 artfynd.xlsx", "A 55904-2024")</f>
        <v/>
      </c>
      <c r="T53">
        <f>HYPERLINK("https://klasma.github.io/Logging_1880/kartor/A 55904-2024 karta.png", "A 55904-2024")</f>
        <v/>
      </c>
      <c r="V53">
        <f>HYPERLINK("https://klasma.github.io/Logging_1880/klagomål/A 55904-2024 FSC-klagomål.docx", "A 55904-2024")</f>
        <v/>
      </c>
      <c r="W53">
        <f>HYPERLINK("https://klasma.github.io/Logging_1880/klagomålsmail/A 55904-2024 FSC-klagomål mail.docx", "A 55904-2024")</f>
        <v/>
      </c>
      <c r="X53">
        <f>HYPERLINK("https://klasma.github.io/Logging_1880/tillsyn/A 55904-2024 tillsynsbegäran.docx", "A 55904-2024")</f>
        <v/>
      </c>
      <c r="Y53">
        <f>HYPERLINK("https://klasma.github.io/Logging_1880/tillsynsmail/A 55904-2024 tillsynsbegäran mail.docx", "A 55904-2024")</f>
        <v/>
      </c>
      <c r="Z53">
        <f>HYPERLINK("https://klasma.github.io/Logging_1880/fåglar/A 55904-2024 prioriterade fågelarter.docx", "A 55904-2024")</f>
        <v/>
      </c>
    </row>
    <row r="54" ht="15" customHeight="1">
      <c r="A54" t="inlineStr">
        <is>
          <t>A 23998-2025</t>
        </is>
      </c>
      <c r="B54" s="1" t="n">
        <v>45796.42209490741</v>
      </c>
      <c r="C54" s="1" t="n">
        <v>45923</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15621-2021</t>
        </is>
      </c>
      <c r="B55" s="1" t="n">
        <v>44285</v>
      </c>
      <c r="C55" s="1" t="n">
        <v>45923</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26890-2022</t>
        </is>
      </c>
      <c r="B56" s="1" t="n">
        <v>44740</v>
      </c>
      <c r="C56" s="1" t="n">
        <v>45923</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57920-2024</t>
        </is>
      </c>
      <c r="B57" s="1" t="n">
        <v>45631.50894675926</v>
      </c>
      <c r="C57" s="1" t="n">
        <v>45923</v>
      </c>
      <c r="D57" t="inlineStr">
        <is>
          <t>ÖREBRO LÄN</t>
        </is>
      </c>
      <c r="E57" t="inlineStr">
        <is>
          <t>ÖREBRO</t>
        </is>
      </c>
      <c r="G57" t="n">
        <v>2.3</v>
      </c>
      <c r="H57" t="n">
        <v>1</v>
      </c>
      <c r="I57" t="n">
        <v>0</v>
      </c>
      <c r="J57" t="n">
        <v>0</v>
      </c>
      <c r="K57" t="n">
        <v>0</v>
      </c>
      <c r="L57" t="n">
        <v>0</v>
      </c>
      <c r="M57" t="n">
        <v>0</v>
      </c>
      <c r="N57" t="n">
        <v>0</v>
      </c>
      <c r="O57" t="n">
        <v>0</v>
      </c>
      <c r="P57" t="n">
        <v>0</v>
      </c>
      <c r="Q57" t="n">
        <v>1</v>
      </c>
      <c r="R57" s="2" t="inlineStr">
        <is>
          <t>Kungsfågel</t>
        </is>
      </c>
      <c r="S57">
        <f>HYPERLINK("https://klasma.github.io/Logging_1880/artfynd/A 57920-2024 artfynd.xlsx", "A 57920-2024")</f>
        <v/>
      </c>
      <c r="T57">
        <f>HYPERLINK("https://klasma.github.io/Logging_1880/kartor/A 57920-2024 karta.png", "A 57920-2024")</f>
        <v/>
      </c>
      <c r="V57">
        <f>HYPERLINK("https://klasma.github.io/Logging_1880/klagomål/A 57920-2024 FSC-klagomål.docx", "A 57920-2024")</f>
        <v/>
      </c>
      <c r="W57">
        <f>HYPERLINK("https://klasma.github.io/Logging_1880/klagomålsmail/A 57920-2024 FSC-klagomål mail.docx", "A 57920-2024")</f>
        <v/>
      </c>
      <c r="X57">
        <f>HYPERLINK("https://klasma.github.io/Logging_1880/tillsyn/A 57920-2024 tillsynsbegäran.docx", "A 57920-2024")</f>
        <v/>
      </c>
      <c r="Y57">
        <f>HYPERLINK("https://klasma.github.io/Logging_1880/tillsynsmail/A 57920-2024 tillsynsbegäran mail.docx", "A 57920-2024")</f>
        <v/>
      </c>
      <c r="Z57">
        <f>HYPERLINK("https://klasma.github.io/Logging_1880/fåglar/A 57920-2024 prioriterade fågelarter.docx", "A 57920-2024")</f>
        <v/>
      </c>
    </row>
    <row r="58" ht="15" customHeight="1">
      <c r="A58" t="inlineStr">
        <is>
          <t>A 28936-2025</t>
        </is>
      </c>
      <c r="B58" s="1" t="n">
        <v>45820.69287037037</v>
      </c>
      <c r="C58" s="1" t="n">
        <v>45923</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32226-2025</t>
        </is>
      </c>
      <c r="B59" s="1" t="n">
        <v>45835.59478009259</v>
      </c>
      <c r="C59" s="1" t="n">
        <v>45923</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32204-2025</t>
        </is>
      </c>
      <c r="B60" s="1" t="n">
        <v>45835.58074074074</v>
      </c>
      <c r="C60" s="1" t="n">
        <v>45923</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9406-2021</t>
        </is>
      </c>
      <c r="B61" s="1" t="n">
        <v>44251</v>
      </c>
      <c r="C61" s="1" t="n">
        <v>45923</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45923</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54288-2020</t>
        </is>
      </c>
      <c r="B63" s="1" t="n">
        <v>44124</v>
      </c>
      <c r="C63" s="1" t="n">
        <v>45923</v>
      </c>
      <c r="D63" t="inlineStr">
        <is>
          <t>ÖREBRO LÄN</t>
        </is>
      </c>
      <c r="E63" t="inlineStr">
        <is>
          <t>ÖREBRO</t>
        </is>
      </c>
      <c r="G63" t="n">
        <v>0.5</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45923</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48109-2020</t>
        </is>
      </c>
      <c r="B65" s="1" t="n">
        <v>44101</v>
      </c>
      <c r="C65" s="1" t="n">
        <v>45923</v>
      </c>
      <c r="D65" t="inlineStr">
        <is>
          <t>ÖREBRO LÄN</t>
        </is>
      </c>
      <c r="E65" t="inlineStr">
        <is>
          <t>ÖREBRO</t>
        </is>
      </c>
      <c r="G65" t="n">
        <v>0.7</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45923</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45923</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45923</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45923</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45923</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45923</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45923</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45923</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45923</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45923</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45923</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57241-2020</t>
        </is>
      </c>
      <c r="B77" s="1" t="n">
        <v>44139</v>
      </c>
      <c r="C77" s="1" t="n">
        <v>45923</v>
      </c>
      <c r="D77" t="inlineStr">
        <is>
          <t>ÖREBRO LÄN</t>
        </is>
      </c>
      <c r="E77" t="inlineStr">
        <is>
          <t>ÖREBRO</t>
        </is>
      </c>
      <c r="G77" t="n">
        <v>2.3</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45923</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45923</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45923</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45923</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45923</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45923</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45923</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45923</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45923</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45923</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45923</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45923</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45923</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45923</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45923</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45923</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45923</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45923</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45923</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48878-2020</t>
        </is>
      </c>
      <c r="B97" s="1" t="n">
        <v>44104</v>
      </c>
      <c r="C97" s="1" t="n">
        <v>45923</v>
      </c>
      <c r="D97" t="inlineStr">
        <is>
          <t>ÖREBRO LÄN</t>
        </is>
      </c>
      <c r="E97" t="inlineStr">
        <is>
          <t>ÖREBRO</t>
        </is>
      </c>
      <c r="G97" t="n">
        <v>12.7</v>
      </c>
      <c r="H97" t="n">
        <v>0</v>
      </c>
      <c r="I97" t="n">
        <v>0</v>
      </c>
      <c r="J97" t="n">
        <v>0</v>
      </c>
      <c r="K97" t="n">
        <v>0</v>
      </c>
      <c r="L97" t="n">
        <v>0</v>
      </c>
      <c r="M97" t="n">
        <v>0</v>
      </c>
      <c r="N97" t="n">
        <v>0</v>
      </c>
      <c r="O97" t="n">
        <v>0</v>
      </c>
      <c r="P97" t="n">
        <v>0</v>
      </c>
      <c r="Q97" t="n">
        <v>0</v>
      </c>
      <c r="R97" s="2" t="inlineStr"/>
    </row>
    <row r="98" ht="15" customHeight="1">
      <c r="A98" t="inlineStr">
        <is>
          <t>A 48889-2020</t>
        </is>
      </c>
      <c r="B98" s="1" t="n">
        <v>44104</v>
      </c>
      <c r="C98" s="1" t="n">
        <v>45923</v>
      </c>
      <c r="D98" t="inlineStr">
        <is>
          <t>ÖREBRO LÄN</t>
        </is>
      </c>
      <c r="E98" t="inlineStr">
        <is>
          <t>ÖREBRO</t>
        </is>
      </c>
      <c r="G98" t="n">
        <v>0.8</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45923</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3078-2021</t>
        </is>
      </c>
      <c r="B100" s="1" t="n">
        <v>44216</v>
      </c>
      <c r="C100" s="1" t="n">
        <v>45923</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3085-2021</t>
        </is>
      </c>
      <c r="B101" s="1" t="n">
        <v>44216</v>
      </c>
      <c r="C101" s="1" t="n">
        <v>45923</v>
      </c>
      <c r="D101" t="inlineStr">
        <is>
          <t>ÖREBRO LÄN</t>
        </is>
      </c>
      <c r="E101" t="inlineStr">
        <is>
          <t>ÖREBRO</t>
        </is>
      </c>
      <c r="G101" t="n">
        <v>2.9</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45923</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45923</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45923</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4021-2021</t>
        </is>
      </c>
      <c r="B105" s="1" t="n">
        <v>44218</v>
      </c>
      <c r="C105" s="1" t="n">
        <v>45923</v>
      </c>
      <c r="D105" t="inlineStr">
        <is>
          <t>ÖREBRO LÄN</t>
        </is>
      </c>
      <c r="E105" t="inlineStr">
        <is>
          <t>ÖREBRO</t>
        </is>
      </c>
      <c r="G105" t="n">
        <v>5.3</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45923</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45923</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45923</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26153-2021</t>
        </is>
      </c>
      <c r="B109" s="1" t="n">
        <v>44347</v>
      </c>
      <c r="C109" s="1" t="n">
        <v>45923</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51429-2021</t>
        </is>
      </c>
      <c r="B110" s="1" t="n">
        <v>44461.92744212963</v>
      </c>
      <c r="C110" s="1" t="n">
        <v>45923</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24818-2021</t>
        </is>
      </c>
      <c r="B111" s="1" t="n">
        <v>44340</v>
      </c>
      <c r="C111" s="1" t="n">
        <v>45923</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797-2022</t>
        </is>
      </c>
      <c r="B112" s="1" t="n">
        <v>44566</v>
      </c>
      <c r="C112" s="1" t="n">
        <v>45923</v>
      </c>
      <c r="D112" t="inlineStr">
        <is>
          <t>ÖREBRO LÄN</t>
        </is>
      </c>
      <c r="E112" t="inlineStr">
        <is>
          <t>ÖREBRO</t>
        </is>
      </c>
      <c r="G112" t="n">
        <v>0.1</v>
      </c>
      <c r="H112" t="n">
        <v>0</v>
      </c>
      <c r="I112" t="n">
        <v>0</v>
      </c>
      <c r="J112" t="n">
        <v>0</v>
      </c>
      <c r="K112" t="n">
        <v>0</v>
      </c>
      <c r="L112" t="n">
        <v>0</v>
      </c>
      <c r="M112" t="n">
        <v>0</v>
      </c>
      <c r="N112" t="n">
        <v>0</v>
      </c>
      <c r="O112" t="n">
        <v>0</v>
      </c>
      <c r="P112" t="n">
        <v>0</v>
      </c>
      <c r="Q112" t="n">
        <v>0</v>
      </c>
      <c r="R112" s="2" t="inlineStr"/>
    </row>
    <row r="113" ht="15" customHeight="1">
      <c r="A113" t="inlineStr">
        <is>
          <t>A 35836-2021</t>
        </is>
      </c>
      <c r="B113" s="1" t="n">
        <v>44386</v>
      </c>
      <c r="C113" s="1" t="n">
        <v>45923</v>
      </c>
      <c r="D113" t="inlineStr">
        <is>
          <t>ÖREBRO LÄN</t>
        </is>
      </c>
      <c r="E113" t="inlineStr">
        <is>
          <t>ÖREBRO</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45923</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58633-2020</t>
        </is>
      </c>
      <c r="B115" s="1" t="n">
        <v>44145</v>
      </c>
      <c r="C115" s="1" t="n">
        <v>45923</v>
      </c>
      <c r="D115" t="inlineStr">
        <is>
          <t>ÖREBRO LÄN</t>
        </is>
      </c>
      <c r="E115" t="inlineStr">
        <is>
          <t>ÖREBRO</t>
        </is>
      </c>
      <c r="G115" t="n">
        <v>1.4</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45923</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60150-2020</t>
        </is>
      </c>
      <c r="B117" s="1" t="n">
        <v>44152</v>
      </c>
      <c r="C117" s="1" t="n">
        <v>45923</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45923</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45923</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45923</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45923</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45923</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45923</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62651-2020</t>
        </is>
      </c>
      <c r="B124" s="1" t="n">
        <v>44161</v>
      </c>
      <c r="C124" s="1" t="n">
        <v>45923</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45923</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45923</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45923</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45923</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45923</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15422-2022</t>
        </is>
      </c>
      <c r="B130" s="1" t="n">
        <v>44659.63753472222</v>
      </c>
      <c r="C130" s="1" t="n">
        <v>45923</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16258-2022</t>
        </is>
      </c>
      <c r="B131" s="1" t="n">
        <v>44670</v>
      </c>
      <c r="C131" s="1" t="n">
        <v>45923</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7117-2021</t>
        </is>
      </c>
      <c r="B132" s="1" t="n">
        <v>44238</v>
      </c>
      <c r="C132" s="1" t="n">
        <v>45923</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26509-2021</t>
        </is>
      </c>
      <c r="B133" s="1" t="n">
        <v>44348.45107638889</v>
      </c>
      <c r="C133" s="1" t="n">
        <v>45923</v>
      </c>
      <c r="D133" t="inlineStr">
        <is>
          <t>ÖREBRO LÄN</t>
        </is>
      </c>
      <c r="E133" t="inlineStr">
        <is>
          <t>ÖREBRO</t>
        </is>
      </c>
      <c r="G133" t="n">
        <v>2.5</v>
      </c>
      <c r="H133" t="n">
        <v>0</v>
      </c>
      <c r="I133" t="n">
        <v>0</v>
      </c>
      <c r="J133" t="n">
        <v>0</v>
      </c>
      <c r="K133" t="n">
        <v>0</v>
      </c>
      <c r="L133" t="n">
        <v>0</v>
      </c>
      <c r="M133" t="n">
        <v>0</v>
      </c>
      <c r="N133" t="n">
        <v>0</v>
      </c>
      <c r="O133" t="n">
        <v>0</v>
      </c>
      <c r="P133" t="n">
        <v>0</v>
      </c>
      <c r="Q133" t="n">
        <v>0</v>
      </c>
      <c r="R133" s="2" t="inlineStr"/>
    </row>
    <row r="134" ht="15" customHeight="1">
      <c r="A134" t="inlineStr">
        <is>
          <t>A 4766-2022</t>
        </is>
      </c>
      <c r="B134" s="1" t="n">
        <v>44592</v>
      </c>
      <c r="C134" s="1" t="n">
        <v>45923</v>
      </c>
      <c r="D134" t="inlineStr">
        <is>
          <t>ÖREBRO LÄN</t>
        </is>
      </c>
      <c r="E134" t="inlineStr">
        <is>
          <t>ÖREBRO</t>
        </is>
      </c>
      <c r="G134" t="n">
        <v>2.9</v>
      </c>
      <c r="H134" t="n">
        <v>0</v>
      </c>
      <c r="I134" t="n">
        <v>0</v>
      </c>
      <c r="J134" t="n">
        <v>0</v>
      </c>
      <c r="K134" t="n">
        <v>0</v>
      </c>
      <c r="L134" t="n">
        <v>0</v>
      </c>
      <c r="M134" t="n">
        <v>0</v>
      </c>
      <c r="N134" t="n">
        <v>0</v>
      </c>
      <c r="O134" t="n">
        <v>0</v>
      </c>
      <c r="P134" t="n">
        <v>0</v>
      </c>
      <c r="Q134" t="n">
        <v>0</v>
      </c>
      <c r="R134" s="2" t="inlineStr"/>
    </row>
    <row r="135" ht="15" customHeight="1">
      <c r="A135" t="inlineStr">
        <is>
          <t>A 3087-2021</t>
        </is>
      </c>
      <c r="B135" s="1" t="n">
        <v>44216</v>
      </c>
      <c r="C135" s="1" t="n">
        <v>45923</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56138-2020</t>
        </is>
      </c>
      <c r="B136" s="1" t="n">
        <v>44133</v>
      </c>
      <c r="C136" s="1" t="n">
        <v>45923</v>
      </c>
      <c r="D136" t="inlineStr">
        <is>
          <t>ÖREBRO LÄN</t>
        </is>
      </c>
      <c r="E136" t="inlineStr">
        <is>
          <t>ÖREBRO</t>
        </is>
      </c>
      <c r="F136" t="inlineStr">
        <is>
          <t>Allmännings- och besparingsskogar</t>
        </is>
      </c>
      <c r="G136" t="n">
        <v>4.9</v>
      </c>
      <c r="H136" t="n">
        <v>0</v>
      </c>
      <c r="I136" t="n">
        <v>0</v>
      </c>
      <c r="J136" t="n">
        <v>0</v>
      </c>
      <c r="K136" t="n">
        <v>0</v>
      </c>
      <c r="L136" t="n">
        <v>0</v>
      </c>
      <c r="M136" t="n">
        <v>0</v>
      </c>
      <c r="N136" t="n">
        <v>0</v>
      </c>
      <c r="O136" t="n">
        <v>0</v>
      </c>
      <c r="P136" t="n">
        <v>0</v>
      </c>
      <c r="Q136" t="n">
        <v>0</v>
      </c>
      <c r="R136" s="2" t="inlineStr"/>
    </row>
    <row r="137" ht="15" customHeight="1">
      <c r="A137" t="inlineStr">
        <is>
          <t>A 32231-2022</t>
        </is>
      </c>
      <c r="B137" s="1" t="n">
        <v>44781</v>
      </c>
      <c r="C137" s="1" t="n">
        <v>45923</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32247-2022</t>
        </is>
      </c>
      <c r="B138" s="1" t="n">
        <v>44781</v>
      </c>
      <c r="C138" s="1" t="n">
        <v>45923</v>
      </c>
      <c r="D138" t="inlineStr">
        <is>
          <t>ÖREBRO LÄN</t>
        </is>
      </c>
      <c r="E138" t="inlineStr">
        <is>
          <t>ÖREBRO</t>
        </is>
      </c>
      <c r="G138" t="n">
        <v>3</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45923</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26119-2021</t>
        </is>
      </c>
      <c r="B140" s="1" t="n">
        <v>44345.33282407407</v>
      </c>
      <c r="C140" s="1" t="n">
        <v>45923</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45923</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45923</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41553-2022</t>
        </is>
      </c>
      <c r="B143" s="1" t="n">
        <v>44827.3940625</v>
      </c>
      <c r="C143" s="1" t="n">
        <v>45923</v>
      </c>
      <c r="D143" t="inlineStr">
        <is>
          <t>ÖREBRO LÄN</t>
        </is>
      </c>
      <c r="E143" t="inlineStr">
        <is>
          <t>ÖREBRO</t>
        </is>
      </c>
      <c r="G143" t="n">
        <v>3.7</v>
      </c>
      <c r="H143" t="n">
        <v>0</v>
      </c>
      <c r="I143" t="n">
        <v>0</v>
      </c>
      <c r="J143" t="n">
        <v>0</v>
      </c>
      <c r="K143" t="n">
        <v>0</v>
      </c>
      <c r="L143" t="n">
        <v>0</v>
      </c>
      <c r="M143" t="n">
        <v>0</v>
      </c>
      <c r="N143" t="n">
        <v>0</v>
      </c>
      <c r="O143" t="n">
        <v>0</v>
      </c>
      <c r="P143" t="n">
        <v>0</v>
      </c>
      <c r="Q143" t="n">
        <v>0</v>
      </c>
      <c r="R143" s="2" t="inlineStr"/>
    </row>
    <row r="144" ht="15" customHeight="1">
      <c r="A144" t="inlineStr">
        <is>
          <t>A 14562-2022</t>
        </is>
      </c>
      <c r="B144" s="1" t="n">
        <v>44655</v>
      </c>
      <c r="C144" s="1" t="n">
        <v>45923</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5401-2022</t>
        </is>
      </c>
      <c r="B145" s="1" t="n">
        <v>44595</v>
      </c>
      <c r="C145" s="1" t="n">
        <v>45923</v>
      </c>
      <c r="D145" t="inlineStr">
        <is>
          <t>ÖREBRO LÄN</t>
        </is>
      </c>
      <c r="E145" t="inlineStr">
        <is>
          <t>ÖREBRO</t>
        </is>
      </c>
      <c r="G145" t="n">
        <v>2.3</v>
      </c>
      <c r="H145" t="n">
        <v>0</v>
      </c>
      <c r="I145" t="n">
        <v>0</v>
      </c>
      <c r="J145" t="n">
        <v>0</v>
      </c>
      <c r="K145" t="n">
        <v>0</v>
      </c>
      <c r="L145" t="n">
        <v>0</v>
      </c>
      <c r="M145" t="n">
        <v>0</v>
      </c>
      <c r="N145" t="n">
        <v>0</v>
      </c>
      <c r="O145" t="n">
        <v>0</v>
      </c>
      <c r="P145" t="n">
        <v>0</v>
      </c>
      <c r="Q145" t="n">
        <v>0</v>
      </c>
      <c r="R145" s="2" t="inlineStr"/>
    </row>
    <row r="146" ht="15" customHeight="1">
      <c r="A146" t="inlineStr">
        <is>
          <t>A 69613-2020</t>
        </is>
      </c>
      <c r="B146" s="1" t="n">
        <v>44195</v>
      </c>
      <c r="C146" s="1" t="n">
        <v>45923</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19468-2021</t>
        </is>
      </c>
      <c r="B147" s="1" t="n">
        <v>44311</v>
      </c>
      <c r="C147" s="1" t="n">
        <v>45923</v>
      </c>
      <c r="D147" t="inlineStr">
        <is>
          <t>ÖREBRO LÄN</t>
        </is>
      </c>
      <c r="E147" t="inlineStr">
        <is>
          <t>ÖREBRO</t>
        </is>
      </c>
      <c r="G147" t="n">
        <v>0.9</v>
      </c>
      <c r="H147" t="n">
        <v>0</v>
      </c>
      <c r="I147" t="n">
        <v>0</v>
      </c>
      <c r="J147" t="n">
        <v>0</v>
      </c>
      <c r="K147" t="n">
        <v>0</v>
      </c>
      <c r="L147" t="n">
        <v>0</v>
      </c>
      <c r="M147" t="n">
        <v>0</v>
      </c>
      <c r="N147" t="n">
        <v>0</v>
      </c>
      <c r="O147" t="n">
        <v>0</v>
      </c>
      <c r="P147" t="n">
        <v>0</v>
      </c>
      <c r="Q147" t="n">
        <v>0</v>
      </c>
      <c r="R147" s="2" t="inlineStr"/>
    </row>
    <row r="148" ht="15" customHeight="1">
      <c r="A148" t="inlineStr">
        <is>
          <t>A 60311-2020</t>
        </is>
      </c>
      <c r="B148" s="1" t="n">
        <v>44151</v>
      </c>
      <c r="C148" s="1" t="n">
        <v>45923</v>
      </c>
      <c r="D148" t="inlineStr">
        <is>
          <t>ÖREBRO LÄN</t>
        </is>
      </c>
      <c r="E148" t="inlineStr">
        <is>
          <t>ÖREBRO</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63247-2021</t>
        </is>
      </c>
      <c r="B149" s="1" t="n">
        <v>44505</v>
      </c>
      <c r="C149" s="1" t="n">
        <v>45923</v>
      </c>
      <c r="D149" t="inlineStr">
        <is>
          <t>ÖREBRO LÄN</t>
        </is>
      </c>
      <c r="E149" t="inlineStr">
        <is>
          <t>ÖREBRO</t>
        </is>
      </c>
      <c r="G149" t="n">
        <v>1.5</v>
      </c>
      <c r="H149" t="n">
        <v>0</v>
      </c>
      <c r="I149" t="n">
        <v>0</v>
      </c>
      <c r="J149" t="n">
        <v>0</v>
      </c>
      <c r="K149" t="n">
        <v>0</v>
      </c>
      <c r="L149" t="n">
        <v>0</v>
      </c>
      <c r="M149" t="n">
        <v>0</v>
      </c>
      <c r="N149" t="n">
        <v>0</v>
      </c>
      <c r="O149" t="n">
        <v>0</v>
      </c>
      <c r="P149" t="n">
        <v>0</v>
      </c>
      <c r="Q149" t="n">
        <v>0</v>
      </c>
      <c r="R149" s="2" t="inlineStr"/>
    </row>
    <row r="150" ht="15" customHeight="1">
      <c r="A150" t="inlineStr">
        <is>
          <t>A 19458-2022</t>
        </is>
      </c>
      <c r="B150" s="1" t="n">
        <v>44693</v>
      </c>
      <c r="C150" s="1" t="n">
        <v>45923</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9362-2022</t>
        </is>
      </c>
      <c r="B151" s="1" t="n">
        <v>44616.59946759259</v>
      </c>
      <c r="C151" s="1" t="n">
        <v>45923</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45923</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44165-2022</t>
        </is>
      </c>
      <c r="B153" s="1" t="n">
        <v>44839</v>
      </c>
      <c r="C153" s="1" t="n">
        <v>45923</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19978-2025</t>
        </is>
      </c>
      <c r="B154" s="1" t="n">
        <v>45771.7062037037</v>
      </c>
      <c r="C154" s="1" t="n">
        <v>45923</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33814-2021</t>
        </is>
      </c>
      <c r="B155" s="1" t="n">
        <v>44378</v>
      </c>
      <c r="C155" s="1" t="n">
        <v>45923</v>
      </c>
      <c r="D155" t="inlineStr">
        <is>
          <t>ÖREBRO LÄN</t>
        </is>
      </c>
      <c r="E155" t="inlineStr">
        <is>
          <t>ÖREBRO</t>
        </is>
      </c>
      <c r="F155" t="inlineStr">
        <is>
          <t>Kommuner</t>
        </is>
      </c>
      <c r="G155" t="n">
        <v>1.2</v>
      </c>
      <c r="H155" t="n">
        <v>0</v>
      </c>
      <c r="I155" t="n">
        <v>0</v>
      </c>
      <c r="J155" t="n">
        <v>0</v>
      </c>
      <c r="K155" t="n">
        <v>0</v>
      </c>
      <c r="L155" t="n">
        <v>0</v>
      </c>
      <c r="M155" t="n">
        <v>0</v>
      </c>
      <c r="N155" t="n">
        <v>0</v>
      </c>
      <c r="O155" t="n">
        <v>0</v>
      </c>
      <c r="P155" t="n">
        <v>0</v>
      </c>
      <c r="Q155" t="n">
        <v>0</v>
      </c>
      <c r="R155" s="2" t="inlineStr"/>
    </row>
    <row r="156" ht="15" customHeight="1">
      <c r="A156" t="inlineStr">
        <is>
          <t>A 61232-2021</t>
        </is>
      </c>
      <c r="B156" s="1" t="n">
        <v>44498</v>
      </c>
      <c r="C156" s="1" t="n">
        <v>45923</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19831-2021</t>
        </is>
      </c>
      <c r="B157" s="1" t="n">
        <v>44313</v>
      </c>
      <c r="C157" s="1" t="n">
        <v>45923</v>
      </c>
      <c r="D157" t="inlineStr">
        <is>
          <t>ÖREBRO LÄN</t>
        </is>
      </c>
      <c r="E157" t="inlineStr">
        <is>
          <t>ÖREBRO</t>
        </is>
      </c>
      <c r="G157" t="n">
        <v>3.2</v>
      </c>
      <c r="H157" t="n">
        <v>0</v>
      </c>
      <c r="I157" t="n">
        <v>0</v>
      </c>
      <c r="J157" t="n">
        <v>0</v>
      </c>
      <c r="K157" t="n">
        <v>0</v>
      </c>
      <c r="L157" t="n">
        <v>0</v>
      </c>
      <c r="M157" t="n">
        <v>0</v>
      </c>
      <c r="N157" t="n">
        <v>0</v>
      </c>
      <c r="O157" t="n">
        <v>0</v>
      </c>
      <c r="P157" t="n">
        <v>0</v>
      </c>
      <c r="Q157" t="n">
        <v>0</v>
      </c>
      <c r="R157" s="2" t="inlineStr"/>
    </row>
    <row r="158" ht="15" customHeight="1">
      <c r="A158" t="inlineStr">
        <is>
          <t>A 6638-2022</t>
        </is>
      </c>
      <c r="B158" s="1" t="n">
        <v>44601</v>
      </c>
      <c r="C158" s="1" t="n">
        <v>45923</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13631-2022</t>
        </is>
      </c>
      <c r="B159" s="1" t="n">
        <v>44648</v>
      </c>
      <c r="C159" s="1" t="n">
        <v>45923</v>
      </c>
      <c r="D159" t="inlineStr">
        <is>
          <t>ÖREBRO LÄN</t>
        </is>
      </c>
      <c r="E159" t="inlineStr">
        <is>
          <t>ÖREBRO</t>
        </is>
      </c>
      <c r="G159" t="n">
        <v>10.4</v>
      </c>
      <c r="H159" t="n">
        <v>0</v>
      </c>
      <c r="I159" t="n">
        <v>0</v>
      </c>
      <c r="J159" t="n">
        <v>0</v>
      </c>
      <c r="K159" t="n">
        <v>0</v>
      </c>
      <c r="L159" t="n">
        <v>0</v>
      </c>
      <c r="M159" t="n">
        <v>0</v>
      </c>
      <c r="N159" t="n">
        <v>0</v>
      </c>
      <c r="O159" t="n">
        <v>0</v>
      </c>
      <c r="P159" t="n">
        <v>0</v>
      </c>
      <c r="Q159" t="n">
        <v>0</v>
      </c>
      <c r="R159" s="2" t="inlineStr"/>
    </row>
    <row r="160" ht="15" customHeight="1">
      <c r="A160" t="inlineStr">
        <is>
          <t>A 5357-2024</t>
        </is>
      </c>
      <c r="B160" s="1" t="n">
        <v>45331</v>
      </c>
      <c r="C160" s="1" t="n">
        <v>45923</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15354-2024</t>
        </is>
      </c>
      <c r="B161" s="1" t="n">
        <v>45400.85319444445</v>
      </c>
      <c r="C161" s="1" t="n">
        <v>45923</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11067-2025</t>
        </is>
      </c>
      <c r="B162" s="1" t="n">
        <v>45723</v>
      </c>
      <c r="C162" s="1" t="n">
        <v>45923</v>
      </c>
      <c r="D162" t="inlineStr">
        <is>
          <t>ÖREBRO LÄN</t>
        </is>
      </c>
      <c r="E162" t="inlineStr">
        <is>
          <t>ÖREBRO</t>
        </is>
      </c>
      <c r="G162" t="n">
        <v>3.1</v>
      </c>
      <c r="H162" t="n">
        <v>0</v>
      </c>
      <c r="I162" t="n">
        <v>0</v>
      </c>
      <c r="J162" t="n">
        <v>0</v>
      </c>
      <c r="K162" t="n">
        <v>0</v>
      </c>
      <c r="L162" t="n">
        <v>0</v>
      </c>
      <c r="M162" t="n">
        <v>0</v>
      </c>
      <c r="N162" t="n">
        <v>0</v>
      </c>
      <c r="O162" t="n">
        <v>0</v>
      </c>
      <c r="P162" t="n">
        <v>0</v>
      </c>
      <c r="Q162" t="n">
        <v>0</v>
      </c>
      <c r="R162" s="2" t="inlineStr"/>
    </row>
    <row r="163" ht="15" customHeight="1">
      <c r="A163" t="inlineStr">
        <is>
          <t>A 57498-2021</t>
        </is>
      </c>
      <c r="B163" s="1" t="n">
        <v>44483</v>
      </c>
      <c r="C163" s="1" t="n">
        <v>45923</v>
      </c>
      <c r="D163" t="inlineStr">
        <is>
          <t>ÖREBRO LÄN</t>
        </is>
      </c>
      <c r="E163" t="inlineStr">
        <is>
          <t>ÖREBRO</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9585-2025</t>
        </is>
      </c>
      <c r="B164" s="1" t="n">
        <v>45715.63409722222</v>
      </c>
      <c r="C164" s="1" t="n">
        <v>45923</v>
      </c>
      <c r="D164" t="inlineStr">
        <is>
          <t>ÖREBRO LÄN</t>
        </is>
      </c>
      <c r="E164" t="inlineStr">
        <is>
          <t>ÖREBRO</t>
        </is>
      </c>
      <c r="G164" t="n">
        <v>3.4</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45923</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681-2024</t>
        </is>
      </c>
      <c r="B166" s="1" t="n">
        <v>45300</v>
      </c>
      <c r="C166" s="1" t="n">
        <v>45923</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13169-2024</t>
        </is>
      </c>
      <c r="B167" s="1" t="n">
        <v>45386.40489583334</v>
      </c>
      <c r="C167" s="1" t="n">
        <v>45923</v>
      </c>
      <c r="D167" t="inlineStr">
        <is>
          <t>ÖREBRO LÄN</t>
        </is>
      </c>
      <c r="E167" t="inlineStr">
        <is>
          <t>ÖREBRO</t>
        </is>
      </c>
      <c r="G167" t="n">
        <v>4.3</v>
      </c>
      <c r="H167" t="n">
        <v>0</v>
      </c>
      <c r="I167" t="n">
        <v>0</v>
      </c>
      <c r="J167" t="n">
        <v>0</v>
      </c>
      <c r="K167" t="n">
        <v>0</v>
      </c>
      <c r="L167" t="n">
        <v>0</v>
      </c>
      <c r="M167" t="n">
        <v>0</v>
      </c>
      <c r="N167" t="n">
        <v>0</v>
      </c>
      <c r="O167" t="n">
        <v>0</v>
      </c>
      <c r="P167" t="n">
        <v>0</v>
      </c>
      <c r="Q167" t="n">
        <v>0</v>
      </c>
      <c r="R167" s="2" t="inlineStr"/>
    </row>
    <row r="168" ht="15" customHeight="1">
      <c r="A168" t="inlineStr">
        <is>
          <t>A 51268-2022</t>
        </is>
      </c>
      <c r="B168" s="1" t="n">
        <v>44868</v>
      </c>
      <c r="C168" s="1" t="n">
        <v>45923</v>
      </c>
      <c r="D168" t="inlineStr">
        <is>
          <t>ÖREBRO LÄN</t>
        </is>
      </c>
      <c r="E168" t="inlineStr">
        <is>
          <t>ÖREBRO</t>
        </is>
      </c>
      <c r="G168" t="n">
        <v>3.8</v>
      </c>
      <c r="H168" t="n">
        <v>0</v>
      </c>
      <c r="I168" t="n">
        <v>0</v>
      </c>
      <c r="J168" t="n">
        <v>0</v>
      </c>
      <c r="K168" t="n">
        <v>0</v>
      </c>
      <c r="L168" t="n">
        <v>0</v>
      </c>
      <c r="M168" t="n">
        <v>0</v>
      </c>
      <c r="N168" t="n">
        <v>0</v>
      </c>
      <c r="O168" t="n">
        <v>0</v>
      </c>
      <c r="P168" t="n">
        <v>0</v>
      </c>
      <c r="Q168" t="n">
        <v>0</v>
      </c>
      <c r="R168" s="2" t="inlineStr"/>
    </row>
    <row r="169" ht="15" customHeight="1">
      <c r="A169" t="inlineStr">
        <is>
          <t>A 16694-2025</t>
        </is>
      </c>
      <c r="B169" s="1" t="n">
        <v>45754.46480324074</v>
      </c>
      <c r="C169" s="1" t="n">
        <v>45923</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49465-2024</t>
        </is>
      </c>
      <c r="B170" s="1" t="n">
        <v>45596</v>
      </c>
      <c r="C170" s="1" t="n">
        <v>45923</v>
      </c>
      <c r="D170" t="inlineStr">
        <is>
          <t>ÖREBRO LÄN</t>
        </is>
      </c>
      <c r="E170" t="inlineStr">
        <is>
          <t>ÖREBRO</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5125-2024</t>
        </is>
      </c>
      <c r="B171" s="1" t="n">
        <v>45330</v>
      </c>
      <c r="C171" s="1" t="n">
        <v>45923</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14234-2024</t>
        </is>
      </c>
      <c r="B172" s="1" t="n">
        <v>45393.46980324074</v>
      </c>
      <c r="C172" s="1" t="n">
        <v>45923</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30760-2022</t>
        </is>
      </c>
      <c r="B173" s="1" t="n">
        <v>44764.51827546296</v>
      </c>
      <c r="C173" s="1" t="n">
        <v>45923</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52256-2023</t>
        </is>
      </c>
      <c r="B174" s="1" t="n">
        <v>45224.51471064815</v>
      </c>
      <c r="C174" s="1" t="n">
        <v>45923</v>
      </c>
      <c r="D174" t="inlineStr">
        <is>
          <t>ÖREBRO LÄN</t>
        </is>
      </c>
      <c r="E174" t="inlineStr">
        <is>
          <t>ÖREBRO</t>
        </is>
      </c>
      <c r="G174" t="n">
        <v>2.8</v>
      </c>
      <c r="H174" t="n">
        <v>0</v>
      </c>
      <c r="I174" t="n">
        <v>0</v>
      </c>
      <c r="J174" t="n">
        <v>0</v>
      </c>
      <c r="K174" t="n">
        <v>0</v>
      </c>
      <c r="L174" t="n">
        <v>0</v>
      </c>
      <c r="M174" t="n">
        <v>0</v>
      </c>
      <c r="N174" t="n">
        <v>0</v>
      </c>
      <c r="O174" t="n">
        <v>0</v>
      </c>
      <c r="P174" t="n">
        <v>0</v>
      </c>
      <c r="Q174" t="n">
        <v>0</v>
      </c>
      <c r="R174" s="2" t="inlineStr"/>
    </row>
    <row r="175" ht="15" customHeight="1">
      <c r="A175" t="inlineStr">
        <is>
          <t>A 29490-2022</t>
        </is>
      </c>
      <c r="B175" s="1" t="n">
        <v>44753</v>
      </c>
      <c r="C175" s="1" t="n">
        <v>45923</v>
      </c>
      <c r="D175" t="inlineStr">
        <is>
          <t>ÖREBRO LÄN</t>
        </is>
      </c>
      <c r="E175" t="inlineStr">
        <is>
          <t>ÖREBRO</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1492-2022</t>
        </is>
      </c>
      <c r="B176" s="1" t="n">
        <v>44573</v>
      </c>
      <c r="C176" s="1" t="n">
        <v>45923</v>
      </c>
      <c r="D176" t="inlineStr">
        <is>
          <t>ÖREBRO LÄN</t>
        </is>
      </c>
      <c r="E176" t="inlineStr">
        <is>
          <t>ÖREBRO</t>
        </is>
      </c>
      <c r="G176" t="n">
        <v>1.3</v>
      </c>
      <c r="H176" t="n">
        <v>0</v>
      </c>
      <c r="I176" t="n">
        <v>0</v>
      </c>
      <c r="J176" t="n">
        <v>0</v>
      </c>
      <c r="K176" t="n">
        <v>0</v>
      </c>
      <c r="L176" t="n">
        <v>0</v>
      </c>
      <c r="M176" t="n">
        <v>0</v>
      </c>
      <c r="N176" t="n">
        <v>0</v>
      </c>
      <c r="O176" t="n">
        <v>0</v>
      </c>
      <c r="P176" t="n">
        <v>0</v>
      </c>
      <c r="Q176" t="n">
        <v>0</v>
      </c>
      <c r="R176" s="2" t="inlineStr"/>
    </row>
    <row r="177" ht="15" customHeight="1">
      <c r="A177" t="inlineStr">
        <is>
          <t>A 39446-2025</t>
        </is>
      </c>
      <c r="B177" s="1" t="n">
        <v>45889.70388888889</v>
      </c>
      <c r="C177" s="1" t="n">
        <v>45923</v>
      </c>
      <c r="D177" t="inlineStr">
        <is>
          <t>ÖREBRO LÄN</t>
        </is>
      </c>
      <c r="E177" t="inlineStr">
        <is>
          <t>ÖREBRO</t>
        </is>
      </c>
      <c r="F177" t="inlineStr">
        <is>
          <t>Kyrkan</t>
        </is>
      </c>
      <c r="G177" t="n">
        <v>3.2</v>
      </c>
      <c r="H177" t="n">
        <v>0</v>
      </c>
      <c r="I177" t="n">
        <v>0</v>
      </c>
      <c r="J177" t="n">
        <v>0</v>
      </c>
      <c r="K177" t="n">
        <v>0</v>
      </c>
      <c r="L177" t="n">
        <v>0</v>
      </c>
      <c r="M177" t="n">
        <v>0</v>
      </c>
      <c r="N177" t="n">
        <v>0</v>
      </c>
      <c r="O177" t="n">
        <v>0</v>
      </c>
      <c r="P177" t="n">
        <v>0</v>
      </c>
      <c r="Q177" t="n">
        <v>0</v>
      </c>
      <c r="R177" s="2" t="inlineStr"/>
    </row>
    <row r="178" ht="15" customHeight="1">
      <c r="A178" t="inlineStr">
        <is>
          <t>A 59121-2024</t>
        </is>
      </c>
      <c r="B178" s="1" t="n">
        <v>45637.37755787037</v>
      </c>
      <c r="C178" s="1" t="n">
        <v>45923</v>
      </c>
      <c r="D178" t="inlineStr">
        <is>
          <t>ÖREBRO LÄN</t>
        </is>
      </c>
      <c r="E178" t="inlineStr">
        <is>
          <t>ÖREBRO</t>
        </is>
      </c>
      <c r="G178" t="n">
        <v>1</v>
      </c>
      <c r="H178" t="n">
        <v>0</v>
      </c>
      <c r="I178" t="n">
        <v>0</v>
      </c>
      <c r="J178" t="n">
        <v>0</v>
      </c>
      <c r="K178" t="n">
        <v>0</v>
      </c>
      <c r="L178" t="n">
        <v>0</v>
      </c>
      <c r="M178" t="n">
        <v>0</v>
      </c>
      <c r="N178" t="n">
        <v>0</v>
      </c>
      <c r="O178" t="n">
        <v>0</v>
      </c>
      <c r="P178" t="n">
        <v>0</v>
      </c>
      <c r="Q178" t="n">
        <v>0</v>
      </c>
      <c r="R178" s="2" t="inlineStr"/>
    </row>
    <row r="179" ht="15" customHeight="1">
      <c r="A179" t="inlineStr">
        <is>
          <t>A 49215-2023</t>
        </is>
      </c>
      <c r="B179" s="1" t="n">
        <v>45210.61050925926</v>
      </c>
      <c r="C179" s="1" t="n">
        <v>45923</v>
      </c>
      <c r="D179" t="inlineStr">
        <is>
          <t>ÖREBRO LÄN</t>
        </is>
      </c>
      <c r="E179" t="inlineStr">
        <is>
          <t>ÖREBRO</t>
        </is>
      </c>
      <c r="F179" t="inlineStr">
        <is>
          <t>Övriga Aktiebolag</t>
        </is>
      </c>
      <c r="G179" t="n">
        <v>4.2</v>
      </c>
      <c r="H179" t="n">
        <v>0</v>
      </c>
      <c r="I179" t="n">
        <v>0</v>
      </c>
      <c r="J179" t="n">
        <v>0</v>
      </c>
      <c r="K179" t="n">
        <v>0</v>
      </c>
      <c r="L179" t="n">
        <v>0</v>
      </c>
      <c r="M179" t="n">
        <v>0</v>
      </c>
      <c r="N179" t="n">
        <v>0</v>
      </c>
      <c r="O179" t="n">
        <v>0</v>
      </c>
      <c r="P179" t="n">
        <v>0</v>
      </c>
      <c r="Q179" t="n">
        <v>0</v>
      </c>
      <c r="R179" s="2" t="inlineStr"/>
    </row>
    <row r="180" ht="15" customHeight="1">
      <c r="A180" t="inlineStr">
        <is>
          <t>A 59026-2024</t>
        </is>
      </c>
      <c r="B180" s="1" t="n">
        <v>45636.6875</v>
      </c>
      <c r="C180" s="1" t="n">
        <v>45923</v>
      </c>
      <c r="D180" t="inlineStr">
        <is>
          <t>ÖREBRO LÄN</t>
        </is>
      </c>
      <c r="E180" t="inlineStr">
        <is>
          <t>ÖREBRO</t>
        </is>
      </c>
      <c r="G180" t="n">
        <v>0.9</v>
      </c>
      <c r="H180" t="n">
        <v>0</v>
      </c>
      <c r="I180" t="n">
        <v>0</v>
      </c>
      <c r="J180" t="n">
        <v>0</v>
      </c>
      <c r="K180" t="n">
        <v>0</v>
      </c>
      <c r="L180" t="n">
        <v>0</v>
      </c>
      <c r="M180" t="n">
        <v>0</v>
      </c>
      <c r="N180" t="n">
        <v>0</v>
      </c>
      <c r="O180" t="n">
        <v>0</v>
      </c>
      <c r="P180" t="n">
        <v>0</v>
      </c>
      <c r="Q180" t="n">
        <v>0</v>
      </c>
      <c r="R180" s="2" t="inlineStr"/>
    </row>
    <row r="181" ht="15" customHeight="1">
      <c r="A181" t="inlineStr">
        <is>
          <t>A 55593-2022</t>
        </is>
      </c>
      <c r="B181" s="1" t="n">
        <v>44888</v>
      </c>
      <c r="C181" s="1" t="n">
        <v>45923</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17983-2025</t>
        </is>
      </c>
      <c r="B182" s="1" t="n">
        <v>45761.38829861111</v>
      </c>
      <c r="C182" s="1" t="n">
        <v>45923</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50446-2023</t>
        </is>
      </c>
      <c r="B183" s="1" t="n">
        <v>45216</v>
      </c>
      <c r="C183" s="1" t="n">
        <v>45923</v>
      </c>
      <c r="D183" t="inlineStr">
        <is>
          <t>ÖREBRO LÄN</t>
        </is>
      </c>
      <c r="E183" t="inlineStr">
        <is>
          <t>ÖREBRO</t>
        </is>
      </c>
      <c r="F183" t="inlineStr">
        <is>
          <t>Övriga Aktiebolag</t>
        </is>
      </c>
      <c r="G183" t="n">
        <v>2.8</v>
      </c>
      <c r="H183" t="n">
        <v>0</v>
      </c>
      <c r="I183" t="n">
        <v>0</v>
      </c>
      <c r="J183" t="n">
        <v>0</v>
      </c>
      <c r="K183" t="n">
        <v>0</v>
      </c>
      <c r="L183" t="n">
        <v>0</v>
      </c>
      <c r="M183" t="n">
        <v>0</v>
      </c>
      <c r="N183" t="n">
        <v>0</v>
      </c>
      <c r="O183" t="n">
        <v>0</v>
      </c>
      <c r="P183" t="n">
        <v>0</v>
      </c>
      <c r="Q183" t="n">
        <v>0</v>
      </c>
      <c r="R183" s="2" t="inlineStr"/>
    </row>
    <row r="184" ht="15" customHeight="1">
      <c r="A184" t="inlineStr">
        <is>
          <t>A 50450-2023</t>
        </is>
      </c>
      <c r="B184" s="1" t="n">
        <v>45216.73533564815</v>
      </c>
      <c r="C184" s="1" t="n">
        <v>45923</v>
      </c>
      <c r="D184" t="inlineStr">
        <is>
          <t>ÖREBRO LÄN</t>
        </is>
      </c>
      <c r="E184" t="inlineStr">
        <is>
          <t>ÖREBRO</t>
        </is>
      </c>
      <c r="F184" t="inlineStr">
        <is>
          <t>Övriga Aktiebolag</t>
        </is>
      </c>
      <c r="G184" t="n">
        <v>0.8</v>
      </c>
      <c r="H184" t="n">
        <v>0</v>
      </c>
      <c r="I184" t="n">
        <v>0</v>
      </c>
      <c r="J184" t="n">
        <v>0</v>
      </c>
      <c r="K184" t="n">
        <v>0</v>
      </c>
      <c r="L184" t="n">
        <v>0</v>
      </c>
      <c r="M184" t="n">
        <v>0</v>
      </c>
      <c r="N184" t="n">
        <v>0</v>
      </c>
      <c r="O184" t="n">
        <v>0</v>
      </c>
      <c r="P184" t="n">
        <v>0</v>
      </c>
      <c r="Q184" t="n">
        <v>0</v>
      </c>
      <c r="R184" s="2" t="inlineStr"/>
    </row>
    <row r="185" ht="15" customHeight="1">
      <c r="A185" t="inlineStr">
        <is>
          <t>A 52623-2024</t>
        </is>
      </c>
      <c r="B185" s="1" t="n">
        <v>45609</v>
      </c>
      <c r="C185" s="1" t="n">
        <v>45923</v>
      </c>
      <c r="D185" t="inlineStr">
        <is>
          <t>ÖREBRO LÄN</t>
        </is>
      </c>
      <c r="E185" t="inlineStr">
        <is>
          <t>ÖREBRO</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43612-2022</t>
        </is>
      </c>
      <c r="B186" s="1" t="n">
        <v>44837</v>
      </c>
      <c r="C186" s="1" t="n">
        <v>45923</v>
      </c>
      <c r="D186" t="inlineStr">
        <is>
          <t>ÖREBRO LÄN</t>
        </is>
      </c>
      <c r="E186" t="inlineStr">
        <is>
          <t>ÖREBRO</t>
        </is>
      </c>
      <c r="G186" t="n">
        <v>0.6</v>
      </c>
      <c r="H186" t="n">
        <v>0</v>
      </c>
      <c r="I186" t="n">
        <v>0</v>
      </c>
      <c r="J186" t="n">
        <v>0</v>
      </c>
      <c r="K186" t="n">
        <v>0</v>
      </c>
      <c r="L186" t="n">
        <v>0</v>
      </c>
      <c r="M186" t="n">
        <v>0</v>
      </c>
      <c r="N186" t="n">
        <v>0</v>
      </c>
      <c r="O186" t="n">
        <v>0</v>
      </c>
      <c r="P186" t="n">
        <v>0</v>
      </c>
      <c r="Q186" t="n">
        <v>0</v>
      </c>
      <c r="R186" s="2" t="inlineStr"/>
    </row>
    <row r="187" ht="15" customHeight="1">
      <c r="A187" t="inlineStr">
        <is>
          <t>A 62511-2023</t>
        </is>
      </c>
      <c r="B187" s="1" t="n">
        <v>45268.61855324074</v>
      </c>
      <c r="C187" s="1" t="n">
        <v>45923</v>
      </c>
      <c r="D187" t="inlineStr">
        <is>
          <t>ÖREBRO LÄN</t>
        </is>
      </c>
      <c r="E187" t="inlineStr">
        <is>
          <t>ÖREBRO</t>
        </is>
      </c>
      <c r="F187" t="inlineStr">
        <is>
          <t>Övriga Aktiebolag</t>
        </is>
      </c>
      <c r="G187" t="n">
        <v>3.6</v>
      </c>
      <c r="H187" t="n">
        <v>0</v>
      </c>
      <c r="I187" t="n">
        <v>0</v>
      </c>
      <c r="J187" t="n">
        <v>0</v>
      </c>
      <c r="K187" t="n">
        <v>0</v>
      </c>
      <c r="L187" t="n">
        <v>0</v>
      </c>
      <c r="M187" t="n">
        <v>0</v>
      </c>
      <c r="N187" t="n">
        <v>0</v>
      </c>
      <c r="O187" t="n">
        <v>0</v>
      </c>
      <c r="P187" t="n">
        <v>0</v>
      </c>
      <c r="Q187" t="n">
        <v>0</v>
      </c>
      <c r="R187" s="2" t="inlineStr"/>
    </row>
    <row r="188" ht="15" customHeight="1">
      <c r="A188" t="inlineStr">
        <is>
          <t>A 35062-2025</t>
        </is>
      </c>
      <c r="B188" s="1" t="n">
        <v>45852</v>
      </c>
      <c r="C188" s="1" t="n">
        <v>45923</v>
      </c>
      <c r="D188" t="inlineStr">
        <is>
          <t>ÖREBRO LÄN</t>
        </is>
      </c>
      <c r="E188" t="inlineStr">
        <is>
          <t>ÖREBRO</t>
        </is>
      </c>
      <c r="G188" t="n">
        <v>2.8</v>
      </c>
      <c r="H188" t="n">
        <v>0</v>
      </c>
      <c r="I188" t="n">
        <v>0</v>
      </c>
      <c r="J188" t="n">
        <v>0</v>
      </c>
      <c r="K188" t="n">
        <v>0</v>
      </c>
      <c r="L188" t="n">
        <v>0</v>
      </c>
      <c r="M188" t="n">
        <v>0</v>
      </c>
      <c r="N188" t="n">
        <v>0</v>
      </c>
      <c r="O188" t="n">
        <v>0</v>
      </c>
      <c r="P188" t="n">
        <v>0</v>
      </c>
      <c r="Q188" t="n">
        <v>0</v>
      </c>
      <c r="R188" s="2" t="inlineStr"/>
    </row>
    <row r="189" ht="15" customHeight="1">
      <c r="A189" t="inlineStr">
        <is>
          <t>A 8571-2021</t>
        </is>
      </c>
      <c r="B189" s="1" t="n">
        <v>44245</v>
      </c>
      <c r="C189" s="1" t="n">
        <v>45923</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40522-2024</t>
        </is>
      </c>
      <c r="B190" s="1" t="n">
        <v>45555.59717592593</v>
      </c>
      <c r="C190" s="1" t="n">
        <v>45923</v>
      </c>
      <c r="D190" t="inlineStr">
        <is>
          <t>ÖREBRO LÄN</t>
        </is>
      </c>
      <c r="E190" t="inlineStr">
        <is>
          <t>ÖREBRO</t>
        </is>
      </c>
      <c r="G190" t="n">
        <v>5.1</v>
      </c>
      <c r="H190" t="n">
        <v>0</v>
      </c>
      <c r="I190" t="n">
        <v>0</v>
      </c>
      <c r="J190" t="n">
        <v>0</v>
      </c>
      <c r="K190" t="n">
        <v>0</v>
      </c>
      <c r="L190" t="n">
        <v>0</v>
      </c>
      <c r="M190" t="n">
        <v>0</v>
      </c>
      <c r="N190" t="n">
        <v>0</v>
      </c>
      <c r="O190" t="n">
        <v>0</v>
      </c>
      <c r="P190" t="n">
        <v>0</v>
      </c>
      <c r="Q190" t="n">
        <v>0</v>
      </c>
      <c r="R190" s="2" t="inlineStr"/>
    </row>
    <row r="191" ht="15" customHeight="1">
      <c r="A191" t="inlineStr">
        <is>
          <t>A 42138-2024</t>
        </is>
      </c>
      <c r="B191" s="1" t="n">
        <v>45562.41854166667</v>
      </c>
      <c r="C191" s="1" t="n">
        <v>45923</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55692-2023</t>
        </is>
      </c>
      <c r="B192" s="1" t="n">
        <v>45239</v>
      </c>
      <c r="C192" s="1" t="n">
        <v>45923</v>
      </c>
      <c r="D192" t="inlineStr">
        <is>
          <t>ÖREBRO LÄN</t>
        </is>
      </c>
      <c r="E192" t="inlineStr">
        <is>
          <t>ÖREBRO</t>
        </is>
      </c>
      <c r="F192" t="inlineStr">
        <is>
          <t>Övriga Aktiebolag</t>
        </is>
      </c>
      <c r="G192" t="n">
        <v>0.4</v>
      </c>
      <c r="H192" t="n">
        <v>0</v>
      </c>
      <c r="I192" t="n">
        <v>0</v>
      </c>
      <c r="J192" t="n">
        <v>0</v>
      </c>
      <c r="K192" t="n">
        <v>0</v>
      </c>
      <c r="L192" t="n">
        <v>0</v>
      </c>
      <c r="M192" t="n">
        <v>0</v>
      </c>
      <c r="N192" t="n">
        <v>0</v>
      </c>
      <c r="O192" t="n">
        <v>0</v>
      </c>
      <c r="P192" t="n">
        <v>0</v>
      </c>
      <c r="Q192" t="n">
        <v>0</v>
      </c>
      <c r="R192" s="2" t="inlineStr"/>
    </row>
    <row r="193" ht="15" customHeight="1">
      <c r="A193" t="inlineStr">
        <is>
          <t>A 14715-2024</t>
        </is>
      </c>
      <c r="B193" s="1" t="n">
        <v>45397.5500462963</v>
      </c>
      <c r="C193" s="1" t="n">
        <v>45923</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34874-2022</t>
        </is>
      </c>
      <c r="B194" s="1" t="n">
        <v>44796</v>
      </c>
      <c r="C194" s="1" t="n">
        <v>45923</v>
      </c>
      <c r="D194" t="inlineStr">
        <is>
          <t>ÖREBRO LÄN</t>
        </is>
      </c>
      <c r="E194" t="inlineStr">
        <is>
          <t>ÖREBRO</t>
        </is>
      </c>
      <c r="F194" t="inlineStr">
        <is>
          <t>Övriga Aktiebolag</t>
        </is>
      </c>
      <c r="G194" t="n">
        <v>2.3</v>
      </c>
      <c r="H194" t="n">
        <v>0</v>
      </c>
      <c r="I194" t="n">
        <v>0</v>
      </c>
      <c r="J194" t="n">
        <v>0</v>
      </c>
      <c r="K194" t="n">
        <v>0</v>
      </c>
      <c r="L194" t="n">
        <v>0</v>
      </c>
      <c r="M194" t="n">
        <v>0</v>
      </c>
      <c r="N194" t="n">
        <v>0</v>
      </c>
      <c r="O194" t="n">
        <v>0</v>
      </c>
      <c r="P194" t="n">
        <v>0</v>
      </c>
      <c r="Q194" t="n">
        <v>0</v>
      </c>
      <c r="R194" s="2" t="inlineStr"/>
    </row>
    <row r="195" ht="15" customHeight="1">
      <c r="A195" t="inlineStr">
        <is>
          <t>A 12682-2023</t>
        </is>
      </c>
      <c r="B195" s="1" t="n">
        <v>45000.6115625</v>
      </c>
      <c r="C195" s="1" t="n">
        <v>45923</v>
      </c>
      <c r="D195" t="inlineStr">
        <is>
          <t>ÖREBRO LÄN</t>
        </is>
      </c>
      <c r="E195" t="inlineStr">
        <is>
          <t>ÖREBRO</t>
        </is>
      </c>
      <c r="F195" t="inlineStr">
        <is>
          <t>Övriga Aktiebolag</t>
        </is>
      </c>
      <c r="G195" t="n">
        <v>4.4</v>
      </c>
      <c r="H195" t="n">
        <v>0</v>
      </c>
      <c r="I195" t="n">
        <v>0</v>
      </c>
      <c r="J195" t="n">
        <v>0</v>
      </c>
      <c r="K195" t="n">
        <v>0</v>
      </c>
      <c r="L195" t="n">
        <v>0</v>
      </c>
      <c r="M195" t="n">
        <v>0</v>
      </c>
      <c r="N195" t="n">
        <v>0</v>
      </c>
      <c r="O195" t="n">
        <v>0</v>
      </c>
      <c r="P195" t="n">
        <v>0</v>
      </c>
      <c r="Q195" t="n">
        <v>0</v>
      </c>
      <c r="R195" s="2" t="inlineStr"/>
    </row>
    <row r="196" ht="15" customHeight="1">
      <c r="A196" t="inlineStr">
        <is>
          <t>A 13592-2023</t>
        </is>
      </c>
      <c r="B196" s="1" t="n">
        <v>45006.56870370371</v>
      </c>
      <c r="C196" s="1" t="n">
        <v>45923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40330-2025</t>
        </is>
      </c>
      <c r="B197" s="1" t="n">
        <v>45895.4531712963</v>
      </c>
      <c r="C197" s="1" t="n">
        <v>45923</v>
      </c>
      <c r="D197" t="inlineStr">
        <is>
          <t>ÖREBRO LÄN</t>
        </is>
      </c>
      <c r="E197" t="inlineStr">
        <is>
          <t>ÖREBRO</t>
        </is>
      </c>
      <c r="G197" t="n">
        <v>0.9</v>
      </c>
      <c r="H197" t="n">
        <v>0</v>
      </c>
      <c r="I197" t="n">
        <v>0</v>
      </c>
      <c r="J197" t="n">
        <v>0</v>
      </c>
      <c r="K197" t="n">
        <v>0</v>
      </c>
      <c r="L197" t="n">
        <v>0</v>
      </c>
      <c r="M197" t="n">
        <v>0</v>
      </c>
      <c r="N197" t="n">
        <v>0</v>
      </c>
      <c r="O197" t="n">
        <v>0</v>
      </c>
      <c r="P197" t="n">
        <v>0</v>
      </c>
      <c r="Q197" t="n">
        <v>0</v>
      </c>
      <c r="R197" s="2" t="inlineStr"/>
    </row>
    <row r="198" ht="15" customHeight="1">
      <c r="A198" t="inlineStr">
        <is>
          <t>A 61593-2023</t>
        </is>
      </c>
      <c r="B198" s="1" t="n">
        <v>45265</v>
      </c>
      <c r="C198" s="1" t="n">
        <v>45923</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10368-2021</t>
        </is>
      </c>
      <c r="B199" s="1" t="n">
        <v>44257</v>
      </c>
      <c r="C199" s="1" t="n">
        <v>45923</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40332-2025</t>
        </is>
      </c>
      <c r="B200" s="1" t="n">
        <v>45895.46060185185</v>
      </c>
      <c r="C200" s="1" t="n">
        <v>45923</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59265-2020</t>
        </is>
      </c>
      <c r="B201" s="1" t="n">
        <v>44147.67359953704</v>
      </c>
      <c r="C201" s="1" t="n">
        <v>45923</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33577-2023</t>
        </is>
      </c>
      <c r="B202" s="1" t="n">
        <v>45131</v>
      </c>
      <c r="C202" s="1" t="n">
        <v>45923</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59736-2023</t>
        </is>
      </c>
      <c r="B203" s="1" t="n">
        <v>45257.374375</v>
      </c>
      <c r="C203" s="1" t="n">
        <v>45923</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18360-2024</t>
        </is>
      </c>
      <c r="B204" s="1" t="n">
        <v>45422</v>
      </c>
      <c r="C204" s="1" t="n">
        <v>45923</v>
      </c>
      <c r="D204" t="inlineStr">
        <is>
          <t>ÖREBRO LÄN</t>
        </is>
      </c>
      <c r="E204" t="inlineStr">
        <is>
          <t>ÖREBRO</t>
        </is>
      </c>
      <c r="G204" t="n">
        <v>0.7</v>
      </c>
      <c r="H204" t="n">
        <v>0</v>
      </c>
      <c r="I204" t="n">
        <v>0</v>
      </c>
      <c r="J204" t="n">
        <v>0</v>
      </c>
      <c r="K204" t="n">
        <v>0</v>
      </c>
      <c r="L204" t="n">
        <v>0</v>
      </c>
      <c r="M204" t="n">
        <v>0</v>
      </c>
      <c r="N204" t="n">
        <v>0</v>
      </c>
      <c r="O204" t="n">
        <v>0</v>
      </c>
      <c r="P204" t="n">
        <v>0</v>
      </c>
      <c r="Q204" t="n">
        <v>0</v>
      </c>
      <c r="R204" s="2" t="inlineStr"/>
    </row>
    <row r="205" ht="15" customHeight="1">
      <c r="A205" t="inlineStr">
        <is>
          <t>A 38842-2022</t>
        </is>
      </c>
      <c r="B205" s="1" t="n">
        <v>44814</v>
      </c>
      <c r="C205" s="1" t="n">
        <v>45923</v>
      </c>
      <c r="D205" t="inlineStr">
        <is>
          <t>ÖREBRO LÄN</t>
        </is>
      </c>
      <c r="E205" t="inlineStr">
        <is>
          <t>ÖREBRO</t>
        </is>
      </c>
      <c r="G205" t="n">
        <v>5</v>
      </c>
      <c r="H205" t="n">
        <v>0</v>
      </c>
      <c r="I205" t="n">
        <v>0</v>
      </c>
      <c r="J205" t="n">
        <v>0</v>
      </c>
      <c r="K205" t="n">
        <v>0</v>
      </c>
      <c r="L205" t="n">
        <v>0</v>
      </c>
      <c r="M205" t="n">
        <v>0</v>
      </c>
      <c r="N205" t="n">
        <v>0</v>
      </c>
      <c r="O205" t="n">
        <v>0</v>
      </c>
      <c r="P205" t="n">
        <v>0</v>
      </c>
      <c r="Q205" t="n">
        <v>0</v>
      </c>
      <c r="R205" s="2" t="inlineStr"/>
    </row>
    <row r="206" ht="15" customHeight="1">
      <c r="A206" t="inlineStr">
        <is>
          <t>A 7611-2024</t>
        </is>
      </c>
      <c r="B206" s="1" t="n">
        <v>45348.58864583333</v>
      </c>
      <c r="C206" s="1" t="n">
        <v>45923</v>
      </c>
      <c r="D206" t="inlineStr">
        <is>
          <t>ÖREBRO LÄN</t>
        </is>
      </c>
      <c r="E206" t="inlineStr">
        <is>
          <t>ÖREBRO</t>
        </is>
      </c>
      <c r="G206" t="n">
        <v>4.2</v>
      </c>
      <c r="H206" t="n">
        <v>0</v>
      </c>
      <c r="I206" t="n">
        <v>0</v>
      </c>
      <c r="J206" t="n">
        <v>0</v>
      </c>
      <c r="K206" t="n">
        <v>0</v>
      </c>
      <c r="L206" t="n">
        <v>0</v>
      </c>
      <c r="M206" t="n">
        <v>0</v>
      </c>
      <c r="N206" t="n">
        <v>0</v>
      </c>
      <c r="O206" t="n">
        <v>0</v>
      </c>
      <c r="P206" t="n">
        <v>0</v>
      </c>
      <c r="Q206" t="n">
        <v>0</v>
      </c>
      <c r="R206" s="2" t="inlineStr"/>
    </row>
    <row r="207" ht="15" customHeight="1">
      <c r="A207" t="inlineStr">
        <is>
          <t>A 13347-2023</t>
        </is>
      </c>
      <c r="B207" s="1" t="n">
        <v>45004</v>
      </c>
      <c r="C207" s="1" t="n">
        <v>45923</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55355-2024</t>
        </is>
      </c>
      <c r="B208" s="1" t="n">
        <v>45621.80475694445</v>
      </c>
      <c r="C208" s="1" t="n">
        <v>45923</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187-2024</t>
        </is>
      </c>
      <c r="B209" s="1" t="n">
        <v>45294</v>
      </c>
      <c r="C209" s="1" t="n">
        <v>45923</v>
      </c>
      <c r="D209" t="inlineStr">
        <is>
          <t>ÖREBRO LÄN</t>
        </is>
      </c>
      <c r="E209" t="inlineStr">
        <is>
          <t>ÖREBRO</t>
        </is>
      </c>
      <c r="G209" t="n">
        <v>5.9</v>
      </c>
      <c r="H209" t="n">
        <v>0</v>
      </c>
      <c r="I209" t="n">
        <v>0</v>
      </c>
      <c r="J209" t="n">
        <v>0</v>
      </c>
      <c r="K209" t="n">
        <v>0</v>
      </c>
      <c r="L209" t="n">
        <v>0</v>
      </c>
      <c r="M209" t="n">
        <v>0</v>
      </c>
      <c r="N209" t="n">
        <v>0</v>
      </c>
      <c r="O209" t="n">
        <v>0</v>
      </c>
      <c r="P209" t="n">
        <v>0</v>
      </c>
      <c r="Q209" t="n">
        <v>0</v>
      </c>
      <c r="R209" s="2" t="inlineStr"/>
    </row>
    <row r="210" ht="15" customHeight="1">
      <c r="A210" t="inlineStr">
        <is>
          <t>A 10832-2023</t>
        </is>
      </c>
      <c r="B210" s="1" t="n">
        <v>44990.91711805556</v>
      </c>
      <c r="C210" s="1" t="n">
        <v>45923</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49029-2024</t>
        </is>
      </c>
      <c r="B211" s="1" t="n">
        <v>45594</v>
      </c>
      <c r="C211" s="1" t="n">
        <v>45923</v>
      </c>
      <c r="D211" t="inlineStr">
        <is>
          <t>ÖREBRO LÄN</t>
        </is>
      </c>
      <c r="E211" t="inlineStr">
        <is>
          <t>ÖREBRO</t>
        </is>
      </c>
      <c r="G211" t="n">
        <v>3.7</v>
      </c>
      <c r="H211" t="n">
        <v>0</v>
      </c>
      <c r="I211" t="n">
        <v>0</v>
      </c>
      <c r="J211" t="n">
        <v>0</v>
      </c>
      <c r="K211" t="n">
        <v>0</v>
      </c>
      <c r="L211" t="n">
        <v>0</v>
      </c>
      <c r="M211" t="n">
        <v>0</v>
      </c>
      <c r="N211" t="n">
        <v>0</v>
      </c>
      <c r="O211" t="n">
        <v>0</v>
      </c>
      <c r="P211" t="n">
        <v>0</v>
      </c>
      <c r="Q211" t="n">
        <v>0</v>
      </c>
      <c r="R211" s="2" t="inlineStr"/>
    </row>
    <row r="212" ht="15" customHeight="1">
      <c r="A212" t="inlineStr">
        <is>
          <t>A 2596-2022</t>
        </is>
      </c>
      <c r="B212" s="1" t="n">
        <v>44580</v>
      </c>
      <c r="C212" s="1" t="n">
        <v>45923</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5338-2024</t>
        </is>
      </c>
      <c r="B213" s="1" t="n">
        <v>45331</v>
      </c>
      <c r="C213" s="1" t="n">
        <v>45923</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20115-2024</t>
        </is>
      </c>
      <c r="B214" s="1" t="n">
        <v>45434</v>
      </c>
      <c r="C214" s="1" t="n">
        <v>45923</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55875-2024</t>
        </is>
      </c>
      <c r="B215" s="1" t="n">
        <v>45623.55375</v>
      </c>
      <c r="C215" s="1" t="n">
        <v>45923</v>
      </c>
      <c r="D215" t="inlineStr">
        <is>
          <t>ÖREBRO LÄN</t>
        </is>
      </c>
      <c r="E215" t="inlineStr">
        <is>
          <t>ÖREBRO</t>
        </is>
      </c>
      <c r="G215" t="n">
        <v>3.5</v>
      </c>
      <c r="H215" t="n">
        <v>0</v>
      </c>
      <c r="I215" t="n">
        <v>0</v>
      </c>
      <c r="J215" t="n">
        <v>0</v>
      </c>
      <c r="K215" t="n">
        <v>0</v>
      </c>
      <c r="L215" t="n">
        <v>0</v>
      </c>
      <c r="M215" t="n">
        <v>0</v>
      </c>
      <c r="N215" t="n">
        <v>0</v>
      </c>
      <c r="O215" t="n">
        <v>0</v>
      </c>
      <c r="P215" t="n">
        <v>0</v>
      </c>
      <c r="Q215" t="n">
        <v>0</v>
      </c>
      <c r="R215" s="2" t="inlineStr"/>
    </row>
    <row r="216" ht="15" customHeight="1">
      <c r="A216" t="inlineStr">
        <is>
          <t>A 14487-2023</t>
        </is>
      </c>
      <c r="B216" s="1" t="n">
        <v>45012</v>
      </c>
      <c r="C216" s="1" t="n">
        <v>45923</v>
      </c>
      <c r="D216" t="inlineStr">
        <is>
          <t>ÖREBRO LÄN</t>
        </is>
      </c>
      <c r="E216" t="inlineStr">
        <is>
          <t>ÖREBRO</t>
        </is>
      </c>
      <c r="G216" t="n">
        <v>0.5</v>
      </c>
      <c r="H216" t="n">
        <v>0</v>
      </c>
      <c r="I216" t="n">
        <v>0</v>
      </c>
      <c r="J216" t="n">
        <v>0</v>
      </c>
      <c r="K216" t="n">
        <v>0</v>
      </c>
      <c r="L216" t="n">
        <v>0</v>
      </c>
      <c r="M216" t="n">
        <v>0</v>
      </c>
      <c r="N216" t="n">
        <v>0</v>
      </c>
      <c r="O216" t="n">
        <v>0</v>
      </c>
      <c r="P216" t="n">
        <v>0</v>
      </c>
      <c r="Q216" t="n">
        <v>0</v>
      </c>
      <c r="R216" s="2" t="inlineStr"/>
    </row>
    <row r="217" ht="15" customHeight="1">
      <c r="A217" t="inlineStr">
        <is>
          <t>A 23710-2022</t>
        </is>
      </c>
      <c r="B217" s="1" t="n">
        <v>44722</v>
      </c>
      <c r="C217" s="1" t="n">
        <v>45923</v>
      </c>
      <c r="D217" t="inlineStr">
        <is>
          <t>ÖREBRO LÄN</t>
        </is>
      </c>
      <c r="E217" t="inlineStr">
        <is>
          <t>ÖREBRO</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40597-2021</t>
        </is>
      </c>
      <c r="B218" s="1" t="n">
        <v>44420</v>
      </c>
      <c r="C218" s="1" t="n">
        <v>45923</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10470-2025</t>
        </is>
      </c>
      <c r="B219" s="1" t="n">
        <v>45720</v>
      </c>
      <c r="C219" s="1" t="n">
        <v>45923</v>
      </c>
      <c r="D219" t="inlineStr">
        <is>
          <t>ÖREBRO LÄN</t>
        </is>
      </c>
      <c r="E219" t="inlineStr">
        <is>
          <t>ÖREBRO</t>
        </is>
      </c>
      <c r="G219" t="n">
        <v>11.5</v>
      </c>
      <c r="H219" t="n">
        <v>0</v>
      </c>
      <c r="I219" t="n">
        <v>0</v>
      </c>
      <c r="J219" t="n">
        <v>0</v>
      </c>
      <c r="K219" t="n">
        <v>0</v>
      </c>
      <c r="L219" t="n">
        <v>0</v>
      </c>
      <c r="M219" t="n">
        <v>0</v>
      </c>
      <c r="N219" t="n">
        <v>0</v>
      </c>
      <c r="O219" t="n">
        <v>0</v>
      </c>
      <c r="P219" t="n">
        <v>0</v>
      </c>
      <c r="Q219" t="n">
        <v>0</v>
      </c>
      <c r="R219" s="2" t="inlineStr"/>
    </row>
    <row r="220" ht="15" customHeight="1">
      <c r="A220" t="inlineStr">
        <is>
          <t>A 46056-2024</t>
        </is>
      </c>
      <c r="B220" s="1" t="n">
        <v>45580.91502314815</v>
      </c>
      <c r="C220" s="1" t="n">
        <v>45923</v>
      </c>
      <c r="D220" t="inlineStr">
        <is>
          <t>ÖREBRO LÄN</t>
        </is>
      </c>
      <c r="E220" t="inlineStr">
        <is>
          <t>ÖREBRO</t>
        </is>
      </c>
      <c r="F220" t="inlineStr">
        <is>
          <t>Övriga Aktiebolag</t>
        </is>
      </c>
      <c r="G220" t="n">
        <v>4.5</v>
      </c>
      <c r="H220" t="n">
        <v>0</v>
      </c>
      <c r="I220" t="n">
        <v>0</v>
      </c>
      <c r="J220" t="n">
        <v>0</v>
      </c>
      <c r="K220" t="n">
        <v>0</v>
      </c>
      <c r="L220" t="n">
        <v>0</v>
      </c>
      <c r="M220" t="n">
        <v>0</v>
      </c>
      <c r="N220" t="n">
        <v>0</v>
      </c>
      <c r="O220" t="n">
        <v>0</v>
      </c>
      <c r="P220" t="n">
        <v>0</v>
      </c>
      <c r="Q220" t="n">
        <v>0</v>
      </c>
      <c r="R220" s="2" t="inlineStr"/>
    </row>
    <row r="221" ht="15" customHeight="1">
      <c r="A221" t="inlineStr">
        <is>
          <t>A 8575-2021</t>
        </is>
      </c>
      <c r="B221" s="1" t="n">
        <v>44245</v>
      </c>
      <c r="C221" s="1" t="n">
        <v>45923</v>
      </c>
      <c r="D221" t="inlineStr">
        <is>
          <t>ÖREBRO LÄN</t>
        </is>
      </c>
      <c r="E221" t="inlineStr">
        <is>
          <t>ÖREBRO</t>
        </is>
      </c>
      <c r="G221" t="n">
        <v>3.4</v>
      </c>
      <c r="H221" t="n">
        <v>0</v>
      </c>
      <c r="I221" t="n">
        <v>0</v>
      </c>
      <c r="J221" t="n">
        <v>0</v>
      </c>
      <c r="K221" t="n">
        <v>0</v>
      </c>
      <c r="L221" t="n">
        <v>0</v>
      </c>
      <c r="M221" t="n">
        <v>0</v>
      </c>
      <c r="N221" t="n">
        <v>0</v>
      </c>
      <c r="O221" t="n">
        <v>0</v>
      </c>
      <c r="P221" t="n">
        <v>0</v>
      </c>
      <c r="Q221" t="n">
        <v>0</v>
      </c>
      <c r="R221" s="2" t="inlineStr"/>
    </row>
    <row r="222" ht="15" customHeight="1">
      <c r="A222" t="inlineStr">
        <is>
          <t>A 8565-2021</t>
        </is>
      </c>
      <c r="B222" s="1" t="n">
        <v>44245</v>
      </c>
      <c r="C222" s="1" t="n">
        <v>45923</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4970-2022</t>
        </is>
      </c>
      <c r="B223" s="1" t="n">
        <v>44593.51175925926</v>
      </c>
      <c r="C223" s="1" t="n">
        <v>45923</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13355-2023</t>
        </is>
      </c>
      <c r="B224" s="1" t="n">
        <v>45004</v>
      </c>
      <c r="C224" s="1" t="n">
        <v>45923</v>
      </c>
      <c r="D224" t="inlineStr">
        <is>
          <t>ÖREBRO LÄN</t>
        </is>
      </c>
      <c r="E224" t="inlineStr">
        <is>
          <t>ÖREBRO</t>
        </is>
      </c>
      <c r="G224" t="n">
        <v>2.3</v>
      </c>
      <c r="H224" t="n">
        <v>0</v>
      </c>
      <c r="I224" t="n">
        <v>0</v>
      </c>
      <c r="J224" t="n">
        <v>0</v>
      </c>
      <c r="K224" t="n">
        <v>0</v>
      </c>
      <c r="L224" t="n">
        <v>0</v>
      </c>
      <c r="M224" t="n">
        <v>0</v>
      </c>
      <c r="N224" t="n">
        <v>0</v>
      </c>
      <c r="O224" t="n">
        <v>0</v>
      </c>
      <c r="P224" t="n">
        <v>0</v>
      </c>
      <c r="Q224" t="n">
        <v>0</v>
      </c>
      <c r="R224" s="2" t="inlineStr"/>
    </row>
    <row r="225" ht="15" customHeight="1">
      <c r="A225" t="inlineStr">
        <is>
          <t>A 65257-2023</t>
        </is>
      </c>
      <c r="B225" s="1" t="n">
        <v>45290</v>
      </c>
      <c r="C225" s="1" t="n">
        <v>45923</v>
      </c>
      <c r="D225" t="inlineStr">
        <is>
          <t>ÖREBRO LÄN</t>
        </is>
      </c>
      <c r="E225" t="inlineStr">
        <is>
          <t>ÖREBRO</t>
        </is>
      </c>
      <c r="F225" t="inlineStr">
        <is>
          <t>Övriga Aktiebolag</t>
        </is>
      </c>
      <c r="G225" t="n">
        <v>2.4</v>
      </c>
      <c r="H225" t="n">
        <v>0</v>
      </c>
      <c r="I225" t="n">
        <v>0</v>
      </c>
      <c r="J225" t="n">
        <v>0</v>
      </c>
      <c r="K225" t="n">
        <v>0</v>
      </c>
      <c r="L225" t="n">
        <v>0</v>
      </c>
      <c r="M225" t="n">
        <v>0</v>
      </c>
      <c r="N225" t="n">
        <v>0</v>
      </c>
      <c r="O225" t="n">
        <v>0</v>
      </c>
      <c r="P225" t="n">
        <v>0</v>
      </c>
      <c r="Q225" t="n">
        <v>0</v>
      </c>
      <c r="R225" s="2" t="inlineStr"/>
    </row>
    <row r="226" ht="15" customHeight="1">
      <c r="A226" t="inlineStr">
        <is>
          <t>A 18047-2023</t>
        </is>
      </c>
      <c r="B226" s="1" t="n">
        <v>45040</v>
      </c>
      <c r="C226" s="1" t="n">
        <v>45923</v>
      </c>
      <c r="D226" t="inlineStr">
        <is>
          <t>ÖREBRO LÄN</t>
        </is>
      </c>
      <c r="E226" t="inlineStr">
        <is>
          <t>ÖREBRO</t>
        </is>
      </c>
      <c r="G226" t="n">
        <v>3.9</v>
      </c>
      <c r="H226" t="n">
        <v>0</v>
      </c>
      <c r="I226" t="n">
        <v>0</v>
      </c>
      <c r="J226" t="n">
        <v>0</v>
      </c>
      <c r="K226" t="n">
        <v>0</v>
      </c>
      <c r="L226" t="n">
        <v>0</v>
      </c>
      <c r="M226" t="n">
        <v>0</v>
      </c>
      <c r="N226" t="n">
        <v>0</v>
      </c>
      <c r="O226" t="n">
        <v>0</v>
      </c>
      <c r="P226" t="n">
        <v>0</v>
      </c>
      <c r="Q226" t="n">
        <v>0</v>
      </c>
      <c r="R226" s="2" t="inlineStr"/>
    </row>
    <row r="227" ht="15" customHeight="1">
      <c r="A227" t="inlineStr">
        <is>
          <t>A 26338-2021</t>
        </is>
      </c>
      <c r="B227" s="1" t="n">
        <v>44347</v>
      </c>
      <c r="C227" s="1" t="n">
        <v>45923</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13418-2024</t>
        </is>
      </c>
      <c r="B228" s="1" t="n">
        <v>45387.46482638889</v>
      </c>
      <c r="C228" s="1" t="n">
        <v>45923</v>
      </c>
      <c r="D228" t="inlineStr">
        <is>
          <t>ÖREBRO LÄN</t>
        </is>
      </c>
      <c r="E228" t="inlineStr">
        <is>
          <t>ÖREBRO</t>
        </is>
      </c>
      <c r="G228" t="n">
        <v>4.2</v>
      </c>
      <c r="H228" t="n">
        <v>0</v>
      </c>
      <c r="I228" t="n">
        <v>0</v>
      </c>
      <c r="J228" t="n">
        <v>0</v>
      </c>
      <c r="K228" t="n">
        <v>0</v>
      </c>
      <c r="L228" t="n">
        <v>0</v>
      </c>
      <c r="M228" t="n">
        <v>0</v>
      </c>
      <c r="N228" t="n">
        <v>0</v>
      </c>
      <c r="O228" t="n">
        <v>0</v>
      </c>
      <c r="P228" t="n">
        <v>0</v>
      </c>
      <c r="Q228" t="n">
        <v>0</v>
      </c>
      <c r="R228" s="2" t="inlineStr"/>
    </row>
    <row r="229" ht="15" customHeight="1">
      <c r="A229" t="inlineStr">
        <is>
          <t>A 6522-2023</t>
        </is>
      </c>
      <c r="B229" s="1" t="n">
        <v>44966</v>
      </c>
      <c r="C229" s="1" t="n">
        <v>45923</v>
      </c>
      <c r="D229" t="inlineStr">
        <is>
          <t>ÖREBRO LÄN</t>
        </is>
      </c>
      <c r="E229" t="inlineStr">
        <is>
          <t>ÖREBRO</t>
        </is>
      </c>
      <c r="G229" t="n">
        <v>4.4</v>
      </c>
      <c r="H229" t="n">
        <v>0</v>
      </c>
      <c r="I229" t="n">
        <v>0</v>
      </c>
      <c r="J229" t="n">
        <v>0</v>
      </c>
      <c r="K229" t="n">
        <v>0</v>
      </c>
      <c r="L229" t="n">
        <v>0</v>
      </c>
      <c r="M229" t="n">
        <v>0</v>
      </c>
      <c r="N229" t="n">
        <v>0</v>
      </c>
      <c r="O229" t="n">
        <v>0</v>
      </c>
      <c r="P229" t="n">
        <v>0</v>
      </c>
      <c r="Q229" t="n">
        <v>0</v>
      </c>
      <c r="R229" s="2" t="inlineStr"/>
    </row>
    <row r="230" ht="15" customHeight="1">
      <c r="A230" t="inlineStr">
        <is>
          <t>A 71266-2021</t>
        </is>
      </c>
      <c r="B230" s="1" t="n">
        <v>44539</v>
      </c>
      <c r="C230" s="1" t="n">
        <v>45923</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71267-2021</t>
        </is>
      </c>
      <c r="B231" s="1" t="n">
        <v>44539</v>
      </c>
      <c r="C231" s="1" t="n">
        <v>45923</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71280-2021</t>
        </is>
      </c>
      <c r="B232" s="1" t="n">
        <v>44539</v>
      </c>
      <c r="C232" s="1" t="n">
        <v>45923</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56040-2024</t>
        </is>
      </c>
      <c r="B233" s="1" t="n">
        <v>45624.3344212963</v>
      </c>
      <c r="C233" s="1" t="n">
        <v>45923</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28821-2025</t>
        </is>
      </c>
      <c r="B234" s="1" t="n">
        <v>45820</v>
      </c>
      <c r="C234" s="1" t="n">
        <v>45923</v>
      </c>
      <c r="D234" t="inlineStr">
        <is>
          <t>ÖREBRO LÄN</t>
        </is>
      </c>
      <c r="E234" t="inlineStr">
        <is>
          <t>ÖREBRO</t>
        </is>
      </c>
      <c r="G234" t="n">
        <v>12.6</v>
      </c>
      <c r="H234" t="n">
        <v>0</v>
      </c>
      <c r="I234" t="n">
        <v>0</v>
      </c>
      <c r="J234" t="n">
        <v>0</v>
      </c>
      <c r="K234" t="n">
        <v>0</v>
      </c>
      <c r="L234" t="n">
        <v>0</v>
      </c>
      <c r="M234" t="n">
        <v>0</v>
      </c>
      <c r="N234" t="n">
        <v>0</v>
      </c>
      <c r="O234" t="n">
        <v>0</v>
      </c>
      <c r="P234" t="n">
        <v>0</v>
      </c>
      <c r="Q234" t="n">
        <v>0</v>
      </c>
      <c r="R234" s="2" t="inlineStr"/>
    </row>
    <row r="235" ht="15" customHeight="1">
      <c r="A235" t="inlineStr">
        <is>
          <t>A 52444-2024</t>
        </is>
      </c>
      <c r="B235" s="1" t="n">
        <v>45609.48894675926</v>
      </c>
      <c r="C235" s="1" t="n">
        <v>45923</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60128-2023</t>
        </is>
      </c>
      <c r="B236" s="1" t="n">
        <v>45258</v>
      </c>
      <c r="C236" s="1" t="n">
        <v>45923</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35637-2025</t>
        </is>
      </c>
      <c r="B237" s="1" t="n">
        <v>45859.46859953704</v>
      </c>
      <c r="C237" s="1" t="n">
        <v>45923</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16140-2023</t>
        </is>
      </c>
      <c r="B238" s="1" t="n">
        <v>45027.6433912037</v>
      </c>
      <c r="C238" s="1" t="n">
        <v>45923</v>
      </c>
      <c r="D238" t="inlineStr">
        <is>
          <t>ÖREBRO LÄN</t>
        </is>
      </c>
      <c r="E238" t="inlineStr">
        <is>
          <t>ÖREBRO</t>
        </is>
      </c>
      <c r="G238" t="n">
        <v>2</v>
      </c>
      <c r="H238" t="n">
        <v>0</v>
      </c>
      <c r="I238" t="n">
        <v>0</v>
      </c>
      <c r="J238" t="n">
        <v>0</v>
      </c>
      <c r="K238" t="n">
        <v>0</v>
      </c>
      <c r="L238" t="n">
        <v>0</v>
      </c>
      <c r="M238" t="n">
        <v>0</v>
      </c>
      <c r="N238" t="n">
        <v>0</v>
      </c>
      <c r="O238" t="n">
        <v>0</v>
      </c>
      <c r="P238" t="n">
        <v>0</v>
      </c>
      <c r="Q238" t="n">
        <v>0</v>
      </c>
      <c r="R238" s="2" t="inlineStr"/>
    </row>
    <row r="239" ht="15" customHeight="1">
      <c r="A239" t="inlineStr">
        <is>
          <t>A 41722-2025</t>
        </is>
      </c>
      <c r="B239" s="1" t="n">
        <v>45902.44993055556</v>
      </c>
      <c r="C239" s="1" t="n">
        <v>45923</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41669-2025</t>
        </is>
      </c>
      <c r="B240" s="1" t="n">
        <v>45902.36149305556</v>
      </c>
      <c r="C240" s="1" t="n">
        <v>45923</v>
      </c>
      <c r="D240" t="inlineStr">
        <is>
          <t>ÖREBRO LÄN</t>
        </is>
      </c>
      <c r="E240" t="inlineStr">
        <is>
          <t>ÖREBRO</t>
        </is>
      </c>
      <c r="G240" t="n">
        <v>2.8</v>
      </c>
      <c r="H240" t="n">
        <v>0</v>
      </c>
      <c r="I240" t="n">
        <v>0</v>
      </c>
      <c r="J240" t="n">
        <v>0</v>
      </c>
      <c r="K240" t="n">
        <v>0</v>
      </c>
      <c r="L240" t="n">
        <v>0</v>
      </c>
      <c r="M240" t="n">
        <v>0</v>
      </c>
      <c r="N240" t="n">
        <v>0</v>
      </c>
      <c r="O240" t="n">
        <v>0</v>
      </c>
      <c r="P240" t="n">
        <v>0</v>
      </c>
      <c r="Q240" t="n">
        <v>0</v>
      </c>
      <c r="R240" s="2" t="inlineStr"/>
    </row>
    <row r="241" ht="15" customHeight="1">
      <c r="A241" t="inlineStr">
        <is>
          <t>A 41412-2025</t>
        </is>
      </c>
      <c r="B241" s="1" t="n">
        <v>45901.3549537037</v>
      </c>
      <c r="C241" s="1" t="n">
        <v>45923</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3789-2023</t>
        </is>
      </c>
      <c r="B242" s="1" t="n">
        <v>44951</v>
      </c>
      <c r="C242" s="1" t="n">
        <v>45923</v>
      </c>
      <c r="D242" t="inlineStr">
        <is>
          <t>ÖREBRO LÄN</t>
        </is>
      </c>
      <c r="E242" t="inlineStr">
        <is>
          <t>ÖREBRO</t>
        </is>
      </c>
      <c r="G242" t="n">
        <v>7.5</v>
      </c>
      <c r="H242" t="n">
        <v>0</v>
      </c>
      <c r="I242" t="n">
        <v>0</v>
      </c>
      <c r="J242" t="n">
        <v>0</v>
      </c>
      <c r="K242" t="n">
        <v>0</v>
      </c>
      <c r="L242" t="n">
        <v>0</v>
      </c>
      <c r="M242" t="n">
        <v>0</v>
      </c>
      <c r="N242" t="n">
        <v>0</v>
      </c>
      <c r="O242" t="n">
        <v>0</v>
      </c>
      <c r="P242" t="n">
        <v>0</v>
      </c>
      <c r="Q242" t="n">
        <v>0</v>
      </c>
      <c r="R242" s="2" t="inlineStr"/>
    </row>
    <row r="243" ht="15" customHeight="1">
      <c r="A243" t="inlineStr">
        <is>
          <t>A 35928-2025</t>
        </is>
      </c>
      <c r="B243" s="1" t="n">
        <v>45862</v>
      </c>
      <c r="C243" s="1" t="n">
        <v>45923</v>
      </c>
      <c r="D243" t="inlineStr">
        <is>
          <t>ÖREBRO LÄN</t>
        </is>
      </c>
      <c r="E243" t="inlineStr">
        <is>
          <t>ÖREBRO</t>
        </is>
      </c>
      <c r="G243" t="n">
        <v>4.4</v>
      </c>
      <c r="H243" t="n">
        <v>0</v>
      </c>
      <c r="I243" t="n">
        <v>0</v>
      </c>
      <c r="J243" t="n">
        <v>0</v>
      </c>
      <c r="K243" t="n">
        <v>0</v>
      </c>
      <c r="L243" t="n">
        <v>0</v>
      </c>
      <c r="M243" t="n">
        <v>0</v>
      </c>
      <c r="N243" t="n">
        <v>0</v>
      </c>
      <c r="O243" t="n">
        <v>0</v>
      </c>
      <c r="P243" t="n">
        <v>0</v>
      </c>
      <c r="Q243" t="n">
        <v>0</v>
      </c>
      <c r="R243" s="2" t="inlineStr"/>
    </row>
    <row r="244" ht="15" customHeight="1">
      <c r="A244" t="inlineStr">
        <is>
          <t>A 48581-2024</t>
        </is>
      </c>
      <c r="B244" s="1" t="n">
        <v>45593.41642361111</v>
      </c>
      <c r="C244" s="1" t="n">
        <v>45923</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55453-2024</t>
        </is>
      </c>
      <c r="B245" s="1" t="n">
        <v>45622.42097222222</v>
      </c>
      <c r="C245" s="1" t="n">
        <v>45923</v>
      </c>
      <c r="D245" t="inlineStr">
        <is>
          <t>ÖREBRO LÄN</t>
        </is>
      </c>
      <c r="E245" t="inlineStr">
        <is>
          <t>ÖREBRO</t>
        </is>
      </c>
      <c r="G245" t="n">
        <v>8.5</v>
      </c>
      <c r="H245" t="n">
        <v>0</v>
      </c>
      <c r="I245" t="n">
        <v>0</v>
      </c>
      <c r="J245" t="n">
        <v>0</v>
      </c>
      <c r="K245" t="n">
        <v>0</v>
      </c>
      <c r="L245" t="n">
        <v>0</v>
      </c>
      <c r="M245" t="n">
        <v>0</v>
      </c>
      <c r="N245" t="n">
        <v>0</v>
      </c>
      <c r="O245" t="n">
        <v>0</v>
      </c>
      <c r="P245" t="n">
        <v>0</v>
      </c>
      <c r="Q245" t="n">
        <v>0</v>
      </c>
      <c r="R245" s="2" t="inlineStr"/>
    </row>
    <row r="246" ht="15" customHeight="1">
      <c r="A246" t="inlineStr">
        <is>
          <t>A 5026-2022</t>
        </is>
      </c>
      <c r="B246" s="1" t="n">
        <v>44593.63974537037</v>
      </c>
      <c r="C246" s="1" t="n">
        <v>45923</v>
      </c>
      <c r="D246" t="inlineStr">
        <is>
          <t>ÖREBRO LÄN</t>
        </is>
      </c>
      <c r="E246" t="inlineStr">
        <is>
          <t>ÖREBRO</t>
        </is>
      </c>
      <c r="G246" t="n">
        <v>1.1</v>
      </c>
      <c r="H246" t="n">
        <v>0</v>
      </c>
      <c r="I246" t="n">
        <v>0</v>
      </c>
      <c r="J246" t="n">
        <v>0</v>
      </c>
      <c r="K246" t="n">
        <v>0</v>
      </c>
      <c r="L246" t="n">
        <v>0</v>
      </c>
      <c r="M246" t="n">
        <v>0</v>
      </c>
      <c r="N246" t="n">
        <v>0</v>
      </c>
      <c r="O246" t="n">
        <v>0</v>
      </c>
      <c r="P246" t="n">
        <v>0</v>
      </c>
      <c r="Q246" t="n">
        <v>0</v>
      </c>
      <c r="R246" s="2" t="inlineStr"/>
    </row>
    <row r="247" ht="15" customHeight="1">
      <c r="A247" t="inlineStr">
        <is>
          <t>A 6752-2022</t>
        </is>
      </c>
      <c r="B247" s="1" t="n">
        <v>44602.48082175926</v>
      </c>
      <c r="C247" s="1" t="n">
        <v>45923</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47047-2022</t>
        </is>
      </c>
      <c r="B248" s="1" t="n">
        <v>44852.39063657408</v>
      </c>
      <c r="C248" s="1" t="n">
        <v>45923</v>
      </c>
      <c r="D248" t="inlineStr">
        <is>
          <t>ÖREBRO LÄN</t>
        </is>
      </c>
      <c r="E248" t="inlineStr">
        <is>
          <t>ÖREBRO</t>
        </is>
      </c>
      <c r="G248" t="n">
        <v>1.6</v>
      </c>
      <c r="H248" t="n">
        <v>0</v>
      </c>
      <c r="I248" t="n">
        <v>0</v>
      </c>
      <c r="J248" t="n">
        <v>0</v>
      </c>
      <c r="K248" t="n">
        <v>0</v>
      </c>
      <c r="L248" t="n">
        <v>0</v>
      </c>
      <c r="M248" t="n">
        <v>0</v>
      </c>
      <c r="N248" t="n">
        <v>0</v>
      </c>
      <c r="O248" t="n">
        <v>0</v>
      </c>
      <c r="P248" t="n">
        <v>0</v>
      </c>
      <c r="Q248" t="n">
        <v>0</v>
      </c>
      <c r="R248" s="2" t="inlineStr"/>
    </row>
    <row r="249" ht="15" customHeight="1">
      <c r="A249" t="inlineStr">
        <is>
          <t>A 32025-2024</t>
        </is>
      </c>
      <c r="B249" s="1" t="n">
        <v>45510.65754629629</v>
      </c>
      <c r="C249" s="1" t="n">
        <v>45923</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21036-2024</t>
        </is>
      </c>
      <c r="B250" s="1" t="n">
        <v>45439.65954861111</v>
      </c>
      <c r="C250" s="1" t="n">
        <v>45923</v>
      </c>
      <c r="D250" t="inlineStr">
        <is>
          <t>ÖREBRO LÄN</t>
        </is>
      </c>
      <c r="E250" t="inlineStr">
        <is>
          <t>ÖREBRO</t>
        </is>
      </c>
      <c r="F250" t="inlineStr">
        <is>
          <t>Övriga Aktiebolag</t>
        </is>
      </c>
      <c r="G250" t="n">
        <v>5.7</v>
      </c>
      <c r="H250" t="n">
        <v>0</v>
      </c>
      <c r="I250" t="n">
        <v>0</v>
      </c>
      <c r="J250" t="n">
        <v>0</v>
      </c>
      <c r="K250" t="n">
        <v>0</v>
      </c>
      <c r="L250" t="n">
        <v>0</v>
      </c>
      <c r="M250" t="n">
        <v>0</v>
      </c>
      <c r="N250" t="n">
        <v>0</v>
      </c>
      <c r="O250" t="n">
        <v>0</v>
      </c>
      <c r="P250" t="n">
        <v>0</v>
      </c>
      <c r="Q250" t="n">
        <v>0</v>
      </c>
      <c r="R250" s="2" t="inlineStr"/>
    </row>
    <row r="251" ht="15" customHeight="1">
      <c r="A251" t="inlineStr">
        <is>
          <t>A 34056-2023</t>
        </is>
      </c>
      <c r="B251" s="1" t="n">
        <v>45135</v>
      </c>
      <c r="C251" s="1" t="n">
        <v>45923</v>
      </c>
      <c r="D251" t="inlineStr">
        <is>
          <t>ÖREBRO LÄN</t>
        </is>
      </c>
      <c r="E251" t="inlineStr">
        <is>
          <t>ÖREBRO</t>
        </is>
      </c>
      <c r="F251" t="inlineStr">
        <is>
          <t>Övriga Aktiebolag</t>
        </is>
      </c>
      <c r="G251" t="n">
        <v>4.1</v>
      </c>
      <c r="H251" t="n">
        <v>0</v>
      </c>
      <c r="I251" t="n">
        <v>0</v>
      </c>
      <c r="J251" t="n">
        <v>0</v>
      </c>
      <c r="K251" t="n">
        <v>0</v>
      </c>
      <c r="L251" t="n">
        <v>0</v>
      </c>
      <c r="M251" t="n">
        <v>0</v>
      </c>
      <c r="N251" t="n">
        <v>0</v>
      </c>
      <c r="O251" t="n">
        <v>0</v>
      </c>
      <c r="P251" t="n">
        <v>0</v>
      </c>
      <c r="Q251" t="n">
        <v>0</v>
      </c>
      <c r="R251" s="2" t="inlineStr"/>
    </row>
    <row r="252" ht="15" customHeight="1">
      <c r="A252" t="inlineStr">
        <is>
          <t>A 33457-2023</t>
        </is>
      </c>
      <c r="B252" s="1" t="n">
        <v>45131</v>
      </c>
      <c r="C252" s="1" t="n">
        <v>45923</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45237-2023</t>
        </is>
      </c>
      <c r="B253" s="1" t="n">
        <v>45191</v>
      </c>
      <c r="C253" s="1" t="n">
        <v>45923</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5946-2021</t>
        </is>
      </c>
      <c r="B254" s="1" t="n">
        <v>44230</v>
      </c>
      <c r="C254" s="1" t="n">
        <v>45923</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51180-2023</t>
        </is>
      </c>
      <c r="B255" s="1" t="n">
        <v>45219</v>
      </c>
      <c r="C255" s="1" t="n">
        <v>45923</v>
      </c>
      <c r="D255" t="inlineStr">
        <is>
          <t>ÖREBRO LÄN</t>
        </is>
      </c>
      <c r="E255" t="inlineStr">
        <is>
          <t>ÖREBRO</t>
        </is>
      </c>
      <c r="G255" t="n">
        <v>6.5</v>
      </c>
      <c r="H255" t="n">
        <v>0</v>
      </c>
      <c r="I255" t="n">
        <v>0</v>
      </c>
      <c r="J255" t="n">
        <v>0</v>
      </c>
      <c r="K255" t="n">
        <v>0</v>
      </c>
      <c r="L255" t="n">
        <v>0</v>
      </c>
      <c r="M255" t="n">
        <v>0</v>
      </c>
      <c r="N255" t="n">
        <v>0</v>
      </c>
      <c r="O255" t="n">
        <v>0</v>
      </c>
      <c r="P255" t="n">
        <v>0</v>
      </c>
      <c r="Q255" t="n">
        <v>0</v>
      </c>
      <c r="R255" s="2" t="inlineStr"/>
    </row>
    <row r="256" ht="15" customHeight="1">
      <c r="A256" t="inlineStr">
        <is>
          <t>A 60028-2024</t>
        </is>
      </c>
      <c r="B256" s="1" t="n">
        <v>45642</v>
      </c>
      <c r="C256" s="1" t="n">
        <v>45923</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33294-2023</t>
        </is>
      </c>
      <c r="B257" s="1" t="n">
        <v>45127</v>
      </c>
      <c r="C257" s="1" t="n">
        <v>45923</v>
      </c>
      <c r="D257" t="inlineStr">
        <is>
          <t>ÖREBRO LÄN</t>
        </is>
      </c>
      <c r="E257" t="inlineStr">
        <is>
          <t>ÖREBRO</t>
        </is>
      </c>
      <c r="F257" t="inlineStr">
        <is>
          <t>Övriga Aktiebolag</t>
        </is>
      </c>
      <c r="G257" t="n">
        <v>6.7</v>
      </c>
      <c r="H257" t="n">
        <v>0</v>
      </c>
      <c r="I257" t="n">
        <v>0</v>
      </c>
      <c r="J257" t="n">
        <v>0</v>
      </c>
      <c r="K257" t="n">
        <v>0</v>
      </c>
      <c r="L257" t="n">
        <v>0</v>
      </c>
      <c r="M257" t="n">
        <v>0</v>
      </c>
      <c r="N257" t="n">
        <v>0</v>
      </c>
      <c r="O257" t="n">
        <v>0</v>
      </c>
      <c r="P257" t="n">
        <v>0</v>
      </c>
      <c r="Q257" t="n">
        <v>0</v>
      </c>
      <c r="R257" s="2" t="inlineStr"/>
    </row>
    <row r="258" ht="15" customHeight="1">
      <c r="A258" t="inlineStr">
        <is>
          <t>A 36448-2025</t>
        </is>
      </c>
      <c r="B258" s="1" t="n">
        <v>45869.41929398148</v>
      </c>
      <c r="C258" s="1" t="n">
        <v>45923</v>
      </c>
      <c r="D258" t="inlineStr">
        <is>
          <t>ÖREBRO LÄN</t>
        </is>
      </c>
      <c r="E258" t="inlineStr">
        <is>
          <t>ÖREBRO</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13857-2022</t>
        </is>
      </c>
      <c r="B259" s="1" t="n">
        <v>44649</v>
      </c>
      <c r="C259" s="1" t="n">
        <v>45923</v>
      </c>
      <c r="D259" t="inlineStr">
        <is>
          <t>ÖREBRO LÄN</t>
        </is>
      </c>
      <c r="E259" t="inlineStr">
        <is>
          <t>ÖREBRO</t>
        </is>
      </c>
      <c r="G259" t="n">
        <v>0.6</v>
      </c>
      <c r="H259" t="n">
        <v>0</v>
      </c>
      <c r="I259" t="n">
        <v>0</v>
      </c>
      <c r="J259" t="n">
        <v>0</v>
      </c>
      <c r="K259" t="n">
        <v>0</v>
      </c>
      <c r="L259" t="n">
        <v>0</v>
      </c>
      <c r="M259" t="n">
        <v>0</v>
      </c>
      <c r="N259" t="n">
        <v>0</v>
      </c>
      <c r="O259" t="n">
        <v>0</v>
      </c>
      <c r="P259" t="n">
        <v>0</v>
      </c>
      <c r="Q259" t="n">
        <v>0</v>
      </c>
      <c r="R259" s="2" t="inlineStr"/>
    </row>
    <row r="260" ht="15" customHeight="1">
      <c r="A260" t="inlineStr">
        <is>
          <t>A 61078-2024</t>
        </is>
      </c>
      <c r="B260" s="1" t="n">
        <v>45645.51034722223</v>
      </c>
      <c r="C260" s="1" t="n">
        <v>45923</v>
      </c>
      <c r="D260" t="inlineStr">
        <is>
          <t>ÖREBRO LÄN</t>
        </is>
      </c>
      <c r="E260" t="inlineStr">
        <is>
          <t>ÖREBRO</t>
        </is>
      </c>
      <c r="G260" t="n">
        <v>4.1</v>
      </c>
      <c r="H260" t="n">
        <v>0</v>
      </c>
      <c r="I260" t="n">
        <v>0</v>
      </c>
      <c r="J260" t="n">
        <v>0</v>
      </c>
      <c r="K260" t="n">
        <v>0</v>
      </c>
      <c r="L260" t="n">
        <v>0</v>
      </c>
      <c r="M260" t="n">
        <v>0</v>
      </c>
      <c r="N260" t="n">
        <v>0</v>
      </c>
      <c r="O260" t="n">
        <v>0</v>
      </c>
      <c r="P260" t="n">
        <v>0</v>
      </c>
      <c r="Q260" t="n">
        <v>0</v>
      </c>
      <c r="R260" s="2" t="inlineStr"/>
    </row>
    <row r="261" ht="15" customHeight="1">
      <c r="A261" t="inlineStr">
        <is>
          <t>A 54917-2023</t>
        </is>
      </c>
      <c r="B261" s="1" t="n">
        <v>45229</v>
      </c>
      <c r="C261" s="1" t="n">
        <v>45923</v>
      </c>
      <c r="D261" t="inlineStr">
        <is>
          <t>ÖREBRO LÄN</t>
        </is>
      </c>
      <c r="E261" t="inlineStr">
        <is>
          <t>ÖREBRO</t>
        </is>
      </c>
      <c r="G261" t="n">
        <v>3.1</v>
      </c>
      <c r="H261" t="n">
        <v>0</v>
      </c>
      <c r="I261" t="n">
        <v>0</v>
      </c>
      <c r="J261" t="n">
        <v>0</v>
      </c>
      <c r="K261" t="n">
        <v>0</v>
      </c>
      <c r="L261" t="n">
        <v>0</v>
      </c>
      <c r="M261" t="n">
        <v>0</v>
      </c>
      <c r="N261" t="n">
        <v>0</v>
      </c>
      <c r="O261" t="n">
        <v>0</v>
      </c>
      <c r="P261" t="n">
        <v>0</v>
      </c>
      <c r="Q261" t="n">
        <v>0</v>
      </c>
      <c r="R261" s="2" t="inlineStr"/>
    </row>
    <row r="262" ht="15" customHeight="1">
      <c r="A262" t="inlineStr">
        <is>
          <t>A 72329-2021</t>
        </is>
      </c>
      <c r="B262" s="1" t="n">
        <v>44545.46072916667</v>
      </c>
      <c r="C262" s="1" t="n">
        <v>45923</v>
      </c>
      <c r="D262" t="inlineStr">
        <is>
          <t>ÖREBRO LÄN</t>
        </is>
      </c>
      <c r="E262" t="inlineStr">
        <is>
          <t>ÖREBRO</t>
        </is>
      </c>
      <c r="G262" t="n">
        <v>0.5</v>
      </c>
      <c r="H262" t="n">
        <v>0</v>
      </c>
      <c r="I262" t="n">
        <v>0</v>
      </c>
      <c r="J262" t="n">
        <v>0</v>
      </c>
      <c r="K262" t="n">
        <v>0</v>
      </c>
      <c r="L262" t="n">
        <v>0</v>
      </c>
      <c r="M262" t="n">
        <v>0</v>
      </c>
      <c r="N262" t="n">
        <v>0</v>
      </c>
      <c r="O262" t="n">
        <v>0</v>
      </c>
      <c r="P262" t="n">
        <v>0</v>
      </c>
      <c r="Q262" t="n">
        <v>0</v>
      </c>
      <c r="R262" s="2" t="inlineStr"/>
    </row>
    <row r="263" ht="15" customHeight="1">
      <c r="A263" t="inlineStr">
        <is>
          <t>A 43803-2023</t>
        </is>
      </c>
      <c r="B263" s="1" t="n">
        <v>45187</v>
      </c>
      <c r="C263" s="1" t="n">
        <v>45923</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36447-2025</t>
        </is>
      </c>
      <c r="B264" s="1" t="n">
        <v>45869.41387731482</v>
      </c>
      <c r="C264" s="1" t="n">
        <v>45923</v>
      </c>
      <c r="D264" t="inlineStr">
        <is>
          <t>ÖREBRO LÄN</t>
        </is>
      </c>
      <c r="E264" t="inlineStr">
        <is>
          <t>ÖREBRO</t>
        </is>
      </c>
      <c r="F264" t="inlineStr">
        <is>
          <t>Övriga Aktiebolag</t>
        </is>
      </c>
      <c r="G264" t="n">
        <v>12.6</v>
      </c>
      <c r="H264" t="n">
        <v>0</v>
      </c>
      <c r="I264" t="n">
        <v>0</v>
      </c>
      <c r="J264" t="n">
        <v>0</v>
      </c>
      <c r="K264" t="n">
        <v>0</v>
      </c>
      <c r="L264" t="n">
        <v>0</v>
      </c>
      <c r="M264" t="n">
        <v>0</v>
      </c>
      <c r="N264" t="n">
        <v>0</v>
      </c>
      <c r="O264" t="n">
        <v>0</v>
      </c>
      <c r="P264" t="n">
        <v>0</v>
      </c>
      <c r="Q264" t="n">
        <v>0</v>
      </c>
      <c r="R264" s="2" t="inlineStr"/>
    </row>
    <row r="265" ht="15" customHeight="1">
      <c r="A265" t="inlineStr">
        <is>
          <t>A 12871-2021</t>
        </is>
      </c>
      <c r="B265" s="1" t="n">
        <v>44271.42121527778</v>
      </c>
      <c r="C265" s="1" t="n">
        <v>45923</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13158-2024</t>
        </is>
      </c>
      <c r="B266" s="1" t="n">
        <v>45386.38728009259</v>
      </c>
      <c r="C266" s="1" t="n">
        <v>45923</v>
      </c>
      <c r="D266" t="inlineStr">
        <is>
          <t>ÖREBRO LÄN</t>
        </is>
      </c>
      <c r="E266" t="inlineStr">
        <is>
          <t>ÖREBRO</t>
        </is>
      </c>
      <c r="G266" t="n">
        <v>1.8</v>
      </c>
      <c r="H266" t="n">
        <v>0</v>
      </c>
      <c r="I266" t="n">
        <v>0</v>
      </c>
      <c r="J266" t="n">
        <v>0</v>
      </c>
      <c r="K266" t="n">
        <v>0</v>
      </c>
      <c r="L266" t="n">
        <v>0</v>
      </c>
      <c r="M266" t="n">
        <v>0</v>
      </c>
      <c r="N266" t="n">
        <v>0</v>
      </c>
      <c r="O266" t="n">
        <v>0</v>
      </c>
      <c r="P266" t="n">
        <v>0</v>
      </c>
      <c r="Q266" t="n">
        <v>0</v>
      </c>
      <c r="R266" s="2" t="inlineStr"/>
    </row>
    <row r="267" ht="15" customHeight="1">
      <c r="A267" t="inlineStr">
        <is>
          <t>A 15789-2023</t>
        </is>
      </c>
      <c r="B267" s="1" t="n">
        <v>45021.71539351852</v>
      </c>
      <c r="C267" s="1" t="n">
        <v>45923</v>
      </c>
      <c r="D267" t="inlineStr">
        <is>
          <t>ÖREBRO LÄN</t>
        </is>
      </c>
      <c r="E267" t="inlineStr">
        <is>
          <t>ÖREBRO</t>
        </is>
      </c>
      <c r="F267" t="inlineStr">
        <is>
          <t>Övriga Aktiebolag</t>
        </is>
      </c>
      <c r="G267" t="n">
        <v>3.7</v>
      </c>
      <c r="H267" t="n">
        <v>0</v>
      </c>
      <c r="I267" t="n">
        <v>0</v>
      </c>
      <c r="J267" t="n">
        <v>0</v>
      </c>
      <c r="K267" t="n">
        <v>0</v>
      </c>
      <c r="L267" t="n">
        <v>0</v>
      </c>
      <c r="M267" t="n">
        <v>0</v>
      </c>
      <c r="N267" t="n">
        <v>0</v>
      </c>
      <c r="O267" t="n">
        <v>0</v>
      </c>
      <c r="P267" t="n">
        <v>0</v>
      </c>
      <c r="Q267" t="n">
        <v>0</v>
      </c>
      <c r="R267" s="2" t="inlineStr"/>
    </row>
    <row r="268" ht="15" customHeight="1">
      <c r="A268" t="inlineStr">
        <is>
          <t>A 58539-2024</t>
        </is>
      </c>
      <c r="B268" s="1" t="n">
        <v>45635.45157407408</v>
      </c>
      <c r="C268" s="1" t="n">
        <v>45923</v>
      </c>
      <c r="D268" t="inlineStr">
        <is>
          <t>ÖREBRO LÄN</t>
        </is>
      </c>
      <c r="E268" t="inlineStr">
        <is>
          <t>ÖREBRO</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13181-2023</t>
        </is>
      </c>
      <c r="B269" s="1" t="n">
        <v>45002.60659722222</v>
      </c>
      <c r="C269" s="1" t="n">
        <v>45923</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25996-2024</t>
        </is>
      </c>
      <c r="B270" s="1" t="n">
        <v>45467.89081018518</v>
      </c>
      <c r="C270" s="1" t="n">
        <v>45923</v>
      </c>
      <c r="D270" t="inlineStr">
        <is>
          <t>ÖREBRO LÄN</t>
        </is>
      </c>
      <c r="E270" t="inlineStr">
        <is>
          <t>ÖREBRO</t>
        </is>
      </c>
      <c r="G270" t="n">
        <v>4.7</v>
      </c>
      <c r="H270" t="n">
        <v>0</v>
      </c>
      <c r="I270" t="n">
        <v>0</v>
      </c>
      <c r="J270" t="n">
        <v>0</v>
      </c>
      <c r="K270" t="n">
        <v>0</v>
      </c>
      <c r="L270" t="n">
        <v>0</v>
      </c>
      <c r="M270" t="n">
        <v>0</v>
      </c>
      <c r="N270" t="n">
        <v>0</v>
      </c>
      <c r="O270" t="n">
        <v>0</v>
      </c>
      <c r="P270" t="n">
        <v>0</v>
      </c>
      <c r="Q270" t="n">
        <v>0</v>
      </c>
      <c r="R270" s="2" t="inlineStr"/>
    </row>
    <row r="271" ht="15" customHeight="1">
      <c r="A271" t="inlineStr">
        <is>
          <t>A 16676-2025</t>
        </is>
      </c>
      <c r="B271" s="1" t="n">
        <v>45754.44658564815</v>
      </c>
      <c r="C271" s="1" t="n">
        <v>45923</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16739-2023</t>
        </is>
      </c>
      <c r="B272" s="1" t="n">
        <v>45030.72627314815</v>
      </c>
      <c r="C272" s="1" t="n">
        <v>45923</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23741-2022</t>
        </is>
      </c>
      <c r="B273" s="1" t="n">
        <v>44722</v>
      </c>
      <c r="C273" s="1" t="n">
        <v>45923</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8274-2025</t>
        </is>
      </c>
      <c r="B274" s="1" t="n">
        <v>45708</v>
      </c>
      <c r="C274" s="1" t="n">
        <v>45923</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59757-2023</t>
        </is>
      </c>
      <c r="B275" s="1" t="n">
        <v>45257.40833333333</v>
      </c>
      <c r="C275" s="1" t="n">
        <v>45923</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17869-2024</t>
        </is>
      </c>
      <c r="B276" s="1" t="n">
        <v>45419</v>
      </c>
      <c r="C276" s="1" t="n">
        <v>45923</v>
      </c>
      <c r="D276" t="inlineStr">
        <is>
          <t>ÖREBRO LÄN</t>
        </is>
      </c>
      <c r="E276" t="inlineStr">
        <is>
          <t>ÖREBRO</t>
        </is>
      </c>
      <c r="G276" t="n">
        <v>3.7</v>
      </c>
      <c r="H276" t="n">
        <v>0</v>
      </c>
      <c r="I276" t="n">
        <v>0</v>
      </c>
      <c r="J276" t="n">
        <v>0</v>
      </c>
      <c r="K276" t="n">
        <v>0</v>
      </c>
      <c r="L276" t="n">
        <v>0</v>
      </c>
      <c r="M276" t="n">
        <v>0</v>
      </c>
      <c r="N276" t="n">
        <v>0</v>
      </c>
      <c r="O276" t="n">
        <v>0</v>
      </c>
      <c r="P276" t="n">
        <v>0</v>
      </c>
      <c r="Q276" t="n">
        <v>0</v>
      </c>
      <c r="R276" s="2" t="inlineStr"/>
    </row>
    <row r="277" ht="15" customHeight="1">
      <c r="A277" t="inlineStr">
        <is>
          <t>A 58620-2024</t>
        </is>
      </c>
      <c r="B277" s="1" t="n">
        <v>45635.56246527778</v>
      </c>
      <c r="C277" s="1" t="n">
        <v>45923</v>
      </c>
      <c r="D277" t="inlineStr">
        <is>
          <t>ÖREBRO LÄN</t>
        </is>
      </c>
      <c r="E277" t="inlineStr">
        <is>
          <t>ÖREBRO</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2771-2023</t>
        </is>
      </c>
      <c r="B278" s="1" t="n">
        <v>44944.64704861111</v>
      </c>
      <c r="C278" s="1" t="n">
        <v>45923</v>
      </c>
      <c r="D278" t="inlineStr">
        <is>
          <t>ÖREBRO LÄN</t>
        </is>
      </c>
      <c r="E278" t="inlineStr">
        <is>
          <t>ÖREBRO</t>
        </is>
      </c>
      <c r="G278" t="n">
        <v>15.4</v>
      </c>
      <c r="H278" t="n">
        <v>0</v>
      </c>
      <c r="I278" t="n">
        <v>0</v>
      </c>
      <c r="J278" t="n">
        <v>0</v>
      </c>
      <c r="K278" t="n">
        <v>0</v>
      </c>
      <c r="L278" t="n">
        <v>0</v>
      </c>
      <c r="M278" t="n">
        <v>0</v>
      </c>
      <c r="N278" t="n">
        <v>0</v>
      </c>
      <c r="O278" t="n">
        <v>0</v>
      </c>
      <c r="P278" t="n">
        <v>0</v>
      </c>
      <c r="Q278" t="n">
        <v>0</v>
      </c>
      <c r="R278" s="2" t="inlineStr"/>
    </row>
    <row r="279" ht="15" customHeight="1">
      <c r="A279" t="inlineStr">
        <is>
          <t>A 48644-2024</t>
        </is>
      </c>
      <c r="B279" s="1" t="n">
        <v>45593.47466435185</v>
      </c>
      <c r="C279" s="1" t="n">
        <v>45923</v>
      </c>
      <c r="D279" t="inlineStr">
        <is>
          <t>ÖREBRO LÄN</t>
        </is>
      </c>
      <c r="E279" t="inlineStr">
        <is>
          <t>ÖREBRO</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7141-2025</t>
        </is>
      </c>
      <c r="B280" s="1" t="n">
        <v>45702</v>
      </c>
      <c r="C280" s="1" t="n">
        <v>45923</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59024-2024</t>
        </is>
      </c>
      <c r="B281" s="1" t="n">
        <v>45636.68505787037</v>
      </c>
      <c r="C281" s="1" t="n">
        <v>45923</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71272-2021</t>
        </is>
      </c>
      <c r="B282" s="1" t="n">
        <v>44539.61571759259</v>
      </c>
      <c r="C282" s="1" t="n">
        <v>45923</v>
      </c>
      <c r="D282" t="inlineStr">
        <is>
          <t>ÖREBRO LÄN</t>
        </is>
      </c>
      <c r="E282" t="inlineStr">
        <is>
          <t>ÖREBRO</t>
        </is>
      </c>
      <c r="G282" t="n">
        <v>0.9</v>
      </c>
      <c r="H282" t="n">
        <v>0</v>
      </c>
      <c r="I282" t="n">
        <v>0</v>
      </c>
      <c r="J282" t="n">
        <v>0</v>
      </c>
      <c r="K282" t="n">
        <v>0</v>
      </c>
      <c r="L282" t="n">
        <v>0</v>
      </c>
      <c r="M282" t="n">
        <v>0</v>
      </c>
      <c r="N282" t="n">
        <v>0</v>
      </c>
      <c r="O282" t="n">
        <v>0</v>
      </c>
      <c r="P282" t="n">
        <v>0</v>
      </c>
      <c r="Q282" t="n">
        <v>0</v>
      </c>
      <c r="R282" s="2" t="inlineStr"/>
    </row>
    <row r="283" ht="15" customHeight="1">
      <c r="A283" t="inlineStr">
        <is>
          <t>A 12017-2024</t>
        </is>
      </c>
      <c r="B283" s="1" t="n">
        <v>45377</v>
      </c>
      <c r="C283" s="1" t="n">
        <v>45923</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4557-2023</t>
        </is>
      </c>
      <c r="B284" s="1" t="n">
        <v>44956.6655787037</v>
      </c>
      <c r="C284" s="1" t="n">
        <v>45923</v>
      </c>
      <c r="D284" t="inlineStr">
        <is>
          <t>ÖREBRO LÄN</t>
        </is>
      </c>
      <c r="E284" t="inlineStr">
        <is>
          <t>ÖREBRO</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60100-2022</t>
        </is>
      </c>
      <c r="B285" s="1" t="n">
        <v>44902</v>
      </c>
      <c r="C285" s="1" t="n">
        <v>45923</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56077-2022</t>
        </is>
      </c>
      <c r="B286" s="1" t="n">
        <v>44889.60872685185</v>
      </c>
      <c r="C286" s="1" t="n">
        <v>45923</v>
      </c>
      <c r="D286" t="inlineStr">
        <is>
          <t>ÖREBRO LÄN</t>
        </is>
      </c>
      <c r="E286" t="inlineStr">
        <is>
          <t>ÖREBRO</t>
        </is>
      </c>
      <c r="F286" t="inlineStr">
        <is>
          <t>Övriga Aktiebolag</t>
        </is>
      </c>
      <c r="G286" t="n">
        <v>2.5</v>
      </c>
      <c r="H286" t="n">
        <v>0</v>
      </c>
      <c r="I286" t="n">
        <v>0</v>
      </c>
      <c r="J286" t="n">
        <v>0</v>
      </c>
      <c r="K286" t="n">
        <v>0</v>
      </c>
      <c r="L286" t="n">
        <v>0</v>
      </c>
      <c r="M286" t="n">
        <v>0</v>
      </c>
      <c r="N286" t="n">
        <v>0</v>
      </c>
      <c r="O286" t="n">
        <v>0</v>
      </c>
      <c r="P286" t="n">
        <v>0</v>
      </c>
      <c r="Q286" t="n">
        <v>0</v>
      </c>
      <c r="R286" s="2" t="inlineStr"/>
    </row>
    <row r="287" ht="15" customHeight="1">
      <c r="A287" t="inlineStr">
        <is>
          <t>A 17465-2023</t>
        </is>
      </c>
      <c r="B287" s="1" t="n">
        <v>45036</v>
      </c>
      <c r="C287" s="1" t="n">
        <v>45923</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13657-2025</t>
        </is>
      </c>
      <c r="B288" s="1" t="n">
        <v>45736.7427662037</v>
      </c>
      <c r="C288" s="1" t="n">
        <v>45923</v>
      </c>
      <c r="D288" t="inlineStr">
        <is>
          <t>ÖREBRO LÄN</t>
        </is>
      </c>
      <c r="E288" t="inlineStr">
        <is>
          <t>ÖREBRO</t>
        </is>
      </c>
      <c r="G288" t="n">
        <v>3.8</v>
      </c>
      <c r="H288" t="n">
        <v>0</v>
      </c>
      <c r="I288" t="n">
        <v>0</v>
      </c>
      <c r="J288" t="n">
        <v>0</v>
      </c>
      <c r="K288" t="n">
        <v>0</v>
      </c>
      <c r="L288" t="n">
        <v>0</v>
      </c>
      <c r="M288" t="n">
        <v>0</v>
      </c>
      <c r="N288" t="n">
        <v>0</v>
      </c>
      <c r="O288" t="n">
        <v>0</v>
      </c>
      <c r="P288" t="n">
        <v>0</v>
      </c>
      <c r="Q288" t="n">
        <v>0</v>
      </c>
      <c r="R288" s="2" t="inlineStr"/>
    </row>
    <row r="289" ht="15" customHeight="1">
      <c r="A289" t="inlineStr">
        <is>
          <t>A 6213-2021</t>
        </is>
      </c>
      <c r="B289" s="1" t="n">
        <v>44232</v>
      </c>
      <c r="C289" s="1" t="n">
        <v>45923</v>
      </c>
      <c r="D289" t="inlineStr">
        <is>
          <t>ÖREBRO LÄN</t>
        </is>
      </c>
      <c r="E289" t="inlineStr">
        <is>
          <t>ÖREBRO</t>
        </is>
      </c>
      <c r="G289" t="n">
        <v>4</v>
      </c>
      <c r="H289" t="n">
        <v>0</v>
      </c>
      <c r="I289" t="n">
        <v>0</v>
      </c>
      <c r="J289" t="n">
        <v>0</v>
      </c>
      <c r="K289" t="n">
        <v>0</v>
      </c>
      <c r="L289" t="n">
        <v>0</v>
      </c>
      <c r="M289" t="n">
        <v>0</v>
      </c>
      <c r="N289" t="n">
        <v>0</v>
      </c>
      <c r="O289" t="n">
        <v>0</v>
      </c>
      <c r="P289" t="n">
        <v>0</v>
      </c>
      <c r="Q289" t="n">
        <v>0</v>
      </c>
      <c r="R289" s="2" t="inlineStr"/>
    </row>
    <row r="290" ht="15" customHeight="1">
      <c r="A290" t="inlineStr">
        <is>
          <t>A 57867-2024</t>
        </is>
      </c>
      <c r="B290" s="1" t="n">
        <v>45631.43864583333</v>
      </c>
      <c r="C290" s="1" t="n">
        <v>45923</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29138-2022</t>
        </is>
      </c>
      <c r="B291" s="1" t="n">
        <v>44750</v>
      </c>
      <c r="C291" s="1" t="n">
        <v>45923</v>
      </c>
      <c r="D291" t="inlineStr">
        <is>
          <t>ÖREBRO LÄN</t>
        </is>
      </c>
      <c r="E291" t="inlineStr">
        <is>
          <t>ÖREBRO</t>
        </is>
      </c>
      <c r="G291" t="n">
        <v>3.3</v>
      </c>
      <c r="H291" t="n">
        <v>0</v>
      </c>
      <c r="I291" t="n">
        <v>0</v>
      </c>
      <c r="J291" t="n">
        <v>0</v>
      </c>
      <c r="K291" t="n">
        <v>0</v>
      </c>
      <c r="L291" t="n">
        <v>0</v>
      </c>
      <c r="M291" t="n">
        <v>0</v>
      </c>
      <c r="N291" t="n">
        <v>0</v>
      </c>
      <c r="O291" t="n">
        <v>0</v>
      </c>
      <c r="P291" t="n">
        <v>0</v>
      </c>
      <c r="Q291" t="n">
        <v>0</v>
      </c>
      <c r="R291" s="2" t="inlineStr"/>
    </row>
    <row r="292" ht="15" customHeight="1">
      <c r="A292" t="inlineStr">
        <is>
          <t>A 29143-2022</t>
        </is>
      </c>
      <c r="B292" s="1" t="n">
        <v>44750</v>
      </c>
      <c r="C292" s="1" t="n">
        <v>45923</v>
      </c>
      <c r="D292" t="inlineStr">
        <is>
          <t>ÖREBRO LÄN</t>
        </is>
      </c>
      <c r="E292" t="inlineStr">
        <is>
          <t>ÖREBRO</t>
        </is>
      </c>
      <c r="G292" t="n">
        <v>5.6</v>
      </c>
      <c r="H292" t="n">
        <v>0</v>
      </c>
      <c r="I292" t="n">
        <v>0</v>
      </c>
      <c r="J292" t="n">
        <v>0</v>
      </c>
      <c r="K292" t="n">
        <v>0</v>
      </c>
      <c r="L292" t="n">
        <v>0</v>
      </c>
      <c r="M292" t="n">
        <v>0</v>
      </c>
      <c r="N292" t="n">
        <v>0</v>
      </c>
      <c r="O292" t="n">
        <v>0</v>
      </c>
      <c r="P292" t="n">
        <v>0</v>
      </c>
      <c r="Q292" t="n">
        <v>0</v>
      </c>
      <c r="R292" s="2" t="inlineStr"/>
    </row>
    <row r="293" ht="15" customHeight="1">
      <c r="A293" t="inlineStr">
        <is>
          <t>A 9609-2023</t>
        </is>
      </c>
      <c r="B293" s="1" t="n">
        <v>44983.93344907407</v>
      </c>
      <c r="C293" s="1" t="n">
        <v>45923</v>
      </c>
      <c r="D293" t="inlineStr">
        <is>
          <t>ÖREBRO LÄN</t>
        </is>
      </c>
      <c r="E293" t="inlineStr">
        <is>
          <t>ÖREBRO</t>
        </is>
      </c>
      <c r="G293" t="n">
        <v>2</v>
      </c>
      <c r="H293" t="n">
        <v>0</v>
      </c>
      <c r="I293" t="n">
        <v>0</v>
      </c>
      <c r="J293" t="n">
        <v>0</v>
      </c>
      <c r="K293" t="n">
        <v>0</v>
      </c>
      <c r="L293" t="n">
        <v>0</v>
      </c>
      <c r="M293" t="n">
        <v>0</v>
      </c>
      <c r="N293" t="n">
        <v>0</v>
      </c>
      <c r="O293" t="n">
        <v>0</v>
      </c>
      <c r="P293" t="n">
        <v>0</v>
      </c>
      <c r="Q293" t="n">
        <v>0</v>
      </c>
      <c r="R293" s="2" t="inlineStr"/>
    </row>
    <row r="294" ht="15" customHeight="1">
      <c r="A294" t="inlineStr">
        <is>
          <t>A 52016-2024</t>
        </is>
      </c>
      <c r="B294" s="1" t="n">
        <v>45607.81917824074</v>
      </c>
      <c r="C294" s="1" t="n">
        <v>45923</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70707-2021</t>
        </is>
      </c>
      <c r="B295" s="1" t="n">
        <v>44537</v>
      </c>
      <c r="C295" s="1" t="n">
        <v>45923</v>
      </c>
      <c r="D295" t="inlineStr">
        <is>
          <t>ÖREBRO LÄN</t>
        </is>
      </c>
      <c r="E295" t="inlineStr">
        <is>
          <t>ÖREBRO</t>
        </is>
      </c>
      <c r="G295" t="n">
        <v>13.2</v>
      </c>
      <c r="H295" t="n">
        <v>0</v>
      </c>
      <c r="I295" t="n">
        <v>0</v>
      </c>
      <c r="J295" t="n">
        <v>0</v>
      </c>
      <c r="K295" t="n">
        <v>0</v>
      </c>
      <c r="L295" t="n">
        <v>0</v>
      </c>
      <c r="M295" t="n">
        <v>0</v>
      </c>
      <c r="N295" t="n">
        <v>0</v>
      </c>
      <c r="O295" t="n">
        <v>0</v>
      </c>
      <c r="P295" t="n">
        <v>0</v>
      </c>
      <c r="Q295" t="n">
        <v>0</v>
      </c>
      <c r="R295" s="2" t="inlineStr"/>
    </row>
    <row r="296" ht="15" customHeight="1">
      <c r="A296" t="inlineStr">
        <is>
          <t>A 21983-2021</t>
        </is>
      </c>
      <c r="B296" s="1" t="n">
        <v>44323</v>
      </c>
      <c r="C296" s="1" t="n">
        <v>45923</v>
      </c>
      <c r="D296" t="inlineStr">
        <is>
          <t>ÖREBRO LÄN</t>
        </is>
      </c>
      <c r="E296" t="inlineStr">
        <is>
          <t>ÖREBRO</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57243-2022</t>
        </is>
      </c>
      <c r="B297" s="1" t="n">
        <v>44895.71835648148</v>
      </c>
      <c r="C297" s="1" t="n">
        <v>45923</v>
      </c>
      <c r="D297" t="inlineStr">
        <is>
          <t>ÖREBRO LÄN</t>
        </is>
      </c>
      <c r="E297" t="inlineStr">
        <is>
          <t>ÖREBRO</t>
        </is>
      </c>
      <c r="G297" t="n">
        <v>6</v>
      </c>
      <c r="H297" t="n">
        <v>0</v>
      </c>
      <c r="I297" t="n">
        <v>0</v>
      </c>
      <c r="J297" t="n">
        <v>0</v>
      </c>
      <c r="K297" t="n">
        <v>0</v>
      </c>
      <c r="L297" t="n">
        <v>0</v>
      </c>
      <c r="M297" t="n">
        <v>0</v>
      </c>
      <c r="N297" t="n">
        <v>0</v>
      </c>
      <c r="O297" t="n">
        <v>0</v>
      </c>
      <c r="P297" t="n">
        <v>0</v>
      </c>
      <c r="Q297" t="n">
        <v>0</v>
      </c>
      <c r="R297" s="2" t="inlineStr"/>
    </row>
    <row r="298" ht="15" customHeight="1">
      <c r="A298" t="inlineStr">
        <is>
          <t>A 52477-2024</t>
        </is>
      </c>
      <c r="B298" s="1" t="n">
        <v>45609</v>
      </c>
      <c r="C298" s="1" t="n">
        <v>45923</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58621-2024</t>
        </is>
      </c>
      <c r="B299" s="1" t="n">
        <v>45635.56321759259</v>
      </c>
      <c r="C299" s="1" t="n">
        <v>45923</v>
      </c>
      <c r="D299" t="inlineStr">
        <is>
          <t>ÖREBRO LÄN</t>
        </is>
      </c>
      <c r="E299" t="inlineStr">
        <is>
          <t>ÖREBRO</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58216-2024</t>
        </is>
      </c>
      <c r="B300" s="1" t="n">
        <v>45632</v>
      </c>
      <c r="C300" s="1" t="n">
        <v>45923</v>
      </c>
      <c r="D300" t="inlineStr">
        <is>
          <t>ÖREBRO LÄN</t>
        </is>
      </c>
      <c r="E300" t="inlineStr">
        <is>
          <t>ÖREBRO</t>
        </is>
      </c>
      <c r="G300" t="n">
        <v>1.9</v>
      </c>
      <c r="H300" t="n">
        <v>0</v>
      </c>
      <c r="I300" t="n">
        <v>0</v>
      </c>
      <c r="J300" t="n">
        <v>0</v>
      </c>
      <c r="K300" t="n">
        <v>0</v>
      </c>
      <c r="L300" t="n">
        <v>0</v>
      </c>
      <c r="M300" t="n">
        <v>0</v>
      </c>
      <c r="N300" t="n">
        <v>0</v>
      </c>
      <c r="O300" t="n">
        <v>0</v>
      </c>
      <c r="P300" t="n">
        <v>0</v>
      </c>
      <c r="Q300" t="n">
        <v>0</v>
      </c>
      <c r="R300" s="2" t="inlineStr"/>
    </row>
    <row r="301" ht="15" customHeight="1">
      <c r="A301" t="inlineStr">
        <is>
          <t>A 3120-2022</t>
        </is>
      </c>
      <c r="B301" s="1" t="n">
        <v>44582</v>
      </c>
      <c r="C301" s="1" t="n">
        <v>45923</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53558-2023</t>
        </is>
      </c>
      <c r="B302" s="1" t="n">
        <v>45230.47266203703</v>
      </c>
      <c r="C302" s="1" t="n">
        <v>45923</v>
      </c>
      <c r="D302" t="inlineStr">
        <is>
          <t>ÖREBRO LÄN</t>
        </is>
      </c>
      <c r="E302" t="inlineStr">
        <is>
          <t>ÖREBRO</t>
        </is>
      </c>
      <c r="F302" t="inlineStr">
        <is>
          <t>Övriga Aktiebolag</t>
        </is>
      </c>
      <c r="G302" t="n">
        <v>4.7</v>
      </c>
      <c r="H302" t="n">
        <v>0</v>
      </c>
      <c r="I302" t="n">
        <v>0</v>
      </c>
      <c r="J302" t="n">
        <v>0</v>
      </c>
      <c r="K302" t="n">
        <v>0</v>
      </c>
      <c r="L302" t="n">
        <v>0</v>
      </c>
      <c r="M302" t="n">
        <v>0</v>
      </c>
      <c r="N302" t="n">
        <v>0</v>
      </c>
      <c r="O302" t="n">
        <v>0</v>
      </c>
      <c r="P302" t="n">
        <v>0</v>
      </c>
      <c r="Q302" t="n">
        <v>0</v>
      </c>
      <c r="R302" s="2" t="inlineStr"/>
    </row>
    <row r="303" ht="15" customHeight="1">
      <c r="A303" t="inlineStr">
        <is>
          <t>A 58606-2024</t>
        </is>
      </c>
      <c r="B303" s="1" t="n">
        <v>45635.54747685185</v>
      </c>
      <c r="C303" s="1" t="n">
        <v>45923</v>
      </c>
      <c r="D303" t="inlineStr">
        <is>
          <t>ÖREBRO LÄN</t>
        </is>
      </c>
      <c r="E303" t="inlineStr">
        <is>
          <t>ÖREBRO</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35843-2022</t>
        </is>
      </c>
      <c r="B304" s="1" t="n">
        <v>44802</v>
      </c>
      <c r="C304" s="1" t="n">
        <v>45923</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26101-2022</t>
        </is>
      </c>
      <c r="B305" s="1" t="n">
        <v>44734</v>
      </c>
      <c r="C305" s="1" t="n">
        <v>45923</v>
      </c>
      <c r="D305" t="inlineStr">
        <is>
          <t>ÖREBRO LÄN</t>
        </is>
      </c>
      <c r="E305" t="inlineStr">
        <is>
          <t>ÖREBRO</t>
        </is>
      </c>
      <c r="G305" t="n">
        <v>15.8</v>
      </c>
      <c r="H305" t="n">
        <v>0</v>
      </c>
      <c r="I305" t="n">
        <v>0</v>
      </c>
      <c r="J305" t="n">
        <v>0</v>
      </c>
      <c r="K305" t="n">
        <v>0</v>
      </c>
      <c r="L305" t="n">
        <v>0</v>
      </c>
      <c r="M305" t="n">
        <v>0</v>
      </c>
      <c r="N305" t="n">
        <v>0</v>
      </c>
      <c r="O305" t="n">
        <v>0</v>
      </c>
      <c r="P305" t="n">
        <v>0</v>
      </c>
      <c r="Q305" t="n">
        <v>0</v>
      </c>
      <c r="R305" s="2" t="inlineStr"/>
    </row>
    <row r="306" ht="15" customHeight="1">
      <c r="A306" t="inlineStr">
        <is>
          <t>A 58486-2024</t>
        </is>
      </c>
      <c r="B306" s="1" t="n">
        <v>45635</v>
      </c>
      <c r="C306" s="1" t="n">
        <v>45923</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14053-2025</t>
        </is>
      </c>
      <c r="B307" s="1" t="n">
        <v>45739</v>
      </c>
      <c r="C307" s="1" t="n">
        <v>45923</v>
      </c>
      <c r="D307" t="inlineStr">
        <is>
          <t>ÖREBRO LÄN</t>
        </is>
      </c>
      <c r="E307" t="inlineStr">
        <is>
          <t>ÖREBRO</t>
        </is>
      </c>
      <c r="G307" t="n">
        <v>3.5</v>
      </c>
      <c r="H307" t="n">
        <v>0</v>
      </c>
      <c r="I307" t="n">
        <v>0</v>
      </c>
      <c r="J307" t="n">
        <v>0</v>
      </c>
      <c r="K307" t="n">
        <v>0</v>
      </c>
      <c r="L307" t="n">
        <v>0</v>
      </c>
      <c r="M307" t="n">
        <v>0</v>
      </c>
      <c r="N307" t="n">
        <v>0</v>
      </c>
      <c r="O307" t="n">
        <v>0</v>
      </c>
      <c r="P307" t="n">
        <v>0</v>
      </c>
      <c r="Q307" t="n">
        <v>0</v>
      </c>
      <c r="R307" s="2" t="inlineStr"/>
    </row>
    <row r="308" ht="15" customHeight="1">
      <c r="A308" t="inlineStr">
        <is>
          <t>A 37012-2024</t>
        </is>
      </c>
      <c r="B308" s="1" t="n">
        <v>45539</v>
      </c>
      <c r="C308" s="1" t="n">
        <v>45923</v>
      </c>
      <c r="D308" t="inlineStr">
        <is>
          <t>ÖREBRO LÄN</t>
        </is>
      </c>
      <c r="E308" t="inlineStr">
        <is>
          <t>ÖREBRO</t>
        </is>
      </c>
      <c r="G308" t="n">
        <v>4.1</v>
      </c>
      <c r="H308" t="n">
        <v>0</v>
      </c>
      <c r="I308" t="n">
        <v>0</v>
      </c>
      <c r="J308" t="n">
        <v>0</v>
      </c>
      <c r="K308" t="n">
        <v>0</v>
      </c>
      <c r="L308" t="n">
        <v>0</v>
      </c>
      <c r="M308" t="n">
        <v>0</v>
      </c>
      <c r="N308" t="n">
        <v>0</v>
      </c>
      <c r="O308" t="n">
        <v>0</v>
      </c>
      <c r="P308" t="n">
        <v>0</v>
      </c>
      <c r="Q308" t="n">
        <v>0</v>
      </c>
      <c r="R308" s="2" t="inlineStr"/>
    </row>
    <row r="309" ht="15" customHeight="1">
      <c r="A309" t="inlineStr">
        <is>
          <t>A 37020-2024</t>
        </is>
      </c>
      <c r="B309" s="1" t="n">
        <v>45539.38059027777</v>
      </c>
      <c r="C309" s="1" t="n">
        <v>45923</v>
      </c>
      <c r="D309" t="inlineStr">
        <is>
          <t>ÖREBRO LÄN</t>
        </is>
      </c>
      <c r="E309" t="inlineStr">
        <is>
          <t>ÖREBRO</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55353-2024</t>
        </is>
      </c>
      <c r="B310" s="1" t="n">
        <v>45621.79526620371</v>
      </c>
      <c r="C310" s="1" t="n">
        <v>45923</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35345-2024</t>
        </is>
      </c>
      <c r="B311" s="1" t="n">
        <v>45530</v>
      </c>
      <c r="C311" s="1" t="n">
        <v>45923</v>
      </c>
      <c r="D311" t="inlineStr">
        <is>
          <t>ÖREBRO LÄN</t>
        </is>
      </c>
      <c r="E311" t="inlineStr">
        <is>
          <t>ÖREBRO</t>
        </is>
      </c>
      <c r="G311" t="n">
        <v>0.9</v>
      </c>
      <c r="H311" t="n">
        <v>0</v>
      </c>
      <c r="I311" t="n">
        <v>0</v>
      </c>
      <c r="J311" t="n">
        <v>0</v>
      </c>
      <c r="K311" t="n">
        <v>0</v>
      </c>
      <c r="L311" t="n">
        <v>0</v>
      </c>
      <c r="M311" t="n">
        <v>0</v>
      </c>
      <c r="N311" t="n">
        <v>0</v>
      </c>
      <c r="O311" t="n">
        <v>0</v>
      </c>
      <c r="P311" t="n">
        <v>0</v>
      </c>
      <c r="Q311" t="n">
        <v>0</v>
      </c>
      <c r="R311" s="2" t="inlineStr"/>
    </row>
    <row r="312" ht="15" customHeight="1">
      <c r="A312" t="inlineStr">
        <is>
          <t>A 123-2025</t>
        </is>
      </c>
      <c r="B312" s="1" t="n">
        <v>45659.54851851852</v>
      </c>
      <c r="C312" s="1" t="n">
        <v>45923</v>
      </c>
      <c r="D312" t="inlineStr">
        <is>
          <t>ÖREBRO LÄN</t>
        </is>
      </c>
      <c r="E312" t="inlineStr">
        <is>
          <t>ÖREBRO</t>
        </is>
      </c>
      <c r="G312" t="n">
        <v>1.6</v>
      </c>
      <c r="H312" t="n">
        <v>0</v>
      </c>
      <c r="I312" t="n">
        <v>0</v>
      </c>
      <c r="J312" t="n">
        <v>0</v>
      </c>
      <c r="K312" t="n">
        <v>0</v>
      </c>
      <c r="L312" t="n">
        <v>0</v>
      </c>
      <c r="M312" t="n">
        <v>0</v>
      </c>
      <c r="N312" t="n">
        <v>0</v>
      </c>
      <c r="O312" t="n">
        <v>0</v>
      </c>
      <c r="P312" t="n">
        <v>0</v>
      </c>
      <c r="Q312" t="n">
        <v>0</v>
      </c>
      <c r="R312" s="2" t="inlineStr"/>
    </row>
    <row r="313" ht="15" customHeight="1">
      <c r="A313" t="inlineStr">
        <is>
          <t>A 51373-2023</t>
        </is>
      </c>
      <c r="B313" s="1" t="n">
        <v>45213</v>
      </c>
      <c r="C313" s="1" t="n">
        <v>45923</v>
      </c>
      <c r="D313" t="inlineStr">
        <is>
          <t>ÖREBRO LÄN</t>
        </is>
      </c>
      <c r="E313" t="inlineStr">
        <is>
          <t>ÖREBRO</t>
        </is>
      </c>
      <c r="G313" t="n">
        <v>5.9</v>
      </c>
      <c r="H313" t="n">
        <v>0</v>
      </c>
      <c r="I313" t="n">
        <v>0</v>
      </c>
      <c r="J313" t="n">
        <v>0</v>
      </c>
      <c r="K313" t="n">
        <v>0</v>
      </c>
      <c r="L313" t="n">
        <v>0</v>
      </c>
      <c r="M313" t="n">
        <v>0</v>
      </c>
      <c r="N313" t="n">
        <v>0</v>
      </c>
      <c r="O313" t="n">
        <v>0</v>
      </c>
      <c r="P313" t="n">
        <v>0</v>
      </c>
      <c r="Q313" t="n">
        <v>0</v>
      </c>
      <c r="R313" s="2" t="inlineStr"/>
    </row>
    <row r="314" ht="15" customHeight="1">
      <c r="A314" t="inlineStr">
        <is>
          <t>A 1257-2022</t>
        </is>
      </c>
      <c r="B314" s="1" t="n">
        <v>44572</v>
      </c>
      <c r="C314" s="1" t="n">
        <v>45923</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30472-2022</t>
        </is>
      </c>
      <c r="B315" s="1" t="n">
        <v>44761.70467592592</v>
      </c>
      <c r="C315" s="1" t="n">
        <v>45923</v>
      </c>
      <c r="D315" t="inlineStr">
        <is>
          <t>ÖREBRO LÄN</t>
        </is>
      </c>
      <c r="E315" t="inlineStr">
        <is>
          <t>ÖREBRO</t>
        </is>
      </c>
      <c r="F315" t="inlineStr">
        <is>
          <t>Övriga Aktiebolag</t>
        </is>
      </c>
      <c r="G315" t="n">
        <v>5.6</v>
      </c>
      <c r="H315" t="n">
        <v>0</v>
      </c>
      <c r="I315" t="n">
        <v>0</v>
      </c>
      <c r="J315" t="n">
        <v>0</v>
      </c>
      <c r="K315" t="n">
        <v>0</v>
      </c>
      <c r="L315" t="n">
        <v>0</v>
      </c>
      <c r="M315" t="n">
        <v>0</v>
      </c>
      <c r="N315" t="n">
        <v>0</v>
      </c>
      <c r="O315" t="n">
        <v>0</v>
      </c>
      <c r="P315" t="n">
        <v>0</v>
      </c>
      <c r="Q315" t="n">
        <v>0</v>
      </c>
      <c r="R315" s="2" t="inlineStr"/>
    </row>
    <row r="316" ht="15" customHeight="1">
      <c r="A316" t="inlineStr">
        <is>
          <t>A 6869-2025</t>
        </is>
      </c>
      <c r="B316" s="1" t="n">
        <v>45700</v>
      </c>
      <c r="C316" s="1" t="n">
        <v>45923</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40656-2023</t>
        </is>
      </c>
      <c r="B317" s="1" t="n">
        <v>45170</v>
      </c>
      <c r="C317" s="1" t="n">
        <v>45923</v>
      </c>
      <c r="D317" t="inlineStr">
        <is>
          <t>ÖREBRO LÄN</t>
        </is>
      </c>
      <c r="E317" t="inlineStr">
        <is>
          <t>ÖREBRO</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44960-2025</t>
        </is>
      </c>
      <c r="B318" s="1" t="n">
        <v>45918.61577546296</v>
      </c>
      <c r="C318" s="1" t="n">
        <v>45923</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57869-2024</t>
        </is>
      </c>
      <c r="B319" s="1" t="n">
        <v>45631.44207175926</v>
      </c>
      <c r="C319" s="1" t="n">
        <v>45923</v>
      </c>
      <c r="D319" t="inlineStr">
        <is>
          <t>ÖREBRO LÄN</t>
        </is>
      </c>
      <c r="E319" t="inlineStr">
        <is>
          <t>ÖREBRO</t>
        </is>
      </c>
      <c r="G319" t="n">
        <v>1.4</v>
      </c>
      <c r="H319" t="n">
        <v>0</v>
      </c>
      <c r="I319" t="n">
        <v>0</v>
      </c>
      <c r="J319" t="n">
        <v>0</v>
      </c>
      <c r="K319" t="n">
        <v>0</v>
      </c>
      <c r="L319" t="n">
        <v>0</v>
      </c>
      <c r="M319" t="n">
        <v>0</v>
      </c>
      <c r="N319" t="n">
        <v>0</v>
      </c>
      <c r="O319" t="n">
        <v>0</v>
      </c>
      <c r="P319" t="n">
        <v>0</v>
      </c>
      <c r="Q319" t="n">
        <v>0</v>
      </c>
      <c r="R319" s="2" t="inlineStr"/>
    </row>
    <row r="320" ht="15" customHeight="1">
      <c r="A320" t="inlineStr">
        <is>
          <t>A 541-2025</t>
        </is>
      </c>
      <c r="B320" s="1" t="n">
        <v>45664.52034722222</v>
      </c>
      <c r="C320" s="1" t="n">
        <v>45923</v>
      </c>
      <c r="D320" t="inlineStr">
        <is>
          <t>ÖREBRO LÄN</t>
        </is>
      </c>
      <c r="E320" t="inlineStr">
        <is>
          <t>ÖREBRO</t>
        </is>
      </c>
      <c r="G320" t="n">
        <v>2.2</v>
      </c>
      <c r="H320" t="n">
        <v>0</v>
      </c>
      <c r="I320" t="n">
        <v>0</v>
      </c>
      <c r="J320" t="n">
        <v>0</v>
      </c>
      <c r="K320" t="n">
        <v>0</v>
      </c>
      <c r="L320" t="n">
        <v>0</v>
      </c>
      <c r="M320" t="n">
        <v>0</v>
      </c>
      <c r="N320" t="n">
        <v>0</v>
      </c>
      <c r="O320" t="n">
        <v>0</v>
      </c>
      <c r="P320" t="n">
        <v>0</v>
      </c>
      <c r="Q320" t="n">
        <v>0</v>
      </c>
      <c r="R320" s="2" t="inlineStr"/>
    </row>
    <row r="321" ht="15" customHeight="1">
      <c r="A321" t="inlineStr">
        <is>
          <t>A 22677-2022</t>
        </is>
      </c>
      <c r="B321" s="1" t="n">
        <v>44714</v>
      </c>
      <c r="C321" s="1" t="n">
        <v>45923</v>
      </c>
      <c r="D321" t="inlineStr">
        <is>
          <t>ÖREBRO LÄN</t>
        </is>
      </c>
      <c r="E321" t="inlineStr">
        <is>
          <t>ÖREBRO</t>
        </is>
      </c>
      <c r="G321" t="n">
        <v>2.3</v>
      </c>
      <c r="H321" t="n">
        <v>0</v>
      </c>
      <c r="I321" t="n">
        <v>0</v>
      </c>
      <c r="J321" t="n">
        <v>0</v>
      </c>
      <c r="K321" t="n">
        <v>0</v>
      </c>
      <c r="L321" t="n">
        <v>0</v>
      </c>
      <c r="M321" t="n">
        <v>0</v>
      </c>
      <c r="N321" t="n">
        <v>0</v>
      </c>
      <c r="O321" t="n">
        <v>0</v>
      </c>
      <c r="P321" t="n">
        <v>0</v>
      </c>
      <c r="Q321" t="n">
        <v>0</v>
      </c>
      <c r="R321" s="2" t="inlineStr"/>
    </row>
    <row r="322" ht="15" customHeight="1">
      <c r="A322" t="inlineStr">
        <is>
          <t>A 29554-2025</t>
        </is>
      </c>
      <c r="B322" s="1" t="n">
        <v>45825</v>
      </c>
      <c r="C322" s="1" t="n">
        <v>45923</v>
      </c>
      <c r="D322" t="inlineStr">
        <is>
          <t>ÖREBRO LÄN</t>
        </is>
      </c>
      <c r="E322" t="inlineStr">
        <is>
          <t>ÖREBRO</t>
        </is>
      </c>
      <c r="F322" t="inlineStr">
        <is>
          <t>Övriga Aktiebolag</t>
        </is>
      </c>
      <c r="G322" t="n">
        <v>1</v>
      </c>
      <c r="H322" t="n">
        <v>0</v>
      </c>
      <c r="I322" t="n">
        <v>0</v>
      </c>
      <c r="J322" t="n">
        <v>0</v>
      </c>
      <c r="K322" t="n">
        <v>0</v>
      </c>
      <c r="L322" t="n">
        <v>0</v>
      </c>
      <c r="M322" t="n">
        <v>0</v>
      </c>
      <c r="N322" t="n">
        <v>0</v>
      </c>
      <c r="O322" t="n">
        <v>0</v>
      </c>
      <c r="P322" t="n">
        <v>0</v>
      </c>
      <c r="Q322" t="n">
        <v>0</v>
      </c>
      <c r="R322" s="2" t="inlineStr"/>
    </row>
    <row r="323" ht="15" customHeight="1">
      <c r="A323" t="inlineStr">
        <is>
          <t>A 44875-2025</t>
        </is>
      </c>
      <c r="B323" s="1" t="n">
        <v>45918.47043981482</v>
      </c>
      <c r="C323" s="1" t="n">
        <v>45923</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19553-2023</t>
        </is>
      </c>
      <c r="B324" s="1" t="n">
        <v>45050</v>
      </c>
      <c r="C324" s="1" t="n">
        <v>45923</v>
      </c>
      <c r="D324" t="inlineStr">
        <is>
          <t>ÖREBRO LÄN</t>
        </is>
      </c>
      <c r="E324" t="inlineStr">
        <is>
          <t>ÖREBRO</t>
        </is>
      </c>
      <c r="G324" t="n">
        <v>2.1</v>
      </c>
      <c r="H324" t="n">
        <v>0</v>
      </c>
      <c r="I324" t="n">
        <v>0</v>
      </c>
      <c r="J324" t="n">
        <v>0</v>
      </c>
      <c r="K324" t="n">
        <v>0</v>
      </c>
      <c r="L324" t="n">
        <v>0</v>
      </c>
      <c r="M324" t="n">
        <v>0</v>
      </c>
      <c r="N324" t="n">
        <v>0</v>
      </c>
      <c r="O324" t="n">
        <v>0</v>
      </c>
      <c r="P324" t="n">
        <v>0</v>
      </c>
      <c r="Q324" t="n">
        <v>0</v>
      </c>
      <c r="R324" s="2" t="inlineStr"/>
    </row>
    <row r="325" ht="15" customHeight="1">
      <c r="A325" t="inlineStr">
        <is>
          <t>A 37025-2024</t>
        </is>
      </c>
      <c r="B325" s="1" t="n">
        <v>45539.3840162037</v>
      </c>
      <c r="C325" s="1" t="n">
        <v>45923</v>
      </c>
      <c r="D325" t="inlineStr">
        <is>
          <t>ÖREBRO LÄN</t>
        </is>
      </c>
      <c r="E325" t="inlineStr">
        <is>
          <t>ÖREBRO</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37027-2024</t>
        </is>
      </c>
      <c r="B326" s="1" t="n">
        <v>45539.38487268519</v>
      </c>
      <c r="C326" s="1" t="n">
        <v>45923</v>
      </c>
      <c r="D326" t="inlineStr">
        <is>
          <t>ÖREBRO LÄN</t>
        </is>
      </c>
      <c r="E326" t="inlineStr">
        <is>
          <t>ÖREBRO</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71288-2021</t>
        </is>
      </c>
      <c r="B327" s="1" t="n">
        <v>44539.62481481482</v>
      </c>
      <c r="C327" s="1" t="n">
        <v>45923</v>
      </c>
      <c r="D327" t="inlineStr">
        <is>
          <t>ÖREBRO LÄN</t>
        </is>
      </c>
      <c r="E327" t="inlineStr">
        <is>
          <t>ÖREBRO</t>
        </is>
      </c>
      <c r="G327" t="n">
        <v>3.9</v>
      </c>
      <c r="H327" t="n">
        <v>0</v>
      </c>
      <c r="I327" t="n">
        <v>0</v>
      </c>
      <c r="J327" t="n">
        <v>0</v>
      </c>
      <c r="K327" t="n">
        <v>0</v>
      </c>
      <c r="L327" t="n">
        <v>0</v>
      </c>
      <c r="M327" t="n">
        <v>0</v>
      </c>
      <c r="N327" t="n">
        <v>0</v>
      </c>
      <c r="O327" t="n">
        <v>0</v>
      </c>
      <c r="P327" t="n">
        <v>0</v>
      </c>
      <c r="Q327" t="n">
        <v>0</v>
      </c>
      <c r="R327" s="2" t="inlineStr"/>
    </row>
    <row r="328" ht="15" customHeight="1">
      <c r="A328" t="inlineStr">
        <is>
          <t>A 10830-2023</t>
        </is>
      </c>
      <c r="B328" s="1" t="n">
        <v>44990.89752314815</v>
      </c>
      <c r="C328" s="1" t="n">
        <v>45923</v>
      </c>
      <c r="D328" t="inlineStr">
        <is>
          <t>ÖREBRO LÄN</t>
        </is>
      </c>
      <c r="E328" t="inlineStr">
        <is>
          <t>ÖREBRO</t>
        </is>
      </c>
      <c r="G328" t="n">
        <v>2</v>
      </c>
      <c r="H328" t="n">
        <v>0</v>
      </c>
      <c r="I328" t="n">
        <v>0</v>
      </c>
      <c r="J328" t="n">
        <v>0</v>
      </c>
      <c r="K328" t="n">
        <v>0</v>
      </c>
      <c r="L328" t="n">
        <v>0</v>
      </c>
      <c r="M328" t="n">
        <v>0</v>
      </c>
      <c r="N328" t="n">
        <v>0</v>
      </c>
      <c r="O328" t="n">
        <v>0</v>
      </c>
      <c r="P328" t="n">
        <v>0</v>
      </c>
      <c r="Q328" t="n">
        <v>0</v>
      </c>
      <c r="R328" s="2" t="inlineStr"/>
    </row>
    <row r="329" ht="15" customHeight="1">
      <c r="A329" t="inlineStr">
        <is>
          <t>A 7692-2023</t>
        </is>
      </c>
      <c r="B329" s="1" t="n">
        <v>44972.7762962963</v>
      </c>
      <c r="C329" s="1" t="n">
        <v>45923</v>
      </c>
      <c r="D329" t="inlineStr">
        <is>
          <t>ÖREBRO LÄN</t>
        </is>
      </c>
      <c r="E329" t="inlineStr">
        <is>
          <t>ÖREBRO</t>
        </is>
      </c>
      <c r="G329" t="n">
        <v>1.5</v>
      </c>
      <c r="H329" t="n">
        <v>0</v>
      </c>
      <c r="I329" t="n">
        <v>0</v>
      </c>
      <c r="J329" t="n">
        <v>0</v>
      </c>
      <c r="K329" t="n">
        <v>0</v>
      </c>
      <c r="L329" t="n">
        <v>0</v>
      </c>
      <c r="M329" t="n">
        <v>0</v>
      </c>
      <c r="N329" t="n">
        <v>0</v>
      </c>
      <c r="O329" t="n">
        <v>0</v>
      </c>
      <c r="P329" t="n">
        <v>0</v>
      </c>
      <c r="Q329" t="n">
        <v>0</v>
      </c>
      <c r="R329" s="2" t="inlineStr"/>
    </row>
    <row r="330" ht="15" customHeight="1">
      <c r="A330" t="inlineStr">
        <is>
          <t>A 41678-2024</t>
        </is>
      </c>
      <c r="B330" s="1" t="n">
        <v>45560</v>
      </c>
      <c r="C330" s="1" t="n">
        <v>45923</v>
      </c>
      <c r="D330" t="inlineStr">
        <is>
          <t>ÖREBRO LÄN</t>
        </is>
      </c>
      <c r="E330" t="inlineStr">
        <is>
          <t>ÖREBRO</t>
        </is>
      </c>
      <c r="G330" t="n">
        <v>11.3</v>
      </c>
      <c r="H330" t="n">
        <v>0</v>
      </c>
      <c r="I330" t="n">
        <v>0</v>
      </c>
      <c r="J330" t="n">
        <v>0</v>
      </c>
      <c r="K330" t="n">
        <v>0</v>
      </c>
      <c r="L330" t="n">
        <v>0</v>
      </c>
      <c r="M330" t="n">
        <v>0</v>
      </c>
      <c r="N330" t="n">
        <v>0</v>
      </c>
      <c r="O330" t="n">
        <v>0</v>
      </c>
      <c r="P330" t="n">
        <v>0</v>
      </c>
      <c r="Q330" t="n">
        <v>0</v>
      </c>
      <c r="R330" s="2" t="inlineStr"/>
    </row>
    <row r="331" ht="15" customHeight="1">
      <c r="A331" t="inlineStr">
        <is>
          <t>A 23594-2023</t>
        </is>
      </c>
      <c r="B331" s="1" t="n">
        <v>45077</v>
      </c>
      <c r="C331" s="1" t="n">
        <v>45923</v>
      </c>
      <c r="D331" t="inlineStr">
        <is>
          <t>ÖREBRO LÄN</t>
        </is>
      </c>
      <c r="E331" t="inlineStr">
        <is>
          <t>ÖREBRO</t>
        </is>
      </c>
      <c r="G331" t="n">
        <v>9.9</v>
      </c>
      <c r="H331" t="n">
        <v>0</v>
      </c>
      <c r="I331" t="n">
        <v>0</v>
      </c>
      <c r="J331" t="n">
        <v>0</v>
      </c>
      <c r="K331" t="n">
        <v>0</v>
      </c>
      <c r="L331" t="n">
        <v>0</v>
      </c>
      <c r="M331" t="n">
        <v>0</v>
      </c>
      <c r="N331" t="n">
        <v>0</v>
      </c>
      <c r="O331" t="n">
        <v>0</v>
      </c>
      <c r="P331" t="n">
        <v>0</v>
      </c>
      <c r="Q331" t="n">
        <v>0</v>
      </c>
      <c r="R331" s="2" t="inlineStr"/>
    </row>
    <row r="332" ht="15" customHeight="1">
      <c r="A332" t="inlineStr">
        <is>
          <t>A 8022-2022</t>
        </is>
      </c>
      <c r="B332" s="1" t="n">
        <v>44609</v>
      </c>
      <c r="C332" s="1" t="n">
        <v>45923</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47193-2023</t>
        </is>
      </c>
      <c r="B333" s="1" t="n">
        <v>45202.3074537037</v>
      </c>
      <c r="C333" s="1" t="n">
        <v>45923</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31240-2023</t>
        </is>
      </c>
      <c r="B334" s="1" t="n">
        <v>45114</v>
      </c>
      <c r="C334" s="1" t="n">
        <v>45923</v>
      </c>
      <c r="D334" t="inlineStr">
        <is>
          <t>ÖREBRO LÄN</t>
        </is>
      </c>
      <c r="E334" t="inlineStr">
        <is>
          <t>ÖREBRO</t>
        </is>
      </c>
      <c r="F334" t="inlineStr">
        <is>
          <t>Allmännings- och besparingsskogar</t>
        </is>
      </c>
      <c r="G334" t="n">
        <v>6.2</v>
      </c>
      <c r="H334" t="n">
        <v>0</v>
      </c>
      <c r="I334" t="n">
        <v>0</v>
      </c>
      <c r="J334" t="n">
        <v>0</v>
      </c>
      <c r="K334" t="n">
        <v>0</v>
      </c>
      <c r="L334" t="n">
        <v>0</v>
      </c>
      <c r="M334" t="n">
        <v>0</v>
      </c>
      <c r="N334" t="n">
        <v>0</v>
      </c>
      <c r="O334" t="n">
        <v>0</v>
      </c>
      <c r="P334" t="n">
        <v>0</v>
      </c>
      <c r="Q334" t="n">
        <v>0</v>
      </c>
      <c r="R334" s="2" t="inlineStr"/>
    </row>
    <row r="335" ht="15" customHeight="1">
      <c r="A335" t="inlineStr">
        <is>
          <t>A 58598-2022</t>
        </is>
      </c>
      <c r="B335" s="1" t="n">
        <v>44902</v>
      </c>
      <c r="C335" s="1" t="n">
        <v>45923</v>
      </c>
      <c r="D335" t="inlineStr">
        <is>
          <t>ÖREBRO LÄN</t>
        </is>
      </c>
      <c r="E335" t="inlineStr">
        <is>
          <t>ÖREBRO</t>
        </is>
      </c>
      <c r="G335" t="n">
        <v>0.4</v>
      </c>
      <c r="H335" t="n">
        <v>0</v>
      </c>
      <c r="I335" t="n">
        <v>0</v>
      </c>
      <c r="J335" t="n">
        <v>0</v>
      </c>
      <c r="K335" t="n">
        <v>0</v>
      </c>
      <c r="L335" t="n">
        <v>0</v>
      </c>
      <c r="M335" t="n">
        <v>0</v>
      </c>
      <c r="N335" t="n">
        <v>0</v>
      </c>
      <c r="O335" t="n">
        <v>0</v>
      </c>
      <c r="P335" t="n">
        <v>0</v>
      </c>
      <c r="Q335" t="n">
        <v>0</v>
      </c>
      <c r="R335" s="2" t="inlineStr"/>
    </row>
    <row r="336" ht="15" customHeight="1">
      <c r="A336" t="inlineStr">
        <is>
          <t>A 37277-2022</t>
        </is>
      </c>
      <c r="B336" s="1" t="n">
        <v>44807.49150462963</v>
      </c>
      <c r="C336" s="1" t="n">
        <v>45923</v>
      </c>
      <c r="D336" t="inlineStr">
        <is>
          <t>ÖREBRO LÄN</t>
        </is>
      </c>
      <c r="E336" t="inlineStr">
        <is>
          <t>ÖREBRO</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50026-2024</t>
        </is>
      </c>
      <c r="B337" s="1" t="n">
        <v>45599.60541666667</v>
      </c>
      <c r="C337" s="1" t="n">
        <v>45923</v>
      </c>
      <c r="D337" t="inlineStr">
        <is>
          <t>ÖREBRO LÄN</t>
        </is>
      </c>
      <c r="E337" t="inlineStr">
        <is>
          <t>ÖREBRO</t>
        </is>
      </c>
      <c r="G337" t="n">
        <v>2.2</v>
      </c>
      <c r="H337" t="n">
        <v>0</v>
      </c>
      <c r="I337" t="n">
        <v>0</v>
      </c>
      <c r="J337" t="n">
        <v>0</v>
      </c>
      <c r="K337" t="n">
        <v>0</v>
      </c>
      <c r="L337" t="n">
        <v>0</v>
      </c>
      <c r="M337" t="n">
        <v>0</v>
      </c>
      <c r="N337" t="n">
        <v>0</v>
      </c>
      <c r="O337" t="n">
        <v>0</v>
      </c>
      <c r="P337" t="n">
        <v>0</v>
      </c>
      <c r="Q337" t="n">
        <v>0</v>
      </c>
      <c r="R337" s="2" t="inlineStr"/>
    </row>
    <row r="338" ht="15" customHeight="1">
      <c r="A338" t="inlineStr">
        <is>
          <t>A 27956-2023</t>
        </is>
      </c>
      <c r="B338" s="1" t="n">
        <v>45098</v>
      </c>
      <c r="C338" s="1" t="n">
        <v>45923</v>
      </c>
      <c r="D338" t="inlineStr">
        <is>
          <t>ÖREBRO LÄN</t>
        </is>
      </c>
      <c r="E338" t="inlineStr">
        <is>
          <t>ÖREBRO</t>
        </is>
      </c>
      <c r="G338" t="n">
        <v>0.8</v>
      </c>
      <c r="H338" t="n">
        <v>0</v>
      </c>
      <c r="I338" t="n">
        <v>0</v>
      </c>
      <c r="J338" t="n">
        <v>0</v>
      </c>
      <c r="K338" t="n">
        <v>0</v>
      </c>
      <c r="L338" t="n">
        <v>0</v>
      </c>
      <c r="M338" t="n">
        <v>0</v>
      </c>
      <c r="N338" t="n">
        <v>0</v>
      </c>
      <c r="O338" t="n">
        <v>0</v>
      </c>
      <c r="P338" t="n">
        <v>0</v>
      </c>
      <c r="Q338" t="n">
        <v>0</v>
      </c>
      <c r="R338" s="2" t="inlineStr"/>
    </row>
    <row r="339" ht="15" customHeight="1">
      <c r="A339" t="inlineStr">
        <is>
          <t>A 71206-2021</t>
        </is>
      </c>
      <c r="B339" s="1" t="n">
        <v>44539</v>
      </c>
      <c r="C339" s="1" t="n">
        <v>45923</v>
      </c>
      <c r="D339" t="inlineStr">
        <is>
          <t>ÖREBRO LÄN</t>
        </is>
      </c>
      <c r="E339" t="inlineStr">
        <is>
          <t>ÖREBRO</t>
        </is>
      </c>
      <c r="G339" t="n">
        <v>2.5</v>
      </c>
      <c r="H339" t="n">
        <v>0</v>
      </c>
      <c r="I339" t="n">
        <v>0</v>
      </c>
      <c r="J339" t="n">
        <v>0</v>
      </c>
      <c r="K339" t="n">
        <v>0</v>
      </c>
      <c r="L339" t="n">
        <v>0</v>
      </c>
      <c r="M339" t="n">
        <v>0</v>
      </c>
      <c r="N339" t="n">
        <v>0</v>
      </c>
      <c r="O339" t="n">
        <v>0</v>
      </c>
      <c r="P339" t="n">
        <v>0</v>
      </c>
      <c r="Q339" t="n">
        <v>0</v>
      </c>
      <c r="R339" s="2" t="inlineStr"/>
    </row>
    <row r="340" ht="15" customHeight="1">
      <c r="A340" t="inlineStr">
        <is>
          <t>A 51331-2023</t>
        </is>
      </c>
      <c r="B340" s="1" t="n">
        <v>45219</v>
      </c>
      <c r="C340" s="1" t="n">
        <v>45923</v>
      </c>
      <c r="D340" t="inlineStr">
        <is>
          <t>ÖREBRO LÄN</t>
        </is>
      </c>
      <c r="E340" t="inlineStr">
        <is>
          <t>ÖREBRO</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18449-2023</t>
        </is>
      </c>
      <c r="B341" s="1" t="n">
        <v>45042.5203125</v>
      </c>
      <c r="C341" s="1" t="n">
        <v>45923</v>
      </c>
      <c r="D341" t="inlineStr">
        <is>
          <t>ÖREBRO LÄN</t>
        </is>
      </c>
      <c r="E341" t="inlineStr">
        <is>
          <t>ÖREBRO</t>
        </is>
      </c>
      <c r="G341" t="n">
        <v>1.5</v>
      </c>
      <c r="H341" t="n">
        <v>0</v>
      </c>
      <c r="I341" t="n">
        <v>0</v>
      </c>
      <c r="J341" t="n">
        <v>0</v>
      </c>
      <c r="K341" t="n">
        <v>0</v>
      </c>
      <c r="L341" t="n">
        <v>0</v>
      </c>
      <c r="M341" t="n">
        <v>0</v>
      </c>
      <c r="N341" t="n">
        <v>0</v>
      </c>
      <c r="O341" t="n">
        <v>0</v>
      </c>
      <c r="P341" t="n">
        <v>0</v>
      </c>
      <c r="Q341" t="n">
        <v>0</v>
      </c>
      <c r="R341" s="2" t="inlineStr"/>
    </row>
    <row r="342" ht="15" customHeight="1">
      <c r="A342" t="inlineStr">
        <is>
          <t>A 40588-2021</t>
        </is>
      </c>
      <c r="B342" s="1" t="n">
        <v>44420</v>
      </c>
      <c r="C342" s="1" t="n">
        <v>45923</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16739-2022</t>
        </is>
      </c>
      <c r="B343" s="1" t="n">
        <v>44673</v>
      </c>
      <c r="C343" s="1" t="n">
        <v>45923</v>
      </c>
      <c r="D343" t="inlineStr">
        <is>
          <t>ÖREBRO LÄN</t>
        </is>
      </c>
      <c r="E343" t="inlineStr">
        <is>
          <t>ÖREBRO</t>
        </is>
      </c>
      <c r="G343" t="n">
        <v>4.7</v>
      </c>
      <c r="H343" t="n">
        <v>0</v>
      </c>
      <c r="I343" t="n">
        <v>0</v>
      </c>
      <c r="J343" t="n">
        <v>0</v>
      </c>
      <c r="K343" t="n">
        <v>0</v>
      </c>
      <c r="L343" t="n">
        <v>0</v>
      </c>
      <c r="M343" t="n">
        <v>0</v>
      </c>
      <c r="N343" t="n">
        <v>0</v>
      </c>
      <c r="O343" t="n">
        <v>0</v>
      </c>
      <c r="P343" t="n">
        <v>0</v>
      </c>
      <c r="Q343" t="n">
        <v>0</v>
      </c>
      <c r="R343" s="2" t="inlineStr"/>
    </row>
    <row r="344" ht="15" customHeight="1">
      <c r="A344" t="inlineStr">
        <is>
          <t>A 40231-2022</t>
        </is>
      </c>
      <c r="B344" s="1" t="n">
        <v>44820</v>
      </c>
      <c r="C344" s="1" t="n">
        <v>45923</v>
      </c>
      <c r="D344" t="inlineStr">
        <is>
          <t>ÖREBRO LÄN</t>
        </is>
      </c>
      <c r="E344" t="inlineStr">
        <is>
          <t>ÖREBRO</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16936-2023</t>
        </is>
      </c>
      <c r="B345" s="1" t="n">
        <v>45033.63005787037</v>
      </c>
      <c r="C345" s="1" t="n">
        <v>45923</v>
      </c>
      <c r="D345" t="inlineStr">
        <is>
          <t>ÖREBRO LÄN</t>
        </is>
      </c>
      <c r="E345" t="inlineStr">
        <is>
          <t>ÖREBRO</t>
        </is>
      </c>
      <c r="G345" t="n">
        <v>2</v>
      </c>
      <c r="H345" t="n">
        <v>0</v>
      </c>
      <c r="I345" t="n">
        <v>0</v>
      </c>
      <c r="J345" t="n">
        <v>0</v>
      </c>
      <c r="K345" t="n">
        <v>0</v>
      </c>
      <c r="L345" t="n">
        <v>0</v>
      </c>
      <c r="M345" t="n">
        <v>0</v>
      </c>
      <c r="N345" t="n">
        <v>0</v>
      </c>
      <c r="O345" t="n">
        <v>0</v>
      </c>
      <c r="P345" t="n">
        <v>0</v>
      </c>
      <c r="Q345" t="n">
        <v>0</v>
      </c>
      <c r="R345" s="2" t="inlineStr"/>
    </row>
    <row r="346" ht="15" customHeight="1">
      <c r="A346" t="inlineStr">
        <is>
          <t>A 4284-2025</t>
        </is>
      </c>
      <c r="B346" s="1" t="n">
        <v>45685</v>
      </c>
      <c r="C346" s="1" t="n">
        <v>45923</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8331-2021</t>
        </is>
      </c>
      <c r="B347" s="1" t="n">
        <v>44244</v>
      </c>
      <c r="C347" s="1" t="n">
        <v>45923</v>
      </c>
      <c r="D347" t="inlineStr">
        <is>
          <t>ÖREBRO LÄN</t>
        </is>
      </c>
      <c r="E347" t="inlineStr">
        <is>
          <t>ÖREBRO</t>
        </is>
      </c>
      <c r="G347" t="n">
        <v>9.1</v>
      </c>
      <c r="H347" t="n">
        <v>0</v>
      </c>
      <c r="I347" t="n">
        <v>0</v>
      </c>
      <c r="J347" t="n">
        <v>0</v>
      </c>
      <c r="K347" t="n">
        <v>0</v>
      </c>
      <c r="L347" t="n">
        <v>0</v>
      </c>
      <c r="M347" t="n">
        <v>0</v>
      </c>
      <c r="N347" t="n">
        <v>0</v>
      </c>
      <c r="O347" t="n">
        <v>0</v>
      </c>
      <c r="P347" t="n">
        <v>0</v>
      </c>
      <c r="Q347" t="n">
        <v>0</v>
      </c>
      <c r="R347" s="2" t="inlineStr"/>
    </row>
    <row r="348" ht="15" customHeight="1">
      <c r="A348" t="inlineStr">
        <is>
          <t>A 8332-2021</t>
        </is>
      </c>
      <c r="B348" s="1" t="n">
        <v>44244</v>
      </c>
      <c r="C348" s="1" t="n">
        <v>45923</v>
      </c>
      <c r="D348" t="inlineStr">
        <is>
          <t>ÖREBRO LÄN</t>
        </is>
      </c>
      <c r="E348" t="inlineStr">
        <is>
          <t>ÖREBRO</t>
        </is>
      </c>
      <c r="G348" t="n">
        <v>11</v>
      </c>
      <c r="H348" t="n">
        <v>0</v>
      </c>
      <c r="I348" t="n">
        <v>0</v>
      </c>
      <c r="J348" t="n">
        <v>0</v>
      </c>
      <c r="K348" t="n">
        <v>0</v>
      </c>
      <c r="L348" t="n">
        <v>0</v>
      </c>
      <c r="M348" t="n">
        <v>0</v>
      </c>
      <c r="N348" t="n">
        <v>0</v>
      </c>
      <c r="O348" t="n">
        <v>0</v>
      </c>
      <c r="P348" t="n">
        <v>0</v>
      </c>
      <c r="Q348" t="n">
        <v>0</v>
      </c>
      <c r="R348" s="2" t="inlineStr"/>
    </row>
    <row r="349" ht="15" customHeight="1">
      <c r="A349" t="inlineStr">
        <is>
          <t>A 9379-2024</t>
        </is>
      </c>
      <c r="B349" s="1" t="n">
        <v>45359.37298611111</v>
      </c>
      <c r="C349" s="1" t="n">
        <v>45923</v>
      </c>
      <c r="D349" t="inlineStr">
        <is>
          <t>ÖREBRO LÄN</t>
        </is>
      </c>
      <c r="E349" t="inlineStr">
        <is>
          <t>ÖREBRO</t>
        </is>
      </c>
      <c r="G349" t="n">
        <v>2.4</v>
      </c>
      <c r="H349" t="n">
        <v>0</v>
      </c>
      <c r="I349" t="n">
        <v>0</v>
      </c>
      <c r="J349" t="n">
        <v>0</v>
      </c>
      <c r="K349" t="n">
        <v>0</v>
      </c>
      <c r="L349" t="n">
        <v>0</v>
      </c>
      <c r="M349" t="n">
        <v>0</v>
      </c>
      <c r="N349" t="n">
        <v>0</v>
      </c>
      <c r="O349" t="n">
        <v>0</v>
      </c>
      <c r="P349" t="n">
        <v>0</v>
      </c>
      <c r="Q349" t="n">
        <v>0</v>
      </c>
      <c r="R349" s="2" t="inlineStr"/>
    </row>
    <row r="350" ht="15" customHeight="1">
      <c r="A350" t="inlineStr">
        <is>
          <t>A 25443-2021</t>
        </is>
      </c>
      <c r="B350" s="1" t="n">
        <v>44342</v>
      </c>
      <c r="C350" s="1" t="n">
        <v>45923</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5398-2022</t>
        </is>
      </c>
      <c r="B351" s="1" t="n">
        <v>44595.3353587963</v>
      </c>
      <c r="C351" s="1" t="n">
        <v>45923</v>
      </c>
      <c r="D351" t="inlineStr">
        <is>
          <t>ÖREBRO LÄN</t>
        </is>
      </c>
      <c r="E351" t="inlineStr">
        <is>
          <t>ÖREBRO</t>
        </is>
      </c>
      <c r="G351" t="n">
        <v>2.1</v>
      </c>
      <c r="H351" t="n">
        <v>0</v>
      </c>
      <c r="I351" t="n">
        <v>0</v>
      </c>
      <c r="J351" t="n">
        <v>0</v>
      </c>
      <c r="K351" t="n">
        <v>0</v>
      </c>
      <c r="L351" t="n">
        <v>0</v>
      </c>
      <c r="M351" t="n">
        <v>0</v>
      </c>
      <c r="N351" t="n">
        <v>0</v>
      </c>
      <c r="O351" t="n">
        <v>0</v>
      </c>
      <c r="P351" t="n">
        <v>0</v>
      </c>
      <c r="Q351" t="n">
        <v>0</v>
      </c>
      <c r="R351" s="2" t="inlineStr"/>
    </row>
    <row r="352" ht="15" customHeight="1">
      <c r="A352" t="inlineStr">
        <is>
          <t>A 58145-2024</t>
        </is>
      </c>
      <c r="B352" s="1" t="n">
        <v>45632.43230324074</v>
      </c>
      <c r="C352" s="1" t="n">
        <v>45923</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64730-2023</t>
        </is>
      </c>
      <c r="B353" s="1" t="n">
        <v>45281</v>
      </c>
      <c r="C353" s="1" t="n">
        <v>45923</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41995-2024</t>
        </is>
      </c>
      <c r="B354" s="1" t="n">
        <v>45561.6475462963</v>
      </c>
      <c r="C354" s="1" t="n">
        <v>45923</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44284-2022</t>
        </is>
      </c>
      <c r="B355" s="1" t="n">
        <v>44839.59194444444</v>
      </c>
      <c r="C355" s="1" t="n">
        <v>45923</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16737-2023</t>
        </is>
      </c>
      <c r="B356" s="1" t="n">
        <v>45030.72472222222</v>
      </c>
      <c r="C356" s="1" t="n">
        <v>45923</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14544-2023</t>
        </is>
      </c>
      <c r="B357" s="1" t="n">
        <v>45013</v>
      </c>
      <c r="C357" s="1" t="n">
        <v>45923</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42623-2022</t>
        </is>
      </c>
      <c r="B358" s="1" t="n">
        <v>44831</v>
      </c>
      <c r="C358" s="1" t="n">
        <v>45923</v>
      </c>
      <c r="D358" t="inlineStr">
        <is>
          <t>ÖREBRO LÄN</t>
        </is>
      </c>
      <c r="E358" t="inlineStr">
        <is>
          <t>ÖREBRO</t>
        </is>
      </c>
      <c r="G358" t="n">
        <v>3.6</v>
      </c>
      <c r="H358" t="n">
        <v>0</v>
      </c>
      <c r="I358" t="n">
        <v>0</v>
      </c>
      <c r="J358" t="n">
        <v>0</v>
      </c>
      <c r="K358" t="n">
        <v>0</v>
      </c>
      <c r="L358" t="n">
        <v>0</v>
      </c>
      <c r="M358" t="n">
        <v>0</v>
      </c>
      <c r="N358" t="n">
        <v>0</v>
      </c>
      <c r="O358" t="n">
        <v>0</v>
      </c>
      <c r="P358" t="n">
        <v>0</v>
      </c>
      <c r="Q358" t="n">
        <v>0</v>
      </c>
      <c r="R358" s="2" t="inlineStr"/>
    </row>
    <row r="359" ht="15" customHeight="1">
      <c r="A359" t="inlineStr">
        <is>
          <t>A 15866-2022</t>
        </is>
      </c>
      <c r="B359" s="1" t="n">
        <v>44664</v>
      </c>
      <c r="C359" s="1" t="n">
        <v>45923</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2318-2023</t>
        </is>
      </c>
      <c r="B360" s="1" t="n">
        <v>44942</v>
      </c>
      <c r="C360" s="1" t="n">
        <v>45923</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3763-2025</t>
        </is>
      </c>
      <c r="B361" s="1" t="n">
        <v>45681</v>
      </c>
      <c r="C361" s="1" t="n">
        <v>45923</v>
      </c>
      <c r="D361" t="inlineStr">
        <is>
          <t>ÖREBRO LÄN</t>
        </is>
      </c>
      <c r="E361" t="inlineStr">
        <is>
          <t>ÖREBRO</t>
        </is>
      </c>
      <c r="G361" t="n">
        <v>10.1</v>
      </c>
      <c r="H361" t="n">
        <v>0</v>
      </c>
      <c r="I361" t="n">
        <v>0</v>
      </c>
      <c r="J361" t="n">
        <v>0</v>
      </c>
      <c r="K361" t="n">
        <v>0</v>
      </c>
      <c r="L361" t="n">
        <v>0</v>
      </c>
      <c r="M361" t="n">
        <v>0</v>
      </c>
      <c r="N361" t="n">
        <v>0</v>
      </c>
      <c r="O361" t="n">
        <v>0</v>
      </c>
      <c r="P361" t="n">
        <v>0</v>
      </c>
      <c r="Q361" t="n">
        <v>0</v>
      </c>
      <c r="R361" s="2" t="inlineStr"/>
    </row>
    <row r="362" ht="15" customHeight="1">
      <c r="A362" t="inlineStr">
        <is>
          <t>A 15682-2023</t>
        </is>
      </c>
      <c r="B362" s="1" t="n">
        <v>45021</v>
      </c>
      <c r="C362" s="1" t="n">
        <v>45923</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4416-2023</t>
        </is>
      </c>
      <c r="B363" s="1" t="n">
        <v>44956</v>
      </c>
      <c r="C363" s="1" t="n">
        <v>45923</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49062-2023</t>
        </is>
      </c>
      <c r="B364" s="1" t="n">
        <v>45210.35119212963</v>
      </c>
      <c r="C364" s="1" t="n">
        <v>45923</v>
      </c>
      <c r="D364" t="inlineStr">
        <is>
          <t>ÖREBRO LÄN</t>
        </is>
      </c>
      <c r="E364" t="inlineStr">
        <is>
          <t>ÖREBRO</t>
        </is>
      </c>
      <c r="G364" t="n">
        <v>1.6</v>
      </c>
      <c r="H364" t="n">
        <v>0</v>
      </c>
      <c r="I364" t="n">
        <v>0</v>
      </c>
      <c r="J364" t="n">
        <v>0</v>
      </c>
      <c r="K364" t="n">
        <v>0</v>
      </c>
      <c r="L364" t="n">
        <v>0</v>
      </c>
      <c r="M364" t="n">
        <v>0</v>
      </c>
      <c r="N364" t="n">
        <v>0</v>
      </c>
      <c r="O364" t="n">
        <v>0</v>
      </c>
      <c r="P364" t="n">
        <v>0</v>
      </c>
      <c r="Q364" t="n">
        <v>0</v>
      </c>
      <c r="R364" s="2" t="inlineStr"/>
    </row>
    <row r="365" ht="15" customHeight="1">
      <c r="A365" t="inlineStr">
        <is>
          <t>A 5764-2022</t>
        </is>
      </c>
      <c r="B365" s="1" t="n">
        <v>44596</v>
      </c>
      <c r="C365" s="1" t="n">
        <v>45923</v>
      </c>
      <c r="D365" t="inlineStr">
        <is>
          <t>ÖREBRO LÄN</t>
        </is>
      </c>
      <c r="E365" t="inlineStr">
        <is>
          <t>ÖREBRO</t>
        </is>
      </c>
      <c r="G365" t="n">
        <v>3.5</v>
      </c>
      <c r="H365" t="n">
        <v>0</v>
      </c>
      <c r="I365" t="n">
        <v>0</v>
      </c>
      <c r="J365" t="n">
        <v>0</v>
      </c>
      <c r="K365" t="n">
        <v>0</v>
      </c>
      <c r="L365" t="n">
        <v>0</v>
      </c>
      <c r="M365" t="n">
        <v>0</v>
      </c>
      <c r="N365" t="n">
        <v>0</v>
      </c>
      <c r="O365" t="n">
        <v>0</v>
      </c>
      <c r="P365" t="n">
        <v>0</v>
      </c>
      <c r="Q365" t="n">
        <v>0</v>
      </c>
      <c r="R365" s="2" t="inlineStr"/>
    </row>
    <row r="366" ht="15" customHeight="1">
      <c r="A366" t="inlineStr">
        <is>
          <t>A 45027-2024</t>
        </is>
      </c>
      <c r="B366" s="1" t="n">
        <v>45575</v>
      </c>
      <c r="C366" s="1" t="n">
        <v>45923</v>
      </c>
      <c r="D366" t="inlineStr">
        <is>
          <t>ÖREBRO LÄN</t>
        </is>
      </c>
      <c r="E366" t="inlineStr">
        <is>
          <t>ÖREBRO</t>
        </is>
      </c>
      <c r="G366" t="n">
        <v>6.3</v>
      </c>
      <c r="H366" t="n">
        <v>0</v>
      </c>
      <c r="I366" t="n">
        <v>0</v>
      </c>
      <c r="J366" t="n">
        <v>0</v>
      </c>
      <c r="K366" t="n">
        <v>0</v>
      </c>
      <c r="L366" t="n">
        <v>0</v>
      </c>
      <c r="M366" t="n">
        <v>0</v>
      </c>
      <c r="N366" t="n">
        <v>0</v>
      </c>
      <c r="O366" t="n">
        <v>0</v>
      </c>
      <c r="P366" t="n">
        <v>0</v>
      </c>
      <c r="Q366" t="n">
        <v>0</v>
      </c>
      <c r="R366" s="2" t="inlineStr"/>
    </row>
    <row r="367" ht="15" customHeight="1">
      <c r="A367" t="inlineStr">
        <is>
          <t>A 40051-2024</t>
        </is>
      </c>
      <c r="B367" s="1" t="n">
        <v>45553</v>
      </c>
      <c r="C367" s="1" t="n">
        <v>45923</v>
      </c>
      <c r="D367" t="inlineStr">
        <is>
          <t>ÖREBRO LÄN</t>
        </is>
      </c>
      <c r="E367" t="inlineStr">
        <is>
          <t>ÖREBRO</t>
        </is>
      </c>
      <c r="G367" t="n">
        <v>3.5</v>
      </c>
      <c r="H367" t="n">
        <v>0</v>
      </c>
      <c r="I367" t="n">
        <v>0</v>
      </c>
      <c r="J367" t="n">
        <v>0</v>
      </c>
      <c r="K367" t="n">
        <v>0</v>
      </c>
      <c r="L367" t="n">
        <v>0</v>
      </c>
      <c r="M367" t="n">
        <v>0</v>
      </c>
      <c r="N367" t="n">
        <v>0</v>
      </c>
      <c r="O367" t="n">
        <v>0</v>
      </c>
      <c r="P367" t="n">
        <v>0</v>
      </c>
      <c r="Q367" t="n">
        <v>0</v>
      </c>
      <c r="R367" s="2" t="inlineStr"/>
    </row>
    <row r="368" ht="15" customHeight="1">
      <c r="A368" t="inlineStr">
        <is>
          <t>A 10829-2023</t>
        </is>
      </c>
      <c r="B368" s="1" t="n">
        <v>44990.88512731482</v>
      </c>
      <c r="C368" s="1" t="n">
        <v>45923</v>
      </c>
      <c r="D368" t="inlineStr">
        <is>
          <t>ÖREBRO LÄN</t>
        </is>
      </c>
      <c r="E368" t="inlineStr">
        <is>
          <t>ÖREBRO</t>
        </is>
      </c>
      <c r="G368" t="n">
        <v>4.4</v>
      </c>
      <c r="H368" t="n">
        <v>0</v>
      </c>
      <c r="I368" t="n">
        <v>0</v>
      </c>
      <c r="J368" t="n">
        <v>0</v>
      </c>
      <c r="K368" t="n">
        <v>0</v>
      </c>
      <c r="L368" t="n">
        <v>0</v>
      </c>
      <c r="M368" t="n">
        <v>0</v>
      </c>
      <c r="N368" t="n">
        <v>0</v>
      </c>
      <c r="O368" t="n">
        <v>0</v>
      </c>
      <c r="P368" t="n">
        <v>0</v>
      </c>
      <c r="Q368" t="n">
        <v>0</v>
      </c>
      <c r="R368" s="2" t="inlineStr"/>
    </row>
    <row r="369" ht="15" customHeight="1">
      <c r="A369" t="inlineStr">
        <is>
          <t>A 10831-2023</t>
        </is>
      </c>
      <c r="B369" s="1" t="n">
        <v>44990.90357638889</v>
      </c>
      <c r="C369" s="1" t="n">
        <v>45923</v>
      </c>
      <c r="D369" t="inlineStr">
        <is>
          <t>ÖREBRO LÄN</t>
        </is>
      </c>
      <c r="E369" t="inlineStr">
        <is>
          <t>ÖREBRO</t>
        </is>
      </c>
      <c r="G369" t="n">
        <v>1.9</v>
      </c>
      <c r="H369" t="n">
        <v>0</v>
      </c>
      <c r="I369" t="n">
        <v>0</v>
      </c>
      <c r="J369" t="n">
        <v>0</v>
      </c>
      <c r="K369" t="n">
        <v>0</v>
      </c>
      <c r="L369" t="n">
        <v>0</v>
      </c>
      <c r="M369" t="n">
        <v>0</v>
      </c>
      <c r="N369" t="n">
        <v>0</v>
      </c>
      <c r="O369" t="n">
        <v>0</v>
      </c>
      <c r="P369" t="n">
        <v>0</v>
      </c>
      <c r="Q369" t="n">
        <v>0</v>
      </c>
      <c r="R369" s="2" t="inlineStr"/>
    </row>
    <row r="370" ht="15" customHeight="1">
      <c r="A370" t="inlineStr">
        <is>
          <t>A 41543-2024</t>
        </is>
      </c>
      <c r="B370" s="1" t="n">
        <v>45560</v>
      </c>
      <c r="C370" s="1" t="n">
        <v>45923</v>
      </c>
      <c r="D370" t="inlineStr">
        <is>
          <t>ÖREBRO LÄN</t>
        </is>
      </c>
      <c r="E370" t="inlineStr">
        <is>
          <t>ÖREBRO</t>
        </is>
      </c>
      <c r="G370" t="n">
        <v>2.8</v>
      </c>
      <c r="H370" t="n">
        <v>0</v>
      </c>
      <c r="I370" t="n">
        <v>0</v>
      </c>
      <c r="J370" t="n">
        <v>0</v>
      </c>
      <c r="K370" t="n">
        <v>0</v>
      </c>
      <c r="L370" t="n">
        <v>0</v>
      </c>
      <c r="M370" t="n">
        <v>0</v>
      </c>
      <c r="N370" t="n">
        <v>0</v>
      </c>
      <c r="O370" t="n">
        <v>0</v>
      </c>
      <c r="P370" t="n">
        <v>0</v>
      </c>
      <c r="Q370" t="n">
        <v>0</v>
      </c>
      <c r="R370" s="2" t="inlineStr"/>
    </row>
    <row r="371" ht="15" customHeight="1">
      <c r="A371" t="inlineStr">
        <is>
          <t>A 10799-2024</t>
        </is>
      </c>
      <c r="B371" s="1" t="n">
        <v>45369</v>
      </c>
      <c r="C371" s="1" t="n">
        <v>45923</v>
      </c>
      <c r="D371" t="inlineStr">
        <is>
          <t>ÖREBRO LÄN</t>
        </is>
      </c>
      <c r="E371" t="inlineStr">
        <is>
          <t>ÖREBRO</t>
        </is>
      </c>
      <c r="G371" t="n">
        <v>5.8</v>
      </c>
      <c r="H371" t="n">
        <v>0</v>
      </c>
      <c r="I371" t="n">
        <v>0</v>
      </c>
      <c r="J371" t="n">
        <v>0</v>
      </c>
      <c r="K371" t="n">
        <v>0</v>
      </c>
      <c r="L371" t="n">
        <v>0</v>
      </c>
      <c r="M371" t="n">
        <v>0</v>
      </c>
      <c r="N371" t="n">
        <v>0</v>
      </c>
      <c r="O371" t="n">
        <v>0</v>
      </c>
      <c r="P371" t="n">
        <v>0</v>
      </c>
      <c r="Q371" t="n">
        <v>0</v>
      </c>
      <c r="R371" s="2" t="inlineStr"/>
    </row>
    <row r="372" ht="15" customHeight="1">
      <c r="A372" t="inlineStr">
        <is>
          <t>A 16165-2023</t>
        </is>
      </c>
      <c r="B372" s="1" t="n">
        <v>45027</v>
      </c>
      <c r="C372" s="1" t="n">
        <v>45923</v>
      </c>
      <c r="D372" t="inlineStr">
        <is>
          <t>ÖREBRO LÄN</t>
        </is>
      </c>
      <c r="E372" t="inlineStr">
        <is>
          <t>ÖREBRO</t>
        </is>
      </c>
      <c r="G372" t="n">
        <v>11</v>
      </c>
      <c r="H372" t="n">
        <v>0</v>
      </c>
      <c r="I372" t="n">
        <v>0</v>
      </c>
      <c r="J372" t="n">
        <v>0</v>
      </c>
      <c r="K372" t="n">
        <v>0</v>
      </c>
      <c r="L372" t="n">
        <v>0</v>
      </c>
      <c r="M372" t="n">
        <v>0</v>
      </c>
      <c r="N372" t="n">
        <v>0</v>
      </c>
      <c r="O372" t="n">
        <v>0</v>
      </c>
      <c r="P372" t="n">
        <v>0</v>
      </c>
      <c r="Q372" t="n">
        <v>0</v>
      </c>
      <c r="R372" s="2" t="inlineStr"/>
    </row>
    <row r="373" ht="15" customHeight="1">
      <c r="A373" t="inlineStr">
        <is>
          <t>A 32321-2023</t>
        </is>
      </c>
      <c r="B373" s="1" t="n">
        <v>45120</v>
      </c>
      <c r="C373" s="1" t="n">
        <v>45923</v>
      </c>
      <c r="D373" t="inlineStr">
        <is>
          <t>ÖREBRO LÄN</t>
        </is>
      </c>
      <c r="E373" t="inlineStr">
        <is>
          <t>ÖREBRO</t>
        </is>
      </c>
      <c r="G373" t="n">
        <v>3.4</v>
      </c>
      <c r="H373" t="n">
        <v>0</v>
      </c>
      <c r="I373" t="n">
        <v>0</v>
      </c>
      <c r="J373" t="n">
        <v>0</v>
      </c>
      <c r="K373" t="n">
        <v>0</v>
      </c>
      <c r="L373" t="n">
        <v>0</v>
      </c>
      <c r="M373" t="n">
        <v>0</v>
      </c>
      <c r="N373" t="n">
        <v>0</v>
      </c>
      <c r="O373" t="n">
        <v>0</v>
      </c>
      <c r="P373" t="n">
        <v>0</v>
      </c>
      <c r="Q373" t="n">
        <v>0</v>
      </c>
      <c r="R373" s="2" t="inlineStr"/>
    </row>
    <row r="374" ht="15" customHeight="1">
      <c r="A374" t="inlineStr">
        <is>
          <t>A 57247-2022</t>
        </is>
      </c>
      <c r="B374" s="1" t="n">
        <v>44895.73065972222</v>
      </c>
      <c r="C374" s="1" t="n">
        <v>45923</v>
      </c>
      <c r="D374" t="inlineStr">
        <is>
          <t>ÖREBRO LÄN</t>
        </is>
      </c>
      <c r="E374" t="inlineStr">
        <is>
          <t>ÖREBRO</t>
        </is>
      </c>
      <c r="G374" t="n">
        <v>1.6</v>
      </c>
      <c r="H374" t="n">
        <v>0</v>
      </c>
      <c r="I374" t="n">
        <v>0</v>
      </c>
      <c r="J374" t="n">
        <v>0</v>
      </c>
      <c r="K374" t="n">
        <v>0</v>
      </c>
      <c r="L374" t="n">
        <v>0</v>
      </c>
      <c r="M374" t="n">
        <v>0</v>
      </c>
      <c r="N374" t="n">
        <v>0</v>
      </c>
      <c r="O374" t="n">
        <v>0</v>
      </c>
      <c r="P374" t="n">
        <v>0</v>
      </c>
      <c r="Q374" t="n">
        <v>0</v>
      </c>
      <c r="R374" s="2" t="inlineStr"/>
    </row>
    <row r="375" ht="15" customHeight="1">
      <c r="A375" t="inlineStr">
        <is>
          <t>A 2095-2025</t>
        </is>
      </c>
      <c r="B375" s="1" t="n">
        <v>45672</v>
      </c>
      <c r="C375" s="1" t="n">
        <v>45923</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71275-2021</t>
        </is>
      </c>
      <c r="B376" s="1" t="n">
        <v>44539</v>
      </c>
      <c r="C376" s="1" t="n">
        <v>45923</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58608-2024</t>
        </is>
      </c>
      <c r="B377" s="1" t="n">
        <v>45635.55185185185</v>
      </c>
      <c r="C377" s="1" t="n">
        <v>45923</v>
      </c>
      <c r="D377" t="inlineStr">
        <is>
          <t>ÖREBRO LÄN</t>
        </is>
      </c>
      <c r="E377" t="inlineStr">
        <is>
          <t>ÖREBRO</t>
        </is>
      </c>
      <c r="F377" t="inlineStr">
        <is>
          <t>Sveaskog</t>
        </is>
      </c>
      <c r="G377" t="n">
        <v>0.3</v>
      </c>
      <c r="H377" t="n">
        <v>0</v>
      </c>
      <c r="I377" t="n">
        <v>0</v>
      </c>
      <c r="J377" t="n">
        <v>0</v>
      </c>
      <c r="K377" t="n">
        <v>0</v>
      </c>
      <c r="L377" t="n">
        <v>0</v>
      </c>
      <c r="M377" t="n">
        <v>0</v>
      </c>
      <c r="N377" t="n">
        <v>0</v>
      </c>
      <c r="O377" t="n">
        <v>0</v>
      </c>
      <c r="P377" t="n">
        <v>0</v>
      </c>
      <c r="Q377" t="n">
        <v>0</v>
      </c>
      <c r="R377" s="2" t="inlineStr"/>
    </row>
    <row r="378" ht="15" customHeight="1">
      <c r="A378" t="inlineStr">
        <is>
          <t>A 2153-2023</t>
        </is>
      </c>
      <c r="B378" s="1" t="n">
        <v>44941</v>
      </c>
      <c r="C378" s="1" t="n">
        <v>45923</v>
      </c>
      <c r="D378" t="inlineStr">
        <is>
          <t>ÖREBRO LÄN</t>
        </is>
      </c>
      <c r="E378" t="inlineStr">
        <is>
          <t>ÖREBRO</t>
        </is>
      </c>
      <c r="G378" t="n">
        <v>6.3</v>
      </c>
      <c r="H378" t="n">
        <v>0</v>
      </c>
      <c r="I378" t="n">
        <v>0</v>
      </c>
      <c r="J378" t="n">
        <v>0</v>
      </c>
      <c r="K378" t="n">
        <v>0</v>
      </c>
      <c r="L378" t="n">
        <v>0</v>
      </c>
      <c r="M378" t="n">
        <v>0</v>
      </c>
      <c r="N378" t="n">
        <v>0</v>
      </c>
      <c r="O378" t="n">
        <v>0</v>
      </c>
      <c r="P378" t="n">
        <v>0</v>
      </c>
      <c r="Q378" t="n">
        <v>0</v>
      </c>
      <c r="R378" s="2" t="inlineStr"/>
    </row>
    <row r="379" ht="15" customHeight="1">
      <c r="A379" t="inlineStr">
        <is>
          <t>A 2069-2025</t>
        </is>
      </c>
      <c r="B379" s="1" t="n">
        <v>45672.56614583333</v>
      </c>
      <c r="C379" s="1" t="n">
        <v>45923</v>
      </c>
      <c r="D379" t="inlineStr">
        <is>
          <t>ÖREBRO LÄN</t>
        </is>
      </c>
      <c r="E379" t="inlineStr">
        <is>
          <t>ÖREBRO</t>
        </is>
      </c>
      <c r="G379" t="n">
        <v>3.8</v>
      </c>
      <c r="H379" t="n">
        <v>0</v>
      </c>
      <c r="I379" t="n">
        <v>0</v>
      </c>
      <c r="J379" t="n">
        <v>0</v>
      </c>
      <c r="K379" t="n">
        <v>0</v>
      </c>
      <c r="L379" t="n">
        <v>0</v>
      </c>
      <c r="M379" t="n">
        <v>0</v>
      </c>
      <c r="N379" t="n">
        <v>0</v>
      </c>
      <c r="O379" t="n">
        <v>0</v>
      </c>
      <c r="P379" t="n">
        <v>0</v>
      </c>
      <c r="Q379" t="n">
        <v>0</v>
      </c>
      <c r="R379" s="2" t="inlineStr"/>
    </row>
    <row r="380" ht="15" customHeight="1">
      <c r="A380" t="inlineStr">
        <is>
          <t>A 852-2025</t>
        </is>
      </c>
      <c r="B380" s="1" t="n">
        <v>45665.60148148148</v>
      </c>
      <c r="C380" s="1" t="n">
        <v>45923</v>
      </c>
      <c r="D380" t="inlineStr">
        <is>
          <t>ÖREBRO LÄN</t>
        </is>
      </c>
      <c r="E380" t="inlineStr">
        <is>
          <t>ÖREBRO</t>
        </is>
      </c>
      <c r="G380" t="n">
        <v>2.9</v>
      </c>
      <c r="H380" t="n">
        <v>0</v>
      </c>
      <c r="I380" t="n">
        <v>0</v>
      </c>
      <c r="J380" t="n">
        <v>0</v>
      </c>
      <c r="K380" t="n">
        <v>0</v>
      </c>
      <c r="L380" t="n">
        <v>0</v>
      </c>
      <c r="M380" t="n">
        <v>0</v>
      </c>
      <c r="N380" t="n">
        <v>0</v>
      </c>
      <c r="O380" t="n">
        <v>0</v>
      </c>
      <c r="P380" t="n">
        <v>0</v>
      </c>
      <c r="Q380" t="n">
        <v>0</v>
      </c>
      <c r="R380" s="2" t="inlineStr"/>
    </row>
    <row r="381" ht="15" customHeight="1">
      <c r="A381" t="inlineStr">
        <is>
          <t>A 50398-2022</t>
        </is>
      </c>
      <c r="B381" s="1" t="n">
        <v>44861</v>
      </c>
      <c r="C381" s="1" t="n">
        <v>45923</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52441-2024</t>
        </is>
      </c>
      <c r="B382" s="1" t="n">
        <v>45609.48451388889</v>
      </c>
      <c r="C382" s="1" t="n">
        <v>45923</v>
      </c>
      <c r="D382" t="inlineStr">
        <is>
          <t>ÖREBRO LÄN</t>
        </is>
      </c>
      <c r="E382" t="inlineStr">
        <is>
          <t>ÖREBRO</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52499-2024</t>
        </is>
      </c>
      <c r="B383" s="1" t="n">
        <v>45609.58422453704</v>
      </c>
      <c r="C383" s="1" t="n">
        <v>45923</v>
      </c>
      <c r="D383" t="inlineStr">
        <is>
          <t>ÖREBRO LÄN</t>
        </is>
      </c>
      <c r="E383" t="inlineStr">
        <is>
          <t>ÖREBRO</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8008-2024</t>
        </is>
      </c>
      <c r="B384" s="1" t="n">
        <v>45350.6794212963</v>
      </c>
      <c r="C384" s="1" t="n">
        <v>45923</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18181-2024</t>
        </is>
      </c>
      <c r="B385" s="1" t="n">
        <v>45420.64561342593</v>
      </c>
      <c r="C385" s="1" t="n">
        <v>45923</v>
      </c>
      <c r="D385" t="inlineStr">
        <is>
          <t>ÖREBRO LÄN</t>
        </is>
      </c>
      <c r="E385" t="inlineStr">
        <is>
          <t>ÖREBRO</t>
        </is>
      </c>
      <c r="G385" t="n">
        <v>7.6</v>
      </c>
      <c r="H385" t="n">
        <v>0</v>
      </c>
      <c r="I385" t="n">
        <v>0</v>
      </c>
      <c r="J385" t="n">
        <v>0</v>
      </c>
      <c r="K385" t="n">
        <v>0</v>
      </c>
      <c r="L385" t="n">
        <v>0</v>
      </c>
      <c r="M385" t="n">
        <v>0</v>
      </c>
      <c r="N385" t="n">
        <v>0</v>
      </c>
      <c r="O385" t="n">
        <v>0</v>
      </c>
      <c r="P385" t="n">
        <v>0</v>
      </c>
      <c r="Q385" t="n">
        <v>0</v>
      </c>
      <c r="R385" s="2" t="inlineStr"/>
    </row>
    <row r="386" ht="15" customHeight="1">
      <c r="A386" t="inlineStr">
        <is>
          <t>A 46757-2021</t>
        </is>
      </c>
      <c r="B386" s="1" t="n">
        <v>44445</v>
      </c>
      <c r="C386" s="1" t="n">
        <v>45923</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38415-2023</t>
        </is>
      </c>
      <c r="B387" s="1" t="n">
        <v>45162.35502314815</v>
      </c>
      <c r="C387" s="1" t="n">
        <v>45923</v>
      </c>
      <c r="D387" t="inlineStr">
        <is>
          <t>ÖREBRO LÄN</t>
        </is>
      </c>
      <c r="E387" t="inlineStr">
        <is>
          <t>ÖREBRO</t>
        </is>
      </c>
      <c r="G387" t="n">
        <v>2.6</v>
      </c>
      <c r="H387" t="n">
        <v>0</v>
      </c>
      <c r="I387" t="n">
        <v>0</v>
      </c>
      <c r="J387" t="n">
        <v>0</v>
      </c>
      <c r="K387" t="n">
        <v>0</v>
      </c>
      <c r="L387" t="n">
        <v>0</v>
      </c>
      <c r="M387" t="n">
        <v>0</v>
      </c>
      <c r="N387" t="n">
        <v>0</v>
      </c>
      <c r="O387" t="n">
        <v>0</v>
      </c>
      <c r="P387" t="n">
        <v>0</v>
      </c>
      <c r="Q387" t="n">
        <v>0</v>
      </c>
      <c r="R387" s="2" t="inlineStr"/>
    </row>
    <row r="388" ht="15" customHeight="1">
      <c r="A388" t="inlineStr">
        <is>
          <t>A 16374-2022</t>
        </is>
      </c>
      <c r="B388" s="1" t="n">
        <v>44671</v>
      </c>
      <c r="C388" s="1" t="n">
        <v>45923</v>
      </c>
      <c r="D388" t="inlineStr">
        <is>
          <t>ÖREBRO LÄN</t>
        </is>
      </c>
      <c r="E388" t="inlineStr">
        <is>
          <t>ÖREBRO</t>
        </is>
      </c>
      <c r="F388" t="inlineStr">
        <is>
          <t>Övriga Aktiebolag</t>
        </is>
      </c>
      <c r="G388" t="n">
        <v>30.3</v>
      </c>
      <c r="H388" t="n">
        <v>0</v>
      </c>
      <c r="I388" t="n">
        <v>0</v>
      </c>
      <c r="J388" t="n">
        <v>0</v>
      </c>
      <c r="K388" t="n">
        <v>0</v>
      </c>
      <c r="L388" t="n">
        <v>0</v>
      </c>
      <c r="M388" t="n">
        <v>0</v>
      </c>
      <c r="N388" t="n">
        <v>0</v>
      </c>
      <c r="O388" t="n">
        <v>0</v>
      </c>
      <c r="P388" t="n">
        <v>0</v>
      </c>
      <c r="Q388" t="n">
        <v>0</v>
      </c>
      <c r="R388" s="2" t="inlineStr"/>
    </row>
    <row r="389" ht="15" customHeight="1">
      <c r="A389" t="inlineStr">
        <is>
          <t>A 30374-2023</t>
        </is>
      </c>
      <c r="B389" s="1" t="n">
        <v>45111</v>
      </c>
      <c r="C389" s="1" t="n">
        <v>45923</v>
      </c>
      <c r="D389" t="inlineStr">
        <is>
          <t>ÖREBRO LÄN</t>
        </is>
      </c>
      <c r="E389" t="inlineStr">
        <is>
          <t>ÖREBRO</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9704-2023</t>
        </is>
      </c>
      <c r="B390" s="1" t="n">
        <v>44984</v>
      </c>
      <c r="C390" s="1" t="n">
        <v>45923</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19180-2025</t>
        </is>
      </c>
      <c r="B391" s="1" t="n">
        <v>45769.40133101852</v>
      </c>
      <c r="C391" s="1" t="n">
        <v>45923</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46052-2024</t>
        </is>
      </c>
      <c r="B392" s="1" t="n">
        <v>45580.89116898148</v>
      </c>
      <c r="C392" s="1" t="n">
        <v>45923</v>
      </c>
      <c r="D392" t="inlineStr">
        <is>
          <t>ÖREBRO LÄN</t>
        </is>
      </c>
      <c r="E392" t="inlineStr">
        <is>
          <t>ÖREBRO</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58527-2024</t>
        </is>
      </c>
      <c r="B393" s="1" t="n">
        <v>45635.44388888889</v>
      </c>
      <c r="C393" s="1" t="n">
        <v>45923</v>
      </c>
      <c r="D393" t="inlineStr">
        <is>
          <t>ÖREBRO LÄN</t>
        </is>
      </c>
      <c r="E393" t="inlineStr">
        <is>
          <t>ÖREBRO</t>
        </is>
      </c>
      <c r="F393" t="inlineStr">
        <is>
          <t>Sveaskog</t>
        </is>
      </c>
      <c r="G393" t="n">
        <v>6.4</v>
      </c>
      <c r="H393" t="n">
        <v>0</v>
      </c>
      <c r="I393" t="n">
        <v>0</v>
      </c>
      <c r="J393" t="n">
        <v>0</v>
      </c>
      <c r="K393" t="n">
        <v>0</v>
      </c>
      <c r="L393" t="n">
        <v>0</v>
      </c>
      <c r="M393" t="n">
        <v>0</v>
      </c>
      <c r="N393" t="n">
        <v>0</v>
      </c>
      <c r="O393" t="n">
        <v>0</v>
      </c>
      <c r="P393" t="n">
        <v>0</v>
      </c>
      <c r="Q393" t="n">
        <v>0</v>
      </c>
      <c r="R393" s="2" t="inlineStr"/>
    </row>
    <row r="394" ht="15" customHeight="1">
      <c r="A394" t="inlineStr">
        <is>
          <t>A 54678-2023</t>
        </is>
      </c>
      <c r="B394" s="1" t="n">
        <v>45235</v>
      </c>
      <c r="C394" s="1" t="n">
        <v>45923</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37022-2024</t>
        </is>
      </c>
      <c r="B395" s="1" t="n">
        <v>45539.3822337963</v>
      </c>
      <c r="C395" s="1" t="n">
        <v>45923</v>
      </c>
      <c r="D395" t="inlineStr">
        <is>
          <t>ÖREBRO LÄN</t>
        </is>
      </c>
      <c r="E395" t="inlineStr">
        <is>
          <t>ÖREBRO</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37024-2024</t>
        </is>
      </c>
      <c r="B396" s="1" t="n">
        <v>45539.38329861111</v>
      </c>
      <c r="C396" s="1" t="n">
        <v>45923</v>
      </c>
      <c r="D396" t="inlineStr">
        <is>
          <t>ÖREBRO LÄN</t>
        </is>
      </c>
      <c r="E396" t="inlineStr">
        <is>
          <t>ÖREBRO</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58219-2024</t>
        </is>
      </c>
      <c r="B397" s="1" t="n">
        <v>45632</v>
      </c>
      <c r="C397" s="1" t="n">
        <v>45923</v>
      </c>
      <c r="D397" t="inlineStr">
        <is>
          <t>ÖREBRO LÄN</t>
        </is>
      </c>
      <c r="E397" t="inlineStr">
        <is>
          <t>ÖREBRO</t>
        </is>
      </c>
      <c r="G397" t="n">
        <v>1.1</v>
      </c>
      <c r="H397" t="n">
        <v>0</v>
      </c>
      <c r="I397" t="n">
        <v>0</v>
      </c>
      <c r="J397" t="n">
        <v>0</v>
      </c>
      <c r="K397" t="n">
        <v>0</v>
      </c>
      <c r="L397" t="n">
        <v>0</v>
      </c>
      <c r="M397" t="n">
        <v>0</v>
      </c>
      <c r="N397" t="n">
        <v>0</v>
      </c>
      <c r="O397" t="n">
        <v>0</v>
      </c>
      <c r="P397" t="n">
        <v>0</v>
      </c>
      <c r="Q397" t="n">
        <v>0</v>
      </c>
      <c r="R397" s="2" t="inlineStr"/>
    </row>
    <row r="398" ht="15" customHeight="1">
      <c r="A398" t="inlineStr">
        <is>
          <t>A 42518-2021</t>
        </is>
      </c>
      <c r="B398" s="1" t="n">
        <v>44427.81496527778</v>
      </c>
      <c r="C398" s="1" t="n">
        <v>45923</v>
      </c>
      <c r="D398" t="inlineStr">
        <is>
          <t>ÖREBRO LÄN</t>
        </is>
      </c>
      <c r="E398" t="inlineStr">
        <is>
          <t>ÖREBRO</t>
        </is>
      </c>
      <c r="G398" t="n">
        <v>4.5</v>
      </c>
      <c r="H398" t="n">
        <v>0</v>
      </c>
      <c r="I398" t="n">
        <v>0</v>
      </c>
      <c r="J398" t="n">
        <v>0</v>
      </c>
      <c r="K398" t="n">
        <v>0</v>
      </c>
      <c r="L398" t="n">
        <v>0</v>
      </c>
      <c r="M398" t="n">
        <v>0</v>
      </c>
      <c r="N398" t="n">
        <v>0</v>
      </c>
      <c r="O398" t="n">
        <v>0</v>
      </c>
      <c r="P398" t="n">
        <v>0</v>
      </c>
      <c r="Q398" t="n">
        <v>0</v>
      </c>
      <c r="R398" s="2" t="inlineStr"/>
    </row>
    <row r="399" ht="15" customHeight="1">
      <c r="A399" t="inlineStr">
        <is>
          <t>A 14545-2023</t>
        </is>
      </c>
      <c r="B399" s="1" t="n">
        <v>45013.34895833334</v>
      </c>
      <c r="C399" s="1" t="n">
        <v>45923</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27112-2023</t>
        </is>
      </c>
      <c r="B400" s="1" t="n">
        <v>45096</v>
      </c>
      <c r="C400" s="1" t="n">
        <v>45923</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14524-2025</t>
        </is>
      </c>
      <c r="B401" s="1" t="n">
        <v>45741.64815972222</v>
      </c>
      <c r="C401" s="1" t="n">
        <v>45923</v>
      </c>
      <c r="D401" t="inlineStr">
        <is>
          <t>ÖREBRO LÄN</t>
        </is>
      </c>
      <c r="E401" t="inlineStr">
        <is>
          <t>ÖREBRO</t>
        </is>
      </c>
      <c r="G401" t="n">
        <v>2.8</v>
      </c>
      <c r="H401" t="n">
        <v>0</v>
      </c>
      <c r="I401" t="n">
        <v>0</v>
      </c>
      <c r="J401" t="n">
        <v>0</v>
      </c>
      <c r="K401" t="n">
        <v>0</v>
      </c>
      <c r="L401" t="n">
        <v>0</v>
      </c>
      <c r="M401" t="n">
        <v>0</v>
      </c>
      <c r="N401" t="n">
        <v>0</v>
      </c>
      <c r="O401" t="n">
        <v>0</v>
      </c>
      <c r="P401" t="n">
        <v>0</v>
      </c>
      <c r="Q401" t="n">
        <v>0</v>
      </c>
      <c r="R401" s="2" t="inlineStr"/>
    </row>
    <row r="402" ht="15" customHeight="1">
      <c r="A402" t="inlineStr">
        <is>
          <t>A 38075-2022</t>
        </is>
      </c>
      <c r="B402" s="1" t="n">
        <v>44811</v>
      </c>
      <c r="C402" s="1" t="n">
        <v>45923</v>
      </c>
      <c r="D402" t="inlineStr">
        <is>
          <t>ÖREBRO LÄN</t>
        </is>
      </c>
      <c r="E402" t="inlineStr">
        <is>
          <t>ÖREBRO</t>
        </is>
      </c>
      <c r="G402" t="n">
        <v>0.2</v>
      </c>
      <c r="H402" t="n">
        <v>0</v>
      </c>
      <c r="I402" t="n">
        <v>0</v>
      </c>
      <c r="J402" t="n">
        <v>0</v>
      </c>
      <c r="K402" t="n">
        <v>0</v>
      </c>
      <c r="L402" t="n">
        <v>0</v>
      </c>
      <c r="M402" t="n">
        <v>0</v>
      </c>
      <c r="N402" t="n">
        <v>0</v>
      </c>
      <c r="O402" t="n">
        <v>0</v>
      </c>
      <c r="P402" t="n">
        <v>0</v>
      </c>
      <c r="Q402" t="n">
        <v>0</v>
      </c>
      <c r="R402" s="2" t="inlineStr"/>
    </row>
    <row r="403" ht="15" customHeight="1">
      <c r="A403" t="inlineStr">
        <is>
          <t>A 11382-2023</t>
        </is>
      </c>
      <c r="B403" s="1" t="n">
        <v>44993.45635416666</v>
      </c>
      <c r="C403" s="1" t="n">
        <v>45923</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20121-2024</t>
        </is>
      </c>
      <c r="B404" s="1" t="n">
        <v>45434</v>
      </c>
      <c r="C404" s="1" t="n">
        <v>45923</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46834-2022</t>
        </is>
      </c>
      <c r="B405" s="1" t="n">
        <v>44851</v>
      </c>
      <c r="C405" s="1" t="n">
        <v>45923</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57638-2022</t>
        </is>
      </c>
      <c r="B406" s="1" t="n">
        <v>44897</v>
      </c>
      <c r="C406" s="1" t="n">
        <v>45923</v>
      </c>
      <c r="D406" t="inlineStr">
        <is>
          <t>ÖREBRO LÄN</t>
        </is>
      </c>
      <c r="E406" t="inlineStr">
        <is>
          <t>ÖREBRO</t>
        </is>
      </c>
      <c r="G406" t="n">
        <v>1.6</v>
      </c>
      <c r="H406" t="n">
        <v>0</v>
      </c>
      <c r="I406" t="n">
        <v>0</v>
      </c>
      <c r="J406" t="n">
        <v>0</v>
      </c>
      <c r="K406" t="n">
        <v>0</v>
      </c>
      <c r="L406" t="n">
        <v>0</v>
      </c>
      <c r="M406" t="n">
        <v>0</v>
      </c>
      <c r="N406" t="n">
        <v>0</v>
      </c>
      <c r="O406" t="n">
        <v>0</v>
      </c>
      <c r="P406" t="n">
        <v>0</v>
      </c>
      <c r="Q406" t="n">
        <v>0</v>
      </c>
      <c r="R406" s="2" t="inlineStr"/>
    </row>
    <row r="407" ht="15" customHeight="1">
      <c r="A407" t="inlineStr">
        <is>
          <t>A 26117-2021</t>
        </is>
      </c>
      <c r="B407" s="1" t="n">
        <v>44345</v>
      </c>
      <c r="C407" s="1" t="n">
        <v>45923</v>
      </c>
      <c r="D407" t="inlineStr">
        <is>
          <t>ÖREBRO LÄN</t>
        </is>
      </c>
      <c r="E407" t="inlineStr">
        <is>
          <t>ÖREBRO</t>
        </is>
      </c>
      <c r="G407" t="n">
        <v>8.1</v>
      </c>
      <c r="H407" t="n">
        <v>0</v>
      </c>
      <c r="I407" t="n">
        <v>0</v>
      </c>
      <c r="J407" t="n">
        <v>0</v>
      </c>
      <c r="K407" t="n">
        <v>0</v>
      </c>
      <c r="L407" t="n">
        <v>0</v>
      </c>
      <c r="M407" t="n">
        <v>0</v>
      </c>
      <c r="N407" t="n">
        <v>0</v>
      </c>
      <c r="O407" t="n">
        <v>0</v>
      </c>
      <c r="P407" t="n">
        <v>0</v>
      </c>
      <c r="Q407" t="n">
        <v>0</v>
      </c>
      <c r="R407" s="2" t="inlineStr"/>
    </row>
    <row r="408" ht="15" customHeight="1">
      <c r="A408" t="inlineStr">
        <is>
          <t>A 2152-2023</t>
        </is>
      </c>
      <c r="B408" s="1" t="n">
        <v>44941.55056712963</v>
      </c>
      <c r="C408" s="1" t="n">
        <v>45923</v>
      </c>
      <c r="D408" t="inlineStr">
        <is>
          <t>ÖREBRO LÄN</t>
        </is>
      </c>
      <c r="E408" t="inlineStr">
        <is>
          <t>ÖREBRO</t>
        </is>
      </c>
      <c r="G408" t="n">
        <v>8</v>
      </c>
      <c r="H408" t="n">
        <v>0</v>
      </c>
      <c r="I408" t="n">
        <v>0</v>
      </c>
      <c r="J408" t="n">
        <v>0</v>
      </c>
      <c r="K408" t="n">
        <v>0</v>
      </c>
      <c r="L408" t="n">
        <v>0</v>
      </c>
      <c r="M408" t="n">
        <v>0</v>
      </c>
      <c r="N408" t="n">
        <v>0</v>
      </c>
      <c r="O408" t="n">
        <v>0</v>
      </c>
      <c r="P408" t="n">
        <v>0</v>
      </c>
      <c r="Q408" t="n">
        <v>0</v>
      </c>
      <c r="R408" s="2" t="inlineStr"/>
    </row>
    <row r="409" ht="15" customHeight="1">
      <c r="A409" t="inlineStr">
        <is>
          <t>A 55745-2023</t>
        </is>
      </c>
      <c r="B409" s="1" t="n">
        <v>45239.44811342593</v>
      </c>
      <c r="C409" s="1" t="n">
        <v>45923</v>
      </c>
      <c r="D409" t="inlineStr">
        <is>
          <t>ÖREBRO LÄN</t>
        </is>
      </c>
      <c r="E409" t="inlineStr">
        <is>
          <t>ÖREBRO</t>
        </is>
      </c>
      <c r="G409" t="n">
        <v>13.3</v>
      </c>
      <c r="H409" t="n">
        <v>0</v>
      </c>
      <c r="I409" t="n">
        <v>0</v>
      </c>
      <c r="J409" t="n">
        <v>0</v>
      </c>
      <c r="K409" t="n">
        <v>0</v>
      </c>
      <c r="L409" t="n">
        <v>0</v>
      </c>
      <c r="M409" t="n">
        <v>0</v>
      </c>
      <c r="N409" t="n">
        <v>0</v>
      </c>
      <c r="O409" t="n">
        <v>0</v>
      </c>
      <c r="P409" t="n">
        <v>0</v>
      </c>
      <c r="Q409" t="n">
        <v>0</v>
      </c>
      <c r="R409" s="2" t="inlineStr"/>
    </row>
    <row r="410" ht="15" customHeight="1">
      <c r="A410" t="inlineStr">
        <is>
          <t>A 55943-2024</t>
        </is>
      </c>
      <c r="B410" s="1" t="n">
        <v>45623.61278935185</v>
      </c>
      <c r="C410" s="1" t="n">
        <v>45923</v>
      </c>
      <c r="D410" t="inlineStr">
        <is>
          <t>ÖREBRO LÄN</t>
        </is>
      </c>
      <c r="E410" t="inlineStr">
        <is>
          <t>ÖREBRO</t>
        </is>
      </c>
      <c r="G410" t="n">
        <v>4.8</v>
      </c>
      <c r="H410" t="n">
        <v>0</v>
      </c>
      <c r="I410" t="n">
        <v>0</v>
      </c>
      <c r="J410" t="n">
        <v>0</v>
      </c>
      <c r="K410" t="n">
        <v>0</v>
      </c>
      <c r="L410" t="n">
        <v>0</v>
      </c>
      <c r="M410" t="n">
        <v>0</v>
      </c>
      <c r="N410" t="n">
        <v>0</v>
      </c>
      <c r="O410" t="n">
        <v>0</v>
      </c>
      <c r="P410" t="n">
        <v>0</v>
      </c>
      <c r="Q410" t="n">
        <v>0</v>
      </c>
      <c r="R410" s="2" t="inlineStr"/>
    </row>
    <row r="411" ht="15" customHeight="1">
      <c r="A411" t="inlineStr">
        <is>
          <t>A 1013-2024</t>
        </is>
      </c>
      <c r="B411" s="1" t="n">
        <v>45301</v>
      </c>
      <c r="C411" s="1" t="n">
        <v>45923</v>
      </c>
      <c r="D411" t="inlineStr">
        <is>
          <t>ÖREBRO LÄN</t>
        </is>
      </c>
      <c r="E411" t="inlineStr">
        <is>
          <t>ÖREBRO</t>
        </is>
      </c>
      <c r="G411" t="n">
        <v>2.6</v>
      </c>
      <c r="H411" t="n">
        <v>0</v>
      </c>
      <c r="I411" t="n">
        <v>0</v>
      </c>
      <c r="J411" t="n">
        <v>0</v>
      </c>
      <c r="K411" t="n">
        <v>0</v>
      </c>
      <c r="L411" t="n">
        <v>0</v>
      </c>
      <c r="M411" t="n">
        <v>0</v>
      </c>
      <c r="N411" t="n">
        <v>0</v>
      </c>
      <c r="O411" t="n">
        <v>0</v>
      </c>
      <c r="P411" t="n">
        <v>0</v>
      </c>
      <c r="Q411" t="n">
        <v>0</v>
      </c>
      <c r="R411" s="2" t="inlineStr"/>
    </row>
    <row r="412" ht="15" customHeight="1">
      <c r="A412" t="inlineStr">
        <is>
          <t>A 13623-2024</t>
        </is>
      </c>
      <c r="B412" s="1" t="n">
        <v>45390.38626157407</v>
      </c>
      <c r="C412" s="1" t="n">
        <v>45923</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20589-2024</t>
        </is>
      </c>
      <c r="B413" s="1" t="n">
        <v>45436.42077546296</v>
      </c>
      <c r="C413" s="1" t="n">
        <v>45923</v>
      </c>
      <c r="D413" t="inlineStr">
        <is>
          <t>ÖREBRO LÄN</t>
        </is>
      </c>
      <c r="E413" t="inlineStr">
        <is>
          <t>ÖREBRO</t>
        </is>
      </c>
      <c r="G413" t="n">
        <v>3.7</v>
      </c>
      <c r="H413" t="n">
        <v>0</v>
      </c>
      <c r="I413" t="n">
        <v>0</v>
      </c>
      <c r="J413" t="n">
        <v>0</v>
      </c>
      <c r="K413" t="n">
        <v>0</v>
      </c>
      <c r="L413" t="n">
        <v>0</v>
      </c>
      <c r="M413" t="n">
        <v>0</v>
      </c>
      <c r="N413" t="n">
        <v>0</v>
      </c>
      <c r="O413" t="n">
        <v>0</v>
      </c>
      <c r="P413" t="n">
        <v>0</v>
      </c>
      <c r="Q413" t="n">
        <v>0</v>
      </c>
      <c r="R413" s="2" t="inlineStr"/>
    </row>
    <row r="414" ht="15" customHeight="1">
      <c r="A414" t="inlineStr">
        <is>
          <t>A 71285-2021</t>
        </is>
      </c>
      <c r="B414" s="1" t="n">
        <v>44539.62236111111</v>
      </c>
      <c r="C414" s="1" t="n">
        <v>45923</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5330-2024</t>
        </is>
      </c>
      <c r="B415" s="1" t="n">
        <v>45331.4187962963</v>
      </c>
      <c r="C415" s="1" t="n">
        <v>45923</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6794-2025</t>
        </is>
      </c>
      <c r="B416" s="1" t="n">
        <v>45700.66429398148</v>
      </c>
      <c r="C416" s="1" t="n">
        <v>45923</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60289-2023</t>
        </is>
      </c>
      <c r="B417" s="1" t="n">
        <v>45257</v>
      </c>
      <c r="C417" s="1" t="n">
        <v>45923</v>
      </c>
      <c r="D417" t="inlineStr">
        <is>
          <t>ÖREBRO LÄN</t>
        </is>
      </c>
      <c r="E417" t="inlineStr">
        <is>
          <t>ÖREBRO</t>
        </is>
      </c>
      <c r="G417" t="n">
        <v>10.9</v>
      </c>
      <c r="H417" t="n">
        <v>0</v>
      </c>
      <c r="I417" t="n">
        <v>0</v>
      </c>
      <c r="J417" t="n">
        <v>0</v>
      </c>
      <c r="K417" t="n">
        <v>0</v>
      </c>
      <c r="L417" t="n">
        <v>0</v>
      </c>
      <c r="M417" t="n">
        <v>0</v>
      </c>
      <c r="N417" t="n">
        <v>0</v>
      </c>
      <c r="O417" t="n">
        <v>0</v>
      </c>
      <c r="P417" t="n">
        <v>0</v>
      </c>
      <c r="Q417" t="n">
        <v>0</v>
      </c>
      <c r="R417" s="2" t="inlineStr"/>
    </row>
    <row r="418" ht="15" customHeight="1">
      <c r="A418" t="inlineStr">
        <is>
          <t>A 12099-2023</t>
        </is>
      </c>
      <c r="B418" s="1" t="n">
        <v>44998.37043981482</v>
      </c>
      <c r="C418" s="1" t="n">
        <v>45923</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58277-2022</t>
        </is>
      </c>
      <c r="B419" s="1" t="n">
        <v>44901.48108796297</v>
      </c>
      <c r="C419" s="1" t="n">
        <v>45923</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3-2024</t>
        </is>
      </c>
      <c r="B420" s="1" t="n">
        <v>45292</v>
      </c>
      <c r="C420" s="1" t="n">
        <v>45923</v>
      </c>
      <c r="D420" t="inlineStr">
        <is>
          <t>ÖREBRO LÄN</t>
        </is>
      </c>
      <c r="E420" t="inlineStr">
        <is>
          <t>ÖREBRO</t>
        </is>
      </c>
      <c r="G420" t="n">
        <v>2.7</v>
      </c>
      <c r="H420" t="n">
        <v>0</v>
      </c>
      <c r="I420" t="n">
        <v>0</v>
      </c>
      <c r="J420" t="n">
        <v>0</v>
      </c>
      <c r="K420" t="n">
        <v>0</v>
      </c>
      <c r="L420" t="n">
        <v>0</v>
      </c>
      <c r="M420" t="n">
        <v>0</v>
      </c>
      <c r="N420" t="n">
        <v>0</v>
      </c>
      <c r="O420" t="n">
        <v>0</v>
      </c>
      <c r="P420" t="n">
        <v>0</v>
      </c>
      <c r="Q420" t="n">
        <v>0</v>
      </c>
      <c r="R420" s="2" t="inlineStr"/>
    </row>
    <row r="421" ht="15" customHeight="1">
      <c r="A421" t="inlineStr">
        <is>
          <t>A 31906-2023</t>
        </is>
      </c>
      <c r="B421" s="1" t="n">
        <v>45118.8353125</v>
      </c>
      <c r="C421" s="1" t="n">
        <v>45923</v>
      </c>
      <c r="D421" t="inlineStr">
        <is>
          <t>ÖREBRO LÄN</t>
        </is>
      </c>
      <c r="E421" t="inlineStr">
        <is>
          <t>ÖREBRO</t>
        </is>
      </c>
      <c r="G421" t="n">
        <v>9</v>
      </c>
      <c r="H421" t="n">
        <v>0</v>
      </c>
      <c r="I421" t="n">
        <v>0</v>
      </c>
      <c r="J421" t="n">
        <v>0</v>
      </c>
      <c r="K421" t="n">
        <v>0</v>
      </c>
      <c r="L421" t="n">
        <v>0</v>
      </c>
      <c r="M421" t="n">
        <v>0</v>
      </c>
      <c r="N421" t="n">
        <v>0</v>
      </c>
      <c r="O421" t="n">
        <v>0</v>
      </c>
      <c r="P421" t="n">
        <v>0</v>
      </c>
      <c r="Q421" t="n">
        <v>0</v>
      </c>
      <c r="R421" s="2" t="inlineStr"/>
    </row>
    <row r="422" ht="15" customHeight="1">
      <c r="A422" t="inlineStr">
        <is>
          <t>A 5619-2023</t>
        </is>
      </c>
      <c r="B422" s="1" t="n">
        <v>44958</v>
      </c>
      <c r="C422" s="1" t="n">
        <v>45923</v>
      </c>
      <c r="D422" t="inlineStr">
        <is>
          <t>ÖREBRO LÄN</t>
        </is>
      </c>
      <c r="E422" t="inlineStr">
        <is>
          <t>ÖREBRO</t>
        </is>
      </c>
      <c r="G422" t="n">
        <v>27</v>
      </c>
      <c r="H422" t="n">
        <v>0</v>
      </c>
      <c r="I422" t="n">
        <v>0</v>
      </c>
      <c r="J422" t="n">
        <v>0</v>
      </c>
      <c r="K422" t="n">
        <v>0</v>
      </c>
      <c r="L422" t="n">
        <v>0</v>
      </c>
      <c r="M422" t="n">
        <v>0</v>
      </c>
      <c r="N422" t="n">
        <v>0</v>
      </c>
      <c r="O422" t="n">
        <v>0</v>
      </c>
      <c r="P422" t="n">
        <v>0</v>
      </c>
      <c r="Q422" t="n">
        <v>0</v>
      </c>
      <c r="R422" s="2" t="inlineStr"/>
    </row>
    <row r="423" ht="15" customHeight="1">
      <c r="A423" t="inlineStr">
        <is>
          <t>A 6387-2021</t>
        </is>
      </c>
      <c r="B423" s="1" t="n">
        <v>44235</v>
      </c>
      <c r="C423" s="1" t="n">
        <v>45923</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5578-2024</t>
        </is>
      </c>
      <c r="B424" s="1" t="n">
        <v>45334.49104166667</v>
      </c>
      <c r="C424" s="1" t="n">
        <v>45923</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10937-2024</t>
        </is>
      </c>
      <c r="B425" s="1" t="n">
        <v>45370.44461805555</v>
      </c>
      <c r="C425" s="1" t="n">
        <v>45923</v>
      </c>
      <c r="D425" t="inlineStr">
        <is>
          <t>ÖREBRO LÄN</t>
        </is>
      </c>
      <c r="E425" t="inlineStr">
        <is>
          <t>ÖREBRO</t>
        </is>
      </c>
      <c r="G425" t="n">
        <v>4.3</v>
      </c>
      <c r="H425" t="n">
        <v>0</v>
      </c>
      <c r="I425" t="n">
        <v>0</v>
      </c>
      <c r="J425" t="n">
        <v>0</v>
      </c>
      <c r="K425" t="n">
        <v>0</v>
      </c>
      <c r="L425" t="n">
        <v>0</v>
      </c>
      <c r="M425" t="n">
        <v>0</v>
      </c>
      <c r="N425" t="n">
        <v>0</v>
      </c>
      <c r="O425" t="n">
        <v>0</v>
      </c>
      <c r="P425" t="n">
        <v>0</v>
      </c>
      <c r="Q425" t="n">
        <v>0</v>
      </c>
      <c r="R425" s="2" t="inlineStr"/>
    </row>
    <row r="426" ht="15" customHeight="1">
      <c r="A426" t="inlineStr">
        <is>
          <t>A 22079-2023</t>
        </is>
      </c>
      <c r="B426" s="1" t="n">
        <v>45069</v>
      </c>
      <c r="C426" s="1" t="n">
        <v>45923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52447-2024</t>
        </is>
      </c>
      <c r="B427" s="1" t="n">
        <v>45609.49157407408</v>
      </c>
      <c r="C427" s="1" t="n">
        <v>45923</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46050-2024</t>
        </is>
      </c>
      <c r="B428" s="1" t="n">
        <v>45580.88078703704</v>
      </c>
      <c r="C428" s="1" t="n">
        <v>45923</v>
      </c>
      <c r="D428" t="inlineStr">
        <is>
          <t>ÖREBRO LÄN</t>
        </is>
      </c>
      <c r="E428" t="inlineStr">
        <is>
          <t>ÖREBRO</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37786-2024</t>
        </is>
      </c>
      <c r="B429" s="1" t="n">
        <v>45542.82987268519</v>
      </c>
      <c r="C429" s="1" t="n">
        <v>45923</v>
      </c>
      <c r="D429" t="inlineStr">
        <is>
          <t>ÖREBRO LÄN</t>
        </is>
      </c>
      <c r="E429" t="inlineStr">
        <is>
          <t>ÖREBRO</t>
        </is>
      </c>
      <c r="G429" t="n">
        <v>3.1</v>
      </c>
      <c r="H429" t="n">
        <v>0</v>
      </c>
      <c r="I429" t="n">
        <v>0</v>
      </c>
      <c r="J429" t="n">
        <v>0</v>
      </c>
      <c r="K429" t="n">
        <v>0</v>
      </c>
      <c r="L429" t="n">
        <v>0</v>
      </c>
      <c r="M429" t="n">
        <v>0</v>
      </c>
      <c r="N429" t="n">
        <v>0</v>
      </c>
      <c r="O429" t="n">
        <v>0</v>
      </c>
      <c r="P429" t="n">
        <v>0</v>
      </c>
      <c r="Q429" t="n">
        <v>0</v>
      </c>
      <c r="R429" s="2" t="inlineStr"/>
    </row>
    <row r="430" ht="15" customHeight="1">
      <c r="A430" t="inlineStr">
        <is>
          <t>A 3841-2023</t>
        </is>
      </c>
      <c r="B430" s="1" t="n">
        <v>44951</v>
      </c>
      <c r="C430" s="1" t="n">
        <v>45923</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58615-2024</t>
        </is>
      </c>
      <c r="B431" s="1" t="n">
        <v>45635.5587037037</v>
      </c>
      <c r="C431" s="1" t="n">
        <v>45923</v>
      </c>
      <c r="D431" t="inlineStr">
        <is>
          <t>ÖREBRO LÄN</t>
        </is>
      </c>
      <c r="E431" t="inlineStr">
        <is>
          <t>ÖREBRO</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45517-2023</t>
        </is>
      </c>
      <c r="B432" s="1" t="n">
        <v>45194.49594907407</v>
      </c>
      <c r="C432" s="1" t="n">
        <v>45923</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3652-2022</t>
        </is>
      </c>
      <c r="B433" s="1" t="n">
        <v>44586.46921296296</v>
      </c>
      <c r="C433" s="1" t="n">
        <v>45923</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25407-2021</t>
        </is>
      </c>
      <c r="B434" s="1" t="n">
        <v>44342</v>
      </c>
      <c r="C434" s="1" t="n">
        <v>45923</v>
      </c>
      <c r="D434" t="inlineStr">
        <is>
          <t>ÖREBRO LÄN</t>
        </is>
      </c>
      <c r="E434" t="inlineStr">
        <is>
          <t>ÖREBRO</t>
        </is>
      </c>
      <c r="F434" t="inlineStr">
        <is>
          <t>Kommuner</t>
        </is>
      </c>
      <c r="G434" t="n">
        <v>7.2</v>
      </c>
      <c r="H434" t="n">
        <v>0</v>
      </c>
      <c r="I434" t="n">
        <v>0</v>
      </c>
      <c r="J434" t="n">
        <v>0</v>
      </c>
      <c r="K434" t="n">
        <v>0</v>
      </c>
      <c r="L434" t="n">
        <v>0</v>
      </c>
      <c r="M434" t="n">
        <v>0</v>
      </c>
      <c r="N434" t="n">
        <v>0</v>
      </c>
      <c r="O434" t="n">
        <v>0</v>
      </c>
      <c r="P434" t="n">
        <v>0</v>
      </c>
      <c r="Q434" t="n">
        <v>0</v>
      </c>
      <c r="R434" s="2" t="inlineStr"/>
    </row>
    <row r="435" ht="15" customHeight="1">
      <c r="A435" t="inlineStr">
        <is>
          <t>A 12245-2023</t>
        </is>
      </c>
      <c r="B435" s="1" t="n">
        <v>44998.64402777778</v>
      </c>
      <c r="C435" s="1" t="n">
        <v>45923</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7134-2025</t>
        </is>
      </c>
      <c r="B436" s="1" t="n">
        <v>45702</v>
      </c>
      <c r="C436" s="1" t="n">
        <v>45923</v>
      </c>
      <c r="D436" t="inlineStr">
        <is>
          <t>ÖREBRO LÄN</t>
        </is>
      </c>
      <c r="E436" t="inlineStr">
        <is>
          <t>ÖREBRO</t>
        </is>
      </c>
      <c r="F436" t="inlineStr">
        <is>
          <t>Övriga Aktiebolag</t>
        </is>
      </c>
      <c r="G436" t="n">
        <v>2.1</v>
      </c>
      <c r="H436" t="n">
        <v>0</v>
      </c>
      <c r="I436" t="n">
        <v>0</v>
      </c>
      <c r="J436" t="n">
        <v>0</v>
      </c>
      <c r="K436" t="n">
        <v>0</v>
      </c>
      <c r="L436" t="n">
        <v>0</v>
      </c>
      <c r="M436" t="n">
        <v>0</v>
      </c>
      <c r="N436" t="n">
        <v>0</v>
      </c>
      <c r="O436" t="n">
        <v>0</v>
      </c>
      <c r="P436" t="n">
        <v>0</v>
      </c>
      <c r="Q436" t="n">
        <v>0</v>
      </c>
      <c r="R436" s="2" t="inlineStr"/>
    </row>
    <row r="437" ht="15" customHeight="1">
      <c r="A437" t="inlineStr">
        <is>
          <t>A 60506-2024</t>
        </is>
      </c>
      <c r="B437" s="1" t="n">
        <v>45643.66630787037</v>
      </c>
      <c r="C437" s="1" t="n">
        <v>45923</v>
      </c>
      <c r="D437" t="inlineStr">
        <is>
          <t>ÖREBRO LÄN</t>
        </is>
      </c>
      <c r="E437" t="inlineStr">
        <is>
          <t>ÖREBRO</t>
        </is>
      </c>
      <c r="G437" t="n">
        <v>5.8</v>
      </c>
      <c r="H437" t="n">
        <v>0</v>
      </c>
      <c r="I437" t="n">
        <v>0</v>
      </c>
      <c r="J437" t="n">
        <v>0</v>
      </c>
      <c r="K437" t="n">
        <v>0</v>
      </c>
      <c r="L437" t="n">
        <v>0</v>
      </c>
      <c r="M437" t="n">
        <v>0</v>
      </c>
      <c r="N437" t="n">
        <v>0</v>
      </c>
      <c r="O437" t="n">
        <v>0</v>
      </c>
      <c r="P437" t="n">
        <v>0</v>
      </c>
      <c r="Q437" t="n">
        <v>0</v>
      </c>
      <c r="R437" s="2" t="inlineStr"/>
    </row>
    <row r="438" ht="15" customHeight="1">
      <c r="A438" t="inlineStr">
        <is>
          <t>A 38489-2023</t>
        </is>
      </c>
      <c r="B438" s="1" t="n">
        <v>45162</v>
      </c>
      <c r="C438" s="1" t="n">
        <v>45923</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70719-2021</t>
        </is>
      </c>
      <c r="B439" s="1" t="n">
        <v>44537</v>
      </c>
      <c r="C439" s="1" t="n">
        <v>45923</v>
      </c>
      <c r="D439" t="inlineStr">
        <is>
          <t>ÖREBRO LÄN</t>
        </is>
      </c>
      <c r="E439" t="inlineStr">
        <is>
          <t>ÖREBRO</t>
        </is>
      </c>
      <c r="G439" t="n">
        <v>4.3</v>
      </c>
      <c r="H439" t="n">
        <v>0</v>
      </c>
      <c r="I439" t="n">
        <v>0</v>
      </c>
      <c r="J439" t="n">
        <v>0</v>
      </c>
      <c r="K439" t="n">
        <v>0</v>
      </c>
      <c r="L439" t="n">
        <v>0</v>
      </c>
      <c r="M439" t="n">
        <v>0</v>
      </c>
      <c r="N439" t="n">
        <v>0</v>
      </c>
      <c r="O439" t="n">
        <v>0</v>
      </c>
      <c r="P439" t="n">
        <v>0</v>
      </c>
      <c r="Q439" t="n">
        <v>0</v>
      </c>
      <c r="R439" s="2" t="inlineStr"/>
    </row>
    <row r="440" ht="15" customHeight="1">
      <c r="A440" t="inlineStr">
        <is>
          <t>A 38573-2023</t>
        </is>
      </c>
      <c r="B440" s="1" t="n">
        <v>45162.61837962963</v>
      </c>
      <c r="C440" s="1" t="n">
        <v>45923</v>
      </c>
      <c r="D440" t="inlineStr">
        <is>
          <t>ÖREBRO LÄN</t>
        </is>
      </c>
      <c r="E440" t="inlineStr">
        <is>
          <t>ÖREBRO</t>
        </is>
      </c>
      <c r="G440" t="n">
        <v>2.2</v>
      </c>
      <c r="H440" t="n">
        <v>0</v>
      </c>
      <c r="I440" t="n">
        <v>0</v>
      </c>
      <c r="J440" t="n">
        <v>0</v>
      </c>
      <c r="K440" t="n">
        <v>0</v>
      </c>
      <c r="L440" t="n">
        <v>0</v>
      </c>
      <c r="M440" t="n">
        <v>0</v>
      </c>
      <c r="N440" t="n">
        <v>0</v>
      </c>
      <c r="O440" t="n">
        <v>0</v>
      </c>
      <c r="P440" t="n">
        <v>0</v>
      </c>
      <c r="Q440" t="n">
        <v>0</v>
      </c>
      <c r="R440" s="2" t="inlineStr"/>
    </row>
    <row r="441" ht="15" customHeight="1">
      <c r="A441" t="inlineStr">
        <is>
          <t>A 4757-2024</t>
        </is>
      </c>
      <c r="B441" s="1" t="n">
        <v>45328</v>
      </c>
      <c r="C441" s="1" t="n">
        <v>45923</v>
      </c>
      <c r="D441" t="inlineStr">
        <is>
          <t>ÖREBRO LÄN</t>
        </is>
      </c>
      <c r="E441" t="inlineStr">
        <is>
          <t>ÖREBRO</t>
        </is>
      </c>
      <c r="G441" t="n">
        <v>1.9</v>
      </c>
      <c r="H441" t="n">
        <v>0</v>
      </c>
      <c r="I441" t="n">
        <v>0</v>
      </c>
      <c r="J441" t="n">
        <v>0</v>
      </c>
      <c r="K441" t="n">
        <v>0</v>
      </c>
      <c r="L441" t="n">
        <v>0</v>
      </c>
      <c r="M441" t="n">
        <v>0</v>
      </c>
      <c r="N441" t="n">
        <v>0</v>
      </c>
      <c r="O441" t="n">
        <v>0</v>
      </c>
      <c r="P441" t="n">
        <v>0</v>
      </c>
      <c r="Q441" t="n">
        <v>0</v>
      </c>
      <c r="R441" s="2" t="inlineStr"/>
    </row>
    <row r="442" ht="15" customHeight="1">
      <c r="A442" t="inlineStr">
        <is>
          <t>A 29978-2024</t>
        </is>
      </c>
      <c r="B442" s="1" t="n">
        <v>45488.48340277778</v>
      </c>
      <c r="C442" s="1" t="n">
        <v>45923</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30903-2024</t>
        </is>
      </c>
      <c r="B443" s="1" t="n">
        <v>45498.49946759259</v>
      </c>
      <c r="C443" s="1" t="n">
        <v>45923</v>
      </c>
      <c r="D443" t="inlineStr">
        <is>
          <t>ÖREBRO LÄN</t>
        </is>
      </c>
      <c r="E443" t="inlineStr">
        <is>
          <t>ÖREBRO</t>
        </is>
      </c>
      <c r="G443" t="n">
        <v>1.1</v>
      </c>
      <c r="H443" t="n">
        <v>0</v>
      </c>
      <c r="I443" t="n">
        <v>0</v>
      </c>
      <c r="J443" t="n">
        <v>0</v>
      </c>
      <c r="K443" t="n">
        <v>0</v>
      </c>
      <c r="L443" t="n">
        <v>0</v>
      </c>
      <c r="M443" t="n">
        <v>0</v>
      </c>
      <c r="N443" t="n">
        <v>0</v>
      </c>
      <c r="O443" t="n">
        <v>0</v>
      </c>
      <c r="P443" t="n">
        <v>0</v>
      </c>
      <c r="Q443" t="n">
        <v>0</v>
      </c>
      <c r="R443" s="2" t="inlineStr"/>
    </row>
    <row r="444" ht="15" customHeight="1">
      <c r="A444" t="inlineStr">
        <is>
          <t>A 58611-2024</t>
        </is>
      </c>
      <c r="B444" s="1" t="n">
        <v>45635.55555555555</v>
      </c>
      <c r="C444" s="1" t="n">
        <v>45923</v>
      </c>
      <c r="D444" t="inlineStr">
        <is>
          <t>ÖREBRO LÄN</t>
        </is>
      </c>
      <c r="E444" t="inlineStr">
        <is>
          <t>ÖREBRO</t>
        </is>
      </c>
      <c r="F444" t="inlineStr">
        <is>
          <t>Sveaskog</t>
        </is>
      </c>
      <c r="G444" t="n">
        <v>0.3</v>
      </c>
      <c r="H444" t="n">
        <v>0</v>
      </c>
      <c r="I444" t="n">
        <v>0</v>
      </c>
      <c r="J444" t="n">
        <v>0</v>
      </c>
      <c r="K444" t="n">
        <v>0</v>
      </c>
      <c r="L444" t="n">
        <v>0</v>
      </c>
      <c r="M444" t="n">
        <v>0</v>
      </c>
      <c r="N444" t="n">
        <v>0</v>
      </c>
      <c r="O444" t="n">
        <v>0</v>
      </c>
      <c r="P444" t="n">
        <v>0</v>
      </c>
      <c r="Q444" t="n">
        <v>0</v>
      </c>
      <c r="R444" s="2" t="inlineStr"/>
    </row>
    <row r="445" ht="15" customHeight="1">
      <c r="A445" t="inlineStr">
        <is>
          <t>A 48140-2024</t>
        </is>
      </c>
      <c r="B445" s="1" t="n">
        <v>45589.66474537037</v>
      </c>
      <c r="C445" s="1" t="n">
        <v>45923</v>
      </c>
      <c r="D445" t="inlineStr">
        <is>
          <t>ÖREBRO LÄN</t>
        </is>
      </c>
      <c r="E445" t="inlineStr">
        <is>
          <t>ÖREBRO</t>
        </is>
      </c>
      <c r="G445" t="n">
        <v>2.4</v>
      </c>
      <c r="H445" t="n">
        <v>0</v>
      </c>
      <c r="I445" t="n">
        <v>0</v>
      </c>
      <c r="J445" t="n">
        <v>0</v>
      </c>
      <c r="K445" t="n">
        <v>0</v>
      </c>
      <c r="L445" t="n">
        <v>0</v>
      </c>
      <c r="M445" t="n">
        <v>0</v>
      </c>
      <c r="N445" t="n">
        <v>0</v>
      </c>
      <c r="O445" t="n">
        <v>0</v>
      </c>
      <c r="P445" t="n">
        <v>0</v>
      </c>
      <c r="Q445" t="n">
        <v>0</v>
      </c>
      <c r="R445" s="2" t="inlineStr"/>
    </row>
    <row r="446" ht="15" customHeight="1">
      <c r="A446" t="inlineStr">
        <is>
          <t>A 2658-2023</t>
        </is>
      </c>
      <c r="B446" s="1" t="n">
        <v>44944</v>
      </c>
      <c r="C446" s="1" t="n">
        <v>45923</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46323-2024</t>
        </is>
      </c>
      <c r="B447" s="1" t="n">
        <v>45581.84538194445</v>
      </c>
      <c r="C447" s="1" t="n">
        <v>45923</v>
      </c>
      <c r="D447" t="inlineStr">
        <is>
          <t>ÖREBRO LÄN</t>
        </is>
      </c>
      <c r="E447" t="inlineStr">
        <is>
          <t>ÖREBRO</t>
        </is>
      </c>
      <c r="F447" t="inlineStr">
        <is>
          <t>Övriga Aktiebolag</t>
        </is>
      </c>
      <c r="G447" t="n">
        <v>1.4</v>
      </c>
      <c r="H447" t="n">
        <v>0</v>
      </c>
      <c r="I447" t="n">
        <v>0</v>
      </c>
      <c r="J447" t="n">
        <v>0</v>
      </c>
      <c r="K447" t="n">
        <v>0</v>
      </c>
      <c r="L447" t="n">
        <v>0</v>
      </c>
      <c r="M447" t="n">
        <v>0</v>
      </c>
      <c r="N447" t="n">
        <v>0</v>
      </c>
      <c r="O447" t="n">
        <v>0</v>
      </c>
      <c r="P447" t="n">
        <v>0</v>
      </c>
      <c r="Q447" t="n">
        <v>0</v>
      </c>
      <c r="R447" s="2" t="inlineStr"/>
    </row>
    <row r="448" ht="15" customHeight="1">
      <c r="A448" t="inlineStr">
        <is>
          <t>A 11565-2023</t>
        </is>
      </c>
      <c r="B448" s="1" t="n">
        <v>44994</v>
      </c>
      <c r="C448" s="1" t="n">
        <v>45923</v>
      </c>
      <c r="D448" t="inlineStr">
        <is>
          <t>ÖREBRO LÄN</t>
        </is>
      </c>
      <c r="E448" t="inlineStr">
        <is>
          <t>ÖREBRO</t>
        </is>
      </c>
      <c r="G448" t="n">
        <v>4.7</v>
      </c>
      <c r="H448" t="n">
        <v>0</v>
      </c>
      <c r="I448" t="n">
        <v>0</v>
      </c>
      <c r="J448" t="n">
        <v>0</v>
      </c>
      <c r="K448" t="n">
        <v>0</v>
      </c>
      <c r="L448" t="n">
        <v>0</v>
      </c>
      <c r="M448" t="n">
        <v>0</v>
      </c>
      <c r="N448" t="n">
        <v>0</v>
      </c>
      <c r="O448" t="n">
        <v>0</v>
      </c>
      <c r="P448" t="n">
        <v>0</v>
      </c>
      <c r="Q448" t="n">
        <v>0</v>
      </c>
      <c r="R448" s="2" t="inlineStr"/>
    </row>
    <row r="449" ht="15" customHeight="1">
      <c r="A449" t="inlineStr">
        <is>
          <t>A 20146-2024</t>
        </is>
      </c>
      <c r="B449" s="1" t="n">
        <v>45434.57641203704</v>
      </c>
      <c r="C449" s="1" t="n">
        <v>45923</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53143-2023</t>
        </is>
      </c>
      <c r="B450" s="1" t="n">
        <v>45229</v>
      </c>
      <c r="C450" s="1" t="n">
        <v>45923</v>
      </c>
      <c r="D450" t="inlineStr">
        <is>
          <t>ÖREBRO LÄN</t>
        </is>
      </c>
      <c r="E450" t="inlineStr">
        <is>
          <t>ÖREBRO</t>
        </is>
      </c>
      <c r="G450" t="n">
        <v>3.3</v>
      </c>
      <c r="H450" t="n">
        <v>0</v>
      </c>
      <c r="I450" t="n">
        <v>0</v>
      </c>
      <c r="J450" t="n">
        <v>0</v>
      </c>
      <c r="K450" t="n">
        <v>0</v>
      </c>
      <c r="L450" t="n">
        <v>0</v>
      </c>
      <c r="M450" t="n">
        <v>0</v>
      </c>
      <c r="N450" t="n">
        <v>0</v>
      </c>
      <c r="O450" t="n">
        <v>0</v>
      </c>
      <c r="P450" t="n">
        <v>0</v>
      </c>
      <c r="Q450" t="n">
        <v>0</v>
      </c>
      <c r="R450" s="2" t="inlineStr"/>
    </row>
    <row r="451" ht="15" customHeight="1">
      <c r="A451" t="inlineStr">
        <is>
          <t>A 16736-2023</t>
        </is>
      </c>
      <c r="B451" s="1" t="n">
        <v>45030.72328703704</v>
      </c>
      <c r="C451" s="1" t="n">
        <v>45923</v>
      </c>
      <c r="D451" t="inlineStr">
        <is>
          <t>ÖREBRO LÄN</t>
        </is>
      </c>
      <c r="E451" t="inlineStr">
        <is>
          <t>ÖREBRO</t>
        </is>
      </c>
      <c r="G451" t="n">
        <v>4</v>
      </c>
      <c r="H451" t="n">
        <v>0</v>
      </c>
      <c r="I451" t="n">
        <v>0</v>
      </c>
      <c r="J451" t="n">
        <v>0</v>
      </c>
      <c r="K451" t="n">
        <v>0</v>
      </c>
      <c r="L451" t="n">
        <v>0</v>
      </c>
      <c r="M451" t="n">
        <v>0</v>
      </c>
      <c r="N451" t="n">
        <v>0</v>
      </c>
      <c r="O451" t="n">
        <v>0</v>
      </c>
      <c r="P451" t="n">
        <v>0</v>
      </c>
      <c r="Q451" t="n">
        <v>0</v>
      </c>
      <c r="R451" s="2" t="inlineStr"/>
    </row>
    <row r="452" ht="15" customHeight="1">
      <c r="A452" t="inlineStr">
        <is>
          <t>A 2630-2023</t>
        </is>
      </c>
      <c r="B452" s="1" t="n">
        <v>44944.39105324074</v>
      </c>
      <c r="C452" s="1" t="n">
        <v>45923</v>
      </c>
      <c r="D452" t="inlineStr">
        <is>
          <t>ÖREBRO LÄN</t>
        </is>
      </c>
      <c r="E452" t="inlineStr">
        <is>
          <t>ÖREBRO</t>
        </is>
      </c>
      <c r="G452" t="n">
        <v>6.1</v>
      </c>
      <c r="H452" t="n">
        <v>0</v>
      </c>
      <c r="I452" t="n">
        <v>0</v>
      </c>
      <c r="J452" t="n">
        <v>0</v>
      </c>
      <c r="K452" t="n">
        <v>0</v>
      </c>
      <c r="L452" t="n">
        <v>0</v>
      </c>
      <c r="M452" t="n">
        <v>0</v>
      </c>
      <c r="N452" t="n">
        <v>0</v>
      </c>
      <c r="O452" t="n">
        <v>0</v>
      </c>
      <c r="P452" t="n">
        <v>0</v>
      </c>
      <c r="Q452" t="n">
        <v>0</v>
      </c>
      <c r="R452" s="2" t="inlineStr"/>
    </row>
    <row r="453" ht="15" customHeight="1">
      <c r="A453" t="inlineStr">
        <is>
          <t>A 8656-2025</t>
        </is>
      </c>
      <c r="B453" s="1" t="n">
        <v>45712.38268518518</v>
      </c>
      <c r="C453" s="1" t="n">
        <v>45923</v>
      </c>
      <c r="D453" t="inlineStr">
        <is>
          <t>ÖREBRO LÄN</t>
        </is>
      </c>
      <c r="E453" t="inlineStr">
        <is>
          <t>ÖREBRO</t>
        </is>
      </c>
      <c r="G453" t="n">
        <v>2.7</v>
      </c>
      <c r="H453" t="n">
        <v>0</v>
      </c>
      <c r="I453" t="n">
        <v>0</v>
      </c>
      <c r="J453" t="n">
        <v>0</v>
      </c>
      <c r="K453" t="n">
        <v>0</v>
      </c>
      <c r="L453" t="n">
        <v>0</v>
      </c>
      <c r="M453" t="n">
        <v>0</v>
      </c>
      <c r="N453" t="n">
        <v>0</v>
      </c>
      <c r="O453" t="n">
        <v>0</v>
      </c>
      <c r="P453" t="n">
        <v>0</v>
      </c>
      <c r="Q453" t="n">
        <v>0</v>
      </c>
      <c r="R453" s="2" t="inlineStr"/>
    </row>
    <row r="454" ht="15" customHeight="1">
      <c r="A454" t="inlineStr">
        <is>
          <t>A 5762-2025</t>
        </is>
      </c>
      <c r="B454" s="1" t="n">
        <v>45694.57181712963</v>
      </c>
      <c r="C454" s="1" t="n">
        <v>45923</v>
      </c>
      <c r="D454" t="inlineStr">
        <is>
          <t>ÖREBRO LÄN</t>
        </is>
      </c>
      <c r="E454" t="inlineStr">
        <is>
          <t>ÖREBRO</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30015-2023</t>
        </is>
      </c>
      <c r="B455" s="1" t="n">
        <v>45109</v>
      </c>
      <c r="C455" s="1" t="n">
        <v>45923</v>
      </c>
      <c r="D455" t="inlineStr">
        <is>
          <t>ÖREBRO LÄN</t>
        </is>
      </c>
      <c r="E455" t="inlineStr">
        <is>
          <t>ÖREBRO</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37968-2024</t>
        </is>
      </c>
      <c r="B456" s="1" t="n">
        <v>45544</v>
      </c>
      <c r="C456" s="1" t="n">
        <v>45923</v>
      </c>
      <c r="D456" t="inlineStr">
        <is>
          <t>ÖREBRO LÄN</t>
        </is>
      </c>
      <c r="E456" t="inlineStr">
        <is>
          <t>ÖREBRO</t>
        </is>
      </c>
      <c r="G456" t="n">
        <v>2</v>
      </c>
      <c r="H456" t="n">
        <v>0</v>
      </c>
      <c r="I456" t="n">
        <v>0</v>
      </c>
      <c r="J456" t="n">
        <v>0</v>
      </c>
      <c r="K456" t="n">
        <v>0</v>
      </c>
      <c r="L456" t="n">
        <v>0</v>
      </c>
      <c r="M456" t="n">
        <v>0</v>
      </c>
      <c r="N456" t="n">
        <v>0</v>
      </c>
      <c r="O456" t="n">
        <v>0</v>
      </c>
      <c r="P456" t="n">
        <v>0</v>
      </c>
      <c r="Q456" t="n">
        <v>0</v>
      </c>
      <c r="R456" s="2" t="inlineStr"/>
    </row>
    <row r="457" ht="15" customHeight="1">
      <c r="A457" t="inlineStr">
        <is>
          <t>A 31326-2024</t>
        </is>
      </c>
      <c r="B457" s="1" t="n">
        <v>45504.5934375</v>
      </c>
      <c r="C457" s="1" t="n">
        <v>45923</v>
      </c>
      <c r="D457" t="inlineStr">
        <is>
          <t>ÖREBRO LÄN</t>
        </is>
      </c>
      <c r="E457" t="inlineStr">
        <is>
          <t>ÖREBRO</t>
        </is>
      </c>
      <c r="G457" t="n">
        <v>6.4</v>
      </c>
      <c r="H457" t="n">
        <v>0</v>
      </c>
      <c r="I457" t="n">
        <v>0</v>
      </c>
      <c r="J457" t="n">
        <v>0</v>
      </c>
      <c r="K457" t="n">
        <v>0</v>
      </c>
      <c r="L457" t="n">
        <v>0</v>
      </c>
      <c r="M457" t="n">
        <v>0</v>
      </c>
      <c r="N457" t="n">
        <v>0</v>
      </c>
      <c r="O457" t="n">
        <v>0</v>
      </c>
      <c r="P457" t="n">
        <v>0</v>
      </c>
      <c r="Q457" t="n">
        <v>0</v>
      </c>
      <c r="R457" s="2" t="inlineStr"/>
    </row>
    <row r="458" ht="15" customHeight="1">
      <c r="A458" t="inlineStr">
        <is>
          <t>A 62794-2021</t>
        </is>
      </c>
      <c r="B458" s="1" t="n">
        <v>44504</v>
      </c>
      <c r="C458" s="1" t="n">
        <v>45923</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52612-2024</t>
        </is>
      </c>
      <c r="B459" s="1" t="n">
        <v>45609</v>
      </c>
      <c r="C459" s="1" t="n">
        <v>45923</v>
      </c>
      <c r="D459" t="inlineStr">
        <is>
          <t>ÖREBRO LÄN</t>
        </is>
      </c>
      <c r="E459" t="inlineStr">
        <is>
          <t>ÖREBRO</t>
        </is>
      </c>
      <c r="F459" t="inlineStr">
        <is>
          <t>Kommuner</t>
        </is>
      </c>
      <c r="G459" t="n">
        <v>5.5</v>
      </c>
      <c r="H459" t="n">
        <v>0</v>
      </c>
      <c r="I459" t="n">
        <v>0</v>
      </c>
      <c r="J459" t="n">
        <v>0</v>
      </c>
      <c r="K459" t="n">
        <v>0</v>
      </c>
      <c r="L459" t="n">
        <v>0</v>
      </c>
      <c r="M459" t="n">
        <v>0</v>
      </c>
      <c r="N459" t="n">
        <v>0</v>
      </c>
      <c r="O459" t="n">
        <v>0</v>
      </c>
      <c r="P459" t="n">
        <v>0</v>
      </c>
      <c r="Q459" t="n">
        <v>0</v>
      </c>
      <c r="R459" s="2" t="inlineStr"/>
    </row>
    <row r="460" ht="15" customHeight="1">
      <c r="A460" t="inlineStr">
        <is>
          <t>A 5795-2024</t>
        </is>
      </c>
      <c r="B460" s="1" t="n">
        <v>45335.4531712963</v>
      </c>
      <c r="C460" s="1" t="n">
        <v>45923</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37771-2024</t>
        </is>
      </c>
      <c r="B461" s="1" t="n">
        <v>45542.31359953704</v>
      </c>
      <c r="C461" s="1" t="n">
        <v>45923</v>
      </c>
      <c r="D461" t="inlineStr">
        <is>
          <t>ÖREBRO LÄN</t>
        </is>
      </c>
      <c r="E461" t="inlineStr">
        <is>
          <t>ÖREBRO</t>
        </is>
      </c>
      <c r="G461" t="n">
        <v>1.8</v>
      </c>
      <c r="H461" t="n">
        <v>0</v>
      </c>
      <c r="I461" t="n">
        <v>0</v>
      </c>
      <c r="J461" t="n">
        <v>0</v>
      </c>
      <c r="K461" t="n">
        <v>0</v>
      </c>
      <c r="L461" t="n">
        <v>0</v>
      </c>
      <c r="M461" t="n">
        <v>0</v>
      </c>
      <c r="N461" t="n">
        <v>0</v>
      </c>
      <c r="O461" t="n">
        <v>0</v>
      </c>
      <c r="P461" t="n">
        <v>0</v>
      </c>
      <c r="Q461" t="n">
        <v>0</v>
      </c>
      <c r="R461" s="2" t="inlineStr"/>
    </row>
    <row r="462" ht="15" customHeight="1">
      <c r="A462" t="inlineStr">
        <is>
          <t>A 15652-2025</t>
        </is>
      </c>
      <c r="B462" s="1" t="n">
        <v>45748</v>
      </c>
      <c r="C462" s="1" t="n">
        <v>45923</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2076-2025</t>
        </is>
      </c>
      <c r="B463" s="1" t="n">
        <v>45672</v>
      </c>
      <c r="C463" s="1" t="n">
        <v>45923</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14960-2025</t>
        </is>
      </c>
      <c r="B464" s="1" t="n">
        <v>45743.5853125</v>
      </c>
      <c r="C464" s="1" t="n">
        <v>45923</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60022-2024</t>
        </is>
      </c>
      <c r="B465" s="1" t="n">
        <v>45642</v>
      </c>
      <c r="C465" s="1" t="n">
        <v>45923</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21097-2025</t>
        </is>
      </c>
      <c r="B466" s="1" t="n">
        <v>45777.63863425926</v>
      </c>
      <c r="C466" s="1" t="n">
        <v>45923</v>
      </c>
      <c r="D466" t="inlineStr">
        <is>
          <t>ÖREBRO LÄN</t>
        </is>
      </c>
      <c r="E466" t="inlineStr">
        <is>
          <t>ÖREBRO</t>
        </is>
      </c>
      <c r="G466" t="n">
        <v>2.1</v>
      </c>
      <c r="H466" t="n">
        <v>0</v>
      </c>
      <c r="I466" t="n">
        <v>0</v>
      </c>
      <c r="J466" t="n">
        <v>0</v>
      </c>
      <c r="K466" t="n">
        <v>0</v>
      </c>
      <c r="L466" t="n">
        <v>0</v>
      </c>
      <c r="M466" t="n">
        <v>0</v>
      </c>
      <c r="N466" t="n">
        <v>0</v>
      </c>
      <c r="O466" t="n">
        <v>0</v>
      </c>
      <c r="P466" t="n">
        <v>0</v>
      </c>
      <c r="Q466" t="n">
        <v>0</v>
      </c>
      <c r="R466" s="2" t="inlineStr"/>
    </row>
    <row r="467" ht="15" customHeight="1">
      <c r="A467" t="inlineStr">
        <is>
          <t>A 22045-2024</t>
        </is>
      </c>
      <c r="B467" s="1" t="n">
        <v>45443.61171296296</v>
      </c>
      <c r="C467" s="1" t="n">
        <v>45923</v>
      </c>
      <c r="D467" t="inlineStr">
        <is>
          <t>ÖREBRO LÄN</t>
        </is>
      </c>
      <c r="E467" t="inlineStr">
        <is>
          <t>ÖREBRO</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58684-2023</t>
        </is>
      </c>
      <c r="B468" s="1" t="n">
        <v>45251</v>
      </c>
      <c r="C468" s="1" t="n">
        <v>45923</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35819-2024</t>
        </is>
      </c>
      <c r="B469" s="1" t="n">
        <v>45532</v>
      </c>
      <c r="C469" s="1" t="n">
        <v>45923</v>
      </c>
      <c r="D469" t="inlineStr">
        <is>
          <t>ÖREBRO LÄN</t>
        </is>
      </c>
      <c r="E469" t="inlineStr">
        <is>
          <t>ÖREBRO</t>
        </is>
      </c>
      <c r="G469" t="n">
        <v>6.4</v>
      </c>
      <c r="H469" t="n">
        <v>0</v>
      </c>
      <c r="I469" t="n">
        <v>0</v>
      </c>
      <c r="J469" t="n">
        <v>0</v>
      </c>
      <c r="K469" t="n">
        <v>0</v>
      </c>
      <c r="L469" t="n">
        <v>0</v>
      </c>
      <c r="M469" t="n">
        <v>0</v>
      </c>
      <c r="N469" t="n">
        <v>0</v>
      </c>
      <c r="O469" t="n">
        <v>0</v>
      </c>
      <c r="P469" t="n">
        <v>0</v>
      </c>
      <c r="Q469" t="n">
        <v>0</v>
      </c>
      <c r="R469" s="2" t="inlineStr"/>
    </row>
    <row r="470" ht="15" customHeight="1">
      <c r="A470" t="inlineStr">
        <is>
          <t>A 32076-2023</t>
        </is>
      </c>
      <c r="B470" s="1" t="n">
        <v>45119.58324074074</v>
      </c>
      <c r="C470" s="1" t="n">
        <v>45923</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38898-2023</t>
        </is>
      </c>
      <c r="B471" s="1" t="n">
        <v>45163</v>
      </c>
      <c r="C471" s="1" t="n">
        <v>45923</v>
      </c>
      <c r="D471" t="inlineStr">
        <is>
          <t>ÖREBRO LÄN</t>
        </is>
      </c>
      <c r="E471" t="inlineStr">
        <is>
          <t>ÖREBRO</t>
        </is>
      </c>
      <c r="G471" t="n">
        <v>5.1</v>
      </c>
      <c r="H471" t="n">
        <v>0</v>
      </c>
      <c r="I471" t="n">
        <v>0</v>
      </c>
      <c r="J471" t="n">
        <v>0</v>
      </c>
      <c r="K471" t="n">
        <v>0</v>
      </c>
      <c r="L471" t="n">
        <v>0</v>
      </c>
      <c r="M471" t="n">
        <v>0</v>
      </c>
      <c r="N471" t="n">
        <v>0</v>
      </c>
      <c r="O471" t="n">
        <v>0</v>
      </c>
      <c r="P471" t="n">
        <v>0</v>
      </c>
      <c r="Q471" t="n">
        <v>0</v>
      </c>
      <c r="R471" s="2" t="inlineStr"/>
    </row>
    <row r="472" ht="15" customHeight="1">
      <c r="A472" t="inlineStr">
        <is>
          <t>A 13321-2024</t>
        </is>
      </c>
      <c r="B472" s="1" t="n">
        <v>45386.83142361111</v>
      </c>
      <c r="C472" s="1" t="n">
        <v>45923</v>
      </c>
      <c r="D472" t="inlineStr">
        <is>
          <t>ÖREBRO LÄN</t>
        </is>
      </c>
      <c r="E472" t="inlineStr">
        <is>
          <t>ÖREBRO</t>
        </is>
      </c>
      <c r="G472" t="n">
        <v>13.1</v>
      </c>
      <c r="H472" t="n">
        <v>0</v>
      </c>
      <c r="I472" t="n">
        <v>0</v>
      </c>
      <c r="J472" t="n">
        <v>0</v>
      </c>
      <c r="K472" t="n">
        <v>0</v>
      </c>
      <c r="L472" t="n">
        <v>0</v>
      </c>
      <c r="M472" t="n">
        <v>0</v>
      </c>
      <c r="N472" t="n">
        <v>0</v>
      </c>
      <c r="O472" t="n">
        <v>0</v>
      </c>
      <c r="P472" t="n">
        <v>0</v>
      </c>
      <c r="Q472" t="n">
        <v>0</v>
      </c>
      <c r="R472" s="2" t="inlineStr"/>
    </row>
    <row r="473" ht="15" customHeight="1">
      <c r="A473" t="inlineStr">
        <is>
          <t>A 764-2024</t>
        </is>
      </c>
      <c r="B473" s="1" t="n">
        <v>45300.51512731481</v>
      </c>
      <c r="C473" s="1" t="n">
        <v>45923</v>
      </c>
      <c r="D473" t="inlineStr">
        <is>
          <t>ÖREBRO LÄN</t>
        </is>
      </c>
      <c r="E473" t="inlineStr">
        <is>
          <t>ÖREBRO</t>
        </is>
      </c>
      <c r="G473" t="n">
        <v>2</v>
      </c>
      <c r="H473" t="n">
        <v>0</v>
      </c>
      <c r="I473" t="n">
        <v>0</v>
      </c>
      <c r="J473" t="n">
        <v>0</v>
      </c>
      <c r="K473" t="n">
        <v>0</v>
      </c>
      <c r="L473" t="n">
        <v>0</v>
      </c>
      <c r="M473" t="n">
        <v>0</v>
      </c>
      <c r="N473" t="n">
        <v>0</v>
      </c>
      <c r="O473" t="n">
        <v>0</v>
      </c>
      <c r="P473" t="n">
        <v>0</v>
      </c>
      <c r="Q473" t="n">
        <v>0</v>
      </c>
      <c r="R473" s="2" t="inlineStr"/>
    </row>
    <row r="474" ht="15" customHeight="1">
      <c r="A474" t="inlineStr">
        <is>
          <t>A 38583-2023</t>
        </is>
      </c>
      <c r="B474" s="1" t="n">
        <v>45162.62861111111</v>
      </c>
      <c r="C474" s="1" t="n">
        <v>45923</v>
      </c>
      <c r="D474" t="inlineStr">
        <is>
          <t>ÖREBRO LÄN</t>
        </is>
      </c>
      <c r="E474" t="inlineStr">
        <is>
          <t>ÖREBRO</t>
        </is>
      </c>
      <c r="G474" t="n">
        <v>5.7</v>
      </c>
      <c r="H474" t="n">
        <v>0</v>
      </c>
      <c r="I474" t="n">
        <v>0</v>
      </c>
      <c r="J474" t="n">
        <v>0</v>
      </c>
      <c r="K474" t="n">
        <v>0</v>
      </c>
      <c r="L474" t="n">
        <v>0</v>
      </c>
      <c r="M474" t="n">
        <v>0</v>
      </c>
      <c r="N474" t="n">
        <v>0</v>
      </c>
      <c r="O474" t="n">
        <v>0</v>
      </c>
      <c r="P474" t="n">
        <v>0</v>
      </c>
      <c r="Q474" t="n">
        <v>0</v>
      </c>
      <c r="R474" s="2" t="inlineStr"/>
    </row>
    <row r="475" ht="15" customHeight="1">
      <c r="A475" t="inlineStr">
        <is>
          <t>A 14291-2023</t>
        </is>
      </c>
      <c r="B475" s="1" t="n">
        <v>45010</v>
      </c>
      <c r="C475" s="1" t="n">
        <v>45923</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9314-2023</t>
        </is>
      </c>
      <c r="B476" s="1" t="n">
        <v>44980.67747685185</v>
      </c>
      <c r="C476" s="1" t="n">
        <v>45923</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33455-2023</t>
        </is>
      </c>
      <c r="B477" s="1" t="n">
        <v>45130.98962962963</v>
      </c>
      <c r="C477" s="1" t="n">
        <v>45923</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21306-2024</t>
        </is>
      </c>
      <c r="B478" s="1" t="n">
        <v>45440.67883101852</v>
      </c>
      <c r="C478" s="1" t="n">
        <v>45923</v>
      </c>
      <c r="D478" t="inlineStr">
        <is>
          <t>ÖREBRO LÄN</t>
        </is>
      </c>
      <c r="E478" t="inlineStr">
        <is>
          <t>ÖREBRO</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42636-2023</t>
        </is>
      </c>
      <c r="B479" s="1" t="n">
        <v>45181.49559027778</v>
      </c>
      <c r="C479" s="1" t="n">
        <v>45923</v>
      </c>
      <c r="D479" t="inlineStr">
        <is>
          <t>ÖREBRO LÄN</t>
        </is>
      </c>
      <c r="E479" t="inlineStr">
        <is>
          <t>ÖREBRO</t>
        </is>
      </c>
      <c r="G479" t="n">
        <v>1.7</v>
      </c>
      <c r="H479" t="n">
        <v>0</v>
      </c>
      <c r="I479" t="n">
        <v>0</v>
      </c>
      <c r="J479" t="n">
        <v>0</v>
      </c>
      <c r="K479" t="n">
        <v>0</v>
      </c>
      <c r="L479" t="n">
        <v>0</v>
      </c>
      <c r="M479" t="n">
        <v>0</v>
      </c>
      <c r="N479" t="n">
        <v>0</v>
      </c>
      <c r="O479" t="n">
        <v>0</v>
      </c>
      <c r="P479" t="n">
        <v>0</v>
      </c>
      <c r="Q479" t="n">
        <v>0</v>
      </c>
      <c r="R479" s="2" t="inlineStr"/>
    </row>
    <row r="480" ht="15" customHeight="1">
      <c r="A480" t="inlineStr">
        <is>
          <t>A 58644-2023</t>
        </is>
      </c>
      <c r="B480" s="1" t="n">
        <v>45251.58716435185</v>
      </c>
      <c r="C480" s="1" t="n">
        <v>45923</v>
      </c>
      <c r="D480" t="inlineStr">
        <is>
          <t>ÖREBRO LÄN</t>
        </is>
      </c>
      <c r="E480" t="inlineStr">
        <is>
          <t>ÖREBRO</t>
        </is>
      </c>
      <c r="F480" t="inlineStr">
        <is>
          <t>Övriga Aktiebolag</t>
        </is>
      </c>
      <c r="G480" t="n">
        <v>1.9</v>
      </c>
      <c r="H480" t="n">
        <v>0</v>
      </c>
      <c r="I480" t="n">
        <v>0</v>
      </c>
      <c r="J480" t="n">
        <v>0</v>
      </c>
      <c r="K480" t="n">
        <v>0</v>
      </c>
      <c r="L480" t="n">
        <v>0</v>
      </c>
      <c r="M480" t="n">
        <v>0</v>
      </c>
      <c r="N480" t="n">
        <v>0</v>
      </c>
      <c r="O480" t="n">
        <v>0</v>
      </c>
      <c r="P480" t="n">
        <v>0</v>
      </c>
      <c r="Q480" t="n">
        <v>0</v>
      </c>
      <c r="R480" s="2" t="inlineStr"/>
    </row>
    <row r="481" ht="15" customHeight="1">
      <c r="A481" t="inlineStr">
        <is>
          <t>A 7634-2024</t>
        </is>
      </c>
      <c r="B481" s="1" t="n">
        <v>45348</v>
      </c>
      <c r="C481" s="1" t="n">
        <v>45923</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5324-2024</t>
        </is>
      </c>
      <c r="B482" s="1" t="n">
        <v>45331</v>
      </c>
      <c r="C482" s="1" t="n">
        <v>45923</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52401-2024</t>
        </is>
      </c>
      <c r="B483" s="1" t="n">
        <v>45609.44553240741</v>
      </c>
      <c r="C483" s="1" t="n">
        <v>45923</v>
      </c>
      <c r="D483" t="inlineStr">
        <is>
          <t>ÖREBRO LÄN</t>
        </is>
      </c>
      <c r="E483" t="inlineStr">
        <is>
          <t>ÖREBRO</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21338-2025</t>
        </is>
      </c>
      <c r="B484" s="1" t="n">
        <v>45780</v>
      </c>
      <c r="C484" s="1" t="n">
        <v>45923</v>
      </c>
      <c r="D484" t="inlineStr">
        <is>
          <t>ÖREBRO LÄN</t>
        </is>
      </c>
      <c r="E484" t="inlineStr">
        <is>
          <t>ÖREBRO</t>
        </is>
      </c>
      <c r="G484" t="n">
        <v>3.2</v>
      </c>
      <c r="H484" t="n">
        <v>0</v>
      </c>
      <c r="I484" t="n">
        <v>0</v>
      </c>
      <c r="J484" t="n">
        <v>0</v>
      </c>
      <c r="K484" t="n">
        <v>0</v>
      </c>
      <c r="L484" t="n">
        <v>0</v>
      </c>
      <c r="M484" t="n">
        <v>0</v>
      </c>
      <c r="N484" t="n">
        <v>0</v>
      </c>
      <c r="O484" t="n">
        <v>0</v>
      </c>
      <c r="P484" t="n">
        <v>0</v>
      </c>
      <c r="Q484" t="n">
        <v>0</v>
      </c>
      <c r="R484" s="2" t="inlineStr"/>
    </row>
    <row r="485" ht="15" customHeight="1">
      <c r="A485" t="inlineStr">
        <is>
          <t>A 14963-2025</t>
        </is>
      </c>
      <c r="B485" s="1" t="n">
        <v>45743.58699074074</v>
      </c>
      <c r="C485" s="1" t="n">
        <v>45923</v>
      </c>
      <c r="D485" t="inlineStr">
        <is>
          <t>ÖREBRO LÄN</t>
        </is>
      </c>
      <c r="E485" t="inlineStr">
        <is>
          <t>ÖREBRO</t>
        </is>
      </c>
      <c r="G485" t="n">
        <v>9.1</v>
      </c>
      <c r="H485" t="n">
        <v>0</v>
      </c>
      <c r="I485" t="n">
        <v>0</v>
      </c>
      <c r="J485" t="n">
        <v>0</v>
      </c>
      <c r="K485" t="n">
        <v>0</v>
      </c>
      <c r="L485" t="n">
        <v>0</v>
      </c>
      <c r="M485" t="n">
        <v>0</v>
      </c>
      <c r="N485" t="n">
        <v>0</v>
      </c>
      <c r="O485" t="n">
        <v>0</v>
      </c>
      <c r="P485" t="n">
        <v>0</v>
      </c>
      <c r="Q485" t="n">
        <v>0</v>
      </c>
      <c r="R485" s="2" t="inlineStr"/>
    </row>
    <row r="486" ht="15" customHeight="1">
      <c r="A486" t="inlineStr">
        <is>
          <t>A 55357-2024</t>
        </is>
      </c>
      <c r="B486" s="1" t="n">
        <v>45621.81126157408</v>
      </c>
      <c r="C486" s="1" t="n">
        <v>45923</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38422-2023</t>
        </is>
      </c>
      <c r="B487" s="1" t="n">
        <v>45162.36422453704</v>
      </c>
      <c r="C487" s="1" t="n">
        <v>45923</v>
      </c>
      <c r="D487" t="inlineStr">
        <is>
          <t>ÖREBRO LÄN</t>
        </is>
      </c>
      <c r="E487" t="inlineStr">
        <is>
          <t>ÖREBRO</t>
        </is>
      </c>
      <c r="G487" t="n">
        <v>8</v>
      </c>
      <c r="H487" t="n">
        <v>0</v>
      </c>
      <c r="I487" t="n">
        <v>0</v>
      </c>
      <c r="J487" t="n">
        <v>0</v>
      </c>
      <c r="K487" t="n">
        <v>0</v>
      </c>
      <c r="L487" t="n">
        <v>0</v>
      </c>
      <c r="M487" t="n">
        <v>0</v>
      </c>
      <c r="N487" t="n">
        <v>0</v>
      </c>
      <c r="O487" t="n">
        <v>0</v>
      </c>
      <c r="P487" t="n">
        <v>0</v>
      </c>
      <c r="Q487" t="n">
        <v>0</v>
      </c>
      <c r="R487" s="2" t="inlineStr"/>
    </row>
    <row r="488" ht="15" customHeight="1">
      <c r="A488" t="inlineStr">
        <is>
          <t>A 22755-2025</t>
        </is>
      </c>
      <c r="B488" s="1" t="n">
        <v>45789.61872685186</v>
      </c>
      <c r="C488" s="1" t="n">
        <v>45923</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44199-2024</t>
        </is>
      </c>
      <c r="B489" s="1" t="n">
        <v>45573</v>
      </c>
      <c r="C489" s="1" t="n">
        <v>45923</v>
      </c>
      <c r="D489" t="inlineStr">
        <is>
          <t>ÖREBRO LÄN</t>
        </is>
      </c>
      <c r="E489" t="inlineStr">
        <is>
          <t>ÖREBRO</t>
        </is>
      </c>
      <c r="G489" t="n">
        <v>4.3</v>
      </c>
      <c r="H489" t="n">
        <v>0</v>
      </c>
      <c r="I489" t="n">
        <v>0</v>
      </c>
      <c r="J489" t="n">
        <v>0</v>
      </c>
      <c r="K489" t="n">
        <v>0</v>
      </c>
      <c r="L489" t="n">
        <v>0</v>
      </c>
      <c r="M489" t="n">
        <v>0</v>
      </c>
      <c r="N489" t="n">
        <v>0</v>
      </c>
      <c r="O489" t="n">
        <v>0</v>
      </c>
      <c r="P489" t="n">
        <v>0</v>
      </c>
      <c r="Q489" t="n">
        <v>0</v>
      </c>
      <c r="R489" s="2" t="inlineStr"/>
    </row>
    <row r="490" ht="15" customHeight="1">
      <c r="A490" t="inlineStr">
        <is>
          <t>A 34336-2024</t>
        </is>
      </c>
      <c r="B490" s="1" t="n">
        <v>45524.94774305556</v>
      </c>
      <c r="C490" s="1" t="n">
        <v>45923</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26443-2024</t>
        </is>
      </c>
      <c r="B491" s="1" t="n">
        <v>45469.49901620371</v>
      </c>
      <c r="C491" s="1" t="n">
        <v>45923</v>
      </c>
      <c r="D491" t="inlineStr">
        <is>
          <t>ÖREBRO LÄN</t>
        </is>
      </c>
      <c r="E491" t="inlineStr">
        <is>
          <t>ÖREBRO</t>
        </is>
      </c>
      <c r="G491" t="n">
        <v>5.7</v>
      </c>
      <c r="H491" t="n">
        <v>0</v>
      </c>
      <c r="I491" t="n">
        <v>0</v>
      </c>
      <c r="J491" t="n">
        <v>0</v>
      </c>
      <c r="K491" t="n">
        <v>0</v>
      </c>
      <c r="L491" t="n">
        <v>0</v>
      </c>
      <c r="M491" t="n">
        <v>0</v>
      </c>
      <c r="N491" t="n">
        <v>0</v>
      </c>
      <c r="O491" t="n">
        <v>0</v>
      </c>
      <c r="P491" t="n">
        <v>0</v>
      </c>
      <c r="Q491" t="n">
        <v>0</v>
      </c>
      <c r="R491" s="2" t="inlineStr"/>
    </row>
    <row r="492" ht="15" customHeight="1">
      <c r="A492" t="inlineStr">
        <is>
          <t>A 35477-2024</t>
        </is>
      </c>
      <c r="B492" s="1" t="n">
        <v>45531</v>
      </c>
      <c r="C492" s="1" t="n">
        <v>45923</v>
      </c>
      <c r="D492" t="inlineStr">
        <is>
          <t>ÖREBRO LÄN</t>
        </is>
      </c>
      <c r="E492" t="inlineStr">
        <is>
          <t>ÖREBRO</t>
        </is>
      </c>
      <c r="G492" t="n">
        <v>2.4</v>
      </c>
      <c r="H492" t="n">
        <v>0</v>
      </c>
      <c r="I492" t="n">
        <v>0</v>
      </c>
      <c r="J492" t="n">
        <v>0</v>
      </c>
      <c r="K492" t="n">
        <v>0</v>
      </c>
      <c r="L492" t="n">
        <v>0</v>
      </c>
      <c r="M492" t="n">
        <v>0</v>
      </c>
      <c r="N492" t="n">
        <v>0</v>
      </c>
      <c r="O492" t="n">
        <v>0</v>
      </c>
      <c r="P492" t="n">
        <v>0</v>
      </c>
      <c r="Q492" t="n">
        <v>0</v>
      </c>
      <c r="R492" s="2" t="inlineStr"/>
    </row>
    <row r="493" ht="15" customHeight="1">
      <c r="A493" t="inlineStr">
        <is>
          <t>A 46518-2023</t>
        </is>
      </c>
      <c r="B493" s="1" t="n">
        <v>45197.72777777778</v>
      </c>
      <c r="C493" s="1" t="n">
        <v>45923</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22719-2025</t>
        </is>
      </c>
      <c r="B494" s="1" t="n">
        <v>45789</v>
      </c>
      <c r="C494" s="1" t="n">
        <v>45923</v>
      </c>
      <c r="D494" t="inlineStr">
        <is>
          <t>ÖREBRO LÄN</t>
        </is>
      </c>
      <c r="E494" t="inlineStr">
        <is>
          <t>ÖREBRO</t>
        </is>
      </c>
      <c r="G494" t="n">
        <v>1.5</v>
      </c>
      <c r="H494" t="n">
        <v>0</v>
      </c>
      <c r="I494" t="n">
        <v>0</v>
      </c>
      <c r="J494" t="n">
        <v>0</v>
      </c>
      <c r="K494" t="n">
        <v>0</v>
      </c>
      <c r="L494" t="n">
        <v>0</v>
      </c>
      <c r="M494" t="n">
        <v>0</v>
      </c>
      <c r="N494" t="n">
        <v>0</v>
      </c>
      <c r="O494" t="n">
        <v>0</v>
      </c>
      <c r="P494" t="n">
        <v>0</v>
      </c>
      <c r="Q494" t="n">
        <v>0</v>
      </c>
      <c r="R494" s="2" t="inlineStr"/>
    </row>
    <row r="495" ht="15" customHeight="1">
      <c r="A495" t="inlineStr">
        <is>
          <t>A 30316-2024</t>
        </is>
      </c>
      <c r="B495" s="1" t="n">
        <v>45490</v>
      </c>
      <c r="C495" s="1" t="n">
        <v>45923</v>
      </c>
      <c r="D495" t="inlineStr">
        <is>
          <t>ÖREBRO LÄN</t>
        </is>
      </c>
      <c r="E495" t="inlineStr">
        <is>
          <t>ÖREBRO</t>
        </is>
      </c>
      <c r="G495" t="n">
        <v>5.5</v>
      </c>
      <c r="H495" t="n">
        <v>0</v>
      </c>
      <c r="I495" t="n">
        <v>0</v>
      </c>
      <c r="J495" t="n">
        <v>0</v>
      </c>
      <c r="K495" t="n">
        <v>0</v>
      </c>
      <c r="L495" t="n">
        <v>0</v>
      </c>
      <c r="M495" t="n">
        <v>0</v>
      </c>
      <c r="N495" t="n">
        <v>0</v>
      </c>
      <c r="O495" t="n">
        <v>0</v>
      </c>
      <c r="P495" t="n">
        <v>0</v>
      </c>
      <c r="Q495" t="n">
        <v>0</v>
      </c>
      <c r="R495" s="2" t="inlineStr"/>
    </row>
    <row r="496" ht="15" customHeight="1">
      <c r="A496" t="inlineStr">
        <is>
          <t>A 38790-2024</t>
        </is>
      </c>
      <c r="B496" s="1" t="n">
        <v>45547.48450231482</v>
      </c>
      <c r="C496" s="1" t="n">
        <v>45923</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61279-2024</t>
        </is>
      </c>
      <c r="B497" s="1" t="n">
        <v>45645</v>
      </c>
      <c r="C497" s="1" t="n">
        <v>45923</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41703-2024</t>
        </is>
      </c>
      <c r="B498" s="1" t="n">
        <v>45560</v>
      </c>
      <c r="C498" s="1" t="n">
        <v>45923</v>
      </c>
      <c r="D498" t="inlineStr">
        <is>
          <t>ÖREBRO LÄN</t>
        </is>
      </c>
      <c r="E498" t="inlineStr">
        <is>
          <t>ÖREBRO</t>
        </is>
      </c>
      <c r="G498" t="n">
        <v>6.4</v>
      </c>
      <c r="H498" t="n">
        <v>0</v>
      </c>
      <c r="I498" t="n">
        <v>0</v>
      </c>
      <c r="J498" t="n">
        <v>0</v>
      </c>
      <c r="K498" t="n">
        <v>0</v>
      </c>
      <c r="L498" t="n">
        <v>0</v>
      </c>
      <c r="M498" t="n">
        <v>0</v>
      </c>
      <c r="N498" t="n">
        <v>0</v>
      </c>
      <c r="O498" t="n">
        <v>0</v>
      </c>
      <c r="P498" t="n">
        <v>0</v>
      </c>
      <c r="Q498" t="n">
        <v>0</v>
      </c>
      <c r="R498" s="2" t="inlineStr"/>
    </row>
    <row r="499" ht="15" customHeight="1">
      <c r="A499" t="inlineStr">
        <is>
          <t>A 71269-2021</t>
        </is>
      </c>
      <c r="B499" s="1" t="n">
        <v>44539</v>
      </c>
      <c r="C499" s="1" t="n">
        <v>45923</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15555-2025</t>
        </is>
      </c>
      <c r="B500" s="1" t="n">
        <v>45747.67768518518</v>
      </c>
      <c r="C500" s="1" t="n">
        <v>45923</v>
      </c>
      <c r="D500" t="inlineStr">
        <is>
          <t>ÖREBRO LÄN</t>
        </is>
      </c>
      <c r="E500" t="inlineStr">
        <is>
          <t>ÖREBRO</t>
        </is>
      </c>
      <c r="G500" t="n">
        <v>1.7</v>
      </c>
      <c r="H500" t="n">
        <v>0</v>
      </c>
      <c r="I500" t="n">
        <v>0</v>
      </c>
      <c r="J500" t="n">
        <v>0</v>
      </c>
      <c r="K500" t="n">
        <v>0</v>
      </c>
      <c r="L500" t="n">
        <v>0</v>
      </c>
      <c r="M500" t="n">
        <v>0</v>
      </c>
      <c r="N500" t="n">
        <v>0</v>
      </c>
      <c r="O500" t="n">
        <v>0</v>
      </c>
      <c r="P500" t="n">
        <v>0</v>
      </c>
      <c r="Q500" t="n">
        <v>0</v>
      </c>
      <c r="R500" s="2" t="inlineStr"/>
    </row>
    <row r="501" ht="15" customHeight="1">
      <c r="A501" t="inlineStr">
        <is>
          <t>A 19763-2024</t>
        </is>
      </c>
      <c r="B501" s="1" t="n">
        <v>45432</v>
      </c>
      <c r="C501" s="1" t="n">
        <v>45923</v>
      </c>
      <c r="D501" t="inlineStr">
        <is>
          <t>ÖREBRO LÄN</t>
        </is>
      </c>
      <c r="E501" t="inlineStr">
        <is>
          <t>ÖREBRO</t>
        </is>
      </c>
      <c r="G501" t="n">
        <v>1.9</v>
      </c>
      <c r="H501" t="n">
        <v>0</v>
      </c>
      <c r="I501" t="n">
        <v>0</v>
      </c>
      <c r="J501" t="n">
        <v>0</v>
      </c>
      <c r="K501" t="n">
        <v>0</v>
      </c>
      <c r="L501" t="n">
        <v>0</v>
      </c>
      <c r="M501" t="n">
        <v>0</v>
      </c>
      <c r="N501" t="n">
        <v>0</v>
      </c>
      <c r="O501" t="n">
        <v>0</v>
      </c>
      <c r="P501" t="n">
        <v>0</v>
      </c>
      <c r="Q501" t="n">
        <v>0</v>
      </c>
      <c r="R501" s="2" t="inlineStr"/>
    </row>
    <row r="502" ht="15" customHeight="1">
      <c r="A502" t="inlineStr">
        <is>
          <t>A 31247-2023</t>
        </is>
      </c>
      <c r="B502" s="1" t="n">
        <v>45114</v>
      </c>
      <c r="C502" s="1" t="n">
        <v>45923</v>
      </c>
      <c r="D502" t="inlineStr">
        <is>
          <t>ÖREBRO LÄN</t>
        </is>
      </c>
      <c r="E502" t="inlineStr">
        <is>
          <t>ÖREBRO</t>
        </is>
      </c>
      <c r="F502" t="inlineStr">
        <is>
          <t>Allmännings- och besparingsskogar</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5136-2024</t>
        </is>
      </c>
      <c r="B503" s="1" t="n">
        <v>45330</v>
      </c>
      <c r="C503" s="1" t="n">
        <v>45923</v>
      </c>
      <c r="D503" t="inlineStr">
        <is>
          <t>ÖREBRO LÄN</t>
        </is>
      </c>
      <c r="E503" t="inlineStr">
        <is>
          <t>ÖREBRO</t>
        </is>
      </c>
      <c r="G503" t="n">
        <v>2.1</v>
      </c>
      <c r="H503" t="n">
        <v>0</v>
      </c>
      <c r="I503" t="n">
        <v>0</v>
      </c>
      <c r="J503" t="n">
        <v>0</v>
      </c>
      <c r="K503" t="n">
        <v>0</v>
      </c>
      <c r="L503" t="n">
        <v>0</v>
      </c>
      <c r="M503" t="n">
        <v>0</v>
      </c>
      <c r="N503" t="n">
        <v>0</v>
      </c>
      <c r="O503" t="n">
        <v>0</v>
      </c>
      <c r="P503" t="n">
        <v>0</v>
      </c>
      <c r="Q503" t="n">
        <v>0</v>
      </c>
      <c r="R503" s="2" t="inlineStr"/>
    </row>
    <row r="504" ht="15" customHeight="1">
      <c r="A504" t="inlineStr">
        <is>
          <t>A 36635-2023</t>
        </is>
      </c>
      <c r="B504" s="1" t="n">
        <v>45153</v>
      </c>
      <c r="C504" s="1" t="n">
        <v>45923</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54149-2024</t>
        </is>
      </c>
      <c r="B505" s="1" t="n">
        <v>45616</v>
      </c>
      <c r="C505" s="1" t="n">
        <v>45923</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4380-2025</t>
        </is>
      </c>
      <c r="B506" s="1" t="n">
        <v>45686.3959375</v>
      </c>
      <c r="C506" s="1" t="n">
        <v>45923</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34358-2022</t>
        </is>
      </c>
      <c r="B507" s="1" t="n">
        <v>44792.45494212963</v>
      </c>
      <c r="C507" s="1" t="n">
        <v>45923</v>
      </c>
      <c r="D507" t="inlineStr">
        <is>
          <t>ÖREBRO LÄN</t>
        </is>
      </c>
      <c r="E507" t="inlineStr">
        <is>
          <t>ÖREBRO</t>
        </is>
      </c>
      <c r="F507" t="inlineStr">
        <is>
          <t>Övriga Aktiebolag</t>
        </is>
      </c>
      <c r="G507" t="n">
        <v>3.4</v>
      </c>
      <c r="H507" t="n">
        <v>0</v>
      </c>
      <c r="I507" t="n">
        <v>0</v>
      </c>
      <c r="J507" t="n">
        <v>0</v>
      </c>
      <c r="K507" t="n">
        <v>0</v>
      </c>
      <c r="L507" t="n">
        <v>0</v>
      </c>
      <c r="M507" t="n">
        <v>0</v>
      </c>
      <c r="N507" t="n">
        <v>0</v>
      </c>
      <c r="O507" t="n">
        <v>0</v>
      </c>
      <c r="P507" t="n">
        <v>0</v>
      </c>
      <c r="Q507" t="n">
        <v>0</v>
      </c>
      <c r="R507" s="2" t="inlineStr"/>
    </row>
    <row r="508" ht="15" customHeight="1">
      <c r="A508" t="inlineStr">
        <is>
          <t>A 15695-2024</t>
        </is>
      </c>
      <c r="B508" s="1" t="n">
        <v>45404.45487268519</v>
      </c>
      <c r="C508" s="1" t="n">
        <v>45923</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49797-2024</t>
        </is>
      </c>
      <c r="B509" s="1" t="n">
        <v>45597.37265046296</v>
      </c>
      <c r="C509" s="1" t="n">
        <v>45923</v>
      </c>
      <c r="D509" t="inlineStr">
        <is>
          <t>ÖREBRO LÄN</t>
        </is>
      </c>
      <c r="E509" t="inlineStr">
        <is>
          <t>ÖREBRO</t>
        </is>
      </c>
      <c r="G509" t="n">
        <v>11.6</v>
      </c>
      <c r="H509" t="n">
        <v>0</v>
      </c>
      <c r="I509" t="n">
        <v>0</v>
      </c>
      <c r="J509" t="n">
        <v>0</v>
      </c>
      <c r="K509" t="n">
        <v>0</v>
      </c>
      <c r="L509" t="n">
        <v>0</v>
      </c>
      <c r="M509" t="n">
        <v>0</v>
      </c>
      <c r="N509" t="n">
        <v>0</v>
      </c>
      <c r="O509" t="n">
        <v>0</v>
      </c>
      <c r="P509" t="n">
        <v>0</v>
      </c>
      <c r="Q509" t="n">
        <v>0</v>
      </c>
      <c r="R509" s="2" t="inlineStr"/>
    </row>
    <row r="510" ht="15" customHeight="1">
      <c r="A510" t="inlineStr">
        <is>
          <t>A 11663-2024</t>
        </is>
      </c>
      <c r="B510" s="1" t="n">
        <v>45373</v>
      </c>
      <c r="C510" s="1" t="n">
        <v>45923</v>
      </c>
      <c r="D510" t="inlineStr">
        <is>
          <t>ÖREBRO LÄN</t>
        </is>
      </c>
      <c r="E510" t="inlineStr">
        <is>
          <t>ÖREBRO</t>
        </is>
      </c>
      <c r="G510" t="n">
        <v>1</v>
      </c>
      <c r="H510" t="n">
        <v>0</v>
      </c>
      <c r="I510" t="n">
        <v>0</v>
      </c>
      <c r="J510" t="n">
        <v>0</v>
      </c>
      <c r="K510" t="n">
        <v>0</v>
      </c>
      <c r="L510" t="n">
        <v>0</v>
      </c>
      <c r="M510" t="n">
        <v>0</v>
      </c>
      <c r="N510" t="n">
        <v>0</v>
      </c>
      <c r="O510" t="n">
        <v>0</v>
      </c>
      <c r="P510" t="n">
        <v>0</v>
      </c>
      <c r="Q510" t="n">
        <v>0</v>
      </c>
      <c r="R510" s="2" t="inlineStr"/>
    </row>
    <row r="511" ht="15" customHeight="1">
      <c r="A511" t="inlineStr">
        <is>
          <t>A 5406-2025</t>
        </is>
      </c>
      <c r="B511" s="1" t="n">
        <v>45692.64821759259</v>
      </c>
      <c r="C511" s="1" t="n">
        <v>45923</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32086-2023</t>
        </is>
      </c>
      <c r="B512" s="1" t="n">
        <v>45119.59789351852</v>
      </c>
      <c r="C512" s="1" t="n">
        <v>45923</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13856-2022</t>
        </is>
      </c>
      <c r="B513" s="1" t="n">
        <v>44649.6965162037</v>
      </c>
      <c r="C513" s="1" t="n">
        <v>45923</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23863-2023</t>
        </is>
      </c>
      <c r="B514" s="1" t="n">
        <v>45078.48994212963</v>
      </c>
      <c r="C514" s="1" t="n">
        <v>45923</v>
      </c>
      <c r="D514" t="inlineStr">
        <is>
          <t>ÖREBRO LÄN</t>
        </is>
      </c>
      <c r="E514" t="inlineStr">
        <is>
          <t>ÖREBRO</t>
        </is>
      </c>
      <c r="F514" t="inlineStr">
        <is>
          <t>Övriga Aktiebolag</t>
        </is>
      </c>
      <c r="G514" t="n">
        <v>5.9</v>
      </c>
      <c r="H514" t="n">
        <v>0</v>
      </c>
      <c r="I514" t="n">
        <v>0</v>
      </c>
      <c r="J514" t="n">
        <v>0</v>
      </c>
      <c r="K514" t="n">
        <v>0</v>
      </c>
      <c r="L514" t="n">
        <v>0</v>
      </c>
      <c r="M514" t="n">
        <v>0</v>
      </c>
      <c r="N514" t="n">
        <v>0</v>
      </c>
      <c r="O514" t="n">
        <v>0</v>
      </c>
      <c r="P514" t="n">
        <v>0</v>
      </c>
      <c r="Q514" t="n">
        <v>0</v>
      </c>
      <c r="R514" s="2" t="inlineStr"/>
    </row>
    <row r="515" ht="15" customHeight="1">
      <c r="A515" t="inlineStr">
        <is>
          <t>A 39130-2023</t>
        </is>
      </c>
      <c r="B515" s="1" t="n">
        <v>45165</v>
      </c>
      <c r="C515" s="1" t="n">
        <v>45923</v>
      </c>
      <c r="D515" t="inlineStr">
        <is>
          <t>ÖREBRO LÄN</t>
        </is>
      </c>
      <c r="E515" t="inlineStr">
        <is>
          <t>ÖREBRO</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13599-2025</t>
        </is>
      </c>
      <c r="B516" s="1" t="n">
        <v>45736.60597222222</v>
      </c>
      <c r="C516" s="1" t="n">
        <v>45923</v>
      </c>
      <c r="D516" t="inlineStr">
        <is>
          <t>ÖREBRO LÄN</t>
        </is>
      </c>
      <c r="E516" t="inlineStr">
        <is>
          <t>ÖREBRO</t>
        </is>
      </c>
      <c r="G516" t="n">
        <v>1.9</v>
      </c>
      <c r="H516" t="n">
        <v>0</v>
      </c>
      <c r="I516" t="n">
        <v>0</v>
      </c>
      <c r="J516" t="n">
        <v>0</v>
      </c>
      <c r="K516" t="n">
        <v>0</v>
      </c>
      <c r="L516" t="n">
        <v>0</v>
      </c>
      <c r="M516" t="n">
        <v>0</v>
      </c>
      <c r="N516" t="n">
        <v>0</v>
      </c>
      <c r="O516" t="n">
        <v>0</v>
      </c>
      <c r="P516" t="n">
        <v>0</v>
      </c>
      <c r="Q516" t="n">
        <v>0</v>
      </c>
      <c r="R516" s="2" t="inlineStr"/>
    </row>
    <row r="517" ht="15" customHeight="1">
      <c r="A517" t="inlineStr">
        <is>
          <t>A 22348-2024</t>
        </is>
      </c>
      <c r="B517" s="1" t="n">
        <v>45446.61256944444</v>
      </c>
      <c r="C517" s="1" t="n">
        <v>45923</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52018-2024</t>
        </is>
      </c>
      <c r="B518" s="1" t="n">
        <v>45607.82974537037</v>
      </c>
      <c r="C518" s="1" t="n">
        <v>45923</v>
      </c>
      <c r="D518" t="inlineStr">
        <is>
          <t>ÖREBRO LÄN</t>
        </is>
      </c>
      <c r="E518" t="inlineStr">
        <is>
          <t>ÖREBRO</t>
        </is>
      </c>
      <c r="G518" t="n">
        <v>4.3</v>
      </c>
      <c r="H518" t="n">
        <v>0</v>
      </c>
      <c r="I518" t="n">
        <v>0</v>
      </c>
      <c r="J518" t="n">
        <v>0</v>
      </c>
      <c r="K518" t="n">
        <v>0</v>
      </c>
      <c r="L518" t="n">
        <v>0</v>
      </c>
      <c r="M518" t="n">
        <v>0</v>
      </c>
      <c r="N518" t="n">
        <v>0</v>
      </c>
      <c r="O518" t="n">
        <v>0</v>
      </c>
      <c r="P518" t="n">
        <v>0</v>
      </c>
      <c r="Q518" t="n">
        <v>0</v>
      </c>
      <c r="R518" s="2" t="inlineStr"/>
    </row>
    <row r="519" ht="15" customHeight="1">
      <c r="A519" t="inlineStr">
        <is>
          <t>A 30089-2024</t>
        </is>
      </c>
      <c r="B519" s="1" t="n">
        <v>45485</v>
      </c>
      <c r="C519" s="1" t="n">
        <v>45923</v>
      </c>
      <c r="D519" t="inlineStr">
        <is>
          <t>ÖREBRO LÄN</t>
        </is>
      </c>
      <c r="E519" t="inlineStr">
        <is>
          <t>ÖREBRO</t>
        </is>
      </c>
      <c r="G519" t="n">
        <v>2.2</v>
      </c>
      <c r="H519" t="n">
        <v>0</v>
      </c>
      <c r="I519" t="n">
        <v>0</v>
      </c>
      <c r="J519" t="n">
        <v>0</v>
      </c>
      <c r="K519" t="n">
        <v>0</v>
      </c>
      <c r="L519" t="n">
        <v>0</v>
      </c>
      <c r="M519" t="n">
        <v>0</v>
      </c>
      <c r="N519" t="n">
        <v>0</v>
      </c>
      <c r="O519" t="n">
        <v>0</v>
      </c>
      <c r="P519" t="n">
        <v>0</v>
      </c>
      <c r="Q519" t="n">
        <v>0</v>
      </c>
      <c r="R519" s="2" t="inlineStr"/>
    </row>
    <row r="520" ht="15" customHeight="1">
      <c r="A520" t="inlineStr">
        <is>
          <t>A 71295-2021</t>
        </is>
      </c>
      <c r="B520" s="1" t="n">
        <v>44539.63009259259</v>
      </c>
      <c r="C520" s="1" t="n">
        <v>45923</v>
      </c>
      <c r="D520" t="inlineStr">
        <is>
          <t>ÖREBRO LÄN</t>
        </is>
      </c>
      <c r="E520" t="inlineStr">
        <is>
          <t>ÖREBRO</t>
        </is>
      </c>
      <c r="G520" t="n">
        <v>2.3</v>
      </c>
      <c r="H520" t="n">
        <v>0</v>
      </c>
      <c r="I520" t="n">
        <v>0</v>
      </c>
      <c r="J520" t="n">
        <v>0</v>
      </c>
      <c r="K520" t="n">
        <v>0</v>
      </c>
      <c r="L520" t="n">
        <v>0</v>
      </c>
      <c r="M520" t="n">
        <v>0</v>
      </c>
      <c r="N520" t="n">
        <v>0</v>
      </c>
      <c r="O520" t="n">
        <v>0</v>
      </c>
      <c r="P520" t="n">
        <v>0</v>
      </c>
      <c r="Q520" t="n">
        <v>0</v>
      </c>
      <c r="R520" s="2" t="inlineStr"/>
    </row>
    <row r="521" ht="15" customHeight="1">
      <c r="A521" t="inlineStr">
        <is>
          <t>A 46030-2024</t>
        </is>
      </c>
      <c r="B521" s="1" t="n">
        <v>45580.70377314815</v>
      </c>
      <c r="C521" s="1" t="n">
        <v>45923</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5643-2025</t>
        </is>
      </c>
      <c r="B522" s="1" t="n">
        <v>45693</v>
      </c>
      <c r="C522" s="1" t="n">
        <v>45923</v>
      </c>
      <c r="D522" t="inlineStr">
        <is>
          <t>ÖREBRO LÄN</t>
        </is>
      </c>
      <c r="E522" t="inlineStr">
        <is>
          <t>ÖREBRO</t>
        </is>
      </c>
      <c r="G522" t="n">
        <v>2</v>
      </c>
      <c r="H522" t="n">
        <v>0</v>
      </c>
      <c r="I522" t="n">
        <v>0</v>
      </c>
      <c r="J522" t="n">
        <v>0</v>
      </c>
      <c r="K522" t="n">
        <v>0</v>
      </c>
      <c r="L522" t="n">
        <v>0</v>
      </c>
      <c r="M522" t="n">
        <v>0</v>
      </c>
      <c r="N522" t="n">
        <v>0</v>
      </c>
      <c r="O522" t="n">
        <v>0</v>
      </c>
      <c r="P522" t="n">
        <v>0</v>
      </c>
      <c r="Q522" t="n">
        <v>0</v>
      </c>
      <c r="R522" s="2" t="inlineStr"/>
    </row>
    <row r="523" ht="15" customHeight="1">
      <c r="A523" t="inlineStr">
        <is>
          <t>A 11516-2024</t>
        </is>
      </c>
      <c r="B523" s="1" t="n">
        <v>45372</v>
      </c>
      <c r="C523" s="1" t="n">
        <v>45923</v>
      </c>
      <c r="D523" t="inlineStr">
        <is>
          <t>ÖREBRO LÄN</t>
        </is>
      </c>
      <c r="E523" t="inlineStr">
        <is>
          <t>ÖREBRO</t>
        </is>
      </c>
      <c r="G523" t="n">
        <v>10.7</v>
      </c>
      <c r="H523" t="n">
        <v>0</v>
      </c>
      <c r="I523" t="n">
        <v>0</v>
      </c>
      <c r="J523" t="n">
        <v>0</v>
      </c>
      <c r="K523" t="n">
        <v>0</v>
      </c>
      <c r="L523" t="n">
        <v>0</v>
      </c>
      <c r="M523" t="n">
        <v>0</v>
      </c>
      <c r="N523" t="n">
        <v>0</v>
      </c>
      <c r="O523" t="n">
        <v>0</v>
      </c>
      <c r="P523" t="n">
        <v>0</v>
      </c>
      <c r="Q523" t="n">
        <v>0</v>
      </c>
      <c r="R523" s="2" t="inlineStr"/>
    </row>
    <row r="524" ht="15" customHeight="1">
      <c r="A524" t="inlineStr">
        <is>
          <t>A 5342-2024</t>
        </is>
      </c>
      <c r="B524" s="1" t="n">
        <v>45331.44145833333</v>
      </c>
      <c r="C524" s="1" t="n">
        <v>45923</v>
      </c>
      <c r="D524" t="inlineStr">
        <is>
          <t>ÖREBRO LÄN</t>
        </is>
      </c>
      <c r="E524" t="inlineStr">
        <is>
          <t>ÖREBRO</t>
        </is>
      </c>
      <c r="G524" t="n">
        <v>2.5</v>
      </c>
      <c r="H524" t="n">
        <v>0</v>
      </c>
      <c r="I524" t="n">
        <v>0</v>
      </c>
      <c r="J524" t="n">
        <v>0</v>
      </c>
      <c r="K524" t="n">
        <v>0</v>
      </c>
      <c r="L524" t="n">
        <v>0</v>
      </c>
      <c r="M524" t="n">
        <v>0</v>
      </c>
      <c r="N524" t="n">
        <v>0</v>
      </c>
      <c r="O524" t="n">
        <v>0</v>
      </c>
      <c r="P524" t="n">
        <v>0</v>
      </c>
      <c r="Q524" t="n">
        <v>0</v>
      </c>
      <c r="R524" s="2" t="inlineStr"/>
    </row>
    <row r="525" ht="15" customHeight="1">
      <c r="A525" t="inlineStr">
        <is>
          <t>A 50375-2024</t>
        </is>
      </c>
      <c r="B525" s="1" t="n">
        <v>45601.29311342593</v>
      </c>
      <c r="C525" s="1" t="n">
        <v>45923</v>
      </c>
      <c r="D525" t="inlineStr">
        <is>
          <t>ÖREBRO LÄN</t>
        </is>
      </c>
      <c r="E525" t="inlineStr">
        <is>
          <t>ÖREBRO</t>
        </is>
      </c>
      <c r="G525" t="n">
        <v>5</v>
      </c>
      <c r="H525" t="n">
        <v>0</v>
      </c>
      <c r="I525" t="n">
        <v>0</v>
      </c>
      <c r="J525" t="n">
        <v>0</v>
      </c>
      <c r="K525" t="n">
        <v>0</v>
      </c>
      <c r="L525" t="n">
        <v>0</v>
      </c>
      <c r="M525" t="n">
        <v>0</v>
      </c>
      <c r="N525" t="n">
        <v>0</v>
      </c>
      <c r="O525" t="n">
        <v>0</v>
      </c>
      <c r="P525" t="n">
        <v>0</v>
      </c>
      <c r="Q525" t="n">
        <v>0</v>
      </c>
      <c r="R525" s="2" t="inlineStr"/>
    </row>
    <row r="526" ht="15" customHeight="1">
      <c r="A526" t="inlineStr">
        <is>
          <t>A 52391-2024</t>
        </is>
      </c>
      <c r="B526" s="1" t="n">
        <v>45609.43180555556</v>
      </c>
      <c r="C526" s="1" t="n">
        <v>45923</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25578-2025</t>
        </is>
      </c>
      <c r="B527" s="1" t="n">
        <v>45803.47803240741</v>
      </c>
      <c r="C527" s="1" t="n">
        <v>45923</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25519-2025</t>
        </is>
      </c>
      <c r="B528" s="1" t="n">
        <v>45803.38447916666</v>
      </c>
      <c r="C528" s="1" t="n">
        <v>45923</v>
      </c>
      <c r="D528" t="inlineStr">
        <is>
          <t>ÖREBRO LÄN</t>
        </is>
      </c>
      <c r="E528" t="inlineStr">
        <is>
          <t>ÖREBRO</t>
        </is>
      </c>
      <c r="G528" t="n">
        <v>7.4</v>
      </c>
      <c r="H528" t="n">
        <v>0</v>
      </c>
      <c r="I528" t="n">
        <v>0</v>
      </c>
      <c r="J528" t="n">
        <v>0</v>
      </c>
      <c r="K528" t="n">
        <v>0</v>
      </c>
      <c r="L528" t="n">
        <v>0</v>
      </c>
      <c r="M528" t="n">
        <v>0</v>
      </c>
      <c r="N528" t="n">
        <v>0</v>
      </c>
      <c r="O528" t="n">
        <v>0</v>
      </c>
      <c r="P528" t="n">
        <v>0</v>
      </c>
      <c r="Q528" t="n">
        <v>0</v>
      </c>
      <c r="R528" s="2" t="inlineStr"/>
    </row>
    <row r="529" ht="15" customHeight="1">
      <c r="A529" t="inlineStr">
        <is>
          <t>A 58532-2024</t>
        </is>
      </c>
      <c r="B529" s="1" t="n">
        <v>45635.44899305556</v>
      </c>
      <c r="C529" s="1" t="n">
        <v>45923</v>
      </c>
      <c r="D529" t="inlineStr">
        <is>
          <t>ÖREBRO LÄN</t>
        </is>
      </c>
      <c r="E529" t="inlineStr">
        <is>
          <t>ÖREBRO</t>
        </is>
      </c>
      <c r="F529" t="inlineStr">
        <is>
          <t>Sveaskog</t>
        </is>
      </c>
      <c r="G529" t="n">
        <v>5.2</v>
      </c>
      <c r="H529" t="n">
        <v>0</v>
      </c>
      <c r="I529" t="n">
        <v>0</v>
      </c>
      <c r="J529" t="n">
        <v>0</v>
      </c>
      <c r="K529" t="n">
        <v>0</v>
      </c>
      <c r="L529" t="n">
        <v>0</v>
      </c>
      <c r="M529" t="n">
        <v>0</v>
      </c>
      <c r="N529" t="n">
        <v>0</v>
      </c>
      <c r="O529" t="n">
        <v>0</v>
      </c>
      <c r="P529" t="n">
        <v>0</v>
      </c>
      <c r="Q529" t="n">
        <v>0</v>
      </c>
      <c r="R529" s="2" t="inlineStr"/>
    </row>
    <row r="530" ht="15" customHeight="1">
      <c r="A530" t="inlineStr">
        <is>
          <t>A 20150-2024</t>
        </is>
      </c>
      <c r="B530" s="1" t="n">
        <v>45434.57969907407</v>
      </c>
      <c r="C530" s="1" t="n">
        <v>45923</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58208-2024</t>
        </is>
      </c>
      <c r="B531" s="1" t="n">
        <v>45632</v>
      </c>
      <c r="C531" s="1" t="n">
        <v>45923</v>
      </c>
      <c r="D531" t="inlineStr">
        <is>
          <t>ÖREBRO LÄN</t>
        </is>
      </c>
      <c r="E531" t="inlineStr">
        <is>
          <t>ÖREBRO</t>
        </is>
      </c>
      <c r="G531" t="n">
        <v>3.1</v>
      </c>
      <c r="H531" t="n">
        <v>0</v>
      </c>
      <c r="I531" t="n">
        <v>0</v>
      </c>
      <c r="J531" t="n">
        <v>0</v>
      </c>
      <c r="K531" t="n">
        <v>0</v>
      </c>
      <c r="L531" t="n">
        <v>0</v>
      </c>
      <c r="M531" t="n">
        <v>0</v>
      </c>
      <c r="N531" t="n">
        <v>0</v>
      </c>
      <c r="O531" t="n">
        <v>0</v>
      </c>
      <c r="P531" t="n">
        <v>0</v>
      </c>
      <c r="Q531" t="n">
        <v>0</v>
      </c>
      <c r="R531" s="2" t="inlineStr"/>
    </row>
    <row r="532" ht="15" customHeight="1">
      <c r="A532" t="inlineStr">
        <is>
          <t>A 19388-2024</t>
        </is>
      </c>
      <c r="B532" s="1" t="n">
        <v>45429.37775462963</v>
      </c>
      <c r="C532" s="1" t="n">
        <v>45923</v>
      </c>
      <c r="D532" t="inlineStr">
        <is>
          <t>ÖREBRO LÄN</t>
        </is>
      </c>
      <c r="E532" t="inlineStr">
        <is>
          <t>ÖREBRO</t>
        </is>
      </c>
      <c r="G532" t="n">
        <v>4.3</v>
      </c>
      <c r="H532" t="n">
        <v>0</v>
      </c>
      <c r="I532" t="n">
        <v>0</v>
      </c>
      <c r="J532" t="n">
        <v>0</v>
      </c>
      <c r="K532" t="n">
        <v>0</v>
      </c>
      <c r="L532" t="n">
        <v>0</v>
      </c>
      <c r="M532" t="n">
        <v>0</v>
      </c>
      <c r="N532" t="n">
        <v>0</v>
      </c>
      <c r="O532" t="n">
        <v>0</v>
      </c>
      <c r="P532" t="n">
        <v>0</v>
      </c>
      <c r="Q532" t="n">
        <v>0</v>
      </c>
      <c r="R532" s="2" t="inlineStr"/>
    </row>
    <row r="533" ht="15" customHeight="1">
      <c r="A533" t="inlineStr">
        <is>
          <t>A 7506-2025</t>
        </is>
      </c>
      <c r="B533" s="1" t="n">
        <v>45705</v>
      </c>
      <c r="C533" s="1" t="n">
        <v>45923</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4344-2025</t>
        </is>
      </c>
      <c r="B534" s="1" t="n">
        <v>45685</v>
      </c>
      <c r="C534" s="1" t="n">
        <v>45923</v>
      </c>
      <c r="D534" t="inlineStr">
        <is>
          <t>ÖREBRO LÄN</t>
        </is>
      </c>
      <c r="E534" t="inlineStr">
        <is>
          <t>ÖREBRO</t>
        </is>
      </c>
      <c r="G534" t="n">
        <v>1.6</v>
      </c>
      <c r="H534" t="n">
        <v>0</v>
      </c>
      <c r="I534" t="n">
        <v>0</v>
      </c>
      <c r="J534" t="n">
        <v>0</v>
      </c>
      <c r="K534" t="n">
        <v>0</v>
      </c>
      <c r="L534" t="n">
        <v>0</v>
      </c>
      <c r="M534" t="n">
        <v>0</v>
      </c>
      <c r="N534" t="n">
        <v>0</v>
      </c>
      <c r="O534" t="n">
        <v>0</v>
      </c>
      <c r="P534" t="n">
        <v>0</v>
      </c>
      <c r="Q534" t="n">
        <v>0</v>
      </c>
      <c r="R534" s="2" t="inlineStr"/>
    </row>
    <row r="535" ht="15" customHeight="1">
      <c r="A535" t="inlineStr">
        <is>
          <t>A 16300-2022</t>
        </is>
      </c>
      <c r="B535" s="1" t="n">
        <v>44670</v>
      </c>
      <c r="C535" s="1" t="n">
        <v>45923</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16958-2022</t>
        </is>
      </c>
      <c r="B536" s="1" t="n">
        <v>44676.50481481481</v>
      </c>
      <c r="C536" s="1" t="n">
        <v>45923</v>
      </c>
      <c r="D536" t="inlineStr">
        <is>
          <t>ÖREBRO LÄN</t>
        </is>
      </c>
      <c r="E536" t="inlineStr">
        <is>
          <t>ÖREBRO</t>
        </is>
      </c>
      <c r="G536" t="n">
        <v>3.1</v>
      </c>
      <c r="H536" t="n">
        <v>0</v>
      </c>
      <c r="I536" t="n">
        <v>0</v>
      </c>
      <c r="J536" t="n">
        <v>0</v>
      </c>
      <c r="K536" t="n">
        <v>0</v>
      </c>
      <c r="L536" t="n">
        <v>0</v>
      </c>
      <c r="M536" t="n">
        <v>0</v>
      </c>
      <c r="N536" t="n">
        <v>0</v>
      </c>
      <c r="O536" t="n">
        <v>0</v>
      </c>
      <c r="P536" t="n">
        <v>0</v>
      </c>
      <c r="Q536" t="n">
        <v>0</v>
      </c>
      <c r="R536" s="2" t="inlineStr"/>
    </row>
    <row r="537" ht="15" customHeight="1">
      <c r="A537" t="inlineStr">
        <is>
          <t>A 55472-2023</t>
        </is>
      </c>
      <c r="B537" s="1" t="n">
        <v>45238</v>
      </c>
      <c r="C537" s="1" t="n">
        <v>45923</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54925-2023</t>
        </is>
      </c>
      <c r="B538" s="1" t="n">
        <v>45229</v>
      </c>
      <c r="C538" s="1" t="n">
        <v>45923</v>
      </c>
      <c r="D538" t="inlineStr">
        <is>
          <t>ÖREBRO LÄN</t>
        </is>
      </c>
      <c r="E538" t="inlineStr">
        <is>
          <t>ÖREBRO</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8568-2021</t>
        </is>
      </c>
      <c r="B539" s="1" t="n">
        <v>44245</v>
      </c>
      <c r="C539" s="1" t="n">
        <v>45923</v>
      </c>
      <c r="D539" t="inlineStr">
        <is>
          <t>ÖREBRO LÄN</t>
        </is>
      </c>
      <c r="E539" t="inlineStr">
        <is>
          <t>ÖREBRO</t>
        </is>
      </c>
      <c r="G539" t="n">
        <v>4.8</v>
      </c>
      <c r="H539" t="n">
        <v>0</v>
      </c>
      <c r="I539" t="n">
        <v>0</v>
      </c>
      <c r="J539" t="n">
        <v>0</v>
      </c>
      <c r="K539" t="n">
        <v>0</v>
      </c>
      <c r="L539" t="n">
        <v>0</v>
      </c>
      <c r="M539" t="n">
        <v>0</v>
      </c>
      <c r="N539" t="n">
        <v>0</v>
      </c>
      <c r="O539" t="n">
        <v>0</v>
      </c>
      <c r="P539" t="n">
        <v>0</v>
      </c>
      <c r="Q539" t="n">
        <v>0</v>
      </c>
      <c r="R539" s="2" t="inlineStr"/>
    </row>
    <row r="540" ht="15" customHeight="1">
      <c r="A540" t="inlineStr">
        <is>
          <t>A 16961-2022</t>
        </is>
      </c>
      <c r="B540" s="1" t="n">
        <v>44676</v>
      </c>
      <c r="C540" s="1" t="n">
        <v>45923</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15424-2022</t>
        </is>
      </c>
      <c r="B541" s="1" t="n">
        <v>44659</v>
      </c>
      <c r="C541" s="1" t="n">
        <v>45923</v>
      </c>
      <c r="D541" t="inlineStr">
        <is>
          <t>ÖREBRO LÄN</t>
        </is>
      </c>
      <c r="E541" t="inlineStr">
        <is>
          <t>ÖREBRO</t>
        </is>
      </c>
      <c r="G541" t="n">
        <v>2.2</v>
      </c>
      <c r="H541" t="n">
        <v>0</v>
      </c>
      <c r="I541" t="n">
        <v>0</v>
      </c>
      <c r="J541" t="n">
        <v>0</v>
      </c>
      <c r="K541" t="n">
        <v>0</v>
      </c>
      <c r="L541" t="n">
        <v>0</v>
      </c>
      <c r="M541" t="n">
        <v>0</v>
      </c>
      <c r="N541" t="n">
        <v>0</v>
      </c>
      <c r="O541" t="n">
        <v>0</v>
      </c>
      <c r="P541" t="n">
        <v>0</v>
      </c>
      <c r="Q541" t="n">
        <v>0</v>
      </c>
      <c r="R541" s="2" t="inlineStr"/>
    </row>
    <row r="542" ht="15" customHeight="1">
      <c r="A542" t="inlineStr">
        <is>
          <t>A 27220-2025</t>
        </is>
      </c>
      <c r="B542" s="1" t="n">
        <v>45812.42293981482</v>
      </c>
      <c r="C542" s="1" t="n">
        <v>45923</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13700-2024</t>
        </is>
      </c>
      <c r="B543" s="1" t="n">
        <v>45390.59277777778</v>
      </c>
      <c r="C543" s="1" t="n">
        <v>45923</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27180-2025</t>
        </is>
      </c>
      <c r="B544" s="1" t="n">
        <v>45812.35736111111</v>
      </c>
      <c r="C544" s="1" t="n">
        <v>45923</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27215-2025</t>
        </is>
      </c>
      <c r="B545" s="1" t="n">
        <v>45812.41869212963</v>
      </c>
      <c r="C545" s="1" t="n">
        <v>45923</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27225-2025</t>
        </is>
      </c>
      <c r="B546" s="1" t="n">
        <v>45812.42856481481</v>
      </c>
      <c r="C546" s="1" t="n">
        <v>45923</v>
      </c>
      <c r="D546" t="inlineStr">
        <is>
          <t>ÖREBRO LÄN</t>
        </is>
      </c>
      <c r="E546" t="inlineStr">
        <is>
          <t>ÖREBRO</t>
        </is>
      </c>
      <c r="G546" t="n">
        <v>4</v>
      </c>
      <c r="H546" t="n">
        <v>0</v>
      </c>
      <c r="I546" t="n">
        <v>0</v>
      </c>
      <c r="J546" t="n">
        <v>0</v>
      </c>
      <c r="K546" t="n">
        <v>0</v>
      </c>
      <c r="L546" t="n">
        <v>0</v>
      </c>
      <c r="M546" t="n">
        <v>0</v>
      </c>
      <c r="N546" t="n">
        <v>0</v>
      </c>
      <c r="O546" t="n">
        <v>0</v>
      </c>
      <c r="P546" t="n">
        <v>0</v>
      </c>
      <c r="Q546" t="n">
        <v>0</v>
      </c>
      <c r="R546" s="2" t="inlineStr"/>
    </row>
    <row r="547" ht="15" customHeight="1">
      <c r="A547" t="inlineStr">
        <is>
          <t>A 3659-2025</t>
        </is>
      </c>
      <c r="B547" s="1" t="n">
        <v>45681</v>
      </c>
      <c r="C547" s="1" t="n">
        <v>45923</v>
      </c>
      <c r="D547" t="inlineStr">
        <is>
          <t>ÖREBRO LÄN</t>
        </is>
      </c>
      <c r="E547" t="inlineStr">
        <is>
          <t>ÖREBRO</t>
        </is>
      </c>
      <c r="G547" t="n">
        <v>15.8</v>
      </c>
      <c r="H547" t="n">
        <v>0</v>
      </c>
      <c r="I547" t="n">
        <v>0</v>
      </c>
      <c r="J547" t="n">
        <v>0</v>
      </c>
      <c r="K547" t="n">
        <v>0</v>
      </c>
      <c r="L547" t="n">
        <v>0</v>
      </c>
      <c r="M547" t="n">
        <v>0</v>
      </c>
      <c r="N547" t="n">
        <v>0</v>
      </c>
      <c r="O547" t="n">
        <v>0</v>
      </c>
      <c r="P547" t="n">
        <v>0</v>
      </c>
      <c r="Q547" t="n">
        <v>0</v>
      </c>
      <c r="R547" s="2" t="inlineStr"/>
    </row>
    <row r="548" ht="15" customHeight="1">
      <c r="A548" t="inlineStr">
        <is>
          <t>A 1014-2024</t>
        </is>
      </c>
      <c r="B548" s="1" t="n">
        <v>45301</v>
      </c>
      <c r="C548" s="1" t="n">
        <v>45923</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28120-2025</t>
        </is>
      </c>
      <c r="B549" s="1" t="n">
        <v>45818.30459490741</v>
      </c>
      <c r="C549" s="1" t="n">
        <v>45923</v>
      </c>
      <c r="D549" t="inlineStr">
        <is>
          <t>ÖREBRO LÄN</t>
        </is>
      </c>
      <c r="E549" t="inlineStr">
        <is>
          <t>ÖREBRO</t>
        </is>
      </c>
      <c r="G549" t="n">
        <v>1.5</v>
      </c>
      <c r="H549" t="n">
        <v>0</v>
      </c>
      <c r="I549" t="n">
        <v>0</v>
      </c>
      <c r="J549" t="n">
        <v>0</v>
      </c>
      <c r="K549" t="n">
        <v>0</v>
      </c>
      <c r="L549" t="n">
        <v>0</v>
      </c>
      <c r="M549" t="n">
        <v>0</v>
      </c>
      <c r="N549" t="n">
        <v>0</v>
      </c>
      <c r="O549" t="n">
        <v>0</v>
      </c>
      <c r="P549" t="n">
        <v>0</v>
      </c>
      <c r="Q549" t="n">
        <v>0</v>
      </c>
      <c r="R549" s="2" t="inlineStr"/>
    </row>
    <row r="550" ht="15" customHeight="1">
      <c r="A550" t="inlineStr">
        <is>
          <t>A 8374-2021</t>
        </is>
      </c>
      <c r="B550" s="1" t="n">
        <v>44244</v>
      </c>
      <c r="C550" s="1" t="n">
        <v>45923</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767-2024</t>
        </is>
      </c>
      <c r="B551" s="1" t="n">
        <v>45300.51892361111</v>
      </c>
      <c r="C551" s="1" t="n">
        <v>45923</v>
      </c>
      <c r="D551" t="inlineStr">
        <is>
          <t>ÖREBRO LÄN</t>
        </is>
      </c>
      <c r="E551" t="inlineStr">
        <is>
          <t>ÖREBRO</t>
        </is>
      </c>
      <c r="G551" t="n">
        <v>2</v>
      </c>
      <c r="H551" t="n">
        <v>0</v>
      </c>
      <c r="I551" t="n">
        <v>0</v>
      </c>
      <c r="J551" t="n">
        <v>0</v>
      </c>
      <c r="K551" t="n">
        <v>0</v>
      </c>
      <c r="L551" t="n">
        <v>0</v>
      </c>
      <c r="M551" t="n">
        <v>0</v>
      </c>
      <c r="N551" t="n">
        <v>0</v>
      </c>
      <c r="O551" t="n">
        <v>0</v>
      </c>
      <c r="P551" t="n">
        <v>0</v>
      </c>
      <c r="Q551" t="n">
        <v>0</v>
      </c>
      <c r="R551" s="2" t="inlineStr"/>
    </row>
    <row r="552" ht="15" customHeight="1">
      <c r="A552" t="inlineStr">
        <is>
          <t>A 44511-2023</t>
        </is>
      </c>
      <c r="B552" s="1" t="n">
        <v>45189</v>
      </c>
      <c r="C552" s="1" t="n">
        <v>45923</v>
      </c>
      <c r="D552" t="inlineStr">
        <is>
          <t>ÖREBRO LÄN</t>
        </is>
      </c>
      <c r="E552" t="inlineStr">
        <is>
          <t>ÖREBRO</t>
        </is>
      </c>
      <c r="F552" t="inlineStr">
        <is>
          <t>Allmännings- och besparingsskogar</t>
        </is>
      </c>
      <c r="G552" t="n">
        <v>2.7</v>
      </c>
      <c r="H552" t="n">
        <v>0</v>
      </c>
      <c r="I552" t="n">
        <v>0</v>
      </c>
      <c r="J552" t="n">
        <v>0</v>
      </c>
      <c r="K552" t="n">
        <v>0</v>
      </c>
      <c r="L552" t="n">
        <v>0</v>
      </c>
      <c r="M552" t="n">
        <v>0</v>
      </c>
      <c r="N552" t="n">
        <v>0</v>
      </c>
      <c r="O552" t="n">
        <v>0</v>
      </c>
      <c r="P552" t="n">
        <v>0</v>
      </c>
      <c r="Q552" t="n">
        <v>0</v>
      </c>
      <c r="R552" s="2" t="inlineStr"/>
    </row>
    <row r="553" ht="15" customHeight="1">
      <c r="A553" t="inlineStr">
        <is>
          <t>A 53234-2023</t>
        </is>
      </c>
      <c r="B553" s="1" t="n">
        <v>45229</v>
      </c>
      <c r="C553" s="1" t="n">
        <v>45923</v>
      </c>
      <c r="D553" t="inlineStr">
        <is>
          <t>ÖREBRO LÄN</t>
        </is>
      </c>
      <c r="E553" t="inlineStr">
        <is>
          <t>ÖREBRO</t>
        </is>
      </c>
      <c r="G553" t="n">
        <v>1.8</v>
      </c>
      <c r="H553" t="n">
        <v>0</v>
      </c>
      <c r="I553" t="n">
        <v>0</v>
      </c>
      <c r="J553" t="n">
        <v>0</v>
      </c>
      <c r="K553" t="n">
        <v>0</v>
      </c>
      <c r="L553" t="n">
        <v>0</v>
      </c>
      <c r="M553" t="n">
        <v>0</v>
      </c>
      <c r="N553" t="n">
        <v>0</v>
      </c>
      <c r="O553" t="n">
        <v>0</v>
      </c>
      <c r="P553" t="n">
        <v>0</v>
      </c>
      <c r="Q553" t="n">
        <v>0</v>
      </c>
      <c r="R553" s="2" t="inlineStr"/>
    </row>
    <row r="554" ht="15" customHeight="1">
      <c r="A554" t="inlineStr">
        <is>
          <t>A 8512-2025</t>
        </is>
      </c>
      <c r="B554" s="1" t="n">
        <v>45709.54873842592</v>
      </c>
      <c r="C554" s="1" t="n">
        <v>45923</v>
      </c>
      <c r="D554" t="inlineStr">
        <is>
          <t>ÖREBRO LÄN</t>
        </is>
      </c>
      <c r="E554" t="inlineStr">
        <is>
          <t>ÖREBRO</t>
        </is>
      </c>
      <c r="G554" t="n">
        <v>1.8</v>
      </c>
      <c r="H554" t="n">
        <v>0</v>
      </c>
      <c r="I554" t="n">
        <v>0</v>
      </c>
      <c r="J554" t="n">
        <v>0</v>
      </c>
      <c r="K554" t="n">
        <v>0</v>
      </c>
      <c r="L554" t="n">
        <v>0</v>
      </c>
      <c r="M554" t="n">
        <v>0</v>
      </c>
      <c r="N554" t="n">
        <v>0</v>
      </c>
      <c r="O554" t="n">
        <v>0</v>
      </c>
      <c r="P554" t="n">
        <v>0</v>
      </c>
      <c r="Q554" t="n">
        <v>0</v>
      </c>
      <c r="R554" s="2" t="inlineStr"/>
    </row>
    <row r="555" ht="15" customHeight="1">
      <c r="A555" t="inlineStr">
        <is>
          <t>A 28054-2022</t>
        </is>
      </c>
      <c r="B555" s="1" t="n">
        <v>44746.41938657407</v>
      </c>
      <c r="C555" s="1" t="n">
        <v>45923</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45923</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57485-2023</t>
        </is>
      </c>
      <c r="B557" s="1" t="n">
        <v>45246</v>
      </c>
      <c r="C557" s="1" t="n">
        <v>45923</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58032-2023</t>
        </is>
      </c>
      <c r="B558" s="1" t="n">
        <v>45247</v>
      </c>
      <c r="C558" s="1" t="n">
        <v>45923</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58035-2023</t>
        </is>
      </c>
      <c r="B559" s="1" t="n">
        <v>45247</v>
      </c>
      <c r="C559" s="1" t="n">
        <v>45923</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35829-2024</t>
        </is>
      </c>
      <c r="B560" s="1" t="n">
        <v>45532</v>
      </c>
      <c r="C560" s="1" t="n">
        <v>45923</v>
      </c>
      <c r="D560" t="inlineStr">
        <is>
          <t>ÖREBRO LÄN</t>
        </is>
      </c>
      <c r="E560" t="inlineStr">
        <is>
          <t>ÖREBRO</t>
        </is>
      </c>
      <c r="G560" t="n">
        <v>4.6</v>
      </c>
      <c r="H560" t="n">
        <v>0</v>
      </c>
      <c r="I560" t="n">
        <v>0</v>
      </c>
      <c r="J560" t="n">
        <v>0</v>
      </c>
      <c r="K560" t="n">
        <v>0</v>
      </c>
      <c r="L560" t="n">
        <v>0</v>
      </c>
      <c r="M560" t="n">
        <v>0</v>
      </c>
      <c r="N560" t="n">
        <v>0</v>
      </c>
      <c r="O560" t="n">
        <v>0</v>
      </c>
      <c r="P560" t="n">
        <v>0</v>
      </c>
      <c r="Q560" t="n">
        <v>0</v>
      </c>
      <c r="R560" s="2" t="inlineStr"/>
    </row>
    <row r="561" ht="15" customHeight="1">
      <c r="A561" t="inlineStr">
        <is>
          <t>A 35833-2024</t>
        </is>
      </c>
      <c r="B561" s="1" t="n">
        <v>45532.68699074074</v>
      </c>
      <c r="C561" s="1" t="n">
        <v>45923</v>
      </c>
      <c r="D561" t="inlineStr">
        <is>
          <t>ÖREBRO LÄN</t>
        </is>
      </c>
      <c r="E561" t="inlineStr">
        <is>
          <t>ÖREBRO</t>
        </is>
      </c>
      <c r="G561" t="n">
        <v>1.8</v>
      </c>
      <c r="H561" t="n">
        <v>0</v>
      </c>
      <c r="I561" t="n">
        <v>0</v>
      </c>
      <c r="J561" t="n">
        <v>0</v>
      </c>
      <c r="K561" t="n">
        <v>0</v>
      </c>
      <c r="L561" t="n">
        <v>0</v>
      </c>
      <c r="M561" t="n">
        <v>0</v>
      </c>
      <c r="N561" t="n">
        <v>0</v>
      </c>
      <c r="O561" t="n">
        <v>0</v>
      </c>
      <c r="P561" t="n">
        <v>0</v>
      </c>
      <c r="Q561" t="n">
        <v>0</v>
      </c>
      <c r="R561" s="2" t="inlineStr"/>
    </row>
    <row r="562" ht="15" customHeight="1">
      <c r="A562" t="inlineStr">
        <is>
          <t>A 14717-2024</t>
        </is>
      </c>
      <c r="B562" s="1" t="n">
        <v>45397.55104166667</v>
      </c>
      <c r="C562" s="1" t="n">
        <v>45923</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28938-2025</t>
        </is>
      </c>
      <c r="B563" s="1" t="n">
        <v>45820.70626157407</v>
      </c>
      <c r="C563" s="1" t="n">
        <v>45923</v>
      </c>
      <c r="D563" t="inlineStr">
        <is>
          <t>ÖREBRO LÄN</t>
        </is>
      </c>
      <c r="E563" t="inlineStr">
        <is>
          <t>ÖREBRO</t>
        </is>
      </c>
      <c r="G563" t="n">
        <v>1.9</v>
      </c>
      <c r="H563" t="n">
        <v>0</v>
      </c>
      <c r="I563" t="n">
        <v>0</v>
      </c>
      <c r="J563" t="n">
        <v>0</v>
      </c>
      <c r="K563" t="n">
        <v>0</v>
      </c>
      <c r="L563" t="n">
        <v>0</v>
      </c>
      <c r="M563" t="n">
        <v>0</v>
      </c>
      <c r="N563" t="n">
        <v>0</v>
      </c>
      <c r="O563" t="n">
        <v>0</v>
      </c>
      <c r="P563" t="n">
        <v>0</v>
      </c>
      <c r="Q563" t="n">
        <v>0</v>
      </c>
      <c r="R563" s="2" t="inlineStr"/>
    </row>
    <row r="564" ht="15" customHeight="1">
      <c r="A564" t="inlineStr">
        <is>
          <t>A 28920-2025</t>
        </is>
      </c>
      <c r="B564" s="1" t="n">
        <v>45820.66532407407</v>
      </c>
      <c r="C564" s="1" t="n">
        <v>45923</v>
      </c>
      <c r="D564" t="inlineStr">
        <is>
          <t>ÖREBRO LÄN</t>
        </is>
      </c>
      <c r="E564" t="inlineStr">
        <is>
          <t>ÖREBRO</t>
        </is>
      </c>
      <c r="G564" t="n">
        <v>3</v>
      </c>
      <c r="H564" t="n">
        <v>0</v>
      </c>
      <c r="I564" t="n">
        <v>0</v>
      </c>
      <c r="J564" t="n">
        <v>0</v>
      </c>
      <c r="K564" t="n">
        <v>0</v>
      </c>
      <c r="L564" t="n">
        <v>0</v>
      </c>
      <c r="M564" t="n">
        <v>0</v>
      </c>
      <c r="N564" t="n">
        <v>0</v>
      </c>
      <c r="O564" t="n">
        <v>0</v>
      </c>
      <c r="P564" t="n">
        <v>0</v>
      </c>
      <c r="Q564" t="n">
        <v>0</v>
      </c>
      <c r="R564" s="2" t="inlineStr"/>
    </row>
    <row r="565" ht="15" customHeight="1">
      <c r="A565" t="inlineStr">
        <is>
          <t>A 29286-2025</t>
        </is>
      </c>
      <c r="B565" s="1" t="n">
        <v>45824.43502314815</v>
      </c>
      <c r="C565" s="1" t="n">
        <v>45923</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29339-2025</t>
        </is>
      </c>
      <c r="B566" s="1" t="n">
        <v>45824.5044212963</v>
      </c>
      <c r="C566" s="1" t="n">
        <v>45923</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60059-2023</t>
        </is>
      </c>
      <c r="B567" s="1" t="n">
        <v>45258.38157407408</v>
      </c>
      <c r="C567" s="1" t="n">
        <v>45923</v>
      </c>
      <c r="D567" t="inlineStr">
        <is>
          <t>ÖREBRO LÄN</t>
        </is>
      </c>
      <c r="E567" t="inlineStr">
        <is>
          <t>ÖREBRO</t>
        </is>
      </c>
      <c r="G567" t="n">
        <v>4</v>
      </c>
      <c r="H567" t="n">
        <v>0</v>
      </c>
      <c r="I567" t="n">
        <v>0</v>
      </c>
      <c r="J567" t="n">
        <v>0</v>
      </c>
      <c r="K567" t="n">
        <v>0</v>
      </c>
      <c r="L567" t="n">
        <v>0</v>
      </c>
      <c r="M567" t="n">
        <v>0</v>
      </c>
      <c r="N567" t="n">
        <v>0</v>
      </c>
      <c r="O567" t="n">
        <v>0</v>
      </c>
      <c r="P567" t="n">
        <v>0</v>
      </c>
      <c r="Q567" t="n">
        <v>0</v>
      </c>
      <c r="R567" s="2" t="inlineStr"/>
    </row>
    <row r="568" ht="15" customHeight="1">
      <c r="A568" t="inlineStr">
        <is>
          <t>A 26858-2024</t>
        </is>
      </c>
      <c r="B568" s="1" t="n">
        <v>45470</v>
      </c>
      <c r="C568" s="1" t="n">
        <v>45923</v>
      </c>
      <c r="D568" t="inlineStr">
        <is>
          <t>ÖREBRO LÄN</t>
        </is>
      </c>
      <c r="E568" t="inlineStr">
        <is>
          <t>ÖREBRO</t>
        </is>
      </c>
      <c r="G568" t="n">
        <v>2.3</v>
      </c>
      <c r="H568" t="n">
        <v>0</v>
      </c>
      <c r="I568" t="n">
        <v>0</v>
      </c>
      <c r="J568" t="n">
        <v>0</v>
      </c>
      <c r="K568" t="n">
        <v>0</v>
      </c>
      <c r="L568" t="n">
        <v>0</v>
      </c>
      <c r="M568" t="n">
        <v>0</v>
      </c>
      <c r="N568" t="n">
        <v>0</v>
      </c>
      <c r="O568" t="n">
        <v>0</v>
      </c>
      <c r="P568" t="n">
        <v>0</v>
      </c>
      <c r="Q568" t="n">
        <v>0</v>
      </c>
      <c r="R568" s="2" t="inlineStr"/>
    </row>
    <row r="569" ht="15" customHeight="1">
      <c r="A569" t="inlineStr">
        <is>
          <t>A 5133-2024</t>
        </is>
      </c>
      <c r="B569" s="1" t="n">
        <v>45330</v>
      </c>
      <c r="C569" s="1" t="n">
        <v>45923</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29701-2025</t>
        </is>
      </c>
      <c r="B570" s="1" t="n">
        <v>45825.55261574074</v>
      </c>
      <c r="C570" s="1" t="n">
        <v>45923</v>
      </c>
      <c r="D570" t="inlineStr">
        <is>
          <t>ÖREBRO LÄN</t>
        </is>
      </c>
      <c r="E570" t="inlineStr">
        <is>
          <t>ÖREBRO</t>
        </is>
      </c>
      <c r="G570" t="n">
        <v>5.8</v>
      </c>
      <c r="H570" t="n">
        <v>0</v>
      </c>
      <c r="I570" t="n">
        <v>0</v>
      </c>
      <c r="J570" t="n">
        <v>0</v>
      </c>
      <c r="K570" t="n">
        <v>0</v>
      </c>
      <c r="L570" t="n">
        <v>0</v>
      </c>
      <c r="M570" t="n">
        <v>0</v>
      </c>
      <c r="N570" t="n">
        <v>0</v>
      </c>
      <c r="O570" t="n">
        <v>0</v>
      </c>
      <c r="P570" t="n">
        <v>0</v>
      </c>
      <c r="Q570" t="n">
        <v>0</v>
      </c>
      <c r="R570" s="2" t="inlineStr"/>
    </row>
    <row r="571" ht="15" customHeight="1">
      <c r="A571" t="inlineStr">
        <is>
          <t>A 14432-2023</t>
        </is>
      </c>
      <c r="B571" s="1" t="n">
        <v>45012</v>
      </c>
      <c r="C571" s="1" t="n">
        <v>45923</v>
      </c>
      <c r="D571" t="inlineStr">
        <is>
          <t>ÖREBRO LÄN</t>
        </is>
      </c>
      <c r="E571" t="inlineStr">
        <is>
          <t>ÖREBRO</t>
        </is>
      </c>
      <c r="G571" t="n">
        <v>3.3</v>
      </c>
      <c r="H571" t="n">
        <v>0</v>
      </c>
      <c r="I571" t="n">
        <v>0</v>
      </c>
      <c r="J571" t="n">
        <v>0</v>
      </c>
      <c r="K571" t="n">
        <v>0</v>
      </c>
      <c r="L571" t="n">
        <v>0</v>
      </c>
      <c r="M571" t="n">
        <v>0</v>
      </c>
      <c r="N571" t="n">
        <v>0</v>
      </c>
      <c r="O571" t="n">
        <v>0</v>
      </c>
      <c r="P571" t="n">
        <v>0</v>
      </c>
      <c r="Q571" t="n">
        <v>0</v>
      </c>
      <c r="R571" s="2" t="inlineStr"/>
    </row>
    <row r="572" ht="15" customHeight="1">
      <c r="A572" t="inlineStr">
        <is>
          <t>A 10339-2023</t>
        </is>
      </c>
      <c r="B572" s="1" t="n">
        <v>44987</v>
      </c>
      <c r="C572" s="1" t="n">
        <v>45923</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190-2024</t>
        </is>
      </c>
      <c r="B573" s="1" t="n">
        <v>45294.61858796296</v>
      </c>
      <c r="C573" s="1" t="n">
        <v>45923</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62497-2023</t>
        </is>
      </c>
      <c r="B574" s="1" t="n">
        <v>45268.59935185185</v>
      </c>
      <c r="C574" s="1" t="n">
        <v>45923</v>
      </c>
      <c r="D574" t="inlineStr">
        <is>
          <t>ÖREBRO LÄN</t>
        </is>
      </c>
      <c r="E574" t="inlineStr">
        <is>
          <t>ÖREBRO</t>
        </is>
      </c>
      <c r="F574" t="inlineStr">
        <is>
          <t>Övriga Aktiebolag</t>
        </is>
      </c>
      <c r="G574" t="n">
        <v>3.2</v>
      </c>
      <c r="H574" t="n">
        <v>0</v>
      </c>
      <c r="I574" t="n">
        <v>0</v>
      </c>
      <c r="J574" t="n">
        <v>0</v>
      </c>
      <c r="K574" t="n">
        <v>0</v>
      </c>
      <c r="L574" t="n">
        <v>0</v>
      </c>
      <c r="M574" t="n">
        <v>0</v>
      </c>
      <c r="N574" t="n">
        <v>0</v>
      </c>
      <c r="O574" t="n">
        <v>0</v>
      </c>
      <c r="P574" t="n">
        <v>0</v>
      </c>
      <c r="Q574" t="n">
        <v>0</v>
      </c>
      <c r="R574" s="2" t="inlineStr"/>
    </row>
    <row r="575" ht="15" customHeight="1">
      <c r="A575" t="inlineStr">
        <is>
          <t>A 30550-2025</t>
        </is>
      </c>
      <c r="B575" s="1" t="n">
        <v>45831.38224537037</v>
      </c>
      <c r="C575" s="1" t="n">
        <v>45923</v>
      </c>
      <c r="D575" t="inlineStr">
        <is>
          <t>ÖREBRO LÄN</t>
        </is>
      </c>
      <c r="E575" t="inlineStr">
        <is>
          <t>ÖREBRO</t>
        </is>
      </c>
      <c r="G575" t="n">
        <v>1.8</v>
      </c>
      <c r="H575" t="n">
        <v>0</v>
      </c>
      <c r="I575" t="n">
        <v>0</v>
      </c>
      <c r="J575" t="n">
        <v>0</v>
      </c>
      <c r="K575" t="n">
        <v>0</v>
      </c>
      <c r="L575" t="n">
        <v>0</v>
      </c>
      <c r="M575" t="n">
        <v>0</v>
      </c>
      <c r="N575" t="n">
        <v>0</v>
      </c>
      <c r="O575" t="n">
        <v>0</v>
      </c>
      <c r="P575" t="n">
        <v>0</v>
      </c>
      <c r="Q575" t="n">
        <v>0</v>
      </c>
      <c r="R575" s="2" t="inlineStr"/>
    </row>
    <row r="576" ht="15" customHeight="1">
      <c r="A576" t="inlineStr">
        <is>
          <t>A 43399-2022</t>
        </is>
      </c>
      <c r="B576" s="1" t="n">
        <v>44834</v>
      </c>
      <c r="C576" s="1" t="n">
        <v>45923</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30731-2025</t>
        </is>
      </c>
      <c r="B577" s="1" t="n">
        <v>45831.57280092593</v>
      </c>
      <c r="C577" s="1" t="n">
        <v>45923</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18550-2025</t>
        </is>
      </c>
      <c r="B578" s="1" t="n">
        <v>45763.43422453704</v>
      </c>
      <c r="C578" s="1" t="n">
        <v>45923</v>
      </c>
      <c r="D578" t="inlineStr">
        <is>
          <t>ÖREBRO LÄN</t>
        </is>
      </c>
      <c r="E578" t="inlineStr">
        <is>
          <t>ÖREBRO</t>
        </is>
      </c>
      <c r="G578" t="n">
        <v>11.5</v>
      </c>
      <c r="H578" t="n">
        <v>0</v>
      </c>
      <c r="I578" t="n">
        <v>0</v>
      </c>
      <c r="J578" t="n">
        <v>0</v>
      </c>
      <c r="K578" t="n">
        <v>0</v>
      </c>
      <c r="L578" t="n">
        <v>0</v>
      </c>
      <c r="M578" t="n">
        <v>0</v>
      </c>
      <c r="N578" t="n">
        <v>0</v>
      </c>
      <c r="O578" t="n">
        <v>0</v>
      </c>
      <c r="P578" t="n">
        <v>0</v>
      </c>
      <c r="Q578" t="n">
        <v>0</v>
      </c>
      <c r="R578" s="2" t="inlineStr"/>
    </row>
    <row r="579" ht="15" customHeight="1">
      <c r="A579" t="inlineStr">
        <is>
          <t>A 30951-2025</t>
        </is>
      </c>
      <c r="B579" s="1" t="n">
        <v>45832.43225694444</v>
      </c>
      <c r="C579" s="1" t="n">
        <v>45923</v>
      </c>
      <c r="D579" t="inlineStr">
        <is>
          <t>ÖREBRO LÄN</t>
        </is>
      </c>
      <c r="E579" t="inlineStr">
        <is>
          <t>ÖREBRO</t>
        </is>
      </c>
      <c r="F579" t="inlineStr">
        <is>
          <t>Övriga Aktiebolag</t>
        </is>
      </c>
      <c r="G579" t="n">
        <v>2.3</v>
      </c>
      <c r="H579" t="n">
        <v>0</v>
      </c>
      <c r="I579" t="n">
        <v>0</v>
      </c>
      <c r="J579" t="n">
        <v>0</v>
      </c>
      <c r="K579" t="n">
        <v>0</v>
      </c>
      <c r="L579" t="n">
        <v>0</v>
      </c>
      <c r="M579" t="n">
        <v>0</v>
      </c>
      <c r="N579" t="n">
        <v>0</v>
      </c>
      <c r="O579" t="n">
        <v>0</v>
      </c>
      <c r="P579" t="n">
        <v>0</v>
      </c>
      <c r="Q579" t="n">
        <v>0</v>
      </c>
      <c r="R579" s="2" t="inlineStr"/>
    </row>
    <row r="580" ht="15" customHeight="1">
      <c r="A580" t="inlineStr">
        <is>
          <t>A 63142-2023</t>
        </is>
      </c>
      <c r="B580" s="1" t="n">
        <v>45273</v>
      </c>
      <c r="C580" s="1" t="n">
        <v>45923</v>
      </c>
      <c r="D580" t="inlineStr">
        <is>
          <t>ÖREBRO LÄN</t>
        </is>
      </c>
      <c r="E580" t="inlineStr">
        <is>
          <t>ÖREBRO</t>
        </is>
      </c>
      <c r="G580" t="n">
        <v>1.8</v>
      </c>
      <c r="H580" t="n">
        <v>0</v>
      </c>
      <c r="I580" t="n">
        <v>0</v>
      </c>
      <c r="J580" t="n">
        <v>0</v>
      </c>
      <c r="K580" t="n">
        <v>0</v>
      </c>
      <c r="L580" t="n">
        <v>0</v>
      </c>
      <c r="M580" t="n">
        <v>0</v>
      </c>
      <c r="N580" t="n">
        <v>0</v>
      </c>
      <c r="O580" t="n">
        <v>0</v>
      </c>
      <c r="P580" t="n">
        <v>0</v>
      </c>
      <c r="Q580" t="n">
        <v>0</v>
      </c>
      <c r="R580" s="2" t="inlineStr"/>
    </row>
    <row r="581" ht="15" customHeight="1">
      <c r="A581" t="inlineStr">
        <is>
          <t>A 31066-2025</t>
        </is>
      </c>
      <c r="B581" s="1" t="n">
        <v>45832</v>
      </c>
      <c r="C581" s="1" t="n">
        <v>45923</v>
      </c>
      <c r="D581" t="inlineStr">
        <is>
          <t>ÖREBRO LÄN</t>
        </is>
      </c>
      <c r="E581" t="inlineStr">
        <is>
          <t>ÖREBRO</t>
        </is>
      </c>
      <c r="G581" t="n">
        <v>11.1</v>
      </c>
      <c r="H581" t="n">
        <v>0</v>
      </c>
      <c r="I581" t="n">
        <v>0</v>
      </c>
      <c r="J581" t="n">
        <v>0</v>
      </c>
      <c r="K581" t="n">
        <v>0</v>
      </c>
      <c r="L581" t="n">
        <v>0</v>
      </c>
      <c r="M581" t="n">
        <v>0</v>
      </c>
      <c r="N581" t="n">
        <v>0</v>
      </c>
      <c r="O581" t="n">
        <v>0</v>
      </c>
      <c r="P581" t="n">
        <v>0</v>
      </c>
      <c r="Q581" t="n">
        <v>0</v>
      </c>
      <c r="R581" s="2" t="inlineStr"/>
    </row>
    <row r="582" ht="15" customHeight="1">
      <c r="A582" t="inlineStr">
        <is>
          <t>A 37021-2024</t>
        </is>
      </c>
      <c r="B582" s="1" t="n">
        <v>45539.38146990741</v>
      </c>
      <c r="C582" s="1" t="n">
        <v>45923</v>
      </c>
      <c r="D582" t="inlineStr">
        <is>
          <t>ÖREBRO LÄN</t>
        </is>
      </c>
      <c r="E582" t="inlineStr">
        <is>
          <t>ÖREBRO</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23573-2023</t>
        </is>
      </c>
      <c r="B583" s="1" t="n">
        <v>45077.41672453703</v>
      </c>
      <c r="C583" s="1" t="n">
        <v>45923</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13762-2023</t>
        </is>
      </c>
      <c r="B584" s="1" t="n">
        <v>45007.43729166667</v>
      </c>
      <c r="C584" s="1" t="n">
        <v>45923</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31233-2025</t>
        </is>
      </c>
      <c r="B585" s="1" t="n">
        <v>45832.83341435185</v>
      </c>
      <c r="C585" s="1" t="n">
        <v>45923</v>
      </c>
      <c r="D585" t="inlineStr">
        <is>
          <t>ÖREBRO LÄN</t>
        </is>
      </c>
      <c r="E585" t="inlineStr">
        <is>
          <t>ÖREBRO</t>
        </is>
      </c>
      <c r="F585" t="inlineStr">
        <is>
          <t>Övriga Aktiebolag</t>
        </is>
      </c>
      <c r="G585" t="n">
        <v>2</v>
      </c>
      <c r="H585" t="n">
        <v>0</v>
      </c>
      <c r="I585" t="n">
        <v>0</v>
      </c>
      <c r="J585" t="n">
        <v>0</v>
      </c>
      <c r="K585" t="n">
        <v>0</v>
      </c>
      <c r="L585" t="n">
        <v>0</v>
      </c>
      <c r="M585" t="n">
        <v>0</v>
      </c>
      <c r="N585" t="n">
        <v>0</v>
      </c>
      <c r="O585" t="n">
        <v>0</v>
      </c>
      <c r="P585" t="n">
        <v>0</v>
      </c>
      <c r="Q585" t="n">
        <v>0</v>
      </c>
      <c r="R585" s="2" t="inlineStr"/>
    </row>
    <row r="586" ht="15" customHeight="1">
      <c r="A586" t="inlineStr">
        <is>
          <t>A 31232-2025</t>
        </is>
      </c>
      <c r="B586" s="1" t="n">
        <v>45832.8252199074</v>
      </c>
      <c r="C586" s="1" t="n">
        <v>45923</v>
      </c>
      <c r="D586" t="inlineStr">
        <is>
          <t>ÖREBRO LÄN</t>
        </is>
      </c>
      <c r="E586" t="inlineStr">
        <is>
          <t>ÖREBRO</t>
        </is>
      </c>
      <c r="F586" t="inlineStr">
        <is>
          <t>Övriga Aktiebolag</t>
        </is>
      </c>
      <c r="G586" t="n">
        <v>2.1</v>
      </c>
      <c r="H586" t="n">
        <v>0</v>
      </c>
      <c r="I586" t="n">
        <v>0</v>
      </c>
      <c r="J586" t="n">
        <v>0</v>
      </c>
      <c r="K586" t="n">
        <v>0</v>
      </c>
      <c r="L586" t="n">
        <v>0</v>
      </c>
      <c r="M586" t="n">
        <v>0</v>
      </c>
      <c r="N586" t="n">
        <v>0</v>
      </c>
      <c r="O586" t="n">
        <v>0</v>
      </c>
      <c r="P586" t="n">
        <v>0</v>
      </c>
      <c r="Q586" t="n">
        <v>0</v>
      </c>
      <c r="R586" s="2" t="inlineStr"/>
    </row>
    <row r="587" ht="15" customHeight="1">
      <c r="A587" t="inlineStr">
        <is>
          <t>A 31237-2025</t>
        </is>
      </c>
      <c r="B587" s="1" t="n">
        <v>45832.84313657408</v>
      </c>
      <c r="C587" s="1" t="n">
        <v>45923</v>
      </c>
      <c r="D587" t="inlineStr">
        <is>
          <t>ÖREBRO LÄN</t>
        </is>
      </c>
      <c r="E587" t="inlineStr">
        <is>
          <t>ÖREBRO</t>
        </is>
      </c>
      <c r="F587" t="inlineStr">
        <is>
          <t>Övriga Aktiebolag</t>
        </is>
      </c>
      <c r="G587" t="n">
        <v>1.7</v>
      </c>
      <c r="H587" t="n">
        <v>0</v>
      </c>
      <c r="I587" t="n">
        <v>0</v>
      </c>
      <c r="J587" t="n">
        <v>0</v>
      </c>
      <c r="K587" t="n">
        <v>0</v>
      </c>
      <c r="L587" t="n">
        <v>0</v>
      </c>
      <c r="M587" t="n">
        <v>0</v>
      </c>
      <c r="N587" t="n">
        <v>0</v>
      </c>
      <c r="O587" t="n">
        <v>0</v>
      </c>
      <c r="P587" t="n">
        <v>0</v>
      </c>
      <c r="Q587" t="n">
        <v>0</v>
      </c>
      <c r="R587" s="2" t="inlineStr"/>
    </row>
    <row r="588" ht="15" customHeight="1">
      <c r="A588" t="inlineStr">
        <is>
          <t>A 5129-2024</t>
        </is>
      </c>
      <c r="B588" s="1" t="n">
        <v>45330</v>
      </c>
      <c r="C588" s="1" t="n">
        <v>45923</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32218-2025</t>
        </is>
      </c>
      <c r="B589" s="1" t="n">
        <v>45835.58880787037</v>
      </c>
      <c r="C589" s="1" t="n">
        <v>45923</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32188-2025</t>
        </is>
      </c>
      <c r="B590" s="1" t="n">
        <v>45835.56965277778</v>
      </c>
      <c r="C590" s="1" t="n">
        <v>45923</v>
      </c>
      <c r="D590" t="inlineStr">
        <is>
          <t>ÖREBRO LÄN</t>
        </is>
      </c>
      <c r="E590" t="inlineStr">
        <is>
          <t>ÖREBRO</t>
        </is>
      </c>
      <c r="G590" t="n">
        <v>2.9</v>
      </c>
      <c r="H590" t="n">
        <v>0</v>
      </c>
      <c r="I590" t="n">
        <v>0</v>
      </c>
      <c r="J590" t="n">
        <v>0</v>
      </c>
      <c r="K590" t="n">
        <v>0</v>
      </c>
      <c r="L590" t="n">
        <v>0</v>
      </c>
      <c r="M590" t="n">
        <v>0</v>
      </c>
      <c r="N590" t="n">
        <v>0</v>
      </c>
      <c r="O590" t="n">
        <v>0</v>
      </c>
      <c r="P590" t="n">
        <v>0</v>
      </c>
      <c r="Q590" t="n">
        <v>0</v>
      </c>
      <c r="R590" s="2" t="inlineStr"/>
    </row>
    <row r="591" ht="15" customHeight="1">
      <c r="A591" t="inlineStr">
        <is>
          <t>A 32195-2025</t>
        </is>
      </c>
      <c r="B591" s="1" t="n">
        <v>45835.57407407407</v>
      </c>
      <c r="C591" s="1" t="n">
        <v>45923</v>
      </c>
      <c r="D591" t="inlineStr">
        <is>
          <t>ÖREBRO LÄN</t>
        </is>
      </c>
      <c r="E591" t="inlineStr">
        <is>
          <t>ÖREBRO</t>
        </is>
      </c>
      <c r="G591" t="n">
        <v>1.5</v>
      </c>
      <c r="H591" t="n">
        <v>0</v>
      </c>
      <c r="I591" t="n">
        <v>0</v>
      </c>
      <c r="J591" t="n">
        <v>0</v>
      </c>
      <c r="K591" t="n">
        <v>0</v>
      </c>
      <c r="L591" t="n">
        <v>0</v>
      </c>
      <c r="M591" t="n">
        <v>0</v>
      </c>
      <c r="N591" t="n">
        <v>0</v>
      </c>
      <c r="O591" t="n">
        <v>0</v>
      </c>
      <c r="P591" t="n">
        <v>0</v>
      </c>
      <c r="Q591" t="n">
        <v>0</v>
      </c>
      <c r="R591" s="2" t="inlineStr"/>
    </row>
    <row r="592" ht="15" customHeight="1">
      <c r="A592" t="inlineStr">
        <is>
          <t>A 38057-2025</t>
        </is>
      </c>
      <c r="B592" s="1" t="n">
        <v>45882.42570601852</v>
      </c>
      <c r="C592" s="1" t="n">
        <v>45923</v>
      </c>
      <c r="D592" t="inlineStr">
        <is>
          <t>ÖREBRO LÄN</t>
        </is>
      </c>
      <c r="E592" t="inlineStr">
        <is>
          <t>ÖREBRO</t>
        </is>
      </c>
      <c r="G592" t="n">
        <v>3</v>
      </c>
      <c r="H592" t="n">
        <v>0</v>
      </c>
      <c r="I592" t="n">
        <v>0</v>
      </c>
      <c r="J592" t="n">
        <v>0</v>
      </c>
      <c r="K592" t="n">
        <v>0</v>
      </c>
      <c r="L592" t="n">
        <v>0</v>
      </c>
      <c r="M592" t="n">
        <v>0</v>
      </c>
      <c r="N592" t="n">
        <v>0</v>
      </c>
      <c r="O592" t="n">
        <v>0</v>
      </c>
      <c r="P592" t="n">
        <v>0</v>
      </c>
      <c r="Q592" t="n">
        <v>0</v>
      </c>
      <c r="R592" s="2" t="inlineStr"/>
    </row>
    <row r="593" ht="15" customHeight="1">
      <c r="A593" t="inlineStr">
        <is>
          <t>A 33191-2025</t>
        </is>
      </c>
      <c r="B593" s="1" t="n">
        <v>45840.6003587963</v>
      </c>
      <c r="C593" s="1" t="n">
        <v>45923</v>
      </c>
      <c r="D593" t="inlineStr">
        <is>
          <t>ÖREBRO LÄN</t>
        </is>
      </c>
      <c r="E593" t="inlineStr">
        <is>
          <t>ÖREBRO</t>
        </is>
      </c>
      <c r="G593" t="n">
        <v>2.6</v>
      </c>
      <c r="H593" t="n">
        <v>0</v>
      </c>
      <c r="I593" t="n">
        <v>0</v>
      </c>
      <c r="J593" t="n">
        <v>0</v>
      </c>
      <c r="K593" t="n">
        <v>0</v>
      </c>
      <c r="L593" t="n">
        <v>0</v>
      </c>
      <c r="M593" t="n">
        <v>0</v>
      </c>
      <c r="N593" t="n">
        <v>0</v>
      </c>
      <c r="O593" t="n">
        <v>0</v>
      </c>
      <c r="P593" t="n">
        <v>0</v>
      </c>
      <c r="Q593" t="n">
        <v>0</v>
      </c>
      <c r="R593" s="2" t="inlineStr"/>
    </row>
    <row r="594" ht="15" customHeight="1">
      <c r="A594" t="inlineStr">
        <is>
          <t>A 32426-2025</t>
        </is>
      </c>
      <c r="B594" s="1" t="n">
        <v>45838.36179398148</v>
      </c>
      <c r="C594" s="1" t="n">
        <v>45923</v>
      </c>
      <c r="D594" t="inlineStr">
        <is>
          <t>ÖREBRO LÄN</t>
        </is>
      </c>
      <c r="E594" t="inlineStr">
        <is>
          <t>ÖREBRO</t>
        </is>
      </c>
      <c r="G594" t="n">
        <v>1.1</v>
      </c>
      <c r="H594" t="n">
        <v>0</v>
      </c>
      <c r="I594" t="n">
        <v>0</v>
      </c>
      <c r="J594" t="n">
        <v>0</v>
      </c>
      <c r="K594" t="n">
        <v>0</v>
      </c>
      <c r="L594" t="n">
        <v>0</v>
      </c>
      <c r="M594" t="n">
        <v>0</v>
      </c>
      <c r="N594" t="n">
        <v>0</v>
      </c>
      <c r="O594" t="n">
        <v>0</v>
      </c>
      <c r="P594" t="n">
        <v>0</v>
      </c>
      <c r="Q594" t="n">
        <v>0</v>
      </c>
      <c r="R594" s="2" t="inlineStr"/>
    </row>
    <row r="595" ht="15" customHeight="1">
      <c r="A595" t="inlineStr">
        <is>
          <t>A 32904-2025</t>
        </is>
      </c>
      <c r="B595" s="1" t="n">
        <v>45839</v>
      </c>
      <c r="C595" s="1" t="n">
        <v>45923</v>
      </c>
      <c r="D595" t="inlineStr">
        <is>
          <t>ÖREBRO LÄN</t>
        </is>
      </c>
      <c r="E595" t="inlineStr">
        <is>
          <t>ÖREBRO</t>
        </is>
      </c>
      <c r="G595" t="n">
        <v>0.6</v>
      </c>
      <c r="H595" t="n">
        <v>0</v>
      </c>
      <c r="I595" t="n">
        <v>0</v>
      </c>
      <c r="J595" t="n">
        <v>0</v>
      </c>
      <c r="K595" t="n">
        <v>0</v>
      </c>
      <c r="L595" t="n">
        <v>0</v>
      </c>
      <c r="M595" t="n">
        <v>0</v>
      </c>
      <c r="N595" t="n">
        <v>0</v>
      </c>
      <c r="O595" t="n">
        <v>0</v>
      </c>
      <c r="P595" t="n">
        <v>0</v>
      </c>
      <c r="Q595" t="n">
        <v>0</v>
      </c>
      <c r="R595" s="2" t="inlineStr"/>
    </row>
    <row r="596" ht="15" customHeight="1">
      <c r="A596" t="inlineStr">
        <is>
          <t>A 33019-2025</t>
        </is>
      </c>
      <c r="B596" s="1" t="n">
        <v>45840</v>
      </c>
      <c r="C596" s="1" t="n">
        <v>45923</v>
      </c>
      <c r="D596" t="inlineStr">
        <is>
          <t>ÖREBRO LÄN</t>
        </is>
      </c>
      <c r="E596" t="inlineStr">
        <is>
          <t>ÖREBRO</t>
        </is>
      </c>
      <c r="G596" t="n">
        <v>4.2</v>
      </c>
      <c r="H596" t="n">
        <v>0</v>
      </c>
      <c r="I596" t="n">
        <v>0</v>
      </c>
      <c r="J596" t="n">
        <v>0</v>
      </c>
      <c r="K596" t="n">
        <v>0</v>
      </c>
      <c r="L596" t="n">
        <v>0</v>
      </c>
      <c r="M596" t="n">
        <v>0</v>
      </c>
      <c r="N596" t="n">
        <v>0</v>
      </c>
      <c r="O596" t="n">
        <v>0</v>
      </c>
      <c r="P596" t="n">
        <v>0</v>
      </c>
      <c r="Q596" t="n">
        <v>0</v>
      </c>
      <c r="R596" s="2" t="inlineStr"/>
    </row>
    <row r="597" ht="15" customHeight="1">
      <c r="A597" t="inlineStr">
        <is>
          <t>A 39003-2025</t>
        </is>
      </c>
      <c r="B597" s="1" t="n">
        <v>45888.34467592592</v>
      </c>
      <c r="C597" s="1" t="n">
        <v>45923</v>
      </c>
      <c r="D597" t="inlineStr">
        <is>
          <t>ÖREBRO LÄN</t>
        </is>
      </c>
      <c r="E597" t="inlineStr">
        <is>
          <t>ÖREBRO</t>
        </is>
      </c>
      <c r="G597" t="n">
        <v>3.7</v>
      </c>
      <c r="H597" t="n">
        <v>0</v>
      </c>
      <c r="I597" t="n">
        <v>0</v>
      </c>
      <c r="J597" t="n">
        <v>0</v>
      </c>
      <c r="K597" t="n">
        <v>0</v>
      </c>
      <c r="L597" t="n">
        <v>0</v>
      </c>
      <c r="M597" t="n">
        <v>0</v>
      </c>
      <c r="N597" t="n">
        <v>0</v>
      </c>
      <c r="O597" t="n">
        <v>0</v>
      </c>
      <c r="P597" t="n">
        <v>0</v>
      </c>
      <c r="Q597" t="n">
        <v>0</v>
      </c>
      <c r="R597" s="2" t="inlineStr"/>
    </row>
    <row r="598" ht="15" customHeight="1">
      <c r="A598" t="inlineStr">
        <is>
          <t>A 48687-2024</t>
        </is>
      </c>
      <c r="B598" s="1" t="n">
        <v>45593.49899305555</v>
      </c>
      <c r="C598" s="1" t="n">
        <v>45923</v>
      </c>
      <c r="D598" t="inlineStr">
        <is>
          <t>ÖREBRO LÄN</t>
        </is>
      </c>
      <c r="E598" t="inlineStr">
        <is>
          <t>ÖREBRO</t>
        </is>
      </c>
      <c r="F598" t="inlineStr">
        <is>
          <t>Övriga Aktiebolag</t>
        </is>
      </c>
      <c r="G598" t="n">
        <v>3.8</v>
      </c>
      <c r="H598" t="n">
        <v>0</v>
      </c>
      <c r="I598" t="n">
        <v>0</v>
      </c>
      <c r="J598" t="n">
        <v>0</v>
      </c>
      <c r="K598" t="n">
        <v>0</v>
      </c>
      <c r="L598" t="n">
        <v>0</v>
      </c>
      <c r="M598" t="n">
        <v>0</v>
      </c>
      <c r="N598" t="n">
        <v>0</v>
      </c>
      <c r="O598" t="n">
        <v>0</v>
      </c>
      <c r="P598" t="n">
        <v>0</v>
      </c>
      <c r="Q598" t="n">
        <v>0</v>
      </c>
      <c r="R598" s="2" t="inlineStr"/>
    </row>
    <row r="599">
      <c r="A599" t="inlineStr">
        <is>
          <t>A 39479-2025</t>
        </is>
      </c>
      <c r="B599" s="1" t="n">
        <v>45890.34752314815</v>
      </c>
      <c r="C599" s="1" t="n">
        <v>45923</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2025-09-23T10:22:25Z</dcterms:created>
  <dcterms:modified xmlns:dcterms="http://purl.org/dc/terms/" xmlns:xsi="http://www.w3.org/2001/XMLSchema-instance" xsi:type="dcterms:W3CDTF">2025-09-23T10:22:25Z</dcterms:modified>
</cp:coreProperties>
</file>