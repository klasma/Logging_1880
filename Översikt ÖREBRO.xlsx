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46083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46083</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46083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46083</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46083</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46083</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46083</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15758-2023</t>
        </is>
      </c>
      <c r="B9" s="1" t="n">
        <v>45021</v>
      </c>
      <c r="C9" s="1" t="n">
        <v>46083</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13166-2021</t>
        </is>
      </c>
      <c r="B10" s="1" t="n">
        <v>44272</v>
      </c>
      <c r="C10" s="1" t="n">
        <v>46083</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46083</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59520-2025</t>
        </is>
      </c>
      <c r="B12" s="1" t="n">
        <v>45989</v>
      </c>
      <c r="C12" s="1" t="n">
        <v>46083</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46083</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46083</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46083</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5354-2024</t>
        </is>
      </c>
      <c r="B16" s="1" t="n">
        <v>45331</v>
      </c>
      <c r="C16" s="1" t="n">
        <v>46083</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46083</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58832-2025</t>
        </is>
      </c>
      <c r="B18" s="1" t="n">
        <v>45987</v>
      </c>
      <c r="C18" s="1" t="n">
        <v>46083</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51530-2024</t>
        </is>
      </c>
      <c r="B19" s="1" t="n">
        <v>45604</v>
      </c>
      <c r="C19" s="1" t="n">
        <v>46083</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46083</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46083</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46083</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35098-2025</t>
        </is>
      </c>
      <c r="B23" s="1" t="n">
        <v>45852.5469212963</v>
      </c>
      <c r="C23" s="1" t="n">
        <v>46083</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58837-2025</t>
        </is>
      </c>
      <c r="B24" s="1" t="n">
        <v>45987.35875</v>
      </c>
      <c r="C24" s="1" t="n">
        <v>46083</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575-2024</t>
        </is>
      </c>
      <c r="B25" s="1" t="n">
        <v>45299</v>
      </c>
      <c r="C25" s="1" t="n">
        <v>46083</v>
      </c>
      <c r="D25" t="inlineStr">
        <is>
          <t>ÖREBRO LÄN</t>
        </is>
      </c>
      <c r="E25" t="inlineStr">
        <is>
          <t>ÖREBRO</t>
        </is>
      </c>
      <c r="F25" t="inlineStr">
        <is>
          <t>Övriga Aktiebolag</t>
        </is>
      </c>
      <c r="G25" t="n">
        <v>1.1</v>
      </c>
      <c r="H25" t="n">
        <v>3</v>
      </c>
      <c r="I25" t="n">
        <v>0</v>
      </c>
      <c r="J25" t="n">
        <v>2</v>
      </c>
      <c r="K25" t="n">
        <v>0</v>
      </c>
      <c r="L25" t="n">
        <v>0</v>
      </c>
      <c r="M25" t="n">
        <v>0</v>
      </c>
      <c r="N25" t="n">
        <v>0</v>
      </c>
      <c r="O25" t="n">
        <v>2</v>
      </c>
      <c r="P25" t="n">
        <v>0</v>
      </c>
      <c r="Q25" t="n">
        <v>3</v>
      </c>
      <c r="R25" s="2" t="inlineStr">
        <is>
          <t>Grönsångare
Rödvingetrast
Kungsfågel</t>
        </is>
      </c>
      <c r="S25">
        <f>HYPERLINK("https://klasma.github.io/Logging_1880/artfynd/A 575-2024 artfynd.xlsx", "A 575-2024")</f>
        <v/>
      </c>
      <c r="T25">
        <f>HYPERLINK("https://klasma.github.io/Logging_1880/kartor/A 575-2024 karta.png", "A 575-2024")</f>
        <v/>
      </c>
      <c r="V25">
        <f>HYPERLINK("https://klasma.github.io/Logging_1880/klagomål/A 575-2024 FSC-klagomål.docx", "A 575-2024")</f>
        <v/>
      </c>
      <c r="W25">
        <f>HYPERLINK("https://klasma.github.io/Logging_1880/klagomålsmail/A 575-2024 FSC-klagomål mail.docx", "A 575-2024")</f>
        <v/>
      </c>
      <c r="X25">
        <f>HYPERLINK("https://klasma.github.io/Logging_1880/tillsyn/A 575-2024 tillsynsbegäran.docx", "A 575-2024")</f>
        <v/>
      </c>
      <c r="Y25">
        <f>HYPERLINK("https://klasma.github.io/Logging_1880/tillsynsmail/A 575-2024 tillsynsbegäran mail.docx", "A 575-2024")</f>
        <v/>
      </c>
      <c r="Z25">
        <f>HYPERLINK("https://klasma.github.io/Logging_1880/fåglar/A 575-2024 prioriterade fågelarter.docx", "A 575-2024")</f>
        <v/>
      </c>
    </row>
    <row r="26" ht="15" customHeight="1">
      <c r="A26" t="inlineStr">
        <is>
          <t>A 59519-2025</t>
        </is>
      </c>
      <c r="B26" s="1" t="n">
        <v>45989</v>
      </c>
      <c r="C26" s="1" t="n">
        <v>46083</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59517-2025</t>
        </is>
      </c>
      <c r="B27" s="1" t="n">
        <v>45989.65462962963</v>
      </c>
      <c r="C27" s="1" t="n">
        <v>46083</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50096-2023</t>
        </is>
      </c>
      <c r="B28" s="1" t="n">
        <v>45215</v>
      </c>
      <c r="C28" s="1" t="n">
        <v>46083</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46083</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46083</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46083</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46083</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46083</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46083</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46083</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30409-2025</t>
        </is>
      </c>
      <c r="B36" s="1" t="n">
        <v>45827.59738425926</v>
      </c>
      <c r="C36" s="1" t="n">
        <v>46083</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51550-2025</t>
        </is>
      </c>
      <c r="B37" s="1" t="n">
        <v>45950.83359953704</v>
      </c>
      <c r="C37" s="1" t="n">
        <v>46083</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13395-2024</t>
        </is>
      </c>
      <c r="B38" s="1" t="n">
        <v>45387.42296296296</v>
      </c>
      <c r="C38" s="1" t="n">
        <v>46083</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60557-2025</t>
        </is>
      </c>
      <c r="B39" s="1" t="n">
        <v>45995.74444444444</v>
      </c>
      <c r="C39" s="1" t="n">
        <v>46083</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63196-2025</t>
        </is>
      </c>
      <c r="B40" s="1" t="n">
        <v>46010.45872685185</v>
      </c>
      <c r="C40" s="1" t="n">
        <v>46083</v>
      </c>
      <c r="D40" t="inlineStr">
        <is>
          <t>ÖREBRO LÄN</t>
        </is>
      </c>
      <c r="E40" t="inlineStr">
        <is>
          <t>ÖREBRO</t>
        </is>
      </c>
      <c r="F40" t="inlineStr">
        <is>
          <t>Sveaskog</t>
        </is>
      </c>
      <c r="G40" t="n">
        <v>1.4</v>
      </c>
      <c r="H40" t="n">
        <v>1</v>
      </c>
      <c r="I40" t="n">
        <v>1</v>
      </c>
      <c r="J40" t="n">
        <v>0</v>
      </c>
      <c r="K40" t="n">
        <v>0</v>
      </c>
      <c r="L40" t="n">
        <v>0</v>
      </c>
      <c r="M40" t="n">
        <v>0</v>
      </c>
      <c r="N40" t="n">
        <v>0</v>
      </c>
      <c r="O40" t="n">
        <v>0</v>
      </c>
      <c r="P40" t="n">
        <v>0</v>
      </c>
      <c r="Q40" t="n">
        <v>2</v>
      </c>
      <c r="R40" s="2" t="inlineStr">
        <is>
          <t>Tibast
Blåsippa</t>
        </is>
      </c>
      <c r="S40">
        <f>HYPERLINK("https://klasma.github.io/Logging_1880/artfynd/A 63196-2025 artfynd.xlsx", "A 63196-2025")</f>
        <v/>
      </c>
      <c r="T40">
        <f>HYPERLINK("https://klasma.github.io/Logging_1880/kartor/A 63196-2025 karta.png", "A 63196-2025")</f>
        <v/>
      </c>
      <c r="V40">
        <f>HYPERLINK("https://klasma.github.io/Logging_1880/klagomål/A 63196-2025 FSC-klagomål.docx", "A 63196-2025")</f>
        <v/>
      </c>
      <c r="W40">
        <f>HYPERLINK("https://klasma.github.io/Logging_1880/klagomålsmail/A 63196-2025 FSC-klagomål mail.docx", "A 63196-2025")</f>
        <v/>
      </c>
      <c r="X40">
        <f>HYPERLINK("https://klasma.github.io/Logging_1880/tillsyn/A 63196-2025 tillsynsbegäran.docx", "A 63196-2025")</f>
        <v/>
      </c>
      <c r="Y40">
        <f>HYPERLINK("https://klasma.github.io/Logging_1880/tillsynsmail/A 63196-2025 tillsynsbegäran mail.docx", "A 63196-2025")</f>
        <v/>
      </c>
    </row>
    <row r="41" ht="15" customHeight="1">
      <c r="A41" t="inlineStr">
        <is>
          <t>A 37019-2024</t>
        </is>
      </c>
      <c r="B41" s="1" t="n">
        <v>45539.37905092593</v>
      </c>
      <c r="C41" s="1" t="n">
        <v>46083</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7608-2024</t>
        </is>
      </c>
      <c r="B42" s="1" t="n">
        <v>45348</v>
      </c>
      <c r="C42" s="1" t="n">
        <v>46083</v>
      </c>
      <c r="D42" t="inlineStr">
        <is>
          <t>ÖREBRO LÄN</t>
        </is>
      </c>
      <c r="E42" t="inlineStr">
        <is>
          <t>ÖREBRO</t>
        </is>
      </c>
      <c r="G42" t="n">
        <v>4.3</v>
      </c>
      <c r="H42" t="n">
        <v>2</v>
      </c>
      <c r="I42" t="n">
        <v>0</v>
      </c>
      <c r="J42" t="n">
        <v>1</v>
      </c>
      <c r="K42" t="n">
        <v>1</v>
      </c>
      <c r="L42" t="n">
        <v>0</v>
      </c>
      <c r="M42" t="n">
        <v>0</v>
      </c>
      <c r="N42" t="n">
        <v>0</v>
      </c>
      <c r="O42" t="n">
        <v>2</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2998-2026</t>
        </is>
      </c>
      <c r="B43" s="1" t="n">
        <v>46038.64835648148</v>
      </c>
      <c r="C43" s="1" t="n">
        <v>46083</v>
      </c>
      <c r="D43" t="inlineStr">
        <is>
          <t>ÖREBRO LÄN</t>
        </is>
      </c>
      <c r="E43" t="inlineStr">
        <is>
          <t>ÖREBRO</t>
        </is>
      </c>
      <c r="F43" t="inlineStr">
        <is>
          <t>Övriga Aktiebolag</t>
        </is>
      </c>
      <c r="G43" t="n">
        <v>6.4</v>
      </c>
      <c r="H43" t="n">
        <v>2</v>
      </c>
      <c r="I43" t="n">
        <v>0</v>
      </c>
      <c r="J43" t="n">
        <v>1</v>
      </c>
      <c r="K43" t="n">
        <v>0</v>
      </c>
      <c r="L43" t="n">
        <v>0</v>
      </c>
      <c r="M43" t="n">
        <v>0</v>
      </c>
      <c r="N43" t="n">
        <v>0</v>
      </c>
      <c r="O43" t="n">
        <v>1</v>
      </c>
      <c r="P43" t="n">
        <v>0</v>
      </c>
      <c r="Q43" t="n">
        <v>2</v>
      </c>
      <c r="R43" s="2" t="inlineStr">
        <is>
          <t>Grönsångare
Kungsfågel</t>
        </is>
      </c>
      <c r="S43">
        <f>HYPERLINK("https://klasma.github.io/Logging_1880/artfynd/A 2998-2026 artfynd.xlsx", "A 2998-2026")</f>
        <v/>
      </c>
      <c r="T43">
        <f>HYPERLINK("https://klasma.github.io/Logging_1880/kartor/A 2998-2026 karta.png", "A 2998-2026")</f>
        <v/>
      </c>
      <c r="V43">
        <f>HYPERLINK("https://klasma.github.io/Logging_1880/klagomål/A 2998-2026 FSC-klagomål.docx", "A 2998-2026")</f>
        <v/>
      </c>
      <c r="W43">
        <f>HYPERLINK("https://klasma.github.io/Logging_1880/klagomålsmail/A 2998-2026 FSC-klagomål mail.docx", "A 2998-2026")</f>
        <v/>
      </c>
      <c r="X43">
        <f>HYPERLINK("https://klasma.github.io/Logging_1880/tillsyn/A 2998-2026 tillsynsbegäran.docx", "A 2998-2026")</f>
        <v/>
      </c>
      <c r="Y43">
        <f>HYPERLINK("https://klasma.github.io/Logging_1880/tillsynsmail/A 2998-2026 tillsynsbegäran mail.docx", "A 2998-2026")</f>
        <v/>
      </c>
      <c r="Z43">
        <f>HYPERLINK("https://klasma.github.io/Logging_1880/fåglar/A 2998-2026 prioriterade fågelarter.docx", "A 2998-2026")</f>
        <v/>
      </c>
    </row>
    <row r="44" ht="15" customHeight="1">
      <c r="A44" t="inlineStr">
        <is>
          <t>A 52400-2024</t>
        </is>
      </c>
      <c r="B44" s="1" t="n">
        <v>45609.44461805555</v>
      </c>
      <c r="C44" s="1" t="n">
        <v>46083</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46083</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46083</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46083</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44744-2024</t>
        </is>
      </c>
      <c r="B48" s="1" t="n">
        <v>45574.59789351852</v>
      </c>
      <c r="C48" s="1" t="n">
        <v>46083</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11501-2025</t>
        </is>
      </c>
      <c r="B49" s="1" t="n">
        <v>45726</v>
      </c>
      <c r="C49" s="1" t="n">
        <v>46083</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23998-2025</t>
        </is>
      </c>
      <c r="B50" s="1" t="n">
        <v>45796.42209490741</v>
      </c>
      <c r="C50" s="1" t="n">
        <v>46083</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28936-2025</t>
        </is>
      </c>
      <c r="B51" s="1" t="n">
        <v>45820.69287037037</v>
      </c>
      <c r="C51" s="1" t="n">
        <v>46083</v>
      </c>
      <c r="D51" t="inlineStr">
        <is>
          <t>ÖREBRO LÄN</t>
        </is>
      </c>
      <c r="E51" t="inlineStr">
        <is>
          <t>ÖREBRO</t>
        </is>
      </c>
      <c r="G51" t="n">
        <v>0.9</v>
      </c>
      <c r="H51" t="n">
        <v>1</v>
      </c>
      <c r="I51" t="n">
        <v>0</v>
      </c>
      <c r="J51" t="n">
        <v>0</v>
      </c>
      <c r="K51" t="n">
        <v>0</v>
      </c>
      <c r="L51" t="n">
        <v>0</v>
      </c>
      <c r="M51" t="n">
        <v>0</v>
      </c>
      <c r="N51" t="n">
        <v>0</v>
      </c>
      <c r="O51" t="n">
        <v>0</v>
      </c>
      <c r="P51" t="n">
        <v>0</v>
      </c>
      <c r="Q51" t="n">
        <v>1</v>
      </c>
      <c r="R51" s="2" t="inlineStr">
        <is>
          <t>Kungsfågel</t>
        </is>
      </c>
      <c r="S51">
        <f>HYPERLINK("https://klasma.github.io/Logging_1880/artfynd/A 28936-2025 artfynd.xlsx", "A 28936-2025")</f>
        <v/>
      </c>
      <c r="T51">
        <f>HYPERLINK("https://klasma.github.io/Logging_1880/kartor/A 28936-2025 karta.png", "A 28936-2025")</f>
        <v/>
      </c>
      <c r="V51">
        <f>HYPERLINK("https://klasma.github.io/Logging_1880/klagomål/A 28936-2025 FSC-klagomål.docx", "A 28936-2025")</f>
        <v/>
      </c>
      <c r="W51">
        <f>HYPERLINK("https://klasma.github.io/Logging_1880/klagomålsmail/A 28936-2025 FSC-klagomål mail.docx", "A 28936-2025")</f>
        <v/>
      </c>
      <c r="X51">
        <f>HYPERLINK("https://klasma.github.io/Logging_1880/tillsyn/A 28936-2025 tillsynsbegäran.docx", "A 28936-2025")</f>
        <v/>
      </c>
      <c r="Y51">
        <f>HYPERLINK("https://klasma.github.io/Logging_1880/tillsynsmail/A 28936-2025 tillsynsbegäran mail.docx", "A 28936-2025")</f>
        <v/>
      </c>
      <c r="Z51">
        <f>HYPERLINK("https://klasma.github.io/Logging_1880/fåglar/A 28936-2025 prioriterade fågelarter.docx", "A 28936-2025")</f>
        <v/>
      </c>
    </row>
    <row r="52" ht="15" customHeight="1">
      <c r="A52" t="inlineStr">
        <is>
          <t>A 32226-2025</t>
        </is>
      </c>
      <c r="B52" s="1" t="n">
        <v>45835.59478009259</v>
      </c>
      <c r="C52" s="1" t="n">
        <v>46083</v>
      </c>
      <c r="D52" t="inlineStr">
        <is>
          <t>ÖREBRO LÄN</t>
        </is>
      </c>
      <c r="E52" t="inlineStr">
        <is>
          <t>ÖREBRO</t>
        </is>
      </c>
      <c r="G52" t="n">
        <v>1.2</v>
      </c>
      <c r="H52" t="n">
        <v>0</v>
      </c>
      <c r="I52" t="n">
        <v>0</v>
      </c>
      <c r="J52" t="n">
        <v>1</v>
      </c>
      <c r="K52" t="n">
        <v>0</v>
      </c>
      <c r="L52" t="n">
        <v>0</v>
      </c>
      <c r="M52" t="n">
        <v>0</v>
      </c>
      <c r="N52" t="n">
        <v>0</v>
      </c>
      <c r="O52" t="n">
        <v>1</v>
      </c>
      <c r="P52" t="n">
        <v>0</v>
      </c>
      <c r="Q52" t="n">
        <v>1</v>
      </c>
      <c r="R52" s="2" t="inlineStr">
        <is>
          <t>Dofttaggsvamp</t>
        </is>
      </c>
      <c r="S52">
        <f>HYPERLINK("https://klasma.github.io/Logging_1880/artfynd/A 32226-2025 artfynd.xlsx", "A 32226-2025")</f>
        <v/>
      </c>
      <c r="T52">
        <f>HYPERLINK("https://klasma.github.io/Logging_1880/kartor/A 32226-2025 karta.png", "A 32226-2025")</f>
        <v/>
      </c>
      <c r="V52">
        <f>HYPERLINK("https://klasma.github.io/Logging_1880/klagomål/A 32226-2025 FSC-klagomål.docx", "A 32226-2025")</f>
        <v/>
      </c>
      <c r="W52">
        <f>HYPERLINK("https://klasma.github.io/Logging_1880/klagomålsmail/A 32226-2025 FSC-klagomål mail.docx", "A 32226-2025")</f>
        <v/>
      </c>
      <c r="X52">
        <f>HYPERLINK("https://klasma.github.io/Logging_1880/tillsyn/A 32226-2025 tillsynsbegäran.docx", "A 32226-2025")</f>
        <v/>
      </c>
      <c r="Y52">
        <f>HYPERLINK("https://klasma.github.io/Logging_1880/tillsynsmail/A 32226-2025 tillsynsbegäran mail.docx", "A 32226-2025")</f>
        <v/>
      </c>
    </row>
    <row r="53" ht="15" customHeight="1">
      <c r="A53" t="inlineStr">
        <is>
          <t>A 32204-2025</t>
        </is>
      </c>
      <c r="B53" s="1" t="n">
        <v>45835.58074074074</v>
      </c>
      <c r="C53" s="1" t="n">
        <v>46083</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32105-2023</t>
        </is>
      </c>
      <c r="B54" s="1" t="n">
        <v>45119</v>
      </c>
      <c r="C54" s="1" t="n">
        <v>46083</v>
      </c>
      <c r="D54" t="inlineStr">
        <is>
          <t>ÖREBRO LÄN</t>
        </is>
      </c>
      <c r="E54" t="inlineStr">
        <is>
          <t>ÖREBRO</t>
        </is>
      </c>
      <c r="G54" t="n">
        <v>1.3</v>
      </c>
      <c r="H54" t="n">
        <v>1</v>
      </c>
      <c r="I54" t="n">
        <v>0</v>
      </c>
      <c r="J54" t="n">
        <v>1</v>
      </c>
      <c r="K54" t="n">
        <v>0</v>
      </c>
      <c r="L54" t="n">
        <v>0</v>
      </c>
      <c r="M54" t="n">
        <v>0</v>
      </c>
      <c r="N54" t="n">
        <v>0</v>
      </c>
      <c r="O54" t="n">
        <v>1</v>
      </c>
      <c r="P54" t="n">
        <v>0</v>
      </c>
      <c r="Q54" t="n">
        <v>1</v>
      </c>
      <c r="R54" s="2" t="inlineStr">
        <is>
          <t>Rödvingetrast</t>
        </is>
      </c>
      <c r="S54">
        <f>HYPERLINK("https://klasma.github.io/Logging_1880/artfynd/A 32105-2023 artfynd.xlsx", "A 32105-2023")</f>
        <v/>
      </c>
      <c r="T54">
        <f>HYPERLINK("https://klasma.github.io/Logging_1880/kartor/A 32105-2023 karta.png", "A 32105-2023")</f>
        <v/>
      </c>
      <c r="V54">
        <f>HYPERLINK("https://klasma.github.io/Logging_1880/klagomål/A 32105-2023 FSC-klagomål.docx", "A 32105-2023")</f>
        <v/>
      </c>
      <c r="W54">
        <f>HYPERLINK("https://klasma.github.io/Logging_1880/klagomålsmail/A 32105-2023 FSC-klagomål mail.docx", "A 32105-2023")</f>
        <v/>
      </c>
      <c r="X54">
        <f>HYPERLINK("https://klasma.github.io/Logging_1880/tillsyn/A 32105-2023 tillsynsbegäran.docx", "A 32105-2023")</f>
        <v/>
      </c>
      <c r="Y54">
        <f>HYPERLINK("https://klasma.github.io/Logging_1880/tillsynsmail/A 32105-2023 tillsynsbegäran mail.docx", "A 32105-2023")</f>
        <v/>
      </c>
      <c r="Z54">
        <f>HYPERLINK("https://klasma.github.io/Logging_1880/fåglar/A 32105-2023 prioriterade fågelarter.docx", "A 32105-2023")</f>
        <v/>
      </c>
    </row>
    <row r="55" ht="15" customHeight="1">
      <c r="A55" t="inlineStr">
        <is>
          <t>A 20032-2023</t>
        </is>
      </c>
      <c r="B55" s="1" t="n">
        <v>45054</v>
      </c>
      <c r="C55" s="1" t="n">
        <v>46083</v>
      </c>
      <c r="D55" t="inlineStr">
        <is>
          <t>ÖREBRO LÄN</t>
        </is>
      </c>
      <c r="E55" t="inlineStr">
        <is>
          <t>ÖREBRO</t>
        </is>
      </c>
      <c r="G55" t="n">
        <v>2.6</v>
      </c>
      <c r="H55" t="n">
        <v>1</v>
      </c>
      <c r="I55" t="n">
        <v>0</v>
      </c>
      <c r="J55" t="n">
        <v>0</v>
      </c>
      <c r="K55" t="n">
        <v>0</v>
      </c>
      <c r="L55" t="n">
        <v>0</v>
      </c>
      <c r="M55" t="n">
        <v>0</v>
      </c>
      <c r="N55" t="n">
        <v>0</v>
      </c>
      <c r="O55" t="n">
        <v>0</v>
      </c>
      <c r="P55" t="n">
        <v>0</v>
      </c>
      <c r="Q55" t="n">
        <v>1</v>
      </c>
      <c r="R55" s="2" t="inlineStr">
        <is>
          <t>Fiskgjuse</t>
        </is>
      </c>
      <c r="S55">
        <f>HYPERLINK("https://klasma.github.io/Logging_1880/artfynd/A 20032-2023 artfynd.xlsx", "A 20032-2023")</f>
        <v/>
      </c>
      <c r="T55">
        <f>HYPERLINK("https://klasma.github.io/Logging_1880/kartor/A 20032-2023 karta.png", "A 20032-2023")</f>
        <v/>
      </c>
      <c r="V55">
        <f>HYPERLINK("https://klasma.github.io/Logging_1880/klagomål/A 20032-2023 FSC-klagomål.docx", "A 20032-2023")</f>
        <v/>
      </c>
      <c r="W55">
        <f>HYPERLINK("https://klasma.github.io/Logging_1880/klagomålsmail/A 20032-2023 FSC-klagomål mail.docx", "A 20032-2023")</f>
        <v/>
      </c>
      <c r="X55">
        <f>HYPERLINK("https://klasma.github.io/Logging_1880/tillsyn/A 20032-2023 tillsynsbegäran.docx", "A 20032-2023")</f>
        <v/>
      </c>
      <c r="Y55">
        <f>HYPERLINK("https://klasma.github.io/Logging_1880/tillsynsmail/A 20032-2023 tillsynsbegäran mail.docx", "A 20032-2023")</f>
        <v/>
      </c>
      <c r="Z55">
        <f>HYPERLINK("https://klasma.github.io/Logging_1880/fåglar/A 20032-2023 prioriterade fågelarter.docx", "A 20032-2023")</f>
        <v/>
      </c>
    </row>
    <row r="56" ht="15" customHeight="1">
      <c r="A56" t="inlineStr">
        <is>
          <t>A 50499-2025</t>
        </is>
      </c>
      <c r="B56" s="1" t="n">
        <v>45945.41712962963</v>
      </c>
      <c r="C56" s="1" t="n">
        <v>46083</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22604-2024</t>
        </is>
      </c>
      <c r="B57" s="1" t="n">
        <v>45447</v>
      </c>
      <c r="C57" s="1" t="n">
        <v>46083</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30725-2023</t>
        </is>
      </c>
      <c r="B58" s="1" t="n">
        <v>45112.61451388889</v>
      </c>
      <c r="C58" s="1" t="n">
        <v>46083</v>
      </c>
      <c r="D58" t="inlineStr">
        <is>
          <t>ÖREBRO LÄN</t>
        </is>
      </c>
      <c r="E58" t="inlineStr">
        <is>
          <t>ÖREBRO</t>
        </is>
      </c>
      <c r="G58" t="n">
        <v>1.8</v>
      </c>
      <c r="H58" t="n">
        <v>1</v>
      </c>
      <c r="I58" t="n">
        <v>0</v>
      </c>
      <c r="J58" t="n">
        <v>1</v>
      </c>
      <c r="K58" t="n">
        <v>0</v>
      </c>
      <c r="L58" t="n">
        <v>0</v>
      </c>
      <c r="M58" t="n">
        <v>0</v>
      </c>
      <c r="N58" t="n">
        <v>0</v>
      </c>
      <c r="O58" t="n">
        <v>1</v>
      </c>
      <c r="P58" t="n">
        <v>0</v>
      </c>
      <c r="Q58" t="n">
        <v>1</v>
      </c>
      <c r="R58" s="2" t="inlineStr">
        <is>
          <t>Gulsparv</t>
        </is>
      </c>
      <c r="S58">
        <f>HYPERLINK("https://klasma.github.io/Logging_1880/artfynd/A 30725-2023 artfynd.xlsx", "A 30725-2023")</f>
        <v/>
      </c>
      <c r="T58">
        <f>HYPERLINK("https://klasma.github.io/Logging_1880/kartor/A 30725-2023 karta.png", "A 30725-2023")</f>
        <v/>
      </c>
      <c r="V58">
        <f>HYPERLINK("https://klasma.github.io/Logging_1880/klagomål/A 30725-2023 FSC-klagomål.docx", "A 30725-2023")</f>
        <v/>
      </c>
      <c r="W58">
        <f>HYPERLINK("https://klasma.github.io/Logging_1880/klagomålsmail/A 30725-2023 FSC-klagomål mail.docx", "A 30725-2023")</f>
        <v/>
      </c>
      <c r="X58">
        <f>HYPERLINK("https://klasma.github.io/Logging_1880/tillsyn/A 30725-2023 tillsynsbegäran.docx", "A 30725-2023")</f>
        <v/>
      </c>
      <c r="Y58">
        <f>HYPERLINK("https://klasma.github.io/Logging_1880/tillsynsmail/A 30725-2023 tillsynsbegäran mail.docx", "A 30725-2023")</f>
        <v/>
      </c>
      <c r="Z58">
        <f>HYPERLINK("https://klasma.github.io/Logging_1880/fåglar/A 30725-2023 prioriterade fågelarter.docx", "A 30725-2023")</f>
        <v/>
      </c>
    </row>
    <row r="59" ht="15" customHeight="1">
      <c r="A59" t="inlineStr">
        <is>
          <t>A 5097-2023</t>
        </is>
      </c>
      <c r="B59" s="1" t="n">
        <v>44958</v>
      </c>
      <c r="C59" s="1" t="n">
        <v>46083</v>
      </c>
      <c r="D59" t="inlineStr">
        <is>
          <t>ÖREBRO LÄN</t>
        </is>
      </c>
      <c r="E59" t="inlineStr">
        <is>
          <t>ÖREBRO</t>
        </is>
      </c>
      <c r="G59" t="n">
        <v>3.6</v>
      </c>
      <c r="H59" t="n">
        <v>1</v>
      </c>
      <c r="I59" t="n">
        <v>0</v>
      </c>
      <c r="J59" t="n">
        <v>0</v>
      </c>
      <c r="K59" t="n">
        <v>0</v>
      </c>
      <c r="L59" t="n">
        <v>0</v>
      </c>
      <c r="M59" t="n">
        <v>0</v>
      </c>
      <c r="N59" t="n">
        <v>0</v>
      </c>
      <c r="O59" t="n">
        <v>0</v>
      </c>
      <c r="P59" t="n">
        <v>0</v>
      </c>
      <c r="Q59" t="n">
        <v>1</v>
      </c>
      <c r="R59" s="2" t="inlineStr">
        <is>
          <t>Grönvit nattviol</t>
        </is>
      </c>
      <c r="S59">
        <f>HYPERLINK("https://klasma.github.io/Logging_1880/artfynd/A 5097-2023 artfynd.xlsx", "A 5097-2023")</f>
        <v/>
      </c>
      <c r="T59">
        <f>HYPERLINK("https://klasma.github.io/Logging_1880/kartor/A 5097-2023 karta.png", "A 5097-2023")</f>
        <v/>
      </c>
      <c r="V59">
        <f>HYPERLINK("https://klasma.github.io/Logging_1880/klagomål/A 5097-2023 FSC-klagomål.docx", "A 5097-2023")</f>
        <v/>
      </c>
      <c r="W59">
        <f>HYPERLINK("https://klasma.github.io/Logging_1880/klagomålsmail/A 5097-2023 FSC-klagomål mail.docx", "A 5097-2023")</f>
        <v/>
      </c>
      <c r="X59">
        <f>HYPERLINK("https://klasma.github.io/Logging_1880/tillsyn/A 5097-2023 tillsynsbegäran.docx", "A 5097-2023")</f>
        <v/>
      </c>
      <c r="Y59">
        <f>HYPERLINK("https://klasma.github.io/Logging_1880/tillsynsmail/A 5097-2023 tillsynsbegäran mail.docx", "A 5097-2023")</f>
        <v/>
      </c>
    </row>
    <row r="60" ht="15" customHeight="1">
      <c r="A60" t="inlineStr">
        <is>
          <t>A 20247-2023</t>
        </is>
      </c>
      <c r="B60" s="1" t="n">
        <v>45055</v>
      </c>
      <c r="C60" s="1" t="n">
        <v>46083</v>
      </c>
      <c r="D60" t="inlineStr">
        <is>
          <t>ÖREBRO LÄN</t>
        </is>
      </c>
      <c r="E60" t="inlineStr">
        <is>
          <t>ÖREBRO</t>
        </is>
      </c>
      <c r="G60" t="n">
        <v>3</v>
      </c>
      <c r="H60" t="n">
        <v>1</v>
      </c>
      <c r="I60" t="n">
        <v>0</v>
      </c>
      <c r="J60" t="n">
        <v>0</v>
      </c>
      <c r="K60" t="n">
        <v>0</v>
      </c>
      <c r="L60" t="n">
        <v>0</v>
      </c>
      <c r="M60" t="n">
        <v>0</v>
      </c>
      <c r="N60" t="n">
        <v>0</v>
      </c>
      <c r="O60" t="n">
        <v>0</v>
      </c>
      <c r="P60" t="n">
        <v>0</v>
      </c>
      <c r="Q60" t="n">
        <v>1</v>
      </c>
      <c r="R60" s="2" t="inlineStr">
        <is>
          <t>Större vattensalamander</t>
        </is>
      </c>
      <c r="S60">
        <f>HYPERLINK("https://klasma.github.io/Logging_1880/artfynd/A 20247-2023 artfynd.xlsx", "A 20247-2023")</f>
        <v/>
      </c>
      <c r="T60">
        <f>HYPERLINK("https://klasma.github.io/Logging_1880/kartor/A 20247-2023 karta.png", "A 20247-2023")</f>
        <v/>
      </c>
      <c r="V60">
        <f>HYPERLINK("https://klasma.github.io/Logging_1880/klagomål/A 20247-2023 FSC-klagomål.docx", "A 20247-2023")</f>
        <v/>
      </c>
      <c r="W60">
        <f>HYPERLINK("https://klasma.github.io/Logging_1880/klagomålsmail/A 20247-2023 FSC-klagomål mail.docx", "A 20247-2023")</f>
        <v/>
      </c>
      <c r="X60">
        <f>HYPERLINK("https://klasma.github.io/Logging_1880/tillsyn/A 20247-2023 tillsynsbegäran.docx", "A 20247-2023")</f>
        <v/>
      </c>
      <c r="Y60">
        <f>HYPERLINK("https://klasma.github.io/Logging_1880/tillsynsmail/A 20247-2023 tillsynsbegäran mail.docx", "A 20247-2023")</f>
        <v/>
      </c>
    </row>
    <row r="61" ht="15" customHeight="1">
      <c r="A61" t="inlineStr">
        <is>
          <t>A 58838-2025</t>
        </is>
      </c>
      <c r="B61" s="1" t="n">
        <v>45987.35973379629</v>
      </c>
      <c r="C61" s="1" t="n">
        <v>46083</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26890-2022</t>
        </is>
      </c>
      <c r="B62" s="1" t="n">
        <v>44740</v>
      </c>
      <c r="C62" s="1" t="n">
        <v>46083</v>
      </c>
      <c r="D62" t="inlineStr">
        <is>
          <t>ÖREBRO LÄN</t>
        </is>
      </c>
      <c r="E62" t="inlineStr">
        <is>
          <t>ÖREBRO</t>
        </is>
      </c>
      <c r="G62" t="n">
        <v>4.2</v>
      </c>
      <c r="H62" t="n">
        <v>1</v>
      </c>
      <c r="I62" t="n">
        <v>0</v>
      </c>
      <c r="J62" t="n">
        <v>0</v>
      </c>
      <c r="K62" t="n">
        <v>1</v>
      </c>
      <c r="L62" t="n">
        <v>0</v>
      </c>
      <c r="M62" t="n">
        <v>0</v>
      </c>
      <c r="N62" t="n">
        <v>0</v>
      </c>
      <c r="O62" t="n">
        <v>1</v>
      </c>
      <c r="P62" t="n">
        <v>1</v>
      </c>
      <c r="Q62" t="n">
        <v>1</v>
      </c>
      <c r="R62" s="2" t="inlineStr">
        <is>
          <t>Hällebräcka</t>
        </is>
      </c>
      <c r="S62">
        <f>HYPERLINK("https://klasma.github.io/Logging_1880/artfynd/A 26890-2022 artfynd.xlsx", "A 26890-2022")</f>
        <v/>
      </c>
      <c r="T62">
        <f>HYPERLINK("https://klasma.github.io/Logging_1880/kartor/A 26890-2022 karta.png", "A 26890-2022")</f>
        <v/>
      </c>
      <c r="V62">
        <f>HYPERLINK("https://klasma.github.io/Logging_1880/klagomål/A 26890-2022 FSC-klagomål.docx", "A 26890-2022")</f>
        <v/>
      </c>
      <c r="W62">
        <f>HYPERLINK("https://klasma.github.io/Logging_1880/klagomålsmail/A 26890-2022 FSC-klagomål mail.docx", "A 26890-2022")</f>
        <v/>
      </c>
      <c r="X62">
        <f>HYPERLINK("https://klasma.github.io/Logging_1880/tillsyn/A 26890-2022 tillsynsbegäran.docx", "A 26890-2022")</f>
        <v/>
      </c>
      <c r="Y62">
        <f>HYPERLINK("https://klasma.github.io/Logging_1880/tillsynsmail/A 26890-2022 tillsynsbegäran mail.docx", "A 26890-2022")</f>
        <v/>
      </c>
    </row>
    <row r="63" ht="15" customHeight="1">
      <c r="A63" t="inlineStr">
        <is>
          <t>A 63199-2025</t>
        </is>
      </c>
      <c r="B63" s="1" t="n">
        <v>46010.46091435185</v>
      </c>
      <c r="C63" s="1" t="n">
        <v>46083</v>
      </c>
      <c r="D63" t="inlineStr">
        <is>
          <t>ÖREBRO LÄN</t>
        </is>
      </c>
      <c r="E63" t="inlineStr">
        <is>
          <t>ÖREBRO</t>
        </is>
      </c>
      <c r="F63" t="inlineStr">
        <is>
          <t>Sveaskog</t>
        </is>
      </c>
      <c r="G63" t="n">
        <v>0.9</v>
      </c>
      <c r="H63" t="n">
        <v>1</v>
      </c>
      <c r="I63" t="n">
        <v>0</v>
      </c>
      <c r="J63" t="n">
        <v>0</v>
      </c>
      <c r="K63" t="n">
        <v>0</v>
      </c>
      <c r="L63" t="n">
        <v>0</v>
      </c>
      <c r="M63" t="n">
        <v>0</v>
      </c>
      <c r="N63" t="n">
        <v>0</v>
      </c>
      <c r="O63" t="n">
        <v>0</v>
      </c>
      <c r="P63" t="n">
        <v>0</v>
      </c>
      <c r="Q63" t="n">
        <v>1</v>
      </c>
      <c r="R63" s="2" t="inlineStr">
        <is>
          <t>Gullviva</t>
        </is>
      </c>
      <c r="S63">
        <f>HYPERLINK("https://klasma.github.io/Logging_1880/artfynd/A 63199-2025 artfynd.xlsx", "A 63199-2025")</f>
        <v/>
      </c>
      <c r="T63">
        <f>HYPERLINK("https://klasma.github.io/Logging_1880/kartor/A 63199-2025 karta.png", "A 63199-2025")</f>
        <v/>
      </c>
      <c r="V63">
        <f>HYPERLINK("https://klasma.github.io/Logging_1880/klagomål/A 63199-2025 FSC-klagomål.docx", "A 63199-2025")</f>
        <v/>
      </c>
      <c r="W63">
        <f>HYPERLINK("https://klasma.github.io/Logging_1880/klagomålsmail/A 63199-2025 FSC-klagomål mail.docx", "A 63199-2025")</f>
        <v/>
      </c>
      <c r="X63">
        <f>HYPERLINK("https://klasma.github.io/Logging_1880/tillsyn/A 63199-2025 tillsynsbegäran.docx", "A 63199-2025")</f>
        <v/>
      </c>
      <c r="Y63">
        <f>HYPERLINK("https://klasma.github.io/Logging_1880/tillsynsmail/A 63199-2025 tillsynsbegäran mail.docx", "A 63199-2025")</f>
        <v/>
      </c>
    </row>
    <row r="64" ht="15" customHeight="1">
      <c r="A64" t="inlineStr">
        <is>
          <t>A 57920-2024</t>
        </is>
      </c>
      <c r="B64" s="1" t="n">
        <v>45631.50894675926</v>
      </c>
      <c r="C64" s="1" t="n">
        <v>46083</v>
      </c>
      <c r="D64" t="inlineStr">
        <is>
          <t>ÖREBRO LÄN</t>
        </is>
      </c>
      <c r="E64" t="inlineStr">
        <is>
          <t>ÖREBRO</t>
        </is>
      </c>
      <c r="G64" t="n">
        <v>2.3</v>
      </c>
      <c r="H64" t="n">
        <v>1</v>
      </c>
      <c r="I64" t="n">
        <v>0</v>
      </c>
      <c r="J64" t="n">
        <v>0</v>
      </c>
      <c r="K64" t="n">
        <v>0</v>
      </c>
      <c r="L64" t="n">
        <v>0</v>
      </c>
      <c r="M64" t="n">
        <v>0</v>
      </c>
      <c r="N64" t="n">
        <v>0</v>
      </c>
      <c r="O64" t="n">
        <v>0</v>
      </c>
      <c r="P64" t="n">
        <v>0</v>
      </c>
      <c r="Q64" t="n">
        <v>1</v>
      </c>
      <c r="R64" s="2" t="inlineStr">
        <is>
          <t>Kungsfågel</t>
        </is>
      </c>
      <c r="S64">
        <f>HYPERLINK("https://klasma.github.io/Logging_1880/artfynd/A 57920-2024 artfynd.xlsx", "A 57920-2024")</f>
        <v/>
      </c>
      <c r="T64">
        <f>HYPERLINK("https://klasma.github.io/Logging_1880/kartor/A 57920-2024 karta.png", "A 57920-2024")</f>
        <v/>
      </c>
      <c r="V64">
        <f>HYPERLINK("https://klasma.github.io/Logging_1880/klagomål/A 57920-2024 FSC-klagomål.docx", "A 57920-2024")</f>
        <v/>
      </c>
      <c r="W64">
        <f>HYPERLINK("https://klasma.github.io/Logging_1880/klagomålsmail/A 57920-2024 FSC-klagomål mail.docx", "A 57920-2024")</f>
        <v/>
      </c>
      <c r="X64">
        <f>HYPERLINK("https://klasma.github.io/Logging_1880/tillsyn/A 57920-2024 tillsynsbegäran.docx", "A 57920-2024")</f>
        <v/>
      </c>
      <c r="Y64">
        <f>HYPERLINK("https://klasma.github.io/Logging_1880/tillsynsmail/A 57920-2024 tillsynsbegäran mail.docx", "A 57920-2024")</f>
        <v/>
      </c>
      <c r="Z64">
        <f>HYPERLINK("https://klasma.github.io/Logging_1880/fåglar/A 57920-2024 prioriterade fågelarter.docx", "A 57920-2024")</f>
        <v/>
      </c>
    </row>
    <row r="65" ht="15" customHeight="1">
      <c r="A65" t="inlineStr">
        <is>
          <t>A 59516-2025</t>
        </is>
      </c>
      <c r="B65" s="1" t="n">
        <v>45989.65396990741</v>
      </c>
      <c r="C65" s="1" t="n">
        <v>46083</v>
      </c>
      <c r="D65" t="inlineStr">
        <is>
          <t>ÖREBRO LÄN</t>
        </is>
      </c>
      <c r="E65" t="inlineStr">
        <is>
          <t>ÖREBRO</t>
        </is>
      </c>
      <c r="F65" t="inlineStr">
        <is>
          <t>Sveaskog</t>
        </is>
      </c>
      <c r="G65" t="n">
        <v>1.9</v>
      </c>
      <c r="H65" t="n">
        <v>0</v>
      </c>
      <c r="I65" t="n">
        <v>1</v>
      </c>
      <c r="J65" t="n">
        <v>0</v>
      </c>
      <c r="K65" t="n">
        <v>0</v>
      </c>
      <c r="L65" t="n">
        <v>0</v>
      </c>
      <c r="M65" t="n">
        <v>0</v>
      </c>
      <c r="N65" t="n">
        <v>0</v>
      </c>
      <c r="O65" t="n">
        <v>0</v>
      </c>
      <c r="P65" t="n">
        <v>0</v>
      </c>
      <c r="Q65" t="n">
        <v>1</v>
      </c>
      <c r="R65" s="2" t="inlineStr">
        <is>
          <t>Tibast</t>
        </is>
      </c>
      <c r="S65">
        <f>HYPERLINK("https://klasma.github.io/Logging_1880/artfynd/A 59516-2025 artfynd.xlsx", "A 59516-2025")</f>
        <v/>
      </c>
      <c r="T65">
        <f>HYPERLINK("https://klasma.github.io/Logging_1880/kartor/A 59516-2025 karta.png", "A 59516-2025")</f>
        <v/>
      </c>
      <c r="V65">
        <f>HYPERLINK("https://klasma.github.io/Logging_1880/klagomål/A 59516-2025 FSC-klagomål.docx", "A 59516-2025")</f>
        <v/>
      </c>
      <c r="W65">
        <f>HYPERLINK("https://klasma.github.io/Logging_1880/klagomålsmail/A 59516-2025 FSC-klagomål mail.docx", "A 59516-2025")</f>
        <v/>
      </c>
      <c r="X65">
        <f>HYPERLINK("https://klasma.github.io/Logging_1880/tillsyn/A 59516-2025 tillsynsbegäran.docx", "A 59516-2025")</f>
        <v/>
      </c>
      <c r="Y65">
        <f>HYPERLINK("https://klasma.github.io/Logging_1880/tillsynsmail/A 59516-2025 tillsynsbegäran mail.docx", "A 59516-2025")</f>
        <v/>
      </c>
    </row>
    <row r="66" ht="15" customHeight="1">
      <c r="A66" t="inlineStr">
        <is>
          <t>A 2077-2023</t>
        </is>
      </c>
      <c r="B66" s="1" t="n">
        <v>44939</v>
      </c>
      <c r="C66" s="1" t="n">
        <v>46083</v>
      </c>
      <c r="D66" t="inlineStr">
        <is>
          <t>ÖREBRO LÄN</t>
        </is>
      </c>
      <c r="E66" t="inlineStr">
        <is>
          <t>ÖREBRO</t>
        </is>
      </c>
      <c r="G66" t="n">
        <v>1.4</v>
      </c>
      <c r="H66" t="n">
        <v>1</v>
      </c>
      <c r="I66" t="n">
        <v>0</v>
      </c>
      <c r="J66" t="n">
        <v>1</v>
      </c>
      <c r="K66" t="n">
        <v>0</v>
      </c>
      <c r="L66" t="n">
        <v>0</v>
      </c>
      <c r="M66" t="n">
        <v>0</v>
      </c>
      <c r="N66" t="n">
        <v>0</v>
      </c>
      <c r="O66" t="n">
        <v>1</v>
      </c>
      <c r="P66" t="n">
        <v>0</v>
      </c>
      <c r="Q66" t="n">
        <v>1</v>
      </c>
      <c r="R66" s="2" t="inlineStr">
        <is>
          <t>Rödvingetrast</t>
        </is>
      </c>
      <c r="S66">
        <f>HYPERLINK("https://klasma.github.io/Logging_1880/artfynd/A 2077-2023 artfynd.xlsx", "A 2077-2023")</f>
        <v/>
      </c>
      <c r="T66">
        <f>HYPERLINK("https://klasma.github.io/Logging_1880/kartor/A 2077-2023 karta.png", "A 2077-2023")</f>
        <v/>
      </c>
      <c r="V66">
        <f>HYPERLINK("https://klasma.github.io/Logging_1880/klagomål/A 2077-2023 FSC-klagomål.docx", "A 2077-2023")</f>
        <v/>
      </c>
      <c r="W66">
        <f>HYPERLINK("https://klasma.github.io/Logging_1880/klagomålsmail/A 2077-2023 FSC-klagomål mail.docx", "A 2077-2023")</f>
        <v/>
      </c>
      <c r="X66">
        <f>HYPERLINK("https://klasma.github.io/Logging_1880/tillsyn/A 2077-2023 tillsynsbegäran.docx", "A 2077-2023")</f>
        <v/>
      </c>
      <c r="Y66">
        <f>HYPERLINK("https://klasma.github.io/Logging_1880/tillsynsmail/A 2077-2023 tillsynsbegäran mail.docx", "A 2077-2023")</f>
        <v/>
      </c>
      <c r="Z66">
        <f>HYPERLINK("https://klasma.github.io/Logging_1880/fåglar/A 2077-2023 prioriterade fågelarter.docx", "A 2077-2023")</f>
        <v/>
      </c>
    </row>
    <row r="67" ht="15" customHeight="1">
      <c r="A67" t="inlineStr">
        <is>
          <t>A 44389-2021</t>
        </is>
      </c>
      <c r="B67" s="1" t="n">
        <v>44435</v>
      </c>
      <c r="C67" s="1" t="n">
        <v>46083</v>
      </c>
      <c r="D67" t="inlineStr">
        <is>
          <t>ÖREBRO LÄN</t>
        </is>
      </c>
      <c r="E67" t="inlineStr">
        <is>
          <t>ÖREBRO</t>
        </is>
      </c>
      <c r="G67" t="n">
        <v>2.2</v>
      </c>
      <c r="H67" t="n">
        <v>1</v>
      </c>
      <c r="I67" t="n">
        <v>0</v>
      </c>
      <c r="J67" t="n">
        <v>0</v>
      </c>
      <c r="K67" t="n">
        <v>1</v>
      </c>
      <c r="L67" t="n">
        <v>0</v>
      </c>
      <c r="M67" t="n">
        <v>0</v>
      </c>
      <c r="N67" t="n">
        <v>0</v>
      </c>
      <c r="O67" t="n">
        <v>1</v>
      </c>
      <c r="P67" t="n">
        <v>1</v>
      </c>
      <c r="Q67" t="n">
        <v>1</v>
      </c>
      <c r="R67" s="2" t="inlineStr">
        <is>
          <t>Knärot</t>
        </is>
      </c>
      <c r="S67">
        <f>HYPERLINK("https://klasma.github.io/Logging_1880/artfynd/A 44389-2021 artfynd.xlsx", "A 44389-2021")</f>
        <v/>
      </c>
      <c r="T67">
        <f>HYPERLINK("https://klasma.github.io/Logging_1880/kartor/A 44389-2021 karta.png", "A 44389-2021")</f>
        <v/>
      </c>
      <c r="U67">
        <f>HYPERLINK("https://klasma.github.io/Logging_1880/knärot/A 44389-2021 karta knärot.png", "A 44389-2021")</f>
        <v/>
      </c>
      <c r="V67">
        <f>HYPERLINK("https://klasma.github.io/Logging_1880/klagomål/A 44389-2021 FSC-klagomål.docx", "A 44389-2021")</f>
        <v/>
      </c>
      <c r="W67">
        <f>HYPERLINK("https://klasma.github.io/Logging_1880/klagomålsmail/A 44389-2021 FSC-klagomål mail.docx", "A 44389-2021")</f>
        <v/>
      </c>
      <c r="X67">
        <f>HYPERLINK("https://klasma.github.io/Logging_1880/tillsyn/A 44389-2021 tillsynsbegäran.docx", "A 44389-2021")</f>
        <v/>
      </c>
      <c r="Y67">
        <f>HYPERLINK("https://klasma.github.io/Logging_1880/tillsynsmail/A 44389-2021 tillsynsbegäran mail.docx", "A 44389-2021")</f>
        <v/>
      </c>
    </row>
    <row r="68" ht="15" customHeight="1">
      <c r="A68" t="inlineStr">
        <is>
          <t>A 3006-2026</t>
        </is>
      </c>
      <c r="B68" s="1" t="n">
        <v>46038.65719907408</v>
      </c>
      <c r="C68" s="1" t="n">
        <v>46083</v>
      </c>
      <c r="D68" t="inlineStr">
        <is>
          <t>ÖREBRO LÄN</t>
        </is>
      </c>
      <c r="E68" t="inlineStr">
        <is>
          <t>ÖREBRO</t>
        </is>
      </c>
      <c r="F68" t="inlineStr">
        <is>
          <t>Övriga Aktiebolag</t>
        </is>
      </c>
      <c r="G68" t="n">
        <v>1</v>
      </c>
      <c r="H68" t="n">
        <v>1</v>
      </c>
      <c r="I68" t="n">
        <v>0</v>
      </c>
      <c r="J68" t="n">
        <v>1</v>
      </c>
      <c r="K68" t="n">
        <v>0</v>
      </c>
      <c r="L68" t="n">
        <v>0</v>
      </c>
      <c r="M68" t="n">
        <v>0</v>
      </c>
      <c r="N68" t="n">
        <v>0</v>
      </c>
      <c r="O68" t="n">
        <v>1</v>
      </c>
      <c r="P68" t="n">
        <v>0</v>
      </c>
      <c r="Q68" t="n">
        <v>1</v>
      </c>
      <c r="R68" s="2" t="inlineStr">
        <is>
          <t>Gulsparv</t>
        </is>
      </c>
      <c r="S68">
        <f>HYPERLINK("https://klasma.github.io/Logging_1880/artfynd/A 3006-2026 artfynd.xlsx", "A 3006-2026")</f>
        <v/>
      </c>
      <c r="T68">
        <f>HYPERLINK("https://klasma.github.io/Logging_1880/kartor/A 3006-2026 karta.png", "A 3006-2026")</f>
        <v/>
      </c>
      <c r="V68">
        <f>HYPERLINK("https://klasma.github.io/Logging_1880/klagomål/A 3006-2026 FSC-klagomål.docx", "A 3006-2026")</f>
        <v/>
      </c>
      <c r="W68">
        <f>HYPERLINK("https://klasma.github.io/Logging_1880/klagomålsmail/A 3006-2026 FSC-klagomål mail.docx", "A 3006-2026")</f>
        <v/>
      </c>
      <c r="X68">
        <f>HYPERLINK("https://klasma.github.io/Logging_1880/tillsyn/A 3006-2026 tillsynsbegäran.docx", "A 3006-2026")</f>
        <v/>
      </c>
      <c r="Y68">
        <f>HYPERLINK("https://klasma.github.io/Logging_1880/tillsynsmail/A 3006-2026 tillsynsbegäran mail.docx", "A 3006-2026")</f>
        <v/>
      </c>
      <c r="Z68">
        <f>HYPERLINK("https://klasma.github.io/Logging_1880/fåglar/A 3006-2026 prioriterade fågelarter.docx", "A 3006-2026")</f>
        <v/>
      </c>
    </row>
    <row r="69" ht="15" customHeight="1">
      <c r="A69" t="inlineStr">
        <is>
          <t>A 31695-2024</t>
        </is>
      </c>
      <c r="B69" s="1" t="n">
        <v>45508</v>
      </c>
      <c r="C69" s="1" t="n">
        <v>46083</v>
      </c>
      <c r="D69" t="inlineStr">
        <is>
          <t>ÖREBRO LÄN</t>
        </is>
      </c>
      <c r="E69" t="inlineStr">
        <is>
          <t>ÖREBRO</t>
        </is>
      </c>
      <c r="G69" t="n">
        <v>1.3</v>
      </c>
      <c r="H69" t="n">
        <v>1</v>
      </c>
      <c r="I69" t="n">
        <v>1</v>
      </c>
      <c r="J69" t="n">
        <v>0</v>
      </c>
      <c r="K69" t="n">
        <v>0</v>
      </c>
      <c r="L69" t="n">
        <v>0</v>
      </c>
      <c r="M69" t="n">
        <v>0</v>
      </c>
      <c r="N69" t="n">
        <v>0</v>
      </c>
      <c r="O69" t="n">
        <v>0</v>
      </c>
      <c r="P69" t="n">
        <v>0</v>
      </c>
      <c r="Q69" t="n">
        <v>1</v>
      </c>
      <c r="R69" s="2" t="inlineStr">
        <is>
          <t>Skogsknipprot</t>
        </is>
      </c>
      <c r="S69">
        <f>HYPERLINK("https://klasma.github.io/Logging_1880/artfynd/A 31695-2024 artfynd.xlsx", "A 31695-2024")</f>
        <v/>
      </c>
      <c r="T69">
        <f>HYPERLINK("https://klasma.github.io/Logging_1880/kartor/A 31695-2024 karta.png", "A 31695-2024")</f>
        <v/>
      </c>
      <c r="V69">
        <f>HYPERLINK("https://klasma.github.io/Logging_1880/klagomål/A 31695-2024 FSC-klagomål.docx", "A 31695-2024")</f>
        <v/>
      </c>
      <c r="W69">
        <f>HYPERLINK("https://klasma.github.io/Logging_1880/klagomålsmail/A 31695-2024 FSC-klagomål mail.docx", "A 31695-2024")</f>
        <v/>
      </c>
      <c r="X69">
        <f>HYPERLINK("https://klasma.github.io/Logging_1880/tillsyn/A 31695-2024 tillsynsbegäran.docx", "A 31695-2024")</f>
        <v/>
      </c>
      <c r="Y69">
        <f>HYPERLINK("https://klasma.github.io/Logging_1880/tillsynsmail/A 31695-2024 tillsynsbegäran mail.docx", "A 31695-2024")</f>
        <v/>
      </c>
    </row>
    <row r="70" ht="15" customHeight="1">
      <c r="A70" t="inlineStr">
        <is>
          <t>A 42636-2023</t>
        </is>
      </c>
      <c r="B70" s="1" t="n">
        <v>45181.49559027778</v>
      </c>
      <c r="C70" s="1" t="n">
        <v>46083</v>
      </c>
      <c r="D70" t="inlineStr">
        <is>
          <t>ÖREBRO LÄN</t>
        </is>
      </c>
      <c r="E70" t="inlineStr">
        <is>
          <t>ÖREBRO</t>
        </is>
      </c>
      <c r="G70" t="n">
        <v>1.7</v>
      </c>
      <c r="H70" t="n">
        <v>0</v>
      </c>
      <c r="I70" t="n">
        <v>0</v>
      </c>
      <c r="J70" t="n">
        <v>1</v>
      </c>
      <c r="K70" t="n">
        <v>0</v>
      </c>
      <c r="L70" t="n">
        <v>0</v>
      </c>
      <c r="M70" t="n">
        <v>0</v>
      </c>
      <c r="N70" t="n">
        <v>0</v>
      </c>
      <c r="O70" t="n">
        <v>1</v>
      </c>
      <c r="P70" t="n">
        <v>0</v>
      </c>
      <c r="Q70" t="n">
        <v>1</v>
      </c>
      <c r="R70" s="2" t="inlineStr">
        <is>
          <t>Igelkott</t>
        </is>
      </c>
      <c r="S70">
        <f>HYPERLINK("https://klasma.github.io/Logging_1880/artfynd/A 42636-2023 artfynd.xlsx", "A 42636-2023")</f>
        <v/>
      </c>
      <c r="T70">
        <f>HYPERLINK("https://klasma.github.io/Logging_1880/kartor/A 42636-2023 karta.png", "A 42636-2023")</f>
        <v/>
      </c>
      <c r="V70">
        <f>HYPERLINK("https://klasma.github.io/Logging_1880/klagomål/A 42636-2023 FSC-klagomål.docx", "A 42636-2023")</f>
        <v/>
      </c>
      <c r="W70">
        <f>HYPERLINK("https://klasma.github.io/Logging_1880/klagomålsmail/A 42636-2023 FSC-klagomål mail.docx", "A 42636-2023")</f>
        <v/>
      </c>
      <c r="X70">
        <f>HYPERLINK("https://klasma.github.io/Logging_1880/tillsyn/A 42636-2023 tillsynsbegäran.docx", "A 42636-2023")</f>
        <v/>
      </c>
      <c r="Y70">
        <f>HYPERLINK("https://klasma.github.io/Logging_1880/tillsynsmail/A 42636-2023 tillsynsbegäran mail.docx", "A 42636-2023")</f>
        <v/>
      </c>
    </row>
    <row r="71" ht="15" customHeight="1">
      <c r="A71" t="inlineStr">
        <is>
          <t>A 55904-2024</t>
        </is>
      </c>
      <c r="B71" s="1" t="n">
        <v>45623.58190972222</v>
      </c>
      <c r="C71" s="1" t="n">
        <v>46083</v>
      </c>
      <c r="D71" t="inlineStr">
        <is>
          <t>ÖREBRO LÄN</t>
        </is>
      </c>
      <c r="E71" t="inlineStr">
        <is>
          <t>ÖREBRO</t>
        </is>
      </c>
      <c r="G71" t="n">
        <v>1.2</v>
      </c>
      <c r="H71" t="n">
        <v>1</v>
      </c>
      <c r="I71" t="n">
        <v>0</v>
      </c>
      <c r="J71" t="n">
        <v>0</v>
      </c>
      <c r="K71" t="n">
        <v>0</v>
      </c>
      <c r="L71" t="n">
        <v>0</v>
      </c>
      <c r="M71" t="n">
        <v>0</v>
      </c>
      <c r="N71" t="n">
        <v>0</v>
      </c>
      <c r="O71" t="n">
        <v>0</v>
      </c>
      <c r="P71" t="n">
        <v>0</v>
      </c>
      <c r="Q71" t="n">
        <v>1</v>
      </c>
      <c r="R71" s="2" t="inlineStr">
        <is>
          <t>Trana</t>
        </is>
      </c>
      <c r="S71">
        <f>HYPERLINK("https://klasma.github.io/Logging_1880/artfynd/A 55904-2024 artfynd.xlsx", "A 55904-2024")</f>
        <v/>
      </c>
      <c r="T71">
        <f>HYPERLINK("https://klasma.github.io/Logging_1880/kartor/A 55904-2024 karta.png", "A 55904-2024")</f>
        <v/>
      </c>
      <c r="V71">
        <f>HYPERLINK("https://klasma.github.io/Logging_1880/klagomål/A 55904-2024 FSC-klagomål.docx", "A 55904-2024")</f>
        <v/>
      </c>
      <c r="W71">
        <f>HYPERLINK("https://klasma.github.io/Logging_1880/klagomålsmail/A 55904-2024 FSC-klagomål mail.docx", "A 55904-2024")</f>
        <v/>
      </c>
      <c r="X71">
        <f>HYPERLINK("https://klasma.github.io/Logging_1880/tillsyn/A 55904-2024 tillsynsbegäran.docx", "A 55904-2024")</f>
        <v/>
      </c>
      <c r="Y71">
        <f>HYPERLINK("https://klasma.github.io/Logging_1880/tillsynsmail/A 55904-2024 tillsynsbegäran mail.docx", "A 55904-2024")</f>
        <v/>
      </c>
      <c r="Z71">
        <f>HYPERLINK("https://klasma.github.io/Logging_1880/fåglar/A 55904-2024 prioriterade fågelarter.docx", "A 55904-2024")</f>
        <v/>
      </c>
    </row>
    <row r="72" ht="15" customHeight="1">
      <c r="A72" t="inlineStr">
        <is>
          <t>A 15621-2021</t>
        </is>
      </c>
      <c r="B72" s="1" t="n">
        <v>44285</v>
      </c>
      <c r="C72" s="1" t="n">
        <v>46083</v>
      </c>
      <c r="D72" t="inlineStr">
        <is>
          <t>ÖREBRO LÄN</t>
        </is>
      </c>
      <c r="E72" t="inlineStr">
        <is>
          <t>ÖREBRO</t>
        </is>
      </c>
      <c r="G72" t="n">
        <v>2.8</v>
      </c>
      <c r="H72" t="n">
        <v>1</v>
      </c>
      <c r="I72" t="n">
        <v>0</v>
      </c>
      <c r="J72" t="n">
        <v>0</v>
      </c>
      <c r="K72" t="n">
        <v>0</v>
      </c>
      <c r="L72" t="n">
        <v>0</v>
      </c>
      <c r="M72" t="n">
        <v>0</v>
      </c>
      <c r="N72" t="n">
        <v>0</v>
      </c>
      <c r="O72" t="n">
        <v>0</v>
      </c>
      <c r="P72" t="n">
        <v>0</v>
      </c>
      <c r="Q72" t="n">
        <v>1</v>
      </c>
      <c r="R72" s="2" t="inlineStr">
        <is>
          <t>Fläcknycklar</t>
        </is>
      </c>
      <c r="S72">
        <f>HYPERLINK("https://klasma.github.io/Logging_1880/artfynd/A 15621-2021 artfynd.xlsx", "A 15621-2021")</f>
        <v/>
      </c>
      <c r="T72">
        <f>HYPERLINK("https://klasma.github.io/Logging_1880/kartor/A 15621-2021 karta.png", "A 15621-2021")</f>
        <v/>
      </c>
      <c r="V72">
        <f>HYPERLINK("https://klasma.github.io/Logging_1880/klagomål/A 15621-2021 FSC-klagomål.docx", "A 15621-2021")</f>
        <v/>
      </c>
      <c r="W72">
        <f>HYPERLINK("https://klasma.github.io/Logging_1880/klagomålsmail/A 15621-2021 FSC-klagomål mail.docx", "A 15621-2021")</f>
        <v/>
      </c>
      <c r="X72">
        <f>HYPERLINK("https://klasma.github.io/Logging_1880/tillsyn/A 15621-2021 tillsynsbegäran.docx", "A 15621-2021")</f>
        <v/>
      </c>
      <c r="Y72">
        <f>HYPERLINK("https://klasma.github.io/Logging_1880/tillsynsmail/A 15621-2021 tillsynsbegäran mail.docx", "A 15621-2021")</f>
        <v/>
      </c>
    </row>
    <row r="73" ht="15" customHeight="1">
      <c r="A73" t="inlineStr">
        <is>
          <t>A 23606-2021</t>
        </is>
      </c>
      <c r="B73" s="1" t="n">
        <v>44334</v>
      </c>
      <c r="C73" s="1" t="n">
        <v>46083</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12232-2021</t>
        </is>
      </c>
      <c r="B74" s="1" t="n">
        <v>44266.70232638889</v>
      </c>
      <c r="C74" s="1" t="n">
        <v>46083</v>
      </c>
      <c r="D74" t="inlineStr">
        <is>
          <t>ÖREBRO LÄN</t>
        </is>
      </c>
      <c r="E74" t="inlineStr">
        <is>
          <t>ÖREBRO</t>
        </is>
      </c>
      <c r="G74" t="n">
        <v>1.5</v>
      </c>
      <c r="H74" t="n">
        <v>0</v>
      </c>
      <c r="I74" t="n">
        <v>0</v>
      </c>
      <c r="J74" t="n">
        <v>0</v>
      </c>
      <c r="K74" t="n">
        <v>0</v>
      </c>
      <c r="L74" t="n">
        <v>0</v>
      </c>
      <c r="M74" t="n">
        <v>0</v>
      </c>
      <c r="N74" t="n">
        <v>0</v>
      </c>
      <c r="O74" t="n">
        <v>0</v>
      </c>
      <c r="P74" t="n">
        <v>0</v>
      </c>
      <c r="Q74" t="n">
        <v>0</v>
      </c>
      <c r="R74" s="2" t="inlineStr"/>
    </row>
    <row r="75" ht="15" customHeight="1">
      <c r="A75" t="inlineStr">
        <is>
          <t>A 33865-2021</t>
        </is>
      </c>
      <c r="B75" s="1" t="n">
        <v>44378.62756944444</v>
      </c>
      <c r="C75" s="1" t="n">
        <v>46083</v>
      </c>
      <c r="D75" t="inlineStr">
        <is>
          <t>ÖREBRO LÄN</t>
        </is>
      </c>
      <c r="E75" t="inlineStr">
        <is>
          <t>ÖREBRO</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13760-2021</t>
        </is>
      </c>
      <c r="B76" s="1" t="n">
        <v>44274</v>
      </c>
      <c r="C76" s="1" t="n">
        <v>46083</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46083</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46083</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46083</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70289-2021</t>
        </is>
      </c>
      <c r="B80" s="1" t="n">
        <v>44536</v>
      </c>
      <c r="C80" s="1" t="n">
        <v>46083</v>
      </c>
      <c r="D80" t="inlineStr">
        <is>
          <t>ÖREBRO LÄN</t>
        </is>
      </c>
      <c r="E80" t="inlineStr">
        <is>
          <t>ÖREBRO</t>
        </is>
      </c>
      <c r="G80" t="n">
        <v>1.2</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46083</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46083</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7365-2022</t>
        </is>
      </c>
      <c r="B83" s="1" t="n">
        <v>44606</v>
      </c>
      <c r="C83" s="1" t="n">
        <v>46083</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33779-2021</t>
        </is>
      </c>
      <c r="B84" s="1" t="n">
        <v>44378.54952546296</v>
      </c>
      <c r="C84" s="1" t="n">
        <v>46083</v>
      </c>
      <c r="D84" t="inlineStr">
        <is>
          <t>ÖREBRO LÄN</t>
        </is>
      </c>
      <c r="E84" t="inlineStr">
        <is>
          <t>ÖREBRO</t>
        </is>
      </c>
      <c r="F84" t="inlineStr">
        <is>
          <t>Kommuner</t>
        </is>
      </c>
      <c r="G84" t="n">
        <v>4.5</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46083</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46083</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46083</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46083</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46083</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46083</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46083</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46083</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46083</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46083</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46083</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46083</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46083</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46083</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46083</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36794-2022</t>
        </is>
      </c>
      <c r="B100" s="1" t="n">
        <v>44805</v>
      </c>
      <c r="C100" s="1" t="n">
        <v>46083</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46083</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25660-2021</t>
        </is>
      </c>
      <c r="B102" s="1" t="n">
        <v>44343.5619212963</v>
      </c>
      <c r="C102" s="1" t="n">
        <v>46083</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15571-2021</t>
        </is>
      </c>
      <c r="B103" s="1" t="n">
        <v>44285</v>
      </c>
      <c r="C103" s="1" t="n">
        <v>46083</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46083</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46083</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46083</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46083</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46083</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46083</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46083</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46083</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46083</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46083</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46083</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46083</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46083</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46083</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6638-2022</t>
        </is>
      </c>
      <c r="B118" s="1" t="n">
        <v>44601</v>
      </c>
      <c r="C118" s="1" t="n">
        <v>46083</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46083</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46083</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46083</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66936-2021</t>
        </is>
      </c>
      <c r="B122" s="1" t="n">
        <v>44522.56349537037</v>
      </c>
      <c r="C122" s="1" t="n">
        <v>46083</v>
      </c>
      <c r="D122" t="inlineStr">
        <is>
          <t>ÖREBRO LÄN</t>
        </is>
      </c>
      <c r="E122" t="inlineStr">
        <is>
          <t>ÖREBRO</t>
        </is>
      </c>
      <c r="G122" t="n">
        <v>6.8</v>
      </c>
      <c r="H122" t="n">
        <v>0</v>
      </c>
      <c r="I122" t="n">
        <v>0</v>
      </c>
      <c r="J122" t="n">
        <v>0</v>
      </c>
      <c r="K122" t="n">
        <v>0</v>
      </c>
      <c r="L122" t="n">
        <v>0</v>
      </c>
      <c r="M122" t="n">
        <v>0</v>
      </c>
      <c r="N122" t="n">
        <v>0</v>
      </c>
      <c r="O122" t="n">
        <v>0</v>
      </c>
      <c r="P122" t="n">
        <v>0</v>
      </c>
      <c r="Q122" t="n">
        <v>0</v>
      </c>
      <c r="R122" s="2" t="inlineStr"/>
    </row>
    <row r="123" ht="15" customHeight="1">
      <c r="A123" t="inlineStr">
        <is>
          <t>A 44131-2022</t>
        </is>
      </c>
      <c r="B123" s="1" t="n">
        <v>44839</v>
      </c>
      <c r="C123" s="1" t="n">
        <v>46083</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18321-2022</t>
        </is>
      </c>
      <c r="B124" s="1" t="n">
        <v>44685</v>
      </c>
      <c r="C124" s="1" t="n">
        <v>46083</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32231-2022</t>
        </is>
      </c>
      <c r="B125" s="1" t="n">
        <v>44781</v>
      </c>
      <c r="C125" s="1" t="n">
        <v>46083</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32247-2022</t>
        </is>
      </c>
      <c r="B126" s="1" t="n">
        <v>44781</v>
      </c>
      <c r="C126" s="1" t="n">
        <v>46083</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41553-2022</t>
        </is>
      </c>
      <c r="B127" s="1" t="n">
        <v>44827.3940625</v>
      </c>
      <c r="C127" s="1" t="n">
        <v>46083</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14562-2022</t>
        </is>
      </c>
      <c r="B128" s="1" t="n">
        <v>44655</v>
      </c>
      <c r="C128" s="1" t="n">
        <v>46083</v>
      </c>
      <c r="D128" t="inlineStr">
        <is>
          <t>ÖREBRO LÄN</t>
        </is>
      </c>
      <c r="E128" t="inlineStr">
        <is>
          <t>ÖREBRO</t>
        </is>
      </c>
      <c r="G128" t="n">
        <v>3.6</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46083</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46083</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46083</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57343-2021</t>
        </is>
      </c>
      <c r="B132" s="1" t="n">
        <v>44482</v>
      </c>
      <c r="C132" s="1" t="n">
        <v>46083</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46083</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46083</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46083</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46083</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16261-2022</t>
        </is>
      </c>
      <c r="B137" s="1" t="n">
        <v>44670</v>
      </c>
      <c r="C137" s="1" t="n">
        <v>46083</v>
      </c>
      <c r="D137" t="inlineStr">
        <is>
          <t>ÖREBRO LÄN</t>
        </is>
      </c>
      <c r="E137" t="inlineStr">
        <is>
          <t>ÖREBRO</t>
        </is>
      </c>
      <c r="G137" t="n">
        <v>1.2</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46083</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46083</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46083</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51268-2022</t>
        </is>
      </c>
      <c r="B141" s="1" t="n">
        <v>44868</v>
      </c>
      <c r="C141" s="1" t="n">
        <v>46083</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18047-2022</t>
        </is>
      </c>
      <c r="B142" s="1" t="n">
        <v>44684</v>
      </c>
      <c r="C142" s="1" t="n">
        <v>46083</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26509-2021</t>
        </is>
      </c>
      <c r="B143" s="1" t="n">
        <v>44348.45107638889</v>
      </c>
      <c r="C143" s="1" t="n">
        <v>46083</v>
      </c>
      <c r="D143" t="inlineStr">
        <is>
          <t>ÖREBRO LÄN</t>
        </is>
      </c>
      <c r="E143" t="inlineStr">
        <is>
          <t>ÖREBRO</t>
        </is>
      </c>
      <c r="G143" t="n">
        <v>2.5</v>
      </c>
      <c r="H143" t="n">
        <v>0</v>
      </c>
      <c r="I143" t="n">
        <v>0</v>
      </c>
      <c r="J143" t="n">
        <v>0</v>
      </c>
      <c r="K143" t="n">
        <v>0</v>
      </c>
      <c r="L143" t="n">
        <v>0</v>
      </c>
      <c r="M143" t="n">
        <v>0</v>
      </c>
      <c r="N143" t="n">
        <v>0</v>
      </c>
      <c r="O143" t="n">
        <v>0</v>
      </c>
      <c r="P143" t="n">
        <v>0</v>
      </c>
      <c r="Q143" t="n">
        <v>0</v>
      </c>
      <c r="R143" s="2" t="inlineStr"/>
    </row>
    <row r="144" ht="15" customHeight="1">
      <c r="A144" t="inlineStr">
        <is>
          <t>A 4766-2022</t>
        </is>
      </c>
      <c r="B144" s="1" t="n">
        <v>44592</v>
      </c>
      <c r="C144" s="1" t="n">
        <v>46083</v>
      </c>
      <c r="D144" t="inlineStr">
        <is>
          <t>ÖREBRO LÄN</t>
        </is>
      </c>
      <c r="E144" t="inlineStr">
        <is>
          <t>ÖREBRO</t>
        </is>
      </c>
      <c r="G144" t="n">
        <v>2.9</v>
      </c>
      <c r="H144" t="n">
        <v>0</v>
      </c>
      <c r="I144" t="n">
        <v>0</v>
      </c>
      <c r="J144" t="n">
        <v>0</v>
      </c>
      <c r="K144" t="n">
        <v>0</v>
      </c>
      <c r="L144" t="n">
        <v>0</v>
      </c>
      <c r="M144" t="n">
        <v>0</v>
      </c>
      <c r="N144" t="n">
        <v>0</v>
      </c>
      <c r="O144" t="n">
        <v>0</v>
      </c>
      <c r="P144" t="n">
        <v>0</v>
      </c>
      <c r="Q144" t="n">
        <v>0</v>
      </c>
      <c r="R144" s="2" t="inlineStr"/>
    </row>
    <row r="145" ht="15" customHeight="1">
      <c r="A145" t="inlineStr">
        <is>
          <t>A 40312-2021</t>
        </is>
      </c>
      <c r="B145" s="1" t="n">
        <v>44419</v>
      </c>
      <c r="C145" s="1" t="n">
        <v>46083</v>
      </c>
      <c r="D145" t="inlineStr">
        <is>
          <t>ÖREBRO LÄN</t>
        </is>
      </c>
      <c r="E145" t="inlineStr">
        <is>
          <t>ÖREBRO</t>
        </is>
      </c>
      <c r="F145" t="inlineStr">
        <is>
          <t>Övriga Aktiebolag</t>
        </is>
      </c>
      <c r="G145" t="n">
        <v>2.6</v>
      </c>
      <c r="H145" t="n">
        <v>0</v>
      </c>
      <c r="I145" t="n">
        <v>0</v>
      </c>
      <c r="J145" t="n">
        <v>0</v>
      </c>
      <c r="K145" t="n">
        <v>0</v>
      </c>
      <c r="L145" t="n">
        <v>0</v>
      </c>
      <c r="M145" t="n">
        <v>0</v>
      </c>
      <c r="N145" t="n">
        <v>0</v>
      </c>
      <c r="O145" t="n">
        <v>0</v>
      </c>
      <c r="P145" t="n">
        <v>0</v>
      </c>
      <c r="Q145" t="n">
        <v>0</v>
      </c>
      <c r="R145" s="2" t="inlineStr"/>
    </row>
    <row r="146" ht="15" customHeight="1">
      <c r="A146" t="inlineStr">
        <is>
          <t>A 12478-2022</t>
        </is>
      </c>
      <c r="B146" s="1" t="n">
        <v>44638</v>
      </c>
      <c r="C146" s="1" t="n">
        <v>46083</v>
      </c>
      <c r="D146" t="inlineStr">
        <is>
          <t>ÖREBRO LÄN</t>
        </is>
      </c>
      <c r="E146" t="inlineStr">
        <is>
          <t>ÖREBRO</t>
        </is>
      </c>
      <c r="F146" t="inlineStr">
        <is>
          <t>Kyrkan</t>
        </is>
      </c>
      <c r="G146" t="n">
        <v>1.4</v>
      </c>
      <c r="H146" t="n">
        <v>0</v>
      </c>
      <c r="I146" t="n">
        <v>0</v>
      </c>
      <c r="J146" t="n">
        <v>0</v>
      </c>
      <c r="K146" t="n">
        <v>0</v>
      </c>
      <c r="L146" t="n">
        <v>0</v>
      </c>
      <c r="M146" t="n">
        <v>0</v>
      </c>
      <c r="N146" t="n">
        <v>0</v>
      </c>
      <c r="O146" t="n">
        <v>0</v>
      </c>
      <c r="P146" t="n">
        <v>0</v>
      </c>
      <c r="Q146" t="n">
        <v>0</v>
      </c>
      <c r="R146" s="2" t="inlineStr"/>
    </row>
    <row r="147" ht="15" customHeight="1">
      <c r="A147" t="inlineStr">
        <is>
          <t>A 5401-2022</t>
        </is>
      </c>
      <c r="B147" s="1" t="n">
        <v>44595</v>
      </c>
      <c r="C147" s="1" t="n">
        <v>46083</v>
      </c>
      <c r="D147" t="inlineStr">
        <is>
          <t>ÖREBRO LÄN</t>
        </is>
      </c>
      <c r="E147" t="inlineStr">
        <is>
          <t>ÖREBRO</t>
        </is>
      </c>
      <c r="G147" t="n">
        <v>2.3</v>
      </c>
      <c r="H147" t="n">
        <v>0</v>
      </c>
      <c r="I147" t="n">
        <v>0</v>
      </c>
      <c r="J147" t="n">
        <v>0</v>
      </c>
      <c r="K147" t="n">
        <v>0</v>
      </c>
      <c r="L147" t="n">
        <v>0</v>
      </c>
      <c r="M147" t="n">
        <v>0</v>
      </c>
      <c r="N147" t="n">
        <v>0</v>
      </c>
      <c r="O147" t="n">
        <v>0</v>
      </c>
      <c r="P147" t="n">
        <v>0</v>
      </c>
      <c r="Q147" t="n">
        <v>0</v>
      </c>
      <c r="R147" s="2" t="inlineStr"/>
    </row>
    <row r="148" ht="15" customHeight="1">
      <c r="A148" t="inlineStr">
        <is>
          <t>A 19978-2025</t>
        </is>
      </c>
      <c r="B148" s="1" t="n">
        <v>45771.7062037037</v>
      </c>
      <c r="C148" s="1" t="n">
        <v>46083</v>
      </c>
      <c r="D148" t="inlineStr">
        <is>
          <t>ÖREBRO LÄN</t>
        </is>
      </c>
      <c r="E148" t="inlineStr">
        <is>
          <t>ÖREBRO</t>
        </is>
      </c>
      <c r="G148" t="n">
        <v>2</v>
      </c>
      <c r="H148" t="n">
        <v>0</v>
      </c>
      <c r="I148" t="n">
        <v>0</v>
      </c>
      <c r="J148" t="n">
        <v>0</v>
      </c>
      <c r="K148" t="n">
        <v>0</v>
      </c>
      <c r="L148" t="n">
        <v>0</v>
      </c>
      <c r="M148" t="n">
        <v>0</v>
      </c>
      <c r="N148" t="n">
        <v>0</v>
      </c>
      <c r="O148" t="n">
        <v>0</v>
      </c>
      <c r="P148" t="n">
        <v>0</v>
      </c>
      <c r="Q148" t="n">
        <v>0</v>
      </c>
      <c r="R148" s="2" t="inlineStr"/>
    </row>
    <row r="149" ht="15" customHeight="1">
      <c r="A149" t="inlineStr">
        <is>
          <t>A 15354-2024</t>
        </is>
      </c>
      <c r="B149" s="1" t="n">
        <v>45400.85319444445</v>
      </c>
      <c r="C149" s="1" t="n">
        <v>46083</v>
      </c>
      <c r="D149" t="inlineStr">
        <is>
          <t>ÖREBRO LÄN</t>
        </is>
      </c>
      <c r="E149" t="inlineStr">
        <is>
          <t>ÖREBRO</t>
        </is>
      </c>
      <c r="G149" t="n">
        <v>0.7</v>
      </c>
      <c r="H149" t="n">
        <v>0</v>
      </c>
      <c r="I149" t="n">
        <v>0</v>
      </c>
      <c r="J149" t="n">
        <v>0</v>
      </c>
      <c r="K149" t="n">
        <v>0</v>
      </c>
      <c r="L149" t="n">
        <v>0</v>
      </c>
      <c r="M149" t="n">
        <v>0</v>
      </c>
      <c r="N149" t="n">
        <v>0</v>
      </c>
      <c r="O149" t="n">
        <v>0</v>
      </c>
      <c r="P149" t="n">
        <v>0</v>
      </c>
      <c r="Q149" t="n">
        <v>0</v>
      </c>
      <c r="R149" s="2" t="inlineStr"/>
    </row>
    <row r="150" ht="15" customHeight="1">
      <c r="A150" t="inlineStr">
        <is>
          <t>A 13169-2024</t>
        </is>
      </c>
      <c r="B150" s="1" t="n">
        <v>45386.40489583334</v>
      </c>
      <c r="C150" s="1" t="n">
        <v>46083</v>
      </c>
      <c r="D150" t="inlineStr">
        <is>
          <t>ÖREBRO LÄN</t>
        </is>
      </c>
      <c r="E150" t="inlineStr">
        <is>
          <t>ÖREBRO</t>
        </is>
      </c>
      <c r="G150" t="n">
        <v>4.3</v>
      </c>
      <c r="H150" t="n">
        <v>0</v>
      </c>
      <c r="I150" t="n">
        <v>0</v>
      </c>
      <c r="J150" t="n">
        <v>0</v>
      </c>
      <c r="K150" t="n">
        <v>0</v>
      </c>
      <c r="L150" t="n">
        <v>0</v>
      </c>
      <c r="M150" t="n">
        <v>0</v>
      </c>
      <c r="N150" t="n">
        <v>0</v>
      </c>
      <c r="O150" t="n">
        <v>0</v>
      </c>
      <c r="P150" t="n">
        <v>0</v>
      </c>
      <c r="Q150" t="n">
        <v>0</v>
      </c>
      <c r="R150" s="2" t="inlineStr"/>
    </row>
    <row r="151" ht="15" customHeight="1">
      <c r="A151" t="inlineStr">
        <is>
          <t>A 11067-2025</t>
        </is>
      </c>
      <c r="B151" s="1" t="n">
        <v>45723</v>
      </c>
      <c r="C151" s="1" t="n">
        <v>46083</v>
      </c>
      <c r="D151" t="inlineStr">
        <is>
          <t>ÖREBRO LÄN</t>
        </is>
      </c>
      <c r="E151" t="inlineStr">
        <is>
          <t>ÖREBRO</t>
        </is>
      </c>
      <c r="G151" t="n">
        <v>3.1</v>
      </c>
      <c r="H151" t="n">
        <v>0</v>
      </c>
      <c r="I151" t="n">
        <v>0</v>
      </c>
      <c r="J151" t="n">
        <v>0</v>
      </c>
      <c r="K151" t="n">
        <v>0</v>
      </c>
      <c r="L151" t="n">
        <v>0</v>
      </c>
      <c r="M151" t="n">
        <v>0</v>
      </c>
      <c r="N151" t="n">
        <v>0</v>
      </c>
      <c r="O151" t="n">
        <v>0</v>
      </c>
      <c r="P151" t="n">
        <v>0</v>
      </c>
      <c r="Q151" t="n">
        <v>0</v>
      </c>
      <c r="R151" s="2" t="inlineStr"/>
    </row>
    <row r="152" ht="15" customHeight="1">
      <c r="A152" t="inlineStr">
        <is>
          <t>A 19831-2021</t>
        </is>
      </c>
      <c r="B152" s="1" t="n">
        <v>44313</v>
      </c>
      <c r="C152" s="1" t="n">
        <v>46083</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9585-2025</t>
        </is>
      </c>
      <c r="B153" s="1" t="n">
        <v>45715.63409722222</v>
      </c>
      <c r="C153" s="1" t="n">
        <v>46083</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6879-2024</t>
        </is>
      </c>
      <c r="B154" s="1" t="n">
        <v>45342.85280092592</v>
      </c>
      <c r="C154" s="1" t="n">
        <v>46083</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5357-2024</t>
        </is>
      </c>
      <c r="B155" s="1" t="n">
        <v>45331</v>
      </c>
      <c r="C155" s="1" t="n">
        <v>46083</v>
      </c>
      <c r="D155" t="inlineStr">
        <is>
          <t>ÖREBRO LÄN</t>
        </is>
      </c>
      <c r="E155" t="inlineStr">
        <is>
          <t>ÖREBRO</t>
        </is>
      </c>
      <c r="G155" t="n">
        <v>0.7</v>
      </c>
      <c r="H155" t="n">
        <v>0</v>
      </c>
      <c r="I155" t="n">
        <v>0</v>
      </c>
      <c r="J155" t="n">
        <v>0</v>
      </c>
      <c r="K155" t="n">
        <v>0</v>
      </c>
      <c r="L155" t="n">
        <v>0</v>
      </c>
      <c r="M155" t="n">
        <v>0</v>
      </c>
      <c r="N155" t="n">
        <v>0</v>
      </c>
      <c r="O155" t="n">
        <v>0</v>
      </c>
      <c r="P155" t="n">
        <v>0</v>
      </c>
      <c r="Q155" t="n">
        <v>0</v>
      </c>
      <c r="R155" s="2" t="inlineStr"/>
    </row>
    <row r="156" ht="15" customHeight="1">
      <c r="A156" t="inlineStr">
        <is>
          <t>A 681-2024</t>
        </is>
      </c>
      <c r="B156" s="1" t="n">
        <v>45300</v>
      </c>
      <c r="C156" s="1" t="n">
        <v>46083</v>
      </c>
      <c r="D156" t="inlineStr">
        <is>
          <t>ÖREBRO LÄN</t>
        </is>
      </c>
      <c r="E156" t="inlineStr">
        <is>
          <t>ÖREBRO</t>
        </is>
      </c>
      <c r="G156" t="n">
        <v>3.3</v>
      </c>
      <c r="H156" t="n">
        <v>0</v>
      </c>
      <c r="I156" t="n">
        <v>0</v>
      </c>
      <c r="J156" t="n">
        <v>0</v>
      </c>
      <c r="K156" t="n">
        <v>0</v>
      </c>
      <c r="L156" t="n">
        <v>0</v>
      </c>
      <c r="M156" t="n">
        <v>0</v>
      </c>
      <c r="N156" t="n">
        <v>0</v>
      </c>
      <c r="O156" t="n">
        <v>0</v>
      </c>
      <c r="P156" t="n">
        <v>0</v>
      </c>
      <c r="Q156" t="n">
        <v>0</v>
      </c>
      <c r="R156" s="2" t="inlineStr"/>
    </row>
    <row r="157" ht="15" customHeight="1">
      <c r="A157" t="inlineStr">
        <is>
          <t>A 5125-2024</t>
        </is>
      </c>
      <c r="B157" s="1" t="n">
        <v>45330</v>
      </c>
      <c r="C157" s="1" t="n">
        <v>46083</v>
      </c>
      <c r="D157" t="inlineStr">
        <is>
          <t>ÖREBRO LÄN</t>
        </is>
      </c>
      <c r="E157" t="inlineStr">
        <is>
          <t>ÖREBRO</t>
        </is>
      </c>
      <c r="G157" t="n">
        <v>0.7</v>
      </c>
      <c r="H157" t="n">
        <v>0</v>
      </c>
      <c r="I157" t="n">
        <v>0</v>
      </c>
      <c r="J157" t="n">
        <v>0</v>
      </c>
      <c r="K157" t="n">
        <v>0</v>
      </c>
      <c r="L157" t="n">
        <v>0</v>
      </c>
      <c r="M157" t="n">
        <v>0</v>
      </c>
      <c r="N157" t="n">
        <v>0</v>
      </c>
      <c r="O157" t="n">
        <v>0</v>
      </c>
      <c r="P157" t="n">
        <v>0</v>
      </c>
      <c r="Q157" t="n">
        <v>0</v>
      </c>
      <c r="R157" s="2" t="inlineStr"/>
    </row>
    <row r="158" ht="15" customHeight="1">
      <c r="A158" t="inlineStr">
        <is>
          <t>A 14234-2024</t>
        </is>
      </c>
      <c r="B158" s="1" t="n">
        <v>45393.46980324074</v>
      </c>
      <c r="C158" s="1" t="n">
        <v>46083</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52256-2023</t>
        </is>
      </c>
      <c r="B159" s="1" t="n">
        <v>45224.51471064815</v>
      </c>
      <c r="C159" s="1" t="n">
        <v>46083</v>
      </c>
      <c r="D159" t="inlineStr">
        <is>
          <t>ÖREBRO LÄN</t>
        </is>
      </c>
      <c r="E159" t="inlineStr">
        <is>
          <t>ÖREBRO</t>
        </is>
      </c>
      <c r="G159" t="n">
        <v>2.8</v>
      </c>
      <c r="H159" t="n">
        <v>0</v>
      </c>
      <c r="I159" t="n">
        <v>0</v>
      </c>
      <c r="J159" t="n">
        <v>0</v>
      </c>
      <c r="K159" t="n">
        <v>0</v>
      </c>
      <c r="L159" t="n">
        <v>0</v>
      </c>
      <c r="M159" t="n">
        <v>0</v>
      </c>
      <c r="N159" t="n">
        <v>0</v>
      </c>
      <c r="O159" t="n">
        <v>0</v>
      </c>
      <c r="P159" t="n">
        <v>0</v>
      </c>
      <c r="Q159" t="n">
        <v>0</v>
      </c>
      <c r="R159" s="2" t="inlineStr"/>
    </row>
    <row r="160" ht="15" customHeight="1">
      <c r="A160" t="inlineStr">
        <is>
          <t>A 55593-2022</t>
        </is>
      </c>
      <c r="B160" s="1" t="n">
        <v>44888</v>
      </c>
      <c r="C160" s="1" t="n">
        <v>46083</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43612-2022</t>
        </is>
      </c>
      <c r="B161" s="1" t="n">
        <v>44837</v>
      </c>
      <c r="C161" s="1" t="n">
        <v>46083</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50446-2023</t>
        </is>
      </c>
      <c r="B162" s="1" t="n">
        <v>45216</v>
      </c>
      <c r="C162" s="1" t="n">
        <v>46083</v>
      </c>
      <c r="D162" t="inlineStr">
        <is>
          <t>ÖREBRO LÄN</t>
        </is>
      </c>
      <c r="E162" t="inlineStr">
        <is>
          <t>ÖREBRO</t>
        </is>
      </c>
      <c r="F162" t="inlineStr">
        <is>
          <t>Övriga Aktiebolag</t>
        </is>
      </c>
      <c r="G162" t="n">
        <v>2.8</v>
      </c>
      <c r="H162" t="n">
        <v>0</v>
      </c>
      <c r="I162" t="n">
        <v>0</v>
      </c>
      <c r="J162" t="n">
        <v>0</v>
      </c>
      <c r="K162" t="n">
        <v>0</v>
      </c>
      <c r="L162" t="n">
        <v>0</v>
      </c>
      <c r="M162" t="n">
        <v>0</v>
      </c>
      <c r="N162" t="n">
        <v>0</v>
      </c>
      <c r="O162" t="n">
        <v>0</v>
      </c>
      <c r="P162" t="n">
        <v>0</v>
      </c>
      <c r="Q162" t="n">
        <v>0</v>
      </c>
      <c r="R162" s="2" t="inlineStr"/>
    </row>
    <row r="163" ht="15" customHeight="1">
      <c r="A163" t="inlineStr">
        <is>
          <t>A 50450-2023</t>
        </is>
      </c>
      <c r="B163" s="1" t="n">
        <v>45216.73533564815</v>
      </c>
      <c r="C163" s="1" t="n">
        <v>46083</v>
      </c>
      <c r="D163" t="inlineStr">
        <is>
          <t>ÖREBRO LÄN</t>
        </is>
      </c>
      <c r="E163" t="inlineStr">
        <is>
          <t>ÖREBRO</t>
        </is>
      </c>
      <c r="F163" t="inlineStr">
        <is>
          <t>Övriga Aktiebolag</t>
        </is>
      </c>
      <c r="G163" t="n">
        <v>0.8</v>
      </c>
      <c r="H163" t="n">
        <v>0</v>
      </c>
      <c r="I163" t="n">
        <v>0</v>
      </c>
      <c r="J163" t="n">
        <v>0</v>
      </c>
      <c r="K163" t="n">
        <v>0</v>
      </c>
      <c r="L163" t="n">
        <v>0</v>
      </c>
      <c r="M163" t="n">
        <v>0</v>
      </c>
      <c r="N163" t="n">
        <v>0</v>
      </c>
      <c r="O163" t="n">
        <v>0</v>
      </c>
      <c r="P163" t="n">
        <v>0</v>
      </c>
      <c r="Q163" t="n">
        <v>0</v>
      </c>
      <c r="R163" s="2" t="inlineStr"/>
    </row>
    <row r="164" ht="15" customHeight="1">
      <c r="A164" t="inlineStr">
        <is>
          <t>A 42138-2024</t>
        </is>
      </c>
      <c r="B164" s="1" t="n">
        <v>45562.41854166667</v>
      </c>
      <c r="C164" s="1" t="n">
        <v>46083</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61593-2023</t>
        </is>
      </c>
      <c r="B165" s="1" t="n">
        <v>45265</v>
      </c>
      <c r="C165" s="1" t="n">
        <v>46083</v>
      </c>
      <c r="D165" t="inlineStr">
        <is>
          <t>ÖREBRO LÄN</t>
        </is>
      </c>
      <c r="E165" t="inlineStr">
        <is>
          <t>ÖREBRO</t>
        </is>
      </c>
      <c r="G165" t="n">
        <v>2.5</v>
      </c>
      <c r="H165" t="n">
        <v>0</v>
      </c>
      <c r="I165" t="n">
        <v>0</v>
      </c>
      <c r="J165" t="n">
        <v>0</v>
      </c>
      <c r="K165" t="n">
        <v>0</v>
      </c>
      <c r="L165" t="n">
        <v>0</v>
      </c>
      <c r="M165" t="n">
        <v>0</v>
      </c>
      <c r="N165" t="n">
        <v>0</v>
      </c>
      <c r="O165" t="n">
        <v>0</v>
      </c>
      <c r="P165" t="n">
        <v>0</v>
      </c>
      <c r="Q165" t="n">
        <v>0</v>
      </c>
      <c r="R165" s="2" t="inlineStr"/>
    </row>
    <row r="166" ht="15" customHeight="1">
      <c r="A166" t="inlineStr">
        <is>
          <t>A 34874-2022</t>
        </is>
      </c>
      <c r="B166" s="1" t="n">
        <v>44796</v>
      </c>
      <c r="C166" s="1" t="n">
        <v>46083</v>
      </c>
      <c r="D166" t="inlineStr">
        <is>
          <t>ÖREBRO LÄN</t>
        </is>
      </c>
      <c r="E166" t="inlineStr">
        <is>
          <t>ÖREBRO</t>
        </is>
      </c>
      <c r="F166" t="inlineStr">
        <is>
          <t>Övriga Aktiebolag</t>
        </is>
      </c>
      <c r="G166" t="n">
        <v>2.3</v>
      </c>
      <c r="H166" t="n">
        <v>0</v>
      </c>
      <c r="I166" t="n">
        <v>0</v>
      </c>
      <c r="J166" t="n">
        <v>0</v>
      </c>
      <c r="K166" t="n">
        <v>0</v>
      </c>
      <c r="L166" t="n">
        <v>0</v>
      </c>
      <c r="M166" t="n">
        <v>0</v>
      </c>
      <c r="N166" t="n">
        <v>0</v>
      </c>
      <c r="O166" t="n">
        <v>0</v>
      </c>
      <c r="P166" t="n">
        <v>0</v>
      </c>
      <c r="Q166" t="n">
        <v>0</v>
      </c>
      <c r="R166" s="2" t="inlineStr"/>
    </row>
    <row r="167" ht="15" customHeight="1">
      <c r="A167" t="inlineStr">
        <is>
          <t>A 38842-2022</t>
        </is>
      </c>
      <c r="B167" s="1" t="n">
        <v>44814</v>
      </c>
      <c r="C167" s="1" t="n">
        <v>46083</v>
      </c>
      <c r="D167" t="inlineStr">
        <is>
          <t>ÖREBRO LÄN</t>
        </is>
      </c>
      <c r="E167" t="inlineStr">
        <is>
          <t>ÖREBRO</t>
        </is>
      </c>
      <c r="G167" t="n">
        <v>5</v>
      </c>
      <c r="H167" t="n">
        <v>0</v>
      </c>
      <c r="I167" t="n">
        <v>0</v>
      </c>
      <c r="J167" t="n">
        <v>0</v>
      </c>
      <c r="K167" t="n">
        <v>0</v>
      </c>
      <c r="L167" t="n">
        <v>0</v>
      </c>
      <c r="M167" t="n">
        <v>0</v>
      </c>
      <c r="N167" t="n">
        <v>0</v>
      </c>
      <c r="O167" t="n">
        <v>0</v>
      </c>
      <c r="P167" t="n">
        <v>0</v>
      </c>
      <c r="Q167" t="n">
        <v>0</v>
      </c>
      <c r="R167" s="2" t="inlineStr"/>
    </row>
    <row r="168" ht="15" customHeight="1">
      <c r="A168" t="inlineStr">
        <is>
          <t>A 26338-2021</t>
        </is>
      </c>
      <c r="B168" s="1" t="n">
        <v>44347</v>
      </c>
      <c r="C168" s="1" t="n">
        <v>46083</v>
      </c>
      <c r="D168" t="inlineStr">
        <is>
          <t>ÖREBRO LÄN</t>
        </is>
      </c>
      <c r="E168" t="inlineStr">
        <is>
          <t>ÖREBRO</t>
        </is>
      </c>
      <c r="G168" t="n">
        <v>0.5</v>
      </c>
      <c r="H168" t="n">
        <v>0</v>
      </c>
      <c r="I168" t="n">
        <v>0</v>
      </c>
      <c r="J168" t="n">
        <v>0</v>
      </c>
      <c r="K168" t="n">
        <v>0</v>
      </c>
      <c r="L168" t="n">
        <v>0</v>
      </c>
      <c r="M168" t="n">
        <v>0</v>
      </c>
      <c r="N168" t="n">
        <v>0</v>
      </c>
      <c r="O168" t="n">
        <v>0</v>
      </c>
      <c r="P168" t="n">
        <v>0</v>
      </c>
      <c r="Q168" t="n">
        <v>0</v>
      </c>
      <c r="R168" s="2" t="inlineStr"/>
    </row>
    <row r="169" ht="15" customHeight="1">
      <c r="A169" t="inlineStr">
        <is>
          <t>A 40597-2021</t>
        </is>
      </c>
      <c r="B169" s="1" t="n">
        <v>44420</v>
      </c>
      <c r="C169" s="1" t="n">
        <v>46083</v>
      </c>
      <c r="D169" t="inlineStr">
        <is>
          <t>ÖREBRO LÄN</t>
        </is>
      </c>
      <c r="E169" t="inlineStr">
        <is>
          <t>ÖREBRO</t>
        </is>
      </c>
      <c r="G169" t="n">
        <v>2.1</v>
      </c>
      <c r="H169" t="n">
        <v>0</v>
      </c>
      <c r="I169" t="n">
        <v>0</v>
      </c>
      <c r="J169" t="n">
        <v>0</v>
      </c>
      <c r="K169" t="n">
        <v>0</v>
      </c>
      <c r="L169" t="n">
        <v>0</v>
      </c>
      <c r="M169" t="n">
        <v>0</v>
      </c>
      <c r="N169" t="n">
        <v>0</v>
      </c>
      <c r="O169" t="n">
        <v>0</v>
      </c>
      <c r="P169" t="n">
        <v>0</v>
      </c>
      <c r="Q169" t="n">
        <v>0</v>
      </c>
      <c r="R169" s="2" t="inlineStr"/>
    </row>
    <row r="170" ht="15" customHeight="1">
      <c r="A170" t="inlineStr">
        <is>
          <t>A 71266-2021</t>
        </is>
      </c>
      <c r="B170" s="1" t="n">
        <v>44539</v>
      </c>
      <c r="C170" s="1" t="n">
        <v>46083</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71267-2021</t>
        </is>
      </c>
      <c r="B171" s="1" t="n">
        <v>44539</v>
      </c>
      <c r="C171" s="1" t="n">
        <v>46083</v>
      </c>
      <c r="D171" t="inlineStr">
        <is>
          <t>ÖREBRO LÄN</t>
        </is>
      </c>
      <c r="E171" t="inlineStr">
        <is>
          <t>ÖREBRO</t>
        </is>
      </c>
      <c r="G171" t="n">
        <v>1.7</v>
      </c>
      <c r="H171" t="n">
        <v>0</v>
      </c>
      <c r="I171" t="n">
        <v>0</v>
      </c>
      <c r="J171" t="n">
        <v>0</v>
      </c>
      <c r="K171" t="n">
        <v>0</v>
      </c>
      <c r="L171" t="n">
        <v>0</v>
      </c>
      <c r="M171" t="n">
        <v>0</v>
      </c>
      <c r="N171" t="n">
        <v>0</v>
      </c>
      <c r="O171" t="n">
        <v>0</v>
      </c>
      <c r="P171" t="n">
        <v>0</v>
      </c>
      <c r="Q171" t="n">
        <v>0</v>
      </c>
      <c r="R171" s="2" t="inlineStr"/>
    </row>
    <row r="172" ht="15" customHeight="1">
      <c r="A172" t="inlineStr">
        <is>
          <t>A 71280-2021</t>
        </is>
      </c>
      <c r="B172" s="1" t="n">
        <v>44539</v>
      </c>
      <c r="C172" s="1" t="n">
        <v>46083</v>
      </c>
      <c r="D172" t="inlineStr">
        <is>
          <t>ÖREBRO LÄN</t>
        </is>
      </c>
      <c r="E172" t="inlineStr">
        <is>
          <t>ÖREBRO</t>
        </is>
      </c>
      <c r="G172" t="n">
        <v>0.6</v>
      </c>
      <c r="H172" t="n">
        <v>0</v>
      </c>
      <c r="I172" t="n">
        <v>0</v>
      </c>
      <c r="J172" t="n">
        <v>0</v>
      </c>
      <c r="K172" t="n">
        <v>0</v>
      </c>
      <c r="L172" t="n">
        <v>0</v>
      </c>
      <c r="M172" t="n">
        <v>0</v>
      </c>
      <c r="N172" t="n">
        <v>0</v>
      </c>
      <c r="O172" t="n">
        <v>0</v>
      </c>
      <c r="P172" t="n">
        <v>0</v>
      </c>
      <c r="Q172" t="n">
        <v>0</v>
      </c>
      <c r="R172" s="2" t="inlineStr"/>
    </row>
    <row r="173" ht="15" customHeight="1">
      <c r="A173" t="inlineStr">
        <is>
          <t>A 48581-2024</t>
        </is>
      </c>
      <c r="B173" s="1" t="n">
        <v>45593.41642361111</v>
      </c>
      <c r="C173" s="1" t="n">
        <v>46083</v>
      </c>
      <c r="D173" t="inlineStr">
        <is>
          <t>ÖREBRO LÄN</t>
        </is>
      </c>
      <c r="E173" t="inlineStr">
        <is>
          <t>ÖREBRO</t>
        </is>
      </c>
      <c r="G173" t="n">
        <v>0.7</v>
      </c>
      <c r="H173" t="n">
        <v>0</v>
      </c>
      <c r="I173" t="n">
        <v>0</v>
      </c>
      <c r="J173" t="n">
        <v>0</v>
      </c>
      <c r="K173" t="n">
        <v>0</v>
      </c>
      <c r="L173" t="n">
        <v>0</v>
      </c>
      <c r="M173" t="n">
        <v>0</v>
      </c>
      <c r="N173" t="n">
        <v>0</v>
      </c>
      <c r="O173" t="n">
        <v>0</v>
      </c>
      <c r="P173" t="n">
        <v>0</v>
      </c>
      <c r="Q173" t="n">
        <v>0</v>
      </c>
      <c r="R173" s="2" t="inlineStr"/>
    </row>
    <row r="174" ht="15" customHeight="1">
      <c r="A174" t="inlineStr">
        <is>
          <t>A 47047-2022</t>
        </is>
      </c>
      <c r="B174" s="1" t="n">
        <v>44852.39063657408</v>
      </c>
      <c r="C174" s="1" t="n">
        <v>46083</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21036-2024</t>
        </is>
      </c>
      <c r="B175" s="1" t="n">
        <v>45439.65954861111</v>
      </c>
      <c r="C175" s="1" t="n">
        <v>46083</v>
      </c>
      <c r="D175" t="inlineStr">
        <is>
          <t>ÖREBRO LÄN</t>
        </is>
      </c>
      <c r="E175" t="inlineStr">
        <is>
          <t>ÖREBRO</t>
        </is>
      </c>
      <c r="F175" t="inlineStr">
        <is>
          <t>Övriga Aktiebolag</t>
        </is>
      </c>
      <c r="G175" t="n">
        <v>5.7</v>
      </c>
      <c r="H175" t="n">
        <v>0</v>
      </c>
      <c r="I175" t="n">
        <v>0</v>
      </c>
      <c r="J175" t="n">
        <v>0</v>
      </c>
      <c r="K175" t="n">
        <v>0</v>
      </c>
      <c r="L175" t="n">
        <v>0</v>
      </c>
      <c r="M175" t="n">
        <v>0</v>
      </c>
      <c r="N175" t="n">
        <v>0</v>
      </c>
      <c r="O175" t="n">
        <v>0</v>
      </c>
      <c r="P175" t="n">
        <v>0</v>
      </c>
      <c r="Q175" t="n">
        <v>0</v>
      </c>
      <c r="R175" s="2" t="inlineStr"/>
    </row>
    <row r="176" ht="15" customHeight="1">
      <c r="A176" t="inlineStr">
        <is>
          <t>A 16739-2023</t>
        </is>
      </c>
      <c r="B176" s="1" t="n">
        <v>45030.72627314815</v>
      </c>
      <c r="C176" s="1" t="n">
        <v>46083</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12017-2024</t>
        </is>
      </c>
      <c r="B177" s="1" t="n">
        <v>45377</v>
      </c>
      <c r="C177" s="1" t="n">
        <v>46083</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2771-2023</t>
        </is>
      </c>
      <c r="B178" s="1" t="n">
        <v>44944.64704861111</v>
      </c>
      <c r="C178" s="1" t="n">
        <v>46083</v>
      </c>
      <c r="D178" t="inlineStr">
        <is>
          <t>ÖREBRO LÄN</t>
        </is>
      </c>
      <c r="E178" t="inlineStr">
        <is>
          <t>ÖREBRO</t>
        </is>
      </c>
      <c r="G178" t="n">
        <v>15.4</v>
      </c>
      <c r="H178" t="n">
        <v>0</v>
      </c>
      <c r="I178" t="n">
        <v>0</v>
      </c>
      <c r="J178" t="n">
        <v>0</v>
      </c>
      <c r="K178" t="n">
        <v>0</v>
      </c>
      <c r="L178" t="n">
        <v>0</v>
      </c>
      <c r="M178" t="n">
        <v>0</v>
      </c>
      <c r="N178" t="n">
        <v>0</v>
      </c>
      <c r="O178" t="n">
        <v>0</v>
      </c>
      <c r="P178" t="n">
        <v>0</v>
      </c>
      <c r="Q178" t="n">
        <v>0</v>
      </c>
      <c r="R178" s="2" t="inlineStr"/>
    </row>
    <row r="179" ht="15" customHeight="1">
      <c r="A179" t="inlineStr">
        <is>
          <t>A 9609-2023</t>
        </is>
      </c>
      <c r="B179" s="1" t="n">
        <v>44983.93344907407</v>
      </c>
      <c r="C179" s="1" t="n">
        <v>46083</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56077-2022</t>
        </is>
      </c>
      <c r="B180" s="1" t="n">
        <v>44889.60872685185</v>
      </c>
      <c r="C180" s="1" t="n">
        <v>46083</v>
      </c>
      <c r="D180" t="inlineStr">
        <is>
          <t>ÖREBRO LÄN</t>
        </is>
      </c>
      <c r="E180" t="inlineStr">
        <is>
          <t>ÖREBRO</t>
        </is>
      </c>
      <c r="F180" t="inlineStr">
        <is>
          <t>Övriga Aktiebolag</t>
        </is>
      </c>
      <c r="G180" t="n">
        <v>2.5</v>
      </c>
      <c r="H180" t="n">
        <v>0</v>
      </c>
      <c r="I180" t="n">
        <v>0</v>
      </c>
      <c r="J180" t="n">
        <v>0</v>
      </c>
      <c r="K180" t="n">
        <v>0</v>
      </c>
      <c r="L180" t="n">
        <v>0</v>
      </c>
      <c r="M180" t="n">
        <v>0</v>
      </c>
      <c r="N180" t="n">
        <v>0</v>
      </c>
      <c r="O180" t="n">
        <v>0</v>
      </c>
      <c r="P180" t="n">
        <v>0</v>
      </c>
      <c r="Q180" t="n">
        <v>0</v>
      </c>
      <c r="R180" s="2" t="inlineStr"/>
    </row>
    <row r="181" ht="15" customHeight="1">
      <c r="A181" t="inlineStr">
        <is>
          <t>A 58621-2024</t>
        </is>
      </c>
      <c r="B181" s="1" t="n">
        <v>45635.56321759259</v>
      </c>
      <c r="C181" s="1" t="n">
        <v>46083</v>
      </c>
      <c r="D181" t="inlineStr">
        <is>
          <t>ÖREBRO LÄN</t>
        </is>
      </c>
      <c r="E181" t="inlineStr">
        <is>
          <t>ÖREBRO</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58216-2024</t>
        </is>
      </c>
      <c r="B182" s="1" t="n">
        <v>45632</v>
      </c>
      <c r="C182" s="1" t="n">
        <v>46083</v>
      </c>
      <c r="D182" t="inlineStr">
        <is>
          <t>ÖREBRO LÄN</t>
        </is>
      </c>
      <c r="E182" t="inlineStr">
        <is>
          <t>ÖREBRO</t>
        </is>
      </c>
      <c r="G182" t="n">
        <v>1.9</v>
      </c>
      <c r="H182" t="n">
        <v>0</v>
      </c>
      <c r="I182" t="n">
        <v>0</v>
      </c>
      <c r="J182" t="n">
        <v>0</v>
      </c>
      <c r="K182" t="n">
        <v>0</v>
      </c>
      <c r="L182" t="n">
        <v>0</v>
      </c>
      <c r="M182" t="n">
        <v>0</v>
      </c>
      <c r="N182" t="n">
        <v>0</v>
      </c>
      <c r="O182" t="n">
        <v>0</v>
      </c>
      <c r="P182" t="n">
        <v>0</v>
      </c>
      <c r="Q182" t="n">
        <v>0</v>
      </c>
      <c r="R182" s="2" t="inlineStr"/>
    </row>
    <row r="183" ht="15" customHeight="1">
      <c r="A183" t="inlineStr">
        <is>
          <t>A 70707-2021</t>
        </is>
      </c>
      <c r="B183" s="1" t="n">
        <v>44537</v>
      </c>
      <c r="C183" s="1" t="n">
        <v>46083</v>
      </c>
      <c r="D183" t="inlineStr">
        <is>
          <t>ÖREBRO LÄN</t>
        </is>
      </c>
      <c r="E183" t="inlineStr">
        <is>
          <t>ÖREBRO</t>
        </is>
      </c>
      <c r="G183" t="n">
        <v>13.2</v>
      </c>
      <c r="H183" t="n">
        <v>0</v>
      </c>
      <c r="I183" t="n">
        <v>0</v>
      </c>
      <c r="J183" t="n">
        <v>0</v>
      </c>
      <c r="K183" t="n">
        <v>0</v>
      </c>
      <c r="L183" t="n">
        <v>0</v>
      </c>
      <c r="M183" t="n">
        <v>0</v>
      </c>
      <c r="N183" t="n">
        <v>0</v>
      </c>
      <c r="O183" t="n">
        <v>0</v>
      </c>
      <c r="P183" t="n">
        <v>0</v>
      </c>
      <c r="Q183" t="n">
        <v>0</v>
      </c>
      <c r="R183" s="2" t="inlineStr"/>
    </row>
    <row r="184" ht="15" customHeight="1">
      <c r="A184" t="inlineStr">
        <is>
          <t>A 57243-2022</t>
        </is>
      </c>
      <c r="B184" s="1" t="n">
        <v>44895.71835648148</v>
      </c>
      <c r="C184" s="1" t="n">
        <v>46083</v>
      </c>
      <c r="D184" t="inlineStr">
        <is>
          <t>ÖREBRO LÄN</t>
        </is>
      </c>
      <c r="E184" t="inlineStr">
        <is>
          <t>ÖREBRO</t>
        </is>
      </c>
      <c r="G184" t="n">
        <v>6</v>
      </c>
      <c r="H184" t="n">
        <v>0</v>
      </c>
      <c r="I184" t="n">
        <v>0</v>
      </c>
      <c r="J184" t="n">
        <v>0</v>
      </c>
      <c r="K184" t="n">
        <v>0</v>
      </c>
      <c r="L184" t="n">
        <v>0</v>
      </c>
      <c r="M184" t="n">
        <v>0</v>
      </c>
      <c r="N184" t="n">
        <v>0</v>
      </c>
      <c r="O184" t="n">
        <v>0</v>
      </c>
      <c r="P184" t="n">
        <v>0</v>
      </c>
      <c r="Q184" t="n">
        <v>0</v>
      </c>
      <c r="R184" s="2" t="inlineStr"/>
    </row>
    <row r="185" ht="15" customHeight="1">
      <c r="A185" t="inlineStr">
        <is>
          <t>A 37012-2024</t>
        </is>
      </c>
      <c r="B185" s="1" t="n">
        <v>45539</v>
      </c>
      <c r="C185" s="1" t="n">
        <v>46083</v>
      </c>
      <c r="D185" t="inlineStr">
        <is>
          <t>ÖREBRO LÄN</t>
        </is>
      </c>
      <c r="E185" t="inlineStr">
        <is>
          <t>ÖREBRO</t>
        </is>
      </c>
      <c r="G185" t="n">
        <v>4.1</v>
      </c>
      <c r="H185" t="n">
        <v>0</v>
      </c>
      <c r="I185" t="n">
        <v>0</v>
      </c>
      <c r="J185" t="n">
        <v>0</v>
      </c>
      <c r="K185" t="n">
        <v>0</v>
      </c>
      <c r="L185" t="n">
        <v>0</v>
      </c>
      <c r="M185" t="n">
        <v>0</v>
      </c>
      <c r="N185" t="n">
        <v>0</v>
      </c>
      <c r="O185" t="n">
        <v>0</v>
      </c>
      <c r="P185" t="n">
        <v>0</v>
      </c>
      <c r="Q185" t="n">
        <v>0</v>
      </c>
      <c r="R185" s="2" t="inlineStr"/>
    </row>
    <row r="186" ht="15" customHeight="1">
      <c r="A186" t="inlineStr">
        <is>
          <t>A 37020-2024</t>
        </is>
      </c>
      <c r="B186" s="1" t="n">
        <v>45539.38059027777</v>
      </c>
      <c r="C186" s="1" t="n">
        <v>46083</v>
      </c>
      <c r="D186" t="inlineStr">
        <is>
          <t>ÖREBRO LÄN</t>
        </is>
      </c>
      <c r="E186" t="inlineStr">
        <is>
          <t>ÖREBRO</t>
        </is>
      </c>
      <c r="F186" t="inlineStr">
        <is>
          <t>Sveaskog</t>
        </is>
      </c>
      <c r="G186" t="n">
        <v>3.1</v>
      </c>
      <c r="H186" t="n">
        <v>0</v>
      </c>
      <c r="I186" t="n">
        <v>0</v>
      </c>
      <c r="J186" t="n">
        <v>0</v>
      </c>
      <c r="K186" t="n">
        <v>0</v>
      </c>
      <c r="L186" t="n">
        <v>0</v>
      </c>
      <c r="M186" t="n">
        <v>0</v>
      </c>
      <c r="N186" t="n">
        <v>0</v>
      </c>
      <c r="O186" t="n">
        <v>0</v>
      </c>
      <c r="P186" t="n">
        <v>0</v>
      </c>
      <c r="Q186" t="n">
        <v>0</v>
      </c>
      <c r="R186" s="2" t="inlineStr"/>
    </row>
    <row r="187" ht="15" customHeight="1">
      <c r="A187" t="inlineStr">
        <is>
          <t>A 55353-2024</t>
        </is>
      </c>
      <c r="B187" s="1" t="n">
        <v>45621.79526620371</v>
      </c>
      <c r="C187" s="1" t="n">
        <v>46083</v>
      </c>
      <c r="D187" t="inlineStr">
        <is>
          <t>ÖREBRO LÄN</t>
        </is>
      </c>
      <c r="E187" t="inlineStr">
        <is>
          <t>ÖREBRO</t>
        </is>
      </c>
      <c r="G187" t="n">
        <v>0.5</v>
      </c>
      <c r="H187" t="n">
        <v>0</v>
      </c>
      <c r="I187" t="n">
        <v>0</v>
      </c>
      <c r="J187" t="n">
        <v>0</v>
      </c>
      <c r="K187" t="n">
        <v>0</v>
      </c>
      <c r="L187" t="n">
        <v>0</v>
      </c>
      <c r="M187" t="n">
        <v>0</v>
      </c>
      <c r="N187" t="n">
        <v>0</v>
      </c>
      <c r="O187" t="n">
        <v>0</v>
      </c>
      <c r="P187" t="n">
        <v>0</v>
      </c>
      <c r="Q187" t="n">
        <v>0</v>
      </c>
      <c r="R187" s="2" t="inlineStr"/>
    </row>
    <row r="188" ht="15" customHeight="1">
      <c r="A188" t="inlineStr">
        <is>
          <t>A 541-2025</t>
        </is>
      </c>
      <c r="B188" s="1" t="n">
        <v>45664.52034722222</v>
      </c>
      <c r="C188" s="1" t="n">
        <v>46083</v>
      </c>
      <c r="D188" t="inlineStr">
        <is>
          <t>ÖREBRO LÄN</t>
        </is>
      </c>
      <c r="E188" t="inlineStr">
        <is>
          <t>ÖREBRO</t>
        </is>
      </c>
      <c r="G188" t="n">
        <v>2.2</v>
      </c>
      <c r="H188" t="n">
        <v>0</v>
      </c>
      <c r="I188" t="n">
        <v>0</v>
      </c>
      <c r="J188" t="n">
        <v>0</v>
      </c>
      <c r="K188" t="n">
        <v>0</v>
      </c>
      <c r="L188" t="n">
        <v>0</v>
      </c>
      <c r="M188" t="n">
        <v>0</v>
      </c>
      <c r="N188" t="n">
        <v>0</v>
      </c>
      <c r="O188" t="n">
        <v>0</v>
      </c>
      <c r="P188" t="n">
        <v>0</v>
      </c>
      <c r="Q188" t="n">
        <v>0</v>
      </c>
      <c r="R188" s="2" t="inlineStr"/>
    </row>
    <row r="189" ht="15" customHeight="1">
      <c r="A189" t="inlineStr">
        <is>
          <t>A 19553-2023</t>
        </is>
      </c>
      <c r="B189" s="1" t="n">
        <v>45050</v>
      </c>
      <c r="C189" s="1" t="n">
        <v>46083</v>
      </c>
      <c r="D189" t="inlineStr">
        <is>
          <t>ÖREBRO LÄN</t>
        </is>
      </c>
      <c r="E189" t="inlineStr">
        <is>
          <t>ÖREBRO</t>
        </is>
      </c>
      <c r="G189" t="n">
        <v>2.1</v>
      </c>
      <c r="H189" t="n">
        <v>0</v>
      </c>
      <c r="I189" t="n">
        <v>0</v>
      </c>
      <c r="J189" t="n">
        <v>0</v>
      </c>
      <c r="K189" t="n">
        <v>0</v>
      </c>
      <c r="L189" t="n">
        <v>0</v>
      </c>
      <c r="M189" t="n">
        <v>0</v>
      </c>
      <c r="N189" t="n">
        <v>0</v>
      </c>
      <c r="O189" t="n">
        <v>0</v>
      </c>
      <c r="P189" t="n">
        <v>0</v>
      </c>
      <c r="Q189" t="n">
        <v>0</v>
      </c>
      <c r="R189" s="2" t="inlineStr"/>
    </row>
    <row r="190" ht="15" customHeight="1">
      <c r="A190" t="inlineStr">
        <is>
          <t>A 37025-2024</t>
        </is>
      </c>
      <c r="B190" s="1" t="n">
        <v>45539.3840162037</v>
      </c>
      <c r="C190" s="1" t="n">
        <v>46083</v>
      </c>
      <c r="D190" t="inlineStr">
        <is>
          <t>ÖREBRO LÄN</t>
        </is>
      </c>
      <c r="E190" t="inlineStr">
        <is>
          <t>ÖREBRO</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37027-2024</t>
        </is>
      </c>
      <c r="B191" s="1" t="n">
        <v>45539.38487268519</v>
      </c>
      <c r="C191" s="1" t="n">
        <v>46083</v>
      </c>
      <c r="D191" t="inlineStr">
        <is>
          <t>ÖREBRO LÄN</t>
        </is>
      </c>
      <c r="E191" t="inlineStr">
        <is>
          <t>ÖREBRO</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23594-2023</t>
        </is>
      </c>
      <c r="B192" s="1" t="n">
        <v>45077</v>
      </c>
      <c r="C192" s="1" t="n">
        <v>46083</v>
      </c>
      <c r="D192" t="inlineStr">
        <is>
          <t>ÖREBRO LÄN</t>
        </is>
      </c>
      <c r="E192" t="inlineStr">
        <is>
          <t>ÖREBRO</t>
        </is>
      </c>
      <c r="G192" t="n">
        <v>9.9</v>
      </c>
      <c r="H192" t="n">
        <v>0</v>
      </c>
      <c r="I192" t="n">
        <v>0</v>
      </c>
      <c r="J192" t="n">
        <v>0</v>
      </c>
      <c r="K192" t="n">
        <v>0</v>
      </c>
      <c r="L192" t="n">
        <v>0</v>
      </c>
      <c r="M192" t="n">
        <v>0</v>
      </c>
      <c r="N192" t="n">
        <v>0</v>
      </c>
      <c r="O192" t="n">
        <v>0</v>
      </c>
      <c r="P192" t="n">
        <v>0</v>
      </c>
      <c r="Q192" t="n">
        <v>0</v>
      </c>
      <c r="R192" s="2" t="inlineStr"/>
    </row>
    <row r="193" ht="15" customHeight="1">
      <c r="A193" t="inlineStr">
        <is>
          <t>A 8022-2022</t>
        </is>
      </c>
      <c r="B193" s="1" t="n">
        <v>44609</v>
      </c>
      <c r="C193" s="1" t="n">
        <v>46083</v>
      </c>
      <c r="D193" t="inlineStr">
        <is>
          <t>ÖREBRO LÄN</t>
        </is>
      </c>
      <c r="E193" t="inlineStr">
        <is>
          <t>ÖREBRO</t>
        </is>
      </c>
      <c r="G193" t="n">
        <v>5.6</v>
      </c>
      <c r="H193" t="n">
        <v>0</v>
      </c>
      <c r="I193" t="n">
        <v>0</v>
      </c>
      <c r="J193" t="n">
        <v>0</v>
      </c>
      <c r="K193" t="n">
        <v>0</v>
      </c>
      <c r="L193" t="n">
        <v>0</v>
      </c>
      <c r="M193" t="n">
        <v>0</v>
      </c>
      <c r="N193" t="n">
        <v>0</v>
      </c>
      <c r="O193" t="n">
        <v>0</v>
      </c>
      <c r="P193" t="n">
        <v>0</v>
      </c>
      <c r="Q193" t="n">
        <v>0</v>
      </c>
      <c r="R193" s="2" t="inlineStr"/>
    </row>
    <row r="194" ht="15" customHeight="1">
      <c r="A194" t="inlineStr">
        <is>
          <t>A 47193-2023</t>
        </is>
      </c>
      <c r="B194" s="1" t="n">
        <v>45202.3074537037</v>
      </c>
      <c r="C194" s="1" t="n">
        <v>46083</v>
      </c>
      <c r="D194" t="inlineStr">
        <is>
          <t>ÖREBRO LÄN</t>
        </is>
      </c>
      <c r="E194" t="inlineStr">
        <is>
          <t>ÖREBRO</t>
        </is>
      </c>
      <c r="G194" t="n">
        <v>2.4</v>
      </c>
      <c r="H194" t="n">
        <v>0</v>
      </c>
      <c r="I194" t="n">
        <v>0</v>
      </c>
      <c r="J194" t="n">
        <v>0</v>
      </c>
      <c r="K194" t="n">
        <v>0</v>
      </c>
      <c r="L194" t="n">
        <v>0</v>
      </c>
      <c r="M194" t="n">
        <v>0</v>
      </c>
      <c r="N194" t="n">
        <v>0</v>
      </c>
      <c r="O194" t="n">
        <v>0</v>
      </c>
      <c r="P194" t="n">
        <v>0</v>
      </c>
      <c r="Q194" t="n">
        <v>0</v>
      </c>
      <c r="R194" s="2" t="inlineStr"/>
    </row>
    <row r="195" ht="15" customHeight="1">
      <c r="A195" t="inlineStr">
        <is>
          <t>A 58598-2022</t>
        </is>
      </c>
      <c r="B195" s="1" t="n">
        <v>44902</v>
      </c>
      <c r="C195" s="1" t="n">
        <v>46083</v>
      </c>
      <c r="D195" t="inlineStr">
        <is>
          <t>ÖREBRO LÄN</t>
        </is>
      </c>
      <c r="E195" t="inlineStr">
        <is>
          <t>ÖREBRO</t>
        </is>
      </c>
      <c r="G195" t="n">
        <v>0.4</v>
      </c>
      <c r="H195" t="n">
        <v>0</v>
      </c>
      <c r="I195" t="n">
        <v>0</v>
      </c>
      <c r="J195" t="n">
        <v>0</v>
      </c>
      <c r="K195" t="n">
        <v>0</v>
      </c>
      <c r="L195" t="n">
        <v>0</v>
      </c>
      <c r="M195" t="n">
        <v>0</v>
      </c>
      <c r="N195" t="n">
        <v>0</v>
      </c>
      <c r="O195" t="n">
        <v>0</v>
      </c>
      <c r="P195" t="n">
        <v>0</v>
      </c>
      <c r="Q195" t="n">
        <v>0</v>
      </c>
      <c r="R195" s="2" t="inlineStr"/>
    </row>
    <row r="196" ht="15" customHeight="1">
      <c r="A196" t="inlineStr">
        <is>
          <t>A 71206-2021</t>
        </is>
      </c>
      <c r="B196" s="1" t="n">
        <v>44539</v>
      </c>
      <c r="C196" s="1" t="n">
        <v>46083</v>
      </c>
      <c r="D196" t="inlineStr">
        <is>
          <t>ÖREBRO LÄN</t>
        </is>
      </c>
      <c r="E196" t="inlineStr">
        <is>
          <t>ÖREBRO</t>
        </is>
      </c>
      <c r="G196" t="n">
        <v>2.5</v>
      </c>
      <c r="H196" t="n">
        <v>0</v>
      </c>
      <c r="I196" t="n">
        <v>0</v>
      </c>
      <c r="J196" t="n">
        <v>0</v>
      </c>
      <c r="K196" t="n">
        <v>0</v>
      </c>
      <c r="L196" t="n">
        <v>0</v>
      </c>
      <c r="M196" t="n">
        <v>0</v>
      </c>
      <c r="N196" t="n">
        <v>0</v>
      </c>
      <c r="O196" t="n">
        <v>0</v>
      </c>
      <c r="P196" t="n">
        <v>0</v>
      </c>
      <c r="Q196" t="n">
        <v>0</v>
      </c>
      <c r="R196" s="2" t="inlineStr"/>
    </row>
    <row r="197" ht="15" customHeight="1">
      <c r="A197" t="inlineStr">
        <is>
          <t>A 16739-2022</t>
        </is>
      </c>
      <c r="B197" s="1" t="n">
        <v>44673</v>
      </c>
      <c r="C197" s="1" t="n">
        <v>46083</v>
      </c>
      <c r="D197" t="inlineStr">
        <is>
          <t>ÖREBRO LÄN</t>
        </is>
      </c>
      <c r="E197" t="inlineStr">
        <is>
          <t>ÖREBRO</t>
        </is>
      </c>
      <c r="G197" t="n">
        <v>4.7</v>
      </c>
      <c r="H197" t="n">
        <v>0</v>
      </c>
      <c r="I197" t="n">
        <v>0</v>
      </c>
      <c r="J197" t="n">
        <v>0</v>
      </c>
      <c r="K197" t="n">
        <v>0</v>
      </c>
      <c r="L197" t="n">
        <v>0</v>
      </c>
      <c r="M197" t="n">
        <v>0</v>
      </c>
      <c r="N197" t="n">
        <v>0</v>
      </c>
      <c r="O197" t="n">
        <v>0</v>
      </c>
      <c r="P197" t="n">
        <v>0</v>
      </c>
      <c r="Q197" t="n">
        <v>0</v>
      </c>
      <c r="R197" s="2" t="inlineStr"/>
    </row>
    <row r="198" ht="15" customHeight="1">
      <c r="A198" t="inlineStr">
        <is>
          <t>A 41678-2024</t>
        </is>
      </c>
      <c r="B198" s="1" t="n">
        <v>45560</v>
      </c>
      <c r="C198" s="1" t="n">
        <v>46083</v>
      </c>
      <c r="D198" t="inlineStr">
        <is>
          <t>ÖREBRO LÄN</t>
        </is>
      </c>
      <c r="E198" t="inlineStr">
        <is>
          <t>ÖREBRO</t>
        </is>
      </c>
      <c r="G198" t="n">
        <v>11.3</v>
      </c>
      <c r="H198" t="n">
        <v>0</v>
      </c>
      <c r="I198" t="n">
        <v>0</v>
      </c>
      <c r="J198" t="n">
        <v>0</v>
      </c>
      <c r="K198" t="n">
        <v>0</v>
      </c>
      <c r="L198" t="n">
        <v>0</v>
      </c>
      <c r="M198" t="n">
        <v>0</v>
      </c>
      <c r="N198" t="n">
        <v>0</v>
      </c>
      <c r="O198" t="n">
        <v>0</v>
      </c>
      <c r="P198" t="n">
        <v>0</v>
      </c>
      <c r="Q198" t="n">
        <v>0</v>
      </c>
      <c r="R198" s="2" t="inlineStr"/>
    </row>
    <row r="199" ht="15" customHeight="1">
      <c r="A199" t="inlineStr">
        <is>
          <t>A 39003-2025</t>
        </is>
      </c>
      <c r="B199" s="1" t="n">
        <v>45888.34467592592</v>
      </c>
      <c r="C199" s="1" t="n">
        <v>46083</v>
      </c>
      <c r="D199" t="inlineStr">
        <is>
          <t>ÖREBRO LÄN</t>
        </is>
      </c>
      <c r="E199" t="inlineStr">
        <is>
          <t>ÖREBRO</t>
        </is>
      </c>
      <c r="G199" t="n">
        <v>3.7</v>
      </c>
      <c r="H199" t="n">
        <v>0</v>
      </c>
      <c r="I199" t="n">
        <v>0</v>
      </c>
      <c r="J199" t="n">
        <v>0</v>
      </c>
      <c r="K199" t="n">
        <v>0</v>
      </c>
      <c r="L199" t="n">
        <v>0</v>
      </c>
      <c r="M199" t="n">
        <v>0</v>
      </c>
      <c r="N199" t="n">
        <v>0</v>
      </c>
      <c r="O199" t="n">
        <v>0</v>
      </c>
      <c r="P199" t="n">
        <v>0</v>
      </c>
      <c r="Q199" t="n">
        <v>0</v>
      </c>
      <c r="R199" s="2" t="inlineStr"/>
    </row>
    <row r="200" ht="15" customHeight="1">
      <c r="A200" t="inlineStr">
        <is>
          <t>A 15422-2022</t>
        </is>
      </c>
      <c r="B200" s="1" t="n">
        <v>44659.63753472222</v>
      </c>
      <c r="C200" s="1" t="n">
        <v>46083</v>
      </c>
      <c r="D200" t="inlineStr">
        <is>
          <t>ÖREBRO LÄN</t>
        </is>
      </c>
      <c r="E200" t="inlineStr">
        <is>
          <t>ÖREBRO</t>
        </is>
      </c>
      <c r="G200" t="n">
        <v>2</v>
      </c>
      <c r="H200" t="n">
        <v>0</v>
      </c>
      <c r="I200" t="n">
        <v>0</v>
      </c>
      <c r="J200" t="n">
        <v>0</v>
      </c>
      <c r="K200" t="n">
        <v>0</v>
      </c>
      <c r="L200" t="n">
        <v>0</v>
      </c>
      <c r="M200" t="n">
        <v>0</v>
      </c>
      <c r="N200" t="n">
        <v>0</v>
      </c>
      <c r="O200" t="n">
        <v>0</v>
      </c>
      <c r="P200" t="n">
        <v>0</v>
      </c>
      <c r="Q200" t="n">
        <v>0</v>
      </c>
      <c r="R200" s="2" t="inlineStr"/>
    </row>
    <row r="201" ht="15" customHeight="1">
      <c r="A201" t="inlineStr">
        <is>
          <t>A 9379-2024</t>
        </is>
      </c>
      <c r="B201" s="1" t="n">
        <v>45359.37298611111</v>
      </c>
      <c r="C201" s="1" t="n">
        <v>46083</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5398-2022</t>
        </is>
      </c>
      <c r="B202" s="1" t="n">
        <v>44595.3353587963</v>
      </c>
      <c r="C202" s="1" t="n">
        <v>46083</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13418-2024</t>
        </is>
      </c>
      <c r="B203" s="1" t="n">
        <v>45387.46482638889</v>
      </c>
      <c r="C203" s="1" t="n">
        <v>46083</v>
      </c>
      <c r="D203" t="inlineStr">
        <is>
          <t>ÖREBRO LÄN</t>
        </is>
      </c>
      <c r="E203" t="inlineStr">
        <is>
          <t>ÖREBRO</t>
        </is>
      </c>
      <c r="G203" t="n">
        <v>4.2</v>
      </c>
      <c r="H203" t="n">
        <v>0</v>
      </c>
      <c r="I203" t="n">
        <v>0</v>
      </c>
      <c r="J203" t="n">
        <v>0</v>
      </c>
      <c r="K203" t="n">
        <v>0</v>
      </c>
      <c r="L203" t="n">
        <v>0</v>
      </c>
      <c r="M203" t="n">
        <v>0</v>
      </c>
      <c r="N203" t="n">
        <v>0</v>
      </c>
      <c r="O203" t="n">
        <v>0</v>
      </c>
      <c r="P203" t="n">
        <v>0</v>
      </c>
      <c r="Q203" t="n">
        <v>0</v>
      </c>
      <c r="R203" s="2" t="inlineStr"/>
    </row>
    <row r="204" ht="15" customHeight="1">
      <c r="A204" t="inlineStr">
        <is>
          <t>A 46323-2024</t>
        </is>
      </c>
      <c r="B204" s="1" t="n">
        <v>45581.84538194445</v>
      </c>
      <c r="C204" s="1" t="n">
        <v>46083</v>
      </c>
      <c r="D204" t="inlineStr">
        <is>
          <t>ÖREBRO LÄN</t>
        </is>
      </c>
      <c r="E204" t="inlineStr">
        <is>
          <t>ÖREBRO</t>
        </is>
      </c>
      <c r="F204" t="inlineStr">
        <is>
          <t>Övriga Aktiebolag</t>
        </is>
      </c>
      <c r="G204" t="n">
        <v>1.4</v>
      </c>
      <c r="H204" t="n">
        <v>0</v>
      </c>
      <c r="I204" t="n">
        <v>0</v>
      </c>
      <c r="J204" t="n">
        <v>0</v>
      </c>
      <c r="K204" t="n">
        <v>0</v>
      </c>
      <c r="L204" t="n">
        <v>0</v>
      </c>
      <c r="M204" t="n">
        <v>0</v>
      </c>
      <c r="N204" t="n">
        <v>0</v>
      </c>
      <c r="O204" t="n">
        <v>0</v>
      </c>
      <c r="P204" t="n">
        <v>0</v>
      </c>
      <c r="Q204" t="n">
        <v>0</v>
      </c>
      <c r="R204" s="2" t="inlineStr"/>
    </row>
    <row r="205" ht="15" customHeight="1">
      <c r="A205" t="inlineStr">
        <is>
          <t>A 27220-2025</t>
        </is>
      </c>
      <c r="B205" s="1" t="n">
        <v>45812.42293981482</v>
      </c>
      <c r="C205" s="1" t="n">
        <v>46083</v>
      </c>
      <c r="D205" t="inlineStr">
        <is>
          <t>ÖREBRO LÄN</t>
        </is>
      </c>
      <c r="E205" t="inlineStr">
        <is>
          <t>ÖREBRO</t>
        </is>
      </c>
      <c r="G205" t="n">
        <v>0.6</v>
      </c>
      <c r="H205" t="n">
        <v>0</v>
      </c>
      <c r="I205" t="n">
        <v>0</v>
      </c>
      <c r="J205" t="n">
        <v>0</v>
      </c>
      <c r="K205" t="n">
        <v>0</v>
      </c>
      <c r="L205" t="n">
        <v>0</v>
      </c>
      <c r="M205" t="n">
        <v>0</v>
      </c>
      <c r="N205" t="n">
        <v>0</v>
      </c>
      <c r="O205" t="n">
        <v>0</v>
      </c>
      <c r="P205" t="n">
        <v>0</v>
      </c>
      <c r="Q205" t="n">
        <v>0</v>
      </c>
      <c r="R205" s="2" t="inlineStr"/>
    </row>
    <row r="206" ht="15" customHeight="1">
      <c r="A206" t="inlineStr">
        <is>
          <t>A 27180-2025</t>
        </is>
      </c>
      <c r="B206" s="1" t="n">
        <v>45812.35736111111</v>
      </c>
      <c r="C206" s="1" t="n">
        <v>46083</v>
      </c>
      <c r="D206" t="inlineStr">
        <is>
          <t>ÖREBRO LÄN</t>
        </is>
      </c>
      <c r="E206" t="inlineStr">
        <is>
          <t>ÖREBRO</t>
        </is>
      </c>
      <c r="G206" t="n">
        <v>1.3</v>
      </c>
      <c r="H206" t="n">
        <v>0</v>
      </c>
      <c r="I206" t="n">
        <v>0</v>
      </c>
      <c r="J206" t="n">
        <v>0</v>
      </c>
      <c r="K206" t="n">
        <v>0</v>
      </c>
      <c r="L206" t="n">
        <v>0</v>
      </c>
      <c r="M206" t="n">
        <v>0</v>
      </c>
      <c r="N206" t="n">
        <v>0</v>
      </c>
      <c r="O206" t="n">
        <v>0</v>
      </c>
      <c r="P206" t="n">
        <v>0</v>
      </c>
      <c r="Q206" t="n">
        <v>0</v>
      </c>
      <c r="R206" s="2" t="inlineStr"/>
    </row>
    <row r="207" ht="15" customHeight="1">
      <c r="A207" t="inlineStr">
        <is>
          <t>A 27215-2025</t>
        </is>
      </c>
      <c r="B207" s="1" t="n">
        <v>45812.41869212963</v>
      </c>
      <c r="C207" s="1" t="n">
        <v>46083</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27225-2025</t>
        </is>
      </c>
      <c r="B208" s="1" t="n">
        <v>45812.42856481481</v>
      </c>
      <c r="C208" s="1" t="n">
        <v>46083</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39446-2025</t>
        </is>
      </c>
      <c r="B209" s="1" t="n">
        <v>45889.70388888889</v>
      </c>
      <c r="C209" s="1" t="n">
        <v>46083</v>
      </c>
      <c r="D209" t="inlineStr">
        <is>
          <t>ÖREBRO LÄN</t>
        </is>
      </c>
      <c r="E209" t="inlineStr">
        <is>
          <t>ÖREBRO</t>
        </is>
      </c>
      <c r="F209" t="inlineStr">
        <is>
          <t>Kyrkan</t>
        </is>
      </c>
      <c r="G209" t="n">
        <v>3.2</v>
      </c>
      <c r="H209" t="n">
        <v>0</v>
      </c>
      <c r="I209" t="n">
        <v>0</v>
      </c>
      <c r="J209" t="n">
        <v>0</v>
      </c>
      <c r="K209" t="n">
        <v>0</v>
      </c>
      <c r="L209" t="n">
        <v>0</v>
      </c>
      <c r="M209" t="n">
        <v>0</v>
      </c>
      <c r="N209" t="n">
        <v>0</v>
      </c>
      <c r="O209" t="n">
        <v>0</v>
      </c>
      <c r="P209" t="n">
        <v>0</v>
      </c>
      <c r="Q209" t="n">
        <v>0</v>
      </c>
      <c r="R209" s="2" t="inlineStr"/>
    </row>
    <row r="210" ht="15" customHeight="1">
      <c r="A210" t="inlineStr">
        <is>
          <t>A 41995-2024</t>
        </is>
      </c>
      <c r="B210" s="1" t="n">
        <v>45561.6475462963</v>
      </c>
      <c r="C210" s="1" t="n">
        <v>46083</v>
      </c>
      <c r="D210" t="inlineStr">
        <is>
          <t>ÖREBRO LÄN</t>
        </is>
      </c>
      <c r="E210" t="inlineStr">
        <is>
          <t>ÖREBRO</t>
        </is>
      </c>
      <c r="G210" t="n">
        <v>1.3</v>
      </c>
      <c r="H210" t="n">
        <v>0</v>
      </c>
      <c r="I210" t="n">
        <v>0</v>
      </c>
      <c r="J210" t="n">
        <v>0</v>
      </c>
      <c r="K210" t="n">
        <v>0</v>
      </c>
      <c r="L210" t="n">
        <v>0</v>
      </c>
      <c r="M210" t="n">
        <v>0</v>
      </c>
      <c r="N210" t="n">
        <v>0</v>
      </c>
      <c r="O210" t="n">
        <v>0</v>
      </c>
      <c r="P210" t="n">
        <v>0</v>
      </c>
      <c r="Q210" t="n">
        <v>0</v>
      </c>
      <c r="R210" s="2" t="inlineStr"/>
    </row>
    <row r="211" ht="15" customHeight="1">
      <c r="A211" t="inlineStr">
        <is>
          <t>A 39479-2025</t>
        </is>
      </c>
      <c r="B211" s="1" t="n">
        <v>45890.34752314815</v>
      </c>
      <c r="C211" s="1" t="n">
        <v>46083</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16737-2023</t>
        </is>
      </c>
      <c r="B212" s="1" t="n">
        <v>45030.72472222222</v>
      </c>
      <c r="C212" s="1" t="n">
        <v>46083</v>
      </c>
      <c r="D212" t="inlineStr">
        <is>
          <t>ÖREBRO LÄN</t>
        </is>
      </c>
      <c r="E212" t="inlineStr">
        <is>
          <t>ÖREBRO</t>
        </is>
      </c>
      <c r="G212" t="n">
        <v>1.2</v>
      </c>
      <c r="H212" t="n">
        <v>0</v>
      </c>
      <c r="I212" t="n">
        <v>0</v>
      </c>
      <c r="J212" t="n">
        <v>0</v>
      </c>
      <c r="K212" t="n">
        <v>0</v>
      </c>
      <c r="L212" t="n">
        <v>0</v>
      </c>
      <c r="M212" t="n">
        <v>0</v>
      </c>
      <c r="N212" t="n">
        <v>0</v>
      </c>
      <c r="O212" t="n">
        <v>0</v>
      </c>
      <c r="P212" t="n">
        <v>0</v>
      </c>
      <c r="Q212" t="n">
        <v>0</v>
      </c>
      <c r="R212" s="2" t="inlineStr"/>
    </row>
    <row r="213" ht="15" customHeight="1">
      <c r="A213" t="inlineStr">
        <is>
          <t>A 15866-2022</t>
        </is>
      </c>
      <c r="B213" s="1" t="n">
        <v>44664</v>
      </c>
      <c r="C213" s="1" t="n">
        <v>46083</v>
      </c>
      <c r="D213" t="inlineStr">
        <is>
          <t>ÖREBRO LÄN</t>
        </is>
      </c>
      <c r="E213" t="inlineStr">
        <is>
          <t>ÖREBRO</t>
        </is>
      </c>
      <c r="G213" t="n">
        <v>4</v>
      </c>
      <c r="H213" t="n">
        <v>0</v>
      </c>
      <c r="I213" t="n">
        <v>0</v>
      </c>
      <c r="J213" t="n">
        <v>0</v>
      </c>
      <c r="K213" t="n">
        <v>0</v>
      </c>
      <c r="L213" t="n">
        <v>0</v>
      </c>
      <c r="M213" t="n">
        <v>0</v>
      </c>
      <c r="N213" t="n">
        <v>0</v>
      </c>
      <c r="O213" t="n">
        <v>0</v>
      </c>
      <c r="P213" t="n">
        <v>0</v>
      </c>
      <c r="Q213" t="n">
        <v>0</v>
      </c>
      <c r="R213" s="2" t="inlineStr"/>
    </row>
    <row r="214" ht="15" customHeight="1">
      <c r="A214" t="inlineStr">
        <is>
          <t>A 28120-2025</t>
        </is>
      </c>
      <c r="B214" s="1" t="n">
        <v>45818.30459490741</v>
      </c>
      <c r="C214" s="1" t="n">
        <v>46083</v>
      </c>
      <c r="D214" t="inlineStr">
        <is>
          <t>ÖREBRO LÄN</t>
        </is>
      </c>
      <c r="E214" t="inlineStr">
        <is>
          <t>ÖREBRO</t>
        </is>
      </c>
      <c r="G214" t="n">
        <v>1.5</v>
      </c>
      <c r="H214" t="n">
        <v>0</v>
      </c>
      <c r="I214" t="n">
        <v>0</v>
      </c>
      <c r="J214" t="n">
        <v>0</v>
      </c>
      <c r="K214" t="n">
        <v>0</v>
      </c>
      <c r="L214" t="n">
        <v>0</v>
      </c>
      <c r="M214" t="n">
        <v>0</v>
      </c>
      <c r="N214" t="n">
        <v>0</v>
      </c>
      <c r="O214" t="n">
        <v>0</v>
      </c>
      <c r="P214" t="n">
        <v>0</v>
      </c>
      <c r="Q214" t="n">
        <v>0</v>
      </c>
      <c r="R214" s="2" t="inlineStr"/>
    </row>
    <row r="215" ht="15" customHeight="1">
      <c r="A215" t="inlineStr">
        <is>
          <t>A 2318-2023</t>
        </is>
      </c>
      <c r="B215" s="1" t="n">
        <v>44942</v>
      </c>
      <c r="C215" s="1" t="n">
        <v>46083</v>
      </c>
      <c r="D215" t="inlineStr">
        <is>
          <t>ÖREBRO LÄN</t>
        </is>
      </c>
      <c r="E215" t="inlineStr">
        <is>
          <t>ÖREBRO</t>
        </is>
      </c>
      <c r="G215" t="n">
        <v>1.9</v>
      </c>
      <c r="H215" t="n">
        <v>0</v>
      </c>
      <c r="I215" t="n">
        <v>0</v>
      </c>
      <c r="J215" t="n">
        <v>0</v>
      </c>
      <c r="K215" t="n">
        <v>0</v>
      </c>
      <c r="L215" t="n">
        <v>0</v>
      </c>
      <c r="M215" t="n">
        <v>0</v>
      </c>
      <c r="N215" t="n">
        <v>0</v>
      </c>
      <c r="O215" t="n">
        <v>0</v>
      </c>
      <c r="P215" t="n">
        <v>0</v>
      </c>
      <c r="Q215" t="n">
        <v>0</v>
      </c>
      <c r="R215" s="2" t="inlineStr"/>
    </row>
    <row r="216" ht="15" customHeight="1">
      <c r="A216" t="inlineStr">
        <is>
          <t>A 48644-2024</t>
        </is>
      </c>
      <c r="B216" s="1" t="n">
        <v>45593.47466435185</v>
      </c>
      <c r="C216" s="1" t="n">
        <v>46083</v>
      </c>
      <c r="D216" t="inlineStr">
        <is>
          <t>ÖREBRO LÄN</t>
        </is>
      </c>
      <c r="E216" t="inlineStr">
        <is>
          <t>ÖREBRO</t>
        </is>
      </c>
      <c r="F216" t="inlineStr">
        <is>
          <t>Övriga Aktiebolag</t>
        </is>
      </c>
      <c r="G216" t="n">
        <v>1.1</v>
      </c>
      <c r="H216" t="n">
        <v>0</v>
      </c>
      <c r="I216" t="n">
        <v>0</v>
      </c>
      <c r="J216" t="n">
        <v>0</v>
      </c>
      <c r="K216" t="n">
        <v>0</v>
      </c>
      <c r="L216" t="n">
        <v>0</v>
      </c>
      <c r="M216" t="n">
        <v>0</v>
      </c>
      <c r="N216" t="n">
        <v>0</v>
      </c>
      <c r="O216" t="n">
        <v>0</v>
      </c>
      <c r="P216" t="n">
        <v>0</v>
      </c>
      <c r="Q216" t="n">
        <v>0</v>
      </c>
      <c r="R216" s="2" t="inlineStr"/>
    </row>
    <row r="217" ht="15" customHeight="1">
      <c r="A217" t="inlineStr">
        <is>
          <t>A 5764-2022</t>
        </is>
      </c>
      <c r="B217" s="1" t="n">
        <v>44596</v>
      </c>
      <c r="C217" s="1" t="n">
        <v>46083</v>
      </c>
      <c r="D217" t="inlineStr">
        <is>
          <t>ÖREBRO LÄN</t>
        </is>
      </c>
      <c r="E217" t="inlineStr">
        <is>
          <t>ÖREBRO</t>
        </is>
      </c>
      <c r="G217" t="n">
        <v>3.5</v>
      </c>
      <c r="H217" t="n">
        <v>0</v>
      </c>
      <c r="I217" t="n">
        <v>0</v>
      </c>
      <c r="J217" t="n">
        <v>0</v>
      </c>
      <c r="K217" t="n">
        <v>0</v>
      </c>
      <c r="L217" t="n">
        <v>0</v>
      </c>
      <c r="M217" t="n">
        <v>0</v>
      </c>
      <c r="N217" t="n">
        <v>0</v>
      </c>
      <c r="O217" t="n">
        <v>0</v>
      </c>
      <c r="P217" t="n">
        <v>0</v>
      </c>
      <c r="Q217" t="n">
        <v>0</v>
      </c>
      <c r="R217" s="2" t="inlineStr"/>
    </row>
    <row r="218" ht="15" customHeight="1">
      <c r="A218" t="inlineStr">
        <is>
          <t>A 45027-2024</t>
        </is>
      </c>
      <c r="B218" s="1" t="n">
        <v>45575</v>
      </c>
      <c r="C218" s="1" t="n">
        <v>46083</v>
      </c>
      <c r="D218" t="inlineStr">
        <is>
          <t>ÖREBRO LÄN</t>
        </is>
      </c>
      <c r="E218" t="inlineStr">
        <is>
          <t>ÖREBRO</t>
        </is>
      </c>
      <c r="G218" t="n">
        <v>6.3</v>
      </c>
      <c r="H218" t="n">
        <v>0</v>
      </c>
      <c r="I218" t="n">
        <v>0</v>
      </c>
      <c r="J218" t="n">
        <v>0</v>
      </c>
      <c r="K218" t="n">
        <v>0</v>
      </c>
      <c r="L218" t="n">
        <v>0</v>
      </c>
      <c r="M218" t="n">
        <v>0</v>
      </c>
      <c r="N218" t="n">
        <v>0</v>
      </c>
      <c r="O218" t="n">
        <v>0</v>
      </c>
      <c r="P218" t="n">
        <v>0</v>
      </c>
      <c r="Q218" t="n">
        <v>0</v>
      </c>
      <c r="R218" s="2" t="inlineStr"/>
    </row>
    <row r="219" ht="15" customHeight="1">
      <c r="A219" t="inlineStr">
        <is>
          <t>A 40051-2024</t>
        </is>
      </c>
      <c r="B219" s="1" t="n">
        <v>45553</v>
      </c>
      <c r="C219" s="1" t="n">
        <v>46083</v>
      </c>
      <c r="D219" t="inlineStr">
        <is>
          <t>ÖREBRO LÄN</t>
        </is>
      </c>
      <c r="E219" t="inlineStr">
        <is>
          <t>ÖREBRO</t>
        </is>
      </c>
      <c r="G219" t="n">
        <v>3.5</v>
      </c>
      <c r="H219" t="n">
        <v>0</v>
      </c>
      <c r="I219" t="n">
        <v>0</v>
      </c>
      <c r="J219" t="n">
        <v>0</v>
      </c>
      <c r="K219" t="n">
        <v>0</v>
      </c>
      <c r="L219" t="n">
        <v>0</v>
      </c>
      <c r="M219" t="n">
        <v>0</v>
      </c>
      <c r="N219" t="n">
        <v>0</v>
      </c>
      <c r="O219" t="n">
        <v>0</v>
      </c>
      <c r="P219" t="n">
        <v>0</v>
      </c>
      <c r="Q219" t="n">
        <v>0</v>
      </c>
      <c r="R219" s="2" t="inlineStr"/>
    </row>
    <row r="220" ht="15" customHeight="1">
      <c r="A220" t="inlineStr">
        <is>
          <t>A 41543-2024</t>
        </is>
      </c>
      <c r="B220" s="1" t="n">
        <v>45560</v>
      </c>
      <c r="C220" s="1" t="n">
        <v>46083</v>
      </c>
      <c r="D220" t="inlineStr">
        <is>
          <t>ÖREBRO LÄN</t>
        </is>
      </c>
      <c r="E220" t="inlineStr">
        <is>
          <t>ÖREBRO</t>
        </is>
      </c>
      <c r="G220" t="n">
        <v>2.8</v>
      </c>
      <c r="H220" t="n">
        <v>0</v>
      </c>
      <c r="I220" t="n">
        <v>0</v>
      </c>
      <c r="J220" t="n">
        <v>0</v>
      </c>
      <c r="K220" t="n">
        <v>0</v>
      </c>
      <c r="L220" t="n">
        <v>0</v>
      </c>
      <c r="M220" t="n">
        <v>0</v>
      </c>
      <c r="N220" t="n">
        <v>0</v>
      </c>
      <c r="O220" t="n">
        <v>0</v>
      </c>
      <c r="P220" t="n">
        <v>0</v>
      </c>
      <c r="Q220" t="n">
        <v>0</v>
      </c>
      <c r="R220" s="2" t="inlineStr"/>
    </row>
    <row r="221" ht="15" customHeight="1">
      <c r="A221" t="inlineStr">
        <is>
          <t>A 10799-2024</t>
        </is>
      </c>
      <c r="B221" s="1" t="n">
        <v>45369</v>
      </c>
      <c r="C221" s="1" t="n">
        <v>46083</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16694-2025</t>
        </is>
      </c>
      <c r="B222" s="1" t="n">
        <v>45754.46480324074</v>
      </c>
      <c r="C222" s="1" t="n">
        <v>46083</v>
      </c>
      <c r="D222" t="inlineStr">
        <is>
          <t>ÖREBRO LÄN</t>
        </is>
      </c>
      <c r="E222" t="inlineStr">
        <is>
          <t>ÖREBRO</t>
        </is>
      </c>
      <c r="G222" t="n">
        <v>1.2</v>
      </c>
      <c r="H222" t="n">
        <v>0</v>
      </c>
      <c r="I222" t="n">
        <v>0</v>
      </c>
      <c r="J222" t="n">
        <v>0</v>
      </c>
      <c r="K222" t="n">
        <v>0</v>
      </c>
      <c r="L222" t="n">
        <v>0</v>
      </c>
      <c r="M222" t="n">
        <v>0</v>
      </c>
      <c r="N222" t="n">
        <v>0</v>
      </c>
      <c r="O222" t="n">
        <v>0</v>
      </c>
      <c r="P222" t="n">
        <v>0</v>
      </c>
      <c r="Q222" t="n">
        <v>0</v>
      </c>
      <c r="R222" s="2" t="inlineStr"/>
    </row>
    <row r="223" ht="15" customHeight="1">
      <c r="A223" t="inlineStr">
        <is>
          <t>A 28938-2025</t>
        </is>
      </c>
      <c r="B223" s="1" t="n">
        <v>45820.70626157407</v>
      </c>
      <c r="C223" s="1" t="n">
        <v>46083</v>
      </c>
      <c r="D223" t="inlineStr">
        <is>
          <t>ÖREBRO LÄN</t>
        </is>
      </c>
      <c r="E223" t="inlineStr">
        <is>
          <t>ÖREBRO</t>
        </is>
      </c>
      <c r="G223" t="n">
        <v>1.9</v>
      </c>
      <c r="H223" t="n">
        <v>0</v>
      </c>
      <c r="I223" t="n">
        <v>0</v>
      </c>
      <c r="J223" t="n">
        <v>0</v>
      </c>
      <c r="K223" t="n">
        <v>0</v>
      </c>
      <c r="L223" t="n">
        <v>0</v>
      </c>
      <c r="M223" t="n">
        <v>0</v>
      </c>
      <c r="N223" t="n">
        <v>0</v>
      </c>
      <c r="O223" t="n">
        <v>0</v>
      </c>
      <c r="P223" t="n">
        <v>0</v>
      </c>
      <c r="Q223" t="n">
        <v>0</v>
      </c>
      <c r="R223" s="2" t="inlineStr"/>
    </row>
    <row r="224" ht="15" customHeight="1">
      <c r="A224" t="inlineStr">
        <is>
          <t>A 49465-2024</t>
        </is>
      </c>
      <c r="B224" s="1" t="n">
        <v>45596</v>
      </c>
      <c r="C224" s="1" t="n">
        <v>46083</v>
      </c>
      <c r="D224" t="inlineStr">
        <is>
          <t>ÖREBRO LÄN</t>
        </is>
      </c>
      <c r="E224" t="inlineStr">
        <is>
          <t>ÖREBRO</t>
        </is>
      </c>
      <c r="F224" t="inlineStr">
        <is>
          <t>Övriga Aktiebolag</t>
        </is>
      </c>
      <c r="G224" t="n">
        <v>21</v>
      </c>
      <c r="H224" t="n">
        <v>0</v>
      </c>
      <c r="I224" t="n">
        <v>0</v>
      </c>
      <c r="J224" t="n">
        <v>0</v>
      </c>
      <c r="K224" t="n">
        <v>0</v>
      </c>
      <c r="L224" t="n">
        <v>0</v>
      </c>
      <c r="M224" t="n">
        <v>0</v>
      </c>
      <c r="N224" t="n">
        <v>0</v>
      </c>
      <c r="O224" t="n">
        <v>0</v>
      </c>
      <c r="P224" t="n">
        <v>0</v>
      </c>
      <c r="Q224" t="n">
        <v>0</v>
      </c>
      <c r="R224" s="2" t="inlineStr"/>
    </row>
    <row r="225" ht="15" customHeight="1">
      <c r="A225" t="inlineStr">
        <is>
          <t>A 28920-2025</t>
        </is>
      </c>
      <c r="B225" s="1" t="n">
        <v>45820.66532407407</v>
      </c>
      <c r="C225" s="1" t="n">
        <v>46083</v>
      </c>
      <c r="D225" t="inlineStr">
        <is>
          <t>ÖREBRO LÄN</t>
        </is>
      </c>
      <c r="E225" t="inlineStr">
        <is>
          <t>ÖREBRO</t>
        </is>
      </c>
      <c r="G225" t="n">
        <v>3</v>
      </c>
      <c r="H225" t="n">
        <v>0</v>
      </c>
      <c r="I225" t="n">
        <v>0</v>
      </c>
      <c r="J225" t="n">
        <v>0</v>
      </c>
      <c r="K225" t="n">
        <v>0</v>
      </c>
      <c r="L225" t="n">
        <v>0</v>
      </c>
      <c r="M225" t="n">
        <v>0</v>
      </c>
      <c r="N225" t="n">
        <v>0</v>
      </c>
      <c r="O225" t="n">
        <v>0</v>
      </c>
      <c r="P225" t="n">
        <v>0</v>
      </c>
      <c r="Q225" t="n">
        <v>0</v>
      </c>
      <c r="R225" s="2" t="inlineStr"/>
    </row>
    <row r="226" ht="15" customHeight="1">
      <c r="A226" t="inlineStr">
        <is>
          <t>A 29286-2025</t>
        </is>
      </c>
      <c r="B226" s="1" t="n">
        <v>45824.43502314815</v>
      </c>
      <c r="C226" s="1" t="n">
        <v>46083</v>
      </c>
      <c r="D226" t="inlineStr">
        <is>
          <t>ÖREBRO LÄN</t>
        </is>
      </c>
      <c r="E226" t="inlineStr">
        <is>
          <t>ÖREBRO</t>
        </is>
      </c>
      <c r="G226" t="n">
        <v>1.2</v>
      </c>
      <c r="H226" t="n">
        <v>0</v>
      </c>
      <c r="I226" t="n">
        <v>0</v>
      </c>
      <c r="J226" t="n">
        <v>0</v>
      </c>
      <c r="K226" t="n">
        <v>0</v>
      </c>
      <c r="L226" t="n">
        <v>0</v>
      </c>
      <c r="M226" t="n">
        <v>0</v>
      </c>
      <c r="N226" t="n">
        <v>0</v>
      </c>
      <c r="O226" t="n">
        <v>0</v>
      </c>
      <c r="P226" t="n">
        <v>0</v>
      </c>
      <c r="Q226" t="n">
        <v>0</v>
      </c>
      <c r="R226" s="2" t="inlineStr"/>
    </row>
    <row r="227" ht="15" customHeight="1">
      <c r="A227" t="inlineStr">
        <is>
          <t>A 29339-2025</t>
        </is>
      </c>
      <c r="B227" s="1" t="n">
        <v>45824.5044212963</v>
      </c>
      <c r="C227" s="1" t="n">
        <v>46083</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60059-2023</t>
        </is>
      </c>
      <c r="B228" s="1" t="n">
        <v>45258.38157407408</v>
      </c>
      <c r="C228" s="1" t="n">
        <v>46083</v>
      </c>
      <c r="D228" t="inlineStr">
        <is>
          <t>ÖREBRO LÄN</t>
        </is>
      </c>
      <c r="E228" t="inlineStr">
        <is>
          <t>ÖREBRO</t>
        </is>
      </c>
      <c r="G228" t="n">
        <v>4</v>
      </c>
      <c r="H228" t="n">
        <v>0</v>
      </c>
      <c r="I228" t="n">
        <v>0</v>
      </c>
      <c r="J228" t="n">
        <v>0</v>
      </c>
      <c r="K228" t="n">
        <v>0</v>
      </c>
      <c r="L228" t="n">
        <v>0</v>
      </c>
      <c r="M228" t="n">
        <v>0</v>
      </c>
      <c r="N228" t="n">
        <v>0</v>
      </c>
      <c r="O228" t="n">
        <v>0</v>
      </c>
      <c r="P228" t="n">
        <v>0</v>
      </c>
      <c r="Q228" t="n">
        <v>0</v>
      </c>
      <c r="R228" s="2" t="inlineStr"/>
    </row>
    <row r="229" ht="15" customHeight="1">
      <c r="A229" t="inlineStr">
        <is>
          <t>A 40330-2025</t>
        </is>
      </c>
      <c r="B229" s="1" t="n">
        <v>45895.4531712963</v>
      </c>
      <c r="C229" s="1" t="n">
        <v>46083</v>
      </c>
      <c r="D229" t="inlineStr">
        <is>
          <t>ÖREBRO LÄN</t>
        </is>
      </c>
      <c r="E229" t="inlineStr">
        <is>
          <t>ÖREBRO</t>
        </is>
      </c>
      <c r="G229" t="n">
        <v>0.9</v>
      </c>
      <c r="H229" t="n">
        <v>0</v>
      </c>
      <c r="I229" t="n">
        <v>0</v>
      </c>
      <c r="J229" t="n">
        <v>0</v>
      </c>
      <c r="K229" t="n">
        <v>0</v>
      </c>
      <c r="L229" t="n">
        <v>0</v>
      </c>
      <c r="M229" t="n">
        <v>0</v>
      </c>
      <c r="N229" t="n">
        <v>0</v>
      </c>
      <c r="O229" t="n">
        <v>0</v>
      </c>
      <c r="P229" t="n">
        <v>0</v>
      </c>
      <c r="Q229" t="n">
        <v>0</v>
      </c>
      <c r="R229" s="2" t="inlineStr"/>
    </row>
    <row r="230" ht="15" customHeight="1">
      <c r="A230" t="inlineStr">
        <is>
          <t>A 26858-2024</t>
        </is>
      </c>
      <c r="B230" s="1" t="n">
        <v>45470</v>
      </c>
      <c r="C230" s="1" t="n">
        <v>46083</v>
      </c>
      <c r="D230" t="inlineStr">
        <is>
          <t>ÖREBRO LÄN</t>
        </is>
      </c>
      <c r="E230" t="inlineStr">
        <is>
          <t>ÖREBRO</t>
        </is>
      </c>
      <c r="G230" t="n">
        <v>2.3</v>
      </c>
      <c r="H230" t="n">
        <v>0</v>
      </c>
      <c r="I230" t="n">
        <v>0</v>
      </c>
      <c r="J230" t="n">
        <v>0</v>
      </c>
      <c r="K230" t="n">
        <v>0</v>
      </c>
      <c r="L230" t="n">
        <v>0</v>
      </c>
      <c r="M230" t="n">
        <v>0</v>
      </c>
      <c r="N230" t="n">
        <v>0</v>
      </c>
      <c r="O230" t="n">
        <v>0</v>
      </c>
      <c r="P230" t="n">
        <v>0</v>
      </c>
      <c r="Q230" t="n">
        <v>0</v>
      </c>
      <c r="R230" s="2" t="inlineStr"/>
    </row>
    <row r="231" ht="15" customHeight="1">
      <c r="A231" t="inlineStr">
        <is>
          <t>A 40332-2025</t>
        </is>
      </c>
      <c r="B231" s="1" t="n">
        <v>45895.46060185185</v>
      </c>
      <c r="C231" s="1" t="n">
        <v>46083</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59121-2024</t>
        </is>
      </c>
      <c r="B232" s="1" t="n">
        <v>45637.37755787037</v>
      </c>
      <c r="C232" s="1" t="n">
        <v>46083</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49215-2023</t>
        </is>
      </c>
      <c r="B233" s="1" t="n">
        <v>45210.61050925926</v>
      </c>
      <c r="C233" s="1" t="n">
        <v>46083</v>
      </c>
      <c r="D233" t="inlineStr">
        <is>
          <t>ÖREBRO LÄN</t>
        </is>
      </c>
      <c r="E233" t="inlineStr">
        <is>
          <t>ÖREBRO</t>
        </is>
      </c>
      <c r="F233" t="inlineStr">
        <is>
          <t>Övriga Aktiebolag</t>
        </is>
      </c>
      <c r="G233" t="n">
        <v>4.2</v>
      </c>
      <c r="H233" t="n">
        <v>0</v>
      </c>
      <c r="I233" t="n">
        <v>0</v>
      </c>
      <c r="J233" t="n">
        <v>0</v>
      </c>
      <c r="K233" t="n">
        <v>0</v>
      </c>
      <c r="L233" t="n">
        <v>0</v>
      </c>
      <c r="M233" t="n">
        <v>0</v>
      </c>
      <c r="N233" t="n">
        <v>0</v>
      </c>
      <c r="O233" t="n">
        <v>0</v>
      </c>
      <c r="P233" t="n">
        <v>0</v>
      </c>
      <c r="Q233" t="n">
        <v>0</v>
      </c>
      <c r="R233" s="2" t="inlineStr"/>
    </row>
    <row r="234" ht="15" customHeight="1">
      <c r="A234" t="inlineStr">
        <is>
          <t>A 17983-2025</t>
        </is>
      </c>
      <c r="B234" s="1" t="n">
        <v>45761.38829861111</v>
      </c>
      <c r="C234" s="1" t="n">
        <v>46083</v>
      </c>
      <c r="D234" t="inlineStr">
        <is>
          <t>ÖREBRO LÄN</t>
        </is>
      </c>
      <c r="E234" t="inlineStr">
        <is>
          <t>ÖREBRO</t>
        </is>
      </c>
      <c r="G234" t="n">
        <v>0.8</v>
      </c>
      <c r="H234" t="n">
        <v>0</v>
      </c>
      <c r="I234" t="n">
        <v>0</v>
      </c>
      <c r="J234" t="n">
        <v>0</v>
      </c>
      <c r="K234" t="n">
        <v>0</v>
      </c>
      <c r="L234" t="n">
        <v>0</v>
      </c>
      <c r="M234" t="n">
        <v>0</v>
      </c>
      <c r="N234" t="n">
        <v>0</v>
      </c>
      <c r="O234" t="n">
        <v>0</v>
      </c>
      <c r="P234" t="n">
        <v>0</v>
      </c>
      <c r="Q234" t="n">
        <v>0</v>
      </c>
      <c r="R234" s="2" t="inlineStr"/>
    </row>
    <row r="235" ht="15" customHeight="1">
      <c r="A235" t="inlineStr">
        <is>
          <t>A 29701-2025</t>
        </is>
      </c>
      <c r="B235" s="1" t="n">
        <v>45825.55261574074</v>
      </c>
      <c r="C235" s="1" t="n">
        <v>46083</v>
      </c>
      <c r="D235" t="inlineStr">
        <is>
          <t>ÖREBRO LÄN</t>
        </is>
      </c>
      <c r="E235" t="inlineStr">
        <is>
          <t>ÖREBRO</t>
        </is>
      </c>
      <c r="G235" t="n">
        <v>5.8</v>
      </c>
      <c r="H235" t="n">
        <v>0</v>
      </c>
      <c r="I235" t="n">
        <v>0</v>
      </c>
      <c r="J235" t="n">
        <v>0</v>
      </c>
      <c r="K235" t="n">
        <v>0</v>
      </c>
      <c r="L235" t="n">
        <v>0</v>
      </c>
      <c r="M235" t="n">
        <v>0</v>
      </c>
      <c r="N235" t="n">
        <v>0</v>
      </c>
      <c r="O235" t="n">
        <v>0</v>
      </c>
      <c r="P235" t="n">
        <v>0</v>
      </c>
      <c r="Q235" t="n">
        <v>0</v>
      </c>
      <c r="R235" s="2" t="inlineStr"/>
    </row>
    <row r="236" ht="15" customHeight="1">
      <c r="A236" t="inlineStr">
        <is>
          <t>A 30550-2025</t>
        </is>
      </c>
      <c r="B236" s="1" t="n">
        <v>45831.38224537037</v>
      </c>
      <c r="C236" s="1" t="n">
        <v>46083</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30731-2025</t>
        </is>
      </c>
      <c r="B237" s="1" t="n">
        <v>45831.57280092593</v>
      </c>
      <c r="C237" s="1" t="n">
        <v>46083</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55692-2023</t>
        </is>
      </c>
      <c r="B238" s="1" t="n">
        <v>45239</v>
      </c>
      <c r="C238" s="1" t="n">
        <v>46083</v>
      </c>
      <c r="D238" t="inlineStr">
        <is>
          <t>ÖREBRO LÄN</t>
        </is>
      </c>
      <c r="E238" t="inlineStr">
        <is>
          <t>ÖREBRO</t>
        </is>
      </c>
      <c r="F238" t="inlineStr">
        <is>
          <t>Övriga Aktiebolag</t>
        </is>
      </c>
      <c r="G238" t="n">
        <v>0.4</v>
      </c>
      <c r="H238" t="n">
        <v>0</v>
      </c>
      <c r="I238" t="n">
        <v>0</v>
      </c>
      <c r="J238" t="n">
        <v>0</v>
      </c>
      <c r="K238" t="n">
        <v>0</v>
      </c>
      <c r="L238" t="n">
        <v>0</v>
      </c>
      <c r="M238" t="n">
        <v>0</v>
      </c>
      <c r="N238" t="n">
        <v>0</v>
      </c>
      <c r="O238" t="n">
        <v>0</v>
      </c>
      <c r="P238" t="n">
        <v>0</v>
      </c>
      <c r="Q238" t="n">
        <v>0</v>
      </c>
      <c r="R238" s="2" t="inlineStr"/>
    </row>
    <row r="239" ht="15" customHeight="1">
      <c r="A239" t="inlineStr">
        <is>
          <t>A 41669-2025</t>
        </is>
      </c>
      <c r="B239" s="1" t="n">
        <v>45902.36149305556</v>
      </c>
      <c r="C239" s="1" t="n">
        <v>46083</v>
      </c>
      <c r="D239" t="inlineStr">
        <is>
          <t>ÖREBRO LÄN</t>
        </is>
      </c>
      <c r="E239" t="inlineStr">
        <is>
          <t>ÖREBRO</t>
        </is>
      </c>
      <c r="G239" t="n">
        <v>2.8</v>
      </c>
      <c r="H239" t="n">
        <v>0</v>
      </c>
      <c r="I239" t="n">
        <v>0</v>
      </c>
      <c r="J239" t="n">
        <v>0</v>
      </c>
      <c r="K239" t="n">
        <v>0</v>
      </c>
      <c r="L239" t="n">
        <v>0</v>
      </c>
      <c r="M239" t="n">
        <v>0</v>
      </c>
      <c r="N239" t="n">
        <v>0</v>
      </c>
      <c r="O239" t="n">
        <v>0</v>
      </c>
      <c r="P239" t="n">
        <v>0</v>
      </c>
      <c r="Q239" t="n">
        <v>0</v>
      </c>
      <c r="R239" s="2" t="inlineStr"/>
    </row>
    <row r="240" ht="15" customHeight="1">
      <c r="A240" t="inlineStr">
        <is>
          <t>A 41412-2025</t>
        </is>
      </c>
      <c r="B240" s="1" t="n">
        <v>45901.3549537037</v>
      </c>
      <c r="C240" s="1" t="n">
        <v>46083</v>
      </c>
      <c r="D240" t="inlineStr">
        <is>
          <t>ÖREBRO LÄN</t>
        </is>
      </c>
      <c r="E240" t="inlineStr">
        <is>
          <t>ÖREBRO</t>
        </is>
      </c>
      <c r="G240" t="n">
        <v>1.1</v>
      </c>
      <c r="H240" t="n">
        <v>0</v>
      </c>
      <c r="I240" t="n">
        <v>0</v>
      </c>
      <c r="J240" t="n">
        <v>0</v>
      </c>
      <c r="K240" t="n">
        <v>0</v>
      </c>
      <c r="L240" t="n">
        <v>0</v>
      </c>
      <c r="M240" t="n">
        <v>0</v>
      </c>
      <c r="N240" t="n">
        <v>0</v>
      </c>
      <c r="O240" t="n">
        <v>0</v>
      </c>
      <c r="P240" t="n">
        <v>0</v>
      </c>
      <c r="Q240" t="n">
        <v>0</v>
      </c>
      <c r="R240" s="2" t="inlineStr"/>
    </row>
    <row r="241" ht="15" customHeight="1">
      <c r="A241" t="inlineStr">
        <is>
          <t>A 30951-2025</t>
        </is>
      </c>
      <c r="B241" s="1" t="n">
        <v>45832.43225694444</v>
      </c>
      <c r="C241" s="1" t="n">
        <v>46083</v>
      </c>
      <c r="D241" t="inlineStr">
        <is>
          <t>ÖREBRO LÄN</t>
        </is>
      </c>
      <c r="E241" t="inlineStr">
        <is>
          <t>ÖREBRO</t>
        </is>
      </c>
      <c r="F241" t="inlineStr">
        <is>
          <t>Övriga Aktiebolag</t>
        </is>
      </c>
      <c r="G241" t="n">
        <v>2.3</v>
      </c>
      <c r="H241" t="n">
        <v>0</v>
      </c>
      <c r="I241" t="n">
        <v>0</v>
      </c>
      <c r="J241" t="n">
        <v>0</v>
      </c>
      <c r="K241" t="n">
        <v>0</v>
      </c>
      <c r="L241" t="n">
        <v>0</v>
      </c>
      <c r="M241" t="n">
        <v>0</v>
      </c>
      <c r="N241" t="n">
        <v>0</v>
      </c>
      <c r="O241" t="n">
        <v>0</v>
      </c>
      <c r="P241" t="n">
        <v>0</v>
      </c>
      <c r="Q241" t="n">
        <v>0</v>
      </c>
      <c r="R241" s="2" t="inlineStr"/>
    </row>
    <row r="242" ht="15" customHeight="1">
      <c r="A242" t="inlineStr">
        <is>
          <t>A 14715-2024</t>
        </is>
      </c>
      <c r="B242" s="1" t="n">
        <v>45397.5500462963</v>
      </c>
      <c r="C242" s="1" t="n">
        <v>46083</v>
      </c>
      <c r="D242" t="inlineStr">
        <is>
          <t>ÖREBRO LÄN</t>
        </is>
      </c>
      <c r="E242" t="inlineStr">
        <is>
          <t>ÖREBRO</t>
        </is>
      </c>
      <c r="G242" t="n">
        <v>1.2</v>
      </c>
      <c r="H242" t="n">
        <v>0</v>
      </c>
      <c r="I242" t="n">
        <v>0</v>
      </c>
      <c r="J242" t="n">
        <v>0</v>
      </c>
      <c r="K242" t="n">
        <v>0</v>
      </c>
      <c r="L242" t="n">
        <v>0</v>
      </c>
      <c r="M242" t="n">
        <v>0</v>
      </c>
      <c r="N242" t="n">
        <v>0</v>
      </c>
      <c r="O242" t="n">
        <v>0</v>
      </c>
      <c r="P242" t="n">
        <v>0</v>
      </c>
      <c r="Q242" t="n">
        <v>0</v>
      </c>
      <c r="R242" s="2" t="inlineStr"/>
    </row>
    <row r="243" ht="15" customHeight="1">
      <c r="A243" t="inlineStr">
        <is>
          <t>A 31066-2025</t>
        </is>
      </c>
      <c r="B243" s="1" t="n">
        <v>45832</v>
      </c>
      <c r="C243" s="1" t="n">
        <v>46083</v>
      </c>
      <c r="D243" t="inlineStr">
        <is>
          <t>ÖREBRO LÄN</t>
        </is>
      </c>
      <c r="E243" t="inlineStr">
        <is>
          <t>ÖREBRO</t>
        </is>
      </c>
      <c r="G243" t="n">
        <v>11.1</v>
      </c>
      <c r="H243" t="n">
        <v>0</v>
      </c>
      <c r="I243" t="n">
        <v>0</v>
      </c>
      <c r="J243" t="n">
        <v>0</v>
      </c>
      <c r="K243" t="n">
        <v>0</v>
      </c>
      <c r="L243" t="n">
        <v>0</v>
      </c>
      <c r="M243" t="n">
        <v>0</v>
      </c>
      <c r="N243" t="n">
        <v>0</v>
      </c>
      <c r="O243" t="n">
        <v>0</v>
      </c>
      <c r="P243" t="n">
        <v>0</v>
      </c>
      <c r="Q243" t="n">
        <v>0</v>
      </c>
      <c r="R243" s="2" t="inlineStr"/>
    </row>
    <row r="244" ht="15" customHeight="1">
      <c r="A244" t="inlineStr">
        <is>
          <t>A 12682-2023</t>
        </is>
      </c>
      <c r="B244" s="1" t="n">
        <v>45000.6115625</v>
      </c>
      <c r="C244" s="1" t="n">
        <v>46083</v>
      </c>
      <c r="D244" t="inlineStr">
        <is>
          <t>ÖREBRO LÄN</t>
        </is>
      </c>
      <c r="E244" t="inlineStr">
        <is>
          <t>ÖREBRO</t>
        </is>
      </c>
      <c r="F244" t="inlineStr">
        <is>
          <t>Övriga Aktiebolag</t>
        </is>
      </c>
      <c r="G244" t="n">
        <v>4.4</v>
      </c>
      <c r="H244" t="n">
        <v>0</v>
      </c>
      <c r="I244" t="n">
        <v>0</v>
      </c>
      <c r="J244" t="n">
        <v>0</v>
      </c>
      <c r="K244" t="n">
        <v>0</v>
      </c>
      <c r="L244" t="n">
        <v>0</v>
      </c>
      <c r="M244" t="n">
        <v>0</v>
      </c>
      <c r="N244" t="n">
        <v>0</v>
      </c>
      <c r="O244" t="n">
        <v>0</v>
      </c>
      <c r="P244" t="n">
        <v>0</v>
      </c>
      <c r="Q244" t="n">
        <v>0</v>
      </c>
      <c r="R244" s="2" t="inlineStr"/>
    </row>
    <row r="245" ht="15" customHeight="1">
      <c r="A245" t="inlineStr">
        <is>
          <t>A 13592-2023</t>
        </is>
      </c>
      <c r="B245" s="1" t="n">
        <v>45006.56870370371</v>
      </c>
      <c r="C245" s="1" t="n">
        <v>46083</v>
      </c>
      <c r="D245" t="inlineStr">
        <is>
          <t>ÖREBRO LÄN</t>
        </is>
      </c>
      <c r="E245" t="inlineStr">
        <is>
          <t>ÖREBRO</t>
        </is>
      </c>
      <c r="G245" t="n">
        <v>2</v>
      </c>
      <c r="H245" t="n">
        <v>0</v>
      </c>
      <c r="I245" t="n">
        <v>0</v>
      </c>
      <c r="J245" t="n">
        <v>0</v>
      </c>
      <c r="K245" t="n">
        <v>0</v>
      </c>
      <c r="L245" t="n">
        <v>0</v>
      </c>
      <c r="M245" t="n">
        <v>0</v>
      </c>
      <c r="N245" t="n">
        <v>0</v>
      </c>
      <c r="O245" t="n">
        <v>0</v>
      </c>
      <c r="P245" t="n">
        <v>0</v>
      </c>
      <c r="Q245" t="n">
        <v>0</v>
      </c>
      <c r="R245" s="2" t="inlineStr"/>
    </row>
    <row r="246" ht="15" customHeight="1">
      <c r="A246" t="inlineStr">
        <is>
          <t>A 10368-2021</t>
        </is>
      </c>
      <c r="B246" s="1" t="n">
        <v>44257</v>
      </c>
      <c r="C246" s="1" t="n">
        <v>46083</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31233-2025</t>
        </is>
      </c>
      <c r="B247" s="1" t="n">
        <v>45832.83341435185</v>
      </c>
      <c r="C247" s="1" t="n">
        <v>46083</v>
      </c>
      <c r="D247" t="inlineStr">
        <is>
          <t>ÖREBRO LÄN</t>
        </is>
      </c>
      <c r="E247" t="inlineStr">
        <is>
          <t>ÖREBRO</t>
        </is>
      </c>
      <c r="F247" t="inlineStr">
        <is>
          <t>Övriga Aktiebolag</t>
        </is>
      </c>
      <c r="G247" t="n">
        <v>2</v>
      </c>
      <c r="H247" t="n">
        <v>0</v>
      </c>
      <c r="I247" t="n">
        <v>0</v>
      </c>
      <c r="J247" t="n">
        <v>0</v>
      </c>
      <c r="K247" t="n">
        <v>0</v>
      </c>
      <c r="L247" t="n">
        <v>0</v>
      </c>
      <c r="M247" t="n">
        <v>0</v>
      </c>
      <c r="N247" t="n">
        <v>0</v>
      </c>
      <c r="O247" t="n">
        <v>0</v>
      </c>
      <c r="P247" t="n">
        <v>0</v>
      </c>
      <c r="Q247" t="n">
        <v>0</v>
      </c>
      <c r="R247" s="2" t="inlineStr"/>
    </row>
    <row r="248" ht="15" customHeight="1">
      <c r="A248" t="inlineStr">
        <is>
          <t>A 31232-2025</t>
        </is>
      </c>
      <c r="B248" s="1" t="n">
        <v>45832.8252199074</v>
      </c>
      <c r="C248" s="1" t="n">
        <v>46083</v>
      </c>
      <c r="D248" t="inlineStr">
        <is>
          <t>ÖREBRO LÄN</t>
        </is>
      </c>
      <c r="E248" t="inlineStr">
        <is>
          <t>ÖREBRO</t>
        </is>
      </c>
      <c r="F248" t="inlineStr">
        <is>
          <t>Övriga Aktiebolag</t>
        </is>
      </c>
      <c r="G248" t="n">
        <v>2.1</v>
      </c>
      <c r="H248" t="n">
        <v>0</v>
      </c>
      <c r="I248" t="n">
        <v>0</v>
      </c>
      <c r="J248" t="n">
        <v>0</v>
      </c>
      <c r="K248" t="n">
        <v>0</v>
      </c>
      <c r="L248" t="n">
        <v>0</v>
      </c>
      <c r="M248" t="n">
        <v>0</v>
      </c>
      <c r="N248" t="n">
        <v>0</v>
      </c>
      <c r="O248" t="n">
        <v>0</v>
      </c>
      <c r="P248" t="n">
        <v>0</v>
      </c>
      <c r="Q248" t="n">
        <v>0</v>
      </c>
      <c r="R248" s="2" t="inlineStr"/>
    </row>
    <row r="249" ht="15" customHeight="1">
      <c r="A249" t="inlineStr">
        <is>
          <t>A 31237-2025</t>
        </is>
      </c>
      <c r="B249" s="1" t="n">
        <v>45832.84313657408</v>
      </c>
      <c r="C249" s="1" t="n">
        <v>46083</v>
      </c>
      <c r="D249" t="inlineStr">
        <is>
          <t>ÖREBRO LÄN</t>
        </is>
      </c>
      <c r="E249" t="inlineStr">
        <is>
          <t>ÖREBRO</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59736-2023</t>
        </is>
      </c>
      <c r="B250" s="1" t="n">
        <v>45257.374375</v>
      </c>
      <c r="C250" s="1" t="n">
        <v>46083</v>
      </c>
      <c r="D250" t="inlineStr">
        <is>
          <t>ÖREBRO LÄN</t>
        </is>
      </c>
      <c r="E250" t="inlineStr">
        <is>
          <t>ÖREBRO</t>
        </is>
      </c>
      <c r="G250" t="n">
        <v>1.1</v>
      </c>
      <c r="H250" t="n">
        <v>0</v>
      </c>
      <c r="I250" t="n">
        <v>0</v>
      </c>
      <c r="J250" t="n">
        <v>0</v>
      </c>
      <c r="K250" t="n">
        <v>0</v>
      </c>
      <c r="L250" t="n">
        <v>0</v>
      </c>
      <c r="M250" t="n">
        <v>0</v>
      </c>
      <c r="N250" t="n">
        <v>0</v>
      </c>
      <c r="O250" t="n">
        <v>0</v>
      </c>
      <c r="P250" t="n">
        <v>0</v>
      </c>
      <c r="Q250" t="n">
        <v>0</v>
      </c>
      <c r="R250" s="2" t="inlineStr"/>
    </row>
    <row r="251" ht="15" customHeight="1">
      <c r="A251" t="inlineStr">
        <is>
          <t>A 55355-2024</t>
        </is>
      </c>
      <c r="B251" s="1" t="n">
        <v>45621.80475694445</v>
      </c>
      <c r="C251" s="1" t="n">
        <v>46083</v>
      </c>
      <c r="D251" t="inlineStr">
        <is>
          <t>ÖREBRO LÄN</t>
        </is>
      </c>
      <c r="E251" t="inlineStr">
        <is>
          <t>ÖREBRO</t>
        </is>
      </c>
      <c r="G251" t="n">
        <v>1.6</v>
      </c>
      <c r="H251" t="n">
        <v>0</v>
      </c>
      <c r="I251" t="n">
        <v>0</v>
      </c>
      <c r="J251" t="n">
        <v>0</v>
      </c>
      <c r="K251" t="n">
        <v>0</v>
      </c>
      <c r="L251" t="n">
        <v>0</v>
      </c>
      <c r="M251" t="n">
        <v>0</v>
      </c>
      <c r="N251" t="n">
        <v>0</v>
      </c>
      <c r="O251" t="n">
        <v>0</v>
      </c>
      <c r="P251" t="n">
        <v>0</v>
      </c>
      <c r="Q251" t="n">
        <v>0</v>
      </c>
      <c r="R251" s="2" t="inlineStr"/>
    </row>
    <row r="252" ht="15" customHeight="1">
      <c r="A252" t="inlineStr">
        <is>
          <t>A 49029-2024</t>
        </is>
      </c>
      <c r="B252" s="1" t="n">
        <v>45594</v>
      </c>
      <c r="C252" s="1" t="n">
        <v>46083</v>
      </c>
      <c r="D252" t="inlineStr">
        <is>
          <t>ÖREBRO LÄN</t>
        </is>
      </c>
      <c r="E252" t="inlineStr">
        <is>
          <t>ÖREBRO</t>
        </is>
      </c>
      <c r="G252" t="n">
        <v>3.7</v>
      </c>
      <c r="H252" t="n">
        <v>0</v>
      </c>
      <c r="I252" t="n">
        <v>0</v>
      </c>
      <c r="J252" t="n">
        <v>0</v>
      </c>
      <c r="K252" t="n">
        <v>0</v>
      </c>
      <c r="L252" t="n">
        <v>0</v>
      </c>
      <c r="M252" t="n">
        <v>0</v>
      </c>
      <c r="N252" t="n">
        <v>0</v>
      </c>
      <c r="O252" t="n">
        <v>0</v>
      </c>
      <c r="P252" t="n">
        <v>0</v>
      </c>
      <c r="Q252" t="n">
        <v>0</v>
      </c>
      <c r="R252" s="2" t="inlineStr"/>
    </row>
    <row r="253" ht="15" customHeight="1">
      <c r="A253" t="inlineStr">
        <is>
          <t>A 20115-2024</t>
        </is>
      </c>
      <c r="B253" s="1" t="n">
        <v>45434</v>
      </c>
      <c r="C253" s="1" t="n">
        <v>46083</v>
      </c>
      <c r="D253" t="inlineStr">
        <is>
          <t>ÖREBRO LÄN</t>
        </is>
      </c>
      <c r="E253" t="inlineStr">
        <is>
          <t>ÖREBRO</t>
        </is>
      </c>
      <c r="G253" t="n">
        <v>1.7</v>
      </c>
      <c r="H253" t="n">
        <v>0</v>
      </c>
      <c r="I253" t="n">
        <v>0</v>
      </c>
      <c r="J253" t="n">
        <v>0</v>
      </c>
      <c r="K253" t="n">
        <v>0</v>
      </c>
      <c r="L253" t="n">
        <v>0</v>
      </c>
      <c r="M253" t="n">
        <v>0</v>
      </c>
      <c r="N253" t="n">
        <v>0</v>
      </c>
      <c r="O253" t="n">
        <v>0</v>
      </c>
      <c r="P253" t="n">
        <v>0</v>
      </c>
      <c r="Q253" t="n">
        <v>0</v>
      </c>
      <c r="R253" s="2" t="inlineStr"/>
    </row>
    <row r="254" ht="15" customHeight="1">
      <c r="A254" t="inlineStr">
        <is>
          <t>A 32218-2025</t>
        </is>
      </c>
      <c r="B254" s="1" t="n">
        <v>45835.58880787037</v>
      </c>
      <c r="C254" s="1" t="n">
        <v>46083</v>
      </c>
      <c r="D254" t="inlineStr">
        <is>
          <t>ÖREBRO LÄN</t>
        </is>
      </c>
      <c r="E254" t="inlineStr">
        <is>
          <t>ÖREBRO</t>
        </is>
      </c>
      <c r="G254" t="n">
        <v>0.7</v>
      </c>
      <c r="H254" t="n">
        <v>0</v>
      </c>
      <c r="I254" t="n">
        <v>0</v>
      </c>
      <c r="J254" t="n">
        <v>0</v>
      </c>
      <c r="K254" t="n">
        <v>0</v>
      </c>
      <c r="L254" t="n">
        <v>0</v>
      </c>
      <c r="M254" t="n">
        <v>0</v>
      </c>
      <c r="N254" t="n">
        <v>0</v>
      </c>
      <c r="O254" t="n">
        <v>0</v>
      </c>
      <c r="P254" t="n">
        <v>0</v>
      </c>
      <c r="Q254" t="n">
        <v>0</v>
      </c>
      <c r="R254" s="2" t="inlineStr"/>
    </row>
    <row r="255" ht="15" customHeight="1">
      <c r="A255" t="inlineStr">
        <is>
          <t>A 55875-2024</t>
        </is>
      </c>
      <c r="B255" s="1" t="n">
        <v>45623.55375</v>
      </c>
      <c r="C255" s="1" t="n">
        <v>46083</v>
      </c>
      <c r="D255" t="inlineStr">
        <is>
          <t>ÖREBRO LÄN</t>
        </is>
      </c>
      <c r="E255" t="inlineStr">
        <is>
          <t>ÖREBRO</t>
        </is>
      </c>
      <c r="G255" t="n">
        <v>3.5</v>
      </c>
      <c r="H255" t="n">
        <v>0</v>
      </c>
      <c r="I255" t="n">
        <v>0</v>
      </c>
      <c r="J255" t="n">
        <v>0</v>
      </c>
      <c r="K255" t="n">
        <v>0</v>
      </c>
      <c r="L255" t="n">
        <v>0</v>
      </c>
      <c r="M255" t="n">
        <v>0</v>
      </c>
      <c r="N255" t="n">
        <v>0</v>
      </c>
      <c r="O255" t="n">
        <v>0</v>
      </c>
      <c r="P255" t="n">
        <v>0</v>
      </c>
      <c r="Q255" t="n">
        <v>0</v>
      </c>
      <c r="R255" s="2" t="inlineStr"/>
    </row>
    <row r="256" ht="15" customHeight="1">
      <c r="A256" t="inlineStr">
        <is>
          <t>A 32188-2025</t>
        </is>
      </c>
      <c r="B256" s="1" t="n">
        <v>45835.56965277778</v>
      </c>
      <c r="C256" s="1" t="n">
        <v>46083</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32195-2025</t>
        </is>
      </c>
      <c r="B257" s="1" t="n">
        <v>45835.57407407407</v>
      </c>
      <c r="C257" s="1" t="n">
        <v>46083</v>
      </c>
      <c r="D257" t="inlineStr">
        <is>
          <t>ÖREBRO LÄN</t>
        </is>
      </c>
      <c r="E257" t="inlineStr">
        <is>
          <t>ÖREBRO</t>
        </is>
      </c>
      <c r="G257" t="n">
        <v>1.5</v>
      </c>
      <c r="H257" t="n">
        <v>0</v>
      </c>
      <c r="I257" t="n">
        <v>0</v>
      </c>
      <c r="J257" t="n">
        <v>0</v>
      </c>
      <c r="K257" t="n">
        <v>0</v>
      </c>
      <c r="L257" t="n">
        <v>0</v>
      </c>
      <c r="M257" t="n">
        <v>0</v>
      </c>
      <c r="N257" t="n">
        <v>0</v>
      </c>
      <c r="O257" t="n">
        <v>0</v>
      </c>
      <c r="P257" t="n">
        <v>0</v>
      </c>
      <c r="Q257" t="n">
        <v>0</v>
      </c>
      <c r="R257" s="2" t="inlineStr"/>
    </row>
    <row r="258" ht="15" customHeight="1">
      <c r="A258" t="inlineStr">
        <is>
          <t>A 23710-2022</t>
        </is>
      </c>
      <c r="B258" s="1" t="n">
        <v>44722</v>
      </c>
      <c r="C258" s="1" t="n">
        <v>46083</v>
      </c>
      <c r="D258" t="inlineStr">
        <is>
          <t>ÖREBRO LÄN</t>
        </is>
      </c>
      <c r="E258" t="inlineStr">
        <is>
          <t>ÖREBRO</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33191-2025</t>
        </is>
      </c>
      <c r="B259" s="1" t="n">
        <v>45840.6003587963</v>
      </c>
      <c r="C259" s="1" t="n">
        <v>46083</v>
      </c>
      <c r="D259" t="inlineStr">
        <is>
          <t>ÖREBRO LÄN</t>
        </is>
      </c>
      <c r="E259" t="inlineStr">
        <is>
          <t>ÖREBRO</t>
        </is>
      </c>
      <c r="G259" t="n">
        <v>2.6</v>
      </c>
      <c r="H259" t="n">
        <v>0</v>
      </c>
      <c r="I259" t="n">
        <v>0</v>
      </c>
      <c r="J259" t="n">
        <v>0</v>
      </c>
      <c r="K259" t="n">
        <v>0</v>
      </c>
      <c r="L259" t="n">
        <v>0</v>
      </c>
      <c r="M259" t="n">
        <v>0</v>
      </c>
      <c r="N259" t="n">
        <v>0</v>
      </c>
      <c r="O259" t="n">
        <v>0</v>
      </c>
      <c r="P259" t="n">
        <v>0</v>
      </c>
      <c r="Q259" t="n">
        <v>0</v>
      </c>
      <c r="R259" s="2" t="inlineStr"/>
    </row>
    <row r="260" ht="15" customHeight="1">
      <c r="A260" t="inlineStr">
        <is>
          <t>A 10470-2025</t>
        </is>
      </c>
      <c r="B260" s="1" t="n">
        <v>45720</v>
      </c>
      <c r="C260" s="1" t="n">
        <v>46083</v>
      </c>
      <c r="D260" t="inlineStr">
        <is>
          <t>ÖREBRO LÄN</t>
        </is>
      </c>
      <c r="E260" t="inlineStr">
        <is>
          <t>ÖREBRO</t>
        </is>
      </c>
      <c r="G260" t="n">
        <v>11.5</v>
      </c>
      <c r="H260" t="n">
        <v>0</v>
      </c>
      <c r="I260" t="n">
        <v>0</v>
      </c>
      <c r="J260" t="n">
        <v>0</v>
      </c>
      <c r="K260" t="n">
        <v>0</v>
      </c>
      <c r="L260" t="n">
        <v>0</v>
      </c>
      <c r="M260" t="n">
        <v>0</v>
      </c>
      <c r="N260" t="n">
        <v>0</v>
      </c>
      <c r="O260" t="n">
        <v>0</v>
      </c>
      <c r="P260" t="n">
        <v>0</v>
      </c>
      <c r="Q260" t="n">
        <v>0</v>
      </c>
      <c r="R260" s="2" t="inlineStr"/>
    </row>
    <row r="261" ht="15" customHeight="1">
      <c r="A261" t="inlineStr">
        <is>
          <t>A 46056-2024</t>
        </is>
      </c>
      <c r="B261" s="1" t="n">
        <v>45580.91502314815</v>
      </c>
      <c r="C261" s="1" t="n">
        <v>46083</v>
      </c>
      <c r="D261" t="inlineStr">
        <is>
          <t>ÖREBRO LÄN</t>
        </is>
      </c>
      <c r="E261" t="inlineStr">
        <is>
          <t>ÖREBRO</t>
        </is>
      </c>
      <c r="F261" t="inlineStr">
        <is>
          <t>Övriga Aktiebolag</t>
        </is>
      </c>
      <c r="G261" t="n">
        <v>4.5</v>
      </c>
      <c r="H261" t="n">
        <v>0</v>
      </c>
      <c r="I261" t="n">
        <v>0</v>
      </c>
      <c r="J261" t="n">
        <v>0</v>
      </c>
      <c r="K261" t="n">
        <v>0</v>
      </c>
      <c r="L261" t="n">
        <v>0</v>
      </c>
      <c r="M261" t="n">
        <v>0</v>
      </c>
      <c r="N261" t="n">
        <v>0</v>
      </c>
      <c r="O261" t="n">
        <v>0</v>
      </c>
      <c r="P261" t="n">
        <v>0</v>
      </c>
      <c r="Q261" t="n">
        <v>0</v>
      </c>
      <c r="R261" s="2" t="inlineStr"/>
    </row>
    <row r="262" ht="15" customHeight="1">
      <c r="A262" t="inlineStr">
        <is>
          <t>A 32426-2025</t>
        </is>
      </c>
      <c r="B262" s="1" t="n">
        <v>45838.36179398148</v>
      </c>
      <c r="C262" s="1" t="n">
        <v>46083</v>
      </c>
      <c r="D262" t="inlineStr">
        <is>
          <t>ÖREBRO LÄN</t>
        </is>
      </c>
      <c r="E262" t="inlineStr">
        <is>
          <t>ÖREBRO</t>
        </is>
      </c>
      <c r="G262" t="n">
        <v>1.1</v>
      </c>
      <c r="H262" t="n">
        <v>0</v>
      </c>
      <c r="I262" t="n">
        <v>0</v>
      </c>
      <c r="J262" t="n">
        <v>0</v>
      </c>
      <c r="K262" t="n">
        <v>0</v>
      </c>
      <c r="L262" t="n">
        <v>0</v>
      </c>
      <c r="M262" t="n">
        <v>0</v>
      </c>
      <c r="N262" t="n">
        <v>0</v>
      </c>
      <c r="O262" t="n">
        <v>0</v>
      </c>
      <c r="P262" t="n">
        <v>0</v>
      </c>
      <c r="Q262" t="n">
        <v>0</v>
      </c>
      <c r="R262" s="2" t="inlineStr"/>
    </row>
    <row r="263" ht="15" customHeight="1">
      <c r="A263" t="inlineStr">
        <is>
          <t>A 13355-2023</t>
        </is>
      </c>
      <c r="B263" s="1" t="n">
        <v>45004</v>
      </c>
      <c r="C263" s="1" t="n">
        <v>46083</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32904-2025</t>
        </is>
      </c>
      <c r="B264" s="1" t="n">
        <v>45839</v>
      </c>
      <c r="C264" s="1" t="n">
        <v>46083</v>
      </c>
      <c r="D264" t="inlineStr">
        <is>
          <t>ÖREBRO LÄN</t>
        </is>
      </c>
      <c r="E264" t="inlineStr">
        <is>
          <t>ÖREBRO</t>
        </is>
      </c>
      <c r="G264" t="n">
        <v>0.6</v>
      </c>
      <c r="H264" t="n">
        <v>0</v>
      </c>
      <c r="I264" t="n">
        <v>0</v>
      </c>
      <c r="J264" t="n">
        <v>0</v>
      </c>
      <c r="K264" t="n">
        <v>0</v>
      </c>
      <c r="L264" t="n">
        <v>0</v>
      </c>
      <c r="M264" t="n">
        <v>0</v>
      </c>
      <c r="N264" t="n">
        <v>0</v>
      </c>
      <c r="O264" t="n">
        <v>0</v>
      </c>
      <c r="P264" t="n">
        <v>0</v>
      </c>
      <c r="Q264" t="n">
        <v>0</v>
      </c>
      <c r="R264" s="2" t="inlineStr"/>
    </row>
    <row r="265" ht="15" customHeight="1">
      <c r="A265" t="inlineStr">
        <is>
          <t>A 6522-2023</t>
        </is>
      </c>
      <c r="B265" s="1" t="n">
        <v>44966</v>
      </c>
      <c r="C265" s="1" t="n">
        <v>46083</v>
      </c>
      <c r="D265" t="inlineStr">
        <is>
          <t>ÖREBRO LÄN</t>
        </is>
      </c>
      <c r="E265" t="inlineStr">
        <is>
          <t>ÖREBRO</t>
        </is>
      </c>
      <c r="G265" t="n">
        <v>4.4</v>
      </c>
      <c r="H265" t="n">
        <v>0</v>
      </c>
      <c r="I265" t="n">
        <v>0</v>
      </c>
      <c r="J265" t="n">
        <v>0</v>
      </c>
      <c r="K265" t="n">
        <v>0</v>
      </c>
      <c r="L265" t="n">
        <v>0</v>
      </c>
      <c r="M265" t="n">
        <v>0</v>
      </c>
      <c r="N265" t="n">
        <v>0</v>
      </c>
      <c r="O265" t="n">
        <v>0</v>
      </c>
      <c r="P265" t="n">
        <v>0</v>
      </c>
      <c r="Q265" t="n">
        <v>0</v>
      </c>
      <c r="R265" s="2" t="inlineStr"/>
    </row>
    <row r="266" ht="15" customHeight="1">
      <c r="A266" t="inlineStr">
        <is>
          <t>A 56040-2024</t>
        </is>
      </c>
      <c r="B266" s="1" t="n">
        <v>45624.3344212963</v>
      </c>
      <c r="C266" s="1" t="n">
        <v>46083</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52444-2024</t>
        </is>
      </c>
      <c r="B267" s="1" t="n">
        <v>45609.48894675926</v>
      </c>
      <c r="C267" s="1" t="n">
        <v>46083</v>
      </c>
      <c r="D267" t="inlineStr">
        <is>
          <t>ÖREBRO LÄN</t>
        </is>
      </c>
      <c r="E267" t="inlineStr">
        <is>
          <t>ÖREBRO</t>
        </is>
      </c>
      <c r="G267" t="n">
        <v>1.7</v>
      </c>
      <c r="H267" t="n">
        <v>0</v>
      </c>
      <c r="I267" t="n">
        <v>0</v>
      </c>
      <c r="J267" t="n">
        <v>0</v>
      </c>
      <c r="K267" t="n">
        <v>0</v>
      </c>
      <c r="L267" t="n">
        <v>0</v>
      </c>
      <c r="M267" t="n">
        <v>0</v>
      </c>
      <c r="N267" t="n">
        <v>0</v>
      </c>
      <c r="O267" t="n">
        <v>0</v>
      </c>
      <c r="P267" t="n">
        <v>0</v>
      </c>
      <c r="Q267" t="n">
        <v>0</v>
      </c>
      <c r="R267" s="2" t="inlineStr"/>
    </row>
    <row r="268" ht="15" customHeight="1">
      <c r="A268" t="inlineStr">
        <is>
          <t>A 60128-2023</t>
        </is>
      </c>
      <c r="B268" s="1" t="n">
        <v>45258</v>
      </c>
      <c r="C268" s="1" t="n">
        <v>46083</v>
      </c>
      <c r="D268" t="inlineStr">
        <is>
          <t>ÖREBRO LÄN</t>
        </is>
      </c>
      <c r="E268" t="inlineStr">
        <is>
          <t>ÖREBRO</t>
        </is>
      </c>
      <c r="G268" t="n">
        <v>0.6</v>
      </c>
      <c r="H268" t="n">
        <v>0</v>
      </c>
      <c r="I268" t="n">
        <v>0</v>
      </c>
      <c r="J268" t="n">
        <v>0</v>
      </c>
      <c r="K268" t="n">
        <v>0</v>
      </c>
      <c r="L268" t="n">
        <v>0</v>
      </c>
      <c r="M268" t="n">
        <v>0</v>
      </c>
      <c r="N268" t="n">
        <v>0</v>
      </c>
      <c r="O268" t="n">
        <v>0</v>
      </c>
      <c r="P268" t="n">
        <v>0</v>
      </c>
      <c r="Q268" t="n">
        <v>0</v>
      </c>
      <c r="R268" s="2" t="inlineStr"/>
    </row>
    <row r="269" ht="15" customHeight="1">
      <c r="A269" t="inlineStr">
        <is>
          <t>A 16140-2023</t>
        </is>
      </c>
      <c r="B269" s="1" t="n">
        <v>45027.6433912037</v>
      </c>
      <c r="C269" s="1" t="n">
        <v>46083</v>
      </c>
      <c r="D269" t="inlineStr">
        <is>
          <t>ÖREBRO LÄN</t>
        </is>
      </c>
      <c r="E269" t="inlineStr">
        <is>
          <t>ÖREBRO</t>
        </is>
      </c>
      <c r="G269" t="n">
        <v>2</v>
      </c>
      <c r="H269" t="n">
        <v>0</v>
      </c>
      <c r="I269" t="n">
        <v>0</v>
      </c>
      <c r="J269" t="n">
        <v>0</v>
      </c>
      <c r="K269" t="n">
        <v>0</v>
      </c>
      <c r="L269" t="n">
        <v>0</v>
      </c>
      <c r="M269" t="n">
        <v>0</v>
      </c>
      <c r="N269" t="n">
        <v>0</v>
      </c>
      <c r="O269" t="n">
        <v>0</v>
      </c>
      <c r="P269" t="n">
        <v>0</v>
      </c>
      <c r="Q269" t="n">
        <v>0</v>
      </c>
      <c r="R269" s="2" t="inlineStr"/>
    </row>
    <row r="270" ht="15" customHeight="1">
      <c r="A270" t="inlineStr">
        <is>
          <t>A 6752-2022</t>
        </is>
      </c>
      <c r="B270" s="1" t="n">
        <v>44602.48082175926</v>
      </c>
      <c r="C270" s="1" t="n">
        <v>46083</v>
      </c>
      <c r="D270" t="inlineStr">
        <is>
          <t>ÖREBRO LÄN</t>
        </is>
      </c>
      <c r="E270" t="inlineStr">
        <is>
          <t>ÖREBRO</t>
        </is>
      </c>
      <c r="G270" t="n">
        <v>3.1</v>
      </c>
      <c r="H270" t="n">
        <v>0</v>
      </c>
      <c r="I270" t="n">
        <v>0</v>
      </c>
      <c r="J270" t="n">
        <v>0</v>
      </c>
      <c r="K270" t="n">
        <v>0</v>
      </c>
      <c r="L270" t="n">
        <v>0</v>
      </c>
      <c r="M270" t="n">
        <v>0</v>
      </c>
      <c r="N270" t="n">
        <v>0</v>
      </c>
      <c r="O270" t="n">
        <v>0</v>
      </c>
      <c r="P270" t="n">
        <v>0</v>
      </c>
      <c r="Q270" t="n">
        <v>0</v>
      </c>
      <c r="R270" s="2" t="inlineStr"/>
    </row>
    <row r="271" ht="15" customHeight="1">
      <c r="A271" t="inlineStr">
        <is>
          <t>A 34056-2023</t>
        </is>
      </c>
      <c r="B271" s="1" t="n">
        <v>45135</v>
      </c>
      <c r="C271" s="1" t="n">
        <v>46083</v>
      </c>
      <c r="D271" t="inlineStr">
        <is>
          <t>ÖREBRO LÄN</t>
        </is>
      </c>
      <c r="E271" t="inlineStr">
        <is>
          <t>ÖREBRO</t>
        </is>
      </c>
      <c r="F271" t="inlineStr">
        <is>
          <t>Övriga Aktiebolag</t>
        </is>
      </c>
      <c r="G271" t="n">
        <v>4.1</v>
      </c>
      <c r="H271" t="n">
        <v>0</v>
      </c>
      <c r="I271" t="n">
        <v>0</v>
      </c>
      <c r="J271" t="n">
        <v>0</v>
      </c>
      <c r="K271" t="n">
        <v>0</v>
      </c>
      <c r="L271" t="n">
        <v>0</v>
      </c>
      <c r="M271" t="n">
        <v>0</v>
      </c>
      <c r="N271" t="n">
        <v>0</v>
      </c>
      <c r="O271" t="n">
        <v>0</v>
      </c>
      <c r="P271" t="n">
        <v>0</v>
      </c>
      <c r="Q271" t="n">
        <v>0</v>
      </c>
      <c r="R271" s="2" t="inlineStr"/>
    </row>
    <row r="272" ht="15" customHeight="1">
      <c r="A272" t="inlineStr">
        <is>
          <t>A 33457-2023</t>
        </is>
      </c>
      <c r="B272" s="1" t="n">
        <v>45131</v>
      </c>
      <c r="C272" s="1" t="n">
        <v>46083</v>
      </c>
      <c r="D272" t="inlineStr">
        <is>
          <t>ÖREBRO LÄN</t>
        </is>
      </c>
      <c r="E272" t="inlineStr">
        <is>
          <t>ÖREBRO</t>
        </is>
      </c>
      <c r="G272" t="n">
        <v>0.5</v>
      </c>
      <c r="H272" t="n">
        <v>0</v>
      </c>
      <c r="I272" t="n">
        <v>0</v>
      </c>
      <c r="J272" t="n">
        <v>0</v>
      </c>
      <c r="K272" t="n">
        <v>0</v>
      </c>
      <c r="L272" t="n">
        <v>0</v>
      </c>
      <c r="M272" t="n">
        <v>0</v>
      </c>
      <c r="N272" t="n">
        <v>0</v>
      </c>
      <c r="O272" t="n">
        <v>0</v>
      </c>
      <c r="P272" t="n">
        <v>0</v>
      </c>
      <c r="Q272" t="n">
        <v>0</v>
      </c>
      <c r="R272" s="2" t="inlineStr"/>
    </row>
    <row r="273" ht="15" customHeight="1">
      <c r="A273" t="inlineStr">
        <is>
          <t>A 45237-2023</t>
        </is>
      </c>
      <c r="B273" s="1" t="n">
        <v>45191</v>
      </c>
      <c r="C273" s="1" t="n">
        <v>46083</v>
      </c>
      <c r="D273" t="inlineStr">
        <is>
          <t>ÖREBRO LÄN</t>
        </is>
      </c>
      <c r="E273" t="inlineStr">
        <is>
          <t>ÖREBRO</t>
        </is>
      </c>
      <c r="G273" t="n">
        <v>1.3</v>
      </c>
      <c r="H273" t="n">
        <v>0</v>
      </c>
      <c r="I273" t="n">
        <v>0</v>
      </c>
      <c r="J273" t="n">
        <v>0</v>
      </c>
      <c r="K273" t="n">
        <v>0</v>
      </c>
      <c r="L273" t="n">
        <v>0</v>
      </c>
      <c r="M273" t="n">
        <v>0</v>
      </c>
      <c r="N273" t="n">
        <v>0</v>
      </c>
      <c r="O273" t="n">
        <v>0</v>
      </c>
      <c r="P273" t="n">
        <v>0</v>
      </c>
      <c r="Q273" t="n">
        <v>0</v>
      </c>
      <c r="R273" s="2" t="inlineStr"/>
    </row>
    <row r="274" ht="15" customHeight="1">
      <c r="A274" t="inlineStr">
        <is>
          <t>A 48687-2024</t>
        </is>
      </c>
      <c r="B274" s="1" t="n">
        <v>45593.49899305555</v>
      </c>
      <c r="C274" s="1" t="n">
        <v>46083</v>
      </c>
      <c r="D274" t="inlineStr">
        <is>
          <t>ÖREBRO LÄN</t>
        </is>
      </c>
      <c r="E274" t="inlineStr">
        <is>
          <t>ÖREBRO</t>
        </is>
      </c>
      <c r="F274" t="inlineStr">
        <is>
          <t>Övriga Aktiebolag</t>
        </is>
      </c>
      <c r="G274" t="n">
        <v>3.8</v>
      </c>
      <c r="H274" t="n">
        <v>0</v>
      </c>
      <c r="I274" t="n">
        <v>0</v>
      </c>
      <c r="J274" t="n">
        <v>0</v>
      </c>
      <c r="K274" t="n">
        <v>0</v>
      </c>
      <c r="L274" t="n">
        <v>0</v>
      </c>
      <c r="M274" t="n">
        <v>0</v>
      </c>
      <c r="N274" t="n">
        <v>0</v>
      </c>
      <c r="O274" t="n">
        <v>0</v>
      </c>
      <c r="P274" t="n">
        <v>0</v>
      </c>
      <c r="Q274" t="n">
        <v>0</v>
      </c>
      <c r="R274" s="2" t="inlineStr"/>
    </row>
    <row r="275" ht="15" customHeight="1">
      <c r="A275" t="inlineStr">
        <is>
          <t>A 51180-2023</t>
        </is>
      </c>
      <c r="B275" s="1" t="n">
        <v>45219</v>
      </c>
      <c r="C275" s="1" t="n">
        <v>46083</v>
      </c>
      <c r="D275" t="inlineStr">
        <is>
          <t>ÖREBRO LÄN</t>
        </is>
      </c>
      <c r="E275" t="inlineStr">
        <is>
          <t>ÖREBRO</t>
        </is>
      </c>
      <c r="G275" t="n">
        <v>6.5</v>
      </c>
      <c r="H275" t="n">
        <v>0</v>
      </c>
      <c r="I275" t="n">
        <v>0</v>
      </c>
      <c r="J275" t="n">
        <v>0</v>
      </c>
      <c r="K275" t="n">
        <v>0</v>
      </c>
      <c r="L275" t="n">
        <v>0</v>
      </c>
      <c r="M275" t="n">
        <v>0</v>
      </c>
      <c r="N275" t="n">
        <v>0</v>
      </c>
      <c r="O275" t="n">
        <v>0</v>
      </c>
      <c r="P275" t="n">
        <v>0</v>
      </c>
      <c r="Q275" t="n">
        <v>0</v>
      </c>
      <c r="R275" s="2" t="inlineStr"/>
    </row>
    <row r="276" ht="15" customHeight="1">
      <c r="A276" t="inlineStr">
        <is>
          <t>A 60028-2024</t>
        </is>
      </c>
      <c r="B276" s="1" t="n">
        <v>45642</v>
      </c>
      <c r="C276" s="1" t="n">
        <v>46083</v>
      </c>
      <c r="D276" t="inlineStr">
        <is>
          <t>ÖREBRO LÄN</t>
        </is>
      </c>
      <c r="E276" t="inlineStr">
        <is>
          <t>ÖREBRO</t>
        </is>
      </c>
      <c r="G276" t="n">
        <v>1.7</v>
      </c>
      <c r="H276" t="n">
        <v>0</v>
      </c>
      <c r="I276" t="n">
        <v>0</v>
      </c>
      <c r="J276" t="n">
        <v>0</v>
      </c>
      <c r="K276" t="n">
        <v>0</v>
      </c>
      <c r="L276" t="n">
        <v>0</v>
      </c>
      <c r="M276" t="n">
        <v>0</v>
      </c>
      <c r="N276" t="n">
        <v>0</v>
      </c>
      <c r="O276" t="n">
        <v>0</v>
      </c>
      <c r="P276" t="n">
        <v>0</v>
      </c>
      <c r="Q276" t="n">
        <v>0</v>
      </c>
      <c r="R276" s="2" t="inlineStr"/>
    </row>
    <row r="277" ht="15" customHeight="1">
      <c r="A277" t="inlineStr">
        <is>
          <t>A 33294-2023</t>
        </is>
      </c>
      <c r="B277" s="1" t="n">
        <v>45127</v>
      </c>
      <c r="C277" s="1" t="n">
        <v>46083</v>
      </c>
      <c r="D277" t="inlineStr">
        <is>
          <t>ÖREBRO LÄN</t>
        </is>
      </c>
      <c r="E277" t="inlineStr">
        <is>
          <t>ÖREBRO</t>
        </is>
      </c>
      <c r="F277" t="inlineStr">
        <is>
          <t>Övriga Aktiebolag</t>
        </is>
      </c>
      <c r="G277" t="n">
        <v>6.7</v>
      </c>
      <c r="H277" t="n">
        <v>0</v>
      </c>
      <c r="I277" t="n">
        <v>0</v>
      </c>
      <c r="J277" t="n">
        <v>0</v>
      </c>
      <c r="K277" t="n">
        <v>0</v>
      </c>
      <c r="L277" t="n">
        <v>0</v>
      </c>
      <c r="M277" t="n">
        <v>0</v>
      </c>
      <c r="N277" t="n">
        <v>0</v>
      </c>
      <c r="O277" t="n">
        <v>0</v>
      </c>
      <c r="P277" t="n">
        <v>0</v>
      </c>
      <c r="Q277" t="n">
        <v>0</v>
      </c>
      <c r="R277" s="2" t="inlineStr"/>
    </row>
    <row r="278" ht="15" customHeight="1">
      <c r="A278" t="inlineStr">
        <is>
          <t>A 35062-2025</t>
        </is>
      </c>
      <c r="B278" s="1" t="n">
        <v>45852</v>
      </c>
      <c r="C278" s="1" t="n">
        <v>46083</v>
      </c>
      <c r="D278" t="inlineStr">
        <is>
          <t>ÖREBRO LÄN</t>
        </is>
      </c>
      <c r="E278" t="inlineStr">
        <is>
          <t>ÖREBRO</t>
        </is>
      </c>
      <c r="G278" t="n">
        <v>2.8</v>
      </c>
      <c r="H278" t="n">
        <v>0</v>
      </c>
      <c r="I278" t="n">
        <v>0</v>
      </c>
      <c r="J278" t="n">
        <v>0</v>
      </c>
      <c r="K278" t="n">
        <v>0</v>
      </c>
      <c r="L278" t="n">
        <v>0</v>
      </c>
      <c r="M278" t="n">
        <v>0</v>
      </c>
      <c r="N278" t="n">
        <v>0</v>
      </c>
      <c r="O278" t="n">
        <v>0</v>
      </c>
      <c r="P278" t="n">
        <v>0</v>
      </c>
      <c r="Q278" t="n">
        <v>0</v>
      </c>
      <c r="R278" s="2" t="inlineStr"/>
    </row>
    <row r="279" ht="15" customHeight="1">
      <c r="A279" t="inlineStr">
        <is>
          <t>A 13857-2022</t>
        </is>
      </c>
      <c r="B279" s="1" t="n">
        <v>44649</v>
      </c>
      <c r="C279" s="1" t="n">
        <v>46083</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61078-2024</t>
        </is>
      </c>
      <c r="B280" s="1" t="n">
        <v>45645.51034722223</v>
      </c>
      <c r="C280" s="1" t="n">
        <v>46083</v>
      </c>
      <c r="D280" t="inlineStr">
        <is>
          <t>ÖREBRO LÄN</t>
        </is>
      </c>
      <c r="E280" t="inlineStr">
        <is>
          <t>ÖREBRO</t>
        </is>
      </c>
      <c r="G280" t="n">
        <v>4.1</v>
      </c>
      <c r="H280" t="n">
        <v>0</v>
      </c>
      <c r="I280" t="n">
        <v>0</v>
      </c>
      <c r="J280" t="n">
        <v>0</v>
      </c>
      <c r="K280" t="n">
        <v>0</v>
      </c>
      <c r="L280" t="n">
        <v>0</v>
      </c>
      <c r="M280" t="n">
        <v>0</v>
      </c>
      <c r="N280" t="n">
        <v>0</v>
      </c>
      <c r="O280" t="n">
        <v>0</v>
      </c>
      <c r="P280" t="n">
        <v>0</v>
      </c>
      <c r="Q280" t="n">
        <v>0</v>
      </c>
      <c r="R280" s="2" t="inlineStr"/>
    </row>
    <row r="281" ht="15" customHeight="1">
      <c r="A281" t="inlineStr">
        <is>
          <t>A 12871-2021</t>
        </is>
      </c>
      <c r="B281" s="1" t="n">
        <v>44271.42121527778</v>
      </c>
      <c r="C281" s="1" t="n">
        <v>46083</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13158-2024</t>
        </is>
      </c>
      <c r="B282" s="1" t="n">
        <v>45386.38728009259</v>
      </c>
      <c r="C282" s="1" t="n">
        <v>46083</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13181-2023</t>
        </is>
      </c>
      <c r="B283" s="1" t="n">
        <v>45002.60659722222</v>
      </c>
      <c r="C283" s="1" t="n">
        <v>46083</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25996-2024</t>
        </is>
      </c>
      <c r="B284" s="1" t="n">
        <v>45467.89081018518</v>
      </c>
      <c r="C284" s="1" t="n">
        <v>46083</v>
      </c>
      <c r="D284" t="inlineStr">
        <is>
          <t>ÖREBRO LÄN</t>
        </is>
      </c>
      <c r="E284" t="inlineStr">
        <is>
          <t>ÖREBRO</t>
        </is>
      </c>
      <c r="G284" t="n">
        <v>4.7</v>
      </c>
      <c r="H284" t="n">
        <v>0</v>
      </c>
      <c r="I284" t="n">
        <v>0</v>
      </c>
      <c r="J284" t="n">
        <v>0</v>
      </c>
      <c r="K284" t="n">
        <v>0</v>
      </c>
      <c r="L284" t="n">
        <v>0</v>
      </c>
      <c r="M284" t="n">
        <v>0</v>
      </c>
      <c r="N284" t="n">
        <v>0</v>
      </c>
      <c r="O284" t="n">
        <v>0</v>
      </c>
      <c r="P284" t="n">
        <v>0</v>
      </c>
      <c r="Q284" t="n">
        <v>0</v>
      </c>
      <c r="R284" s="2" t="inlineStr"/>
    </row>
    <row r="285" ht="15" customHeight="1">
      <c r="A285" t="inlineStr">
        <is>
          <t>A 16676-2025</t>
        </is>
      </c>
      <c r="B285" s="1" t="n">
        <v>45754.44658564815</v>
      </c>
      <c r="C285" s="1" t="n">
        <v>46083</v>
      </c>
      <c r="D285" t="inlineStr">
        <is>
          <t>ÖREBRO LÄN</t>
        </is>
      </c>
      <c r="E285" t="inlineStr">
        <is>
          <t>ÖREBRO</t>
        </is>
      </c>
      <c r="G285" t="n">
        <v>5.8</v>
      </c>
      <c r="H285" t="n">
        <v>0</v>
      </c>
      <c r="I285" t="n">
        <v>0</v>
      </c>
      <c r="J285" t="n">
        <v>0</v>
      </c>
      <c r="K285" t="n">
        <v>0</v>
      </c>
      <c r="L285" t="n">
        <v>0</v>
      </c>
      <c r="M285" t="n">
        <v>0</v>
      </c>
      <c r="N285" t="n">
        <v>0</v>
      </c>
      <c r="O285" t="n">
        <v>0</v>
      </c>
      <c r="P285" t="n">
        <v>0</v>
      </c>
      <c r="Q285" t="n">
        <v>0</v>
      </c>
      <c r="R285" s="2" t="inlineStr"/>
    </row>
    <row r="286" ht="15" customHeight="1">
      <c r="A286" t="inlineStr">
        <is>
          <t>A 23741-2022</t>
        </is>
      </c>
      <c r="B286" s="1" t="n">
        <v>44722</v>
      </c>
      <c r="C286" s="1" t="n">
        <v>46083</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28821-2025</t>
        </is>
      </c>
      <c r="B287" s="1" t="n">
        <v>45820</v>
      </c>
      <c r="C287" s="1" t="n">
        <v>46083</v>
      </c>
      <c r="D287" t="inlineStr">
        <is>
          <t>ÖREBRO LÄN</t>
        </is>
      </c>
      <c r="E287" t="inlineStr">
        <is>
          <t>ÖREBRO</t>
        </is>
      </c>
      <c r="G287" t="n">
        <v>12.6</v>
      </c>
      <c r="H287" t="n">
        <v>0</v>
      </c>
      <c r="I287" t="n">
        <v>0</v>
      </c>
      <c r="J287" t="n">
        <v>0</v>
      </c>
      <c r="K287" t="n">
        <v>0</v>
      </c>
      <c r="L287" t="n">
        <v>0</v>
      </c>
      <c r="M287" t="n">
        <v>0</v>
      </c>
      <c r="N287" t="n">
        <v>0</v>
      </c>
      <c r="O287" t="n">
        <v>0</v>
      </c>
      <c r="P287" t="n">
        <v>0</v>
      </c>
      <c r="Q287" t="n">
        <v>0</v>
      </c>
      <c r="R287" s="2" t="inlineStr"/>
    </row>
    <row r="288" ht="15" customHeight="1">
      <c r="A288" t="inlineStr">
        <is>
          <t>A 8274-2025</t>
        </is>
      </c>
      <c r="B288" s="1" t="n">
        <v>45708</v>
      </c>
      <c r="C288" s="1" t="n">
        <v>46083</v>
      </c>
      <c r="D288" t="inlineStr">
        <is>
          <t>ÖREBRO LÄN</t>
        </is>
      </c>
      <c r="E288" t="inlineStr">
        <is>
          <t>ÖREBRO</t>
        </is>
      </c>
      <c r="G288" t="n">
        <v>5.8</v>
      </c>
      <c r="H288" t="n">
        <v>0</v>
      </c>
      <c r="I288" t="n">
        <v>0</v>
      </c>
      <c r="J288" t="n">
        <v>0</v>
      </c>
      <c r="K288" t="n">
        <v>0</v>
      </c>
      <c r="L288" t="n">
        <v>0</v>
      </c>
      <c r="M288" t="n">
        <v>0</v>
      </c>
      <c r="N288" t="n">
        <v>0</v>
      </c>
      <c r="O288" t="n">
        <v>0</v>
      </c>
      <c r="P288" t="n">
        <v>0</v>
      </c>
      <c r="Q288" t="n">
        <v>0</v>
      </c>
      <c r="R288" s="2" t="inlineStr"/>
    </row>
    <row r="289" ht="15" customHeight="1">
      <c r="A289" t="inlineStr">
        <is>
          <t>A 58620-2024</t>
        </is>
      </c>
      <c r="B289" s="1" t="n">
        <v>45635.56246527778</v>
      </c>
      <c r="C289" s="1" t="n">
        <v>46083</v>
      </c>
      <c r="D289" t="inlineStr">
        <is>
          <t>ÖREBRO LÄN</t>
        </is>
      </c>
      <c r="E289" t="inlineStr">
        <is>
          <t>ÖREBRO</t>
        </is>
      </c>
      <c r="F289" t="inlineStr">
        <is>
          <t>Sveaskog</t>
        </is>
      </c>
      <c r="G289" t="n">
        <v>4.5</v>
      </c>
      <c r="H289" t="n">
        <v>0</v>
      </c>
      <c r="I289" t="n">
        <v>0</v>
      </c>
      <c r="J289" t="n">
        <v>0</v>
      </c>
      <c r="K289" t="n">
        <v>0</v>
      </c>
      <c r="L289" t="n">
        <v>0</v>
      </c>
      <c r="M289" t="n">
        <v>0</v>
      </c>
      <c r="N289" t="n">
        <v>0</v>
      </c>
      <c r="O289" t="n">
        <v>0</v>
      </c>
      <c r="P289" t="n">
        <v>0</v>
      </c>
      <c r="Q289" t="n">
        <v>0</v>
      </c>
      <c r="R289" s="2" t="inlineStr"/>
    </row>
    <row r="290" ht="15" customHeight="1">
      <c r="A290" t="inlineStr">
        <is>
          <t>A 44875-2025</t>
        </is>
      </c>
      <c r="B290" s="1" t="n">
        <v>45918.47043981482</v>
      </c>
      <c r="C290" s="1" t="n">
        <v>46083</v>
      </c>
      <c r="D290" t="inlineStr">
        <is>
          <t>ÖREBRO LÄN</t>
        </is>
      </c>
      <c r="E290" t="inlineStr">
        <is>
          <t>ÖREBRO</t>
        </is>
      </c>
      <c r="G290" t="n">
        <v>1.4</v>
      </c>
      <c r="H290" t="n">
        <v>0</v>
      </c>
      <c r="I290" t="n">
        <v>0</v>
      </c>
      <c r="J290" t="n">
        <v>0</v>
      </c>
      <c r="K290" t="n">
        <v>0</v>
      </c>
      <c r="L290" t="n">
        <v>0</v>
      </c>
      <c r="M290" t="n">
        <v>0</v>
      </c>
      <c r="N290" t="n">
        <v>0</v>
      </c>
      <c r="O290" t="n">
        <v>0</v>
      </c>
      <c r="P290" t="n">
        <v>0</v>
      </c>
      <c r="Q290" t="n">
        <v>0</v>
      </c>
      <c r="R290" s="2" t="inlineStr"/>
    </row>
    <row r="291" ht="15" customHeight="1">
      <c r="A291" t="inlineStr">
        <is>
          <t>A 35637-2025</t>
        </is>
      </c>
      <c r="B291" s="1" t="n">
        <v>45859.46859953704</v>
      </c>
      <c r="C291" s="1" t="n">
        <v>46083</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35928-2025</t>
        </is>
      </c>
      <c r="B292" s="1" t="n">
        <v>45862</v>
      </c>
      <c r="C292" s="1" t="n">
        <v>46083</v>
      </c>
      <c r="D292" t="inlineStr">
        <is>
          <t>ÖREBRO LÄN</t>
        </is>
      </c>
      <c r="E292" t="inlineStr">
        <is>
          <t>ÖREBRO</t>
        </is>
      </c>
      <c r="G292" t="n">
        <v>4.4</v>
      </c>
      <c r="H292" t="n">
        <v>0</v>
      </c>
      <c r="I292" t="n">
        <v>0</v>
      </c>
      <c r="J292" t="n">
        <v>0</v>
      </c>
      <c r="K292" t="n">
        <v>0</v>
      </c>
      <c r="L292" t="n">
        <v>0</v>
      </c>
      <c r="M292" t="n">
        <v>0</v>
      </c>
      <c r="N292" t="n">
        <v>0</v>
      </c>
      <c r="O292" t="n">
        <v>0</v>
      </c>
      <c r="P292" t="n">
        <v>0</v>
      </c>
      <c r="Q292" t="n">
        <v>0</v>
      </c>
      <c r="R292" s="2" t="inlineStr"/>
    </row>
    <row r="293" ht="15" customHeight="1">
      <c r="A293" t="inlineStr">
        <is>
          <t>A 55453-2024</t>
        </is>
      </c>
      <c r="B293" s="1" t="n">
        <v>45622.42097222222</v>
      </c>
      <c r="C293" s="1" t="n">
        <v>46083</v>
      </c>
      <c r="D293" t="inlineStr">
        <is>
          <t>ÖREBRO LÄN</t>
        </is>
      </c>
      <c r="E293" t="inlineStr">
        <is>
          <t>ÖREBRO</t>
        </is>
      </c>
      <c r="G293" t="n">
        <v>8.5</v>
      </c>
      <c r="H293" t="n">
        <v>0</v>
      </c>
      <c r="I293" t="n">
        <v>0</v>
      </c>
      <c r="J293" t="n">
        <v>0</v>
      </c>
      <c r="K293" t="n">
        <v>0</v>
      </c>
      <c r="L293" t="n">
        <v>0</v>
      </c>
      <c r="M293" t="n">
        <v>0</v>
      </c>
      <c r="N293" t="n">
        <v>0</v>
      </c>
      <c r="O293" t="n">
        <v>0</v>
      </c>
      <c r="P293" t="n">
        <v>0</v>
      </c>
      <c r="Q293" t="n">
        <v>0</v>
      </c>
      <c r="R293" s="2" t="inlineStr"/>
    </row>
    <row r="294" ht="15" customHeight="1">
      <c r="A294" t="inlineStr">
        <is>
          <t>A 44960-2025</t>
        </is>
      </c>
      <c r="B294" s="1" t="n">
        <v>45918.61577546296</v>
      </c>
      <c r="C294" s="1" t="n">
        <v>46083</v>
      </c>
      <c r="D294" t="inlineStr">
        <is>
          <t>ÖREBRO LÄN</t>
        </is>
      </c>
      <c r="E294" t="inlineStr">
        <is>
          <t>ÖREBRO</t>
        </is>
      </c>
      <c r="G294" t="n">
        <v>1.5</v>
      </c>
      <c r="H294" t="n">
        <v>0</v>
      </c>
      <c r="I294" t="n">
        <v>0</v>
      </c>
      <c r="J294" t="n">
        <v>0</v>
      </c>
      <c r="K294" t="n">
        <v>0</v>
      </c>
      <c r="L294" t="n">
        <v>0</v>
      </c>
      <c r="M294" t="n">
        <v>0</v>
      </c>
      <c r="N294" t="n">
        <v>0</v>
      </c>
      <c r="O294" t="n">
        <v>0</v>
      </c>
      <c r="P294" t="n">
        <v>0</v>
      </c>
      <c r="Q294" t="n">
        <v>0</v>
      </c>
      <c r="R294" s="2" t="inlineStr"/>
    </row>
    <row r="295" ht="15" customHeight="1">
      <c r="A295" t="inlineStr">
        <is>
          <t>A 7141-2025</t>
        </is>
      </c>
      <c r="B295" s="1" t="n">
        <v>45702</v>
      </c>
      <c r="C295" s="1" t="n">
        <v>46083</v>
      </c>
      <c r="D295" t="inlineStr">
        <is>
          <t>ÖREBRO LÄN</t>
        </is>
      </c>
      <c r="E295" t="inlineStr">
        <is>
          <t>ÖREBRO</t>
        </is>
      </c>
      <c r="G295" t="n">
        <v>2.9</v>
      </c>
      <c r="H295" t="n">
        <v>0</v>
      </c>
      <c r="I295" t="n">
        <v>0</v>
      </c>
      <c r="J295" t="n">
        <v>0</v>
      </c>
      <c r="K295" t="n">
        <v>0</v>
      </c>
      <c r="L295" t="n">
        <v>0</v>
      </c>
      <c r="M295" t="n">
        <v>0</v>
      </c>
      <c r="N295" t="n">
        <v>0</v>
      </c>
      <c r="O295" t="n">
        <v>0</v>
      </c>
      <c r="P295" t="n">
        <v>0</v>
      </c>
      <c r="Q295" t="n">
        <v>0</v>
      </c>
      <c r="R295" s="2" t="inlineStr"/>
    </row>
    <row r="296" ht="15" customHeight="1">
      <c r="A296" t="inlineStr">
        <is>
          <t>A 59024-2024</t>
        </is>
      </c>
      <c r="B296" s="1" t="n">
        <v>45636.68505787037</v>
      </c>
      <c r="C296" s="1" t="n">
        <v>46083</v>
      </c>
      <c r="D296" t="inlineStr">
        <is>
          <t>ÖREBRO LÄN</t>
        </is>
      </c>
      <c r="E296" t="inlineStr">
        <is>
          <t>ÖREBRO</t>
        </is>
      </c>
      <c r="G296" t="n">
        <v>1.3</v>
      </c>
      <c r="H296" t="n">
        <v>0</v>
      </c>
      <c r="I296" t="n">
        <v>0</v>
      </c>
      <c r="J296" t="n">
        <v>0</v>
      </c>
      <c r="K296" t="n">
        <v>0</v>
      </c>
      <c r="L296" t="n">
        <v>0</v>
      </c>
      <c r="M296" t="n">
        <v>0</v>
      </c>
      <c r="N296" t="n">
        <v>0</v>
      </c>
      <c r="O296" t="n">
        <v>0</v>
      </c>
      <c r="P296" t="n">
        <v>0</v>
      </c>
      <c r="Q296" t="n">
        <v>0</v>
      </c>
      <c r="R296" s="2" t="inlineStr"/>
    </row>
    <row r="297" ht="15" customHeight="1">
      <c r="A297" t="inlineStr">
        <is>
          <t>A 32025-2024</t>
        </is>
      </c>
      <c r="B297" s="1" t="n">
        <v>45510.65754629629</v>
      </c>
      <c r="C297" s="1" t="n">
        <v>46083</v>
      </c>
      <c r="D297" t="inlineStr">
        <is>
          <t>ÖREBRO LÄN</t>
        </is>
      </c>
      <c r="E297" t="inlineStr">
        <is>
          <t>ÖREBRO</t>
        </is>
      </c>
      <c r="G297" t="n">
        <v>4</v>
      </c>
      <c r="H297" t="n">
        <v>0</v>
      </c>
      <c r="I297" t="n">
        <v>0</v>
      </c>
      <c r="J297" t="n">
        <v>0</v>
      </c>
      <c r="K297" t="n">
        <v>0</v>
      </c>
      <c r="L297" t="n">
        <v>0</v>
      </c>
      <c r="M297" t="n">
        <v>0</v>
      </c>
      <c r="N297" t="n">
        <v>0</v>
      </c>
      <c r="O297" t="n">
        <v>0</v>
      </c>
      <c r="P297" t="n">
        <v>0</v>
      </c>
      <c r="Q297" t="n">
        <v>0</v>
      </c>
      <c r="R297" s="2" t="inlineStr"/>
    </row>
    <row r="298" ht="15" customHeight="1">
      <c r="A298" t="inlineStr">
        <is>
          <t>A 13657-2025</t>
        </is>
      </c>
      <c r="B298" s="1" t="n">
        <v>45736.7427662037</v>
      </c>
      <c r="C298" s="1" t="n">
        <v>46083</v>
      </c>
      <c r="D298" t="inlineStr">
        <is>
          <t>ÖREBRO LÄN</t>
        </is>
      </c>
      <c r="E298" t="inlineStr">
        <is>
          <t>ÖREBRO</t>
        </is>
      </c>
      <c r="G298" t="n">
        <v>3.8</v>
      </c>
      <c r="H298" t="n">
        <v>0</v>
      </c>
      <c r="I298" t="n">
        <v>0</v>
      </c>
      <c r="J298" t="n">
        <v>0</v>
      </c>
      <c r="K298" t="n">
        <v>0</v>
      </c>
      <c r="L298" t="n">
        <v>0</v>
      </c>
      <c r="M298" t="n">
        <v>0</v>
      </c>
      <c r="N298" t="n">
        <v>0</v>
      </c>
      <c r="O298" t="n">
        <v>0</v>
      </c>
      <c r="P298" t="n">
        <v>0</v>
      </c>
      <c r="Q298" t="n">
        <v>0</v>
      </c>
      <c r="R298" s="2" t="inlineStr"/>
    </row>
    <row r="299" ht="15" customHeight="1">
      <c r="A299" t="inlineStr">
        <is>
          <t>A 57867-2024</t>
        </is>
      </c>
      <c r="B299" s="1" t="n">
        <v>45631.43864583333</v>
      </c>
      <c r="C299" s="1" t="n">
        <v>46083</v>
      </c>
      <c r="D299" t="inlineStr">
        <is>
          <t>ÖREBRO LÄN</t>
        </is>
      </c>
      <c r="E299" t="inlineStr">
        <is>
          <t>ÖREBRO</t>
        </is>
      </c>
      <c r="G299" t="n">
        <v>1.5</v>
      </c>
      <c r="H299" t="n">
        <v>0</v>
      </c>
      <c r="I299" t="n">
        <v>0</v>
      </c>
      <c r="J299" t="n">
        <v>0</v>
      </c>
      <c r="K299" t="n">
        <v>0</v>
      </c>
      <c r="L299" t="n">
        <v>0</v>
      </c>
      <c r="M299" t="n">
        <v>0</v>
      </c>
      <c r="N299" t="n">
        <v>0</v>
      </c>
      <c r="O299" t="n">
        <v>0</v>
      </c>
      <c r="P299" t="n">
        <v>0</v>
      </c>
      <c r="Q299" t="n">
        <v>0</v>
      </c>
      <c r="R299" s="2" t="inlineStr"/>
    </row>
    <row r="300" ht="15" customHeight="1">
      <c r="A300" t="inlineStr">
        <is>
          <t>A 29138-2022</t>
        </is>
      </c>
      <c r="B300" s="1" t="n">
        <v>44750</v>
      </c>
      <c r="C300" s="1" t="n">
        <v>46083</v>
      </c>
      <c r="D300" t="inlineStr">
        <is>
          <t>ÖREBRO LÄN</t>
        </is>
      </c>
      <c r="E300" t="inlineStr">
        <is>
          <t>ÖREBRO</t>
        </is>
      </c>
      <c r="G300" t="n">
        <v>3.3</v>
      </c>
      <c r="H300" t="n">
        <v>0</v>
      </c>
      <c r="I300" t="n">
        <v>0</v>
      </c>
      <c r="J300" t="n">
        <v>0</v>
      </c>
      <c r="K300" t="n">
        <v>0</v>
      </c>
      <c r="L300" t="n">
        <v>0</v>
      </c>
      <c r="M300" t="n">
        <v>0</v>
      </c>
      <c r="N300" t="n">
        <v>0</v>
      </c>
      <c r="O300" t="n">
        <v>0</v>
      </c>
      <c r="P300" t="n">
        <v>0</v>
      </c>
      <c r="Q300" t="n">
        <v>0</v>
      </c>
      <c r="R300" s="2" t="inlineStr"/>
    </row>
    <row r="301" ht="15" customHeight="1">
      <c r="A301" t="inlineStr">
        <is>
          <t>A 29143-2022</t>
        </is>
      </c>
      <c r="B301" s="1" t="n">
        <v>44750</v>
      </c>
      <c r="C301" s="1" t="n">
        <v>46083</v>
      </c>
      <c r="D301" t="inlineStr">
        <is>
          <t>ÖREBRO LÄN</t>
        </is>
      </c>
      <c r="E301" t="inlineStr">
        <is>
          <t>ÖREBRO</t>
        </is>
      </c>
      <c r="G301" t="n">
        <v>5.6</v>
      </c>
      <c r="H301" t="n">
        <v>0</v>
      </c>
      <c r="I301" t="n">
        <v>0</v>
      </c>
      <c r="J301" t="n">
        <v>0</v>
      </c>
      <c r="K301" t="n">
        <v>0</v>
      </c>
      <c r="L301" t="n">
        <v>0</v>
      </c>
      <c r="M301" t="n">
        <v>0</v>
      </c>
      <c r="N301" t="n">
        <v>0</v>
      </c>
      <c r="O301" t="n">
        <v>0</v>
      </c>
      <c r="P301" t="n">
        <v>0</v>
      </c>
      <c r="Q301" t="n">
        <v>0</v>
      </c>
      <c r="R301" s="2" t="inlineStr"/>
    </row>
    <row r="302" ht="15" customHeight="1">
      <c r="A302" t="inlineStr">
        <is>
          <t>A 21983-2021</t>
        </is>
      </c>
      <c r="B302" s="1" t="n">
        <v>44323</v>
      </c>
      <c r="C302" s="1" t="n">
        <v>46083</v>
      </c>
      <c r="D302" t="inlineStr">
        <is>
          <t>ÖREBRO LÄN</t>
        </is>
      </c>
      <c r="E302" t="inlineStr">
        <is>
          <t>ÖREBRO</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3120-2022</t>
        </is>
      </c>
      <c r="B303" s="1" t="n">
        <v>44582</v>
      </c>
      <c r="C303" s="1" t="n">
        <v>46083</v>
      </c>
      <c r="D303" t="inlineStr">
        <is>
          <t>ÖREBRO LÄN</t>
        </is>
      </c>
      <c r="E303" t="inlineStr">
        <is>
          <t>ÖREBRO</t>
        </is>
      </c>
      <c r="G303" t="n">
        <v>0.6</v>
      </c>
      <c r="H303" t="n">
        <v>0</v>
      </c>
      <c r="I303" t="n">
        <v>0</v>
      </c>
      <c r="J303" t="n">
        <v>0</v>
      </c>
      <c r="K303" t="n">
        <v>0</v>
      </c>
      <c r="L303" t="n">
        <v>0</v>
      </c>
      <c r="M303" t="n">
        <v>0</v>
      </c>
      <c r="N303" t="n">
        <v>0</v>
      </c>
      <c r="O303" t="n">
        <v>0</v>
      </c>
      <c r="P303" t="n">
        <v>0</v>
      </c>
      <c r="Q303" t="n">
        <v>0</v>
      </c>
      <c r="R303" s="2" t="inlineStr"/>
    </row>
    <row r="304" ht="15" customHeight="1">
      <c r="A304" t="inlineStr">
        <is>
          <t>A 58606-2024</t>
        </is>
      </c>
      <c r="B304" s="1" t="n">
        <v>45635.54747685185</v>
      </c>
      <c r="C304" s="1" t="n">
        <v>46083</v>
      </c>
      <c r="D304" t="inlineStr">
        <is>
          <t>ÖREBRO LÄN</t>
        </is>
      </c>
      <c r="E304" t="inlineStr">
        <is>
          <t>ÖREBRO</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26101-2022</t>
        </is>
      </c>
      <c r="B305" s="1" t="n">
        <v>44734</v>
      </c>
      <c r="C305" s="1" t="n">
        <v>46083</v>
      </c>
      <c r="D305" t="inlineStr">
        <is>
          <t>ÖREBRO LÄN</t>
        </is>
      </c>
      <c r="E305" t="inlineStr">
        <is>
          <t>ÖREBRO</t>
        </is>
      </c>
      <c r="G305" t="n">
        <v>15.8</v>
      </c>
      <c r="H305" t="n">
        <v>0</v>
      </c>
      <c r="I305" t="n">
        <v>0</v>
      </c>
      <c r="J305" t="n">
        <v>0</v>
      </c>
      <c r="K305" t="n">
        <v>0</v>
      </c>
      <c r="L305" t="n">
        <v>0</v>
      </c>
      <c r="M305" t="n">
        <v>0</v>
      </c>
      <c r="N305" t="n">
        <v>0</v>
      </c>
      <c r="O305" t="n">
        <v>0</v>
      </c>
      <c r="P305" t="n">
        <v>0</v>
      </c>
      <c r="Q305" t="n">
        <v>0</v>
      </c>
      <c r="R305" s="2" t="inlineStr"/>
    </row>
    <row r="306" ht="15" customHeight="1">
      <c r="A306" t="inlineStr">
        <is>
          <t>A 36448-2025</t>
        </is>
      </c>
      <c r="B306" s="1" t="n">
        <v>45869.41929398148</v>
      </c>
      <c r="C306" s="1" t="n">
        <v>46083</v>
      </c>
      <c r="D306" t="inlineStr">
        <is>
          <t>ÖREBRO LÄN</t>
        </is>
      </c>
      <c r="E306" t="inlineStr">
        <is>
          <t>ÖREBRO</t>
        </is>
      </c>
      <c r="F306" t="inlineStr">
        <is>
          <t>Övriga Aktiebolag</t>
        </is>
      </c>
      <c r="G306" t="n">
        <v>4.3</v>
      </c>
      <c r="H306" t="n">
        <v>0</v>
      </c>
      <c r="I306" t="n">
        <v>0</v>
      </c>
      <c r="J306" t="n">
        <v>0</v>
      </c>
      <c r="K306" t="n">
        <v>0</v>
      </c>
      <c r="L306" t="n">
        <v>0</v>
      </c>
      <c r="M306" t="n">
        <v>0</v>
      </c>
      <c r="N306" t="n">
        <v>0</v>
      </c>
      <c r="O306" t="n">
        <v>0</v>
      </c>
      <c r="P306" t="n">
        <v>0</v>
      </c>
      <c r="Q306" t="n">
        <v>0</v>
      </c>
      <c r="R306" s="2" t="inlineStr"/>
    </row>
    <row r="307" ht="15" customHeight="1">
      <c r="A307" t="inlineStr">
        <is>
          <t>A 36447-2025</t>
        </is>
      </c>
      <c r="B307" s="1" t="n">
        <v>45869.41387731482</v>
      </c>
      <c r="C307" s="1" t="n">
        <v>46083</v>
      </c>
      <c r="D307" t="inlineStr">
        <is>
          <t>ÖREBRO LÄN</t>
        </is>
      </c>
      <c r="E307" t="inlineStr">
        <is>
          <t>ÖREBRO</t>
        </is>
      </c>
      <c r="F307" t="inlineStr">
        <is>
          <t>Övriga Aktiebolag</t>
        </is>
      </c>
      <c r="G307" t="n">
        <v>12.6</v>
      </c>
      <c r="H307" t="n">
        <v>0</v>
      </c>
      <c r="I307" t="n">
        <v>0</v>
      </c>
      <c r="J307" t="n">
        <v>0</v>
      </c>
      <c r="K307" t="n">
        <v>0</v>
      </c>
      <c r="L307" t="n">
        <v>0</v>
      </c>
      <c r="M307" t="n">
        <v>0</v>
      </c>
      <c r="N307" t="n">
        <v>0</v>
      </c>
      <c r="O307" t="n">
        <v>0</v>
      </c>
      <c r="P307" t="n">
        <v>0</v>
      </c>
      <c r="Q307" t="n">
        <v>0</v>
      </c>
      <c r="R307" s="2" t="inlineStr"/>
    </row>
    <row r="308" ht="15" customHeight="1">
      <c r="A308" t="inlineStr">
        <is>
          <t>A 58486-2024</t>
        </is>
      </c>
      <c r="B308" s="1" t="n">
        <v>45635</v>
      </c>
      <c r="C308" s="1" t="n">
        <v>46083</v>
      </c>
      <c r="D308" t="inlineStr">
        <is>
          <t>ÖREBRO LÄN</t>
        </is>
      </c>
      <c r="E308" t="inlineStr">
        <is>
          <t>ÖREBRO</t>
        </is>
      </c>
      <c r="G308" t="n">
        <v>1.7</v>
      </c>
      <c r="H308" t="n">
        <v>0</v>
      </c>
      <c r="I308" t="n">
        <v>0</v>
      </c>
      <c r="J308" t="n">
        <v>0</v>
      </c>
      <c r="K308" t="n">
        <v>0</v>
      </c>
      <c r="L308" t="n">
        <v>0</v>
      </c>
      <c r="M308" t="n">
        <v>0</v>
      </c>
      <c r="N308" t="n">
        <v>0</v>
      </c>
      <c r="O308" t="n">
        <v>0</v>
      </c>
      <c r="P308" t="n">
        <v>0</v>
      </c>
      <c r="Q308" t="n">
        <v>0</v>
      </c>
      <c r="R308" s="2" t="inlineStr"/>
    </row>
    <row r="309" ht="15" customHeight="1">
      <c r="A309" t="inlineStr">
        <is>
          <t>A 14053-2025</t>
        </is>
      </c>
      <c r="B309" s="1" t="n">
        <v>45739</v>
      </c>
      <c r="C309" s="1" t="n">
        <v>46083</v>
      </c>
      <c r="D309" t="inlineStr">
        <is>
          <t>ÖREBRO LÄN</t>
        </is>
      </c>
      <c r="E309" t="inlineStr">
        <is>
          <t>ÖREBRO</t>
        </is>
      </c>
      <c r="G309" t="n">
        <v>3.5</v>
      </c>
      <c r="H309" t="n">
        <v>0</v>
      </c>
      <c r="I309" t="n">
        <v>0</v>
      </c>
      <c r="J309" t="n">
        <v>0</v>
      </c>
      <c r="K309" t="n">
        <v>0</v>
      </c>
      <c r="L309" t="n">
        <v>0</v>
      </c>
      <c r="M309" t="n">
        <v>0</v>
      </c>
      <c r="N309" t="n">
        <v>0</v>
      </c>
      <c r="O309" t="n">
        <v>0</v>
      </c>
      <c r="P309" t="n">
        <v>0</v>
      </c>
      <c r="Q309" t="n">
        <v>0</v>
      </c>
      <c r="R309" s="2" t="inlineStr"/>
    </row>
    <row r="310" ht="15" customHeight="1">
      <c r="A310" t="inlineStr">
        <is>
          <t>A 35345-2024</t>
        </is>
      </c>
      <c r="B310" s="1" t="n">
        <v>45530</v>
      </c>
      <c r="C310" s="1" t="n">
        <v>46083</v>
      </c>
      <c r="D310" t="inlineStr">
        <is>
          <t>ÖREBRO LÄN</t>
        </is>
      </c>
      <c r="E310" t="inlineStr">
        <is>
          <t>ÖREBRO</t>
        </is>
      </c>
      <c r="G310" t="n">
        <v>0.9</v>
      </c>
      <c r="H310" t="n">
        <v>0</v>
      </c>
      <c r="I310" t="n">
        <v>0</v>
      </c>
      <c r="J310" t="n">
        <v>0</v>
      </c>
      <c r="K310" t="n">
        <v>0</v>
      </c>
      <c r="L310" t="n">
        <v>0</v>
      </c>
      <c r="M310" t="n">
        <v>0</v>
      </c>
      <c r="N310" t="n">
        <v>0</v>
      </c>
      <c r="O310" t="n">
        <v>0</v>
      </c>
      <c r="P310" t="n">
        <v>0</v>
      </c>
      <c r="Q310" t="n">
        <v>0</v>
      </c>
      <c r="R310" s="2" t="inlineStr"/>
    </row>
    <row r="311" ht="15" customHeight="1">
      <c r="A311" t="inlineStr">
        <is>
          <t>A 123-2025</t>
        </is>
      </c>
      <c r="B311" s="1" t="n">
        <v>45659.54851851852</v>
      </c>
      <c r="C311" s="1" t="n">
        <v>46083</v>
      </c>
      <c r="D311" t="inlineStr">
        <is>
          <t>ÖREBRO LÄN</t>
        </is>
      </c>
      <c r="E311" t="inlineStr">
        <is>
          <t>ÖREBRO</t>
        </is>
      </c>
      <c r="G311" t="n">
        <v>1.6</v>
      </c>
      <c r="H311" t="n">
        <v>0</v>
      </c>
      <c r="I311" t="n">
        <v>0</v>
      </c>
      <c r="J311" t="n">
        <v>0</v>
      </c>
      <c r="K311" t="n">
        <v>0</v>
      </c>
      <c r="L311" t="n">
        <v>0</v>
      </c>
      <c r="M311" t="n">
        <v>0</v>
      </c>
      <c r="N311" t="n">
        <v>0</v>
      </c>
      <c r="O311" t="n">
        <v>0</v>
      </c>
      <c r="P311" t="n">
        <v>0</v>
      </c>
      <c r="Q311" t="n">
        <v>0</v>
      </c>
      <c r="R311" s="2" t="inlineStr"/>
    </row>
    <row r="312" ht="15" customHeight="1">
      <c r="A312" t="inlineStr">
        <is>
          <t>A 30472-2022</t>
        </is>
      </c>
      <c r="B312" s="1" t="n">
        <v>44761.70467592592</v>
      </c>
      <c r="C312" s="1" t="n">
        <v>46083</v>
      </c>
      <c r="D312" t="inlineStr">
        <is>
          <t>ÖREBRO LÄN</t>
        </is>
      </c>
      <c r="E312" t="inlineStr">
        <is>
          <t>ÖREBRO</t>
        </is>
      </c>
      <c r="F312" t="inlineStr">
        <is>
          <t>Övriga Aktiebolag</t>
        </is>
      </c>
      <c r="G312" t="n">
        <v>5.6</v>
      </c>
      <c r="H312" t="n">
        <v>0</v>
      </c>
      <c r="I312" t="n">
        <v>0</v>
      </c>
      <c r="J312" t="n">
        <v>0</v>
      </c>
      <c r="K312" t="n">
        <v>0</v>
      </c>
      <c r="L312" t="n">
        <v>0</v>
      </c>
      <c r="M312" t="n">
        <v>0</v>
      </c>
      <c r="N312" t="n">
        <v>0</v>
      </c>
      <c r="O312" t="n">
        <v>0</v>
      </c>
      <c r="P312" t="n">
        <v>0</v>
      </c>
      <c r="Q312" t="n">
        <v>0</v>
      </c>
      <c r="R312" s="2" t="inlineStr"/>
    </row>
    <row r="313" ht="15" customHeight="1">
      <c r="A313" t="inlineStr">
        <is>
          <t>A 6869-2025</t>
        </is>
      </c>
      <c r="B313" s="1" t="n">
        <v>45700</v>
      </c>
      <c r="C313" s="1" t="n">
        <v>46083</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57869-2024</t>
        </is>
      </c>
      <c r="B314" s="1" t="n">
        <v>45631.44207175926</v>
      </c>
      <c r="C314" s="1" t="n">
        <v>46083</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37277-2022</t>
        </is>
      </c>
      <c r="B315" s="1" t="n">
        <v>44807.49150462963</v>
      </c>
      <c r="C315" s="1" t="n">
        <v>46083</v>
      </c>
      <c r="D315" t="inlineStr">
        <is>
          <t>ÖREBRO LÄN</t>
        </is>
      </c>
      <c r="E315" t="inlineStr">
        <is>
          <t>ÖREBRO</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29554-2025</t>
        </is>
      </c>
      <c r="B316" s="1" t="n">
        <v>45825</v>
      </c>
      <c r="C316" s="1" t="n">
        <v>46083</v>
      </c>
      <c r="D316" t="inlineStr">
        <is>
          <t>ÖREBRO LÄN</t>
        </is>
      </c>
      <c r="E316" t="inlineStr">
        <is>
          <t>ÖREBRO</t>
        </is>
      </c>
      <c r="F316" t="inlineStr">
        <is>
          <t>Övriga Aktiebolag</t>
        </is>
      </c>
      <c r="G316" t="n">
        <v>1</v>
      </c>
      <c r="H316" t="n">
        <v>0</v>
      </c>
      <c r="I316" t="n">
        <v>0</v>
      </c>
      <c r="J316" t="n">
        <v>0</v>
      </c>
      <c r="K316" t="n">
        <v>0</v>
      </c>
      <c r="L316" t="n">
        <v>0</v>
      </c>
      <c r="M316" t="n">
        <v>0</v>
      </c>
      <c r="N316" t="n">
        <v>0</v>
      </c>
      <c r="O316" t="n">
        <v>0</v>
      </c>
      <c r="P316" t="n">
        <v>0</v>
      </c>
      <c r="Q316" t="n">
        <v>0</v>
      </c>
      <c r="R316" s="2" t="inlineStr"/>
    </row>
    <row r="317" ht="15" customHeight="1">
      <c r="A317" t="inlineStr">
        <is>
          <t>A 27956-2023</t>
        </is>
      </c>
      <c r="B317" s="1" t="n">
        <v>45098</v>
      </c>
      <c r="C317" s="1" t="n">
        <v>46083</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51331-2023</t>
        </is>
      </c>
      <c r="B318" s="1" t="n">
        <v>45219</v>
      </c>
      <c r="C318" s="1" t="n">
        <v>46083</v>
      </c>
      <c r="D318" t="inlineStr">
        <is>
          <t>ÖREBRO LÄN</t>
        </is>
      </c>
      <c r="E318" t="inlineStr">
        <is>
          <t>ÖREBRO</t>
        </is>
      </c>
      <c r="F318" t="inlineStr">
        <is>
          <t>Kommuner</t>
        </is>
      </c>
      <c r="G318" t="n">
        <v>1.3</v>
      </c>
      <c r="H318" t="n">
        <v>0</v>
      </c>
      <c r="I318" t="n">
        <v>0</v>
      </c>
      <c r="J318" t="n">
        <v>0</v>
      </c>
      <c r="K318" t="n">
        <v>0</v>
      </c>
      <c r="L318" t="n">
        <v>0</v>
      </c>
      <c r="M318" t="n">
        <v>0</v>
      </c>
      <c r="N318" t="n">
        <v>0</v>
      </c>
      <c r="O318" t="n">
        <v>0</v>
      </c>
      <c r="P318" t="n">
        <v>0</v>
      </c>
      <c r="Q318" t="n">
        <v>0</v>
      </c>
      <c r="R318" s="2" t="inlineStr"/>
    </row>
    <row r="319" ht="15" customHeight="1">
      <c r="A319" t="inlineStr">
        <is>
          <t>A 40588-2021</t>
        </is>
      </c>
      <c r="B319" s="1" t="n">
        <v>44420</v>
      </c>
      <c r="C319" s="1" t="n">
        <v>46083</v>
      </c>
      <c r="D319" t="inlineStr">
        <is>
          <t>ÖREBRO LÄN</t>
        </is>
      </c>
      <c r="E319" t="inlineStr">
        <is>
          <t>ÖREBRO</t>
        </is>
      </c>
      <c r="G319" t="n">
        <v>1.1</v>
      </c>
      <c r="H319" t="n">
        <v>0</v>
      </c>
      <c r="I319" t="n">
        <v>0</v>
      </c>
      <c r="J319" t="n">
        <v>0</v>
      </c>
      <c r="K319" t="n">
        <v>0</v>
      </c>
      <c r="L319" t="n">
        <v>0</v>
      </c>
      <c r="M319" t="n">
        <v>0</v>
      </c>
      <c r="N319" t="n">
        <v>0</v>
      </c>
      <c r="O319" t="n">
        <v>0</v>
      </c>
      <c r="P319" t="n">
        <v>0</v>
      </c>
      <c r="Q319" t="n">
        <v>0</v>
      </c>
      <c r="R319" s="2" t="inlineStr"/>
    </row>
    <row r="320" ht="15" customHeight="1">
      <c r="A320" t="inlineStr">
        <is>
          <t>A 40231-2022</t>
        </is>
      </c>
      <c r="B320" s="1" t="n">
        <v>44820</v>
      </c>
      <c r="C320" s="1" t="n">
        <v>46083</v>
      </c>
      <c r="D320" t="inlineStr">
        <is>
          <t>ÖREBRO LÄN</t>
        </is>
      </c>
      <c r="E320" t="inlineStr">
        <is>
          <t>ÖREBRO</t>
        </is>
      </c>
      <c r="F320" t="inlineStr">
        <is>
          <t>Allmännings- och besparingsskogar</t>
        </is>
      </c>
      <c r="G320" t="n">
        <v>2.2</v>
      </c>
      <c r="H320" t="n">
        <v>0</v>
      </c>
      <c r="I320" t="n">
        <v>0</v>
      </c>
      <c r="J320" t="n">
        <v>0</v>
      </c>
      <c r="K320" t="n">
        <v>0</v>
      </c>
      <c r="L320" t="n">
        <v>0</v>
      </c>
      <c r="M320" t="n">
        <v>0</v>
      </c>
      <c r="N320" t="n">
        <v>0</v>
      </c>
      <c r="O320" t="n">
        <v>0</v>
      </c>
      <c r="P320" t="n">
        <v>0</v>
      </c>
      <c r="Q320" t="n">
        <v>0</v>
      </c>
      <c r="R320" s="2" t="inlineStr"/>
    </row>
    <row r="321" ht="15" customHeight="1">
      <c r="A321" t="inlineStr">
        <is>
          <t>A 4284-2025</t>
        </is>
      </c>
      <c r="B321" s="1" t="n">
        <v>45685</v>
      </c>
      <c r="C321" s="1" t="n">
        <v>46083</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25443-2021</t>
        </is>
      </c>
      <c r="B322" s="1" t="n">
        <v>44342</v>
      </c>
      <c r="C322" s="1" t="n">
        <v>46083</v>
      </c>
      <c r="D322" t="inlineStr">
        <is>
          <t>ÖREBRO LÄN</t>
        </is>
      </c>
      <c r="E322" t="inlineStr">
        <is>
          <t>ÖREBRO</t>
        </is>
      </c>
      <c r="G322" t="n">
        <v>1</v>
      </c>
      <c r="H322" t="n">
        <v>0</v>
      </c>
      <c r="I322" t="n">
        <v>0</v>
      </c>
      <c r="J322" t="n">
        <v>0</v>
      </c>
      <c r="K322" t="n">
        <v>0</v>
      </c>
      <c r="L322" t="n">
        <v>0</v>
      </c>
      <c r="M322" t="n">
        <v>0</v>
      </c>
      <c r="N322" t="n">
        <v>0</v>
      </c>
      <c r="O322" t="n">
        <v>0</v>
      </c>
      <c r="P322" t="n">
        <v>0</v>
      </c>
      <c r="Q322" t="n">
        <v>0</v>
      </c>
      <c r="R322" s="2" t="inlineStr"/>
    </row>
    <row r="323" ht="15" customHeight="1">
      <c r="A323" t="inlineStr">
        <is>
          <t>A 11663-2024</t>
        </is>
      </c>
      <c r="B323" s="1" t="n">
        <v>45373</v>
      </c>
      <c r="C323" s="1" t="n">
        <v>46083</v>
      </c>
      <c r="D323" t="inlineStr">
        <is>
          <t>ÖREBRO LÄN</t>
        </is>
      </c>
      <c r="E323" t="inlineStr">
        <is>
          <t>ÖREBRO</t>
        </is>
      </c>
      <c r="G323" t="n">
        <v>1</v>
      </c>
      <c r="H323" t="n">
        <v>0</v>
      </c>
      <c r="I323" t="n">
        <v>0</v>
      </c>
      <c r="J323" t="n">
        <v>0</v>
      </c>
      <c r="K323" t="n">
        <v>0</v>
      </c>
      <c r="L323" t="n">
        <v>0</v>
      </c>
      <c r="M323" t="n">
        <v>0</v>
      </c>
      <c r="N323" t="n">
        <v>0</v>
      </c>
      <c r="O323" t="n">
        <v>0</v>
      </c>
      <c r="P323" t="n">
        <v>0</v>
      </c>
      <c r="Q323" t="n">
        <v>0</v>
      </c>
      <c r="R323" s="2" t="inlineStr"/>
    </row>
    <row r="324" ht="15" customHeight="1">
      <c r="A324" t="inlineStr">
        <is>
          <t>A 48454-2025</t>
        </is>
      </c>
      <c r="B324" s="1" t="n">
        <v>45935.80164351852</v>
      </c>
      <c r="C324" s="1" t="n">
        <v>46083</v>
      </c>
      <c r="D324" t="inlineStr">
        <is>
          <t>ÖREBRO LÄN</t>
        </is>
      </c>
      <c r="E324" t="inlineStr">
        <is>
          <t>ÖREBRO</t>
        </is>
      </c>
      <c r="F324" t="inlineStr">
        <is>
          <t>Övriga Aktiebolag</t>
        </is>
      </c>
      <c r="G324" t="n">
        <v>18.1</v>
      </c>
      <c r="H324" t="n">
        <v>0</v>
      </c>
      <c r="I324" t="n">
        <v>0</v>
      </c>
      <c r="J324" t="n">
        <v>0</v>
      </c>
      <c r="K324" t="n">
        <v>0</v>
      </c>
      <c r="L324" t="n">
        <v>0</v>
      </c>
      <c r="M324" t="n">
        <v>0</v>
      </c>
      <c r="N324" t="n">
        <v>0</v>
      </c>
      <c r="O324" t="n">
        <v>0</v>
      </c>
      <c r="P324" t="n">
        <v>0</v>
      </c>
      <c r="Q324" t="n">
        <v>0</v>
      </c>
      <c r="R324" s="2" t="inlineStr"/>
    </row>
    <row r="325" ht="15" customHeight="1">
      <c r="A325" t="inlineStr">
        <is>
          <t>A 42623-2022</t>
        </is>
      </c>
      <c r="B325" s="1" t="n">
        <v>44831</v>
      </c>
      <c r="C325" s="1" t="n">
        <v>46083</v>
      </c>
      <c r="D325" t="inlineStr">
        <is>
          <t>ÖREBRO LÄN</t>
        </is>
      </c>
      <c r="E325" t="inlineStr">
        <is>
          <t>ÖREBRO</t>
        </is>
      </c>
      <c r="G325" t="n">
        <v>3.6</v>
      </c>
      <c r="H325" t="n">
        <v>0</v>
      </c>
      <c r="I325" t="n">
        <v>0</v>
      </c>
      <c r="J325" t="n">
        <v>0</v>
      </c>
      <c r="K325" t="n">
        <v>0</v>
      </c>
      <c r="L325" t="n">
        <v>0</v>
      </c>
      <c r="M325" t="n">
        <v>0</v>
      </c>
      <c r="N325" t="n">
        <v>0</v>
      </c>
      <c r="O325" t="n">
        <v>0</v>
      </c>
      <c r="P325" t="n">
        <v>0</v>
      </c>
      <c r="Q325" t="n">
        <v>0</v>
      </c>
      <c r="R325" s="2" t="inlineStr"/>
    </row>
    <row r="326" ht="15" customHeight="1">
      <c r="A326" t="inlineStr">
        <is>
          <t>A 3763-2025</t>
        </is>
      </c>
      <c r="B326" s="1" t="n">
        <v>45681</v>
      </c>
      <c r="C326" s="1" t="n">
        <v>46083</v>
      </c>
      <c r="D326" t="inlineStr">
        <is>
          <t>ÖREBRO LÄN</t>
        </is>
      </c>
      <c r="E326" t="inlineStr">
        <is>
          <t>ÖREBRO</t>
        </is>
      </c>
      <c r="G326" t="n">
        <v>10.1</v>
      </c>
      <c r="H326" t="n">
        <v>0</v>
      </c>
      <c r="I326" t="n">
        <v>0</v>
      </c>
      <c r="J326" t="n">
        <v>0</v>
      </c>
      <c r="K326" t="n">
        <v>0</v>
      </c>
      <c r="L326" t="n">
        <v>0</v>
      </c>
      <c r="M326" t="n">
        <v>0</v>
      </c>
      <c r="N326" t="n">
        <v>0</v>
      </c>
      <c r="O326" t="n">
        <v>0</v>
      </c>
      <c r="P326" t="n">
        <v>0</v>
      </c>
      <c r="Q326" t="n">
        <v>0</v>
      </c>
      <c r="R326" s="2" t="inlineStr"/>
    </row>
    <row r="327" ht="15" customHeight="1">
      <c r="A327" t="inlineStr">
        <is>
          <t>A 10829-2023</t>
        </is>
      </c>
      <c r="B327" s="1" t="n">
        <v>44990.88512731482</v>
      </c>
      <c r="C327" s="1" t="n">
        <v>46083</v>
      </c>
      <c r="D327" t="inlineStr">
        <is>
          <t>ÖREBRO LÄN</t>
        </is>
      </c>
      <c r="E327" t="inlineStr">
        <is>
          <t>ÖREBRO</t>
        </is>
      </c>
      <c r="G327" t="n">
        <v>4.4</v>
      </c>
      <c r="H327" t="n">
        <v>0</v>
      </c>
      <c r="I327" t="n">
        <v>0</v>
      </c>
      <c r="J327" t="n">
        <v>0</v>
      </c>
      <c r="K327" t="n">
        <v>0</v>
      </c>
      <c r="L327" t="n">
        <v>0</v>
      </c>
      <c r="M327" t="n">
        <v>0</v>
      </c>
      <c r="N327" t="n">
        <v>0</v>
      </c>
      <c r="O327" t="n">
        <v>0</v>
      </c>
      <c r="P327" t="n">
        <v>0</v>
      </c>
      <c r="Q327" t="n">
        <v>0</v>
      </c>
      <c r="R327" s="2" t="inlineStr"/>
    </row>
    <row r="328" ht="15" customHeight="1">
      <c r="A328" t="inlineStr">
        <is>
          <t>A 10831-2023</t>
        </is>
      </c>
      <c r="B328" s="1" t="n">
        <v>44990.90357638889</v>
      </c>
      <c r="C328" s="1" t="n">
        <v>46083</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16165-2023</t>
        </is>
      </c>
      <c r="B329" s="1" t="n">
        <v>45027</v>
      </c>
      <c r="C329" s="1" t="n">
        <v>46083</v>
      </c>
      <c r="D329" t="inlineStr">
        <is>
          <t>ÖREBRO LÄN</t>
        </is>
      </c>
      <c r="E329" t="inlineStr">
        <is>
          <t>ÖREBRO</t>
        </is>
      </c>
      <c r="G329" t="n">
        <v>11</v>
      </c>
      <c r="H329" t="n">
        <v>0</v>
      </c>
      <c r="I329" t="n">
        <v>0</v>
      </c>
      <c r="J329" t="n">
        <v>0</v>
      </c>
      <c r="K329" t="n">
        <v>0</v>
      </c>
      <c r="L329" t="n">
        <v>0</v>
      </c>
      <c r="M329" t="n">
        <v>0</v>
      </c>
      <c r="N329" t="n">
        <v>0</v>
      </c>
      <c r="O329" t="n">
        <v>0</v>
      </c>
      <c r="P329" t="n">
        <v>0</v>
      </c>
      <c r="Q329" t="n">
        <v>0</v>
      </c>
      <c r="R329" s="2" t="inlineStr"/>
    </row>
    <row r="330" ht="15" customHeight="1">
      <c r="A330" t="inlineStr">
        <is>
          <t>A 57247-2022</t>
        </is>
      </c>
      <c r="B330" s="1" t="n">
        <v>44895.73065972222</v>
      </c>
      <c r="C330" s="1" t="n">
        <v>46083</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38057-2025</t>
        </is>
      </c>
      <c r="B331" s="1" t="n">
        <v>45882.42570601852</v>
      </c>
      <c r="C331" s="1" t="n">
        <v>46083</v>
      </c>
      <c r="D331" t="inlineStr">
        <is>
          <t>ÖREBRO LÄN</t>
        </is>
      </c>
      <c r="E331" t="inlineStr">
        <is>
          <t>ÖREBRO</t>
        </is>
      </c>
      <c r="G331" t="n">
        <v>3</v>
      </c>
      <c r="H331" t="n">
        <v>0</v>
      </c>
      <c r="I331" t="n">
        <v>0</v>
      </c>
      <c r="J331" t="n">
        <v>0</v>
      </c>
      <c r="K331" t="n">
        <v>0</v>
      </c>
      <c r="L331" t="n">
        <v>0</v>
      </c>
      <c r="M331" t="n">
        <v>0</v>
      </c>
      <c r="N331" t="n">
        <v>0</v>
      </c>
      <c r="O331" t="n">
        <v>0</v>
      </c>
      <c r="P331" t="n">
        <v>0</v>
      </c>
      <c r="Q331" t="n">
        <v>0</v>
      </c>
      <c r="R331" s="2" t="inlineStr"/>
    </row>
    <row r="332" ht="15" customHeight="1">
      <c r="A332" t="inlineStr">
        <is>
          <t>A 46757-2021</t>
        </is>
      </c>
      <c r="B332" s="1" t="n">
        <v>44445</v>
      </c>
      <c r="C332" s="1" t="n">
        <v>46083</v>
      </c>
      <c r="D332" t="inlineStr">
        <is>
          <t>ÖREBRO LÄN</t>
        </is>
      </c>
      <c r="E332" t="inlineStr">
        <is>
          <t>ÖREBRO</t>
        </is>
      </c>
      <c r="G332" t="n">
        <v>5.6</v>
      </c>
      <c r="H332" t="n">
        <v>0</v>
      </c>
      <c r="I332" t="n">
        <v>0</v>
      </c>
      <c r="J332" t="n">
        <v>0</v>
      </c>
      <c r="K332" t="n">
        <v>0</v>
      </c>
      <c r="L332" t="n">
        <v>0</v>
      </c>
      <c r="M332" t="n">
        <v>0</v>
      </c>
      <c r="N332" t="n">
        <v>0</v>
      </c>
      <c r="O332" t="n">
        <v>0</v>
      </c>
      <c r="P332" t="n">
        <v>0</v>
      </c>
      <c r="Q332" t="n">
        <v>0</v>
      </c>
      <c r="R332" s="2" t="inlineStr"/>
    </row>
    <row r="333" ht="15" customHeight="1">
      <c r="A333" t="inlineStr">
        <is>
          <t>A 30374-2023</t>
        </is>
      </c>
      <c r="B333" s="1" t="n">
        <v>45111</v>
      </c>
      <c r="C333" s="1" t="n">
        <v>46083</v>
      </c>
      <c r="D333" t="inlineStr">
        <is>
          <t>ÖREBRO LÄN</t>
        </is>
      </c>
      <c r="E333" t="inlineStr">
        <is>
          <t>ÖREBRO</t>
        </is>
      </c>
      <c r="F333" t="inlineStr">
        <is>
          <t>Övriga Aktiebolag</t>
        </is>
      </c>
      <c r="G333" t="n">
        <v>2.3</v>
      </c>
      <c r="H333" t="n">
        <v>0</v>
      </c>
      <c r="I333" t="n">
        <v>0</v>
      </c>
      <c r="J333" t="n">
        <v>0</v>
      </c>
      <c r="K333" t="n">
        <v>0</v>
      </c>
      <c r="L333" t="n">
        <v>0</v>
      </c>
      <c r="M333" t="n">
        <v>0</v>
      </c>
      <c r="N333" t="n">
        <v>0</v>
      </c>
      <c r="O333" t="n">
        <v>0</v>
      </c>
      <c r="P333" t="n">
        <v>0</v>
      </c>
      <c r="Q333" t="n">
        <v>0</v>
      </c>
      <c r="R333" s="2" t="inlineStr"/>
    </row>
    <row r="334" ht="15" customHeight="1">
      <c r="A334" t="inlineStr">
        <is>
          <t>A 50311-2025</t>
        </is>
      </c>
      <c r="B334" s="1" t="n">
        <v>45944</v>
      </c>
      <c r="C334" s="1" t="n">
        <v>46083</v>
      </c>
      <c r="D334" t="inlineStr">
        <is>
          <t>ÖREBRO LÄN</t>
        </is>
      </c>
      <c r="E334" t="inlineStr">
        <is>
          <t>ÖREBRO</t>
        </is>
      </c>
      <c r="G334" t="n">
        <v>1.7</v>
      </c>
      <c r="H334" t="n">
        <v>0</v>
      </c>
      <c r="I334" t="n">
        <v>0</v>
      </c>
      <c r="J334" t="n">
        <v>0</v>
      </c>
      <c r="K334" t="n">
        <v>0</v>
      </c>
      <c r="L334" t="n">
        <v>0</v>
      </c>
      <c r="M334" t="n">
        <v>0</v>
      </c>
      <c r="N334" t="n">
        <v>0</v>
      </c>
      <c r="O334" t="n">
        <v>0</v>
      </c>
      <c r="P334" t="n">
        <v>0</v>
      </c>
      <c r="Q334" t="n">
        <v>0</v>
      </c>
      <c r="R334" s="2" t="inlineStr"/>
    </row>
    <row r="335" ht="15" customHeight="1">
      <c r="A335" t="inlineStr">
        <is>
          <t>A 54678-2023</t>
        </is>
      </c>
      <c r="B335" s="1" t="n">
        <v>45235</v>
      </c>
      <c r="C335" s="1" t="n">
        <v>46083</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51249-2025</t>
        </is>
      </c>
      <c r="B336" s="1" t="n">
        <v>45948.45704861111</v>
      </c>
      <c r="C336" s="1" t="n">
        <v>46083</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58219-2024</t>
        </is>
      </c>
      <c r="B337" s="1" t="n">
        <v>45632</v>
      </c>
      <c r="C337" s="1" t="n">
        <v>46083</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51248-2025</t>
        </is>
      </c>
      <c r="B338" s="1" t="n">
        <v>45948.450625</v>
      </c>
      <c r="C338" s="1" t="n">
        <v>46083</v>
      </c>
      <c r="D338" t="inlineStr">
        <is>
          <t>ÖREBRO LÄN</t>
        </is>
      </c>
      <c r="E338" t="inlineStr">
        <is>
          <t>ÖREBRO</t>
        </is>
      </c>
      <c r="G338" t="n">
        <v>4.4</v>
      </c>
      <c r="H338" t="n">
        <v>0</v>
      </c>
      <c r="I338" t="n">
        <v>0</v>
      </c>
      <c r="J338" t="n">
        <v>0</v>
      </c>
      <c r="K338" t="n">
        <v>0</v>
      </c>
      <c r="L338" t="n">
        <v>0</v>
      </c>
      <c r="M338" t="n">
        <v>0</v>
      </c>
      <c r="N338" t="n">
        <v>0</v>
      </c>
      <c r="O338" t="n">
        <v>0</v>
      </c>
      <c r="P338" t="n">
        <v>0</v>
      </c>
      <c r="Q338" t="n">
        <v>0</v>
      </c>
      <c r="R338" s="2" t="inlineStr"/>
    </row>
    <row r="339" ht="15" customHeight="1">
      <c r="A339" t="inlineStr">
        <is>
          <t>A 42518-2021</t>
        </is>
      </c>
      <c r="B339" s="1" t="n">
        <v>44427.81496527778</v>
      </c>
      <c r="C339" s="1" t="n">
        <v>46083</v>
      </c>
      <c r="D339" t="inlineStr">
        <is>
          <t>ÖREBRO LÄN</t>
        </is>
      </c>
      <c r="E339" t="inlineStr">
        <is>
          <t>ÖREBRO</t>
        </is>
      </c>
      <c r="G339" t="n">
        <v>4.5</v>
      </c>
      <c r="H339" t="n">
        <v>0</v>
      </c>
      <c r="I339" t="n">
        <v>0</v>
      </c>
      <c r="J339" t="n">
        <v>0</v>
      </c>
      <c r="K339" t="n">
        <v>0</v>
      </c>
      <c r="L339" t="n">
        <v>0</v>
      </c>
      <c r="M339" t="n">
        <v>0</v>
      </c>
      <c r="N339" t="n">
        <v>0</v>
      </c>
      <c r="O339" t="n">
        <v>0</v>
      </c>
      <c r="P339" t="n">
        <v>0</v>
      </c>
      <c r="Q339" t="n">
        <v>0</v>
      </c>
      <c r="R339" s="2" t="inlineStr"/>
    </row>
    <row r="340" ht="15" customHeight="1">
      <c r="A340" t="inlineStr">
        <is>
          <t>A 14545-2023</t>
        </is>
      </c>
      <c r="B340" s="1" t="n">
        <v>45013.34895833334</v>
      </c>
      <c r="C340" s="1" t="n">
        <v>46083</v>
      </c>
      <c r="D340" t="inlineStr">
        <is>
          <t>ÖREBRO LÄN</t>
        </is>
      </c>
      <c r="E340" t="inlineStr">
        <is>
          <t>ÖREBRO</t>
        </is>
      </c>
      <c r="G340" t="n">
        <v>2.5</v>
      </c>
      <c r="H340" t="n">
        <v>0</v>
      </c>
      <c r="I340" t="n">
        <v>0</v>
      </c>
      <c r="J340" t="n">
        <v>0</v>
      </c>
      <c r="K340" t="n">
        <v>0</v>
      </c>
      <c r="L340" t="n">
        <v>0</v>
      </c>
      <c r="M340" t="n">
        <v>0</v>
      </c>
      <c r="N340" t="n">
        <v>0</v>
      </c>
      <c r="O340" t="n">
        <v>0</v>
      </c>
      <c r="P340" t="n">
        <v>0</v>
      </c>
      <c r="Q340" t="n">
        <v>0</v>
      </c>
      <c r="R340" s="2" t="inlineStr"/>
    </row>
    <row r="341" ht="15" customHeight="1">
      <c r="A341" t="inlineStr">
        <is>
          <t>A 27112-2023</t>
        </is>
      </c>
      <c r="B341" s="1" t="n">
        <v>45096</v>
      </c>
      <c r="C341" s="1" t="n">
        <v>46083</v>
      </c>
      <c r="D341" t="inlineStr">
        <is>
          <t>ÖREBRO LÄN</t>
        </is>
      </c>
      <c r="E341" t="inlineStr">
        <is>
          <t>ÖREBRO</t>
        </is>
      </c>
      <c r="G341" t="n">
        <v>0.7</v>
      </c>
      <c r="H341" t="n">
        <v>0</v>
      </c>
      <c r="I341" t="n">
        <v>0</v>
      </c>
      <c r="J341" t="n">
        <v>0</v>
      </c>
      <c r="K341" t="n">
        <v>0</v>
      </c>
      <c r="L341" t="n">
        <v>0</v>
      </c>
      <c r="M341" t="n">
        <v>0</v>
      </c>
      <c r="N341" t="n">
        <v>0</v>
      </c>
      <c r="O341" t="n">
        <v>0</v>
      </c>
      <c r="P341" t="n">
        <v>0</v>
      </c>
      <c r="Q341" t="n">
        <v>0</v>
      </c>
      <c r="R341" s="2" t="inlineStr"/>
    </row>
    <row r="342" ht="15" customHeight="1">
      <c r="A342" t="inlineStr">
        <is>
          <t>A 14524-2025</t>
        </is>
      </c>
      <c r="B342" s="1" t="n">
        <v>45741.64815972222</v>
      </c>
      <c r="C342" s="1" t="n">
        <v>46083</v>
      </c>
      <c r="D342" t="inlineStr">
        <is>
          <t>ÖREBRO LÄN</t>
        </is>
      </c>
      <c r="E342" t="inlineStr">
        <is>
          <t>ÖREBRO</t>
        </is>
      </c>
      <c r="G342" t="n">
        <v>2.8</v>
      </c>
      <c r="H342" t="n">
        <v>0</v>
      </c>
      <c r="I342" t="n">
        <v>0</v>
      </c>
      <c r="J342" t="n">
        <v>0</v>
      </c>
      <c r="K342" t="n">
        <v>0</v>
      </c>
      <c r="L342" t="n">
        <v>0</v>
      </c>
      <c r="M342" t="n">
        <v>0</v>
      </c>
      <c r="N342" t="n">
        <v>0</v>
      </c>
      <c r="O342" t="n">
        <v>0</v>
      </c>
      <c r="P342" t="n">
        <v>0</v>
      </c>
      <c r="Q342" t="n">
        <v>0</v>
      </c>
      <c r="R342" s="2" t="inlineStr"/>
    </row>
    <row r="343" ht="15" customHeight="1">
      <c r="A343" t="inlineStr">
        <is>
          <t>A 46834-2022</t>
        </is>
      </c>
      <c r="B343" s="1" t="n">
        <v>44851</v>
      </c>
      <c r="C343" s="1" t="n">
        <v>46083</v>
      </c>
      <c r="D343" t="inlineStr">
        <is>
          <t>ÖREBRO LÄN</t>
        </is>
      </c>
      <c r="E343" t="inlineStr">
        <is>
          <t>ÖREBRO</t>
        </is>
      </c>
      <c r="G343" t="n">
        <v>1.6</v>
      </c>
      <c r="H343" t="n">
        <v>0</v>
      </c>
      <c r="I343" t="n">
        <v>0</v>
      </c>
      <c r="J343" t="n">
        <v>0</v>
      </c>
      <c r="K343" t="n">
        <v>0</v>
      </c>
      <c r="L343" t="n">
        <v>0</v>
      </c>
      <c r="M343" t="n">
        <v>0</v>
      </c>
      <c r="N343" t="n">
        <v>0</v>
      </c>
      <c r="O343" t="n">
        <v>0</v>
      </c>
      <c r="P343" t="n">
        <v>0</v>
      </c>
      <c r="Q343" t="n">
        <v>0</v>
      </c>
      <c r="R343" s="2" t="inlineStr"/>
    </row>
    <row r="344" ht="15" customHeight="1">
      <c r="A344" t="inlineStr">
        <is>
          <t>A 57638-2022</t>
        </is>
      </c>
      <c r="B344" s="1" t="n">
        <v>44897</v>
      </c>
      <c r="C344" s="1" t="n">
        <v>46083</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51925-2025</t>
        </is>
      </c>
      <c r="B345" s="1" t="n">
        <v>45952.49476851852</v>
      </c>
      <c r="C345" s="1" t="n">
        <v>46083</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51923-2025</t>
        </is>
      </c>
      <c r="B346" s="1" t="n">
        <v>45952.49300925926</v>
      </c>
      <c r="C346" s="1" t="n">
        <v>46083</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51937-2025</t>
        </is>
      </c>
      <c r="B347" s="1" t="n">
        <v>45952.51270833334</v>
      </c>
      <c r="C347" s="1" t="n">
        <v>46083</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2152-2023</t>
        </is>
      </c>
      <c r="B348" s="1" t="n">
        <v>44941.55056712963</v>
      </c>
      <c r="C348" s="1" t="n">
        <v>46083</v>
      </c>
      <c r="D348" t="inlineStr">
        <is>
          <t>ÖREBRO LÄN</t>
        </is>
      </c>
      <c r="E348" t="inlineStr">
        <is>
          <t>ÖREBRO</t>
        </is>
      </c>
      <c r="G348" t="n">
        <v>8</v>
      </c>
      <c r="H348" t="n">
        <v>0</v>
      </c>
      <c r="I348" t="n">
        <v>0</v>
      </c>
      <c r="J348" t="n">
        <v>0</v>
      </c>
      <c r="K348" t="n">
        <v>0</v>
      </c>
      <c r="L348" t="n">
        <v>0</v>
      </c>
      <c r="M348" t="n">
        <v>0</v>
      </c>
      <c r="N348" t="n">
        <v>0</v>
      </c>
      <c r="O348" t="n">
        <v>0</v>
      </c>
      <c r="P348" t="n">
        <v>0</v>
      </c>
      <c r="Q348" t="n">
        <v>0</v>
      </c>
      <c r="R348" s="2" t="inlineStr"/>
    </row>
    <row r="349" ht="15" customHeight="1">
      <c r="A349" t="inlineStr">
        <is>
          <t>A 55745-2023</t>
        </is>
      </c>
      <c r="B349" s="1" t="n">
        <v>45239.44811342593</v>
      </c>
      <c r="C349" s="1" t="n">
        <v>46083</v>
      </c>
      <c r="D349" t="inlineStr">
        <is>
          <t>ÖREBRO LÄN</t>
        </is>
      </c>
      <c r="E349" t="inlineStr">
        <is>
          <t>ÖREBRO</t>
        </is>
      </c>
      <c r="G349" t="n">
        <v>13.3</v>
      </c>
      <c r="H349" t="n">
        <v>0</v>
      </c>
      <c r="I349" t="n">
        <v>0</v>
      </c>
      <c r="J349" t="n">
        <v>0</v>
      </c>
      <c r="K349" t="n">
        <v>0</v>
      </c>
      <c r="L349" t="n">
        <v>0</v>
      </c>
      <c r="M349" t="n">
        <v>0</v>
      </c>
      <c r="N349" t="n">
        <v>0</v>
      </c>
      <c r="O349" t="n">
        <v>0</v>
      </c>
      <c r="P349" t="n">
        <v>0</v>
      </c>
      <c r="Q349" t="n">
        <v>0</v>
      </c>
      <c r="R349" s="2" t="inlineStr"/>
    </row>
    <row r="350" ht="15" customHeight="1">
      <c r="A350" t="inlineStr">
        <is>
          <t>A 52135-2025</t>
        </is>
      </c>
      <c r="B350" s="1" t="n">
        <v>45952.84231481481</v>
      </c>
      <c r="C350" s="1" t="n">
        <v>46083</v>
      </c>
      <c r="D350" t="inlineStr">
        <is>
          <t>ÖREBRO LÄN</t>
        </is>
      </c>
      <c r="E350" t="inlineStr">
        <is>
          <t>ÖREBRO</t>
        </is>
      </c>
      <c r="G350" t="n">
        <v>4</v>
      </c>
      <c r="H350" t="n">
        <v>0</v>
      </c>
      <c r="I350" t="n">
        <v>0</v>
      </c>
      <c r="J350" t="n">
        <v>0</v>
      </c>
      <c r="K350" t="n">
        <v>0</v>
      </c>
      <c r="L350" t="n">
        <v>0</v>
      </c>
      <c r="M350" t="n">
        <v>0</v>
      </c>
      <c r="N350" t="n">
        <v>0</v>
      </c>
      <c r="O350" t="n">
        <v>0</v>
      </c>
      <c r="P350" t="n">
        <v>0</v>
      </c>
      <c r="Q350" t="n">
        <v>0</v>
      </c>
      <c r="R350" s="2" t="inlineStr"/>
    </row>
    <row r="351" ht="15" customHeight="1">
      <c r="A351" t="inlineStr">
        <is>
          <t>A 71285-2021</t>
        </is>
      </c>
      <c r="B351" s="1" t="n">
        <v>44539.62236111111</v>
      </c>
      <c r="C351" s="1" t="n">
        <v>46083</v>
      </c>
      <c r="D351" t="inlineStr">
        <is>
          <t>ÖREBRO LÄN</t>
        </is>
      </c>
      <c r="E351" t="inlineStr">
        <is>
          <t>ÖREBRO</t>
        </is>
      </c>
      <c r="G351" t="n">
        <v>0.8</v>
      </c>
      <c r="H351" t="n">
        <v>0</v>
      </c>
      <c r="I351" t="n">
        <v>0</v>
      </c>
      <c r="J351" t="n">
        <v>0</v>
      </c>
      <c r="K351" t="n">
        <v>0</v>
      </c>
      <c r="L351" t="n">
        <v>0</v>
      </c>
      <c r="M351" t="n">
        <v>0</v>
      </c>
      <c r="N351" t="n">
        <v>0</v>
      </c>
      <c r="O351" t="n">
        <v>0</v>
      </c>
      <c r="P351" t="n">
        <v>0</v>
      </c>
      <c r="Q351" t="n">
        <v>0</v>
      </c>
      <c r="R351" s="2" t="inlineStr"/>
    </row>
    <row r="352" ht="15" customHeight="1">
      <c r="A352" t="inlineStr">
        <is>
          <t>A 30743-2025</t>
        </is>
      </c>
      <c r="B352" s="1" t="n">
        <v>45831</v>
      </c>
      <c r="C352" s="1" t="n">
        <v>46083</v>
      </c>
      <c r="D352" t="inlineStr">
        <is>
          <t>ÖREBRO LÄN</t>
        </is>
      </c>
      <c r="E352" t="inlineStr">
        <is>
          <t>ÖREBRO</t>
        </is>
      </c>
      <c r="G352" t="n">
        <v>2.9</v>
      </c>
      <c r="H352" t="n">
        <v>0</v>
      </c>
      <c r="I352" t="n">
        <v>0</v>
      </c>
      <c r="J352" t="n">
        <v>0</v>
      </c>
      <c r="K352" t="n">
        <v>0</v>
      </c>
      <c r="L352" t="n">
        <v>0</v>
      </c>
      <c r="M352" t="n">
        <v>0</v>
      </c>
      <c r="N352" t="n">
        <v>0</v>
      </c>
      <c r="O352" t="n">
        <v>0</v>
      </c>
      <c r="P352" t="n">
        <v>0</v>
      </c>
      <c r="Q352" t="n">
        <v>0</v>
      </c>
      <c r="R352" s="2" t="inlineStr"/>
    </row>
    <row r="353" ht="15" customHeight="1">
      <c r="A353" t="inlineStr">
        <is>
          <t>A 60289-2023</t>
        </is>
      </c>
      <c r="B353" s="1" t="n">
        <v>45257</v>
      </c>
      <c r="C353" s="1" t="n">
        <v>46083</v>
      </c>
      <c r="D353" t="inlineStr">
        <is>
          <t>ÖREBRO LÄN</t>
        </is>
      </c>
      <c r="E353" t="inlineStr">
        <is>
          <t>ÖREBRO</t>
        </is>
      </c>
      <c r="G353" t="n">
        <v>10.9</v>
      </c>
      <c r="H353" t="n">
        <v>0</v>
      </c>
      <c r="I353" t="n">
        <v>0</v>
      </c>
      <c r="J353" t="n">
        <v>0</v>
      </c>
      <c r="K353" t="n">
        <v>0</v>
      </c>
      <c r="L353" t="n">
        <v>0</v>
      </c>
      <c r="M353" t="n">
        <v>0</v>
      </c>
      <c r="N353" t="n">
        <v>0</v>
      </c>
      <c r="O353" t="n">
        <v>0</v>
      </c>
      <c r="P353" t="n">
        <v>0</v>
      </c>
      <c r="Q353" t="n">
        <v>0</v>
      </c>
      <c r="R353" s="2" t="inlineStr"/>
    </row>
    <row r="354" ht="15" customHeight="1">
      <c r="A354" t="inlineStr">
        <is>
          <t>A 52382-2025</t>
        </is>
      </c>
      <c r="B354" s="1" t="n">
        <v>45953.9559837963</v>
      </c>
      <c r="C354" s="1" t="n">
        <v>46083</v>
      </c>
      <c r="D354" t="inlineStr">
        <is>
          <t>ÖREBRO LÄN</t>
        </is>
      </c>
      <c r="E354" t="inlineStr">
        <is>
          <t>ÖREBRO</t>
        </is>
      </c>
      <c r="F354" t="inlineStr">
        <is>
          <t>Sveaskog</t>
        </is>
      </c>
      <c r="G354" t="n">
        <v>3.4</v>
      </c>
      <c r="H354" t="n">
        <v>0</v>
      </c>
      <c r="I354" t="n">
        <v>0</v>
      </c>
      <c r="J354" t="n">
        <v>0</v>
      </c>
      <c r="K354" t="n">
        <v>0</v>
      </c>
      <c r="L354" t="n">
        <v>0</v>
      </c>
      <c r="M354" t="n">
        <v>0</v>
      </c>
      <c r="N354" t="n">
        <v>0</v>
      </c>
      <c r="O354" t="n">
        <v>0</v>
      </c>
      <c r="P354" t="n">
        <v>0</v>
      </c>
      <c r="Q354" t="n">
        <v>0</v>
      </c>
      <c r="R354" s="2" t="inlineStr"/>
    </row>
    <row r="355" ht="15" customHeight="1">
      <c r="A355" t="inlineStr">
        <is>
          <t>A 12099-2023</t>
        </is>
      </c>
      <c r="B355" s="1" t="n">
        <v>44998.37043981482</v>
      </c>
      <c r="C355" s="1" t="n">
        <v>46083</v>
      </c>
      <c r="D355" t="inlineStr">
        <is>
          <t>ÖREBRO LÄN</t>
        </is>
      </c>
      <c r="E355" t="inlineStr">
        <is>
          <t>ÖREBRO</t>
        </is>
      </c>
      <c r="G355" t="n">
        <v>0.9</v>
      </c>
      <c r="H355" t="n">
        <v>0</v>
      </c>
      <c r="I355" t="n">
        <v>0</v>
      </c>
      <c r="J355" t="n">
        <v>0</v>
      </c>
      <c r="K355" t="n">
        <v>0</v>
      </c>
      <c r="L355" t="n">
        <v>0</v>
      </c>
      <c r="M355" t="n">
        <v>0</v>
      </c>
      <c r="N355" t="n">
        <v>0</v>
      </c>
      <c r="O355" t="n">
        <v>0</v>
      </c>
      <c r="P355" t="n">
        <v>0</v>
      </c>
      <c r="Q355" t="n">
        <v>0</v>
      </c>
      <c r="R355" s="2" t="inlineStr"/>
    </row>
    <row r="356" ht="15" customHeight="1">
      <c r="A356" t="inlineStr">
        <is>
          <t>A 58277-2022</t>
        </is>
      </c>
      <c r="B356" s="1" t="n">
        <v>44901.48108796297</v>
      </c>
      <c r="C356" s="1" t="n">
        <v>46083</v>
      </c>
      <c r="D356" t="inlineStr">
        <is>
          <t>ÖREBRO LÄN</t>
        </is>
      </c>
      <c r="E356" t="inlineStr">
        <is>
          <t>ÖREBRO</t>
        </is>
      </c>
      <c r="G356" t="n">
        <v>1.8</v>
      </c>
      <c r="H356" t="n">
        <v>0</v>
      </c>
      <c r="I356" t="n">
        <v>0</v>
      </c>
      <c r="J356" t="n">
        <v>0</v>
      </c>
      <c r="K356" t="n">
        <v>0</v>
      </c>
      <c r="L356" t="n">
        <v>0</v>
      </c>
      <c r="M356" t="n">
        <v>0</v>
      </c>
      <c r="N356" t="n">
        <v>0</v>
      </c>
      <c r="O356" t="n">
        <v>0</v>
      </c>
      <c r="P356" t="n">
        <v>0</v>
      </c>
      <c r="Q356" t="n">
        <v>0</v>
      </c>
      <c r="R356" s="2" t="inlineStr"/>
    </row>
    <row r="357" ht="15" customHeight="1">
      <c r="A357" t="inlineStr">
        <is>
          <t>A 53350-2025</t>
        </is>
      </c>
      <c r="B357" s="1" t="n">
        <v>45959.43827546296</v>
      </c>
      <c r="C357" s="1" t="n">
        <v>46083</v>
      </c>
      <c r="D357" t="inlineStr">
        <is>
          <t>ÖREBRO LÄN</t>
        </is>
      </c>
      <c r="E357" t="inlineStr">
        <is>
          <t>ÖREBRO</t>
        </is>
      </c>
      <c r="G357" t="n">
        <v>4.1</v>
      </c>
      <c r="H357" t="n">
        <v>0</v>
      </c>
      <c r="I357" t="n">
        <v>0</v>
      </c>
      <c r="J357" t="n">
        <v>0</v>
      </c>
      <c r="K357" t="n">
        <v>0</v>
      </c>
      <c r="L357" t="n">
        <v>0</v>
      </c>
      <c r="M357" t="n">
        <v>0</v>
      </c>
      <c r="N357" t="n">
        <v>0</v>
      </c>
      <c r="O357" t="n">
        <v>0</v>
      </c>
      <c r="P357" t="n">
        <v>0</v>
      </c>
      <c r="Q357" t="n">
        <v>0</v>
      </c>
      <c r="R357" s="2" t="inlineStr"/>
    </row>
    <row r="358" ht="15" customHeight="1">
      <c r="A358" t="inlineStr">
        <is>
          <t>A 53715-2025</t>
        </is>
      </c>
      <c r="B358" s="1" t="n">
        <v>45960.61763888889</v>
      </c>
      <c r="C358" s="1" t="n">
        <v>46083</v>
      </c>
      <c r="D358" t="inlineStr">
        <is>
          <t>ÖREBRO LÄN</t>
        </is>
      </c>
      <c r="E358" t="inlineStr">
        <is>
          <t>ÖREBRO</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53719-2025</t>
        </is>
      </c>
      <c r="B359" s="1" t="n">
        <v>45960.62042824074</v>
      </c>
      <c r="C359" s="1" t="n">
        <v>46083</v>
      </c>
      <c r="D359" t="inlineStr">
        <is>
          <t>ÖREBRO LÄN</t>
        </is>
      </c>
      <c r="E359" t="inlineStr">
        <is>
          <t>ÖREBRO</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53343-2025</t>
        </is>
      </c>
      <c r="B360" s="1" t="n">
        <v>45959.42025462963</v>
      </c>
      <c r="C360" s="1" t="n">
        <v>46083</v>
      </c>
      <c r="D360" t="inlineStr">
        <is>
          <t>ÖREBRO LÄN</t>
        </is>
      </c>
      <c r="E360" t="inlineStr">
        <is>
          <t>ÖREBRO</t>
        </is>
      </c>
      <c r="G360" t="n">
        <v>0.5</v>
      </c>
      <c r="H360" t="n">
        <v>0</v>
      </c>
      <c r="I360" t="n">
        <v>0</v>
      </c>
      <c r="J360" t="n">
        <v>0</v>
      </c>
      <c r="K360" t="n">
        <v>0</v>
      </c>
      <c r="L360" t="n">
        <v>0</v>
      </c>
      <c r="M360" t="n">
        <v>0</v>
      </c>
      <c r="N360" t="n">
        <v>0</v>
      </c>
      <c r="O360" t="n">
        <v>0</v>
      </c>
      <c r="P360" t="n">
        <v>0</v>
      </c>
      <c r="Q360" t="n">
        <v>0</v>
      </c>
      <c r="R360" s="2" t="inlineStr"/>
    </row>
    <row r="361" ht="15" customHeight="1">
      <c r="A361" t="inlineStr">
        <is>
          <t>A 31906-2023</t>
        </is>
      </c>
      <c r="B361" s="1" t="n">
        <v>45118.8353125</v>
      </c>
      <c r="C361" s="1" t="n">
        <v>46083</v>
      </c>
      <c r="D361" t="inlineStr">
        <is>
          <t>ÖREBRO LÄN</t>
        </is>
      </c>
      <c r="E361" t="inlineStr">
        <is>
          <t>ÖREBRO</t>
        </is>
      </c>
      <c r="G361" t="n">
        <v>9</v>
      </c>
      <c r="H361" t="n">
        <v>0</v>
      </c>
      <c r="I361" t="n">
        <v>0</v>
      </c>
      <c r="J361" t="n">
        <v>0</v>
      </c>
      <c r="K361" t="n">
        <v>0</v>
      </c>
      <c r="L361" t="n">
        <v>0</v>
      </c>
      <c r="M361" t="n">
        <v>0</v>
      </c>
      <c r="N361" t="n">
        <v>0</v>
      </c>
      <c r="O361" t="n">
        <v>0</v>
      </c>
      <c r="P361" t="n">
        <v>0</v>
      </c>
      <c r="Q361" t="n">
        <v>0</v>
      </c>
      <c r="R361" s="2" t="inlineStr"/>
    </row>
    <row r="362" ht="15" customHeight="1">
      <c r="A362" t="inlineStr">
        <is>
          <t>A 53437-2025</t>
        </is>
      </c>
      <c r="B362" s="1" t="n">
        <v>45959.63440972222</v>
      </c>
      <c r="C362" s="1" t="n">
        <v>46083</v>
      </c>
      <c r="D362" t="inlineStr">
        <is>
          <t>ÖREBRO LÄN</t>
        </is>
      </c>
      <c r="E362" t="inlineStr">
        <is>
          <t>ÖREBRO</t>
        </is>
      </c>
      <c r="G362" t="n">
        <v>1</v>
      </c>
      <c r="H362" t="n">
        <v>0</v>
      </c>
      <c r="I362" t="n">
        <v>0</v>
      </c>
      <c r="J362" t="n">
        <v>0</v>
      </c>
      <c r="K362" t="n">
        <v>0</v>
      </c>
      <c r="L362" t="n">
        <v>0</v>
      </c>
      <c r="M362" t="n">
        <v>0</v>
      </c>
      <c r="N362" t="n">
        <v>0</v>
      </c>
      <c r="O362" t="n">
        <v>0</v>
      </c>
      <c r="P362" t="n">
        <v>0</v>
      </c>
      <c r="Q362" t="n">
        <v>0</v>
      </c>
      <c r="R362" s="2" t="inlineStr"/>
    </row>
    <row r="363" ht="15" customHeight="1">
      <c r="A363" t="inlineStr">
        <is>
          <t>A 53342-2025</t>
        </is>
      </c>
      <c r="B363" s="1" t="n">
        <v>45959.41769675926</v>
      </c>
      <c r="C363" s="1" t="n">
        <v>46083</v>
      </c>
      <c r="D363" t="inlineStr">
        <is>
          <t>ÖREBRO LÄN</t>
        </is>
      </c>
      <c r="E363" t="inlineStr">
        <is>
          <t>ÖREBRO</t>
        </is>
      </c>
      <c r="G363" t="n">
        <v>4.1</v>
      </c>
      <c r="H363" t="n">
        <v>0</v>
      </c>
      <c r="I363" t="n">
        <v>0</v>
      </c>
      <c r="J363" t="n">
        <v>0</v>
      </c>
      <c r="K363" t="n">
        <v>0</v>
      </c>
      <c r="L363" t="n">
        <v>0</v>
      </c>
      <c r="M363" t="n">
        <v>0</v>
      </c>
      <c r="N363" t="n">
        <v>0</v>
      </c>
      <c r="O363" t="n">
        <v>0</v>
      </c>
      <c r="P363" t="n">
        <v>0</v>
      </c>
      <c r="Q363" t="n">
        <v>0</v>
      </c>
      <c r="R363" s="2" t="inlineStr"/>
    </row>
    <row r="364" ht="15" customHeight="1">
      <c r="A364" t="inlineStr">
        <is>
          <t>A 53443-2025</t>
        </is>
      </c>
      <c r="B364" s="1" t="n">
        <v>45959.6444675926</v>
      </c>
      <c r="C364" s="1" t="n">
        <v>46083</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10937-2024</t>
        </is>
      </c>
      <c r="B365" s="1" t="n">
        <v>45370.44461805555</v>
      </c>
      <c r="C365" s="1" t="n">
        <v>46083</v>
      </c>
      <c r="D365" t="inlineStr">
        <is>
          <t>ÖREBRO LÄN</t>
        </is>
      </c>
      <c r="E365" t="inlineStr">
        <is>
          <t>ÖREBRO</t>
        </is>
      </c>
      <c r="G365" t="n">
        <v>4.3</v>
      </c>
      <c r="H365" t="n">
        <v>0</v>
      </c>
      <c r="I365" t="n">
        <v>0</v>
      </c>
      <c r="J365" t="n">
        <v>0</v>
      </c>
      <c r="K365" t="n">
        <v>0</v>
      </c>
      <c r="L365" t="n">
        <v>0</v>
      </c>
      <c r="M365" t="n">
        <v>0</v>
      </c>
      <c r="N365" t="n">
        <v>0</v>
      </c>
      <c r="O365" t="n">
        <v>0</v>
      </c>
      <c r="P365" t="n">
        <v>0</v>
      </c>
      <c r="Q365" t="n">
        <v>0</v>
      </c>
      <c r="R365" s="2" t="inlineStr"/>
    </row>
    <row r="366" ht="15" customHeight="1">
      <c r="A366" t="inlineStr">
        <is>
          <t>A 22079-2023</t>
        </is>
      </c>
      <c r="B366" s="1" t="n">
        <v>45069</v>
      </c>
      <c r="C366" s="1" t="n">
        <v>46083</v>
      </c>
      <c r="D366" t="inlineStr">
        <is>
          <t>ÖREBRO LÄN</t>
        </is>
      </c>
      <c r="E366" t="inlineStr">
        <is>
          <t>ÖREBRO</t>
        </is>
      </c>
      <c r="G366" t="n">
        <v>1.3</v>
      </c>
      <c r="H366" t="n">
        <v>0</v>
      </c>
      <c r="I366" t="n">
        <v>0</v>
      </c>
      <c r="J366" t="n">
        <v>0</v>
      </c>
      <c r="K366" t="n">
        <v>0</v>
      </c>
      <c r="L366" t="n">
        <v>0</v>
      </c>
      <c r="M366" t="n">
        <v>0</v>
      </c>
      <c r="N366" t="n">
        <v>0</v>
      </c>
      <c r="O366" t="n">
        <v>0</v>
      </c>
      <c r="P366" t="n">
        <v>0</v>
      </c>
      <c r="Q366" t="n">
        <v>0</v>
      </c>
      <c r="R366" s="2" t="inlineStr"/>
    </row>
    <row r="367" ht="15" customHeight="1">
      <c r="A367" t="inlineStr">
        <is>
          <t>A 52447-2024</t>
        </is>
      </c>
      <c r="B367" s="1" t="n">
        <v>45609.49157407408</v>
      </c>
      <c r="C367" s="1" t="n">
        <v>46083</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54205-2025</t>
        </is>
      </c>
      <c r="B368" s="1" t="n">
        <v>45964.58512731481</v>
      </c>
      <c r="C368" s="1" t="n">
        <v>46083</v>
      </c>
      <c r="D368" t="inlineStr">
        <is>
          <t>ÖREBRO LÄN</t>
        </is>
      </c>
      <c r="E368" t="inlineStr">
        <is>
          <t>ÖREBRO</t>
        </is>
      </c>
      <c r="G368" t="n">
        <v>24.3</v>
      </c>
      <c r="H368" t="n">
        <v>0</v>
      </c>
      <c r="I368" t="n">
        <v>0</v>
      </c>
      <c r="J368" t="n">
        <v>0</v>
      </c>
      <c r="K368" t="n">
        <v>0</v>
      </c>
      <c r="L368" t="n">
        <v>0</v>
      </c>
      <c r="M368" t="n">
        <v>0</v>
      </c>
      <c r="N368" t="n">
        <v>0</v>
      </c>
      <c r="O368" t="n">
        <v>0</v>
      </c>
      <c r="P368" t="n">
        <v>0</v>
      </c>
      <c r="Q368" t="n">
        <v>0</v>
      </c>
      <c r="R368" s="2" t="inlineStr"/>
    </row>
    <row r="369" ht="15" customHeight="1">
      <c r="A369" t="inlineStr">
        <is>
          <t>A 3841-2023</t>
        </is>
      </c>
      <c r="B369" s="1" t="n">
        <v>44951</v>
      </c>
      <c r="C369" s="1" t="n">
        <v>46083</v>
      </c>
      <c r="D369" t="inlineStr">
        <is>
          <t>ÖREBRO LÄN</t>
        </is>
      </c>
      <c r="E369" t="inlineStr">
        <is>
          <t>ÖREBRO</t>
        </is>
      </c>
      <c r="G369" t="n">
        <v>4.3</v>
      </c>
      <c r="H369" t="n">
        <v>0</v>
      </c>
      <c r="I369" t="n">
        <v>0</v>
      </c>
      <c r="J369" t="n">
        <v>0</v>
      </c>
      <c r="K369" t="n">
        <v>0</v>
      </c>
      <c r="L369" t="n">
        <v>0</v>
      </c>
      <c r="M369" t="n">
        <v>0</v>
      </c>
      <c r="N369" t="n">
        <v>0</v>
      </c>
      <c r="O369" t="n">
        <v>0</v>
      </c>
      <c r="P369" t="n">
        <v>0</v>
      </c>
      <c r="Q369" t="n">
        <v>0</v>
      </c>
      <c r="R369" s="2" t="inlineStr"/>
    </row>
    <row r="370" ht="15" customHeight="1">
      <c r="A370" t="inlineStr">
        <is>
          <t>A 54485-2025</t>
        </is>
      </c>
      <c r="B370" s="1" t="n">
        <v>45965.59295138889</v>
      </c>
      <c r="C370" s="1" t="n">
        <v>46083</v>
      </c>
      <c r="D370" t="inlineStr">
        <is>
          <t>ÖREBRO LÄN</t>
        </is>
      </c>
      <c r="E370" t="inlineStr">
        <is>
          <t>ÖREBRO</t>
        </is>
      </c>
      <c r="F370" t="inlineStr">
        <is>
          <t>Allmännings- och besparingsskogar</t>
        </is>
      </c>
      <c r="G370" t="n">
        <v>1.7</v>
      </c>
      <c r="H370" t="n">
        <v>0</v>
      </c>
      <c r="I370" t="n">
        <v>0</v>
      </c>
      <c r="J370" t="n">
        <v>0</v>
      </c>
      <c r="K370" t="n">
        <v>0</v>
      </c>
      <c r="L370" t="n">
        <v>0</v>
      </c>
      <c r="M370" t="n">
        <v>0</v>
      </c>
      <c r="N370" t="n">
        <v>0</v>
      </c>
      <c r="O370" t="n">
        <v>0</v>
      </c>
      <c r="P370" t="n">
        <v>0</v>
      </c>
      <c r="Q370" t="n">
        <v>0</v>
      </c>
      <c r="R370" s="2" t="inlineStr"/>
    </row>
    <row r="371" ht="15" customHeight="1">
      <c r="A371" t="inlineStr">
        <is>
          <t>A 38489-2023</t>
        </is>
      </c>
      <c r="B371" s="1" t="n">
        <v>45162</v>
      </c>
      <c r="C371" s="1" t="n">
        <v>46083</v>
      </c>
      <c r="D371" t="inlineStr">
        <is>
          <t>ÖREBRO LÄN</t>
        </is>
      </c>
      <c r="E371" t="inlineStr">
        <is>
          <t>ÖREBRO</t>
        </is>
      </c>
      <c r="G371" t="n">
        <v>1.8</v>
      </c>
      <c r="H371" t="n">
        <v>0</v>
      </c>
      <c r="I371" t="n">
        <v>0</v>
      </c>
      <c r="J371" t="n">
        <v>0</v>
      </c>
      <c r="K371" t="n">
        <v>0</v>
      </c>
      <c r="L371" t="n">
        <v>0</v>
      </c>
      <c r="M371" t="n">
        <v>0</v>
      </c>
      <c r="N371" t="n">
        <v>0</v>
      </c>
      <c r="O371" t="n">
        <v>0</v>
      </c>
      <c r="P371" t="n">
        <v>0</v>
      </c>
      <c r="Q371" t="n">
        <v>0</v>
      </c>
      <c r="R371" s="2" t="inlineStr"/>
    </row>
    <row r="372" ht="15" customHeight="1">
      <c r="A372" t="inlineStr">
        <is>
          <t>A 70719-2021</t>
        </is>
      </c>
      <c r="B372" s="1" t="n">
        <v>44537</v>
      </c>
      <c r="C372" s="1" t="n">
        <v>46083</v>
      </c>
      <c r="D372" t="inlineStr">
        <is>
          <t>ÖREBRO LÄN</t>
        </is>
      </c>
      <c r="E372" t="inlineStr">
        <is>
          <t>ÖREBRO</t>
        </is>
      </c>
      <c r="G372" t="n">
        <v>4.3</v>
      </c>
      <c r="H372" t="n">
        <v>0</v>
      </c>
      <c r="I372" t="n">
        <v>0</v>
      </c>
      <c r="J372" t="n">
        <v>0</v>
      </c>
      <c r="K372" t="n">
        <v>0</v>
      </c>
      <c r="L372" t="n">
        <v>0</v>
      </c>
      <c r="M372" t="n">
        <v>0</v>
      </c>
      <c r="N372" t="n">
        <v>0</v>
      </c>
      <c r="O372" t="n">
        <v>0</v>
      </c>
      <c r="P372" t="n">
        <v>0</v>
      </c>
      <c r="Q372" t="n">
        <v>0</v>
      </c>
      <c r="R372" s="2" t="inlineStr"/>
    </row>
    <row r="373" ht="15" customHeight="1">
      <c r="A373" t="inlineStr">
        <is>
          <t>A 38573-2023</t>
        </is>
      </c>
      <c r="B373" s="1" t="n">
        <v>45162.61837962963</v>
      </c>
      <c r="C373" s="1" t="n">
        <v>46083</v>
      </c>
      <c r="D373" t="inlineStr">
        <is>
          <t>ÖREBRO LÄN</t>
        </is>
      </c>
      <c r="E373" t="inlineStr">
        <is>
          <t>ÖREBRO</t>
        </is>
      </c>
      <c r="G373" t="n">
        <v>2.2</v>
      </c>
      <c r="H373" t="n">
        <v>0</v>
      </c>
      <c r="I373" t="n">
        <v>0</v>
      </c>
      <c r="J373" t="n">
        <v>0</v>
      </c>
      <c r="K373" t="n">
        <v>0</v>
      </c>
      <c r="L373" t="n">
        <v>0</v>
      </c>
      <c r="M373" t="n">
        <v>0</v>
      </c>
      <c r="N373" t="n">
        <v>0</v>
      </c>
      <c r="O373" t="n">
        <v>0</v>
      </c>
      <c r="P373" t="n">
        <v>0</v>
      </c>
      <c r="Q373" t="n">
        <v>0</v>
      </c>
      <c r="R373" s="2" t="inlineStr"/>
    </row>
    <row r="374" ht="15" customHeight="1">
      <c r="A374" t="inlineStr">
        <is>
          <t>A 4757-2024</t>
        </is>
      </c>
      <c r="B374" s="1" t="n">
        <v>45328</v>
      </c>
      <c r="C374" s="1" t="n">
        <v>46083</v>
      </c>
      <c r="D374" t="inlineStr">
        <is>
          <t>ÖREBRO LÄN</t>
        </is>
      </c>
      <c r="E374" t="inlineStr">
        <is>
          <t>ÖREBRO</t>
        </is>
      </c>
      <c r="G374" t="n">
        <v>1.9</v>
      </c>
      <c r="H374" t="n">
        <v>0</v>
      </c>
      <c r="I374" t="n">
        <v>0</v>
      </c>
      <c r="J374" t="n">
        <v>0</v>
      </c>
      <c r="K374" t="n">
        <v>0</v>
      </c>
      <c r="L374" t="n">
        <v>0</v>
      </c>
      <c r="M374" t="n">
        <v>0</v>
      </c>
      <c r="N374" t="n">
        <v>0</v>
      </c>
      <c r="O374" t="n">
        <v>0</v>
      </c>
      <c r="P374" t="n">
        <v>0</v>
      </c>
      <c r="Q374" t="n">
        <v>0</v>
      </c>
      <c r="R374" s="2" t="inlineStr"/>
    </row>
    <row r="375" ht="15" customHeight="1">
      <c r="A375" t="inlineStr">
        <is>
          <t>A 48140-2024</t>
        </is>
      </c>
      <c r="B375" s="1" t="n">
        <v>45589.66474537037</v>
      </c>
      <c r="C375" s="1" t="n">
        <v>46083</v>
      </c>
      <c r="D375" t="inlineStr">
        <is>
          <t>ÖREBRO LÄN</t>
        </is>
      </c>
      <c r="E375" t="inlineStr">
        <is>
          <t>ÖREBRO</t>
        </is>
      </c>
      <c r="G375" t="n">
        <v>2.4</v>
      </c>
      <c r="H375" t="n">
        <v>0</v>
      </c>
      <c r="I375" t="n">
        <v>0</v>
      </c>
      <c r="J375" t="n">
        <v>0</v>
      </c>
      <c r="K375" t="n">
        <v>0</v>
      </c>
      <c r="L375" t="n">
        <v>0</v>
      </c>
      <c r="M375" t="n">
        <v>0</v>
      </c>
      <c r="N375" t="n">
        <v>0</v>
      </c>
      <c r="O375" t="n">
        <v>0</v>
      </c>
      <c r="P375" t="n">
        <v>0</v>
      </c>
      <c r="Q375" t="n">
        <v>0</v>
      </c>
      <c r="R375" s="2" t="inlineStr"/>
    </row>
    <row r="376" ht="15" customHeight="1">
      <c r="A376" t="inlineStr">
        <is>
          <t>A 2658-2023</t>
        </is>
      </c>
      <c r="B376" s="1" t="n">
        <v>44944</v>
      </c>
      <c r="C376" s="1" t="n">
        <v>46083</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11565-2023</t>
        </is>
      </c>
      <c r="B377" s="1" t="n">
        <v>44994</v>
      </c>
      <c r="C377" s="1" t="n">
        <v>46083</v>
      </c>
      <c r="D377" t="inlineStr">
        <is>
          <t>ÖREBRO LÄN</t>
        </is>
      </c>
      <c r="E377" t="inlineStr">
        <is>
          <t>ÖREBRO</t>
        </is>
      </c>
      <c r="G377" t="n">
        <v>4.7</v>
      </c>
      <c r="H377" t="n">
        <v>0</v>
      </c>
      <c r="I377" t="n">
        <v>0</v>
      </c>
      <c r="J377" t="n">
        <v>0</v>
      </c>
      <c r="K377" t="n">
        <v>0</v>
      </c>
      <c r="L377" t="n">
        <v>0</v>
      </c>
      <c r="M377" t="n">
        <v>0</v>
      </c>
      <c r="N377" t="n">
        <v>0</v>
      </c>
      <c r="O377" t="n">
        <v>0</v>
      </c>
      <c r="P377" t="n">
        <v>0</v>
      </c>
      <c r="Q377" t="n">
        <v>0</v>
      </c>
      <c r="R377" s="2" t="inlineStr"/>
    </row>
    <row r="378" ht="15" customHeight="1">
      <c r="A378" t="inlineStr">
        <is>
          <t>A 16736-2023</t>
        </is>
      </c>
      <c r="B378" s="1" t="n">
        <v>45030.72328703704</v>
      </c>
      <c r="C378" s="1" t="n">
        <v>46083</v>
      </c>
      <c r="D378" t="inlineStr">
        <is>
          <t>ÖREBRO LÄN</t>
        </is>
      </c>
      <c r="E378" t="inlineStr">
        <is>
          <t>ÖREBRO</t>
        </is>
      </c>
      <c r="G378" t="n">
        <v>4</v>
      </c>
      <c r="H378" t="n">
        <v>0</v>
      </c>
      <c r="I378" t="n">
        <v>0</v>
      </c>
      <c r="J378" t="n">
        <v>0</v>
      </c>
      <c r="K378" t="n">
        <v>0</v>
      </c>
      <c r="L378" t="n">
        <v>0</v>
      </c>
      <c r="M378" t="n">
        <v>0</v>
      </c>
      <c r="N378" t="n">
        <v>0</v>
      </c>
      <c r="O378" t="n">
        <v>0</v>
      </c>
      <c r="P378" t="n">
        <v>0</v>
      </c>
      <c r="Q378" t="n">
        <v>0</v>
      </c>
      <c r="R378" s="2" t="inlineStr"/>
    </row>
    <row r="379" ht="15" customHeight="1">
      <c r="A379" t="inlineStr">
        <is>
          <t>A 2630-2023</t>
        </is>
      </c>
      <c r="B379" s="1" t="n">
        <v>44944.39105324074</v>
      </c>
      <c r="C379" s="1" t="n">
        <v>46083</v>
      </c>
      <c r="D379" t="inlineStr">
        <is>
          <t>ÖREBRO LÄN</t>
        </is>
      </c>
      <c r="E379" t="inlineStr">
        <is>
          <t>ÖREBRO</t>
        </is>
      </c>
      <c r="G379" t="n">
        <v>6.1</v>
      </c>
      <c r="H379" t="n">
        <v>0</v>
      </c>
      <c r="I379" t="n">
        <v>0</v>
      </c>
      <c r="J379" t="n">
        <v>0</v>
      </c>
      <c r="K379" t="n">
        <v>0</v>
      </c>
      <c r="L379" t="n">
        <v>0</v>
      </c>
      <c r="M379" t="n">
        <v>0</v>
      </c>
      <c r="N379" t="n">
        <v>0</v>
      </c>
      <c r="O379" t="n">
        <v>0</v>
      </c>
      <c r="P379" t="n">
        <v>0</v>
      </c>
      <c r="Q379" t="n">
        <v>0</v>
      </c>
      <c r="R379" s="2" t="inlineStr"/>
    </row>
    <row r="380" ht="15" customHeight="1">
      <c r="A380" t="inlineStr">
        <is>
          <t>A 55748-2025</t>
        </is>
      </c>
      <c r="B380" s="1" t="n">
        <v>45972.57893518519</v>
      </c>
      <c r="C380" s="1" t="n">
        <v>46083</v>
      </c>
      <c r="D380" t="inlineStr">
        <is>
          <t>ÖREBRO LÄN</t>
        </is>
      </c>
      <c r="E380" t="inlineStr">
        <is>
          <t>ÖREBRO</t>
        </is>
      </c>
      <c r="G380" t="n">
        <v>1.5</v>
      </c>
      <c r="H380" t="n">
        <v>0</v>
      </c>
      <c r="I380" t="n">
        <v>0</v>
      </c>
      <c r="J380" t="n">
        <v>0</v>
      </c>
      <c r="K380" t="n">
        <v>0</v>
      </c>
      <c r="L380" t="n">
        <v>0</v>
      </c>
      <c r="M380" t="n">
        <v>0</v>
      </c>
      <c r="N380" t="n">
        <v>0</v>
      </c>
      <c r="O380" t="n">
        <v>0</v>
      </c>
      <c r="P380" t="n">
        <v>0</v>
      </c>
      <c r="Q380" t="n">
        <v>0</v>
      </c>
      <c r="R380" s="2" t="inlineStr"/>
    </row>
    <row r="381" ht="15" customHeight="1">
      <c r="A381" t="inlineStr">
        <is>
          <t>A 55750-2025</t>
        </is>
      </c>
      <c r="B381" s="1" t="n">
        <v>45972.58171296296</v>
      </c>
      <c r="C381" s="1" t="n">
        <v>46083</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30015-2023</t>
        </is>
      </c>
      <c r="B382" s="1" t="n">
        <v>45109</v>
      </c>
      <c r="C382" s="1" t="n">
        <v>46083</v>
      </c>
      <c r="D382" t="inlineStr">
        <is>
          <t>ÖREBRO LÄN</t>
        </is>
      </c>
      <c r="E382" t="inlineStr">
        <is>
          <t>ÖREBRO</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37968-2024</t>
        </is>
      </c>
      <c r="B383" s="1" t="n">
        <v>45544</v>
      </c>
      <c r="C383" s="1" t="n">
        <v>46083</v>
      </c>
      <c r="D383" t="inlineStr">
        <is>
          <t>ÖREBRO LÄN</t>
        </is>
      </c>
      <c r="E383" t="inlineStr">
        <is>
          <t>ÖREBRO</t>
        </is>
      </c>
      <c r="G383" t="n">
        <v>2</v>
      </c>
      <c r="H383" t="n">
        <v>0</v>
      </c>
      <c r="I383" t="n">
        <v>0</v>
      </c>
      <c r="J383" t="n">
        <v>0</v>
      </c>
      <c r="K383" t="n">
        <v>0</v>
      </c>
      <c r="L383" t="n">
        <v>0</v>
      </c>
      <c r="M383" t="n">
        <v>0</v>
      </c>
      <c r="N383" t="n">
        <v>0</v>
      </c>
      <c r="O383" t="n">
        <v>0</v>
      </c>
      <c r="P383" t="n">
        <v>0</v>
      </c>
      <c r="Q383" t="n">
        <v>0</v>
      </c>
      <c r="R383" s="2" t="inlineStr"/>
    </row>
    <row r="384" ht="15" customHeight="1">
      <c r="A384" t="inlineStr">
        <is>
          <t>A 31326-2024</t>
        </is>
      </c>
      <c r="B384" s="1" t="n">
        <v>45504.5934375</v>
      </c>
      <c r="C384" s="1" t="n">
        <v>46083</v>
      </c>
      <c r="D384" t="inlineStr">
        <is>
          <t>ÖREBRO LÄN</t>
        </is>
      </c>
      <c r="E384" t="inlineStr">
        <is>
          <t>ÖREBRO</t>
        </is>
      </c>
      <c r="G384" t="n">
        <v>6.4</v>
      </c>
      <c r="H384" t="n">
        <v>0</v>
      </c>
      <c r="I384" t="n">
        <v>0</v>
      </c>
      <c r="J384" t="n">
        <v>0</v>
      </c>
      <c r="K384" t="n">
        <v>0</v>
      </c>
      <c r="L384" t="n">
        <v>0</v>
      </c>
      <c r="M384" t="n">
        <v>0</v>
      </c>
      <c r="N384" t="n">
        <v>0</v>
      </c>
      <c r="O384" t="n">
        <v>0</v>
      </c>
      <c r="P384" t="n">
        <v>0</v>
      </c>
      <c r="Q384" t="n">
        <v>0</v>
      </c>
      <c r="R384" s="2" t="inlineStr"/>
    </row>
    <row r="385" ht="15" customHeight="1">
      <c r="A385" t="inlineStr">
        <is>
          <t>A 55879-2025</t>
        </is>
      </c>
      <c r="B385" s="1" t="n">
        <v>45973.36508101852</v>
      </c>
      <c r="C385" s="1" t="n">
        <v>46083</v>
      </c>
      <c r="D385" t="inlineStr">
        <is>
          <t>ÖREBRO LÄN</t>
        </is>
      </c>
      <c r="E385" t="inlineStr">
        <is>
          <t>ÖREBRO</t>
        </is>
      </c>
      <c r="F385" t="inlineStr">
        <is>
          <t>Sveaskog</t>
        </is>
      </c>
      <c r="G385" t="n">
        <v>1.3</v>
      </c>
      <c r="H385" t="n">
        <v>0</v>
      </c>
      <c r="I385" t="n">
        <v>0</v>
      </c>
      <c r="J385" t="n">
        <v>0</v>
      </c>
      <c r="K385" t="n">
        <v>0</v>
      </c>
      <c r="L385" t="n">
        <v>0</v>
      </c>
      <c r="M385" t="n">
        <v>0</v>
      </c>
      <c r="N385" t="n">
        <v>0</v>
      </c>
      <c r="O385" t="n">
        <v>0</v>
      </c>
      <c r="P385" t="n">
        <v>0</v>
      </c>
      <c r="Q385" t="n">
        <v>0</v>
      </c>
      <c r="R385" s="2" t="inlineStr"/>
    </row>
    <row r="386" ht="15" customHeight="1">
      <c r="A386" t="inlineStr">
        <is>
          <t>A 55888-2025</t>
        </is>
      </c>
      <c r="B386" s="1" t="n">
        <v>45973.37163194444</v>
      </c>
      <c r="C386" s="1" t="n">
        <v>46083</v>
      </c>
      <c r="D386" t="inlineStr">
        <is>
          <t>ÖREBRO LÄN</t>
        </is>
      </c>
      <c r="E386" t="inlineStr">
        <is>
          <t>ÖREBRO</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22045-2024</t>
        </is>
      </c>
      <c r="B387" s="1" t="n">
        <v>45443.61171296296</v>
      </c>
      <c r="C387" s="1" t="n">
        <v>46083</v>
      </c>
      <c r="D387" t="inlineStr">
        <is>
          <t>ÖREBRO LÄN</t>
        </is>
      </c>
      <c r="E387" t="inlineStr">
        <is>
          <t>ÖREBRO</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58684-2023</t>
        </is>
      </c>
      <c r="B388" s="1" t="n">
        <v>45251</v>
      </c>
      <c r="C388" s="1" t="n">
        <v>46083</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57537-2025</t>
        </is>
      </c>
      <c r="B389" s="1" t="n">
        <v>45980.6446875</v>
      </c>
      <c r="C389" s="1" t="n">
        <v>46083</v>
      </c>
      <c r="D389" t="inlineStr">
        <is>
          <t>ÖREBRO LÄN</t>
        </is>
      </c>
      <c r="E389" t="inlineStr">
        <is>
          <t>ÖREBRO</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38898-2023</t>
        </is>
      </c>
      <c r="B390" s="1" t="n">
        <v>45163</v>
      </c>
      <c r="C390" s="1" t="n">
        <v>46083</v>
      </c>
      <c r="D390" t="inlineStr">
        <is>
          <t>ÖREBRO LÄN</t>
        </is>
      </c>
      <c r="E390" t="inlineStr">
        <is>
          <t>ÖREBRO</t>
        </is>
      </c>
      <c r="G390" t="n">
        <v>5.1</v>
      </c>
      <c r="H390" t="n">
        <v>0</v>
      </c>
      <c r="I390" t="n">
        <v>0</v>
      </c>
      <c r="J390" t="n">
        <v>0</v>
      </c>
      <c r="K390" t="n">
        <v>0</v>
      </c>
      <c r="L390" t="n">
        <v>0</v>
      </c>
      <c r="M390" t="n">
        <v>0</v>
      </c>
      <c r="N390" t="n">
        <v>0</v>
      </c>
      <c r="O390" t="n">
        <v>0</v>
      </c>
      <c r="P390" t="n">
        <v>0</v>
      </c>
      <c r="Q390" t="n">
        <v>0</v>
      </c>
      <c r="R390" s="2" t="inlineStr"/>
    </row>
    <row r="391" ht="15" customHeight="1">
      <c r="A391" t="inlineStr">
        <is>
          <t>A 13321-2024</t>
        </is>
      </c>
      <c r="B391" s="1" t="n">
        <v>45386.83142361111</v>
      </c>
      <c r="C391" s="1" t="n">
        <v>46083</v>
      </c>
      <c r="D391" t="inlineStr">
        <is>
          <t>ÖREBRO LÄN</t>
        </is>
      </c>
      <c r="E391" t="inlineStr">
        <is>
          <t>ÖREBRO</t>
        </is>
      </c>
      <c r="G391" t="n">
        <v>13.1</v>
      </c>
      <c r="H391" t="n">
        <v>0</v>
      </c>
      <c r="I391" t="n">
        <v>0</v>
      </c>
      <c r="J391" t="n">
        <v>0</v>
      </c>
      <c r="K391" t="n">
        <v>0</v>
      </c>
      <c r="L391" t="n">
        <v>0</v>
      </c>
      <c r="M391" t="n">
        <v>0</v>
      </c>
      <c r="N391" t="n">
        <v>0</v>
      </c>
      <c r="O391" t="n">
        <v>0</v>
      </c>
      <c r="P391" t="n">
        <v>0</v>
      </c>
      <c r="Q391" t="n">
        <v>0</v>
      </c>
      <c r="R391" s="2" t="inlineStr"/>
    </row>
    <row r="392" ht="15" customHeight="1">
      <c r="A392" t="inlineStr">
        <is>
          <t>A 38583-2023</t>
        </is>
      </c>
      <c r="B392" s="1" t="n">
        <v>45162.62861111111</v>
      </c>
      <c r="C392" s="1" t="n">
        <v>46083</v>
      </c>
      <c r="D392" t="inlineStr">
        <is>
          <t>ÖREBRO LÄN</t>
        </is>
      </c>
      <c r="E392" t="inlineStr">
        <is>
          <t>ÖREBRO</t>
        </is>
      </c>
      <c r="G392" t="n">
        <v>5.7</v>
      </c>
      <c r="H392" t="n">
        <v>0</v>
      </c>
      <c r="I392" t="n">
        <v>0</v>
      </c>
      <c r="J392" t="n">
        <v>0</v>
      </c>
      <c r="K392" t="n">
        <v>0</v>
      </c>
      <c r="L392" t="n">
        <v>0</v>
      </c>
      <c r="M392" t="n">
        <v>0</v>
      </c>
      <c r="N392" t="n">
        <v>0</v>
      </c>
      <c r="O392" t="n">
        <v>0</v>
      </c>
      <c r="P392" t="n">
        <v>0</v>
      </c>
      <c r="Q392" t="n">
        <v>0</v>
      </c>
      <c r="R392" s="2" t="inlineStr"/>
    </row>
    <row r="393" ht="15" customHeight="1">
      <c r="A393" t="inlineStr">
        <is>
          <t>A 14291-2023</t>
        </is>
      </c>
      <c r="B393" s="1" t="n">
        <v>45010</v>
      </c>
      <c r="C393" s="1" t="n">
        <v>46083</v>
      </c>
      <c r="D393" t="inlineStr">
        <is>
          <t>ÖREBRO LÄN</t>
        </is>
      </c>
      <c r="E393" t="inlineStr">
        <is>
          <t>ÖREBRO</t>
        </is>
      </c>
      <c r="G393" t="n">
        <v>0.8</v>
      </c>
      <c r="H393" t="n">
        <v>0</v>
      </c>
      <c r="I393" t="n">
        <v>0</v>
      </c>
      <c r="J393" t="n">
        <v>0</v>
      </c>
      <c r="K393" t="n">
        <v>0</v>
      </c>
      <c r="L393" t="n">
        <v>0</v>
      </c>
      <c r="M393" t="n">
        <v>0</v>
      </c>
      <c r="N393" t="n">
        <v>0</v>
      </c>
      <c r="O393" t="n">
        <v>0</v>
      </c>
      <c r="P393" t="n">
        <v>0</v>
      </c>
      <c r="Q393" t="n">
        <v>0</v>
      </c>
      <c r="R393" s="2" t="inlineStr"/>
    </row>
    <row r="394" ht="15" customHeight="1">
      <c r="A394" t="inlineStr">
        <is>
          <t>A 58587-2025</t>
        </is>
      </c>
      <c r="B394" s="1" t="n">
        <v>45986.40208333333</v>
      </c>
      <c r="C394" s="1" t="n">
        <v>46083</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9314-2023</t>
        </is>
      </c>
      <c r="B395" s="1" t="n">
        <v>44980.67747685185</v>
      </c>
      <c r="C395" s="1" t="n">
        <v>46083</v>
      </c>
      <c r="D395" t="inlineStr">
        <is>
          <t>ÖREBRO LÄN</t>
        </is>
      </c>
      <c r="E395" t="inlineStr">
        <is>
          <t>ÖREBRO</t>
        </is>
      </c>
      <c r="G395" t="n">
        <v>0.8</v>
      </c>
      <c r="H395" t="n">
        <v>0</v>
      </c>
      <c r="I395" t="n">
        <v>0</v>
      </c>
      <c r="J395" t="n">
        <v>0</v>
      </c>
      <c r="K395" t="n">
        <v>0</v>
      </c>
      <c r="L395" t="n">
        <v>0</v>
      </c>
      <c r="M395" t="n">
        <v>0</v>
      </c>
      <c r="N395" t="n">
        <v>0</v>
      </c>
      <c r="O395" t="n">
        <v>0</v>
      </c>
      <c r="P395" t="n">
        <v>0</v>
      </c>
      <c r="Q395" t="n">
        <v>0</v>
      </c>
      <c r="R395" s="2" t="inlineStr"/>
    </row>
    <row r="396" ht="15" customHeight="1">
      <c r="A396" t="inlineStr">
        <is>
          <t>A 33455-2023</t>
        </is>
      </c>
      <c r="B396" s="1" t="n">
        <v>45130.98962962963</v>
      </c>
      <c r="C396" s="1" t="n">
        <v>46083</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21306-2024</t>
        </is>
      </c>
      <c r="B397" s="1" t="n">
        <v>45440.67883101852</v>
      </c>
      <c r="C397" s="1" t="n">
        <v>46083</v>
      </c>
      <c r="D397" t="inlineStr">
        <is>
          <t>ÖREBRO LÄN</t>
        </is>
      </c>
      <c r="E397" t="inlineStr">
        <is>
          <t>ÖREBRO</t>
        </is>
      </c>
      <c r="F397" t="inlineStr">
        <is>
          <t>Övriga Aktiebolag</t>
        </is>
      </c>
      <c r="G397" t="n">
        <v>2</v>
      </c>
      <c r="H397" t="n">
        <v>0</v>
      </c>
      <c r="I397" t="n">
        <v>0</v>
      </c>
      <c r="J397" t="n">
        <v>0</v>
      </c>
      <c r="K397" t="n">
        <v>0</v>
      </c>
      <c r="L397" t="n">
        <v>0</v>
      </c>
      <c r="M397" t="n">
        <v>0</v>
      </c>
      <c r="N397" t="n">
        <v>0</v>
      </c>
      <c r="O397" t="n">
        <v>0</v>
      </c>
      <c r="P397" t="n">
        <v>0</v>
      </c>
      <c r="Q397" t="n">
        <v>0</v>
      </c>
      <c r="R397" s="2" t="inlineStr"/>
    </row>
    <row r="398" ht="15" customHeight="1">
      <c r="A398" t="inlineStr">
        <is>
          <t>A 7634-2024</t>
        </is>
      </c>
      <c r="B398" s="1" t="n">
        <v>45348</v>
      </c>
      <c r="C398" s="1" t="n">
        <v>46083</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5324-2024</t>
        </is>
      </c>
      <c r="B399" s="1" t="n">
        <v>45331</v>
      </c>
      <c r="C399" s="1" t="n">
        <v>46083</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52401-2024</t>
        </is>
      </c>
      <c r="B400" s="1" t="n">
        <v>45609.44553240741</v>
      </c>
      <c r="C400" s="1" t="n">
        <v>46083</v>
      </c>
      <c r="D400" t="inlineStr">
        <is>
          <t>ÖREBRO LÄN</t>
        </is>
      </c>
      <c r="E400" t="inlineStr">
        <is>
          <t>ÖREBRO</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58230-2025</t>
        </is>
      </c>
      <c r="B401" s="1" t="n">
        <v>45985.38037037037</v>
      </c>
      <c r="C401" s="1" t="n">
        <v>46083</v>
      </c>
      <c r="D401" t="inlineStr">
        <is>
          <t>ÖREBRO LÄN</t>
        </is>
      </c>
      <c r="E401" t="inlineStr">
        <is>
          <t>ÖREBRO</t>
        </is>
      </c>
      <c r="F401" t="inlineStr">
        <is>
          <t>Övriga Aktiebolag</t>
        </is>
      </c>
      <c r="G401" t="n">
        <v>1.4</v>
      </c>
      <c r="H401" t="n">
        <v>0</v>
      </c>
      <c r="I401" t="n">
        <v>0</v>
      </c>
      <c r="J401" t="n">
        <v>0</v>
      </c>
      <c r="K401" t="n">
        <v>0</v>
      </c>
      <c r="L401" t="n">
        <v>0</v>
      </c>
      <c r="M401" t="n">
        <v>0</v>
      </c>
      <c r="N401" t="n">
        <v>0</v>
      </c>
      <c r="O401" t="n">
        <v>0</v>
      </c>
      <c r="P401" t="n">
        <v>0</v>
      </c>
      <c r="Q401" t="n">
        <v>0</v>
      </c>
      <c r="R401" s="2" t="inlineStr"/>
    </row>
    <row r="402" ht="15" customHeight="1">
      <c r="A402" t="inlineStr">
        <is>
          <t>A 14963-2025</t>
        </is>
      </c>
      <c r="B402" s="1" t="n">
        <v>45743.58699074074</v>
      </c>
      <c r="C402" s="1" t="n">
        <v>46083</v>
      </c>
      <c r="D402" t="inlineStr">
        <is>
          <t>ÖREBRO LÄN</t>
        </is>
      </c>
      <c r="E402" t="inlineStr">
        <is>
          <t>ÖREBRO</t>
        </is>
      </c>
      <c r="G402" t="n">
        <v>9.1</v>
      </c>
      <c r="H402" t="n">
        <v>0</v>
      </c>
      <c r="I402" t="n">
        <v>0</v>
      </c>
      <c r="J402" t="n">
        <v>0</v>
      </c>
      <c r="K402" t="n">
        <v>0</v>
      </c>
      <c r="L402" t="n">
        <v>0</v>
      </c>
      <c r="M402" t="n">
        <v>0</v>
      </c>
      <c r="N402" t="n">
        <v>0</v>
      </c>
      <c r="O402" t="n">
        <v>0</v>
      </c>
      <c r="P402" t="n">
        <v>0</v>
      </c>
      <c r="Q402" t="n">
        <v>0</v>
      </c>
      <c r="R402" s="2" t="inlineStr"/>
    </row>
    <row r="403" ht="15" customHeight="1">
      <c r="A403" t="inlineStr">
        <is>
          <t>A 59145-2025</t>
        </is>
      </c>
      <c r="B403" s="1" t="n">
        <v>45988.52015046297</v>
      </c>
      <c r="C403" s="1" t="n">
        <v>46083</v>
      </c>
      <c r="D403" t="inlineStr">
        <is>
          <t>ÖREBRO LÄN</t>
        </is>
      </c>
      <c r="E403" t="inlineStr">
        <is>
          <t>ÖREBRO</t>
        </is>
      </c>
      <c r="G403" t="n">
        <v>0.8</v>
      </c>
      <c r="H403" t="n">
        <v>0</v>
      </c>
      <c r="I403" t="n">
        <v>0</v>
      </c>
      <c r="J403" t="n">
        <v>0</v>
      </c>
      <c r="K403" t="n">
        <v>0</v>
      </c>
      <c r="L403" t="n">
        <v>0</v>
      </c>
      <c r="M403" t="n">
        <v>0</v>
      </c>
      <c r="N403" t="n">
        <v>0</v>
      </c>
      <c r="O403" t="n">
        <v>0</v>
      </c>
      <c r="P403" t="n">
        <v>0</v>
      </c>
      <c r="Q403" t="n">
        <v>0</v>
      </c>
      <c r="R403" s="2" t="inlineStr"/>
    </row>
    <row r="404" ht="15" customHeight="1">
      <c r="A404" t="inlineStr">
        <is>
          <t>A 58835-2025</t>
        </is>
      </c>
      <c r="B404" s="1" t="n">
        <v>45987.35519675926</v>
      </c>
      <c r="C404" s="1" t="n">
        <v>46083</v>
      </c>
      <c r="D404" t="inlineStr">
        <is>
          <t>ÖREBRO LÄN</t>
        </is>
      </c>
      <c r="E404" t="inlineStr">
        <is>
          <t>ÖREBRO</t>
        </is>
      </c>
      <c r="G404" t="n">
        <v>2.1</v>
      </c>
      <c r="H404" t="n">
        <v>0</v>
      </c>
      <c r="I404" t="n">
        <v>0</v>
      </c>
      <c r="J404" t="n">
        <v>0</v>
      </c>
      <c r="K404" t="n">
        <v>0</v>
      </c>
      <c r="L404" t="n">
        <v>0</v>
      </c>
      <c r="M404" t="n">
        <v>0</v>
      </c>
      <c r="N404" t="n">
        <v>0</v>
      </c>
      <c r="O404" t="n">
        <v>0</v>
      </c>
      <c r="P404" t="n">
        <v>0</v>
      </c>
      <c r="Q404" t="n">
        <v>0</v>
      </c>
      <c r="R404" s="2" t="inlineStr"/>
    </row>
    <row r="405" ht="15" customHeight="1">
      <c r="A405" t="inlineStr">
        <is>
          <t>A 55357-2024</t>
        </is>
      </c>
      <c r="B405" s="1" t="n">
        <v>45621.81126157408</v>
      </c>
      <c r="C405" s="1" t="n">
        <v>46083</v>
      </c>
      <c r="D405" t="inlineStr">
        <is>
          <t>ÖREBRO LÄN</t>
        </is>
      </c>
      <c r="E405" t="inlineStr">
        <is>
          <t>ÖREBRO</t>
        </is>
      </c>
      <c r="G405" t="n">
        <v>0.6</v>
      </c>
      <c r="H405" t="n">
        <v>0</v>
      </c>
      <c r="I405" t="n">
        <v>0</v>
      </c>
      <c r="J405" t="n">
        <v>0</v>
      </c>
      <c r="K405" t="n">
        <v>0</v>
      </c>
      <c r="L405" t="n">
        <v>0</v>
      </c>
      <c r="M405" t="n">
        <v>0</v>
      </c>
      <c r="N405" t="n">
        <v>0</v>
      </c>
      <c r="O405" t="n">
        <v>0</v>
      </c>
      <c r="P405" t="n">
        <v>0</v>
      </c>
      <c r="Q405" t="n">
        <v>0</v>
      </c>
      <c r="R405" s="2" t="inlineStr"/>
    </row>
    <row r="406" ht="15" customHeight="1">
      <c r="A406" t="inlineStr">
        <is>
          <t>A 38422-2023</t>
        </is>
      </c>
      <c r="B406" s="1" t="n">
        <v>45162.36422453704</v>
      </c>
      <c r="C406" s="1" t="n">
        <v>46083</v>
      </c>
      <c r="D406" t="inlineStr">
        <is>
          <t>ÖREBRO LÄN</t>
        </is>
      </c>
      <c r="E406" t="inlineStr">
        <is>
          <t>ÖREBRO</t>
        </is>
      </c>
      <c r="G406" t="n">
        <v>8</v>
      </c>
      <c r="H406" t="n">
        <v>0</v>
      </c>
      <c r="I406" t="n">
        <v>0</v>
      </c>
      <c r="J406" t="n">
        <v>0</v>
      </c>
      <c r="K406" t="n">
        <v>0</v>
      </c>
      <c r="L406" t="n">
        <v>0</v>
      </c>
      <c r="M406" t="n">
        <v>0</v>
      </c>
      <c r="N406" t="n">
        <v>0</v>
      </c>
      <c r="O406" t="n">
        <v>0</v>
      </c>
      <c r="P406" t="n">
        <v>0</v>
      </c>
      <c r="Q406" t="n">
        <v>0</v>
      </c>
      <c r="R406" s="2" t="inlineStr"/>
    </row>
    <row r="407" ht="15" customHeight="1">
      <c r="A407" t="inlineStr">
        <is>
          <t>A 46518-2023</t>
        </is>
      </c>
      <c r="B407" s="1" t="n">
        <v>45197.72777777778</v>
      </c>
      <c r="C407" s="1" t="n">
        <v>46083</v>
      </c>
      <c r="D407" t="inlineStr">
        <is>
          <t>ÖREBRO LÄN</t>
        </is>
      </c>
      <c r="E407" t="inlineStr">
        <is>
          <t>ÖREBRO</t>
        </is>
      </c>
      <c r="G407" t="n">
        <v>2.2</v>
      </c>
      <c r="H407" t="n">
        <v>0</v>
      </c>
      <c r="I407" t="n">
        <v>0</v>
      </c>
      <c r="J407" t="n">
        <v>0</v>
      </c>
      <c r="K407" t="n">
        <v>0</v>
      </c>
      <c r="L407" t="n">
        <v>0</v>
      </c>
      <c r="M407" t="n">
        <v>0</v>
      </c>
      <c r="N407" t="n">
        <v>0</v>
      </c>
      <c r="O407" t="n">
        <v>0</v>
      </c>
      <c r="P407" t="n">
        <v>0</v>
      </c>
      <c r="Q407" t="n">
        <v>0</v>
      </c>
      <c r="R407" s="2" t="inlineStr"/>
    </row>
    <row r="408" ht="15" customHeight="1">
      <c r="A408" t="inlineStr">
        <is>
          <t>A 59312-2025</t>
        </is>
      </c>
      <c r="B408" s="1" t="n">
        <v>45989.30467592592</v>
      </c>
      <c r="C408" s="1" t="n">
        <v>46083</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59313-2025</t>
        </is>
      </c>
      <c r="B409" s="1" t="n">
        <v>45989.30920138889</v>
      </c>
      <c r="C409" s="1" t="n">
        <v>46083</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59856-2025</t>
        </is>
      </c>
      <c r="B410" s="1" t="n">
        <v>45992.74891203704</v>
      </c>
      <c r="C410" s="1" t="n">
        <v>46083</v>
      </c>
      <c r="D410" t="inlineStr">
        <is>
          <t>ÖREBRO LÄN</t>
        </is>
      </c>
      <c r="E410" t="inlineStr">
        <is>
          <t>ÖREBRO</t>
        </is>
      </c>
      <c r="G410" t="n">
        <v>1.2</v>
      </c>
      <c r="H410" t="n">
        <v>0</v>
      </c>
      <c r="I410" t="n">
        <v>0</v>
      </c>
      <c r="J410" t="n">
        <v>0</v>
      </c>
      <c r="K410" t="n">
        <v>0</v>
      </c>
      <c r="L410" t="n">
        <v>0</v>
      </c>
      <c r="M410" t="n">
        <v>0</v>
      </c>
      <c r="N410" t="n">
        <v>0</v>
      </c>
      <c r="O410" t="n">
        <v>0</v>
      </c>
      <c r="P410" t="n">
        <v>0</v>
      </c>
      <c r="Q410" t="n">
        <v>0</v>
      </c>
      <c r="R410" s="2" t="inlineStr"/>
    </row>
    <row r="411" ht="15" customHeight="1">
      <c r="A411" t="inlineStr">
        <is>
          <t>A 59857-2025</t>
        </is>
      </c>
      <c r="B411" s="1" t="n">
        <v>45992.75820601852</v>
      </c>
      <c r="C411" s="1" t="n">
        <v>46083</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59858-2025</t>
        </is>
      </c>
      <c r="B412" s="1" t="n">
        <v>45992.76758101852</v>
      </c>
      <c r="C412" s="1" t="n">
        <v>46083</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59859-2025</t>
        </is>
      </c>
      <c r="B413" s="1" t="n">
        <v>45992.7803125</v>
      </c>
      <c r="C413" s="1" t="n">
        <v>46083</v>
      </c>
      <c r="D413" t="inlineStr">
        <is>
          <t>ÖREBRO LÄN</t>
        </is>
      </c>
      <c r="E413" t="inlineStr">
        <is>
          <t>ÖREBRO</t>
        </is>
      </c>
      <c r="G413" t="n">
        <v>0.4</v>
      </c>
      <c r="H413" t="n">
        <v>0</v>
      </c>
      <c r="I413" t="n">
        <v>0</v>
      </c>
      <c r="J413" t="n">
        <v>0</v>
      </c>
      <c r="K413" t="n">
        <v>0</v>
      </c>
      <c r="L413" t="n">
        <v>0</v>
      </c>
      <c r="M413" t="n">
        <v>0</v>
      </c>
      <c r="N413" t="n">
        <v>0</v>
      </c>
      <c r="O413" t="n">
        <v>0</v>
      </c>
      <c r="P413" t="n">
        <v>0</v>
      </c>
      <c r="Q413" t="n">
        <v>0</v>
      </c>
      <c r="R413" s="2" t="inlineStr"/>
    </row>
    <row r="414" ht="15" customHeight="1">
      <c r="A414" t="inlineStr">
        <is>
          <t>A 41703-2024</t>
        </is>
      </c>
      <c r="B414" s="1" t="n">
        <v>45560</v>
      </c>
      <c r="C414" s="1" t="n">
        <v>46083</v>
      </c>
      <c r="D414" t="inlineStr">
        <is>
          <t>ÖREBRO LÄN</t>
        </is>
      </c>
      <c r="E414" t="inlineStr">
        <is>
          <t>ÖREBRO</t>
        </is>
      </c>
      <c r="G414" t="n">
        <v>6.4</v>
      </c>
      <c r="H414" t="n">
        <v>0</v>
      </c>
      <c r="I414" t="n">
        <v>0</v>
      </c>
      <c r="J414" t="n">
        <v>0</v>
      </c>
      <c r="K414" t="n">
        <v>0</v>
      </c>
      <c r="L414" t="n">
        <v>0</v>
      </c>
      <c r="M414" t="n">
        <v>0</v>
      </c>
      <c r="N414" t="n">
        <v>0</v>
      </c>
      <c r="O414" t="n">
        <v>0</v>
      </c>
      <c r="P414" t="n">
        <v>0</v>
      </c>
      <c r="Q414" t="n">
        <v>0</v>
      </c>
      <c r="R414" s="2" t="inlineStr"/>
    </row>
    <row r="415" ht="15" customHeight="1">
      <c r="A415" t="inlineStr">
        <is>
          <t>A 19763-2024</t>
        </is>
      </c>
      <c r="B415" s="1" t="n">
        <v>45432</v>
      </c>
      <c r="C415" s="1" t="n">
        <v>46083</v>
      </c>
      <c r="D415" t="inlineStr">
        <is>
          <t>ÖREBRO LÄN</t>
        </is>
      </c>
      <c r="E415" t="inlineStr">
        <is>
          <t>ÖREBRO</t>
        </is>
      </c>
      <c r="G415" t="n">
        <v>1.9</v>
      </c>
      <c r="H415" t="n">
        <v>0</v>
      </c>
      <c r="I415" t="n">
        <v>0</v>
      </c>
      <c r="J415" t="n">
        <v>0</v>
      </c>
      <c r="K415" t="n">
        <v>0</v>
      </c>
      <c r="L415" t="n">
        <v>0</v>
      </c>
      <c r="M415" t="n">
        <v>0</v>
      </c>
      <c r="N415" t="n">
        <v>0</v>
      </c>
      <c r="O415" t="n">
        <v>0</v>
      </c>
      <c r="P415" t="n">
        <v>0</v>
      </c>
      <c r="Q415" t="n">
        <v>0</v>
      </c>
      <c r="R415" s="2" t="inlineStr"/>
    </row>
    <row r="416" ht="15" customHeight="1">
      <c r="A416" t="inlineStr">
        <is>
          <t>A 59937-2025</t>
        </is>
      </c>
      <c r="B416" s="1" t="n">
        <v>45993.41934027777</v>
      </c>
      <c r="C416" s="1" t="n">
        <v>46083</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31247-2023</t>
        </is>
      </c>
      <c r="B417" s="1" t="n">
        <v>45114</v>
      </c>
      <c r="C417" s="1" t="n">
        <v>46083</v>
      </c>
      <c r="D417" t="inlineStr">
        <is>
          <t>ÖREBRO LÄN</t>
        </is>
      </c>
      <c r="E417" t="inlineStr">
        <is>
          <t>ÖREBRO</t>
        </is>
      </c>
      <c r="F417" t="inlineStr">
        <is>
          <t>Allmännings- och besparingsskogar</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59938-2025</t>
        </is>
      </c>
      <c r="B418" s="1" t="n">
        <v>45993.42108796296</v>
      </c>
      <c r="C418" s="1" t="n">
        <v>46083</v>
      </c>
      <c r="D418" t="inlineStr">
        <is>
          <t>ÖREBRO LÄN</t>
        </is>
      </c>
      <c r="E418" t="inlineStr">
        <is>
          <t>ÖREBRO</t>
        </is>
      </c>
      <c r="G418" t="n">
        <v>1.5</v>
      </c>
      <c r="H418" t="n">
        <v>0</v>
      </c>
      <c r="I418" t="n">
        <v>0</v>
      </c>
      <c r="J418" t="n">
        <v>0</v>
      </c>
      <c r="K418" t="n">
        <v>0</v>
      </c>
      <c r="L418" t="n">
        <v>0</v>
      </c>
      <c r="M418" t="n">
        <v>0</v>
      </c>
      <c r="N418" t="n">
        <v>0</v>
      </c>
      <c r="O418" t="n">
        <v>0</v>
      </c>
      <c r="P418" t="n">
        <v>0</v>
      </c>
      <c r="Q418" t="n">
        <v>0</v>
      </c>
      <c r="R418" s="2" t="inlineStr"/>
    </row>
    <row r="419" ht="15" customHeight="1">
      <c r="A419" t="inlineStr">
        <is>
          <t>A 59860-2025</t>
        </is>
      </c>
      <c r="B419" s="1" t="n">
        <v>45992.78351851852</v>
      </c>
      <c r="C419" s="1" t="n">
        <v>46083</v>
      </c>
      <c r="D419" t="inlineStr">
        <is>
          <t>ÖREBRO LÄN</t>
        </is>
      </c>
      <c r="E419" t="inlineStr">
        <is>
          <t>ÖREBRO</t>
        </is>
      </c>
      <c r="G419" t="n">
        <v>0.8</v>
      </c>
      <c r="H419" t="n">
        <v>0</v>
      </c>
      <c r="I419" t="n">
        <v>0</v>
      </c>
      <c r="J419" t="n">
        <v>0</v>
      </c>
      <c r="K419" t="n">
        <v>0</v>
      </c>
      <c r="L419" t="n">
        <v>0</v>
      </c>
      <c r="M419" t="n">
        <v>0</v>
      </c>
      <c r="N419" t="n">
        <v>0</v>
      </c>
      <c r="O419" t="n">
        <v>0</v>
      </c>
      <c r="P419" t="n">
        <v>0</v>
      </c>
      <c r="Q419" t="n">
        <v>0</v>
      </c>
      <c r="R419" s="2" t="inlineStr"/>
    </row>
    <row r="420" ht="15" customHeight="1">
      <c r="A420" t="inlineStr">
        <is>
          <t>A 60717-2025</t>
        </is>
      </c>
      <c r="B420" s="1" t="n">
        <v>45996.63673611111</v>
      </c>
      <c r="C420" s="1" t="n">
        <v>46083</v>
      </c>
      <c r="D420" t="inlineStr">
        <is>
          <t>ÖREBRO LÄN</t>
        </is>
      </c>
      <c r="E420" t="inlineStr">
        <is>
          <t>ÖREBRO</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60718-2025</t>
        </is>
      </c>
      <c r="B421" s="1" t="n">
        <v>45996.6384375</v>
      </c>
      <c r="C421" s="1" t="n">
        <v>46083</v>
      </c>
      <c r="D421" t="inlineStr">
        <is>
          <t>ÖREBRO LÄN</t>
        </is>
      </c>
      <c r="E421" t="inlineStr">
        <is>
          <t>ÖREBRO</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60721-2025</t>
        </is>
      </c>
      <c r="B422" s="1" t="n">
        <v>45996</v>
      </c>
      <c r="C422" s="1" t="n">
        <v>46083</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36635-2023</t>
        </is>
      </c>
      <c r="B423" s="1" t="n">
        <v>45153</v>
      </c>
      <c r="C423" s="1" t="n">
        <v>46083</v>
      </c>
      <c r="D423" t="inlineStr">
        <is>
          <t>ÖREBRO LÄN</t>
        </is>
      </c>
      <c r="E423" t="inlineStr">
        <is>
          <t>ÖREBRO</t>
        </is>
      </c>
      <c r="G423" t="n">
        <v>1.9</v>
      </c>
      <c r="H423" t="n">
        <v>0</v>
      </c>
      <c r="I423" t="n">
        <v>0</v>
      </c>
      <c r="J423" t="n">
        <v>0</v>
      </c>
      <c r="K423" t="n">
        <v>0</v>
      </c>
      <c r="L423" t="n">
        <v>0</v>
      </c>
      <c r="M423" t="n">
        <v>0</v>
      </c>
      <c r="N423" t="n">
        <v>0</v>
      </c>
      <c r="O423" t="n">
        <v>0</v>
      </c>
      <c r="P423" t="n">
        <v>0</v>
      </c>
      <c r="Q423" t="n">
        <v>0</v>
      </c>
      <c r="R423" s="2" t="inlineStr"/>
    </row>
    <row r="424" ht="15" customHeight="1">
      <c r="A424" t="inlineStr">
        <is>
          <t>A 54149-2024</t>
        </is>
      </c>
      <c r="B424" s="1" t="n">
        <v>45616</v>
      </c>
      <c r="C424" s="1" t="n">
        <v>46083</v>
      </c>
      <c r="D424" t="inlineStr">
        <is>
          <t>ÖREBRO LÄN</t>
        </is>
      </c>
      <c r="E424" t="inlineStr">
        <is>
          <t>ÖREBRO</t>
        </is>
      </c>
      <c r="G424" t="n">
        <v>2.7</v>
      </c>
      <c r="H424" t="n">
        <v>0</v>
      </c>
      <c r="I424" t="n">
        <v>0</v>
      </c>
      <c r="J424" t="n">
        <v>0</v>
      </c>
      <c r="K424" t="n">
        <v>0</v>
      </c>
      <c r="L424" t="n">
        <v>0</v>
      </c>
      <c r="M424" t="n">
        <v>0</v>
      </c>
      <c r="N424" t="n">
        <v>0</v>
      </c>
      <c r="O424" t="n">
        <v>0</v>
      </c>
      <c r="P424" t="n">
        <v>0</v>
      </c>
      <c r="Q424" t="n">
        <v>0</v>
      </c>
      <c r="R424" s="2" t="inlineStr"/>
    </row>
    <row r="425" ht="15" customHeight="1">
      <c r="A425" t="inlineStr">
        <is>
          <t>A 60466-2025</t>
        </is>
      </c>
      <c r="B425" s="1" t="n">
        <v>45995.55927083334</v>
      </c>
      <c r="C425" s="1" t="n">
        <v>46083</v>
      </c>
      <c r="D425" t="inlineStr">
        <is>
          <t>ÖREBRO LÄN</t>
        </is>
      </c>
      <c r="E425" t="inlineStr">
        <is>
          <t>ÖREBRO</t>
        </is>
      </c>
      <c r="F425" t="inlineStr">
        <is>
          <t>Sveaskog</t>
        </is>
      </c>
      <c r="G425" t="n">
        <v>3.3</v>
      </c>
      <c r="H425" t="n">
        <v>0</v>
      </c>
      <c r="I425" t="n">
        <v>0</v>
      </c>
      <c r="J425" t="n">
        <v>0</v>
      </c>
      <c r="K425" t="n">
        <v>0</v>
      </c>
      <c r="L425" t="n">
        <v>0</v>
      </c>
      <c r="M425" t="n">
        <v>0</v>
      </c>
      <c r="N425" t="n">
        <v>0</v>
      </c>
      <c r="O425" t="n">
        <v>0</v>
      </c>
      <c r="P425" t="n">
        <v>0</v>
      </c>
      <c r="Q425" t="n">
        <v>0</v>
      </c>
      <c r="R425" s="2" t="inlineStr"/>
    </row>
    <row r="426" ht="15" customHeight="1">
      <c r="A426" t="inlineStr">
        <is>
          <t>A 60555-2025</t>
        </is>
      </c>
      <c r="B426" s="1" t="n">
        <v>45995.73722222223</v>
      </c>
      <c r="C426" s="1" t="n">
        <v>46083</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60551-2025</t>
        </is>
      </c>
      <c r="B427" s="1" t="n">
        <v>45995</v>
      </c>
      <c r="C427" s="1" t="n">
        <v>46083</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60720-2025</t>
        </is>
      </c>
      <c r="B428" s="1" t="n">
        <v>45996.64050925926</v>
      </c>
      <c r="C428" s="1" t="n">
        <v>46083</v>
      </c>
      <c r="D428" t="inlineStr">
        <is>
          <t>ÖREBRO LÄN</t>
        </is>
      </c>
      <c r="E428" t="inlineStr">
        <is>
          <t>ÖREBRO</t>
        </is>
      </c>
      <c r="F428" t="inlineStr">
        <is>
          <t>Sveaskog</t>
        </is>
      </c>
      <c r="G428" t="n">
        <v>3</v>
      </c>
      <c r="H428" t="n">
        <v>0</v>
      </c>
      <c r="I428" t="n">
        <v>0</v>
      </c>
      <c r="J428" t="n">
        <v>0</v>
      </c>
      <c r="K428" t="n">
        <v>0</v>
      </c>
      <c r="L428" t="n">
        <v>0</v>
      </c>
      <c r="M428" t="n">
        <v>0</v>
      </c>
      <c r="N428" t="n">
        <v>0</v>
      </c>
      <c r="O428" t="n">
        <v>0</v>
      </c>
      <c r="P428" t="n">
        <v>0</v>
      </c>
      <c r="Q428" t="n">
        <v>0</v>
      </c>
      <c r="R428" s="2" t="inlineStr"/>
    </row>
    <row r="429" ht="15" customHeight="1">
      <c r="A429" t="inlineStr">
        <is>
          <t>A 49797-2024</t>
        </is>
      </c>
      <c r="B429" s="1" t="n">
        <v>45597.37265046296</v>
      </c>
      <c r="C429" s="1" t="n">
        <v>46083</v>
      </c>
      <c r="D429" t="inlineStr">
        <is>
          <t>ÖREBRO LÄN</t>
        </is>
      </c>
      <c r="E429" t="inlineStr">
        <is>
          <t>ÖREBRO</t>
        </is>
      </c>
      <c r="G429" t="n">
        <v>11.6</v>
      </c>
      <c r="H429" t="n">
        <v>0</v>
      </c>
      <c r="I429" t="n">
        <v>0</v>
      </c>
      <c r="J429" t="n">
        <v>0</v>
      </c>
      <c r="K429" t="n">
        <v>0</v>
      </c>
      <c r="L429" t="n">
        <v>0</v>
      </c>
      <c r="M429" t="n">
        <v>0</v>
      </c>
      <c r="N429" t="n">
        <v>0</v>
      </c>
      <c r="O429" t="n">
        <v>0</v>
      </c>
      <c r="P429" t="n">
        <v>0</v>
      </c>
      <c r="Q429" t="n">
        <v>0</v>
      </c>
      <c r="R429" s="2" t="inlineStr"/>
    </row>
    <row r="430" ht="15" customHeight="1">
      <c r="A430" t="inlineStr">
        <is>
          <t>A 32086-2023</t>
        </is>
      </c>
      <c r="B430" s="1" t="n">
        <v>45119.59789351852</v>
      </c>
      <c r="C430" s="1" t="n">
        <v>46083</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13856-2022</t>
        </is>
      </c>
      <c r="B431" s="1" t="n">
        <v>44649.6965162037</v>
      </c>
      <c r="C431" s="1" t="n">
        <v>46083</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3111-2026</t>
        </is>
      </c>
      <c r="B432" s="1" t="n">
        <v>46041.36004629629</v>
      </c>
      <c r="C432" s="1" t="n">
        <v>46083</v>
      </c>
      <c r="D432" t="inlineStr">
        <is>
          <t>ÖREBRO LÄN</t>
        </is>
      </c>
      <c r="E432" t="inlineStr">
        <is>
          <t>ÖREBRO</t>
        </is>
      </c>
      <c r="F432" t="inlineStr">
        <is>
          <t>Övriga Aktiebolag</t>
        </is>
      </c>
      <c r="G432" t="n">
        <v>8.6</v>
      </c>
      <c r="H432" t="n">
        <v>0</v>
      </c>
      <c r="I432" t="n">
        <v>0</v>
      </c>
      <c r="J432" t="n">
        <v>0</v>
      </c>
      <c r="K432" t="n">
        <v>0</v>
      </c>
      <c r="L432" t="n">
        <v>0</v>
      </c>
      <c r="M432" t="n">
        <v>0</v>
      </c>
      <c r="N432" t="n">
        <v>0</v>
      </c>
      <c r="O432" t="n">
        <v>0</v>
      </c>
      <c r="P432" t="n">
        <v>0</v>
      </c>
      <c r="Q432" t="n">
        <v>0</v>
      </c>
      <c r="R432" s="2" t="inlineStr"/>
    </row>
    <row r="433" ht="15" customHeight="1">
      <c r="A433" t="inlineStr">
        <is>
          <t>A 23863-2023</t>
        </is>
      </c>
      <c r="B433" s="1" t="n">
        <v>45078.48994212963</v>
      </c>
      <c r="C433" s="1" t="n">
        <v>46083</v>
      </c>
      <c r="D433" t="inlineStr">
        <is>
          <t>ÖREBRO LÄN</t>
        </is>
      </c>
      <c r="E433" t="inlineStr">
        <is>
          <t>ÖREBRO</t>
        </is>
      </c>
      <c r="F433" t="inlineStr">
        <is>
          <t>Övriga Aktiebolag</t>
        </is>
      </c>
      <c r="G433" t="n">
        <v>5.9</v>
      </c>
      <c r="H433" t="n">
        <v>0</v>
      </c>
      <c r="I433" t="n">
        <v>0</v>
      </c>
      <c r="J433" t="n">
        <v>0</v>
      </c>
      <c r="K433" t="n">
        <v>0</v>
      </c>
      <c r="L433" t="n">
        <v>0</v>
      </c>
      <c r="M433" t="n">
        <v>0</v>
      </c>
      <c r="N433" t="n">
        <v>0</v>
      </c>
      <c r="O433" t="n">
        <v>0</v>
      </c>
      <c r="P433" t="n">
        <v>0</v>
      </c>
      <c r="Q433" t="n">
        <v>0</v>
      </c>
      <c r="R433" s="2" t="inlineStr"/>
    </row>
    <row r="434" ht="15" customHeight="1">
      <c r="A434" t="inlineStr">
        <is>
          <t>A 39130-2023</t>
        </is>
      </c>
      <c r="B434" s="1" t="n">
        <v>45165</v>
      </c>
      <c r="C434" s="1" t="n">
        <v>46083</v>
      </c>
      <c r="D434" t="inlineStr">
        <is>
          <t>ÖREBRO LÄN</t>
        </is>
      </c>
      <c r="E434" t="inlineStr">
        <is>
          <t>ÖREBRO</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3252-2026</t>
        </is>
      </c>
      <c r="B435" s="1" t="n">
        <v>46041.58626157408</v>
      </c>
      <c r="C435" s="1" t="n">
        <v>46083</v>
      </c>
      <c r="D435" t="inlineStr">
        <is>
          <t>ÖREBRO LÄN</t>
        </is>
      </c>
      <c r="E435" t="inlineStr">
        <is>
          <t>ÖREBRO</t>
        </is>
      </c>
      <c r="F435" t="inlineStr">
        <is>
          <t>Övriga Aktiebolag</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60840-2025</t>
        </is>
      </c>
      <c r="B436" s="1" t="n">
        <v>45999.48547453704</v>
      </c>
      <c r="C436" s="1" t="n">
        <v>46083</v>
      </c>
      <c r="D436" t="inlineStr">
        <is>
          <t>ÖREBRO LÄN</t>
        </is>
      </c>
      <c r="E436" t="inlineStr">
        <is>
          <t>ÖREBRO</t>
        </is>
      </c>
      <c r="G436" t="n">
        <v>3.5</v>
      </c>
      <c r="H436" t="n">
        <v>0</v>
      </c>
      <c r="I436" t="n">
        <v>0</v>
      </c>
      <c r="J436" t="n">
        <v>0</v>
      </c>
      <c r="K436" t="n">
        <v>0</v>
      </c>
      <c r="L436" t="n">
        <v>0</v>
      </c>
      <c r="M436" t="n">
        <v>0</v>
      </c>
      <c r="N436" t="n">
        <v>0</v>
      </c>
      <c r="O436" t="n">
        <v>0</v>
      </c>
      <c r="P436" t="n">
        <v>0</v>
      </c>
      <c r="Q436" t="n">
        <v>0</v>
      </c>
      <c r="R436" s="2" t="inlineStr"/>
    </row>
    <row r="437" ht="15" customHeight="1">
      <c r="A437" t="inlineStr">
        <is>
          <t>A 13599-2025</t>
        </is>
      </c>
      <c r="B437" s="1" t="n">
        <v>45736.60597222222</v>
      </c>
      <c r="C437" s="1" t="n">
        <v>46083</v>
      </c>
      <c r="D437" t="inlineStr">
        <is>
          <t>ÖREBRO LÄN</t>
        </is>
      </c>
      <c r="E437" t="inlineStr">
        <is>
          <t>ÖREBRO</t>
        </is>
      </c>
      <c r="G437" t="n">
        <v>1.9</v>
      </c>
      <c r="H437" t="n">
        <v>0</v>
      </c>
      <c r="I437" t="n">
        <v>0</v>
      </c>
      <c r="J437" t="n">
        <v>0</v>
      </c>
      <c r="K437" t="n">
        <v>0</v>
      </c>
      <c r="L437" t="n">
        <v>0</v>
      </c>
      <c r="M437" t="n">
        <v>0</v>
      </c>
      <c r="N437" t="n">
        <v>0</v>
      </c>
      <c r="O437" t="n">
        <v>0</v>
      </c>
      <c r="P437" t="n">
        <v>0</v>
      </c>
      <c r="Q437" t="n">
        <v>0</v>
      </c>
      <c r="R437" s="2" t="inlineStr"/>
    </row>
    <row r="438" ht="15" customHeight="1">
      <c r="A438" t="inlineStr">
        <is>
          <t>A 3944-2026</t>
        </is>
      </c>
      <c r="B438" s="1" t="n">
        <v>46043.93358796297</v>
      </c>
      <c r="C438" s="1" t="n">
        <v>46083</v>
      </c>
      <c r="D438" t="inlineStr">
        <is>
          <t>ÖREBRO LÄN</t>
        </is>
      </c>
      <c r="E438" t="inlineStr">
        <is>
          <t>ÖREBRO</t>
        </is>
      </c>
      <c r="F438" t="inlineStr">
        <is>
          <t>Övriga Aktiebolag</t>
        </is>
      </c>
      <c r="G438" t="n">
        <v>1.7</v>
      </c>
      <c r="H438" t="n">
        <v>0</v>
      </c>
      <c r="I438" t="n">
        <v>0</v>
      </c>
      <c r="J438" t="n">
        <v>0</v>
      </c>
      <c r="K438" t="n">
        <v>0</v>
      </c>
      <c r="L438" t="n">
        <v>0</v>
      </c>
      <c r="M438" t="n">
        <v>0</v>
      </c>
      <c r="N438" t="n">
        <v>0</v>
      </c>
      <c r="O438" t="n">
        <v>0</v>
      </c>
      <c r="P438" t="n">
        <v>0</v>
      </c>
      <c r="Q438" t="n">
        <v>0</v>
      </c>
      <c r="R438" s="2" t="inlineStr"/>
    </row>
    <row r="439" ht="15" customHeight="1">
      <c r="A439" t="inlineStr">
        <is>
          <t>A 61525-2025</t>
        </is>
      </c>
      <c r="B439" s="1" t="n">
        <v>46001</v>
      </c>
      <c r="C439" s="1" t="n">
        <v>46083</v>
      </c>
      <c r="D439" t="inlineStr">
        <is>
          <t>ÖREBRO LÄN</t>
        </is>
      </c>
      <c r="E439" t="inlineStr">
        <is>
          <t>ÖREBRO</t>
        </is>
      </c>
      <c r="G439" t="n">
        <v>2.6</v>
      </c>
      <c r="H439" t="n">
        <v>0</v>
      </c>
      <c r="I439" t="n">
        <v>0</v>
      </c>
      <c r="J439" t="n">
        <v>0</v>
      </c>
      <c r="K439" t="n">
        <v>0</v>
      </c>
      <c r="L439" t="n">
        <v>0</v>
      </c>
      <c r="M439" t="n">
        <v>0</v>
      </c>
      <c r="N439" t="n">
        <v>0</v>
      </c>
      <c r="O439" t="n">
        <v>0</v>
      </c>
      <c r="P439" t="n">
        <v>0</v>
      </c>
      <c r="Q439" t="n">
        <v>0</v>
      </c>
      <c r="R439" s="2" t="inlineStr"/>
    </row>
    <row r="440" ht="15" customHeight="1">
      <c r="A440" t="inlineStr">
        <is>
          <t>A 50375-2024</t>
        </is>
      </c>
      <c r="B440" s="1" t="n">
        <v>45601.29311342593</v>
      </c>
      <c r="C440" s="1" t="n">
        <v>46083</v>
      </c>
      <c r="D440" t="inlineStr">
        <is>
          <t>ÖREBRO LÄN</t>
        </is>
      </c>
      <c r="E440" t="inlineStr">
        <is>
          <t>ÖREBRO</t>
        </is>
      </c>
      <c r="G440" t="n">
        <v>5</v>
      </c>
      <c r="H440" t="n">
        <v>0</v>
      </c>
      <c r="I440" t="n">
        <v>0</v>
      </c>
      <c r="J440" t="n">
        <v>0</v>
      </c>
      <c r="K440" t="n">
        <v>0</v>
      </c>
      <c r="L440" t="n">
        <v>0</v>
      </c>
      <c r="M440" t="n">
        <v>0</v>
      </c>
      <c r="N440" t="n">
        <v>0</v>
      </c>
      <c r="O440" t="n">
        <v>0</v>
      </c>
      <c r="P440" t="n">
        <v>0</v>
      </c>
      <c r="Q440" t="n">
        <v>0</v>
      </c>
      <c r="R440" s="2" t="inlineStr"/>
    </row>
    <row r="441" ht="15" customHeight="1">
      <c r="A441" t="inlineStr">
        <is>
          <t>A 52391-2024</t>
        </is>
      </c>
      <c r="B441" s="1" t="n">
        <v>45609.43180555556</v>
      </c>
      <c r="C441" s="1" t="n">
        <v>46083</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61930-2025</t>
        </is>
      </c>
      <c r="B442" s="1" t="n">
        <v>46003</v>
      </c>
      <c r="C442" s="1" t="n">
        <v>46083</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58532-2024</t>
        </is>
      </c>
      <c r="B443" s="1" t="n">
        <v>45635.44899305556</v>
      </c>
      <c r="C443" s="1" t="n">
        <v>46083</v>
      </c>
      <c r="D443" t="inlineStr">
        <is>
          <t>ÖREBRO LÄN</t>
        </is>
      </c>
      <c r="E443" t="inlineStr">
        <is>
          <t>ÖREBRO</t>
        </is>
      </c>
      <c r="F443" t="inlineStr">
        <is>
          <t>Sveaskog</t>
        </is>
      </c>
      <c r="G443" t="n">
        <v>5.2</v>
      </c>
      <c r="H443" t="n">
        <v>0</v>
      </c>
      <c r="I443" t="n">
        <v>0</v>
      </c>
      <c r="J443" t="n">
        <v>0</v>
      </c>
      <c r="K443" t="n">
        <v>0</v>
      </c>
      <c r="L443" t="n">
        <v>0</v>
      </c>
      <c r="M443" t="n">
        <v>0</v>
      </c>
      <c r="N443" t="n">
        <v>0</v>
      </c>
      <c r="O443" t="n">
        <v>0</v>
      </c>
      <c r="P443" t="n">
        <v>0</v>
      </c>
      <c r="Q443" t="n">
        <v>0</v>
      </c>
      <c r="R443" s="2" t="inlineStr"/>
    </row>
    <row r="444" ht="15" customHeight="1">
      <c r="A444" t="inlineStr">
        <is>
          <t>A 20150-2024</t>
        </is>
      </c>
      <c r="B444" s="1" t="n">
        <v>45434.57969907407</v>
      </c>
      <c r="C444" s="1" t="n">
        <v>46083</v>
      </c>
      <c r="D444" t="inlineStr">
        <is>
          <t>ÖREBRO LÄN</t>
        </is>
      </c>
      <c r="E444" t="inlineStr">
        <is>
          <t>ÖREBRO</t>
        </is>
      </c>
      <c r="G444" t="n">
        <v>0.5</v>
      </c>
      <c r="H444" t="n">
        <v>0</v>
      </c>
      <c r="I444" t="n">
        <v>0</v>
      </c>
      <c r="J444" t="n">
        <v>0</v>
      </c>
      <c r="K444" t="n">
        <v>0</v>
      </c>
      <c r="L444" t="n">
        <v>0</v>
      </c>
      <c r="M444" t="n">
        <v>0</v>
      </c>
      <c r="N444" t="n">
        <v>0</v>
      </c>
      <c r="O444" t="n">
        <v>0</v>
      </c>
      <c r="P444" t="n">
        <v>0</v>
      </c>
      <c r="Q444" t="n">
        <v>0</v>
      </c>
      <c r="R444" s="2" t="inlineStr"/>
    </row>
    <row r="445" ht="15" customHeight="1">
      <c r="A445" t="inlineStr">
        <is>
          <t>A 58208-2024</t>
        </is>
      </c>
      <c r="B445" s="1" t="n">
        <v>45632</v>
      </c>
      <c r="C445" s="1" t="n">
        <v>46083</v>
      </c>
      <c r="D445" t="inlineStr">
        <is>
          <t>ÖREBRO LÄN</t>
        </is>
      </c>
      <c r="E445" t="inlineStr">
        <is>
          <t>ÖREBRO</t>
        </is>
      </c>
      <c r="G445" t="n">
        <v>3.1</v>
      </c>
      <c r="H445" t="n">
        <v>0</v>
      </c>
      <c r="I445" t="n">
        <v>0</v>
      </c>
      <c r="J445" t="n">
        <v>0</v>
      </c>
      <c r="K445" t="n">
        <v>0</v>
      </c>
      <c r="L445" t="n">
        <v>0</v>
      </c>
      <c r="M445" t="n">
        <v>0</v>
      </c>
      <c r="N445" t="n">
        <v>0</v>
      </c>
      <c r="O445" t="n">
        <v>0</v>
      </c>
      <c r="P445" t="n">
        <v>0</v>
      </c>
      <c r="Q445" t="n">
        <v>0</v>
      </c>
      <c r="R445" s="2" t="inlineStr"/>
    </row>
    <row r="446" ht="15" customHeight="1">
      <c r="A446" t="inlineStr">
        <is>
          <t>A 19388-2024</t>
        </is>
      </c>
      <c r="B446" s="1" t="n">
        <v>45429.37775462963</v>
      </c>
      <c r="C446" s="1" t="n">
        <v>46083</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7506-2025</t>
        </is>
      </c>
      <c r="B447" s="1" t="n">
        <v>45705</v>
      </c>
      <c r="C447" s="1" t="n">
        <v>46083</v>
      </c>
      <c r="D447" t="inlineStr">
        <is>
          <t>ÖREBRO LÄN</t>
        </is>
      </c>
      <c r="E447" t="inlineStr">
        <is>
          <t>ÖREBRO</t>
        </is>
      </c>
      <c r="G447" t="n">
        <v>0.5</v>
      </c>
      <c r="H447" t="n">
        <v>0</v>
      </c>
      <c r="I447" t="n">
        <v>0</v>
      </c>
      <c r="J447" t="n">
        <v>0</v>
      </c>
      <c r="K447" t="n">
        <v>0</v>
      </c>
      <c r="L447" t="n">
        <v>0</v>
      </c>
      <c r="M447" t="n">
        <v>0</v>
      </c>
      <c r="N447" t="n">
        <v>0</v>
      </c>
      <c r="O447" t="n">
        <v>0</v>
      </c>
      <c r="P447" t="n">
        <v>0</v>
      </c>
      <c r="Q447" t="n">
        <v>0</v>
      </c>
      <c r="R447" s="2" t="inlineStr"/>
    </row>
    <row r="448" ht="15" customHeight="1">
      <c r="A448" t="inlineStr">
        <is>
          <t>A 4344-2025</t>
        </is>
      </c>
      <c r="B448" s="1" t="n">
        <v>45685</v>
      </c>
      <c r="C448" s="1" t="n">
        <v>46083</v>
      </c>
      <c r="D448" t="inlineStr">
        <is>
          <t>ÖREBRO LÄN</t>
        </is>
      </c>
      <c r="E448" t="inlineStr">
        <is>
          <t>ÖREBRO</t>
        </is>
      </c>
      <c r="G448" t="n">
        <v>1.6</v>
      </c>
      <c r="H448" t="n">
        <v>0</v>
      </c>
      <c r="I448" t="n">
        <v>0</v>
      </c>
      <c r="J448" t="n">
        <v>0</v>
      </c>
      <c r="K448" t="n">
        <v>0</v>
      </c>
      <c r="L448" t="n">
        <v>0</v>
      </c>
      <c r="M448" t="n">
        <v>0</v>
      </c>
      <c r="N448" t="n">
        <v>0</v>
      </c>
      <c r="O448" t="n">
        <v>0</v>
      </c>
      <c r="P448" t="n">
        <v>0</v>
      </c>
      <c r="Q448" t="n">
        <v>0</v>
      </c>
      <c r="R448" s="2" t="inlineStr"/>
    </row>
    <row r="449" ht="15" customHeight="1">
      <c r="A449" t="inlineStr">
        <is>
          <t>A 16300-2022</t>
        </is>
      </c>
      <c r="B449" s="1" t="n">
        <v>44670</v>
      </c>
      <c r="C449" s="1" t="n">
        <v>46083</v>
      </c>
      <c r="D449" t="inlineStr">
        <is>
          <t>ÖREBRO LÄN</t>
        </is>
      </c>
      <c r="E449" t="inlineStr">
        <is>
          <t>ÖREBRO</t>
        </is>
      </c>
      <c r="G449" t="n">
        <v>0.8</v>
      </c>
      <c r="H449" t="n">
        <v>0</v>
      </c>
      <c r="I449" t="n">
        <v>0</v>
      </c>
      <c r="J449" t="n">
        <v>0</v>
      </c>
      <c r="K449" t="n">
        <v>0</v>
      </c>
      <c r="L449" t="n">
        <v>0</v>
      </c>
      <c r="M449" t="n">
        <v>0</v>
      </c>
      <c r="N449" t="n">
        <v>0</v>
      </c>
      <c r="O449" t="n">
        <v>0</v>
      </c>
      <c r="P449" t="n">
        <v>0</v>
      </c>
      <c r="Q449" t="n">
        <v>0</v>
      </c>
      <c r="R449" s="2" t="inlineStr"/>
    </row>
    <row r="450" ht="15" customHeight="1">
      <c r="A450" t="inlineStr">
        <is>
          <t>A 62683-2025</t>
        </is>
      </c>
      <c r="B450" s="1" t="n">
        <v>46008.45796296297</v>
      </c>
      <c r="C450" s="1" t="n">
        <v>46083</v>
      </c>
      <c r="D450" t="inlineStr">
        <is>
          <t>ÖREBRO LÄN</t>
        </is>
      </c>
      <c r="E450" t="inlineStr">
        <is>
          <t>ÖREBRO</t>
        </is>
      </c>
      <c r="G450" t="n">
        <v>5.1</v>
      </c>
      <c r="H450" t="n">
        <v>0</v>
      </c>
      <c r="I450" t="n">
        <v>0</v>
      </c>
      <c r="J450" t="n">
        <v>0</v>
      </c>
      <c r="K450" t="n">
        <v>0</v>
      </c>
      <c r="L450" t="n">
        <v>0</v>
      </c>
      <c r="M450" t="n">
        <v>0</v>
      </c>
      <c r="N450" t="n">
        <v>0</v>
      </c>
      <c r="O450" t="n">
        <v>0</v>
      </c>
      <c r="P450" t="n">
        <v>0</v>
      </c>
      <c r="Q450" t="n">
        <v>0</v>
      </c>
      <c r="R450" s="2" t="inlineStr"/>
    </row>
    <row r="451" ht="15" customHeight="1">
      <c r="A451" t="inlineStr">
        <is>
          <t>A 16958-2022</t>
        </is>
      </c>
      <c r="B451" s="1" t="n">
        <v>44676.50481481481</v>
      </c>
      <c r="C451" s="1" t="n">
        <v>46083</v>
      </c>
      <c r="D451" t="inlineStr">
        <is>
          <t>ÖREBRO LÄN</t>
        </is>
      </c>
      <c r="E451" t="inlineStr">
        <is>
          <t>ÖREBRO</t>
        </is>
      </c>
      <c r="G451" t="n">
        <v>3.1</v>
      </c>
      <c r="H451" t="n">
        <v>0</v>
      </c>
      <c r="I451" t="n">
        <v>0</v>
      </c>
      <c r="J451" t="n">
        <v>0</v>
      </c>
      <c r="K451" t="n">
        <v>0</v>
      </c>
      <c r="L451" t="n">
        <v>0</v>
      </c>
      <c r="M451" t="n">
        <v>0</v>
      </c>
      <c r="N451" t="n">
        <v>0</v>
      </c>
      <c r="O451" t="n">
        <v>0</v>
      </c>
      <c r="P451" t="n">
        <v>0</v>
      </c>
      <c r="Q451" t="n">
        <v>0</v>
      </c>
      <c r="R451" s="2" t="inlineStr"/>
    </row>
    <row r="452" ht="15" customHeight="1">
      <c r="A452" t="inlineStr">
        <is>
          <t>A 55472-2023</t>
        </is>
      </c>
      <c r="B452" s="1" t="n">
        <v>45238</v>
      </c>
      <c r="C452" s="1" t="n">
        <v>46083</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54925-2023</t>
        </is>
      </c>
      <c r="B453" s="1" t="n">
        <v>45229</v>
      </c>
      <c r="C453" s="1" t="n">
        <v>46083</v>
      </c>
      <c r="D453" t="inlineStr">
        <is>
          <t>ÖREBRO LÄN</t>
        </is>
      </c>
      <c r="E453" t="inlineStr">
        <is>
          <t>ÖREBRO</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16961-2022</t>
        </is>
      </c>
      <c r="B454" s="1" t="n">
        <v>44676</v>
      </c>
      <c r="C454" s="1" t="n">
        <v>46083</v>
      </c>
      <c r="D454" t="inlineStr">
        <is>
          <t>ÖREBRO LÄN</t>
        </is>
      </c>
      <c r="E454" t="inlineStr">
        <is>
          <t>ÖREBRO</t>
        </is>
      </c>
      <c r="G454" t="n">
        <v>1.2</v>
      </c>
      <c r="H454" t="n">
        <v>0</v>
      </c>
      <c r="I454" t="n">
        <v>0</v>
      </c>
      <c r="J454" t="n">
        <v>0</v>
      </c>
      <c r="K454" t="n">
        <v>0</v>
      </c>
      <c r="L454" t="n">
        <v>0</v>
      </c>
      <c r="M454" t="n">
        <v>0</v>
      </c>
      <c r="N454" t="n">
        <v>0</v>
      </c>
      <c r="O454" t="n">
        <v>0</v>
      </c>
      <c r="P454" t="n">
        <v>0</v>
      </c>
      <c r="Q454" t="n">
        <v>0</v>
      </c>
      <c r="R454" s="2" t="inlineStr"/>
    </row>
    <row r="455" ht="15" customHeight="1">
      <c r="A455" t="inlineStr">
        <is>
          <t>A 15424-2022</t>
        </is>
      </c>
      <c r="B455" s="1" t="n">
        <v>44659</v>
      </c>
      <c r="C455" s="1" t="n">
        <v>46083</v>
      </c>
      <c r="D455" t="inlineStr">
        <is>
          <t>ÖREBRO LÄN</t>
        </is>
      </c>
      <c r="E455" t="inlineStr">
        <is>
          <t>ÖREBRO</t>
        </is>
      </c>
      <c r="G455" t="n">
        <v>2.2</v>
      </c>
      <c r="H455" t="n">
        <v>0</v>
      </c>
      <c r="I455" t="n">
        <v>0</v>
      </c>
      <c r="J455" t="n">
        <v>0</v>
      </c>
      <c r="K455" t="n">
        <v>0</v>
      </c>
      <c r="L455" t="n">
        <v>0</v>
      </c>
      <c r="M455" t="n">
        <v>0</v>
      </c>
      <c r="N455" t="n">
        <v>0</v>
      </c>
      <c r="O455" t="n">
        <v>0</v>
      </c>
      <c r="P455" t="n">
        <v>0</v>
      </c>
      <c r="Q455" t="n">
        <v>0</v>
      </c>
      <c r="R455" s="2" t="inlineStr"/>
    </row>
    <row r="456" ht="15" customHeight="1">
      <c r="A456" t="inlineStr">
        <is>
          <t>A 55003-2025</t>
        </is>
      </c>
      <c r="B456" s="1" t="n">
        <v>45967</v>
      </c>
      <c r="C456" s="1" t="n">
        <v>46083</v>
      </c>
      <c r="D456" t="inlineStr">
        <is>
          <t>ÖREBRO LÄN</t>
        </is>
      </c>
      <c r="E456" t="inlineStr">
        <is>
          <t>ÖREBRO</t>
        </is>
      </c>
      <c r="F456" t="inlineStr">
        <is>
          <t>Övriga Aktiebolag</t>
        </is>
      </c>
      <c r="G456" t="n">
        <v>1.9</v>
      </c>
      <c r="H456" t="n">
        <v>0</v>
      </c>
      <c r="I456" t="n">
        <v>0</v>
      </c>
      <c r="J456" t="n">
        <v>0</v>
      </c>
      <c r="K456" t="n">
        <v>0</v>
      </c>
      <c r="L456" t="n">
        <v>0</v>
      </c>
      <c r="M456" t="n">
        <v>0</v>
      </c>
      <c r="N456" t="n">
        <v>0</v>
      </c>
      <c r="O456" t="n">
        <v>0</v>
      </c>
      <c r="P456" t="n">
        <v>0</v>
      </c>
      <c r="Q456" t="n">
        <v>0</v>
      </c>
      <c r="R456" s="2" t="inlineStr"/>
    </row>
    <row r="457" ht="15" customHeight="1">
      <c r="A457" t="inlineStr">
        <is>
          <t>A 16258-2022</t>
        </is>
      </c>
      <c r="B457" s="1" t="n">
        <v>44670</v>
      </c>
      <c r="C457" s="1" t="n">
        <v>46083</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6220-2026</t>
        </is>
      </c>
      <c r="B458" s="1" t="n">
        <v>46055.43789351852</v>
      </c>
      <c r="C458" s="1" t="n">
        <v>46083</v>
      </c>
      <c r="D458" t="inlineStr">
        <is>
          <t>ÖREBRO LÄN</t>
        </is>
      </c>
      <c r="E458" t="inlineStr">
        <is>
          <t>ÖREBRO</t>
        </is>
      </c>
      <c r="G458" t="n">
        <v>2.1</v>
      </c>
      <c r="H458" t="n">
        <v>0</v>
      </c>
      <c r="I458" t="n">
        <v>0</v>
      </c>
      <c r="J458" t="n">
        <v>0</v>
      </c>
      <c r="K458" t="n">
        <v>0</v>
      </c>
      <c r="L458" t="n">
        <v>0</v>
      </c>
      <c r="M458" t="n">
        <v>0</v>
      </c>
      <c r="N458" t="n">
        <v>0</v>
      </c>
      <c r="O458" t="n">
        <v>0</v>
      </c>
      <c r="P458" t="n">
        <v>0</v>
      </c>
      <c r="Q458" t="n">
        <v>0</v>
      </c>
      <c r="R458" s="2" t="inlineStr"/>
    </row>
    <row r="459" ht="15" customHeight="1">
      <c r="A459" t="inlineStr">
        <is>
          <t>A 13700-2024</t>
        </is>
      </c>
      <c r="B459" s="1" t="n">
        <v>45390.59277777778</v>
      </c>
      <c r="C459" s="1" t="n">
        <v>46083</v>
      </c>
      <c r="D459" t="inlineStr">
        <is>
          <t>ÖREBRO LÄN</t>
        </is>
      </c>
      <c r="E459" t="inlineStr">
        <is>
          <t>ÖREBRO</t>
        </is>
      </c>
      <c r="G459" t="n">
        <v>1.2</v>
      </c>
      <c r="H459" t="n">
        <v>0</v>
      </c>
      <c r="I459" t="n">
        <v>0</v>
      </c>
      <c r="J459" t="n">
        <v>0</v>
      </c>
      <c r="K459" t="n">
        <v>0</v>
      </c>
      <c r="L459" t="n">
        <v>0</v>
      </c>
      <c r="M459" t="n">
        <v>0</v>
      </c>
      <c r="N459" t="n">
        <v>0</v>
      </c>
      <c r="O459" t="n">
        <v>0</v>
      </c>
      <c r="P459" t="n">
        <v>0</v>
      </c>
      <c r="Q459" t="n">
        <v>0</v>
      </c>
      <c r="R459" s="2" t="inlineStr"/>
    </row>
    <row r="460" ht="15" customHeight="1">
      <c r="A460" t="inlineStr">
        <is>
          <t>A 63657-2025</t>
        </is>
      </c>
      <c r="B460" s="1" t="n">
        <v>46014.44479166667</v>
      </c>
      <c r="C460" s="1" t="n">
        <v>46083</v>
      </c>
      <c r="D460" t="inlineStr">
        <is>
          <t>ÖREBRO LÄN</t>
        </is>
      </c>
      <c r="E460" t="inlineStr">
        <is>
          <t>ÖREBRO</t>
        </is>
      </c>
      <c r="F460" t="inlineStr">
        <is>
          <t>Allmännings- och besparingsskogar</t>
        </is>
      </c>
      <c r="G460" t="n">
        <v>3.9</v>
      </c>
      <c r="H460" t="n">
        <v>0</v>
      </c>
      <c r="I460" t="n">
        <v>0</v>
      </c>
      <c r="J460" t="n">
        <v>0</v>
      </c>
      <c r="K460" t="n">
        <v>0</v>
      </c>
      <c r="L460" t="n">
        <v>0</v>
      </c>
      <c r="M460" t="n">
        <v>0</v>
      </c>
      <c r="N460" t="n">
        <v>0</v>
      </c>
      <c r="O460" t="n">
        <v>0</v>
      </c>
      <c r="P460" t="n">
        <v>0</v>
      </c>
      <c r="Q460" t="n">
        <v>0</v>
      </c>
      <c r="R460" s="2" t="inlineStr"/>
    </row>
    <row r="461" ht="15" customHeight="1">
      <c r="A461" t="inlineStr">
        <is>
          <t>A 3659-2025</t>
        </is>
      </c>
      <c r="B461" s="1" t="n">
        <v>45681</v>
      </c>
      <c r="C461" s="1" t="n">
        <v>46083</v>
      </c>
      <c r="D461" t="inlineStr">
        <is>
          <t>ÖREBRO LÄN</t>
        </is>
      </c>
      <c r="E461" t="inlineStr">
        <is>
          <t>ÖREBRO</t>
        </is>
      </c>
      <c r="G461" t="n">
        <v>15.8</v>
      </c>
      <c r="H461" t="n">
        <v>0</v>
      </c>
      <c r="I461" t="n">
        <v>0</v>
      </c>
      <c r="J461" t="n">
        <v>0</v>
      </c>
      <c r="K461" t="n">
        <v>0</v>
      </c>
      <c r="L461" t="n">
        <v>0</v>
      </c>
      <c r="M461" t="n">
        <v>0</v>
      </c>
      <c r="N461" t="n">
        <v>0</v>
      </c>
      <c r="O461" t="n">
        <v>0</v>
      </c>
      <c r="P461" t="n">
        <v>0</v>
      </c>
      <c r="Q461" t="n">
        <v>0</v>
      </c>
      <c r="R461" s="2" t="inlineStr"/>
    </row>
    <row r="462" ht="15" customHeight="1">
      <c r="A462" t="inlineStr">
        <is>
          <t>A 1014-2024</t>
        </is>
      </c>
      <c r="B462" s="1" t="n">
        <v>45301</v>
      </c>
      <c r="C462" s="1" t="n">
        <v>46083</v>
      </c>
      <c r="D462" t="inlineStr">
        <is>
          <t>ÖREBRO LÄN</t>
        </is>
      </c>
      <c r="E462" t="inlineStr">
        <is>
          <t>ÖREBRO</t>
        </is>
      </c>
      <c r="G462" t="n">
        <v>1.4</v>
      </c>
      <c r="H462" t="n">
        <v>0</v>
      </c>
      <c r="I462" t="n">
        <v>0</v>
      </c>
      <c r="J462" t="n">
        <v>0</v>
      </c>
      <c r="K462" t="n">
        <v>0</v>
      </c>
      <c r="L462" t="n">
        <v>0</v>
      </c>
      <c r="M462" t="n">
        <v>0</v>
      </c>
      <c r="N462" t="n">
        <v>0</v>
      </c>
      <c r="O462" t="n">
        <v>0</v>
      </c>
      <c r="P462" t="n">
        <v>0</v>
      </c>
      <c r="Q462" t="n">
        <v>0</v>
      </c>
      <c r="R462" s="2" t="inlineStr"/>
    </row>
    <row r="463" ht="15" customHeight="1">
      <c r="A463" t="inlineStr">
        <is>
          <t>A 63666-2025</t>
        </is>
      </c>
      <c r="B463" s="1" t="n">
        <v>46014.45650462963</v>
      </c>
      <c r="C463" s="1" t="n">
        <v>46083</v>
      </c>
      <c r="D463" t="inlineStr">
        <is>
          <t>ÖREBRO LÄN</t>
        </is>
      </c>
      <c r="E463" t="inlineStr">
        <is>
          <t>ÖREBRO</t>
        </is>
      </c>
      <c r="F463" t="inlineStr">
        <is>
          <t>Allmännings- och besparingsskogar</t>
        </is>
      </c>
      <c r="G463" t="n">
        <v>2.6</v>
      </c>
      <c r="H463" t="n">
        <v>0</v>
      </c>
      <c r="I463" t="n">
        <v>0</v>
      </c>
      <c r="J463" t="n">
        <v>0</v>
      </c>
      <c r="K463" t="n">
        <v>0</v>
      </c>
      <c r="L463" t="n">
        <v>0</v>
      </c>
      <c r="M463" t="n">
        <v>0</v>
      </c>
      <c r="N463" t="n">
        <v>0</v>
      </c>
      <c r="O463" t="n">
        <v>0</v>
      </c>
      <c r="P463" t="n">
        <v>0</v>
      </c>
      <c r="Q463" t="n">
        <v>0</v>
      </c>
      <c r="R463" s="2" t="inlineStr"/>
    </row>
    <row r="464" ht="15" customHeight="1">
      <c r="A464" t="inlineStr">
        <is>
          <t>A 7220-2026</t>
        </is>
      </c>
      <c r="B464" s="1" t="n">
        <v>46058.56126157408</v>
      </c>
      <c r="C464" s="1" t="n">
        <v>46083</v>
      </c>
      <c r="D464" t="inlineStr">
        <is>
          <t>ÖREBRO LÄN</t>
        </is>
      </c>
      <c r="E464" t="inlineStr">
        <is>
          <t>ÖREBRO</t>
        </is>
      </c>
      <c r="F464" t="inlineStr">
        <is>
          <t>Övriga Aktiebolag</t>
        </is>
      </c>
      <c r="G464" t="n">
        <v>2</v>
      </c>
      <c r="H464" t="n">
        <v>0</v>
      </c>
      <c r="I464" t="n">
        <v>0</v>
      </c>
      <c r="J464" t="n">
        <v>0</v>
      </c>
      <c r="K464" t="n">
        <v>0</v>
      </c>
      <c r="L464" t="n">
        <v>0</v>
      </c>
      <c r="M464" t="n">
        <v>0</v>
      </c>
      <c r="N464" t="n">
        <v>0</v>
      </c>
      <c r="O464" t="n">
        <v>0</v>
      </c>
      <c r="P464" t="n">
        <v>0</v>
      </c>
      <c r="Q464" t="n">
        <v>0</v>
      </c>
      <c r="R464" s="2" t="inlineStr"/>
    </row>
    <row r="465" ht="15" customHeight="1">
      <c r="A465" t="inlineStr">
        <is>
          <t>A 7227-2026</t>
        </is>
      </c>
      <c r="B465" s="1" t="n">
        <v>46058.56858796296</v>
      </c>
      <c r="C465" s="1" t="n">
        <v>46083</v>
      </c>
      <c r="D465" t="inlineStr">
        <is>
          <t>ÖREBRO LÄN</t>
        </is>
      </c>
      <c r="E465" t="inlineStr">
        <is>
          <t>ÖREBRO</t>
        </is>
      </c>
      <c r="F465" t="inlineStr">
        <is>
          <t>Övriga Aktiebolag</t>
        </is>
      </c>
      <c r="G465" t="n">
        <v>0.7</v>
      </c>
      <c r="H465" t="n">
        <v>0</v>
      </c>
      <c r="I465" t="n">
        <v>0</v>
      </c>
      <c r="J465" t="n">
        <v>0</v>
      </c>
      <c r="K465" t="n">
        <v>0</v>
      </c>
      <c r="L465" t="n">
        <v>0</v>
      </c>
      <c r="M465" t="n">
        <v>0</v>
      </c>
      <c r="N465" t="n">
        <v>0</v>
      </c>
      <c r="O465" t="n">
        <v>0</v>
      </c>
      <c r="P465" t="n">
        <v>0</v>
      </c>
      <c r="Q465" t="n">
        <v>0</v>
      </c>
      <c r="R465" s="2" t="inlineStr"/>
    </row>
    <row r="466" ht="15" customHeight="1">
      <c r="A466" t="inlineStr">
        <is>
          <t>A 63662-2025</t>
        </is>
      </c>
      <c r="B466" s="1" t="n">
        <v>46014.45055555556</v>
      </c>
      <c r="C466" s="1" t="n">
        <v>46083</v>
      </c>
      <c r="D466" t="inlineStr">
        <is>
          <t>ÖREBRO LÄN</t>
        </is>
      </c>
      <c r="E466" t="inlineStr">
        <is>
          <t>ÖREBRO</t>
        </is>
      </c>
      <c r="F466" t="inlineStr">
        <is>
          <t>Allmännings- och besparingsskogar</t>
        </is>
      </c>
      <c r="G466" t="n">
        <v>3.2</v>
      </c>
      <c r="H466" t="n">
        <v>0</v>
      </c>
      <c r="I466" t="n">
        <v>0</v>
      </c>
      <c r="J466" t="n">
        <v>0</v>
      </c>
      <c r="K466" t="n">
        <v>0</v>
      </c>
      <c r="L466" t="n">
        <v>0</v>
      </c>
      <c r="M466" t="n">
        <v>0</v>
      </c>
      <c r="N466" t="n">
        <v>0</v>
      </c>
      <c r="O466" t="n">
        <v>0</v>
      </c>
      <c r="P466" t="n">
        <v>0</v>
      </c>
      <c r="Q466" t="n">
        <v>0</v>
      </c>
      <c r="R466" s="2" t="inlineStr"/>
    </row>
    <row r="467" ht="15" customHeight="1">
      <c r="A467" t="inlineStr">
        <is>
          <t>A 7275-2026</t>
        </is>
      </c>
      <c r="B467" s="1" t="n">
        <v>46058.6259375</v>
      </c>
      <c r="C467" s="1" t="n">
        <v>46083</v>
      </c>
      <c r="D467" t="inlineStr">
        <is>
          <t>ÖREBRO LÄN</t>
        </is>
      </c>
      <c r="E467" t="inlineStr">
        <is>
          <t>ÖREBRO</t>
        </is>
      </c>
      <c r="F467" t="inlineStr">
        <is>
          <t>Övriga Aktiebolag</t>
        </is>
      </c>
      <c r="G467" t="n">
        <v>5.2</v>
      </c>
      <c r="H467" t="n">
        <v>0</v>
      </c>
      <c r="I467" t="n">
        <v>0</v>
      </c>
      <c r="J467" t="n">
        <v>0</v>
      </c>
      <c r="K467" t="n">
        <v>0</v>
      </c>
      <c r="L467" t="n">
        <v>0</v>
      </c>
      <c r="M467" t="n">
        <v>0</v>
      </c>
      <c r="N467" t="n">
        <v>0</v>
      </c>
      <c r="O467" t="n">
        <v>0</v>
      </c>
      <c r="P467" t="n">
        <v>0</v>
      </c>
      <c r="Q467" t="n">
        <v>0</v>
      </c>
      <c r="R467" s="2" t="inlineStr"/>
    </row>
    <row r="468" ht="15" customHeight="1">
      <c r="A468" t="inlineStr">
        <is>
          <t>A 767-2024</t>
        </is>
      </c>
      <c r="B468" s="1" t="n">
        <v>45300.51892361111</v>
      </c>
      <c r="C468" s="1" t="n">
        <v>46083</v>
      </c>
      <c r="D468" t="inlineStr">
        <is>
          <t>ÖREBRO LÄN</t>
        </is>
      </c>
      <c r="E468" t="inlineStr">
        <is>
          <t>ÖREBRO</t>
        </is>
      </c>
      <c r="G468" t="n">
        <v>2</v>
      </c>
      <c r="H468" t="n">
        <v>0</v>
      </c>
      <c r="I468" t="n">
        <v>0</v>
      </c>
      <c r="J468" t="n">
        <v>0</v>
      </c>
      <c r="K468" t="n">
        <v>0</v>
      </c>
      <c r="L468" t="n">
        <v>0</v>
      </c>
      <c r="M468" t="n">
        <v>0</v>
      </c>
      <c r="N468" t="n">
        <v>0</v>
      </c>
      <c r="O468" t="n">
        <v>0</v>
      </c>
      <c r="P468" t="n">
        <v>0</v>
      </c>
      <c r="Q468" t="n">
        <v>0</v>
      </c>
      <c r="R468" s="2" t="inlineStr"/>
    </row>
    <row r="469" ht="15" customHeight="1">
      <c r="A469" t="inlineStr">
        <is>
          <t>A 7550-2026</t>
        </is>
      </c>
      <c r="B469" s="1" t="n">
        <v>46059.68496527777</v>
      </c>
      <c r="C469" s="1" t="n">
        <v>46083</v>
      </c>
      <c r="D469" t="inlineStr">
        <is>
          <t>ÖREBRO LÄN</t>
        </is>
      </c>
      <c r="E469" t="inlineStr">
        <is>
          <t>ÖREBRO</t>
        </is>
      </c>
      <c r="G469" t="n">
        <v>1.9</v>
      </c>
      <c r="H469" t="n">
        <v>0</v>
      </c>
      <c r="I469" t="n">
        <v>0</v>
      </c>
      <c r="J469" t="n">
        <v>0</v>
      </c>
      <c r="K469" t="n">
        <v>0</v>
      </c>
      <c r="L469" t="n">
        <v>0</v>
      </c>
      <c r="M469" t="n">
        <v>0</v>
      </c>
      <c r="N469" t="n">
        <v>0</v>
      </c>
      <c r="O469" t="n">
        <v>0</v>
      </c>
      <c r="P469" t="n">
        <v>0</v>
      </c>
      <c r="Q469" t="n">
        <v>0</v>
      </c>
      <c r="R469" s="2" t="inlineStr"/>
    </row>
    <row r="470" ht="15" customHeight="1">
      <c r="A470" t="inlineStr">
        <is>
          <t>A 44511-2023</t>
        </is>
      </c>
      <c r="B470" s="1" t="n">
        <v>45189</v>
      </c>
      <c r="C470" s="1" t="n">
        <v>46083</v>
      </c>
      <c r="D470" t="inlineStr">
        <is>
          <t>ÖREBRO LÄN</t>
        </is>
      </c>
      <c r="E470" t="inlineStr">
        <is>
          <t>ÖREBRO</t>
        </is>
      </c>
      <c r="F470" t="inlineStr">
        <is>
          <t>Allmännings- och besparingsskogar</t>
        </is>
      </c>
      <c r="G470" t="n">
        <v>2.7</v>
      </c>
      <c r="H470" t="n">
        <v>0</v>
      </c>
      <c r="I470" t="n">
        <v>0</v>
      </c>
      <c r="J470" t="n">
        <v>0</v>
      </c>
      <c r="K470" t="n">
        <v>0</v>
      </c>
      <c r="L470" t="n">
        <v>0</v>
      </c>
      <c r="M470" t="n">
        <v>0</v>
      </c>
      <c r="N470" t="n">
        <v>0</v>
      </c>
      <c r="O470" t="n">
        <v>0</v>
      </c>
      <c r="P470" t="n">
        <v>0</v>
      </c>
      <c r="Q470" t="n">
        <v>0</v>
      </c>
      <c r="R470" s="2" t="inlineStr"/>
    </row>
    <row r="471" ht="15" customHeight="1">
      <c r="A471" t="inlineStr">
        <is>
          <t>A 53234-2023</t>
        </is>
      </c>
      <c r="B471" s="1" t="n">
        <v>45229</v>
      </c>
      <c r="C471" s="1" t="n">
        <v>46083</v>
      </c>
      <c r="D471" t="inlineStr">
        <is>
          <t>ÖREBRO LÄN</t>
        </is>
      </c>
      <c r="E471" t="inlineStr">
        <is>
          <t>ÖREBRO</t>
        </is>
      </c>
      <c r="G471" t="n">
        <v>1.8</v>
      </c>
      <c r="H471" t="n">
        <v>0</v>
      </c>
      <c r="I471" t="n">
        <v>0</v>
      </c>
      <c r="J471" t="n">
        <v>0</v>
      </c>
      <c r="K471" t="n">
        <v>0</v>
      </c>
      <c r="L471" t="n">
        <v>0</v>
      </c>
      <c r="M471" t="n">
        <v>0</v>
      </c>
      <c r="N471" t="n">
        <v>0</v>
      </c>
      <c r="O471" t="n">
        <v>0</v>
      </c>
      <c r="P471" t="n">
        <v>0</v>
      </c>
      <c r="Q471" t="n">
        <v>0</v>
      </c>
      <c r="R471" s="2" t="inlineStr"/>
    </row>
    <row r="472" ht="15" customHeight="1">
      <c r="A472" t="inlineStr">
        <is>
          <t>A 8512-2025</t>
        </is>
      </c>
      <c r="B472" s="1" t="n">
        <v>45709.54873842592</v>
      </c>
      <c r="C472" s="1" t="n">
        <v>46083</v>
      </c>
      <c r="D472" t="inlineStr">
        <is>
          <t>ÖREBRO LÄN</t>
        </is>
      </c>
      <c r="E472" t="inlineStr">
        <is>
          <t>ÖREBRO</t>
        </is>
      </c>
      <c r="G472" t="n">
        <v>1.8</v>
      </c>
      <c r="H472" t="n">
        <v>0</v>
      </c>
      <c r="I472" t="n">
        <v>0</v>
      </c>
      <c r="J472" t="n">
        <v>0</v>
      </c>
      <c r="K472" t="n">
        <v>0</v>
      </c>
      <c r="L472" t="n">
        <v>0</v>
      </c>
      <c r="M472" t="n">
        <v>0</v>
      </c>
      <c r="N472" t="n">
        <v>0</v>
      </c>
      <c r="O472" t="n">
        <v>0</v>
      </c>
      <c r="P472" t="n">
        <v>0</v>
      </c>
      <c r="Q472" t="n">
        <v>0</v>
      </c>
      <c r="R472" s="2" t="inlineStr"/>
    </row>
    <row r="473" ht="15" customHeight="1">
      <c r="A473" t="inlineStr">
        <is>
          <t>A 28054-2022</t>
        </is>
      </c>
      <c r="B473" s="1" t="n">
        <v>44746.41938657407</v>
      </c>
      <c r="C473" s="1" t="n">
        <v>46083</v>
      </c>
      <c r="D473" t="inlineStr">
        <is>
          <t>ÖREBRO LÄN</t>
        </is>
      </c>
      <c r="E473" t="inlineStr">
        <is>
          <t>ÖREBRO</t>
        </is>
      </c>
      <c r="G473" t="n">
        <v>1.2</v>
      </c>
      <c r="H473" t="n">
        <v>0</v>
      </c>
      <c r="I473" t="n">
        <v>0</v>
      </c>
      <c r="J473" t="n">
        <v>0</v>
      </c>
      <c r="K473" t="n">
        <v>0</v>
      </c>
      <c r="L473" t="n">
        <v>0</v>
      </c>
      <c r="M473" t="n">
        <v>0</v>
      </c>
      <c r="N473" t="n">
        <v>0</v>
      </c>
      <c r="O473" t="n">
        <v>0</v>
      </c>
      <c r="P473" t="n">
        <v>0</v>
      </c>
      <c r="Q473" t="n">
        <v>0</v>
      </c>
      <c r="R473" s="2" t="inlineStr"/>
    </row>
    <row r="474" ht="15" customHeight="1">
      <c r="A474" t="inlineStr">
        <is>
          <t>A 1647-2024</t>
        </is>
      </c>
      <c r="B474" s="1" t="n">
        <v>45306</v>
      </c>
      <c r="C474" s="1" t="n">
        <v>46083</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57485-2023</t>
        </is>
      </c>
      <c r="B475" s="1" t="n">
        <v>45246</v>
      </c>
      <c r="C475" s="1" t="n">
        <v>46083</v>
      </c>
      <c r="D475" t="inlineStr">
        <is>
          <t>ÖREBRO LÄN</t>
        </is>
      </c>
      <c r="E475" t="inlineStr">
        <is>
          <t>ÖREBRO</t>
        </is>
      </c>
      <c r="G475" t="n">
        <v>0.9</v>
      </c>
      <c r="H475" t="n">
        <v>0</v>
      </c>
      <c r="I475" t="n">
        <v>0</v>
      </c>
      <c r="J475" t="n">
        <v>0</v>
      </c>
      <c r="K475" t="n">
        <v>0</v>
      </c>
      <c r="L475" t="n">
        <v>0</v>
      </c>
      <c r="M475" t="n">
        <v>0</v>
      </c>
      <c r="N475" t="n">
        <v>0</v>
      </c>
      <c r="O475" t="n">
        <v>0</v>
      </c>
      <c r="P475" t="n">
        <v>0</v>
      </c>
      <c r="Q475" t="n">
        <v>0</v>
      </c>
      <c r="R475" s="2" t="inlineStr"/>
    </row>
    <row r="476" ht="15" customHeight="1">
      <c r="A476" t="inlineStr">
        <is>
          <t>A 58032-2023</t>
        </is>
      </c>
      <c r="B476" s="1" t="n">
        <v>45247</v>
      </c>
      <c r="C476" s="1" t="n">
        <v>46083</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58035-2023</t>
        </is>
      </c>
      <c r="B477" s="1" t="n">
        <v>45247</v>
      </c>
      <c r="C477" s="1" t="n">
        <v>46083</v>
      </c>
      <c r="D477" t="inlineStr">
        <is>
          <t>ÖREBRO LÄN</t>
        </is>
      </c>
      <c r="E477" t="inlineStr">
        <is>
          <t>ÖREBRO</t>
        </is>
      </c>
      <c r="G477" t="n">
        <v>1.4</v>
      </c>
      <c r="H477" t="n">
        <v>0</v>
      </c>
      <c r="I477" t="n">
        <v>0</v>
      </c>
      <c r="J477" t="n">
        <v>0</v>
      </c>
      <c r="K477" t="n">
        <v>0</v>
      </c>
      <c r="L477" t="n">
        <v>0</v>
      </c>
      <c r="M477" t="n">
        <v>0</v>
      </c>
      <c r="N477" t="n">
        <v>0</v>
      </c>
      <c r="O477" t="n">
        <v>0</v>
      </c>
      <c r="P477" t="n">
        <v>0</v>
      </c>
      <c r="Q477" t="n">
        <v>0</v>
      </c>
      <c r="R477" s="2" t="inlineStr"/>
    </row>
    <row r="478" ht="15" customHeight="1">
      <c r="A478" t="inlineStr">
        <is>
          <t>A 35829-2024</t>
        </is>
      </c>
      <c r="B478" s="1" t="n">
        <v>45532</v>
      </c>
      <c r="C478" s="1" t="n">
        <v>46083</v>
      </c>
      <c r="D478" t="inlineStr">
        <is>
          <t>ÖREBRO LÄN</t>
        </is>
      </c>
      <c r="E478" t="inlineStr">
        <is>
          <t>ÖREBRO</t>
        </is>
      </c>
      <c r="G478" t="n">
        <v>4.6</v>
      </c>
      <c r="H478" t="n">
        <v>0</v>
      </c>
      <c r="I478" t="n">
        <v>0</v>
      </c>
      <c r="J478" t="n">
        <v>0</v>
      </c>
      <c r="K478" t="n">
        <v>0</v>
      </c>
      <c r="L478" t="n">
        <v>0</v>
      </c>
      <c r="M478" t="n">
        <v>0</v>
      </c>
      <c r="N478" t="n">
        <v>0</v>
      </c>
      <c r="O478" t="n">
        <v>0</v>
      </c>
      <c r="P478" t="n">
        <v>0</v>
      </c>
      <c r="Q478" t="n">
        <v>0</v>
      </c>
      <c r="R478" s="2" t="inlineStr"/>
    </row>
    <row r="479" ht="15" customHeight="1">
      <c r="A479" t="inlineStr">
        <is>
          <t>A 35833-2024</t>
        </is>
      </c>
      <c r="B479" s="1" t="n">
        <v>45532.68699074074</v>
      </c>
      <c r="C479" s="1" t="n">
        <v>46083</v>
      </c>
      <c r="D479" t="inlineStr">
        <is>
          <t>ÖREBRO LÄN</t>
        </is>
      </c>
      <c r="E479" t="inlineStr">
        <is>
          <t>ÖREBRO</t>
        </is>
      </c>
      <c r="G479" t="n">
        <v>1.8</v>
      </c>
      <c r="H479" t="n">
        <v>0</v>
      </c>
      <c r="I479" t="n">
        <v>0</v>
      </c>
      <c r="J479" t="n">
        <v>0</v>
      </c>
      <c r="K479" t="n">
        <v>0</v>
      </c>
      <c r="L479" t="n">
        <v>0</v>
      </c>
      <c r="M479" t="n">
        <v>0</v>
      </c>
      <c r="N479" t="n">
        <v>0</v>
      </c>
      <c r="O479" t="n">
        <v>0</v>
      </c>
      <c r="P479" t="n">
        <v>0</v>
      </c>
      <c r="Q479" t="n">
        <v>0</v>
      </c>
      <c r="R479" s="2" t="inlineStr"/>
    </row>
    <row r="480" ht="15" customHeight="1">
      <c r="A480" t="inlineStr">
        <is>
          <t>A 6254-2026</t>
        </is>
      </c>
      <c r="B480" s="1" t="n">
        <v>46055</v>
      </c>
      <c r="C480" s="1" t="n">
        <v>46083</v>
      </c>
      <c r="D480" t="inlineStr">
        <is>
          <t>ÖREBRO LÄN</t>
        </is>
      </c>
      <c r="E480" t="inlineStr">
        <is>
          <t>ÖREBRO</t>
        </is>
      </c>
      <c r="G480" t="n">
        <v>2.8</v>
      </c>
      <c r="H480" t="n">
        <v>0</v>
      </c>
      <c r="I480" t="n">
        <v>0</v>
      </c>
      <c r="J480" t="n">
        <v>0</v>
      </c>
      <c r="K480" t="n">
        <v>0</v>
      </c>
      <c r="L480" t="n">
        <v>0</v>
      </c>
      <c r="M480" t="n">
        <v>0</v>
      </c>
      <c r="N480" t="n">
        <v>0</v>
      </c>
      <c r="O480" t="n">
        <v>0</v>
      </c>
      <c r="P480" t="n">
        <v>0</v>
      </c>
      <c r="Q480" t="n">
        <v>0</v>
      </c>
      <c r="R480" s="2" t="inlineStr"/>
    </row>
    <row r="481" ht="15" customHeight="1">
      <c r="A481" t="inlineStr">
        <is>
          <t>A 64018-2025</t>
        </is>
      </c>
      <c r="B481" s="1" t="n">
        <v>46021.4546412037</v>
      </c>
      <c r="C481" s="1" t="n">
        <v>46083</v>
      </c>
      <c r="D481" t="inlineStr">
        <is>
          <t>ÖREBRO LÄN</t>
        </is>
      </c>
      <c r="E481" t="inlineStr">
        <is>
          <t>ÖREBRO</t>
        </is>
      </c>
      <c r="G481" t="n">
        <v>2.9</v>
      </c>
      <c r="H481" t="n">
        <v>0</v>
      </c>
      <c r="I481" t="n">
        <v>0</v>
      </c>
      <c r="J481" t="n">
        <v>0</v>
      </c>
      <c r="K481" t="n">
        <v>0</v>
      </c>
      <c r="L481" t="n">
        <v>0</v>
      </c>
      <c r="M481" t="n">
        <v>0</v>
      </c>
      <c r="N481" t="n">
        <v>0</v>
      </c>
      <c r="O481" t="n">
        <v>0</v>
      </c>
      <c r="P481" t="n">
        <v>0</v>
      </c>
      <c r="Q481" t="n">
        <v>0</v>
      </c>
      <c r="R481" s="2" t="inlineStr"/>
    </row>
    <row r="482" ht="15" customHeight="1">
      <c r="A482" t="inlineStr">
        <is>
          <t>A 64019-2025</t>
        </is>
      </c>
      <c r="B482" s="1" t="n">
        <v>46021.45914351852</v>
      </c>
      <c r="C482" s="1" t="n">
        <v>46083</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14717-2024</t>
        </is>
      </c>
      <c r="B483" s="1" t="n">
        <v>45397.55104166667</v>
      </c>
      <c r="C483" s="1" t="n">
        <v>46083</v>
      </c>
      <c r="D483" t="inlineStr">
        <is>
          <t>ÖREBRO LÄN</t>
        </is>
      </c>
      <c r="E483" t="inlineStr">
        <is>
          <t>ÖREBRO</t>
        </is>
      </c>
      <c r="G483" t="n">
        <v>0.7</v>
      </c>
      <c r="H483" t="n">
        <v>0</v>
      </c>
      <c r="I483" t="n">
        <v>0</v>
      </c>
      <c r="J483" t="n">
        <v>0</v>
      </c>
      <c r="K483" t="n">
        <v>0</v>
      </c>
      <c r="L483" t="n">
        <v>0</v>
      </c>
      <c r="M483" t="n">
        <v>0</v>
      </c>
      <c r="N483" t="n">
        <v>0</v>
      </c>
      <c r="O483" t="n">
        <v>0</v>
      </c>
      <c r="P483" t="n">
        <v>0</v>
      </c>
      <c r="Q483" t="n">
        <v>0</v>
      </c>
      <c r="R483" s="2" t="inlineStr"/>
    </row>
    <row r="484" ht="15" customHeight="1">
      <c r="A484" t="inlineStr">
        <is>
          <t>A 8461-2026</t>
        </is>
      </c>
      <c r="B484" s="1" t="n">
        <v>46065.42981481482</v>
      </c>
      <c r="C484" s="1" t="n">
        <v>46083</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8662-2026</t>
        </is>
      </c>
      <c r="B485" s="1" t="n">
        <v>46066.38112268518</v>
      </c>
      <c r="C485" s="1" t="n">
        <v>46083</v>
      </c>
      <c r="D485" t="inlineStr">
        <is>
          <t>ÖREBRO LÄN</t>
        </is>
      </c>
      <c r="E485" t="inlineStr">
        <is>
          <t>ÖREBRO</t>
        </is>
      </c>
      <c r="G485" t="n">
        <v>3.2</v>
      </c>
      <c r="H485" t="n">
        <v>0</v>
      </c>
      <c r="I485" t="n">
        <v>0</v>
      </c>
      <c r="J485" t="n">
        <v>0</v>
      </c>
      <c r="K485" t="n">
        <v>0</v>
      </c>
      <c r="L485" t="n">
        <v>0</v>
      </c>
      <c r="M485" t="n">
        <v>0</v>
      </c>
      <c r="N485" t="n">
        <v>0</v>
      </c>
      <c r="O485" t="n">
        <v>0</v>
      </c>
      <c r="P485" t="n">
        <v>0</v>
      </c>
      <c r="Q485" t="n">
        <v>0</v>
      </c>
      <c r="R485" s="2" t="inlineStr"/>
    </row>
    <row r="486" ht="15" customHeight="1">
      <c r="A486" t="inlineStr">
        <is>
          <t>A 8677-2026</t>
        </is>
      </c>
      <c r="B486" s="1" t="n">
        <v>46066.40994212963</v>
      </c>
      <c r="C486" s="1" t="n">
        <v>46083</v>
      </c>
      <c r="D486" t="inlineStr">
        <is>
          <t>ÖREBRO LÄN</t>
        </is>
      </c>
      <c r="E486" t="inlineStr">
        <is>
          <t>ÖREBRO</t>
        </is>
      </c>
      <c r="G486" t="n">
        <v>2.6</v>
      </c>
      <c r="H486" t="n">
        <v>0</v>
      </c>
      <c r="I486" t="n">
        <v>0</v>
      </c>
      <c r="J486" t="n">
        <v>0</v>
      </c>
      <c r="K486" t="n">
        <v>0</v>
      </c>
      <c r="L486" t="n">
        <v>0</v>
      </c>
      <c r="M486" t="n">
        <v>0</v>
      </c>
      <c r="N486" t="n">
        <v>0</v>
      </c>
      <c r="O486" t="n">
        <v>0</v>
      </c>
      <c r="P486" t="n">
        <v>0</v>
      </c>
      <c r="Q486" t="n">
        <v>0</v>
      </c>
      <c r="R486" s="2" t="inlineStr"/>
    </row>
    <row r="487" ht="15" customHeight="1">
      <c r="A487" t="inlineStr">
        <is>
          <t>A 5133-2024</t>
        </is>
      </c>
      <c r="B487" s="1" t="n">
        <v>45330</v>
      </c>
      <c r="C487" s="1" t="n">
        <v>46083</v>
      </c>
      <c r="D487" t="inlineStr">
        <is>
          <t>ÖREBRO LÄN</t>
        </is>
      </c>
      <c r="E487" t="inlineStr">
        <is>
          <t>ÖREBRO</t>
        </is>
      </c>
      <c r="G487" t="n">
        <v>0.5</v>
      </c>
      <c r="H487" t="n">
        <v>0</v>
      </c>
      <c r="I487" t="n">
        <v>0</v>
      </c>
      <c r="J487" t="n">
        <v>0</v>
      </c>
      <c r="K487" t="n">
        <v>0</v>
      </c>
      <c r="L487" t="n">
        <v>0</v>
      </c>
      <c r="M487" t="n">
        <v>0</v>
      </c>
      <c r="N487" t="n">
        <v>0</v>
      </c>
      <c r="O487" t="n">
        <v>0</v>
      </c>
      <c r="P487" t="n">
        <v>0</v>
      </c>
      <c r="Q487" t="n">
        <v>0</v>
      </c>
      <c r="R487" s="2" t="inlineStr"/>
    </row>
    <row r="488" ht="15" customHeight="1">
      <c r="A488" t="inlineStr">
        <is>
          <t>A 14432-2023</t>
        </is>
      </c>
      <c r="B488" s="1" t="n">
        <v>45012</v>
      </c>
      <c r="C488" s="1" t="n">
        <v>46083</v>
      </c>
      <c r="D488" t="inlineStr">
        <is>
          <t>ÖREBRO LÄN</t>
        </is>
      </c>
      <c r="E488" t="inlineStr">
        <is>
          <t>ÖREBRO</t>
        </is>
      </c>
      <c r="G488" t="n">
        <v>3.3</v>
      </c>
      <c r="H488" t="n">
        <v>0</v>
      </c>
      <c r="I488" t="n">
        <v>0</v>
      </c>
      <c r="J488" t="n">
        <v>0</v>
      </c>
      <c r="K488" t="n">
        <v>0</v>
      </c>
      <c r="L488" t="n">
        <v>0</v>
      </c>
      <c r="M488" t="n">
        <v>0</v>
      </c>
      <c r="N488" t="n">
        <v>0</v>
      </c>
      <c r="O488" t="n">
        <v>0</v>
      </c>
      <c r="P488" t="n">
        <v>0</v>
      </c>
      <c r="Q488" t="n">
        <v>0</v>
      </c>
      <c r="R488" s="2" t="inlineStr"/>
    </row>
    <row r="489" ht="15" customHeight="1">
      <c r="A489" t="inlineStr">
        <is>
          <t>A 10339-2023</t>
        </is>
      </c>
      <c r="B489" s="1" t="n">
        <v>44987</v>
      </c>
      <c r="C489" s="1" t="n">
        <v>46083</v>
      </c>
      <c r="D489" t="inlineStr">
        <is>
          <t>ÖREBRO LÄN</t>
        </is>
      </c>
      <c r="E489" t="inlineStr">
        <is>
          <t>ÖREBRO</t>
        </is>
      </c>
      <c r="G489" t="n">
        <v>1</v>
      </c>
      <c r="H489" t="n">
        <v>0</v>
      </c>
      <c r="I489" t="n">
        <v>0</v>
      </c>
      <c r="J489" t="n">
        <v>0</v>
      </c>
      <c r="K489" t="n">
        <v>0</v>
      </c>
      <c r="L489" t="n">
        <v>0</v>
      </c>
      <c r="M489" t="n">
        <v>0</v>
      </c>
      <c r="N489" t="n">
        <v>0</v>
      </c>
      <c r="O489" t="n">
        <v>0</v>
      </c>
      <c r="P489" t="n">
        <v>0</v>
      </c>
      <c r="Q489" t="n">
        <v>0</v>
      </c>
      <c r="R489" s="2" t="inlineStr"/>
    </row>
    <row r="490" ht="15" customHeight="1">
      <c r="A490" t="inlineStr">
        <is>
          <t>A 190-2024</t>
        </is>
      </c>
      <c r="B490" s="1" t="n">
        <v>45294.61858796296</v>
      </c>
      <c r="C490" s="1" t="n">
        <v>46083</v>
      </c>
      <c r="D490" t="inlineStr">
        <is>
          <t>ÖREBRO LÄN</t>
        </is>
      </c>
      <c r="E490" t="inlineStr">
        <is>
          <t>ÖREBRO</t>
        </is>
      </c>
      <c r="G490" t="n">
        <v>2.4</v>
      </c>
      <c r="H490" t="n">
        <v>0</v>
      </c>
      <c r="I490" t="n">
        <v>0</v>
      </c>
      <c r="J490" t="n">
        <v>0</v>
      </c>
      <c r="K490" t="n">
        <v>0</v>
      </c>
      <c r="L490" t="n">
        <v>0</v>
      </c>
      <c r="M490" t="n">
        <v>0</v>
      </c>
      <c r="N490" t="n">
        <v>0</v>
      </c>
      <c r="O490" t="n">
        <v>0</v>
      </c>
      <c r="P490" t="n">
        <v>0</v>
      </c>
      <c r="Q490" t="n">
        <v>0</v>
      </c>
      <c r="R490" s="2" t="inlineStr"/>
    </row>
    <row r="491" ht="15" customHeight="1">
      <c r="A491" t="inlineStr">
        <is>
          <t>A 62497-2023</t>
        </is>
      </c>
      <c r="B491" s="1" t="n">
        <v>45268.59935185185</v>
      </c>
      <c r="C491" s="1" t="n">
        <v>46083</v>
      </c>
      <c r="D491" t="inlineStr">
        <is>
          <t>ÖREBRO LÄN</t>
        </is>
      </c>
      <c r="E491" t="inlineStr">
        <is>
          <t>ÖREBRO</t>
        </is>
      </c>
      <c r="F491" t="inlineStr">
        <is>
          <t>Övriga Aktiebolag</t>
        </is>
      </c>
      <c r="G491" t="n">
        <v>3.2</v>
      </c>
      <c r="H491" t="n">
        <v>0</v>
      </c>
      <c r="I491" t="n">
        <v>0</v>
      </c>
      <c r="J491" t="n">
        <v>0</v>
      </c>
      <c r="K491" t="n">
        <v>0</v>
      </c>
      <c r="L491" t="n">
        <v>0</v>
      </c>
      <c r="M491" t="n">
        <v>0</v>
      </c>
      <c r="N491" t="n">
        <v>0</v>
      </c>
      <c r="O491" t="n">
        <v>0</v>
      </c>
      <c r="P491" t="n">
        <v>0</v>
      </c>
      <c r="Q491" t="n">
        <v>0</v>
      </c>
      <c r="R491" s="2" t="inlineStr"/>
    </row>
    <row r="492" ht="15" customHeight="1">
      <c r="A492" t="inlineStr">
        <is>
          <t>A 43399-2022</t>
        </is>
      </c>
      <c r="B492" s="1" t="n">
        <v>44834</v>
      </c>
      <c r="C492" s="1" t="n">
        <v>46083</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63142-2023</t>
        </is>
      </c>
      <c r="B493" s="1" t="n">
        <v>45273</v>
      </c>
      <c r="C493" s="1" t="n">
        <v>46083</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9318-2026</t>
        </is>
      </c>
      <c r="B494" s="1" t="n">
        <v>46070.62585648148</v>
      </c>
      <c r="C494" s="1" t="n">
        <v>46083</v>
      </c>
      <c r="D494" t="inlineStr">
        <is>
          <t>ÖREBRO LÄN</t>
        </is>
      </c>
      <c r="E494" t="inlineStr">
        <is>
          <t>ÖREBRO</t>
        </is>
      </c>
      <c r="F494" t="inlineStr">
        <is>
          <t>Övriga Aktiebolag</t>
        </is>
      </c>
      <c r="G494" t="n">
        <v>2.7</v>
      </c>
      <c r="H494" t="n">
        <v>0</v>
      </c>
      <c r="I494" t="n">
        <v>0</v>
      </c>
      <c r="J494" t="n">
        <v>0</v>
      </c>
      <c r="K494" t="n">
        <v>0</v>
      </c>
      <c r="L494" t="n">
        <v>0</v>
      </c>
      <c r="M494" t="n">
        <v>0</v>
      </c>
      <c r="N494" t="n">
        <v>0</v>
      </c>
      <c r="O494" t="n">
        <v>0</v>
      </c>
      <c r="P494" t="n">
        <v>0</v>
      </c>
      <c r="Q494" t="n">
        <v>0</v>
      </c>
      <c r="R494" s="2" t="inlineStr"/>
    </row>
    <row r="495" ht="15" customHeight="1">
      <c r="A495" t="inlineStr">
        <is>
          <t>A 37021-2024</t>
        </is>
      </c>
      <c r="B495" s="1" t="n">
        <v>45539.38146990741</v>
      </c>
      <c r="C495" s="1" t="n">
        <v>46083</v>
      </c>
      <c r="D495" t="inlineStr">
        <is>
          <t>ÖREBRO LÄN</t>
        </is>
      </c>
      <c r="E495" t="inlineStr">
        <is>
          <t>ÖREBRO</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23573-2023</t>
        </is>
      </c>
      <c r="B496" s="1" t="n">
        <v>45077.41672453703</v>
      </c>
      <c r="C496" s="1" t="n">
        <v>46083</v>
      </c>
      <c r="D496" t="inlineStr">
        <is>
          <t>ÖREBRO LÄN</t>
        </is>
      </c>
      <c r="E496" t="inlineStr">
        <is>
          <t>ÖREBRO</t>
        </is>
      </c>
      <c r="G496" t="n">
        <v>2.9</v>
      </c>
      <c r="H496" t="n">
        <v>0</v>
      </c>
      <c r="I496" t="n">
        <v>0</v>
      </c>
      <c r="J496" t="n">
        <v>0</v>
      </c>
      <c r="K496" t="n">
        <v>0</v>
      </c>
      <c r="L496" t="n">
        <v>0</v>
      </c>
      <c r="M496" t="n">
        <v>0</v>
      </c>
      <c r="N496" t="n">
        <v>0</v>
      </c>
      <c r="O496" t="n">
        <v>0</v>
      </c>
      <c r="P496" t="n">
        <v>0</v>
      </c>
      <c r="Q496" t="n">
        <v>0</v>
      </c>
      <c r="R496" s="2" t="inlineStr"/>
    </row>
    <row r="497" ht="15" customHeight="1">
      <c r="A497" t="inlineStr">
        <is>
          <t>A 13762-2023</t>
        </is>
      </c>
      <c r="B497" s="1" t="n">
        <v>45007.43729166667</v>
      </c>
      <c r="C497" s="1" t="n">
        <v>46083</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5129-2024</t>
        </is>
      </c>
      <c r="B498" s="1" t="n">
        <v>45330</v>
      </c>
      <c r="C498" s="1" t="n">
        <v>46083</v>
      </c>
      <c r="D498" t="inlineStr">
        <is>
          <t>ÖREBRO LÄN</t>
        </is>
      </c>
      <c r="E498" t="inlineStr">
        <is>
          <t>ÖREBRO</t>
        </is>
      </c>
      <c r="G498" t="n">
        <v>0.5</v>
      </c>
      <c r="H498" t="n">
        <v>0</v>
      </c>
      <c r="I498" t="n">
        <v>0</v>
      </c>
      <c r="J498" t="n">
        <v>0</v>
      </c>
      <c r="K498" t="n">
        <v>0</v>
      </c>
      <c r="L498" t="n">
        <v>0</v>
      </c>
      <c r="M498" t="n">
        <v>0</v>
      </c>
      <c r="N498" t="n">
        <v>0</v>
      </c>
      <c r="O498" t="n">
        <v>0</v>
      </c>
      <c r="P498" t="n">
        <v>0</v>
      </c>
      <c r="Q498" t="n">
        <v>0</v>
      </c>
      <c r="R498" s="2" t="inlineStr"/>
    </row>
    <row r="499" ht="15" customHeight="1">
      <c r="A499" t="inlineStr">
        <is>
          <t>A 1492-2022</t>
        </is>
      </c>
      <c r="B499" s="1" t="n">
        <v>44573</v>
      </c>
      <c r="C499" s="1" t="n">
        <v>46083</v>
      </c>
      <c r="D499" t="inlineStr">
        <is>
          <t>ÖREBRO LÄN</t>
        </is>
      </c>
      <c r="E499" t="inlineStr">
        <is>
          <t>ÖREBRO</t>
        </is>
      </c>
      <c r="G499" t="n">
        <v>1.3</v>
      </c>
      <c r="H499" t="n">
        <v>0</v>
      </c>
      <c r="I499" t="n">
        <v>0</v>
      </c>
      <c r="J499" t="n">
        <v>0</v>
      </c>
      <c r="K499" t="n">
        <v>0</v>
      </c>
      <c r="L499" t="n">
        <v>0</v>
      </c>
      <c r="M499" t="n">
        <v>0</v>
      </c>
      <c r="N499" t="n">
        <v>0</v>
      </c>
      <c r="O499" t="n">
        <v>0</v>
      </c>
      <c r="P499" t="n">
        <v>0</v>
      </c>
      <c r="Q499" t="n">
        <v>0</v>
      </c>
      <c r="R499" s="2" t="inlineStr"/>
    </row>
    <row r="500" ht="15" customHeight="1">
      <c r="A500" t="inlineStr">
        <is>
          <t>A 59026-2024</t>
        </is>
      </c>
      <c r="B500" s="1" t="n">
        <v>45636.6875</v>
      </c>
      <c r="C500" s="1" t="n">
        <v>46083</v>
      </c>
      <c r="D500" t="inlineStr">
        <is>
          <t>ÖREBRO LÄN</t>
        </is>
      </c>
      <c r="E500" t="inlineStr">
        <is>
          <t>ÖREBRO</t>
        </is>
      </c>
      <c r="G500" t="n">
        <v>0.9</v>
      </c>
      <c r="H500" t="n">
        <v>0</v>
      </c>
      <c r="I500" t="n">
        <v>0</v>
      </c>
      <c r="J500" t="n">
        <v>0</v>
      </c>
      <c r="K500" t="n">
        <v>0</v>
      </c>
      <c r="L500" t="n">
        <v>0</v>
      </c>
      <c r="M500" t="n">
        <v>0</v>
      </c>
      <c r="N500" t="n">
        <v>0</v>
      </c>
      <c r="O500" t="n">
        <v>0</v>
      </c>
      <c r="P500" t="n">
        <v>0</v>
      </c>
      <c r="Q500" t="n">
        <v>0</v>
      </c>
      <c r="R500" s="2" t="inlineStr"/>
    </row>
    <row r="501" ht="15" customHeight="1">
      <c r="A501" t="inlineStr">
        <is>
          <t>A 18550-2025</t>
        </is>
      </c>
      <c r="B501" s="1" t="n">
        <v>45763</v>
      </c>
      <c r="C501" s="1" t="n">
        <v>46083</v>
      </c>
      <c r="D501" t="inlineStr">
        <is>
          <t>ÖREBRO LÄN</t>
        </is>
      </c>
      <c r="E501" t="inlineStr">
        <is>
          <t>ÖREBRO</t>
        </is>
      </c>
      <c r="G501" t="n">
        <v>11.5</v>
      </c>
      <c r="H501" t="n">
        <v>0</v>
      </c>
      <c r="I501" t="n">
        <v>0</v>
      </c>
      <c r="J501" t="n">
        <v>0</v>
      </c>
      <c r="K501" t="n">
        <v>0</v>
      </c>
      <c r="L501" t="n">
        <v>0</v>
      </c>
      <c r="M501" t="n">
        <v>0</v>
      </c>
      <c r="N501" t="n">
        <v>0</v>
      </c>
      <c r="O501" t="n">
        <v>0</v>
      </c>
      <c r="P501" t="n">
        <v>0</v>
      </c>
      <c r="Q501" t="n">
        <v>0</v>
      </c>
      <c r="R501" s="2" t="inlineStr"/>
    </row>
    <row r="502" ht="15" customHeight="1">
      <c r="A502" t="inlineStr">
        <is>
          <t>A 52623-2024</t>
        </is>
      </c>
      <c r="B502" s="1" t="n">
        <v>45609</v>
      </c>
      <c r="C502" s="1" t="n">
        <v>46083</v>
      </c>
      <c r="D502" t="inlineStr">
        <is>
          <t>ÖREBRO LÄN</t>
        </is>
      </c>
      <c r="E502" t="inlineStr">
        <is>
          <t>ÖREBRO</t>
        </is>
      </c>
      <c r="F502" t="inlineStr">
        <is>
          <t>Kommuner</t>
        </is>
      </c>
      <c r="G502" t="n">
        <v>1.7</v>
      </c>
      <c r="H502" t="n">
        <v>0</v>
      </c>
      <c r="I502" t="n">
        <v>0</v>
      </c>
      <c r="J502" t="n">
        <v>0</v>
      </c>
      <c r="K502" t="n">
        <v>0</v>
      </c>
      <c r="L502" t="n">
        <v>0</v>
      </c>
      <c r="M502" t="n">
        <v>0</v>
      </c>
      <c r="N502" t="n">
        <v>0</v>
      </c>
      <c r="O502" t="n">
        <v>0</v>
      </c>
      <c r="P502" t="n">
        <v>0</v>
      </c>
      <c r="Q502" t="n">
        <v>0</v>
      </c>
      <c r="R502" s="2" t="inlineStr"/>
    </row>
    <row r="503" ht="15" customHeight="1">
      <c r="A503" t="inlineStr">
        <is>
          <t>A 62511-2023</t>
        </is>
      </c>
      <c r="B503" s="1" t="n">
        <v>45268.61855324074</v>
      </c>
      <c r="C503" s="1" t="n">
        <v>46083</v>
      </c>
      <c r="D503" t="inlineStr">
        <is>
          <t>ÖREBRO LÄN</t>
        </is>
      </c>
      <c r="E503" t="inlineStr">
        <is>
          <t>ÖREBRO</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10108-2026</t>
        </is>
      </c>
      <c r="B504" s="1" t="n">
        <v>46074.64310185185</v>
      </c>
      <c r="C504" s="1" t="n">
        <v>46083</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1153-2026</t>
        </is>
      </c>
      <c r="B505" s="1" t="n">
        <v>46031.30899305556</v>
      </c>
      <c r="C505" s="1" t="n">
        <v>46083</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40522-2024</t>
        </is>
      </c>
      <c r="B506" s="1" t="n">
        <v>45555.59717592593</v>
      </c>
      <c r="C506" s="1" t="n">
        <v>46083</v>
      </c>
      <c r="D506" t="inlineStr">
        <is>
          <t>ÖREBRO LÄN</t>
        </is>
      </c>
      <c r="E506" t="inlineStr">
        <is>
          <t>ÖREBRO</t>
        </is>
      </c>
      <c r="G506" t="n">
        <v>5.1</v>
      </c>
      <c r="H506" t="n">
        <v>0</v>
      </c>
      <c r="I506" t="n">
        <v>0</v>
      </c>
      <c r="J506" t="n">
        <v>0</v>
      </c>
      <c r="K506" t="n">
        <v>0</v>
      </c>
      <c r="L506" t="n">
        <v>0</v>
      </c>
      <c r="M506" t="n">
        <v>0</v>
      </c>
      <c r="N506" t="n">
        <v>0</v>
      </c>
      <c r="O506" t="n">
        <v>0</v>
      </c>
      <c r="P506" t="n">
        <v>0</v>
      </c>
      <c r="Q506" t="n">
        <v>0</v>
      </c>
      <c r="R506" s="2" t="inlineStr"/>
    </row>
    <row r="507" ht="15" customHeight="1">
      <c r="A507" t="inlineStr">
        <is>
          <t>A 33577-2023</t>
        </is>
      </c>
      <c r="B507" s="1" t="n">
        <v>45131</v>
      </c>
      <c r="C507" s="1" t="n">
        <v>46083</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18360-2024</t>
        </is>
      </c>
      <c r="B508" s="1" t="n">
        <v>45422</v>
      </c>
      <c r="C508" s="1" t="n">
        <v>46083</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10816-2026</t>
        </is>
      </c>
      <c r="B509" s="1" t="n">
        <v>46078.61224537037</v>
      </c>
      <c r="C509" s="1" t="n">
        <v>46083</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7611-2024</t>
        </is>
      </c>
      <c r="B510" s="1" t="n">
        <v>45348.58864583333</v>
      </c>
      <c r="C510" s="1" t="n">
        <v>46083</v>
      </c>
      <c r="D510" t="inlineStr">
        <is>
          <t>ÖREBRO LÄN</t>
        </is>
      </c>
      <c r="E510" t="inlineStr">
        <is>
          <t>ÖREBRO</t>
        </is>
      </c>
      <c r="G510" t="n">
        <v>4.2</v>
      </c>
      <c r="H510" t="n">
        <v>0</v>
      </c>
      <c r="I510" t="n">
        <v>0</v>
      </c>
      <c r="J510" t="n">
        <v>0</v>
      </c>
      <c r="K510" t="n">
        <v>0</v>
      </c>
      <c r="L510" t="n">
        <v>0</v>
      </c>
      <c r="M510" t="n">
        <v>0</v>
      </c>
      <c r="N510" t="n">
        <v>0</v>
      </c>
      <c r="O510" t="n">
        <v>0</v>
      </c>
      <c r="P510" t="n">
        <v>0</v>
      </c>
      <c r="Q510" t="n">
        <v>0</v>
      </c>
      <c r="R510" s="2" t="inlineStr"/>
    </row>
    <row r="511" ht="15" customHeight="1">
      <c r="A511" t="inlineStr">
        <is>
          <t>A 13347-2023</t>
        </is>
      </c>
      <c r="B511" s="1" t="n">
        <v>45004</v>
      </c>
      <c r="C511" s="1" t="n">
        <v>46083</v>
      </c>
      <c r="D511" t="inlineStr">
        <is>
          <t>ÖREBRO LÄN</t>
        </is>
      </c>
      <c r="E511" t="inlineStr">
        <is>
          <t>ÖREBRO</t>
        </is>
      </c>
      <c r="G511" t="n">
        <v>1.3</v>
      </c>
      <c r="H511" t="n">
        <v>0</v>
      </c>
      <c r="I511" t="n">
        <v>0</v>
      </c>
      <c r="J511" t="n">
        <v>0</v>
      </c>
      <c r="K511" t="n">
        <v>0</v>
      </c>
      <c r="L511" t="n">
        <v>0</v>
      </c>
      <c r="M511" t="n">
        <v>0</v>
      </c>
      <c r="N511" t="n">
        <v>0</v>
      </c>
      <c r="O511" t="n">
        <v>0</v>
      </c>
      <c r="P511" t="n">
        <v>0</v>
      </c>
      <c r="Q511" t="n">
        <v>0</v>
      </c>
      <c r="R511" s="2" t="inlineStr"/>
    </row>
    <row r="512" ht="15" customHeight="1">
      <c r="A512" t="inlineStr">
        <is>
          <t>A 187-2024</t>
        </is>
      </c>
      <c r="B512" s="1" t="n">
        <v>45294</v>
      </c>
      <c r="C512" s="1" t="n">
        <v>46083</v>
      </c>
      <c r="D512" t="inlineStr">
        <is>
          <t>ÖREBRO LÄN</t>
        </is>
      </c>
      <c r="E512" t="inlineStr">
        <is>
          <t>ÖREBRO</t>
        </is>
      </c>
      <c r="G512" t="n">
        <v>5.9</v>
      </c>
      <c r="H512" t="n">
        <v>0</v>
      </c>
      <c r="I512" t="n">
        <v>0</v>
      </c>
      <c r="J512" t="n">
        <v>0</v>
      </c>
      <c r="K512" t="n">
        <v>0</v>
      </c>
      <c r="L512" t="n">
        <v>0</v>
      </c>
      <c r="M512" t="n">
        <v>0</v>
      </c>
      <c r="N512" t="n">
        <v>0</v>
      </c>
      <c r="O512" t="n">
        <v>0</v>
      </c>
      <c r="P512" t="n">
        <v>0</v>
      </c>
      <c r="Q512" t="n">
        <v>0</v>
      </c>
      <c r="R512" s="2" t="inlineStr"/>
    </row>
    <row r="513" ht="15" customHeight="1">
      <c r="A513" t="inlineStr">
        <is>
          <t>A 10832-2023</t>
        </is>
      </c>
      <c r="B513" s="1" t="n">
        <v>44990.91711805556</v>
      </c>
      <c r="C513" s="1" t="n">
        <v>46083</v>
      </c>
      <c r="D513" t="inlineStr">
        <is>
          <t>ÖREBRO LÄN</t>
        </is>
      </c>
      <c r="E513" t="inlineStr">
        <is>
          <t>ÖREBRO</t>
        </is>
      </c>
      <c r="G513" t="n">
        <v>1.4</v>
      </c>
      <c r="H513" t="n">
        <v>0</v>
      </c>
      <c r="I513" t="n">
        <v>0</v>
      </c>
      <c r="J513" t="n">
        <v>0</v>
      </c>
      <c r="K513" t="n">
        <v>0</v>
      </c>
      <c r="L513" t="n">
        <v>0</v>
      </c>
      <c r="M513" t="n">
        <v>0</v>
      </c>
      <c r="N513" t="n">
        <v>0</v>
      </c>
      <c r="O513" t="n">
        <v>0</v>
      </c>
      <c r="P513" t="n">
        <v>0</v>
      </c>
      <c r="Q513" t="n">
        <v>0</v>
      </c>
      <c r="R513" s="2" t="inlineStr"/>
    </row>
    <row r="514" ht="15" customHeight="1">
      <c r="A514" t="inlineStr">
        <is>
          <t>A 2596-2022</t>
        </is>
      </c>
      <c r="B514" s="1" t="n">
        <v>44580</v>
      </c>
      <c r="C514" s="1" t="n">
        <v>46083</v>
      </c>
      <c r="D514" t="inlineStr">
        <is>
          <t>ÖREBRO LÄN</t>
        </is>
      </c>
      <c r="E514" t="inlineStr">
        <is>
          <t>ÖREBRO</t>
        </is>
      </c>
      <c r="G514" t="n">
        <v>4.3</v>
      </c>
      <c r="H514" t="n">
        <v>0</v>
      </c>
      <c r="I514" t="n">
        <v>0</v>
      </c>
      <c r="J514" t="n">
        <v>0</v>
      </c>
      <c r="K514" t="n">
        <v>0</v>
      </c>
      <c r="L514" t="n">
        <v>0</v>
      </c>
      <c r="M514" t="n">
        <v>0</v>
      </c>
      <c r="N514" t="n">
        <v>0</v>
      </c>
      <c r="O514" t="n">
        <v>0</v>
      </c>
      <c r="P514" t="n">
        <v>0</v>
      </c>
      <c r="Q514" t="n">
        <v>0</v>
      </c>
      <c r="R514" s="2" t="inlineStr"/>
    </row>
    <row r="515" ht="15" customHeight="1">
      <c r="A515" t="inlineStr">
        <is>
          <t>A 5338-2024</t>
        </is>
      </c>
      <c r="B515" s="1" t="n">
        <v>45331</v>
      </c>
      <c r="C515" s="1" t="n">
        <v>46083</v>
      </c>
      <c r="D515" t="inlineStr">
        <is>
          <t>ÖREBRO LÄN</t>
        </is>
      </c>
      <c r="E515" t="inlineStr">
        <is>
          <t>ÖREBRO</t>
        </is>
      </c>
      <c r="G515" t="n">
        <v>0.6</v>
      </c>
      <c r="H515" t="n">
        <v>0</v>
      </c>
      <c r="I515" t="n">
        <v>0</v>
      </c>
      <c r="J515" t="n">
        <v>0</v>
      </c>
      <c r="K515" t="n">
        <v>0</v>
      </c>
      <c r="L515" t="n">
        <v>0</v>
      </c>
      <c r="M515" t="n">
        <v>0</v>
      </c>
      <c r="N515" t="n">
        <v>0</v>
      </c>
      <c r="O515" t="n">
        <v>0</v>
      </c>
      <c r="P515" t="n">
        <v>0</v>
      </c>
      <c r="Q515" t="n">
        <v>0</v>
      </c>
      <c r="R515" s="2" t="inlineStr"/>
    </row>
    <row r="516" ht="15" customHeight="1">
      <c r="A516" t="inlineStr">
        <is>
          <t>A 14487-2023</t>
        </is>
      </c>
      <c r="B516" s="1" t="n">
        <v>45012</v>
      </c>
      <c r="C516" s="1" t="n">
        <v>46083</v>
      </c>
      <c r="D516" t="inlineStr">
        <is>
          <t>ÖREBRO LÄN</t>
        </is>
      </c>
      <c r="E516" t="inlineStr">
        <is>
          <t>ÖREBRO</t>
        </is>
      </c>
      <c r="G516" t="n">
        <v>0.5</v>
      </c>
      <c r="H516" t="n">
        <v>0</v>
      </c>
      <c r="I516" t="n">
        <v>0</v>
      </c>
      <c r="J516" t="n">
        <v>0</v>
      </c>
      <c r="K516" t="n">
        <v>0</v>
      </c>
      <c r="L516" t="n">
        <v>0</v>
      </c>
      <c r="M516" t="n">
        <v>0</v>
      </c>
      <c r="N516" t="n">
        <v>0</v>
      </c>
      <c r="O516" t="n">
        <v>0</v>
      </c>
      <c r="P516" t="n">
        <v>0</v>
      </c>
      <c r="Q516" t="n">
        <v>0</v>
      </c>
      <c r="R516" s="2" t="inlineStr"/>
    </row>
    <row r="517" ht="15" customHeight="1">
      <c r="A517" t="inlineStr">
        <is>
          <t>A 4970-2022</t>
        </is>
      </c>
      <c r="B517" s="1" t="n">
        <v>44593.51175925926</v>
      </c>
      <c r="C517" s="1" t="n">
        <v>46083</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18047-2023</t>
        </is>
      </c>
      <c r="B518" s="1" t="n">
        <v>45040</v>
      </c>
      <c r="C518" s="1" t="n">
        <v>46083</v>
      </c>
      <c r="D518" t="inlineStr">
        <is>
          <t>ÖREBRO LÄN</t>
        </is>
      </c>
      <c r="E518" t="inlineStr">
        <is>
          <t>ÖREBRO</t>
        </is>
      </c>
      <c r="G518" t="n">
        <v>3.9</v>
      </c>
      <c r="H518" t="n">
        <v>0</v>
      </c>
      <c r="I518" t="n">
        <v>0</v>
      </c>
      <c r="J518" t="n">
        <v>0</v>
      </c>
      <c r="K518" t="n">
        <v>0</v>
      </c>
      <c r="L518" t="n">
        <v>0</v>
      </c>
      <c r="M518" t="n">
        <v>0</v>
      </c>
      <c r="N518" t="n">
        <v>0</v>
      </c>
      <c r="O518" t="n">
        <v>0</v>
      </c>
      <c r="P518" t="n">
        <v>0</v>
      </c>
      <c r="Q518" t="n">
        <v>0</v>
      </c>
      <c r="R518" s="2" t="inlineStr"/>
    </row>
    <row r="519" ht="15" customHeight="1">
      <c r="A519" t="inlineStr">
        <is>
          <t>A 2162-2026</t>
        </is>
      </c>
      <c r="B519" s="1" t="n">
        <v>46036.43479166667</v>
      </c>
      <c r="C519" s="1" t="n">
        <v>46083</v>
      </c>
      <c r="D519" t="inlineStr">
        <is>
          <t>ÖREBRO LÄN</t>
        </is>
      </c>
      <c r="E519" t="inlineStr">
        <is>
          <t>ÖREBRO</t>
        </is>
      </c>
      <c r="G519" t="n">
        <v>0.5</v>
      </c>
      <c r="H519" t="n">
        <v>0</v>
      </c>
      <c r="I519" t="n">
        <v>0</v>
      </c>
      <c r="J519" t="n">
        <v>0</v>
      </c>
      <c r="K519" t="n">
        <v>0</v>
      </c>
      <c r="L519" t="n">
        <v>0</v>
      </c>
      <c r="M519" t="n">
        <v>0</v>
      </c>
      <c r="N519" t="n">
        <v>0</v>
      </c>
      <c r="O519" t="n">
        <v>0</v>
      </c>
      <c r="P519" t="n">
        <v>0</v>
      </c>
      <c r="Q519" t="n">
        <v>0</v>
      </c>
      <c r="R519" s="2" t="inlineStr"/>
    </row>
    <row r="520" ht="15" customHeight="1">
      <c r="A520" t="inlineStr">
        <is>
          <t>A 3789-2023</t>
        </is>
      </c>
      <c r="B520" s="1" t="n">
        <v>44951</v>
      </c>
      <c r="C520" s="1" t="n">
        <v>46083</v>
      </c>
      <c r="D520" t="inlineStr">
        <is>
          <t>ÖREBRO LÄN</t>
        </is>
      </c>
      <c r="E520" t="inlineStr">
        <is>
          <t>ÖREBRO</t>
        </is>
      </c>
      <c r="G520" t="n">
        <v>7.5</v>
      </c>
      <c r="H520" t="n">
        <v>0</v>
      </c>
      <c r="I520" t="n">
        <v>0</v>
      </c>
      <c r="J520" t="n">
        <v>0</v>
      </c>
      <c r="K520" t="n">
        <v>0</v>
      </c>
      <c r="L520" t="n">
        <v>0</v>
      </c>
      <c r="M520" t="n">
        <v>0</v>
      </c>
      <c r="N520" t="n">
        <v>0</v>
      </c>
      <c r="O520" t="n">
        <v>0</v>
      </c>
      <c r="P520" t="n">
        <v>0</v>
      </c>
      <c r="Q520" t="n">
        <v>0</v>
      </c>
      <c r="R520" s="2" t="inlineStr"/>
    </row>
    <row r="521" ht="15" customHeight="1">
      <c r="A521" t="inlineStr">
        <is>
          <t>A 59515-2025</t>
        </is>
      </c>
      <c r="B521" s="1" t="n">
        <v>45989.65238425926</v>
      </c>
      <c r="C521" s="1" t="n">
        <v>46083</v>
      </c>
      <c r="D521" t="inlineStr">
        <is>
          <t>ÖREBRO LÄN</t>
        </is>
      </c>
      <c r="E521" t="inlineStr">
        <is>
          <t>ÖREBRO</t>
        </is>
      </c>
      <c r="F521" t="inlineStr">
        <is>
          <t>Sveaskog</t>
        </is>
      </c>
      <c r="G521" t="n">
        <v>0.5</v>
      </c>
      <c r="H521" t="n">
        <v>0</v>
      </c>
      <c r="I521" t="n">
        <v>0</v>
      </c>
      <c r="J521" t="n">
        <v>0</v>
      </c>
      <c r="K521" t="n">
        <v>0</v>
      </c>
      <c r="L521" t="n">
        <v>0</v>
      </c>
      <c r="M521" t="n">
        <v>0</v>
      </c>
      <c r="N521" t="n">
        <v>0</v>
      </c>
      <c r="O521" t="n">
        <v>0</v>
      </c>
      <c r="P521" t="n">
        <v>0</v>
      </c>
      <c r="Q521" t="n">
        <v>0</v>
      </c>
      <c r="R521" s="2" t="inlineStr"/>
    </row>
    <row r="522" ht="15" customHeight="1">
      <c r="A522" t="inlineStr">
        <is>
          <t>A 5026-2022</t>
        </is>
      </c>
      <c r="B522" s="1" t="n">
        <v>44593.63974537037</v>
      </c>
      <c r="C522" s="1" t="n">
        <v>46083</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2970-2026</t>
        </is>
      </c>
      <c r="B523" s="1" t="n">
        <v>46038.6202662037</v>
      </c>
      <c r="C523" s="1" t="n">
        <v>46083</v>
      </c>
      <c r="D523" t="inlineStr">
        <is>
          <t>ÖREBRO LÄN</t>
        </is>
      </c>
      <c r="E523" t="inlineStr">
        <is>
          <t>ÖREBRO</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54917-2023</t>
        </is>
      </c>
      <c r="B524" s="1" t="n">
        <v>45229</v>
      </c>
      <c r="C524" s="1" t="n">
        <v>46083</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3031-2026</t>
        </is>
      </c>
      <c r="B525" s="1" t="n">
        <v>46038.71271990741</v>
      </c>
      <c r="C525" s="1" t="n">
        <v>46083</v>
      </c>
      <c r="D525" t="inlineStr">
        <is>
          <t>ÖREBRO LÄN</t>
        </is>
      </c>
      <c r="E525" t="inlineStr">
        <is>
          <t>ÖREBRO</t>
        </is>
      </c>
      <c r="F525" t="inlineStr">
        <is>
          <t>Övriga Aktiebolag</t>
        </is>
      </c>
      <c r="G525" t="n">
        <v>1.4</v>
      </c>
      <c r="H525" t="n">
        <v>0</v>
      </c>
      <c r="I525" t="n">
        <v>0</v>
      </c>
      <c r="J525" t="n">
        <v>0</v>
      </c>
      <c r="K525" t="n">
        <v>0</v>
      </c>
      <c r="L525" t="n">
        <v>0</v>
      </c>
      <c r="M525" t="n">
        <v>0</v>
      </c>
      <c r="N525" t="n">
        <v>0</v>
      </c>
      <c r="O525" t="n">
        <v>0</v>
      </c>
      <c r="P525" t="n">
        <v>0</v>
      </c>
      <c r="Q525" t="n">
        <v>0</v>
      </c>
      <c r="R525" s="2" t="inlineStr"/>
    </row>
    <row r="526" ht="15" customHeight="1">
      <c r="A526" t="inlineStr">
        <is>
          <t>A 3033-2026</t>
        </is>
      </c>
      <c r="B526" s="1" t="n">
        <v>46038.71920138889</v>
      </c>
      <c r="C526" s="1" t="n">
        <v>46083</v>
      </c>
      <c r="D526" t="inlineStr">
        <is>
          <t>ÖREBRO LÄN</t>
        </is>
      </c>
      <c r="E526" t="inlineStr">
        <is>
          <t>ÖREBRO</t>
        </is>
      </c>
      <c r="F526" t="inlineStr">
        <is>
          <t>Övriga Aktiebolag</t>
        </is>
      </c>
      <c r="G526" t="n">
        <v>3.4</v>
      </c>
      <c r="H526" t="n">
        <v>0</v>
      </c>
      <c r="I526" t="n">
        <v>0</v>
      </c>
      <c r="J526" t="n">
        <v>0</v>
      </c>
      <c r="K526" t="n">
        <v>0</v>
      </c>
      <c r="L526" t="n">
        <v>0</v>
      </c>
      <c r="M526" t="n">
        <v>0</v>
      </c>
      <c r="N526" t="n">
        <v>0</v>
      </c>
      <c r="O526" t="n">
        <v>0</v>
      </c>
      <c r="P526" t="n">
        <v>0</v>
      </c>
      <c r="Q526" t="n">
        <v>0</v>
      </c>
      <c r="R526" s="2" t="inlineStr"/>
    </row>
    <row r="527" ht="15" customHeight="1">
      <c r="A527" t="inlineStr">
        <is>
          <t>A 72329-2021</t>
        </is>
      </c>
      <c r="B527" s="1" t="n">
        <v>44545.46072916667</v>
      </c>
      <c r="C527" s="1" t="n">
        <v>46083</v>
      </c>
      <c r="D527" t="inlineStr">
        <is>
          <t>ÖREBRO LÄN</t>
        </is>
      </c>
      <c r="E527" t="inlineStr">
        <is>
          <t>ÖREBRO</t>
        </is>
      </c>
      <c r="G527" t="n">
        <v>0.5</v>
      </c>
      <c r="H527" t="n">
        <v>0</v>
      </c>
      <c r="I527" t="n">
        <v>0</v>
      </c>
      <c r="J527" t="n">
        <v>0</v>
      </c>
      <c r="K527" t="n">
        <v>0</v>
      </c>
      <c r="L527" t="n">
        <v>0</v>
      </c>
      <c r="M527" t="n">
        <v>0</v>
      </c>
      <c r="N527" t="n">
        <v>0</v>
      </c>
      <c r="O527" t="n">
        <v>0</v>
      </c>
      <c r="P527" t="n">
        <v>0</v>
      </c>
      <c r="Q527" t="n">
        <v>0</v>
      </c>
      <c r="R527" s="2" t="inlineStr"/>
    </row>
    <row r="528" ht="15" customHeight="1">
      <c r="A528" t="inlineStr">
        <is>
          <t>A 43803-2023</t>
        </is>
      </c>
      <c r="B528" s="1" t="n">
        <v>45187</v>
      </c>
      <c r="C528" s="1" t="n">
        <v>46083</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10970-2026</t>
        </is>
      </c>
      <c r="B529" s="1" t="n">
        <v>46079.44788194444</v>
      </c>
      <c r="C529" s="1" t="n">
        <v>46083</v>
      </c>
      <c r="D529" t="inlineStr">
        <is>
          <t>ÖREBRO LÄN</t>
        </is>
      </c>
      <c r="E529" t="inlineStr">
        <is>
          <t>ÖREBRO</t>
        </is>
      </c>
      <c r="G529" t="n">
        <v>6.5</v>
      </c>
      <c r="H529" t="n">
        <v>0</v>
      </c>
      <c r="I529" t="n">
        <v>0</v>
      </c>
      <c r="J529" t="n">
        <v>0</v>
      </c>
      <c r="K529" t="n">
        <v>0</v>
      </c>
      <c r="L529" t="n">
        <v>0</v>
      </c>
      <c r="M529" t="n">
        <v>0</v>
      </c>
      <c r="N529" t="n">
        <v>0</v>
      </c>
      <c r="O529" t="n">
        <v>0</v>
      </c>
      <c r="P529" t="n">
        <v>0</v>
      </c>
      <c r="Q529" t="n">
        <v>0</v>
      </c>
      <c r="R529" s="2" t="inlineStr"/>
    </row>
    <row r="530" ht="15" customHeight="1">
      <c r="A530" t="inlineStr">
        <is>
          <t>A 15789-2023</t>
        </is>
      </c>
      <c r="B530" s="1" t="n">
        <v>45021.71539351852</v>
      </c>
      <c r="C530" s="1" t="n">
        <v>46083</v>
      </c>
      <c r="D530" t="inlineStr">
        <is>
          <t>ÖREBRO LÄN</t>
        </is>
      </c>
      <c r="E530" t="inlineStr">
        <is>
          <t>ÖREBRO</t>
        </is>
      </c>
      <c r="F530" t="inlineStr">
        <is>
          <t>Övriga Aktiebolag</t>
        </is>
      </c>
      <c r="G530" t="n">
        <v>3.7</v>
      </c>
      <c r="H530" t="n">
        <v>0</v>
      </c>
      <c r="I530" t="n">
        <v>0</v>
      </c>
      <c r="J530" t="n">
        <v>0</v>
      </c>
      <c r="K530" t="n">
        <v>0</v>
      </c>
      <c r="L530" t="n">
        <v>0</v>
      </c>
      <c r="M530" t="n">
        <v>0</v>
      </c>
      <c r="N530" t="n">
        <v>0</v>
      </c>
      <c r="O530" t="n">
        <v>0</v>
      </c>
      <c r="P530" t="n">
        <v>0</v>
      </c>
      <c r="Q530" t="n">
        <v>0</v>
      </c>
      <c r="R530" s="2" t="inlineStr"/>
    </row>
    <row r="531" ht="15" customHeight="1">
      <c r="A531" t="inlineStr">
        <is>
          <t>A 58539-2024</t>
        </is>
      </c>
      <c r="B531" s="1" t="n">
        <v>45635.45157407408</v>
      </c>
      <c r="C531" s="1" t="n">
        <v>46083</v>
      </c>
      <c r="D531" t="inlineStr">
        <is>
          <t>ÖREBRO LÄN</t>
        </is>
      </c>
      <c r="E531" t="inlineStr">
        <is>
          <t>ÖREBRO</t>
        </is>
      </c>
      <c r="F531" t="inlineStr">
        <is>
          <t>Sveaskog</t>
        </is>
      </c>
      <c r="G531" t="n">
        <v>4.1</v>
      </c>
      <c r="H531" t="n">
        <v>0</v>
      </c>
      <c r="I531" t="n">
        <v>0</v>
      </c>
      <c r="J531" t="n">
        <v>0</v>
      </c>
      <c r="K531" t="n">
        <v>0</v>
      </c>
      <c r="L531" t="n">
        <v>0</v>
      </c>
      <c r="M531" t="n">
        <v>0</v>
      </c>
      <c r="N531" t="n">
        <v>0</v>
      </c>
      <c r="O531" t="n">
        <v>0</v>
      </c>
      <c r="P531" t="n">
        <v>0</v>
      </c>
      <c r="Q531" t="n">
        <v>0</v>
      </c>
      <c r="R531" s="2" t="inlineStr"/>
    </row>
    <row r="532" ht="15" customHeight="1">
      <c r="A532" t="inlineStr">
        <is>
          <t>A 10944-2026</t>
        </is>
      </c>
      <c r="B532" s="1" t="n">
        <v>46079.37659722222</v>
      </c>
      <c r="C532" s="1" t="n">
        <v>46083</v>
      </c>
      <c r="D532" t="inlineStr">
        <is>
          <t>ÖREBRO LÄN</t>
        </is>
      </c>
      <c r="E532" t="inlineStr">
        <is>
          <t>ÖREBRO</t>
        </is>
      </c>
      <c r="G532" t="n">
        <v>2.7</v>
      </c>
      <c r="H532" t="n">
        <v>0</v>
      </c>
      <c r="I532" t="n">
        <v>0</v>
      </c>
      <c r="J532" t="n">
        <v>0</v>
      </c>
      <c r="K532" t="n">
        <v>0</v>
      </c>
      <c r="L532" t="n">
        <v>0</v>
      </c>
      <c r="M532" t="n">
        <v>0</v>
      </c>
      <c r="N532" t="n">
        <v>0</v>
      </c>
      <c r="O532" t="n">
        <v>0</v>
      </c>
      <c r="P532" t="n">
        <v>0</v>
      </c>
      <c r="Q532" t="n">
        <v>0</v>
      </c>
      <c r="R532" s="2" t="inlineStr"/>
    </row>
    <row r="533" ht="15" customHeight="1">
      <c r="A533" t="inlineStr">
        <is>
          <t>A 3042-2026</t>
        </is>
      </c>
      <c r="B533" s="1" t="n">
        <v>46038.73467592592</v>
      </c>
      <c r="C533" s="1" t="n">
        <v>46083</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10972-2026</t>
        </is>
      </c>
      <c r="B534" s="1" t="n">
        <v>46079.45015046297</v>
      </c>
      <c r="C534" s="1" t="n">
        <v>46083</v>
      </c>
      <c r="D534" t="inlineStr">
        <is>
          <t>ÖREBRO LÄN</t>
        </is>
      </c>
      <c r="E534" t="inlineStr">
        <is>
          <t>ÖREBRO</t>
        </is>
      </c>
      <c r="G534" t="n">
        <v>1.7</v>
      </c>
      <c r="H534" t="n">
        <v>0</v>
      </c>
      <c r="I534" t="n">
        <v>0</v>
      </c>
      <c r="J534" t="n">
        <v>0</v>
      </c>
      <c r="K534" t="n">
        <v>0</v>
      </c>
      <c r="L534" t="n">
        <v>0</v>
      </c>
      <c r="M534" t="n">
        <v>0</v>
      </c>
      <c r="N534" t="n">
        <v>0</v>
      </c>
      <c r="O534" t="n">
        <v>0</v>
      </c>
      <c r="P534" t="n">
        <v>0</v>
      </c>
      <c r="Q534" t="n">
        <v>0</v>
      </c>
      <c r="R534" s="2" t="inlineStr"/>
    </row>
    <row r="535" ht="15" customHeight="1">
      <c r="A535" t="inlineStr">
        <is>
          <t>A 59757-2023</t>
        </is>
      </c>
      <c r="B535" s="1" t="n">
        <v>45257.40833333333</v>
      </c>
      <c r="C535" s="1" t="n">
        <v>46083</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17869-2024</t>
        </is>
      </c>
      <c r="B536" s="1" t="n">
        <v>45419</v>
      </c>
      <c r="C536" s="1" t="n">
        <v>46083</v>
      </c>
      <c r="D536" t="inlineStr">
        <is>
          <t>ÖREBRO LÄN</t>
        </is>
      </c>
      <c r="E536" t="inlineStr">
        <is>
          <t>ÖREBRO</t>
        </is>
      </c>
      <c r="G536" t="n">
        <v>3.7</v>
      </c>
      <c r="H536" t="n">
        <v>0</v>
      </c>
      <c r="I536" t="n">
        <v>0</v>
      </c>
      <c r="J536" t="n">
        <v>0</v>
      </c>
      <c r="K536" t="n">
        <v>0</v>
      </c>
      <c r="L536" t="n">
        <v>0</v>
      </c>
      <c r="M536" t="n">
        <v>0</v>
      </c>
      <c r="N536" t="n">
        <v>0</v>
      </c>
      <c r="O536" t="n">
        <v>0</v>
      </c>
      <c r="P536" t="n">
        <v>0</v>
      </c>
      <c r="Q536" t="n">
        <v>0</v>
      </c>
      <c r="R536" s="2" t="inlineStr"/>
    </row>
    <row r="537" ht="15" customHeight="1">
      <c r="A537" t="inlineStr">
        <is>
          <t>A 71272-2021</t>
        </is>
      </c>
      <c r="B537" s="1" t="n">
        <v>44539.61571759259</v>
      </c>
      <c r="C537" s="1" t="n">
        <v>46083</v>
      </c>
      <c r="D537" t="inlineStr">
        <is>
          <t>ÖREBRO LÄN</t>
        </is>
      </c>
      <c r="E537" t="inlineStr">
        <is>
          <t>ÖREBRO</t>
        </is>
      </c>
      <c r="G537" t="n">
        <v>0.9</v>
      </c>
      <c r="H537" t="n">
        <v>0</v>
      </c>
      <c r="I537" t="n">
        <v>0</v>
      </c>
      <c r="J537" t="n">
        <v>0</v>
      </c>
      <c r="K537" t="n">
        <v>0</v>
      </c>
      <c r="L537" t="n">
        <v>0</v>
      </c>
      <c r="M537" t="n">
        <v>0</v>
      </c>
      <c r="N537" t="n">
        <v>0</v>
      </c>
      <c r="O537" t="n">
        <v>0</v>
      </c>
      <c r="P537" t="n">
        <v>0</v>
      </c>
      <c r="Q537" t="n">
        <v>0</v>
      </c>
      <c r="R537" s="2" t="inlineStr"/>
    </row>
    <row r="538" ht="15" customHeight="1">
      <c r="A538" t="inlineStr">
        <is>
          <t>A 4557-2023</t>
        </is>
      </c>
      <c r="B538" s="1" t="n">
        <v>44956.6655787037</v>
      </c>
      <c r="C538" s="1" t="n">
        <v>46083</v>
      </c>
      <c r="D538" t="inlineStr">
        <is>
          <t>ÖREBRO LÄN</t>
        </is>
      </c>
      <c r="E538" t="inlineStr">
        <is>
          <t>ÖREBRO</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60100-2022</t>
        </is>
      </c>
      <c r="B539" s="1" t="n">
        <v>44902</v>
      </c>
      <c r="C539" s="1" t="n">
        <v>46083</v>
      </c>
      <c r="D539" t="inlineStr">
        <is>
          <t>ÖREBRO LÄN</t>
        </is>
      </c>
      <c r="E539" t="inlineStr">
        <is>
          <t>ÖREBRO</t>
        </is>
      </c>
      <c r="G539" t="n">
        <v>1.4</v>
      </c>
      <c r="H539" t="n">
        <v>0</v>
      </c>
      <c r="I539" t="n">
        <v>0</v>
      </c>
      <c r="J539" t="n">
        <v>0</v>
      </c>
      <c r="K539" t="n">
        <v>0</v>
      </c>
      <c r="L539" t="n">
        <v>0</v>
      </c>
      <c r="M539" t="n">
        <v>0</v>
      </c>
      <c r="N539" t="n">
        <v>0</v>
      </c>
      <c r="O539" t="n">
        <v>0</v>
      </c>
      <c r="P539" t="n">
        <v>0</v>
      </c>
      <c r="Q539" t="n">
        <v>0</v>
      </c>
      <c r="R539" s="2" t="inlineStr"/>
    </row>
    <row r="540" ht="15" customHeight="1">
      <c r="A540" t="inlineStr">
        <is>
          <t>A 17465-2023</t>
        </is>
      </c>
      <c r="B540" s="1" t="n">
        <v>45036</v>
      </c>
      <c r="C540" s="1" t="n">
        <v>46083</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52016-2024</t>
        </is>
      </c>
      <c r="B541" s="1" t="n">
        <v>45607.81917824074</v>
      </c>
      <c r="C541" s="1" t="n">
        <v>46083</v>
      </c>
      <c r="D541" t="inlineStr">
        <is>
          <t>ÖREBRO LÄN</t>
        </is>
      </c>
      <c r="E541" t="inlineStr">
        <is>
          <t>ÖREBRO</t>
        </is>
      </c>
      <c r="G541" t="n">
        <v>1.9</v>
      </c>
      <c r="H541" t="n">
        <v>0</v>
      </c>
      <c r="I541" t="n">
        <v>0</v>
      </c>
      <c r="J541" t="n">
        <v>0</v>
      </c>
      <c r="K541" t="n">
        <v>0</v>
      </c>
      <c r="L541" t="n">
        <v>0</v>
      </c>
      <c r="M541" t="n">
        <v>0</v>
      </c>
      <c r="N541" t="n">
        <v>0</v>
      </c>
      <c r="O541" t="n">
        <v>0</v>
      </c>
      <c r="P541" t="n">
        <v>0</v>
      </c>
      <c r="Q541" t="n">
        <v>0</v>
      </c>
      <c r="R541" s="2" t="inlineStr"/>
    </row>
    <row r="542" ht="15" customHeight="1">
      <c r="A542" t="inlineStr">
        <is>
          <t>A 52477-2024</t>
        </is>
      </c>
      <c r="B542" s="1" t="n">
        <v>45609</v>
      </c>
      <c r="C542" s="1" t="n">
        <v>46083</v>
      </c>
      <c r="D542" t="inlineStr">
        <is>
          <t>ÖREBRO LÄN</t>
        </is>
      </c>
      <c r="E542" t="inlineStr">
        <is>
          <t>ÖREBRO</t>
        </is>
      </c>
      <c r="G542" t="n">
        <v>0.7</v>
      </c>
      <c r="H542" t="n">
        <v>0</v>
      </c>
      <c r="I542" t="n">
        <v>0</v>
      </c>
      <c r="J542" t="n">
        <v>0</v>
      </c>
      <c r="K542" t="n">
        <v>0</v>
      </c>
      <c r="L542" t="n">
        <v>0</v>
      </c>
      <c r="M542" t="n">
        <v>0</v>
      </c>
      <c r="N542" t="n">
        <v>0</v>
      </c>
      <c r="O542" t="n">
        <v>0</v>
      </c>
      <c r="P542" t="n">
        <v>0</v>
      </c>
      <c r="Q542" t="n">
        <v>0</v>
      </c>
      <c r="R542" s="2" t="inlineStr"/>
    </row>
    <row r="543" ht="15" customHeight="1">
      <c r="A543" t="inlineStr">
        <is>
          <t>A 53558-2023</t>
        </is>
      </c>
      <c r="B543" s="1" t="n">
        <v>45230.47266203703</v>
      </c>
      <c r="C543" s="1" t="n">
        <v>46083</v>
      </c>
      <c r="D543" t="inlineStr">
        <is>
          <t>ÖREBRO LÄN</t>
        </is>
      </c>
      <c r="E543" t="inlineStr">
        <is>
          <t>ÖREBRO</t>
        </is>
      </c>
      <c r="F543" t="inlineStr">
        <is>
          <t>Övriga Aktiebolag</t>
        </is>
      </c>
      <c r="G543" t="n">
        <v>4.7</v>
      </c>
      <c r="H543" t="n">
        <v>0</v>
      </c>
      <c r="I543" t="n">
        <v>0</v>
      </c>
      <c r="J543" t="n">
        <v>0</v>
      </c>
      <c r="K543" t="n">
        <v>0</v>
      </c>
      <c r="L543" t="n">
        <v>0</v>
      </c>
      <c r="M543" t="n">
        <v>0</v>
      </c>
      <c r="N543" t="n">
        <v>0</v>
      </c>
      <c r="O543" t="n">
        <v>0</v>
      </c>
      <c r="P543" t="n">
        <v>0</v>
      </c>
      <c r="Q543" t="n">
        <v>0</v>
      </c>
      <c r="R543" s="2" t="inlineStr"/>
    </row>
    <row r="544" ht="15" customHeight="1">
      <c r="A544" t="inlineStr">
        <is>
          <t>A 35843-2022</t>
        </is>
      </c>
      <c r="B544" s="1" t="n">
        <v>44802</v>
      </c>
      <c r="C544" s="1" t="n">
        <v>46083</v>
      </c>
      <c r="D544" t="inlineStr">
        <is>
          <t>ÖREBRO LÄN</t>
        </is>
      </c>
      <c r="E544" t="inlineStr">
        <is>
          <t>ÖREBRO</t>
        </is>
      </c>
      <c r="G544" t="n">
        <v>2.4</v>
      </c>
      <c r="H544" t="n">
        <v>0</v>
      </c>
      <c r="I544" t="n">
        <v>0</v>
      </c>
      <c r="J544" t="n">
        <v>0</v>
      </c>
      <c r="K544" t="n">
        <v>0</v>
      </c>
      <c r="L544" t="n">
        <v>0</v>
      </c>
      <c r="M544" t="n">
        <v>0</v>
      </c>
      <c r="N544" t="n">
        <v>0</v>
      </c>
      <c r="O544" t="n">
        <v>0</v>
      </c>
      <c r="P544" t="n">
        <v>0</v>
      </c>
      <c r="Q544" t="n">
        <v>0</v>
      </c>
      <c r="R544" s="2" t="inlineStr"/>
    </row>
    <row r="545" ht="15" customHeight="1">
      <c r="A545" t="inlineStr">
        <is>
          <t>A 51373-2023</t>
        </is>
      </c>
      <c r="B545" s="1" t="n">
        <v>45213</v>
      </c>
      <c r="C545" s="1" t="n">
        <v>46083</v>
      </c>
      <c r="D545" t="inlineStr">
        <is>
          <t>ÖREBRO LÄN</t>
        </is>
      </c>
      <c r="E545" t="inlineStr">
        <is>
          <t>ÖREBRO</t>
        </is>
      </c>
      <c r="G545" t="n">
        <v>5.9</v>
      </c>
      <c r="H545" t="n">
        <v>0</v>
      </c>
      <c r="I545" t="n">
        <v>0</v>
      </c>
      <c r="J545" t="n">
        <v>0</v>
      </c>
      <c r="K545" t="n">
        <v>0</v>
      </c>
      <c r="L545" t="n">
        <v>0</v>
      </c>
      <c r="M545" t="n">
        <v>0</v>
      </c>
      <c r="N545" t="n">
        <v>0</v>
      </c>
      <c r="O545" t="n">
        <v>0</v>
      </c>
      <c r="P545" t="n">
        <v>0</v>
      </c>
      <c r="Q545" t="n">
        <v>0</v>
      </c>
      <c r="R545" s="2" t="inlineStr"/>
    </row>
    <row r="546" ht="15" customHeight="1">
      <c r="A546" t="inlineStr">
        <is>
          <t>A 1257-2022</t>
        </is>
      </c>
      <c r="B546" s="1" t="n">
        <v>44572</v>
      </c>
      <c r="C546" s="1" t="n">
        <v>46083</v>
      </c>
      <c r="D546" t="inlineStr">
        <is>
          <t>ÖREBRO LÄN</t>
        </is>
      </c>
      <c r="E546" t="inlineStr">
        <is>
          <t>ÖREBRO</t>
        </is>
      </c>
      <c r="G546" t="n">
        <v>1.4</v>
      </c>
      <c r="H546" t="n">
        <v>0</v>
      </c>
      <c r="I546" t="n">
        <v>0</v>
      </c>
      <c r="J546" t="n">
        <v>0</v>
      </c>
      <c r="K546" t="n">
        <v>0</v>
      </c>
      <c r="L546" t="n">
        <v>0</v>
      </c>
      <c r="M546" t="n">
        <v>0</v>
      </c>
      <c r="N546" t="n">
        <v>0</v>
      </c>
      <c r="O546" t="n">
        <v>0</v>
      </c>
      <c r="P546" t="n">
        <v>0</v>
      </c>
      <c r="Q546" t="n">
        <v>0</v>
      </c>
      <c r="R546" s="2" t="inlineStr"/>
    </row>
    <row r="547" ht="15" customHeight="1">
      <c r="A547" t="inlineStr">
        <is>
          <t>A 40656-2023</t>
        </is>
      </c>
      <c r="B547" s="1" t="n">
        <v>45170</v>
      </c>
      <c r="C547" s="1" t="n">
        <v>46083</v>
      </c>
      <c r="D547" t="inlineStr">
        <is>
          <t>ÖREBRO LÄN</t>
        </is>
      </c>
      <c r="E547" t="inlineStr">
        <is>
          <t>ÖREBRO</t>
        </is>
      </c>
      <c r="F547" t="inlineStr">
        <is>
          <t>Övriga Aktiebolag</t>
        </is>
      </c>
      <c r="G547" t="n">
        <v>0.8</v>
      </c>
      <c r="H547" t="n">
        <v>0</v>
      </c>
      <c r="I547" t="n">
        <v>0</v>
      </c>
      <c r="J547" t="n">
        <v>0</v>
      </c>
      <c r="K547" t="n">
        <v>0</v>
      </c>
      <c r="L547" t="n">
        <v>0</v>
      </c>
      <c r="M547" t="n">
        <v>0</v>
      </c>
      <c r="N547" t="n">
        <v>0</v>
      </c>
      <c r="O547" t="n">
        <v>0</v>
      </c>
      <c r="P547" t="n">
        <v>0</v>
      </c>
      <c r="Q547" t="n">
        <v>0</v>
      </c>
      <c r="R547" s="2" t="inlineStr"/>
    </row>
    <row r="548" ht="15" customHeight="1">
      <c r="A548" t="inlineStr">
        <is>
          <t>A 22677-2022</t>
        </is>
      </c>
      <c r="B548" s="1" t="n">
        <v>44714</v>
      </c>
      <c r="C548" s="1" t="n">
        <v>46083</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71288-2021</t>
        </is>
      </c>
      <c r="B549" s="1" t="n">
        <v>44539.62481481482</v>
      </c>
      <c r="C549" s="1" t="n">
        <v>46083</v>
      </c>
      <c r="D549" t="inlineStr">
        <is>
          <t>ÖREBRO LÄN</t>
        </is>
      </c>
      <c r="E549" t="inlineStr">
        <is>
          <t>ÖREBRO</t>
        </is>
      </c>
      <c r="G549" t="n">
        <v>3.9</v>
      </c>
      <c r="H549" t="n">
        <v>0</v>
      </c>
      <c r="I549" t="n">
        <v>0</v>
      </c>
      <c r="J549" t="n">
        <v>0</v>
      </c>
      <c r="K549" t="n">
        <v>0</v>
      </c>
      <c r="L549" t="n">
        <v>0</v>
      </c>
      <c r="M549" t="n">
        <v>0</v>
      </c>
      <c r="N549" t="n">
        <v>0</v>
      </c>
      <c r="O549" t="n">
        <v>0</v>
      </c>
      <c r="P549" t="n">
        <v>0</v>
      </c>
      <c r="Q549" t="n">
        <v>0</v>
      </c>
      <c r="R549" s="2" t="inlineStr"/>
    </row>
    <row r="550" ht="15" customHeight="1">
      <c r="A550" t="inlineStr">
        <is>
          <t>A 10830-2023</t>
        </is>
      </c>
      <c r="B550" s="1" t="n">
        <v>44990.89752314815</v>
      </c>
      <c r="C550" s="1" t="n">
        <v>46083</v>
      </c>
      <c r="D550" t="inlineStr">
        <is>
          <t>ÖREBRO LÄN</t>
        </is>
      </c>
      <c r="E550" t="inlineStr">
        <is>
          <t>ÖREBRO</t>
        </is>
      </c>
      <c r="G550" t="n">
        <v>2</v>
      </c>
      <c r="H550" t="n">
        <v>0</v>
      </c>
      <c r="I550" t="n">
        <v>0</v>
      </c>
      <c r="J550" t="n">
        <v>0</v>
      </c>
      <c r="K550" t="n">
        <v>0</v>
      </c>
      <c r="L550" t="n">
        <v>0</v>
      </c>
      <c r="M550" t="n">
        <v>0</v>
      </c>
      <c r="N550" t="n">
        <v>0</v>
      </c>
      <c r="O550" t="n">
        <v>0</v>
      </c>
      <c r="P550" t="n">
        <v>0</v>
      </c>
      <c r="Q550" t="n">
        <v>0</v>
      </c>
      <c r="R550" s="2" t="inlineStr"/>
    </row>
    <row r="551" ht="15" customHeight="1">
      <c r="A551" t="inlineStr">
        <is>
          <t>A 7692-2023</t>
        </is>
      </c>
      <c r="B551" s="1" t="n">
        <v>44972.7762962963</v>
      </c>
      <c r="C551" s="1" t="n">
        <v>46083</v>
      </c>
      <c r="D551" t="inlineStr">
        <is>
          <t>ÖREBRO LÄN</t>
        </is>
      </c>
      <c r="E551" t="inlineStr">
        <is>
          <t>ÖREBRO</t>
        </is>
      </c>
      <c r="G551" t="n">
        <v>1.5</v>
      </c>
      <c r="H551" t="n">
        <v>0</v>
      </c>
      <c r="I551" t="n">
        <v>0</v>
      </c>
      <c r="J551" t="n">
        <v>0</v>
      </c>
      <c r="K551" t="n">
        <v>0</v>
      </c>
      <c r="L551" t="n">
        <v>0</v>
      </c>
      <c r="M551" t="n">
        <v>0</v>
      </c>
      <c r="N551" t="n">
        <v>0</v>
      </c>
      <c r="O551" t="n">
        <v>0</v>
      </c>
      <c r="P551" t="n">
        <v>0</v>
      </c>
      <c r="Q551" t="n">
        <v>0</v>
      </c>
      <c r="R551" s="2" t="inlineStr"/>
    </row>
    <row r="552" ht="15" customHeight="1">
      <c r="A552" t="inlineStr">
        <is>
          <t>A 31240-2023</t>
        </is>
      </c>
      <c r="B552" s="1" t="n">
        <v>45114</v>
      </c>
      <c r="C552" s="1" t="n">
        <v>46083</v>
      </c>
      <c r="D552" t="inlineStr">
        <is>
          <t>ÖREBRO LÄN</t>
        </is>
      </c>
      <c r="E552" t="inlineStr">
        <is>
          <t>ÖREBRO</t>
        </is>
      </c>
      <c r="F552" t="inlineStr">
        <is>
          <t>Allmännings- och besparingsskogar</t>
        </is>
      </c>
      <c r="G552" t="n">
        <v>6.2</v>
      </c>
      <c r="H552" t="n">
        <v>0</v>
      </c>
      <c r="I552" t="n">
        <v>0</v>
      </c>
      <c r="J552" t="n">
        <v>0</v>
      </c>
      <c r="K552" t="n">
        <v>0</v>
      </c>
      <c r="L552" t="n">
        <v>0</v>
      </c>
      <c r="M552" t="n">
        <v>0</v>
      </c>
      <c r="N552" t="n">
        <v>0</v>
      </c>
      <c r="O552" t="n">
        <v>0</v>
      </c>
      <c r="P552" t="n">
        <v>0</v>
      </c>
      <c r="Q552" t="n">
        <v>0</v>
      </c>
      <c r="R552" s="2" t="inlineStr"/>
    </row>
    <row r="553" ht="15" customHeight="1">
      <c r="A553" t="inlineStr">
        <is>
          <t>A 50026-2024</t>
        </is>
      </c>
      <c r="B553" s="1" t="n">
        <v>45599.60541666667</v>
      </c>
      <c r="C553" s="1" t="n">
        <v>46083</v>
      </c>
      <c r="D553" t="inlineStr">
        <is>
          <t>ÖREBRO LÄN</t>
        </is>
      </c>
      <c r="E553" t="inlineStr">
        <is>
          <t>ÖREBRO</t>
        </is>
      </c>
      <c r="G553" t="n">
        <v>2.2</v>
      </c>
      <c r="H553" t="n">
        <v>0</v>
      </c>
      <c r="I553" t="n">
        <v>0</v>
      </c>
      <c r="J553" t="n">
        <v>0</v>
      </c>
      <c r="K553" t="n">
        <v>0</v>
      </c>
      <c r="L553" t="n">
        <v>0</v>
      </c>
      <c r="M553" t="n">
        <v>0</v>
      </c>
      <c r="N553" t="n">
        <v>0</v>
      </c>
      <c r="O553" t="n">
        <v>0</v>
      </c>
      <c r="P553" t="n">
        <v>0</v>
      </c>
      <c r="Q553" t="n">
        <v>0</v>
      </c>
      <c r="R553" s="2" t="inlineStr"/>
    </row>
    <row r="554" ht="15" customHeight="1">
      <c r="A554" t="inlineStr">
        <is>
          <t>A 18449-2023</t>
        </is>
      </c>
      <c r="B554" s="1" t="n">
        <v>45042.5203125</v>
      </c>
      <c r="C554" s="1" t="n">
        <v>46083</v>
      </c>
      <c r="D554" t="inlineStr">
        <is>
          <t>ÖREBRO LÄN</t>
        </is>
      </c>
      <c r="E554" t="inlineStr">
        <is>
          <t>ÖREBRO</t>
        </is>
      </c>
      <c r="G554" t="n">
        <v>1.5</v>
      </c>
      <c r="H554" t="n">
        <v>0</v>
      </c>
      <c r="I554" t="n">
        <v>0</v>
      </c>
      <c r="J554" t="n">
        <v>0</v>
      </c>
      <c r="K554" t="n">
        <v>0</v>
      </c>
      <c r="L554" t="n">
        <v>0</v>
      </c>
      <c r="M554" t="n">
        <v>0</v>
      </c>
      <c r="N554" t="n">
        <v>0</v>
      </c>
      <c r="O554" t="n">
        <v>0</v>
      </c>
      <c r="P554" t="n">
        <v>0</v>
      </c>
      <c r="Q554" t="n">
        <v>0</v>
      </c>
      <c r="R554" s="2" t="inlineStr"/>
    </row>
    <row r="555" ht="15" customHeight="1">
      <c r="A555" t="inlineStr">
        <is>
          <t>A 16936-2023</t>
        </is>
      </c>
      <c r="B555" s="1" t="n">
        <v>45033.63005787037</v>
      </c>
      <c r="C555" s="1" t="n">
        <v>46083</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58145-2024</t>
        </is>
      </c>
      <c r="B556" s="1" t="n">
        <v>45632.43230324074</v>
      </c>
      <c r="C556" s="1" t="n">
        <v>46083</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64730-2023</t>
        </is>
      </c>
      <c r="B557" s="1" t="n">
        <v>45281</v>
      </c>
      <c r="C557" s="1" t="n">
        <v>46083</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44284-2022</t>
        </is>
      </c>
      <c r="B558" s="1" t="n">
        <v>44839.59194444444</v>
      </c>
      <c r="C558" s="1" t="n">
        <v>46083</v>
      </c>
      <c r="D558" t="inlineStr">
        <is>
          <t>ÖREBRO LÄN</t>
        </is>
      </c>
      <c r="E558" t="inlineStr">
        <is>
          <t>ÖREBRO</t>
        </is>
      </c>
      <c r="G558" t="n">
        <v>1.2</v>
      </c>
      <c r="H558" t="n">
        <v>0</v>
      </c>
      <c r="I558" t="n">
        <v>0</v>
      </c>
      <c r="J558" t="n">
        <v>0</v>
      </c>
      <c r="K558" t="n">
        <v>0</v>
      </c>
      <c r="L558" t="n">
        <v>0</v>
      </c>
      <c r="M558" t="n">
        <v>0</v>
      </c>
      <c r="N558" t="n">
        <v>0</v>
      </c>
      <c r="O558" t="n">
        <v>0</v>
      </c>
      <c r="P558" t="n">
        <v>0</v>
      </c>
      <c r="Q558" t="n">
        <v>0</v>
      </c>
      <c r="R558" s="2" t="inlineStr"/>
    </row>
    <row r="559" ht="15" customHeight="1">
      <c r="A559" t="inlineStr">
        <is>
          <t>A 14544-2023</t>
        </is>
      </c>
      <c r="B559" s="1" t="n">
        <v>45013</v>
      </c>
      <c r="C559" s="1" t="n">
        <v>46083</v>
      </c>
      <c r="D559" t="inlineStr">
        <is>
          <t>ÖREBRO LÄN</t>
        </is>
      </c>
      <c r="E559" t="inlineStr">
        <is>
          <t>ÖREBRO</t>
        </is>
      </c>
      <c r="G559" t="n">
        <v>0.5</v>
      </c>
      <c r="H559" t="n">
        <v>0</v>
      </c>
      <c r="I559" t="n">
        <v>0</v>
      </c>
      <c r="J559" t="n">
        <v>0</v>
      </c>
      <c r="K559" t="n">
        <v>0</v>
      </c>
      <c r="L559" t="n">
        <v>0</v>
      </c>
      <c r="M559" t="n">
        <v>0</v>
      </c>
      <c r="N559" t="n">
        <v>0</v>
      </c>
      <c r="O559" t="n">
        <v>0</v>
      </c>
      <c r="P559" t="n">
        <v>0</v>
      </c>
      <c r="Q559" t="n">
        <v>0</v>
      </c>
      <c r="R559" s="2" t="inlineStr"/>
    </row>
    <row r="560" ht="15" customHeight="1">
      <c r="A560" t="inlineStr">
        <is>
          <t>A 15682-2023</t>
        </is>
      </c>
      <c r="B560" s="1" t="n">
        <v>45021</v>
      </c>
      <c r="C560" s="1" t="n">
        <v>46083</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4416-2023</t>
        </is>
      </c>
      <c r="B561" s="1" t="n">
        <v>44956</v>
      </c>
      <c r="C561" s="1" t="n">
        <v>46083</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49062-2023</t>
        </is>
      </c>
      <c r="B562" s="1" t="n">
        <v>45210.35119212963</v>
      </c>
      <c r="C562" s="1" t="n">
        <v>46083</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32321-2023</t>
        </is>
      </c>
      <c r="B563" s="1" t="n">
        <v>45120</v>
      </c>
      <c r="C563" s="1" t="n">
        <v>46083</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2095-2025</t>
        </is>
      </c>
      <c r="B564" s="1" t="n">
        <v>45672</v>
      </c>
      <c r="C564" s="1" t="n">
        <v>46083</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71275-2021</t>
        </is>
      </c>
      <c r="B565" s="1" t="n">
        <v>44539</v>
      </c>
      <c r="C565" s="1" t="n">
        <v>46083</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58608-2024</t>
        </is>
      </c>
      <c r="B566" s="1" t="n">
        <v>45635.55185185185</v>
      </c>
      <c r="C566" s="1" t="n">
        <v>46083</v>
      </c>
      <c r="D566" t="inlineStr">
        <is>
          <t>ÖREBRO LÄN</t>
        </is>
      </c>
      <c r="E566" t="inlineStr">
        <is>
          <t>ÖREBRO</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2153-2023</t>
        </is>
      </c>
      <c r="B567" s="1" t="n">
        <v>44941</v>
      </c>
      <c r="C567" s="1" t="n">
        <v>46083</v>
      </c>
      <c r="D567" t="inlineStr">
        <is>
          <t>ÖREBRO LÄN</t>
        </is>
      </c>
      <c r="E567" t="inlineStr">
        <is>
          <t>ÖREBRO</t>
        </is>
      </c>
      <c r="G567" t="n">
        <v>6.3</v>
      </c>
      <c r="H567" t="n">
        <v>0</v>
      </c>
      <c r="I567" t="n">
        <v>0</v>
      </c>
      <c r="J567" t="n">
        <v>0</v>
      </c>
      <c r="K567" t="n">
        <v>0</v>
      </c>
      <c r="L567" t="n">
        <v>0</v>
      </c>
      <c r="M567" t="n">
        <v>0</v>
      </c>
      <c r="N567" t="n">
        <v>0</v>
      </c>
      <c r="O567" t="n">
        <v>0</v>
      </c>
      <c r="P567" t="n">
        <v>0</v>
      </c>
      <c r="Q567" t="n">
        <v>0</v>
      </c>
      <c r="R567" s="2" t="inlineStr"/>
    </row>
    <row r="568" ht="15" customHeight="1">
      <c r="A568" t="inlineStr">
        <is>
          <t>A 2069-2025</t>
        </is>
      </c>
      <c r="B568" s="1" t="n">
        <v>45672.56614583333</v>
      </c>
      <c r="C568" s="1" t="n">
        <v>46083</v>
      </c>
      <c r="D568" t="inlineStr">
        <is>
          <t>ÖREBRO LÄN</t>
        </is>
      </c>
      <c r="E568" t="inlineStr">
        <is>
          <t>ÖREBRO</t>
        </is>
      </c>
      <c r="G568" t="n">
        <v>3.8</v>
      </c>
      <c r="H568" t="n">
        <v>0</v>
      </c>
      <c r="I568" t="n">
        <v>0</v>
      </c>
      <c r="J568" t="n">
        <v>0</v>
      </c>
      <c r="K568" t="n">
        <v>0</v>
      </c>
      <c r="L568" t="n">
        <v>0</v>
      </c>
      <c r="M568" t="n">
        <v>0</v>
      </c>
      <c r="N568" t="n">
        <v>0</v>
      </c>
      <c r="O568" t="n">
        <v>0</v>
      </c>
      <c r="P568" t="n">
        <v>0</v>
      </c>
      <c r="Q568" t="n">
        <v>0</v>
      </c>
      <c r="R568" s="2" t="inlineStr"/>
    </row>
    <row r="569" ht="15" customHeight="1">
      <c r="A569" t="inlineStr">
        <is>
          <t>A 852-2025</t>
        </is>
      </c>
      <c r="B569" s="1" t="n">
        <v>45665.60148148148</v>
      </c>
      <c r="C569" s="1" t="n">
        <v>46083</v>
      </c>
      <c r="D569" t="inlineStr">
        <is>
          <t>ÖREBRO LÄN</t>
        </is>
      </c>
      <c r="E569" t="inlineStr">
        <is>
          <t>ÖREBRO</t>
        </is>
      </c>
      <c r="G569" t="n">
        <v>2.9</v>
      </c>
      <c r="H569" t="n">
        <v>0</v>
      </c>
      <c r="I569" t="n">
        <v>0</v>
      </c>
      <c r="J569" t="n">
        <v>0</v>
      </c>
      <c r="K569" t="n">
        <v>0</v>
      </c>
      <c r="L569" t="n">
        <v>0</v>
      </c>
      <c r="M569" t="n">
        <v>0</v>
      </c>
      <c r="N569" t="n">
        <v>0</v>
      </c>
      <c r="O569" t="n">
        <v>0</v>
      </c>
      <c r="P569" t="n">
        <v>0</v>
      </c>
      <c r="Q569" t="n">
        <v>0</v>
      </c>
      <c r="R569" s="2" t="inlineStr"/>
    </row>
    <row r="570" ht="15" customHeight="1">
      <c r="A570" t="inlineStr">
        <is>
          <t>A 50398-2022</t>
        </is>
      </c>
      <c r="B570" s="1" t="n">
        <v>44861</v>
      </c>
      <c r="C570" s="1" t="n">
        <v>46083</v>
      </c>
      <c r="D570" t="inlineStr">
        <is>
          <t>ÖREBRO LÄN</t>
        </is>
      </c>
      <c r="E570" t="inlineStr">
        <is>
          <t>ÖREBRO</t>
        </is>
      </c>
      <c r="G570" t="n">
        <v>1.9</v>
      </c>
      <c r="H570" t="n">
        <v>0</v>
      </c>
      <c r="I570" t="n">
        <v>0</v>
      </c>
      <c r="J570" t="n">
        <v>0</v>
      </c>
      <c r="K570" t="n">
        <v>0</v>
      </c>
      <c r="L570" t="n">
        <v>0</v>
      </c>
      <c r="M570" t="n">
        <v>0</v>
      </c>
      <c r="N570" t="n">
        <v>0</v>
      </c>
      <c r="O570" t="n">
        <v>0</v>
      </c>
      <c r="P570" t="n">
        <v>0</v>
      </c>
      <c r="Q570" t="n">
        <v>0</v>
      </c>
      <c r="R570" s="2" t="inlineStr"/>
    </row>
    <row r="571" ht="15" customHeight="1">
      <c r="A571" t="inlineStr">
        <is>
          <t>A 52441-2024</t>
        </is>
      </c>
      <c r="B571" s="1" t="n">
        <v>45609.48451388889</v>
      </c>
      <c r="C571" s="1" t="n">
        <v>46083</v>
      </c>
      <c r="D571" t="inlineStr">
        <is>
          <t>ÖREBRO LÄN</t>
        </is>
      </c>
      <c r="E571" t="inlineStr">
        <is>
          <t>ÖREBRO</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52499-2024</t>
        </is>
      </c>
      <c r="B572" s="1" t="n">
        <v>45609.58422453704</v>
      </c>
      <c r="C572" s="1" t="n">
        <v>46083</v>
      </c>
      <c r="D572" t="inlineStr">
        <is>
          <t>ÖREBRO LÄN</t>
        </is>
      </c>
      <c r="E572" t="inlineStr">
        <is>
          <t>ÖREBRO</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8008-2024</t>
        </is>
      </c>
      <c r="B573" s="1" t="n">
        <v>45350.6794212963</v>
      </c>
      <c r="C573" s="1" t="n">
        <v>46083</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18181-2024</t>
        </is>
      </c>
      <c r="B574" s="1" t="n">
        <v>45420.64561342593</v>
      </c>
      <c r="C574" s="1" t="n">
        <v>46083</v>
      </c>
      <c r="D574" t="inlineStr">
        <is>
          <t>ÖREBRO LÄN</t>
        </is>
      </c>
      <c r="E574" t="inlineStr">
        <is>
          <t>ÖREBRO</t>
        </is>
      </c>
      <c r="G574" t="n">
        <v>7.6</v>
      </c>
      <c r="H574" t="n">
        <v>0</v>
      </c>
      <c r="I574" t="n">
        <v>0</v>
      </c>
      <c r="J574" t="n">
        <v>0</v>
      </c>
      <c r="K574" t="n">
        <v>0</v>
      </c>
      <c r="L574" t="n">
        <v>0</v>
      </c>
      <c r="M574" t="n">
        <v>0</v>
      </c>
      <c r="N574" t="n">
        <v>0</v>
      </c>
      <c r="O574" t="n">
        <v>0</v>
      </c>
      <c r="P574" t="n">
        <v>0</v>
      </c>
      <c r="Q574" t="n">
        <v>0</v>
      </c>
      <c r="R574" s="2" t="inlineStr"/>
    </row>
    <row r="575" ht="15" customHeight="1">
      <c r="A575" t="inlineStr">
        <is>
          <t>A 38415-2023</t>
        </is>
      </c>
      <c r="B575" s="1" t="n">
        <v>45162.35502314815</v>
      </c>
      <c r="C575" s="1" t="n">
        <v>46083</v>
      </c>
      <c r="D575" t="inlineStr">
        <is>
          <t>ÖREBRO LÄN</t>
        </is>
      </c>
      <c r="E575" t="inlineStr">
        <is>
          <t>ÖREBRO</t>
        </is>
      </c>
      <c r="G575" t="n">
        <v>2.6</v>
      </c>
      <c r="H575" t="n">
        <v>0</v>
      </c>
      <c r="I575" t="n">
        <v>0</v>
      </c>
      <c r="J575" t="n">
        <v>0</v>
      </c>
      <c r="K575" t="n">
        <v>0</v>
      </c>
      <c r="L575" t="n">
        <v>0</v>
      </c>
      <c r="M575" t="n">
        <v>0</v>
      </c>
      <c r="N575" t="n">
        <v>0</v>
      </c>
      <c r="O575" t="n">
        <v>0</v>
      </c>
      <c r="P575" t="n">
        <v>0</v>
      </c>
      <c r="Q575" t="n">
        <v>0</v>
      </c>
      <c r="R575" s="2" t="inlineStr"/>
    </row>
    <row r="576" ht="15" customHeight="1">
      <c r="A576" t="inlineStr">
        <is>
          <t>A 16374-2022</t>
        </is>
      </c>
      <c r="B576" s="1" t="n">
        <v>44671</v>
      </c>
      <c r="C576" s="1" t="n">
        <v>46083</v>
      </c>
      <c r="D576" t="inlineStr">
        <is>
          <t>ÖREBRO LÄN</t>
        </is>
      </c>
      <c r="E576" t="inlineStr">
        <is>
          <t>ÖREBRO</t>
        </is>
      </c>
      <c r="F576" t="inlineStr">
        <is>
          <t>Övriga Aktiebolag</t>
        </is>
      </c>
      <c r="G576" t="n">
        <v>30.3</v>
      </c>
      <c r="H576" t="n">
        <v>0</v>
      </c>
      <c r="I576" t="n">
        <v>0</v>
      </c>
      <c r="J576" t="n">
        <v>0</v>
      </c>
      <c r="K576" t="n">
        <v>0</v>
      </c>
      <c r="L576" t="n">
        <v>0</v>
      </c>
      <c r="M576" t="n">
        <v>0</v>
      </c>
      <c r="N576" t="n">
        <v>0</v>
      </c>
      <c r="O576" t="n">
        <v>0</v>
      </c>
      <c r="P576" t="n">
        <v>0</v>
      </c>
      <c r="Q576" t="n">
        <v>0</v>
      </c>
      <c r="R576" s="2" t="inlineStr"/>
    </row>
    <row r="577" ht="15" customHeight="1">
      <c r="A577" t="inlineStr">
        <is>
          <t>A 9704-2023</t>
        </is>
      </c>
      <c r="B577" s="1" t="n">
        <v>44984</v>
      </c>
      <c r="C577" s="1" t="n">
        <v>46083</v>
      </c>
      <c r="D577" t="inlineStr">
        <is>
          <t>ÖREBRO LÄN</t>
        </is>
      </c>
      <c r="E577" t="inlineStr">
        <is>
          <t>ÖREBRO</t>
        </is>
      </c>
      <c r="G577" t="n">
        <v>1</v>
      </c>
      <c r="H577" t="n">
        <v>0</v>
      </c>
      <c r="I577" t="n">
        <v>0</v>
      </c>
      <c r="J577" t="n">
        <v>0</v>
      </c>
      <c r="K577" t="n">
        <v>0</v>
      </c>
      <c r="L577" t="n">
        <v>0</v>
      </c>
      <c r="M577" t="n">
        <v>0</v>
      </c>
      <c r="N577" t="n">
        <v>0</v>
      </c>
      <c r="O577" t="n">
        <v>0</v>
      </c>
      <c r="P577" t="n">
        <v>0</v>
      </c>
      <c r="Q577" t="n">
        <v>0</v>
      </c>
      <c r="R577" s="2" t="inlineStr"/>
    </row>
    <row r="578" ht="15" customHeight="1">
      <c r="A578" t="inlineStr">
        <is>
          <t>A 19180-2025</t>
        </is>
      </c>
      <c r="B578" s="1" t="n">
        <v>45769.40133101852</v>
      </c>
      <c r="C578" s="1" t="n">
        <v>46083</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46052-2024</t>
        </is>
      </c>
      <c r="B579" s="1" t="n">
        <v>45580.89116898148</v>
      </c>
      <c r="C579" s="1" t="n">
        <v>46083</v>
      </c>
      <c r="D579" t="inlineStr">
        <is>
          <t>ÖREBRO LÄN</t>
        </is>
      </c>
      <c r="E579" t="inlineStr">
        <is>
          <t>ÖREBRO</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58527-2024</t>
        </is>
      </c>
      <c r="B580" s="1" t="n">
        <v>45635.44388888889</v>
      </c>
      <c r="C580" s="1" t="n">
        <v>46083</v>
      </c>
      <c r="D580" t="inlineStr">
        <is>
          <t>ÖREBRO LÄN</t>
        </is>
      </c>
      <c r="E580" t="inlineStr">
        <is>
          <t>ÖREBRO</t>
        </is>
      </c>
      <c r="F580" t="inlineStr">
        <is>
          <t>Sveaskog</t>
        </is>
      </c>
      <c r="G580" t="n">
        <v>6.4</v>
      </c>
      <c r="H580" t="n">
        <v>0</v>
      </c>
      <c r="I580" t="n">
        <v>0</v>
      </c>
      <c r="J580" t="n">
        <v>0</v>
      </c>
      <c r="K580" t="n">
        <v>0</v>
      </c>
      <c r="L580" t="n">
        <v>0</v>
      </c>
      <c r="M580" t="n">
        <v>0</v>
      </c>
      <c r="N580" t="n">
        <v>0</v>
      </c>
      <c r="O580" t="n">
        <v>0</v>
      </c>
      <c r="P580" t="n">
        <v>0</v>
      </c>
      <c r="Q580" t="n">
        <v>0</v>
      </c>
      <c r="R580" s="2" t="inlineStr"/>
    </row>
    <row r="581" ht="15" customHeight="1">
      <c r="A581" t="inlineStr">
        <is>
          <t>A 37022-2024</t>
        </is>
      </c>
      <c r="B581" s="1" t="n">
        <v>45539.3822337963</v>
      </c>
      <c r="C581" s="1" t="n">
        <v>46083</v>
      </c>
      <c r="D581" t="inlineStr">
        <is>
          <t>ÖREBRO LÄN</t>
        </is>
      </c>
      <c r="E581" t="inlineStr">
        <is>
          <t>ÖREBRO</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37024-2024</t>
        </is>
      </c>
      <c r="B582" s="1" t="n">
        <v>45539.38329861111</v>
      </c>
      <c r="C582" s="1" t="n">
        <v>46083</v>
      </c>
      <c r="D582" t="inlineStr">
        <is>
          <t>ÖREBRO LÄN</t>
        </is>
      </c>
      <c r="E582" t="inlineStr">
        <is>
          <t>ÖREBRO</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38075-2022</t>
        </is>
      </c>
      <c r="B583" s="1" t="n">
        <v>44811</v>
      </c>
      <c r="C583" s="1" t="n">
        <v>46083</v>
      </c>
      <c r="D583" t="inlineStr">
        <is>
          <t>ÖREBRO LÄN</t>
        </is>
      </c>
      <c r="E583" t="inlineStr">
        <is>
          <t>ÖREBRO</t>
        </is>
      </c>
      <c r="G583" t="n">
        <v>0.2</v>
      </c>
      <c r="H583" t="n">
        <v>0</v>
      </c>
      <c r="I583" t="n">
        <v>0</v>
      </c>
      <c r="J583" t="n">
        <v>0</v>
      </c>
      <c r="K583" t="n">
        <v>0</v>
      </c>
      <c r="L583" t="n">
        <v>0</v>
      </c>
      <c r="M583" t="n">
        <v>0</v>
      </c>
      <c r="N583" t="n">
        <v>0</v>
      </c>
      <c r="O583" t="n">
        <v>0</v>
      </c>
      <c r="P583" t="n">
        <v>0</v>
      </c>
      <c r="Q583" t="n">
        <v>0</v>
      </c>
      <c r="R583" s="2" t="inlineStr"/>
    </row>
    <row r="584" ht="15" customHeight="1">
      <c r="A584" t="inlineStr">
        <is>
          <t>A 11382-2023</t>
        </is>
      </c>
      <c r="B584" s="1" t="n">
        <v>44993.45635416666</v>
      </c>
      <c r="C584" s="1" t="n">
        <v>46083</v>
      </c>
      <c r="D584" t="inlineStr">
        <is>
          <t>ÖREBRO LÄN</t>
        </is>
      </c>
      <c r="E584" t="inlineStr">
        <is>
          <t>ÖREBRO</t>
        </is>
      </c>
      <c r="G584" t="n">
        <v>3.3</v>
      </c>
      <c r="H584" t="n">
        <v>0</v>
      </c>
      <c r="I584" t="n">
        <v>0</v>
      </c>
      <c r="J584" t="n">
        <v>0</v>
      </c>
      <c r="K584" t="n">
        <v>0</v>
      </c>
      <c r="L584" t="n">
        <v>0</v>
      </c>
      <c r="M584" t="n">
        <v>0</v>
      </c>
      <c r="N584" t="n">
        <v>0</v>
      </c>
      <c r="O584" t="n">
        <v>0</v>
      </c>
      <c r="P584" t="n">
        <v>0</v>
      </c>
      <c r="Q584" t="n">
        <v>0</v>
      </c>
      <c r="R584" s="2" t="inlineStr"/>
    </row>
    <row r="585" ht="15" customHeight="1">
      <c r="A585" t="inlineStr">
        <is>
          <t>A 20121-2024</t>
        </is>
      </c>
      <c r="B585" s="1" t="n">
        <v>45434</v>
      </c>
      <c r="C585" s="1" t="n">
        <v>46083</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26117-2021</t>
        </is>
      </c>
      <c r="B586" s="1" t="n">
        <v>44345</v>
      </c>
      <c r="C586" s="1" t="n">
        <v>46083</v>
      </c>
      <c r="D586" t="inlineStr">
        <is>
          <t>ÖREBRO LÄN</t>
        </is>
      </c>
      <c r="E586" t="inlineStr">
        <is>
          <t>ÖREBRO</t>
        </is>
      </c>
      <c r="G586" t="n">
        <v>8.1</v>
      </c>
      <c r="H586" t="n">
        <v>0</v>
      </c>
      <c r="I586" t="n">
        <v>0</v>
      </c>
      <c r="J586" t="n">
        <v>0</v>
      </c>
      <c r="K586" t="n">
        <v>0</v>
      </c>
      <c r="L586" t="n">
        <v>0</v>
      </c>
      <c r="M586" t="n">
        <v>0</v>
      </c>
      <c r="N586" t="n">
        <v>0</v>
      </c>
      <c r="O586" t="n">
        <v>0</v>
      </c>
      <c r="P586" t="n">
        <v>0</v>
      </c>
      <c r="Q586" t="n">
        <v>0</v>
      </c>
      <c r="R586" s="2" t="inlineStr"/>
    </row>
    <row r="587" ht="15" customHeight="1">
      <c r="A587" t="inlineStr">
        <is>
          <t>A 55943-2024</t>
        </is>
      </c>
      <c r="B587" s="1" t="n">
        <v>45623.61278935185</v>
      </c>
      <c r="C587" s="1" t="n">
        <v>46083</v>
      </c>
      <c r="D587" t="inlineStr">
        <is>
          <t>ÖREBRO LÄN</t>
        </is>
      </c>
      <c r="E587" t="inlineStr">
        <is>
          <t>ÖREBRO</t>
        </is>
      </c>
      <c r="G587" t="n">
        <v>4.8</v>
      </c>
      <c r="H587" t="n">
        <v>0</v>
      </c>
      <c r="I587" t="n">
        <v>0</v>
      </c>
      <c r="J587" t="n">
        <v>0</v>
      </c>
      <c r="K587" t="n">
        <v>0</v>
      </c>
      <c r="L587" t="n">
        <v>0</v>
      </c>
      <c r="M587" t="n">
        <v>0</v>
      </c>
      <c r="N587" t="n">
        <v>0</v>
      </c>
      <c r="O587" t="n">
        <v>0</v>
      </c>
      <c r="P587" t="n">
        <v>0</v>
      </c>
      <c r="Q587" t="n">
        <v>0</v>
      </c>
      <c r="R587" s="2" t="inlineStr"/>
    </row>
    <row r="588" ht="15" customHeight="1">
      <c r="A588" t="inlineStr">
        <is>
          <t>A 1013-2024</t>
        </is>
      </c>
      <c r="B588" s="1" t="n">
        <v>45301</v>
      </c>
      <c r="C588" s="1" t="n">
        <v>46083</v>
      </c>
      <c r="D588" t="inlineStr">
        <is>
          <t>ÖREBRO LÄN</t>
        </is>
      </c>
      <c r="E588" t="inlineStr">
        <is>
          <t>ÖREBRO</t>
        </is>
      </c>
      <c r="G588" t="n">
        <v>2.6</v>
      </c>
      <c r="H588" t="n">
        <v>0</v>
      </c>
      <c r="I588" t="n">
        <v>0</v>
      </c>
      <c r="J588" t="n">
        <v>0</v>
      </c>
      <c r="K588" t="n">
        <v>0</v>
      </c>
      <c r="L588" t="n">
        <v>0</v>
      </c>
      <c r="M588" t="n">
        <v>0</v>
      </c>
      <c r="N588" t="n">
        <v>0</v>
      </c>
      <c r="O588" t="n">
        <v>0</v>
      </c>
      <c r="P588" t="n">
        <v>0</v>
      </c>
      <c r="Q588" t="n">
        <v>0</v>
      </c>
      <c r="R588" s="2" t="inlineStr"/>
    </row>
    <row r="589" ht="15" customHeight="1">
      <c r="A589" t="inlineStr">
        <is>
          <t>A 13623-2024</t>
        </is>
      </c>
      <c r="B589" s="1" t="n">
        <v>45390.38626157407</v>
      </c>
      <c r="C589" s="1" t="n">
        <v>46083</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5330-2024</t>
        </is>
      </c>
      <c r="B590" s="1" t="n">
        <v>45331.4187962963</v>
      </c>
      <c r="C590" s="1" t="n">
        <v>46083</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6794-2025</t>
        </is>
      </c>
      <c r="B591" s="1" t="n">
        <v>45700.66429398148</v>
      </c>
      <c r="C591" s="1" t="n">
        <v>46083</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3-2024</t>
        </is>
      </c>
      <c r="B592" s="1" t="n">
        <v>45292</v>
      </c>
      <c r="C592" s="1" t="n">
        <v>46083</v>
      </c>
      <c r="D592" t="inlineStr">
        <is>
          <t>ÖREBRO LÄN</t>
        </is>
      </c>
      <c r="E592" t="inlineStr">
        <is>
          <t>ÖREBRO</t>
        </is>
      </c>
      <c r="G592" t="n">
        <v>2.7</v>
      </c>
      <c r="H592" t="n">
        <v>0</v>
      </c>
      <c r="I592" t="n">
        <v>0</v>
      </c>
      <c r="J592" t="n">
        <v>0</v>
      </c>
      <c r="K592" t="n">
        <v>0</v>
      </c>
      <c r="L592" t="n">
        <v>0</v>
      </c>
      <c r="M592" t="n">
        <v>0</v>
      </c>
      <c r="N592" t="n">
        <v>0</v>
      </c>
      <c r="O592" t="n">
        <v>0</v>
      </c>
      <c r="P592" t="n">
        <v>0</v>
      </c>
      <c r="Q592" t="n">
        <v>0</v>
      </c>
      <c r="R592" s="2" t="inlineStr"/>
    </row>
    <row r="593" ht="15" customHeight="1">
      <c r="A593" t="inlineStr">
        <is>
          <t>A 5619-2023</t>
        </is>
      </c>
      <c r="B593" s="1" t="n">
        <v>44958</v>
      </c>
      <c r="C593" s="1" t="n">
        <v>46083</v>
      </c>
      <c r="D593" t="inlineStr">
        <is>
          <t>ÖREBRO LÄN</t>
        </is>
      </c>
      <c r="E593" t="inlineStr">
        <is>
          <t>ÖREBRO</t>
        </is>
      </c>
      <c r="G593" t="n">
        <v>27</v>
      </c>
      <c r="H593" t="n">
        <v>0</v>
      </c>
      <c r="I593" t="n">
        <v>0</v>
      </c>
      <c r="J593" t="n">
        <v>0</v>
      </c>
      <c r="K593" t="n">
        <v>0</v>
      </c>
      <c r="L593" t="n">
        <v>0</v>
      </c>
      <c r="M593" t="n">
        <v>0</v>
      </c>
      <c r="N593" t="n">
        <v>0</v>
      </c>
      <c r="O593" t="n">
        <v>0</v>
      </c>
      <c r="P593" t="n">
        <v>0</v>
      </c>
      <c r="Q593" t="n">
        <v>0</v>
      </c>
      <c r="R593" s="2" t="inlineStr"/>
    </row>
    <row r="594" ht="15" customHeight="1">
      <c r="A594" t="inlineStr">
        <is>
          <t>A 5578-2024</t>
        </is>
      </c>
      <c r="B594" s="1" t="n">
        <v>45334.49104166667</v>
      </c>
      <c r="C594" s="1" t="n">
        <v>46083</v>
      </c>
      <c r="D594" t="inlineStr">
        <is>
          <t>ÖREBRO LÄN</t>
        </is>
      </c>
      <c r="E594" t="inlineStr">
        <is>
          <t>ÖREBRO</t>
        </is>
      </c>
      <c r="G594" t="n">
        <v>2.4</v>
      </c>
      <c r="H594" t="n">
        <v>0</v>
      </c>
      <c r="I594" t="n">
        <v>0</v>
      </c>
      <c r="J594" t="n">
        <v>0</v>
      </c>
      <c r="K594" t="n">
        <v>0</v>
      </c>
      <c r="L594" t="n">
        <v>0</v>
      </c>
      <c r="M594" t="n">
        <v>0</v>
      </c>
      <c r="N594" t="n">
        <v>0</v>
      </c>
      <c r="O594" t="n">
        <v>0</v>
      </c>
      <c r="P594" t="n">
        <v>0</v>
      </c>
      <c r="Q594" t="n">
        <v>0</v>
      </c>
      <c r="R594" s="2" t="inlineStr"/>
    </row>
    <row r="595" ht="15" customHeight="1">
      <c r="A595" t="inlineStr">
        <is>
          <t>A 37786-2024</t>
        </is>
      </c>
      <c r="B595" s="1" t="n">
        <v>45542.82987268519</v>
      </c>
      <c r="C595" s="1" t="n">
        <v>46083</v>
      </c>
      <c r="D595" t="inlineStr">
        <is>
          <t>ÖREBRO LÄN</t>
        </is>
      </c>
      <c r="E595" t="inlineStr">
        <is>
          <t>ÖREBRO</t>
        </is>
      </c>
      <c r="G595" t="n">
        <v>3.1</v>
      </c>
      <c r="H595" t="n">
        <v>0</v>
      </c>
      <c r="I595" t="n">
        <v>0</v>
      </c>
      <c r="J595" t="n">
        <v>0</v>
      </c>
      <c r="K595" t="n">
        <v>0</v>
      </c>
      <c r="L595" t="n">
        <v>0</v>
      </c>
      <c r="M595" t="n">
        <v>0</v>
      </c>
      <c r="N595" t="n">
        <v>0</v>
      </c>
      <c r="O595" t="n">
        <v>0</v>
      </c>
      <c r="P595" t="n">
        <v>0</v>
      </c>
      <c r="Q595" t="n">
        <v>0</v>
      </c>
      <c r="R595" s="2" t="inlineStr"/>
    </row>
    <row r="596" ht="15" customHeight="1">
      <c r="A596" t="inlineStr">
        <is>
          <t>A 58615-2024</t>
        </is>
      </c>
      <c r="B596" s="1" t="n">
        <v>45635.5587037037</v>
      </c>
      <c r="C596" s="1" t="n">
        <v>46083</v>
      </c>
      <c r="D596" t="inlineStr">
        <is>
          <t>ÖREBRO LÄN</t>
        </is>
      </c>
      <c r="E596" t="inlineStr">
        <is>
          <t>ÖREBRO</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45517-2023</t>
        </is>
      </c>
      <c r="B597" s="1" t="n">
        <v>45194.49594907407</v>
      </c>
      <c r="C597" s="1" t="n">
        <v>46083</v>
      </c>
      <c r="D597" t="inlineStr">
        <is>
          <t>ÖREBRO LÄN</t>
        </is>
      </c>
      <c r="E597" t="inlineStr">
        <is>
          <t>ÖREBRO</t>
        </is>
      </c>
      <c r="G597" t="n">
        <v>1.8</v>
      </c>
      <c r="H597" t="n">
        <v>0</v>
      </c>
      <c r="I597" t="n">
        <v>0</v>
      </c>
      <c r="J597" t="n">
        <v>0</v>
      </c>
      <c r="K597" t="n">
        <v>0</v>
      </c>
      <c r="L597" t="n">
        <v>0</v>
      </c>
      <c r="M597" t="n">
        <v>0</v>
      </c>
      <c r="N597" t="n">
        <v>0</v>
      </c>
      <c r="O597" t="n">
        <v>0</v>
      </c>
      <c r="P597" t="n">
        <v>0</v>
      </c>
      <c r="Q597" t="n">
        <v>0</v>
      </c>
      <c r="R597" s="2" t="inlineStr"/>
    </row>
    <row r="598" ht="15" customHeight="1">
      <c r="A598" t="inlineStr">
        <is>
          <t>A 3652-2022</t>
        </is>
      </c>
      <c r="B598" s="1" t="n">
        <v>44586.46921296296</v>
      </c>
      <c r="C598" s="1" t="n">
        <v>46083</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25407-2021</t>
        </is>
      </c>
      <c r="B599" s="1" t="n">
        <v>44342</v>
      </c>
      <c r="C599" s="1" t="n">
        <v>46083</v>
      </c>
      <c r="D599" t="inlineStr">
        <is>
          <t>ÖREBRO LÄN</t>
        </is>
      </c>
      <c r="E599" t="inlineStr">
        <is>
          <t>ÖREBRO</t>
        </is>
      </c>
      <c r="F599" t="inlineStr">
        <is>
          <t>Kommuner</t>
        </is>
      </c>
      <c r="G599" t="n">
        <v>7.2</v>
      </c>
      <c r="H599" t="n">
        <v>0</v>
      </c>
      <c r="I599" t="n">
        <v>0</v>
      </c>
      <c r="J599" t="n">
        <v>0</v>
      </c>
      <c r="K599" t="n">
        <v>0</v>
      </c>
      <c r="L599" t="n">
        <v>0</v>
      </c>
      <c r="M599" t="n">
        <v>0</v>
      </c>
      <c r="N599" t="n">
        <v>0</v>
      </c>
      <c r="O599" t="n">
        <v>0</v>
      </c>
      <c r="P599" t="n">
        <v>0</v>
      </c>
      <c r="Q599" t="n">
        <v>0</v>
      </c>
      <c r="R599" s="2" t="inlineStr"/>
    </row>
    <row r="600" ht="15" customHeight="1">
      <c r="A600" t="inlineStr">
        <is>
          <t>A 12245-2023</t>
        </is>
      </c>
      <c r="B600" s="1" t="n">
        <v>44998.64402777778</v>
      </c>
      <c r="C600" s="1" t="n">
        <v>46083</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7134-2025</t>
        </is>
      </c>
      <c r="B601" s="1" t="n">
        <v>45702</v>
      </c>
      <c r="C601" s="1" t="n">
        <v>46083</v>
      </c>
      <c r="D601" t="inlineStr">
        <is>
          <t>ÖREBRO LÄN</t>
        </is>
      </c>
      <c r="E601" t="inlineStr">
        <is>
          <t>ÖREBRO</t>
        </is>
      </c>
      <c r="F601" t="inlineStr">
        <is>
          <t>Övriga Aktiebolag</t>
        </is>
      </c>
      <c r="G601" t="n">
        <v>2.1</v>
      </c>
      <c r="H601" t="n">
        <v>0</v>
      </c>
      <c r="I601" t="n">
        <v>0</v>
      </c>
      <c r="J601" t="n">
        <v>0</v>
      </c>
      <c r="K601" t="n">
        <v>0</v>
      </c>
      <c r="L601" t="n">
        <v>0</v>
      </c>
      <c r="M601" t="n">
        <v>0</v>
      </c>
      <c r="N601" t="n">
        <v>0</v>
      </c>
      <c r="O601" t="n">
        <v>0</v>
      </c>
      <c r="P601" t="n">
        <v>0</v>
      </c>
      <c r="Q601" t="n">
        <v>0</v>
      </c>
      <c r="R601" s="2" t="inlineStr"/>
    </row>
    <row r="602" ht="15" customHeight="1">
      <c r="A602" t="inlineStr">
        <is>
          <t>A 60506-2024</t>
        </is>
      </c>
      <c r="B602" s="1" t="n">
        <v>45643.66630787037</v>
      </c>
      <c r="C602" s="1" t="n">
        <v>46083</v>
      </c>
      <c r="D602" t="inlineStr">
        <is>
          <t>ÖREBRO LÄN</t>
        </is>
      </c>
      <c r="E602" t="inlineStr">
        <is>
          <t>ÖREBRO</t>
        </is>
      </c>
      <c r="G602" t="n">
        <v>5.8</v>
      </c>
      <c r="H602" t="n">
        <v>0</v>
      </c>
      <c r="I602" t="n">
        <v>0</v>
      </c>
      <c r="J602" t="n">
        <v>0</v>
      </c>
      <c r="K602" t="n">
        <v>0</v>
      </c>
      <c r="L602" t="n">
        <v>0</v>
      </c>
      <c r="M602" t="n">
        <v>0</v>
      </c>
      <c r="N602" t="n">
        <v>0</v>
      </c>
      <c r="O602" t="n">
        <v>0</v>
      </c>
      <c r="P602" t="n">
        <v>0</v>
      </c>
      <c r="Q602" t="n">
        <v>0</v>
      </c>
      <c r="R602" s="2" t="inlineStr"/>
    </row>
    <row r="603" ht="15" customHeight="1">
      <c r="A603" t="inlineStr">
        <is>
          <t>A 29978-2024</t>
        </is>
      </c>
      <c r="B603" s="1" t="n">
        <v>45488.48340277778</v>
      </c>
      <c r="C603" s="1" t="n">
        <v>46083</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30903-2024</t>
        </is>
      </c>
      <c r="B604" s="1" t="n">
        <v>45498.49946759259</v>
      </c>
      <c r="C604" s="1" t="n">
        <v>46083</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58611-2024</t>
        </is>
      </c>
      <c r="B605" s="1" t="n">
        <v>45635.55555555555</v>
      </c>
      <c r="C605" s="1" t="n">
        <v>46083</v>
      </c>
      <c r="D605" t="inlineStr">
        <is>
          <t>ÖREBRO LÄN</t>
        </is>
      </c>
      <c r="E605" t="inlineStr">
        <is>
          <t>ÖREBRO</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20146-2024</t>
        </is>
      </c>
      <c r="B606" s="1" t="n">
        <v>45434.57641203704</v>
      </c>
      <c r="C606" s="1" t="n">
        <v>46083</v>
      </c>
      <c r="D606" t="inlineStr">
        <is>
          <t>ÖREBRO LÄN</t>
        </is>
      </c>
      <c r="E606" t="inlineStr">
        <is>
          <t>ÖREBRO</t>
        </is>
      </c>
      <c r="G606" t="n">
        <v>0.5</v>
      </c>
      <c r="H606" t="n">
        <v>0</v>
      </c>
      <c r="I606" t="n">
        <v>0</v>
      </c>
      <c r="J606" t="n">
        <v>0</v>
      </c>
      <c r="K606" t="n">
        <v>0</v>
      </c>
      <c r="L606" t="n">
        <v>0</v>
      </c>
      <c r="M606" t="n">
        <v>0</v>
      </c>
      <c r="N606" t="n">
        <v>0</v>
      </c>
      <c r="O606" t="n">
        <v>0</v>
      </c>
      <c r="P606" t="n">
        <v>0</v>
      </c>
      <c r="Q606" t="n">
        <v>0</v>
      </c>
      <c r="R606" s="2" t="inlineStr"/>
    </row>
    <row r="607" ht="15" customHeight="1">
      <c r="A607" t="inlineStr">
        <is>
          <t>A 53143-2023</t>
        </is>
      </c>
      <c r="B607" s="1" t="n">
        <v>45229</v>
      </c>
      <c r="C607" s="1" t="n">
        <v>46083</v>
      </c>
      <c r="D607" t="inlineStr">
        <is>
          <t>ÖREBRO LÄN</t>
        </is>
      </c>
      <c r="E607" t="inlineStr">
        <is>
          <t>ÖREBRO</t>
        </is>
      </c>
      <c r="G607" t="n">
        <v>3.3</v>
      </c>
      <c r="H607" t="n">
        <v>0</v>
      </c>
      <c r="I607" t="n">
        <v>0</v>
      </c>
      <c r="J607" t="n">
        <v>0</v>
      </c>
      <c r="K607" t="n">
        <v>0</v>
      </c>
      <c r="L607" t="n">
        <v>0</v>
      </c>
      <c r="M607" t="n">
        <v>0</v>
      </c>
      <c r="N607" t="n">
        <v>0</v>
      </c>
      <c r="O607" t="n">
        <v>0</v>
      </c>
      <c r="P607" t="n">
        <v>0</v>
      </c>
      <c r="Q607" t="n">
        <v>0</v>
      </c>
      <c r="R607" s="2" t="inlineStr"/>
    </row>
    <row r="608" ht="15" customHeight="1">
      <c r="A608" t="inlineStr">
        <is>
          <t>A 8656-2025</t>
        </is>
      </c>
      <c r="B608" s="1" t="n">
        <v>45712.38268518518</v>
      </c>
      <c r="C608" s="1" t="n">
        <v>46083</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5762-2025</t>
        </is>
      </c>
      <c r="B609" s="1" t="n">
        <v>45694.57181712963</v>
      </c>
      <c r="C609" s="1" t="n">
        <v>46083</v>
      </c>
      <c r="D609" t="inlineStr">
        <is>
          <t>ÖREBRO LÄN</t>
        </is>
      </c>
      <c r="E609" t="inlineStr">
        <is>
          <t>ÖREBRO</t>
        </is>
      </c>
      <c r="F609" t="inlineStr">
        <is>
          <t>Övriga Aktiebolag</t>
        </is>
      </c>
      <c r="G609" t="n">
        <v>1.5</v>
      </c>
      <c r="H609" t="n">
        <v>0</v>
      </c>
      <c r="I609" t="n">
        <v>0</v>
      </c>
      <c r="J609" t="n">
        <v>0</v>
      </c>
      <c r="K609" t="n">
        <v>0</v>
      </c>
      <c r="L609" t="n">
        <v>0</v>
      </c>
      <c r="M609" t="n">
        <v>0</v>
      </c>
      <c r="N609" t="n">
        <v>0</v>
      </c>
      <c r="O609" t="n">
        <v>0</v>
      </c>
      <c r="P609" t="n">
        <v>0</v>
      </c>
      <c r="Q609" t="n">
        <v>0</v>
      </c>
      <c r="R609" s="2" t="inlineStr"/>
    </row>
    <row r="610" ht="15" customHeight="1">
      <c r="A610" t="inlineStr">
        <is>
          <t>A 62794-2021</t>
        </is>
      </c>
      <c r="B610" s="1" t="n">
        <v>44504</v>
      </c>
      <c r="C610" s="1" t="n">
        <v>46083</v>
      </c>
      <c r="D610" t="inlineStr">
        <is>
          <t>ÖREBRO LÄN</t>
        </is>
      </c>
      <c r="E610" t="inlineStr">
        <is>
          <t>ÖREBRO</t>
        </is>
      </c>
      <c r="G610" t="n">
        <v>3.3</v>
      </c>
      <c r="H610" t="n">
        <v>0</v>
      </c>
      <c r="I610" t="n">
        <v>0</v>
      </c>
      <c r="J610" t="n">
        <v>0</v>
      </c>
      <c r="K610" t="n">
        <v>0</v>
      </c>
      <c r="L610" t="n">
        <v>0</v>
      </c>
      <c r="M610" t="n">
        <v>0</v>
      </c>
      <c r="N610" t="n">
        <v>0</v>
      </c>
      <c r="O610" t="n">
        <v>0</v>
      </c>
      <c r="P610" t="n">
        <v>0</v>
      </c>
      <c r="Q610" t="n">
        <v>0</v>
      </c>
      <c r="R610" s="2" t="inlineStr"/>
    </row>
    <row r="611" ht="15" customHeight="1">
      <c r="A611" t="inlineStr">
        <is>
          <t>A 52612-2024</t>
        </is>
      </c>
      <c r="B611" s="1" t="n">
        <v>45609</v>
      </c>
      <c r="C611" s="1" t="n">
        <v>46083</v>
      </c>
      <c r="D611" t="inlineStr">
        <is>
          <t>ÖREBRO LÄN</t>
        </is>
      </c>
      <c r="E611" t="inlineStr">
        <is>
          <t>ÖREBRO</t>
        </is>
      </c>
      <c r="F611" t="inlineStr">
        <is>
          <t>Kommuner</t>
        </is>
      </c>
      <c r="G611" t="n">
        <v>5.5</v>
      </c>
      <c r="H611" t="n">
        <v>0</v>
      </c>
      <c r="I611" t="n">
        <v>0</v>
      </c>
      <c r="J611" t="n">
        <v>0</v>
      </c>
      <c r="K611" t="n">
        <v>0</v>
      </c>
      <c r="L611" t="n">
        <v>0</v>
      </c>
      <c r="M611" t="n">
        <v>0</v>
      </c>
      <c r="N611" t="n">
        <v>0</v>
      </c>
      <c r="O611" t="n">
        <v>0</v>
      </c>
      <c r="P611" t="n">
        <v>0</v>
      </c>
      <c r="Q611" t="n">
        <v>0</v>
      </c>
      <c r="R611" s="2" t="inlineStr"/>
    </row>
    <row r="612" ht="15" customHeight="1">
      <c r="A612" t="inlineStr">
        <is>
          <t>A 5795-2024</t>
        </is>
      </c>
      <c r="B612" s="1" t="n">
        <v>45335.4531712963</v>
      </c>
      <c r="C612" s="1" t="n">
        <v>46083</v>
      </c>
      <c r="D612" t="inlineStr">
        <is>
          <t>ÖREBRO LÄN</t>
        </is>
      </c>
      <c r="E612" t="inlineStr">
        <is>
          <t>ÖREBRO</t>
        </is>
      </c>
      <c r="G612" t="n">
        <v>1.8</v>
      </c>
      <c r="H612" t="n">
        <v>0</v>
      </c>
      <c r="I612" t="n">
        <v>0</v>
      </c>
      <c r="J612" t="n">
        <v>0</v>
      </c>
      <c r="K612" t="n">
        <v>0</v>
      </c>
      <c r="L612" t="n">
        <v>0</v>
      </c>
      <c r="M612" t="n">
        <v>0</v>
      </c>
      <c r="N612" t="n">
        <v>0</v>
      </c>
      <c r="O612" t="n">
        <v>0</v>
      </c>
      <c r="P612" t="n">
        <v>0</v>
      </c>
      <c r="Q612" t="n">
        <v>0</v>
      </c>
      <c r="R612" s="2" t="inlineStr"/>
    </row>
    <row r="613" ht="15" customHeight="1">
      <c r="A613" t="inlineStr">
        <is>
          <t>A 37771-2024</t>
        </is>
      </c>
      <c r="B613" s="1" t="n">
        <v>45542.31359953704</v>
      </c>
      <c r="C613" s="1" t="n">
        <v>46083</v>
      </c>
      <c r="D613" t="inlineStr">
        <is>
          <t>ÖREBRO LÄN</t>
        </is>
      </c>
      <c r="E613" t="inlineStr">
        <is>
          <t>ÖREBRO</t>
        </is>
      </c>
      <c r="G613" t="n">
        <v>1.8</v>
      </c>
      <c r="H613" t="n">
        <v>0</v>
      </c>
      <c r="I613" t="n">
        <v>0</v>
      </c>
      <c r="J613" t="n">
        <v>0</v>
      </c>
      <c r="K613" t="n">
        <v>0</v>
      </c>
      <c r="L613" t="n">
        <v>0</v>
      </c>
      <c r="M613" t="n">
        <v>0</v>
      </c>
      <c r="N613" t="n">
        <v>0</v>
      </c>
      <c r="O613" t="n">
        <v>0</v>
      </c>
      <c r="P613" t="n">
        <v>0</v>
      </c>
      <c r="Q613" t="n">
        <v>0</v>
      </c>
      <c r="R613" s="2" t="inlineStr"/>
    </row>
    <row r="614" ht="15" customHeight="1">
      <c r="A614" t="inlineStr">
        <is>
          <t>A 15652-2025</t>
        </is>
      </c>
      <c r="B614" s="1" t="n">
        <v>45748</v>
      </c>
      <c r="C614" s="1" t="n">
        <v>46083</v>
      </c>
      <c r="D614" t="inlineStr">
        <is>
          <t>ÖREBRO LÄN</t>
        </is>
      </c>
      <c r="E614" t="inlineStr">
        <is>
          <t>ÖREBRO</t>
        </is>
      </c>
      <c r="G614" t="n">
        <v>1.8</v>
      </c>
      <c r="H614" t="n">
        <v>0</v>
      </c>
      <c r="I614" t="n">
        <v>0</v>
      </c>
      <c r="J614" t="n">
        <v>0</v>
      </c>
      <c r="K614" t="n">
        <v>0</v>
      </c>
      <c r="L614" t="n">
        <v>0</v>
      </c>
      <c r="M614" t="n">
        <v>0</v>
      </c>
      <c r="N614" t="n">
        <v>0</v>
      </c>
      <c r="O614" t="n">
        <v>0</v>
      </c>
      <c r="P614" t="n">
        <v>0</v>
      </c>
      <c r="Q614" t="n">
        <v>0</v>
      </c>
      <c r="R614" s="2" t="inlineStr"/>
    </row>
    <row r="615" ht="15" customHeight="1">
      <c r="A615" t="inlineStr">
        <is>
          <t>A 2076-2025</t>
        </is>
      </c>
      <c r="B615" s="1" t="n">
        <v>45672</v>
      </c>
      <c r="C615" s="1" t="n">
        <v>46083</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14960-2025</t>
        </is>
      </c>
      <c r="B616" s="1" t="n">
        <v>45743.5853125</v>
      </c>
      <c r="C616" s="1" t="n">
        <v>46083</v>
      </c>
      <c r="D616" t="inlineStr">
        <is>
          <t>ÖREBRO LÄN</t>
        </is>
      </c>
      <c r="E616" t="inlineStr">
        <is>
          <t>ÖREBRO</t>
        </is>
      </c>
      <c r="G616" t="n">
        <v>1.6</v>
      </c>
      <c r="H616" t="n">
        <v>0</v>
      </c>
      <c r="I616" t="n">
        <v>0</v>
      </c>
      <c r="J616" t="n">
        <v>0</v>
      </c>
      <c r="K616" t="n">
        <v>0</v>
      </c>
      <c r="L616" t="n">
        <v>0</v>
      </c>
      <c r="M616" t="n">
        <v>0</v>
      </c>
      <c r="N616" t="n">
        <v>0</v>
      </c>
      <c r="O616" t="n">
        <v>0</v>
      </c>
      <c r="P616" t="n">
        <v>0</v>
      </c>
      <c r="Q616" t="n">
        <v>0</v>
      </c>
      <c r="R616" s="2" t="inlineStr"/>
    </row>
    <row r="617" ht="15" customHeight="1">
      <c r="A617" t="inlineStr">
        <is>
          <t>A 60022-2024</t>
        </is>
      </c>
      <c r="B617" s="1" t="n">
        <v>45642</v>
      </c>
      <c r="C617" s="1" t="n">
        <v>46083</v>
      </c>
      <c r="D617" t="inlineStr">
        <is>
          <t>ÖREBRO LÄN</t>
        </is>
      </c>
      <c r="E617" t="inlineStr">
        <is>
          <t>ÖREBRO</t>
        </is>
      </c>
      <c r="G617" t="n">
        <v>1.7</v>
      </c>
      <c r="H617" t="n">
        <v>0</v>
      </c>
      <c r="I617" t="n">
        <v>0</v>
      </c>
      <c r="J617" t="n">
        <v>0</v>
      </c>
      <c r="K617" t="n">
        <v>0</v>
      </c>
      <c r="L617" t="n">
        <v>0</v>
      </c>
      <c r="M617" t="n">
        <v>0</v>
      </c>
      <c r="N617" t="n">
        <v>0</v>
      </c>
      <c r="O617" t="n">
        <v>0</v>
      </c>
      <c r="P617" t="n">
        <v>0</v>
      </c>
      <c r="Q617" t="n">
        <v>0</v>
      </c>
      <c r="R617" s="2" t="inlineStr"/>
    </row>
    <row r="618" ht="15" customHeight="1">
      <c r="A618" t="inlineStr">
        <is>
          <t>A 21097-2025</t>
        </is>
      </c>
      <c r="B618" s="1" t="n">
        <v>45777.63863425926</v>
      </c>
      <c r="C618" s="1" t="n">
        <v>46083</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35819-2024</t>
        </is>
      </c>
      <c r="B619" s="1" t="n">
        <v>45532</v>
      </c>
      <c r="C619" s="1" t="n">
        <v>46083</v>
      </c>
      <c r="D619" t="inlineStr">
        <is>
          <t>ÖREBRO LÄN</t>
        </is>
      </c>
      <c r="E619" t="inlineStr">
        <is>
          <t>ÖREBRO</t>
        </is>
      </c>
      <c r="G619" t="n">
        <v>6.4</v>
      </c>
      <c r="H619" t="n">
        <v>0</v>
      </c>
      <c r="I619" t="n">
        <v>0</v>
      </c>
      <c r="J619" t="n">
        <v>0</v>
      </c>
      <c r="K619" t="n">
        <v>0</v>
      </c>
      <c r="L619" t="n">
        <v>0</v>
      </c>
      <c r="M619" t="n">
        <v>0</v>
      </c>
      <c r="N619" t="n">
        <v>0</v>
      </c>
      <c r="O619" t="n">
        <v>0</v>
      </c>
      <c r="P619" t="n">
        <v>0</v>
      </c>
      <c r="Q619" t="n">
        <v>0</v>
      </c>
      <c r="R619" s="2" t="inlineStr"/>
    </row>
    <row r="620" ht="15" customHeight="1">
      <c r="A620" t="inlineStr">
        <is>
          <t>A 32076-2023</t>
        </is>
      </c>
      <c r="B620" s="1" t="n">
        <v>45119.58324074074</v>
      </c>
      <c r="C620" s="1" t="n">
        <v>46083</v>
      </c>
      <c r="D620" t="inlineStr">
        <is>
          <t>ÖREBRO LÄN</t>
        </is>
      </c>
      <c r="E620" t="inlineStr">
        <is>
          <t>ÖREBRO</t>
        </is>
      </c>
      <c r="G620" t="n">
        <v>1.1</v>
      </c>
      <c r="H620" t="n">
        <v>0</v>
      </c>
      <c r="I620" t="n">
        <v>0</v>
      </c>
      <c r="J620" t="n">
        <v>0</v>
      </c>
      <c r="K620" t="n">
        <v>0</v>
      </c>
      <c r="L620" t="n">
        <v>0</v>
      </c>
      <c r="M620" t="n">
        <v>0</v>
      </c>
      <c r="N620" t="n">
        <v>0</v>
      </c>
      <c r="O620" t="n">
        <v>0</v>
      </c>
      <c r="P620" t="n">
        <v>0</v>
      </c>
      <c r="Q620" t="n">
        <v>0</v>
      </c>
      <c r="R620" s="2" t="inlineStr"/>
    </row>
    <row r="621" ht="15" customHeight="1">
      <c r="A621" t="inlineStr">
        <is>
          <t>A 764-2024</t>
        </is>
      </c>
      <c r="B621" s="1" t="n">
        <v>45300.51512731481</v>
      </c>
      <c r="C621" s="1" t="n">
        <v>46083</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58644-2023</t>
        </is>
      </c>
      <c r="B622" s="1" t="n">
        <v>45251.58716435185</v>
      </c>
      <c r="C622" s="1" t="n">
        <v>46083</v>
      </c>
      <c r="D622" t="inlineStr">
        <is>
          <t>ÖREBRO LÄN</t>
        </is>
      </c>
      <c r="E622" t="inlineStr">
        <is>
          <t>ÖREBRO</t>
        </is>
      </c>
      <c r="F622" t="inlineStr">
        <is>
          <t>Övriga Aktiebolag</t>
        </is>
      </c>
      <c r="G622" t="n">
        <v>1.9</v>
      </c>
      <c r="H622" t="n">
        <v>0</v>
      </c>
      <c r="I622" t="n">
        <v>0</v>
      </c>
      <c r="J622" t="n">
        <v>0</v>
      </c>
      <c r="K622" t="n">
        <v>0</v>
      </c>
      <c r="L622" t="n">
        <v>0</v>
      </c>
      <c r="M622" t="n">
        <v>0</v>
      </c>
      <c r="N622" t="n">
        <v>0</v>
      </c>
      <c r="O622" t="n">
        <v>0</v>
      </c>
      <c r="P622" t="n">
        <v>0</v>
      </c>
      <c r="Q622" t="n">
        <v>0</v>
      </c>
      <c r="R622" s="2" t="inlineStr"/>
    </row>
    <row r="623" ht="15" customHeight="1">
      <c r="A623" t="inlineStr">
        <is>
          <t>A 21338-2025</t>
        </is>
      </c>
      <c r="B623" s="1" t="n">
        <v>45780</v>
      </c>
      <c r="C623" s="1" t="n">
        <v>46083</v>
      </c>
      <c r="D623" t="inlineStr">
        <is>
          <t>ÖREBRO LÄN</t>
        </is>
      </c>
      <c r="E623" t="inlineStr">
        <is>
          <t>ÖREBRO</t>
        </is>
      </c>
      <c r="G623" t="n">
        <v>3.2</v>
      </c>
      <c r="H623" t="n">
        <v>0</v>
      </c>
      <c r="I623" t="n">
        <v>0</v>
      </c>
      <c r="J623" t="n">
        <v>0</v>
      </c>
      <c r="K623" t="n">
        <v>0</v>
      </c>
      <c r="L623" t="n">
        <v>0</v>
      </c>
      <c r="M623" t="n">
        <v>0</v>
      </c>
      <c r="N623" t="n">
        <v>0</v>
      </c>
      <c r="O623" t="n">
        <v>0</v>
      </c>
      <c r="P623" t="n">
        <v>0</v>
      </c>
      <c r="Q623" t="n">
        <v>0</v>
      </c>
      <c r="R623" s="2" t="inlineStr"/>
    </row>
    <row r="624" ht="15" customHeight="1">
      <c r="A624" t="inlineStr">
        <is>
          <t>A 22755-2025</t>
        </is>
      </c>
      <c r="B624" s="1" t="n">
        <v>45789.61872685186</v>
      </c>
      <c r="C624" s="1" t="n">
        <v>46083</v>
      </c>
      <c r="D624" t="inlineStr">
        <is>
          <t>ÖREBRO LÄN</t>
        </is>
      </c>
      <c r="E624" t="inlineStr">
        <is>
          <t>ÖREBRO</t>
        </is>
      </c>
      <c r="G624" t="n">
        <v>1.2</v>
      </c>
      <c r="H624" t="n">
        <v>0</v>
      </c>
      <c r="I624" t="n">
        <v>0</v>
      </c>
      <c r="J624" t="n">
        <v>0</v>
      </c>
      <c r="K624" t="n">
        <v>0</v>
      </c>
      <c r="L624" t="n">
        <v>0</v>
      </c>
      <c r="M624" t="n">
        <v>0</v>
      </c>
      <c r="N624" t="n">
        <v>0</v>
      </c>
      <c r="O624" t="n">
        <v>0</v>
      </c>
      <c r="P624" t="n">
        <v>0</v>
      </c>
      <c r="Q624" t="n">
        <v>0</v>
      </c>
      <c r="R624" s="2" t="inlineStr"/>
    </row>
    <row r="625" ht="15" customHeight="1">
      <c r="A625" t="inlineStr">
        <is>
          <t>A 44199-2024</t>
        </is>
      </c>
      <c r="B625" s="1" t="n">
        <v>45573</v>
      </c>
      <c r="C625" s="1" t="n">
        <v>46083</v>
      </c>
      <c r="D625" t="inlineStr">
        <is>
          <t>ÖREBRO LÄN</t>
        </is>
      </c>
      <c r="E625" t="inlineStr">
        <is>
          <t>ÖREBRO</t>
        </is>
      </c>
      <c r="G625" t="n">
        <v>4.3</v>
      </c>
      <c r="H625" t="n">
        <v>0</v>
      </c>
      <c r="I625" t="n">
        <v>0</v>
      </c>
      <c r="J625" t="n">
        <v>0</v>
      </c>
      <c r="K625" t="n">
        <v>0</v>
      </c>
      <c r="L625" t="n">
        <v>0</v>
      </c>
      <c r="M625" t="n">
        <v>0</v>
      </c>
      <c r="N625" t="n">
        <v>0</v>
      </c>
      <c r="O625" t="n">
        <v>0</v>
      </c>
      <c r="P625" t="n">
        <v>0</v>
      </c>
      <c r="Q625" t="n">
        <v>0</v>
      </c>
      <c r="R625" s="2" t="inlineStr"/>
    </row>
    <row r="626" ht="15" customHeight="1">
      <c r="A626" t="inlineStr">
        <is>
          <t>A 34336-2024</t>
        </is>
      </c>
      <c r="B626" s="1" t="n">
        <v>45524.94774305556</v>
      </c>
      <c r="C626" s="1" t="n">
        <v>46083</v>
      </c>
      <c r="D626" t="inlineStr">
        <is>
          <t>ÖREBRO LÄN</t>
        </is>
      </c>
      <c r="E626" t="inlineStr">
        <is>
          <t>ÖREBRO</t>
        </is>
      </c>
      <c r="G626" t="n">
        <v>1.3</v>
      </c>
      <c r="H626" t="n">
        <v>0</v>
      </c>
      <c r="I626" t="n">
        <v>0</v>
      </c>
      <c r="J626" t="n">
        <v>0</v>
      </c>
      <c r="K626" t="n">
        <v>0</v>
      </c>
      <c r="L626" t="n">
        <v>0</v>
      </c>
      <c r="M626" t="n">
        <v>0</v>
      </c>
      <c r="N626" t="n">
        <v>0</v>
      </c>
      <c r="O626" t="n">
        <v>0</v>
      </c>
      <c r="P626" t="n">
        <v>0</v>
      </c>
      <c r="Q626" t="n">
        <v>0</v>
      </c>
      <c r="R626" s="2" t="inlineStr"/>
    </row>
    <row r="627" ht="15" customHeight="1">
      <c r="A627" t="inlineStr">
        <is>
          <t>A 26443-2024</t>
        </is>
      </c>
      <c r="B627" s="1" t="n">
        <v>45469.49901620371</v>
      </c>
      <c r="C627" s="1" t="n">
        <v>46083</v>
      </c>
      <c r="D627" t="inlineStr">
        <is>
          <t>ÖREBRO LÄN</t>
        </is>
      </c>
      <c r="E627" t="inlineStr">
        <is>
          <t>ÖREBRO</t>
        </is>
      </c>
      <c r="G627" t="n">
        <v>5.7</v>
      </c>
      <c r="H627" t="n">
        <v>0</v>
      </c>
      <c r="I627" t="n">
        <v>0</v>
      </c>
      <c r="J627" t="n">
        <v>0</v>
      </c>
      <c r="K627" t="n">
        <v>0</v>
      </c>
      <c r="L627" t="n">
        <v>0</v>
      </c>
      <c r="M627" t="n">
        <v>0</v>
      </c>
      <c r="N627" t="n">
        <v>0</v>
      </c>
      <c r="O627" t="n">
        <v>0</v>
      </c>
      <c r="P627" t="n">
        <v>0</v>
      </c>
      <c r="Q627" t="n">
        <v>0</v>
      </c>
      <c r="R627" s="2" t="inlineStr"/>
    </row>
    <row r="628" ht="15" customHeight="1">
      <c r="A628" t="inlineStr">
        <is>
          <t>A 35477-2024</t>
        </is>
      </c>
      <c r="B628" s="1" t="n">
        <v>45531</v>
      </c>
      <c r="C628" s="1" t="n">
        <v>46083</v>
      </c>
      <c r="D628" t="inlineStr">
        <is>
          <t>ÖREBRO LÄN</t>
        </is>
      </c>
      <c r="E628" t="inlineStr">
        <is>
          <t>ÖREBRO</t>
        </is>
      </c>
      <c r="G628" t="n">
        <v>2.4</v>
      </c>
      <c r="H628" t="n">
        <v>0</v>
      </c>
      <c r="I628" t="n">
        <v>0</v>
      </c>
      <c r="J628" t="n">
        <v>0</v>
      </c>
      <c r="K628" t="n">
        <v>0</v>
      </c>
      <c r="L628" t="n">
        <v>0</v>
      </c>
      <c r="M628" t="n">
        <v>0</v>
      </c>
      <c r="N628" t="n">
        <v>0</v>
      </c>
      <c r="O628" t="n">
        <v>0</v>
      </c>
      <c r="P628" t="n">
        <v>0</v>
      </c>
      <c r="Q628" t="n">
        <v>0</v>
      </c>
      <c r="R628" s="2" t="inlineStr"/>
    </row>
    <row r="629" ht="15" customHeight="1">
      <c r="A629" t="inlineStr">
        <is>
          <t>A 22719-2025</t>
        </is>
      </c>
      <c r="B629" s="1" t="n">
        <v>45789</v>
      </c>
      <c r="C629" s="1" t="n">
        <v>46083</v>
      </c>
      <c r="D629" t="inlineStr">
        <is>
          <t>ÖREBRO LÄN</t>
        </is>
      </c>
      <c r="E629" t="inlineStr">
        <is>
          <t>ÖREBRO</t>
        </is>
      </c>
      <c r="G629" t="n">
        <v>1.5</v>
      </c>
      <c r="H629" t="n">
        <v>0</v>
      </c>
      <c r="I629" t="n">
        <v>0</v>
      </c>
      <c r="J629" t="n">
        <v>0</v>
      </c>
      <c r="K629" t="n">
        <v>0</v>
      </c>
      <c r="L629" t="n">
        <v>0</v>
      </c>
      <c r="M629" t="n">
        <v>0</v>
      </c>
      <c r="N629" t="n">
        <v>0</v>
      </c>
      <c r="O629" t="n">
        <v>0</v>
      </c>
      <c r="P629" t="n">
        <v>0</v>
      </c>
      <c r="Q629" t="n">
        <v>0</v>
      </c>
      <c r="R629" s="2" t="inlineStr"/>
    </row>
    <row r="630" ht="15" customHeight="1">
      <c r="A630" t="inlineStr">
        <is>
          <t>A 30316-2024</t>
        </is>
      </c>
      <c r="B630" s="1" t="n">
        <v>45490</v>
      </c>
      <c r="C630" s="1" t="n">
        <v>46083</v>
      </c>
      <c r="D630" t="inlineStr">
        <is>
          <t>ÖREBRO LÄN</t>
        </is>
      </c>
      <c r="E630" t="inlineStr">
        <is>
          <t>ÖREBRO</t>
        </is>
      </c>
      <c r="G630" t="n">
        <v>5.5</v>
      </c>
      <c r="H630" t="n">
        <v>0</v>
      </c>
      <c r="I630" t="n">
        <v>0</v>
      </c>
      <c r="J630" t="n">
        <v>0</v>
      </c>
      <c r="K630" t="n">
        <v>0</v>
      </c>
      <c r="L630" t="n">
        <v>0</v>
      </c>
      <c r="M630" t="n">
        <v>0</v>
      </c>
      <c r="N630" t="n">
        <v>0</v>
      </c>
      <c r="O630" t="n">
        <v>0</v>
      </c>
      <c r="P630" t="n">
        <v>0</v>
      </c>
      <c r="Q630" t="n">
        <v>0</v>
      </c>
      <c r="R630" s="2" t="inlineStr"/>
    </row>
    <row r="631" ht="15" customHeight="1">
      <c r="A631" t="inlineStr">
        <is>
          <t>A 38790-2024</t>
        </is>
      </c>
      <c r="B631" s="1" t="n">
        <v>45547.48450231482</v>
      </c>
      <c r="C631" s="1" t="n">
        <v>46083</v>
      </c>
      <c r="D631" t="inlineStr">
        <is>
          <t>ÖREBRO LÄN</t>
        </is>
      </c>
      <c r="E631" t="inlineStr">
        <is>
          <t>ÖREBRO</t>
        </is>
      </c>
      <c r="G631" t="n">
        <v>2</v>
      </c>
      <c r="H631" t="n">
        <v>0</v>
      </c>
      <c r="I631" t="n">
        <v>0</v>
      </c>
      <c r="J631" t="n">
        <v>0</v>
      </c>
      <c r="K631" t="n">
        <v>0</v>
      </c>
      <c r="L631" t="n">
        <v>0</v>
      </c>
      <c r="M631" t="n">
        <v>0</v>
      </c>
      <c r="N631" t="n">
        <v>0</v>
      </c>
      <c r="O631" t="n">
        <v>0</v>
      </c>
      <c r="P631" t="n">
        <v>0</v>
      </c>
      <c r="Q631" t="n">
        <v>0</v>
      </c>
      <c r="R631" s="2" t="inlineStr"/>
    </row>
    <row r="632" ht="15" customHeight="1">
      <c r="A632" t="inlineStr">
        <is>
          <t>A 61279-2024</t>
        </is>
      </c>
      <c r="B632" s="1" t="n">
        <v>45645</v>
      </c>
      <c r="C632" s="1" t="n">
        <v>46083</v>
      </c>
      <c r="D632" t="inlineStr">
        <is>
          <t>ÖREBRO LÄN</t>
        </is>
      </c>
      <c r="E632" t="inlineStr">
        <is>
          <t>ÖREBRO</t>
        </is>
      </c>
      <c r="G632" t="n">
        <v>0.7</v>
      </c>
      <c r="H632" t="n">
        <v>0</v>
      </c>
      <c r="I632" t="n">
        <v>0</v>
      </c>
      <c r="J632" t="n">
        <v>0</v>
      </c>
      <c r="K632" t="n">
        <v>0</v>
      </c>
      <c r="L632" t="n">
        <v>0</v>
      </c>
      <c r="M632" t="n">
        <v>0</v>
      </c>
      <c r="N632" t="n">
        <v>0</v>
      </c>
      <c r="O632" t="n">
        <v>0</v>
      </c>
      <c r="P632" t="n">
        <v>0</v>
      </c>
      <c r="Q632" t="n">
        <v>0</v>
      </c>
      <c r="R632" s="2" t="inlineStr"/>
    </row>
    <row r="633" ht="15" customHeight="1">
      <c r="A633" t="inlineStr">
        <is>
          <t>A 71269-2021</t>
        </is>
      </c>
      <c r="B633" s="1" t="n">
        <v>44539</v>
      </c>
      <c r="C633" s="1" t="n">
        <v>46083</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15555-2025</t>
        </is>
      </c>
      <c r="B634" s="1" t="n">
        <v>45747.67768518518</v>
      </c>
      <c r="C634" s="1" t="n">
        <v>46083</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5136-2024</t>
        </is>
      </c>
      <c r="B635" s="1" t="n">
        <v>45330</v>
      </c>
      <c r="C635" s="1" t="n">
        <v>46083</v>
      </c>
      <c r="D635" t="inlineStr">
        <is>
          <t>ÖREBRO LÄN</t>
        </is>
      </c>
      <c r="E635" t="inlineStr">
        <is>
          <t>ÖREBRO</t>
        </is>
      </c>
      <c r="G635" t="n">
        <v>2.1</v>
      </c>
      <c r="H635" t="n">
        <v>0</v>
      </c>
      <c r="I635" t="n">
        <v>0</v>
      </c>
      <c r="J635" t="n">
        <v>0</v>
      </c>
      <c r="K635" t="n">
        <v>0</v>
      </c>
      <c r="L635" t="n">
        <v>0</v>
      </c>
      <c r="M635" t="n">
        <v>0</v>
      </c>
      <c r="N635" t="n">
        <v>0</v>
      </c>
      <c r="O635" t="n">
        <v>0</v>
      </c>
      <c r="P635" t="n">
        <v>0</v>
      </c>
      <c r="Q635" t="n">
        <v>0</v>
      </c>
      <c r="R635" s="2" t="inlineStr"/>
    </row>
    <row r="636" ht="15" customHeight="1">
      <c r="A636" t="inlineStr">
        <is>
          <t>A 4380-2025</t>
        </is>
      </c>
      <c r="B636" s="1" t="n">
        <v>45686.3959375</v>
      </c>
      <c r="C636" s="1" t="n">
        <v>46083</v>
      </c>
      <c r="D636" t="inlineStr">
        <is>
          <t>ÖREBRO LÄN</t>
        </is>
      </c>
      <c r="E636" t="inlineStr">
        <is>
          <t>ÖREBRO</t>
        </is>
      </c>
      <c r="G636" t="n">
        <v>3.2</v>
      </c>
      <c r="H636" t="n">
        <v>0</v>
      </c>
      <c r="I636" t="n">
        <v>0</v>
      </c>
      <c r="J636" t="n">
        <v>0</v>
      </c>
      <c r="K636" t="n">
        <v>0</v>
      </c>
      <c r="L636" t="n">
        <v>0</v>
      </c>
      <c r="M636" t="n">
        <v>0</v>
      </c>
      <c r="N636" t="n">
        <v>0</v>
      </c>
      <c r="O636" t="n">
        <v>0</v>
      </c>
      <c r="P636" t="n">
        <v>0</v>
      </c>
      <c r="Q636" t="n">
        <v>0</v>
      </c>
      <c r="R636" s="2" t="inlineStr"/>
    </row>
    <row r="637" ht="15" customHeight="1">
      <c r="A637" t="inlineStr">
        <is>
          <t>A 34358-2022</t>
        </is>
      </c>
      <c r="B637" s="1" t="n">
        <v>44792.45494212963</v>
      </c>
      <c r="C637" s="1" t="n">
        <v>46083</v>
      </c>
      <c r="D637" t="inlineStr">
        <is>
          <t>ÖREBRO LÄN</t>
        </is>
      </c>
      <c r="E637" t="inlineStr">
        <is>
          <t>ÖREBRO</t>
        </is>
      </c>
      <c r="F637" t="inlineStr">
        <is>
          <t>Övriga Aktiebolag</t>
        </is>
      </c>
      <c r="G637" t="n">
        <v>3.4</v>
      </c>
      <c r="H637" t="n">
        <v>0</v>
      </c>
      <c r="I637" t="n">
        <v>0</v>
      </c>
      <c r="J637" t="n">
        <v>0</v>
      </c>
      <c r="K637" t="n">
        <v>0</v>
      </c>
      <c r="L637" t="n">
        <v>0</v>
      </c>
      <c r="M637" t="n">
        <v>0</v>
      </c>
      <c r="N637" t="n">
        <v>0</v>
      </c>
      <c r="O637" t="n">
        <v>0</v>
      </c>
      <c r="P637" t="n">
        <v>0</v>
      </c>
      <c r="Q637" t="n">
        <v>0</v>
      </c>
      <c r="R637" s="2" t="inlineStr"/>
    </row>
    <row r="638" ht="15" customHeight="1">
      <c r="A638" t="inlineStr">
        <is>
          <t>A 15695-2024</t>
        </is>
      </c>
      <c r="B638" s="1" t="n">
        <v>45404.45487268519</v>
      </c>
      <c r="C638" s="1" t="n">
        <v>46083</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5406-2025</t>
        </is>
      </c>
      <c r="B639" s="1" t="n">
        <v>45692.64821759259</v>
      </c>
      <c r="C639" s="1" t="n">
        <v>46083</v>
      </c>
      <c r="D639" t="inlineStr">
        <is>
          <t>ÖREBRO LÄN</t>
        </is>
      </c>
      <c r="E639" t="inlineStr">
        <is>
          <t>ÖREBRO</t>
        </is>
      </c>
      <c r="G639" t="n">
        <v>1.2</v>
      </c>
      <c r="H639" t="n">
        <v>0</v>
      </c>
      <c r="I639" t="n">
        <v>0</v>
      </c>
      <c r="J639" t="n">
        <v>0</v>
      </c>
      <c r="K639" t="n">
        <v>0</v>
      </c>
      <c r="L639" t="n">
        <v>0</v>
      </c>
      <c r="M639" t="n">
        <v>0</v>
      </c>
      <c r="N639" t="n">
        <v>0</v>
      </c>
      <c r="O639" t="n">
        <v>0</v>
      </c>
      <c r="P639" t="n">
        <v>0</v>
      </c>
      <c r="Q639" t="n">
        <v>0</v>
      </c>
      <c r="R639" s="2" t="inlineStr"/>
    </row>
    <row r="640" ht="15" customHeight="1">
      <c r="A640" t="inlineStr">
        <is>
          <t>A 22348-2024</t>
        </is>
      </c>
      <c r="B640" s="1" t="n">
        <v>45446.61256944444</v>
      </c>
      <c r="C640" s="1" t="n">
        <v>46083</v>
      </c>
      <c r="D640" t="inlineStr">
        <is>
          <t>ÖREBRO LÄN</t>
        </is>
      </c>
      <c r="E640" t="inlineStr">
        <is>
          <t>ÖREBRO</t>
        </is>
      </c>
      <c r="G640" t="n">
        <v>0.7</v>
      </c>
      <c r="H640" t="n">
        <v>0</v>
      </c>
      <c r="I640" t="n">
        <v>0</v>
      </c>
      <c r="J640" t="n">
        <v>0</v>
      </c>
      <c r="K640" t="n">
        <v>0</v>
      </c>
      <c r="L640" t="n">
        <v>0</v>
      </c>
      <c r="M640" t="n">
        <v>0</v>
      </c>
      <c r="N640" t="n">
        <v>0</v>
      </c>
      <c r="O640" t="n">
        <v>0</v>
      </c>
      <c r="P640" t="n">
        <v>0</v>
      </c>
      <c r="Q640" t="n">
        <v>0</v>
      </c>
      <c r="R640" s="2" t="inlineStr"/>
    </row>
    <row r="641" ht="15" customHeight="1">
      <c r="A641" t="inlineStr">
        <is>
          <t>A 52018-2024</t>
        </is>
      </c>
      <c r="B641" s="1" t="n">
        <v>45607.82974537037</v>
      </c>
      <c r="C641" s="1" t="n">
        <v>46083</v>
      </c>
      <c r="D641" t="inlineStr">
        <is>
          <t>ÖREBRO LÄN</t>
        </is>
      </c>
      <c r="E641" t="inlineStr">
        <is>
          <t>ÖREBRO</t>
        </is>
      </c>
      <c r="G641" t="n">
        <v>4.3</v>
      </c>
      <c r="H641" t="n">
        <v>0</v>
      </c>
      <c r="I641" t="n">
        <v>0</v>
      </c>
      <c r="J641" t="n">
        <v>0</v>
      </c>
      <c r="K641" t="n">
        <v>0</v>
      </c>
      <c r="L641" t="n">
        <v>0</v>
      </c>
      <c r="M641" t="n">
        <v>0</v>
      </c>
      <c r="N641" t="n">
        <v>0</v>
      </c>
      <c r="O641" t="n">
        <v>0</v>
      </c>
      <c r="P641" t="n">
        <v>0</v>
      </c>
      <c r="Q641" t="n">
        <v>0</v>
      </c>
      <c r="R641" s="2" t="inlineStr"/>
    </row>
    <row r="642" ht="15" customHeight="1">
      <c r="A642" t="inlineStr">
        <is>
          <t>A 30089-2024</t>
        </is>
      </c>
      <c r="B642" s="1" t="n">
        <v>45485</v>
      </c>
      <c r="C642" s="1" t="n">
        <v>46083</v>
      </c>
      <c r="D642" t="inlineStr">
        <is>
          <t>ÖREBRO LÄN</t>
        </is>
      </c>
      <c r="E642" t="inlineStr">
        <is>
          <t>ÖREBRO</t>
        </is>
      </c>
      <c r="G642" t="n">
        <v>2.2</v>
      </c>
      <c r="H642" t="n">
        <v>0</v>
      </c>
      <c r="I642" t="n">
        <v>0</v>
      </c>
      <c r="J642" t="n">
        <v>0</v>
      </c>
      <c r="K642" t="n">
        <v>0</v>
      </c>
      <c r="L642" t="n">
        <v>0</v>
      </c>
      <c r="M642" t="n">
        <v>0</v>
      </c>
      <c r="N642" t="n">
        <v>0</v>
      </c>
      <c r="O642" t="n">
        <v>0</v>
      </c>
      <c r="P642" t="n">
        <v>0</v>
      </c>
      <c r="Q642" t="n">
        <v>0</v>
      </c>
      <c r="R642" s="2" t="inlineStr"/>
    </row>
    <row r="643" ht="15" customHeight="1">
      <c r="A643" t="inlineStr">
        <is>
          <t>A 71295-2021</t>
        </is>
      </c>
      <c r="B643" s="1" t="n">
        <v>44539.63009259259</v>
      </c>
      <c r="C643" s="1" t="n">
        <v>46083</v>
      </c>
      <c r="D643" t="inlineStr">
        <is>
          <t>ÖREBRO LÄN</t>
        </is>
      </c>
      <c r="E643" t="inlineStr">
        <is>
          <t>ÖREBRO</t>
        </is>
      </c>
      <c r="G643" t="n">
        <v>2.3</v>
      </c>
      <c r="H643" t="n">
        <v>0</v>
      </c>
      <c r="I643" t="n">
        <v>0</v>
      </c>
      <c r="J643" t="n">
        <v>0</v>
      </c>
      <c r="K643" t="n">
        <v>0</v>
      </c>
      <c r="L643" t="n">
        <v>0</v>
      </c>
      <c r="M643" t="n">
        <v>0</v>
      </c>
      <c r="N643" t="n">
        <v>0</v>
      </c>
      <c r="O643" t="n">
        <v>0</v>
      </c>
      <c r="P643" t="n">
        <v>0</v>
      </c>
      <c r="Q643" t="n">
        <v>0</v>
      </c>
      <c r="R643" s="2" t="inlineStr"/>
    </row>
    <row r="644" ht="15" customHeight="1">
      <c r="A644" t="inlineStr">
        <is>
          <t>A 46030-2024</t>
        </is>
      </c>
      <c r="B644" s="1" t="n">
        <v>45580.70377314815</v>
      </c>
      <c r="C644" s="1" t="n">
        <v>46083</v>
      </c>
      <c r="D644" t="inlineStr">
        <is>
          <t>ÖREBRO LÄN</t>
        </is>
      </c>
      <c r="E644" t="inlineStr">
        <is>
          <t>ÖREBRO</t>
        </is>
      </c>
      <c r="G644" t="n">
        <v>3.9</v>
      </c>
      <c r="H644" t="n">
        <v>0</v>
      </c>
      <c r="I644" t="n">
        <v>0</v>
      </c>
      <c r="J644" t="n">
        <v>0</v>
      </c>
      <c r="K644" t="n">
        <v>0</v>
      </c>
      <c r="L644" t="n">
        <v>0</v>
      </c>
      <c r="M644" t="n">
        <v>0</v>
      </c>
      <c r="N644" t="n">
        <v>0</v>
      </c>
      <c r="O644" t="n">
        <v>0</v>
      </c>
      <c r="P644" t="n">
        <v>0</v>
      </c>
      <c r="Q644" t="n">
        <v>0</v>
      </c>
      <c r="R644" s="2" t="inlineStr"/>
    </row>
    <row r="645" ht="15" customHeight="1">
      <c r="A645" t="inlineStr">
        <is>
          <t>A 5643-2025</t>
        </is>
      </c>
      <c r="B645" s="1" t="n">
        <v>45693</v>
      </c>
      <c r="C645" s="1" t="n">
        <v>46083</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11516-2024</t>
        </is>
      </c>
      <c r="B646" s="1" t="n">
        <v>45372</v>
      </c>
      <c r="C646" s="1" t="n">
        <v>46083</v>
      </c>
      <c r="D646" t="inlineStr">
        <is>
          <t>ÖREBRO LÄN</t>
        </is>
      </c>
      <c r="E646" t="inlineStr">
        <is>
          <t>ÖREBRO</t>
        </is>
      </c>
      <c r="G646" t="n">
        <v>10.7</v>
      </c>
      <c r="H646" t="n">
        <v>0</v>
      </c>
      <c r="I646" t="n">
        <v>0</v>
      </c>
      <c r="J646" t="n">
        <v>0</v>
      </c>
      <c r="K646" t="n">
        <v>0</v>
      </c>
      <c r="L646" t="n">
        <v>0</v>
      </c>
      <c r="M646" t="n">
        <v>0</v>
      </c>
      <c r="N646" t="n">
        <v>0</v>
      </c>
      <c r="O646" t="n">
        <v>0</v>
      </c>
      <c r="P646" t="n">
        <v>0</v>
      </c>
      <c r="Q646" t="n">
        <v>0</v>
      </c>
      <c r="R646" s="2" t="inlineStr"/>
    </row>
    <row r="647" ht="15" customHeight="1">
      <c r="A647" t="inlineStr">
        <is>
          <t>A 5342-2024</t>
        </is>
      </c>
      <c r="B647" s="1" t="n">
        <v>45331.44145833333</v>
      </c>
      <c r="C647" s="1" t="n">
        <v>46083</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25578-2025</t>
        </is>
      </c>
      <c r="B648" s="1" t="n">
        <v>45803.47803240741</v>
      </c>
      <c r="C648" s="1" t="n">
        <v>46083</v>
      </c>
      <c r="D648" t="inlineStr">
        <is>
          <t>ÖREBRO LÄN</t>
        </is>
      </c>
      <c r="E648" t="inlineStr">
        <is>
          <t>ÖREBRO</t>
        </is>
      </c>
      <c r="G648" t="n">
        <v>0.9</v>
      </c>
      <c r="H648" t="n">
        <v>0</v>
      </c>
      <c r="I648" t="n">
        <v>0</v>
      </c>
      <c r="J648" t="n">
        <v>0</v>
      </c>
      <c r="K648" t="n">
        <v>0</v>
      </c>
      <c r="L648" t="n">
        <v>0</v>
      </c>
      <c r="M648" t="n">
        <v>0</v>
      </c>
      <c r="N648" t="n">
        <v>0</v>
      </c>
      <c r="O648" t="n">
        <v>0</v>
      </c>
      <c r="P648" t="n">
        <v>0</v>
      </c>
      <c r="Q648" t="n">
        <v>0</v>
      </c>
      <c r="R648" s="2" t="inlineStr"/>
    </row>
    <row r="649">
      <c r="A649" t="inlineStr">
        <is>
          <t>A 25519-2025</t>
        </is>
      </c>
      <c r="B649" s="1" t="n">
        <v>45803.38447916666</v>
      </c>
      <c r="C649" s="1" t="n">
        <v>46083</v>
      </c>
      <c r="D649" t="inlineStr">
        <is>
          <t>ÖREBRO LÄN</t>
        </is>
      </c>
      <c r="E649" t="inlineStr">
        <is>
          <t>ÖREBRO</t>
        </is>
      </c>
      <c r="G649" t="n">
        <v>7.4</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2026-03-02T11:10:21Z</dcterms:created>
  <dcterms:modified xmlns:dcterms="http://purl.org/dc/terms/" xmlns:xsi="http://www.w3.org/2001/XMLSchema-instance" xsi:type="dcterms:W3CDTF">2026-03-02T11:10:21Z</dcterms:modified>
</cp:coreProperties>
</file>