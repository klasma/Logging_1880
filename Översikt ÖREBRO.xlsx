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45976</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45976</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45976</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45976</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45976</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5354-2024</t>
        </is>
      </c>
      <c r="B11" s="1" t="n">
        <v>45331</v>
      </c>
      <c r="C11" s="1" t="n">
        <v>45976</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45976</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12974-2022</t>
        </is>
      </c>
      <c r="B13" s="1" t="n">
        <v>44643.38490740741</v>
      </c>
      <c r="C13" s="1" t="n">
        <v>45976</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45976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51530-2024</t>
        </is>
      </c>
      <c r="B15" s="1" t="n">
        <v>45604</v>
      </c>
      <c r="C15" s="1" t="n">
        <v>45976</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57553-2023</t>
        </is>
      </c>
      <c r="B16" s="1" t="n">
        <v>45246</v>
      </c>
      <c r="C16" s="1" t="n">
        <v>45976</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29487-2022</t>
        </is>
      </c>
      <c r="B17" s="1" t="n">
        <v>44753</v>
      </c>
      <c r="C17" s="1" t="n">
        <v>45976</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45976</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45976</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45976</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45976</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45976</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45976</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45976</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45976</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45976</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45976</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14956-2025</t>
        </is>
      </c>
      <c r="B28" s="1" t="n">
        <v>45743.58409722222</v>
      </c>
      <c r="C28" s="1" t="n">
        <v>45976</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13458-2024</t>
        </is>
      </c>
      <c r="B29" s="1" t="n">
        <v>45387.54642361111</v>
      </c>
      <c r="C29" s="1" t="n">
        <v>45976</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7608-2024</t>
        </is>
      </c>
      <c r="B30" s="1" t="n">
        <v>45348</v>
      </c>
      <c r="C30" s="1" t="n">
        <v>45976</v>
      </c>
      <c r="D30" t="inlineStr">
        <is>
          <t>ÖREBRO LÄN</t>
        </is>
      </c>
      <c r="E30" t="inlineStr">
        <is>
          <t>ÖREBRO</t>
        </is>
      </c>
      <c r="G30" t="n">
        <v>4.3</v>
      </c>
      <c r="H30" t="n">
        <v>2</v>
      </c>
      <c r="I30" t="n">
        <v>0</v>
      </c>
      <c r="J30" t="n">
        <v>1</v>
      </c>
      <c r="K30" t="n">
        <v>1</v>
      </c>
      <c r="L30" t="n">
        <v>0</v>
      </c>
      <c r="M30" t="n">
        <v>0</v>
      </c>
      <c r="N30" t="n">
        <v>0</v>
      </c>
      <c r="O30" t="n">
        <v>2</v>
      </c>
      <c r="P30" t="n">
        <v>1</v>
      </c>
      <c r="Q30" t="n">
        <v>2</v>
      </c>
      <c r="R30" s="2" t="inlineStr">
        <is>
          <t>Knärot
Spillkråka</t>
        </is>
      </c>
      <c r="S30">
        <f>HYPERLINK("https://klasma.github.io/Logging_1880/artfynd/A 7608-2024 artfynd.xlsx", "A 7608-2024")</f>
        <v/>
      </c>
      <c r="T30">
        <f>HYPERLINK("https://klasma.github.io/Logging_1880/kartor/A 7608-2024 karta.png", "A 7608-2024")</f>
        <v/>
      </c>
      <c r="U30">
        <f>HYPERLINK("https://klasma.github.io/Logging_1880/knärot/A 7608-2024 karta knärot.png", "A 7608-2024")</f>
        <v/>
      </c>
      <c r="V30">
        <f>HYPERLINK("https://klasma.github.io/Logging_1880/klagomål/A 7608-2024 FSC-klagomål.docx", "A 7608-2024")</f>
        <v/>
      </c>
      <c r="W30">
        <f>HYPERLINK("https://klasma.github.io/Logging_1880/klagomålsmail/A 7608-2024 FSC-klagomål mail.docx", "A 7608-2024")</f>
        <v/>
      </c>
      <c r="X30">
        <f>HYPERLINK("https://klasma.github.io/Logging_1880/tillsyn/A 7608-2024 tillsynsbegäran.docx", "A 7608-2024")</f>
        <v/>
      </c>
      <c r="Y30">
        <f>HYPERLINK("https://klasma.github.io/Logging_1880/tillsynsmail/A 7608-2024 tillsynsbegäran mail.docx", "A 7608-2024")</f>
        <v/>
      </c>
      <c r="Z30">
        <f>HYPERLINK("https://klasma.github.io/Logging_1880/fåglar/A 7608-2024 prioriterade fågelarter.docx", "A 7608-2024")</f>
        <v/>
      </c>
    </row>
    <row r="31" ht="15" customHeight="1">
      <c r="A31" t="inlineStr">
        <is>
          <t>A 52400-2024</t>
        </is>
      </c>
      <c r="B31" s="1" t="n">
        <v>45609.44461805555</v>
      </c>
      <c r="C31" s="1" t="n">
        <v>45976</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22577-2024</t>
        </is>
      </c>
      <c r="B32" s="1" t="n">
        <v>45447</v>
      </c>
      <c r="C32" s="1" t="n">
        <v>45976</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37019-2024</t>
        </is>
      </c>
      <c r="B33" s="1" t="n">
        <v>45539.37905092593</v>
      </c>
      <c r="C33" s="1" t="n">
        <v>45976</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51550-2025</t>
        </is>
      </c>
      <c r="B34" s="1" t="n">
        <v>45950.83359953704</v>
      </c>
      <c r="C34" s="1" t="n">
        <v>45976</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8267-2021</t>
        </is>
      </c>
      <c r="B35" s="1" t="n">
        <v>44244</v>
      </c>
      <c r="C35" s="1" t="n">
        <v>45976</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30409-2025</t>
        </is>
      </c>
      <c r="B36" s="1" t="n">
        <v>45827.59738425926</v>
      </c>
      <c r="C36" s="1" t="n">
        <v>45976</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13395-2024</t>
        </is>
      </c>
      <c r="B37" s="1" t="n">
        <v>45387.42296296296</v>
      </c>
      <c r="C37" s="1" t="n">
        <v>45976</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29704-2022</t>
        </is>
      </c>
      <c r="B38" s="1" t="n">
        <v>44755</v>
      </c>
      <c r="C38" s="1" t="n">
        <v>45976</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6926-2021</t>
        </is>
      </c>
      <c r="B39" s="1" t="n">
        <v>44237</v>
      </c>
      <c r="C39" s="1" t="n">
        <v>45976</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4943-2022</t>
        </is>
      </c>
      <c r="B40" s="1" t="n">
        <v>44593</v>
      </c>
      <c r="C40" s="1" t="n">
        <v>45976</v>
      </c>
      <c r="D40" t="inlineStr">
        <is>
          <t>ÖREBRO LÄN</t>
        </is>
      </c>
      <c r="E40" t="inlineStr">
        <is>
          <t>ÖREBRO</t>
        </is>
      </c>
      <c r="G40" t="n">
        <v>1.1</v>
      </c>
      <c r="H40" t="n">
        <v>0</v>
      </c>
      <c r="I40" t="n">
        <v>0</v>
      </c>
      <c r="J40" t="n">
        <v>1</v>
      </c>
      <c r="K40" t="n">
        <v>0</v>
      </c>
      <c r="L40" t="n">
        <v>0</v>
      </c>
      <c r="M40" t="n">
        <v>0</v>
      </c>
      <c r="N40" t="n">
        <v>0</v>
      </c>
      <c r="O40" t="n">
        <v>1</v>
      </c>
      <c r="P40" t="n">
        <v>0</v>
      </c>
      <c r="Q40" t="n">
        <v>1</v>
      </c>
      <c r="R40" s="2" t="inlineStr">
        <is>
          <t>Skinntagging</t>
        </is>
      </c>
      <c r="S40">
        <f>HYPERLINK("https://klasma.github.io/Logging_1880/artfynd/A 4943-2022 artfynd.xlsx", "A 4943-2022")</f>
        <v/>
      </c>
      <c r="T40">
        <f>HYPERLINK("https://klasma.github.io/Logging_1880/kartor/A 4943-2022 karta.png", "A 4943-2022")</f>
        <v/>
      </c>
      <c r="V40">
        <f>HYPERLINK("https://klasma.github.io/Logging_1880/klagomål/A 4943-2022 FSC-klagomål.docx", "A 4943-2022")</f>
        <v/>
      </c>
      <c r="W40">
        <f>HYPERLINK("https://klasma.github.io/Logging_1880/klagomålsmail/A 4943-2022 FSC-klagomål mail.docx", "A 4943-2022")</f>
        <v/>
      </c>
      <c r="X40">
        <f>HYPERLINK("https://klasma.github.io/Logging_1880/tillsyn/A 4943-2022 tillsynsbegäran.docx", "A 4943-2022")</f>
        <v/>
      </c>
      <c r="Y40">
        <f>HYPERLINK("https://klasma.github.io/Logging_1880/tillsynsmail/A 4943-2022 tillsynsbegäran mail.docx", "A 4943-2022")</f>
        <v/>
      </c>
    </row>
    <row r="41" ht="15" customHeight="1">
      <c r="A41" t="inlineStr">
        <is>
          <t>A 20032-2023</t>
        </is>
      </c>
      <c r="B41" s="1" t="n">
        <v>45054</v>
      </c>
      <c r="C41" s="1" t="n">
        <v>45976</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31695-2024</t>
        </is>
      </c>
      <c r="B42" s="1" t="n">
        <v>45508</v>
      </c>
      <c r="C42" s="1" t="n">
        <v>45976</v>
      </c>
      <c r="D42" t="inlineStr">
        <is>
          <t>ÖREBRO LÄN</t>
        </is>
      </c>
      <c r="E42" t="inlineStr">
        <is>
          <t>ÖREBRO</t>
        </is>
      </c>
      <c r="G42" t="n">
        <v>1.3</v>
      </c>
      <c r="H42" t="n">
        <v>1</v>
      </c>
      <c r="I42" t="n">
        <v>1</v>
      </c>
      <c r="J42" t="n">
        <v>0</v>
      </c>
      <c r="K42" t="n">
        <v>0</v>
      </c>
      <c r="L42" t="n">
        <v>0</v>
      </c>
      <c r="M42" t="n">
        <v>0</v>
      </c>
      <c r="N42" t="n">
        <v>0</v>
      </c>
      <c r="O42" t="n">
        <v>0</v>
      </c>
      <c r="P42" t="n">
        <v>0</v>
      </c>
      <c r="Q42" t="n">
        <v>1</v>
      </c>
      <c r="R42" s="2" t="inlineStr">
        <is>
          <t>Skogsknipprot</t>
        </is>
      </c>
      <c r="S42">
        <f>HYPERLINK("https://klasma.github.io/Logging_1880/artfynd/A 31695-2024 artfynd.xlsx", "A 31695-2024")</f>
        <v/>
      </c>
      <c r="T42">
        <f>HYPERLINK("https://klasma.github.io/Logging_1880/kartor/A 31695-2024 karta.png", "A 31695-2024")</f>
        <v/>
      </c>
      <c r="V42">
        <f>HYPERLINK("https://klasma.github.io/Logging_1880/klagomål/A 31695-2024 FSC-klagomål.docx", "A 31695-2024")</f>
        <v/>
      </c>
      <c r="W42">
        <f>HYPERLINK("https://klasma.github.io/Logging_1880/klagomålsmail/A 31695-2024 FSC-klagomål mail.docx", "A 31695-2024")</f>
        <v/>
      </c>
      <c r="X42">
        <f>HYPERLINK("https://klasma.github.io/Logging_1880/tillsyn/A 31695-2024 tillsynsbegäran.docx", "A 31695-2024")</f>
        <v/>
      </c>
      <c r="Y42">
        <f>HYPERLINK("https://klasma.github.io/Logging_1880/tillsynsmail/A 31695-2024 tillsynsbegäran mail.docx", "A 31695-2024")</f>
        <v/>
      </c>
    </row>
    <row r="43" ht="15" customHeight="1">
      <c r="A43" t="inlineStr">
        <is>
          <t>A 5097-2023</t>
        </is>
      </c>
      <c r="B43" s="1" t="n">
        <v>44958</v>
      </c>
      <c r="C43" s="1" t="n">
        <v>45976</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26890-2022</t>
        </is>
      </c>
      <c r="B44" s="1" t="n">
        <v>44740</v>
      </c>
      <c r="C44" s="1" t="n">
        <v>45976</v>
      </c>
      <c r="D44" t="inlineStr">
        <is>
          <t>ÖREBRO LÄN</t>
        </is>
      </c>
      <c r="E44" t="inlineStr">
        <is>
          <t>ÖREBRO</t>
        </is>
      </c>
      <c r="G44" t="n">
        <v>4.2</v>
      </c>
      <c r="H44" t="n">
        <v>1</v>
      </c>
      <c r="I44" t="n">
        <v>0</v>
      </c>
      <c r="J44" t="n">
        <v>0</v>
      </c>
      <c r="K44" t="n">
        <v>1</v>
      </c>
      <c r="L44" t="n">
        <v>0</v>
      </c>
      <c r="M44" t="n">
        <v>0</v>
      </c>
      <c r="N44" t="n">
        <v>0</v>
      </c>
      <c r="O44" t="n">
        <v>1</v>
      </c>
      <c r="P44" t="n">
        <v>1</v>
      </c>
      <c r="Q44" t="n">
        <v>1</v>
      </c>
      <c r="R44" s="2" t="inlineStr">
        <is>
          <t>Hällebräcka</t>
        </is>
      </c>
      <c r="S44">
        <f>HYPERLINK("https://klasma.github.io/Logging_1880/artfynd/A 26890-2022 artfynd.xlsx", "A 26890-2022")</f>
        <v/>
      </c>
      <c r="T44">
        <f>HYPERLINK("https://klasma.github.io/Logging_1880/kartor/A 26890-2022 karta.png", "A 26890-2022")</f>
        <v/>
      </c>
      <c r="V44">
        <f>HYPERLINK("https://klasma.github.io/Logging_1880/klagomål/A 26890-2022 FSC-klagomål.docx", "A 26890-2022")</f>
        <v/>
      </c>
      <c r="W44">
        <f>HYPERLINK("https://klasma.github.io/Logging_1880/klagomålsmail/A 26890-2022 FSC-klagomål mail.docx", "A 26890-2022")</f>
        <v/>
      </c>
      <c r="X44">
        <f>HYPERLINK("https://klasma.github.io/Logging_1880/tillsyn/A 26890-2022 tillsynsbegäran.docx", "A 26890-2022")</f>
        <v/>
      </c>
      <c r="Y44">
        <f>HYPERLINK("https://klasma.github.io/Logging_1880/tillsynsmail/A 26890-2022 tillsynsbegäran mail.docx", "A 26890-2022")</f>
        <v/>
      </c>
    </row>
    <row r="45" ht="15" customHeight="1">
      <c r="A45" t="inlineStr">
        <is>
          <t>A 43332-2022</t>
        </is>
      </c>
      <c r="B45" s="1" t="n">
        <v>44834</v>
      </c>
      <c r="C45" s="1" t="n">
        <v>45976</v>
      </c>
      <c r="D45" t="inlineStr">
        <is>
          <t>ÖREBRO LÄN</t>
        </is>
      </c>
      <c r="E45" t="inlineStr">
        <is>
          <t>ÖREBRO</t>
        </is>
      </c>
      <c r="G45" t="n">
        <v>2.3</v>
      </c>
      <c r="H45" t="n">
        <v>1</v>
      </c>
      <c r="I45" t="n">
        <v>0</v>
      </c>
      <c r="J45" t="n">
        <v>1</v>
      </c>
      <c r="K45" t="n">
        <v>0</v>
      </c>
      <c r="L45" t="n">
        <v>0</v>
      </c>
      <c r="M45" t="n">
        <v>0</v>
      </c>
      <c r="N45" t="n">
        <v>0</v>
      </c>
      <c r="O45" t="n">
        <v>1</v>
      </c>
      <c r="P45" t="n">
        <v>0</v>
      </c>
      <c r="Q45" t="n">
        <v>1</v>
      </c>
      <c r="R45" s="2" t="inlineStr">
        <is>
          <t>Spillkråka</t>
        </is>
      </c>
      <c r="S45">
        <f>HYPERLINK("https://klasma.github.io/Logging_1880/artfynd/A 43332-2022 artfynd.xlsx", "A 43332-2022")</f>
        <v/>
      </c>
      <c r="T45">
        <f>HYPERLINK("https://klasma.github.io/Logging_1880/kartor/A 43332-2022 karta.png", "A 43332-2022")</f>
        <v/>
      </c>
      <c r="V45">
        <f>HYPERLINK("https://klasma.github.io/Logging_1880/klagomål/A 43332-2022 FSC-klagomål.docx", "A 43332-2022")</f>
        <v/>
      </c>
      <c r="W45">
        <f>HYPERLINK("https://klasma.github.io/Logging_1880/klagomålsmail/A 43332-2022 FSC-klagomål mail.docx", "A 43332-2022")</f>
        <v/>
      </c>
      <c r="X45">
        <f>HYPERLINK("https://klasma.github.io/Logging_1880/tillsyn/A 43332-2022 tillsynsbegäran.docx", "A 43332-2022")</f>
        <v/>
      </c>
      <c r="Y45">
        <f>HYPERLINK("https://klasma.github.io/Logging_1880/tillsynsmail/A 43332-2022 tillsynsbegäran mail.docx", "A 43332-2022")</f>
        <v/>
      </c>
      <c r="Z45">
        <f>HYPERLINK("https://klasma.github.io/Logging_1880/fåglar/A 43332-2022 prioriterade fågelarter.docx", "A 43332-2022")</f>
        <v/>
      </c>
    </row>
    <row r="46" ht="15" customHeight="1">
      <c r="A46" t="inlineStr">
        <is>
          <t>A 32105-2023</t>
        </is>
      </c>
      <c r="B46" s="1" t="n">
        <v>45119</v>
      </c>
      <c r="C46" s="1" t="n">
        <v>45976</v>
      </c>
      <c r="D46" t="inlineStr">
        <is>
          <t>ÖREBRO LÄN</t>
        </is>
      </c>
      <c r="E46" t="inlineStr">
        <is>
          <t>ÖREBRO</t>
        </is>
      </c>
      <c r="G46" t="n">
        <v>1.3</v>
      </c>
      <c r="H46" t="n">
        <v>1</v>
      </c>
      <c r="I46" t="n">
        <v>0</v>
      </c>
      <c r="J46" t="n">
        <v>1</v>
      </c>
      <c r="K46" t="n">
        <v>0</v>
      </c>
      <c r="L46" t="n">
        <v>0</v>
      </c>
      <c r="M46" t="n">
        <v>0</v>
      </c>
      <c r="N46" t="n">
        <v>0</v>
      </c>
      <c r="O46" t="n">
        <v>1</v>
      </c>
      <c r="P46" t="n">
        <v>0</v>
      </c>
      <c r="Q46" t="n">
        <v>1</v>
      </c>
      <c r="R46" s="2" t="inlineStr">
        <is>
          <t>Rödvingetrast</t>
        </is>
      </c>
      <c r="S46">
        <f>HYPERLINK("https://klasma.github.io/Logging_1880/artfynd/A 32105-2023 artfynd.xlsx", "A 32105-2023")</f>
        <v/>
      </c>
      <c r="T46">
        <f>HYPERLINK("https://klasma.github.io/Logging_1880/kartor/A 32105-2023 karta.png", "A 32105-2023")</f>
        <v/>
      </c>
      <c r="V46">
        <f>HYPERLINK("https://klasma.github.io/Logging_1880/klagomål/A 32105-2023 FSC-klagomål.docx", "A 32105-2023")</f>
        <v/>
      </c>
      <c r="W46">
        <f>HYPERLINK("https://klasma.github.io/Logging_1880/klagomålsmail/A 32105-2023 FSC-klagomål mail.docx", "A 32105-2023")</f>
        <v/>
      </c>
      <c r="X46">
        <f>HYPERLINK("https://klasma.github.io/Logging_1880/tillsyn/A 32105-2023 tillsynsbegäran.docx", "A 32105-2023")</f>
        <v/>
      </c>
      <c r="Y46">
        <f>HYPERLINK("https://klasma.github.io/Logging_1880/tillsynsmail/A 32105-2023 tillsynsbegäran mail.docx", "A 32105-2023")</f>
        <v/>
      </c>
      <c r="Z46">
        <f>HYPERLINK("https://klasma.github.io/Logging_1880/fåglar/A 32105-2023 prioriterade fågelarter.docx", "A 32105-2023")</f>
        <v/>
      </c>
    </row>
    <row r="47" ht="15" customHeight="1">
      <c r="A47" t="inlineStr">
        <is>
          <t>A 23998-2025</t>
        </is>
      </c>
      <c r="B47" s="1" t="n">
        <v>45796.42209490741</v>
      </c>
      <c r="C47" s="1" t="n">
        <v>45976</v>
      </c>
      <c r="D47" t="inlineStr">
        <is>
          <t>ÖREBRO LÄN</t>
        </is>
      </c>
      <c r="E47" t="inlineStr">
        <is>
          <t>ÖREBRO</t>
        </is>
      </c>
      <c r="G47" t="n">
        <v>4.7</v>
      </c>
      <c r="H47" t="n">
        <v>0</v>
      </c>
      <c r="I47" t="n">
        <v>1</v>
      </c>
      <c r="J47" t="n">
        <v>0</v>
      </c>
      <c r="K47" t="n">
        <v>0</v>
      </c>
      <c r="L47" t="n">
        <v>0</v>
      </c>
      <c r="M47" t="n">
        <v>0</v>
      </c>
      <c r="N47" t="n">
        <v>0</v>
      </c>
      <c r="O47" t="n">
        <v>0</v>
      </c>
      <c r="P47" t="n">
        <v>0</v>
      </c>
      <c r="Q47" t="n">
        <v>1</v>
      </c>
      <c r="R47" s="2" t="inlineStr">
        <is>
          <t>Kambräken</t>
        </is>
      </c>
      <c r="S47">
        <f>HYPERLINK("https://klasma.github.io/Logging_1880/artfynd/A 23998-2025 artfynd.xlsx", "A 23998-2025")</f>
        <v/>
      </c>
      <c r="T47">
        <f>HYPERLINK("https://klasma.github.io/Logging_1880/kartor/A 23998-2025 karta.png", "A 23998-2025")</f>
        <v/>
      </c>
      <c r="V47">
        <f>HYPERLINK("https://klasma.github.io/Logging_1880/klagomål/A 23998-2025 FSC-klagomål.docx", "A 23998-2025")</f>
        <v/>
      </c>
      <c r="W47">
        <f>HYPERLINK("https://klasma.github.io/Logging_1880/klagomålsmail/A 23998-2025 FSC-klagomål mail.docx", "A 23998-2025")</f>
        <v/>
      </c>
      <c r="X47">
        <f>HYPERLINK("https://klasma.github.io/Logging_1880/tillsyn/A 23998-2025 tillsynsbegäran.docx", "A 23998-2025")</f>
        <v/>
      </c>
      <c r="Y47">
        <f>HYPERLINK("https://klasma.github.io/Logging_1880/tillsynsmail/A 23998-2025 tillsynsbegäran mail.docx", "A 23998-2025")</f>
        <v/>
      </c>
    </row>
    <row r="48" ht="15" customHeight="1">
      <c r="A48" t="inlineStr">
        <is>
          <t>A 20247-2023</t>
        </is>
      </c>
      <c r="B48" s="1" t="n">
        <v>45055</v>
      </c>
      <c r="C48" s="1" t="n">
        <v>45976</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4014-2021</t>
        </is>
      </c>
      <c r="B49" s="1" t="n">
        <v>44218</v>
      </c>
      <c r="C49" s="1" t="n">
        <v>45976</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45976</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50499-2025</t>
        </is>
      </c>
      <c r="B51" s="1" t="n">
        <v>45945.41712962963</v>
      </c>
      <c r="C51" s="1" t="n">
        <v>45976</v>
      </c>
      <c r="D51" t="inlineStr">
        <is>
          <t>ÖREBRO LÄN</t>
        </is>
      </c>
      <c r="E51" t="inlineStr">
        <is>
          <t>ÖREBRO</t>
        </is>
      </c>
      <c r="G51" t="n">
        <v>6.7</v>
      </c>
      <c r="H51" t="n">
        <v>0</v>
      </c>
      <c r="I51" t="n">
        <v>0</v>
      </c>
      <c r="J51" t="n">
        <v>1</v>
      </c>
      <c r="K51" t="n">
        <v>0</v>
      </c>
      <c r="L51" t="n">
        <v>0</v>
      </c>
      <c r="M51" t="n">
        <v>0</v>
      </c>
      <c r="N51" t="n">
        <v>0</v>
      </c>
      <c r="O51" t="n">
        <v>1</v>
      </c>
      <c r="P51" t="n">
        <v>0</v>
      </c>
      <c r="Q51" t="n">
        <v>1</v>
      </c>
      <c r="R51" s="2" t="inlineStr">
        <is>
          <t>Gullklöver</t>
        </is>
      </c>
      <c r="S51">
        <f>HYPERLINK("https://klasma.github.io/Logging_1880/artfynd/A 50499-2025 artfynd.xlsx", "A 50499-2025")</f>
        <v/>
      </c>
      <c r="T51">
        <f>HYPERLINK("https://klasma.github.io/Logging_1880/kartor/A 50499-2025 karta.png", "A 50499-2025")</f>
        <v/>
      </c>
      <c r="V51">
        <f>HYPERLINK("https://klasma.github.io/Logging_1880/klagomål/A 50499-2025 FSC-klagomål.docx", "A 50499-2025")</f>
        <v/>
      </c>
      <c r="W51">
        <f>HYPERLINK("https://klasma.github.io/Logging_1880/klagomålsmail/A 50499-2025 FSC-klagomål mail.docx", "A 50499-2025")</f>
        <v/>
      </c>
      <c r="X51">
        <f>HYPERLINK("https://klasma.github.io/Logging_1880/tillsyn/A 50499-2025 tillsynsbegäran.docx", "A 50499-2025")</f>
        <v/>
      </c>
      <c r="Y51">
        <f>HYPERLINK("https://klasma.github.io/Logging_1880/tillsynsmail/A 50499-2025 tillsynsbegäran mail.docx", "A 50499-2025")</f>
        <v/>
      </c>
    </row>
    <row r="52" ht="15" customHeight="1">
      <c r="A52" t="inlineStr">
        <is>
          <t>A 22604-2024</t>
        </is>
      </c>
      <c r="B52" s="1" t="n">
        <v>45447</v>
      </c>
      <c r="C52" s="1" t="n">
        <v>45976</v>
      </c>
      <c r="D52" t="inlineStr">
        <is>
          <t>ÖREBRO LÄN</t>
        </is>
      </c>
      <c r="E52" t="inlineStr">
        <is>
          <t>ÖREBRO</t>
        </is>
      </c>
      <c r="G52" t="n">
        <v>4.4</v>
      </c>
      <c r="H52" t="n">
        <v>0</v>
      </c>
      <c r="I52" t="n">
        <v>0</v>
      </c>
      <c r="J52" t="n">
        <v>1</v>
      </c>
      <c r="K52" t="n">
        <v>0</v>
      </c>
      <c r="L52" t="n">
        <v>0</v>
      </c>
      <c r="M52" t="n">
        <v>0</v>
      </c>
      <c r="N52" t="n">
        <v>0</v>
      </c>
      <c r="O52" t="n">
        <v>1</v>
      </c>
      <c r="P52" t="n">
        <v>0</v>
      </c>
      <c r="Q52" t="n">
        <v>1</v>
      </c>
      <c r="R52" s="2" t="inlineStr">
        <is>
          <t>Månlåsbräken</t>
        </is>
      </c>
      <c r="S52">
        <f>HYPERLINK("https://klasma.github.io/Logging_1880/artfynd/A 22604-2024 artfynd.xlsx", "A 22604-2024")</f>
        <v/>
      </c>
      <c r="T52">
        <f>HYPERLINK("https://klasma.github.io/Logging_1880/kartor/A 22604-2024 karta.png", "A 22604-2024")</f>
        <v/>
      </c>
      <c r="V52">
        <f>HYPERLINK("https://klasma.github.io/Logging_1880/klagomål/A 22604-2024 FSC-klagomål.docx", "A 22604-2024")</f>
        <v/>
      </c>
      <c r="W52">
        <f>HYPERLINK("https://klasma.github.io/Logging_1880/klagomålsmail/A 22604-2024 FSC-klagomål mail.docx", "A 22604-2024")</f>
        <v/>
      </c>
      <c r="X52">
        <f>HYPERLINK("https://klasma.github.io/Logging_1880/tillsyn/A 22604-2024 tillsynsbegäran.docx", "A 22604-2024")</f>
        <v/>
      </c>
      <c r="Y52">
        <f>HYPERLINK("https://klasma.github.io/Logging_1880/tillsynsmail/A 22604-2024 tillsynsbegäran mail.docx", "A 22604-2024")</f>
        <v/>
      </c>
    </row>
    <row r="53" ht="15" customHeight="1">
      <c r="A53" t="inlineStr">
        <is>
          <t>A 44389-2021</t>
        </is>
      </c>
      <c r="B53" s="1" t="n">
        <v>44435</v>
      </c>
      <c r="C53" s="1" t="n">
        <v>45976</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11501-2025</t>
        </is>
      </c>
      <c r="B54" s="1" t="n">
        <v>45726</v>
      </c>
      <c r="C54" s="1" t="n">
        <v>45976</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57920-2024</t>
        </is>
      </c>
      <c r="B55" s="1" t="n">
        <v>45631.50894675926</v>
      </c>
      <c r="C55" s="1" t="n">
        <v>45976</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42636-2023</t>
        </is>
      </c>
      <c r="B56" s="1" t="n">
        <v>45181.49559027778</v>
      </c>
      <c r="C56" s="1" t="n">
        <v>45976</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45976</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2077-2023</t>
        </is>
      </c>
      <c r="B58" s="1" t="n">
        <v>44939</v>
      </c>
      <c r="C58" s="1" t="n">
        <v>45976</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15621-2021</t>
        </is>
      </c>
      <c r="B59" s="1" t="n">
        <v>44285</v>
      </c>
      <c r="C59" s="1" t="n">
        <v>45976</v>
      </c>
      <c r="D59" t="inlineStr">
        <is>
          <t>ÖREBRO LÄN</t>
        </is>
      </c>
      <c r="E59" t="inlineStr">
        <is>
          <t>ÖREBRO</t>
        </is>
      </c>
      <c r="G59" t="n">
        <v>2.8</v>
      </c>
      <c r="H59" t="n">
        <v>1</v>
      </c>
      <c r="I59" t="n">
        <v>0</v>
      </c>
      <c r="J59" t="n">
        <v>0</v>
      </c>
      <c r="K59" t="n">
        <v>0</v>
      </c>
      <c r="L59" t="n">
        <v>0</v>
      </c>
      <c r="M59" t="n">
        <v>0</v>
      </c>
      <c r="N59" t="n">
        <v>0</v>
      </c>
      <c r="O59" t="n">
        <v>0</v>
      </c>
      <c r="P59" t="n">
        <v>0</v>
      </c>
      <c r="Q59" t="n">
        <v>1</v>
      </c>
      <c r="R59" s="2" t="inlineStr">
        <is>
          <t>Fläcknycklar</t>
        </is>
      </c>
      <c r="S59">
        <f>HYPERLINK("https://klasma.github.io/Logging_1880/artfynd/A 15621-2021 artfynd.xlsx", "A 15621-2021")</f>
        <v/>
      </c>
      <c r="T59">
        <f>HYPERLINK("https://klasma.github.io/Logging_1880/kartor/A 15621-2021 karta.png", "A 15621-2021")</f>
        <v/>
      </c>
      <c r="V59">
        <f>HYPERLINK("https://klasma.github.io/Logging_1880/klagomål/A 15621-2021 FSC-klagomål.docx", "A 15621-2021")</f>
        <v/>
      </c>
      <c r="W59">
        <f>HYPERLINK("https://klasma.github.io/Logging_1880/klagomålsmail/A 15621-2021 FSC-klagomål mail.docx", "A 15621-2021")</f>
        <v/>
      </c>
      <c r="X59">
        <f>HYPERLINK("https://klasma.github.io/Logging_1880/tillsyn/A 15621-2021 tillsynsbegäran.docx", "A 15621-2021")</f>
        <v/>
      </c>
      <c r="Y59">
        <f>HYPERLINK("https://klasma.github.io/Logging_1880/tillsynsmail/A 15621-2021 tillsynsbegäran mail.docx", "A 15621-2021")</f>
        <v/>
      </c>
    </row>
    <row r="60" ht="15" customHeight="1">
      <c r="A60" t="inlineStr">
        <is>
          <t>A 28936-2025</t>
        </is>
      </c>
      <c r="B60" s="1" t="n">
        <v>45820.69287037037</v>
      </c>
      <c r="C60" s="1" t="n">
        <v>45976</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30725-2023</t>
        </is>
      </c>
      <c r="B61" s="1" t="n">
        <v>45112.61451388889</v>
      </c>
      <c r="C61" s="1" t="n">
        <v>45976</v>
      </c>
      <c r="D61" t="inlineStr">
        <is>
          <t>ÖREBRO LÄN</t>
        </is>
      </c>
      <c r="E61" t="inlineStr">
        <is>
          <t>ÖREBRO</t>
        </is>
      </c>
      <c r="G61" t="n">
        <v>1.8</v>
      </c>
      <c r="H61" t="n">
        <v>1</v>
      </c>
      <c r="I61" t="n">
        <v>0</v>
      </c>
      <c r="J61" t="n">
        <v>1</v>
      </c>
      <c r="K61" t="n">
        <v>0</v>
      </c>
      <c r="L61" t="n">
        <v>0</v>
      </c>
      <c r="M61" t="n">
        <v>0</v>
      </c>
      <c r="N61" t="n">
        <v>0</v>
      </c>
      <c r="O61" t="n">
        <v>1</v>
      </c>
      <c r="P61" t="n">
        <v>0</v>
      </c>
      <c r="Q61" t="n">
        <v>1</v>
      </c>
      <c r="R61" s="2" t="inlineStr">
        <is>
          <t>Gulsparv</t>
        </is>
      </c>
      <c r="S61">
        <f>HYPERLINK("https://klasma.github.io/Logging_1880/artfynd/A 30725-2023 artfynd.xlsx", "A 30725-2023")</f>
        <v/>
      </c>
      <c r="T61">
        <f>HYPERLINK("https://klasma.github.io/Logging_1880/kartor/A 30725-2023 karta.png", "A 30725-2023")</f>
        <v/>
      </c>
      <c r="V61">
        <f>HYPERLINK("https://klasma.github.io/Logging_1880/klagomål/A 30725-2023 FSC-klagomål.docx", "A 30725-2023")</f>
        <v/>
      </c>
      <c r="W61">
        <f>HYPERLINK("https://klasma.github.io/Logging_1880/klagomålsmail/A 30725-2023 FSC-klagomål mail.docx", "A 30725-2023")</f>
        <v/>
      </c>
      <c r="X61">
        <f>HYPERLINK("https://klasma.github.io/Logging_1880/tillsyn/A 30725-2023 tillsynsbegäran.docx", "A 30725-2023")</f>
        <v/>
      </c>
      <c r="Y61">
        <f>HYPERLINK("https://klasma.github.io/Logging_1880/tillsynsmail/A 30725-2023 tillsynsbegäran mail.docx", "A 30725-2023")</f>
        <v/>
      </c>
      <c r="Z61">
        <f>HYPERLINK("https://klasma.github.io/Logging_1880/fåglar/A 30725-2023 prioriterade fågelarter.docx", "A 30725-2023")</f>
        <v/>
      </c>
    </row>
    <row r="62" ht="15" customHeight="1">
      <c r="A62" t="inlineStr">
        <is>
          <t>A 32204-2025</t>
        </is>
      </c>
      <c r="B62" s="1" t="n">
        <v>45835.58074074074</v>
      </c>
      <c r="C62" s="1" t="n">
        <v>45976</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32226-2025</t>
        </is>
      </c>
      <c r="B63" s="1" t="n">
        <v>45835.59478009259</v>
      </c>
      <c r="C63" s="1" t="n">
        <v>45976</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9406-2021</t>
        </is>
      </c>
      <c r="B64" s="1" t="n">
        <v>44251</v>
      </c>
      <c r="C64" s="1" t="n">
        <v>45976</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45976</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45976</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45976</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45976</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45976</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45976</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45976</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45976</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45976</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45976</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45976</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45976</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45976</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45976</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45976</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65592-2020</t>
        </is>
      </c>
      <c r="B80" s="1" t="n">
        <v>44173</v>
      </c>
      <c r="C80" s="1" t="n">
        <v>45976</v>
      </c>
      <c r="D80" t="inlineStr">
        <is>
          <t>ÖREBRO LÄN</t>
        </is>
      </c>
      <c r="E80" t="inlineStr">
        <is>
          <t>ÖREBRO</t>
        </is>
      </c>
      <c r="G80" t="n">
        <v>8.9</v>
      </c>
      <c r="H80" t="n">
        <v>0</v>
      </c>
      <c r="I80" t="n">
        <v>0</v>
      </c>
      <c r="J80" t="n">
        <v>0</v>
      </c>
      <c r="K80" t="n">
        <v>0</v>
      </c>
      <c r="L80" t="n">
        <v>0</v>
      </c>
      <c r="M80" t="n">
        <v>0</v>
      </c>
      <c r="N80" t="n">
        <v>0</v>
      </c>
      <c r="O80" t="n">
        <v>0</v>
      </c>
      <c r="P80" t="n">
        <v>0</v>
      </c>
      <c r="Q80" t="n">
        <v>0</v>
      </c>
      <c r="R80" s="2" t="inlineStr"/>
    </row>
    <row r="81" ht="15" customHeight="1">
      <c r="A81" t="inlineStr">
        <is>
          <t>A 13193-2021</t>
        </is>
      </c>
      <c r="B81" s="1" t="n">
        <v>44272.55052083333</v>
      </c>
      <c r="C81" s="1" t="n">
        <v>45976</v>
      </c>
      <c r="D81" t="inlineStr">
        <is>
          <t>ÖREBRO LÄN</t>
        </is>
      </c>
      <c r="E81" t="inlineStr">
        <is>
          <t>ÖREBRO</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45976</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45976</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45976</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45976</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45976</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45976</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45976</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45976</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12433-2021</t>
        </is>
      </c>
      <c r="B90" s="1" t="n">
        <v>44267</v>
      </c>
      <c r="C90" s="1" t="n">
        <v>45976</v>
      </c>
      <c r="D90" t="inlineStr">
        <is>
          <t>ÖREBRO LÄN</t>
        </is>
      </c>
      <c r="E90" t="inlineStr">
        <is>
          <t>ÖREBRO</t>
        </is>
      </c>
      <c r="F90" t="inlineStr">
        <is>
          <t>Kommuner</t>
        </is>
      </c>
      <c r="G90" t="n">
        <v>1</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45976</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45976</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45976</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67627-2020</t>
        </is>
      </c>
      <c r="B94" s="1" t="n">
        <v>44182</v>
      </c>
      <c r="C94" s="1" t="n">
        <v>45976</v>
      </c>
      <c r="D94" t="inlineStr">
        <is>
          <t>ÖREBRO LÄN</t>
        </is>
      </c>
      <c r="E94" t="inlineStr">
        <is>
          <t>ÖREBRO</t>
        </is>
      </c>
      <c r="G94" t="n">
        <v>1.4</v>
      </c>
      <c r="H94" t="n">
        <v>0</v>
      </c>
      <c r="I94" t="n">
        <v>0</v>
      </c>
      <c r="J94" t="n">
        <v>0</v>
      </c>
      <c r="K94" t="n">
        <v>0</v>
      </c>
      <c r="L94" t="n">
        <v>0</v>
      </c>
      <c r="M94" t="n">
        <v>0</v>
      </c>
      <c r="N94" t="n">
        <v>0</v>
      </c>
      <c r="O94" t="n">
        <v>0</v>
      </c>
      <c r="P94" t="n">
        <v>0</v>
      </c>
      <c r="Q94" t="n">
        <v>0</v>
      </c>
      <c r="R94" s="2" t="inlineStr"/>
    </row>
    <row r="95" ht="15" customHeight="1">
      <c r="A95" t="inlineStr">
        <is>
          <t>A 55012-2022</t>
        </is>
      </c>
      <c r="B95" s="1" t="n">
        <v>44886.52833333334</v>
      </c>
      <c r="C95" s="1" t="n">
        <v>45976</v>
      </c>
      <c r="D95" t="inlineStr">
        <is>
          <t>ÖREBRO LÄN</t>
        </is>
      </c>
      <c r="E95" t="inlineStr">
        <is>
          <t>ÖREBRO</t>
        </is>
      </c>
      <c r="G95" t="n">
        <v>5.1</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45976</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45976</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45976</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45976</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45976</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45976</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4021-2021</t>
        </is>
      </c>
      <c r="B102" s="1" t="n">
        <v>44218</v>
      </c>
      <c r="C102" s="1" t="n">
        <v>45976</v>
      </c>
      <c r="D102" t="inlineStr">
        <is>
          <t>ÖREBRO LÄN</t>
        </is>
      </c>
      <c r="E102" t="inlineStr">
        <is>
          <t>ÖREBRO</t>
        </is>
      </c>
      <c r="G102" t="n">
        <v>5.3</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45976</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45976</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45976</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45976</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45976</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45976</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45976</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45976</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60150-2020</t>
        </is>
      </c>
      <c r="B111" s="1" t="n">
        <v>44152</v>
      </c>
      <c r="C111" s="1" t="n">
        <v>45976</v>
      </c>
      <c r="D111" t="inlineStr">
        <is>
          <t>ÖREBRO LÄN</t>
        </is>
      </c>
      <c r="E111" t="inlineStr">
        <is>
          <t>ÖREBRO</t>
        </is>
      </c>
      <c r="G111" t="n">
        <v>1.6</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45976</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45976</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45976</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45976</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45976</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45976</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18321-2022</t>
        </is>
      </c>
      <c r="B118" s="1" t="n">
        <v>44685</v>
      </c>
      <c r="C118" s="1" t="n">
        <v>45976</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18047-2022</t>
        </is>
      </c>
      <c r="B119" s="1" t="n">
        <v>44684</v>
      </c>
      <c r="C119" s="1" t="n">
        <v>45976</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57343-2021</t>
        </is>
      </c>
      <c r="B120" s="1" t="n">
        <v>44482</v>
      </c>
      <c r="C120" s="1" t="n">
        <v>45976</v>
      </c>
      <c r="D120" t="inlineStr">
        <is>
          <t>ÖREBRO LÄN</t>
        </is>
      </c>
      <c r="E120" t="inlineStr">
        <is>
          <t>ÖREBRO</t>
        </is>
      </c>
      <c r="G120" t="n">
        <v>3.3</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45976</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45976</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26509-2021</t>
        </is>
      </c>
      <c r="B123" s="1" t="n">
        <v>44348.45107638889</v>
      </c>
      <c r="C123" s="1" t="n">
        <v>45976</v>
      </c>
      <c r="D123" t="inlineStr">
        <is>
          <t>ÖREBRO LÄN</t>
        </is>
      </c>
      <c r="E123" t="inlineStr">
        <is>
          <t>ÖREBRO</t>
        </is>
      </c>
      <c r="G123" t="n">
        <v>2.5</v>
      </c>
      <c r="H123" t="n">
        <v>0</v>
      </c>
      <c r="I123" t="n">
        <v>0</v>
      </c>
      <c r="J123" t="n">
        <v>0</v>
      </c>
      <c r="K123" t="n">
        <v>0</v>
      </c>
      <c r="L123" t="n">
        <v>0</v>
      </c>
      <c r="M123" t="n">
        <v>0</v>
      </c>
      <c r="N123" t="n">
        <v>0</v>
      </c>
      <c r="O123" t="n">
        <v>0</v>
      </c>
      <c r="P123" t="n">
        <v>0</v>
      </c>
      <c r="Q123" t="n">
        <v>0</v>
      </c>
      <c r="R123" s="2" t="inlineStr"/>
    </row>
    <row r="124" ht="15" customHeight="1">
      <c r="A124" t="inlineStr">
        <is>
          <t>A 4766-2022</t>
        </is>
      </c>
      <c r="B124" s="1" t="n">
        <v>44592</v>
      </c>
      <c r="C124" s="1" t="n">
        <v>45976</v>
      </c>
      <c r="D124" t="inlineStr">
        <is>
          <t>ÖREBRO LÄN</t>
        </is>
      </c>
      <c r="E124" t="inlineStr">
        <is>
          <t>ÖREBRO</t>
        </is>
      </c>
      <c r="G124" t="n">
        <v>2.9</v>
      </c>
      <c r="H124" t="n">
        <v>0</v>
      </c>
      <c r="I124" t="n">
        <v>0</v>
      </c>
      <c r="J124" t="n">
        <v>0</v>
      </c>
      <c r="K124" t="n">
        <v>0</v>
      </c>
      <c r="L124" t="n">
        <v>0</v>
      </c>
      <c r="M124" t="n">
        <v>0</v>
      </c>
      <c r="N124" t="n">
        <v>0</v>
      </c>
      <c r="O124" t="n">
        <v>0</v>
      </c>
      <c r="P124" t="n">
        <v>0</v>
      </c>
      <c r="Q124" t="n">
        <v>0</v>
      </c>
      <c r="R124" s="2" t="inlineStr"/>
    </row>
    <row r="125" ht="15" customHeight="1">
      <c r="A125" t="inlineStr">
        <is>
          <t>A 40312-2021</t>
        </is>
      </c>
      <c r="B125" s="1" t="n">
        <v>44419</v>
      </c>
      <c r="C125" s="1" t="n">
        <v>45976</v>
      </c>
      <c r="D125" t="inlineStr">
        <is>
          <t>ÖREBRO LÄN</t>
        </is>
      </c>
      <c r="E125" t="inlineStr">
        <is>
          <t>ÖREBRO</t>
        </is>
      </c>
      <c r="F125" t="inlineStr">
        <is>
          <t>Övriga Aktiebolag</t>
        </is>
      </c>
      <c r="G125" t="n">
        <v>2.6</v>
      </c>
      <c r="H125" t="n">
        <v>0</v>
      </c>
      <c r="I125" t="n">
        <v>0</v>
      </c>
      <c r="J125" t="n">
        <v>0</v>
      </c>
      <c r="K125" t="n">
        <v>0</v>
      </c>
      <c r="L125" t="n">
        <v>0</v>
      </c>
      <c r="M125" t="n">
        <v>0</v>
      </c>
      <c r="N125" t="n">
        <v>0</v>
      </c>
      <c r="O125" t="n">
        <v>0</v>
      </c>
      <c r="P125" t="n">
        <v>0</v>
      </c>
      <c r="Q125" t="n">
        <v>0</v>
      </c>
      <c r="R125" s="2" t="inlineStr"/>
    </row>
    <row r="126" ht="15" customHeight="1">
      <c r="A126" t="inlineStr">
        <is>
          <t>A 12478-2022</t>
        </is>
      </c>
      <c r="B126" s="1" t="n">
        <v>44638</v>
      </c>
      <c r="C126" s="1" t="n">
        <v>45976</v>
      </c>
      <c r="D126" t="inlineStr">
        <is>
          <t>ÖREBRO LÄN</t>
        </is>
      </c>
      <c r="E126" t="inlineStr">
        <is>
          <t>ÖREBRO</t>
        </is>
      </c>
      <c r="F126" t="inlineStr">
        <is>
          <t>Kyrkan</t>
        </is>
      </c>
      <c r="G126" t="n">
        <v>1.4</v>
      </c>
      <c r="H126" t="n">
        <v>0</v>
      </c>
      <c r="I126" t="n">
        <v>0</v>
      </c>
      <c r="J126" t="n">
        <v>0</v>
      </c>
      <c r="K126" t="n">
        <v>0</v>
      </c>
      <c r="L126" t="n">
        <v>0</v>
      </c>
      <c r="M126" t="n">
        <v>0</v>
      </c>
      <c r="N126" t="n">
        <v>0</v>
      </c>
      <c r="O126" t="n">
        <v>0</v>
      </c>
      <c r="P126" t="n">
        <v>0</v>
      </c>
      <c r="Q126" t="n">
        <v>0</v>
      </c>
      <c r="R126" s="2" t="inlineStr"/>
    </row>
    <row r="127" ht="15" customHeight="1">
      <c r="A127" t="inlineStr">
        <is>
          <t>A 69613-2020</t>
        </is>
      </c>
      <c r="B127" s="1" t="n">
        <v>44195</v>
      </c>
      <c r="C127" s="1" t="n">
        <v>45976</v>
      </c>
      <c r="D127" t="inlineStr">
        <is>
          <t>ÖREBRO LÄN</t>
        </is>
      </c>
      <c r="E127" t="inlineStr">
        <is>
          <t>ÖREBRO</t>
        </is>
      </c>
      <c r="G127" t="n">
        <v>4.7</v>
      </c>
      <c r="H127" t="n">
        <v>0</v>
      </c>
      <c r="I127" t="n">
        <v>0</v>
      </c>
      <c r="J127" t="n">
        <v>0</v>
      </c>
      <c r="K127" t="n">
        <v>0</v>
      </c>
      <c r="L127" t="n">
        <v>0</v>
      </c>
      <c r="M127" t="n">
        <v>0</v>
      </c>
      <c r="N127" t="n">
        <v>0</v>
      </c>
      <c r="O127" t="n">
        <v>0</v>
      </c>
      <c r="P127" t="n">
        <v>0</v>
      </c>
      <c r="Q127" t="n">
        <v>0</v>
      </c>
      <c r="R127" s="2" t="inlineStr"/>
    </row>
    <row r="128" ht="15" customHeight="1">
      <c r="A128" t="inlineStr">
        <is>
          <t>A 5401-2022</t>
        </is>
      </c>
      <c r="B128" s="1" t="n">
        <v>44595</v>
      </c>
      <c r="C128" s="1" t="n">
        <v>45976</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row>
    <row r="129" ht="15" customHeight="1">
      <c r="A129" t="inlineStr">
        <is>
          <t>A 19468-2021</t>
        </is>
      </c>
      <c r="B129" s="1" t="n">
        <v>44311</v>
      </c>
      <c r="C129" s="1" t="n">
        <v>45976</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60311-2020</t>
        </is>
      </c>
      <c r="B130" s="1" t="n">
        <v>44151</v>
      </c>
      <c r="C130" s="1" t="n">
        <v>45976</v>
      </c>
      <c r="D130" t="inlineStr">
        <is>
          <t>ÖREBRO LÄN</t>
        </is>
      </c>
      <c r="E130" t="inlineStr">
        <is>
          <t>ÖREBRO</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23863-2023</t>
        </is>
      </c>
      <c r="B131" s="1" t="n">
        <v>45078.48994212963</v>
      </c>
      <c r="C131" s="1" t="n">
        <v>45976</v>
      </c>
      <c r="D131" t="inlineStr">
        <is>
          <t>ÖREBRO LÄN</t>
        </is>
      </c>
      <c r="E131" t="inlineStr">
        <is>
          <t>ÖREBRO</t>
        </is>
      </c>
      <c r="F131" t="inlineStr">
        <is>
          <t>Övriga Aktiebolag</t>
        </is>
      </c>
      <c r="G131" t="n">
        <v>5.9</v>
      </c>
      <c r="H131" t="n">
        <v>0</v>
      </c>
      <c r="I131" t="n">
        <v>0</v>
      </c>
      <c r="J131" t="n">
        <v>0</v>
      </c>
      <c r="K131" t="n">
        <v>0</v>
      </c>
      <c r="L131" t="n">
        <v>0</v>
      </c>
      <c r="M131" t="n">
        <v>0</v>
      </c>
      <c r="N131" t="n">
        <v>0</v>
      </c>
      <c r="O131" t="n">
        <v>0</v>
      </c>
      <c r="P131" t="n">
        <v>0</v>
      </c>
      <c r="Q131" t="n">
        <v>0</v>
      </c>
      <c r="R131" s="2" t="inlineStr"/>
    </row>
    <row r="132" ht="15" customHeight="1">
      <c r="A132" t="inlineStr">
        <is>
          <t>A 14053-2025</t>
        </is>
      </c>
      <c r="B132" s="1" t="n">
        <v>45739</v>
      </c>
      <c r="C132" s="1" t="n">
        <v>45976</v>
      </c>
      <c r="D132" t="inlineStr">
        <is>
          <t>ÖREBRO LÄN</t>
        </is>
      </c>
      <c r="E132" t="inlineStr">
        <is>
          <t>ÖREBRO</t>
        </is>
      </c>
      <c r="G132" t="n">
        <v>3.5</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45976</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10799-2024</t>
        </is>
      </c>
      <c r="B134" s="1" t="n">
        <v>45369</v>
      </c>
      <c r="C134" s="1" t="n">
        <v>45976</v>
      </c>
      <c r="D134" t="inlineStr">
        <is>
          <t>ÖREBRO LÄN</t>
        </is>
      </c>
      <c r="E134" t="inlineStr">
        <is>
          <t>ÖREBRO</t>
        </is>
      </c>
      <c r="G134" t="n">
        <v>5.8</v>
      </c>
      <c r="H134" t="n">
        <v>0</v>
      </c>
      <c r="I134" t="n">
        <v>0</v>
      </c>
      <c r="J134" t="n">
        <v>0</v>
      </c>
      <c r="K134" t="n">
        <v>0</v>
      </c>
      <c r="L134" t="n">
        <v>0</v>
      </c>
      <c r="M134" t="n">
        <v>0</v>
      </c>
      <c r="N134" t="n">
        <v>0</v>
      </c>
      <c r="O134" t="n">
        <v>0</v>
      </c>
      <c r="P134" t="n">
        <v>0</v>
      </c>
      <c r="Q134" t="n">
        <v>0</v>
      </c>
      <c r="R134" s="2" t="inlineStr"/>
    </row>
    <row r="135" ht="15" customHeight="1">
      <c r="A135" t="inlineStr">
        <is>
          <t>A 3087-2021</t>
        </is>
      </c>
      <c r="B135" s="1" t="n">
        <v>44216</v>
      </c>
      <c r="C135" s="1" t="n">
        <v>45976</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16258-2022</t>
        </is>
      </c>
      <c r="B136" s="1" t="n">
        <v>44670</v>
      </c>
      <c r="C136" s="1" t="n">
        <v>45976</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45976</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32231-2022</t>
        </is>
      </c>
      <c r="B138" s="1" t="n">
        <v>44781</v>
      </c>
      <c r="C138" s="1" t="n">
        <v>45976</v>
      </c>
      <c r="D138" t="inlineStr">
        <is>
          <t>ÖREBRO LÄN</t>
        </is>
      </c>
      <c r="E138" t="inlineStr">
        <is>
          <t>ÖREBRO</t>
        </is>
      </c>
      <c r="G138" t="n">
        <v>1</v>
      </c>
      <c r="H138" t="n">
        <v>0</v>
      </c>
      <c r="I138" t="n">
        <v>0</v>
      </c>
      <c r="J138" t="n">
        <v>0</v>
      </c>
      <c r="K138" t="n">
        <v>0</v>
      </c>
      <c r="L138" t="n">
        <v>0</v>
      </c>
      <c r="M138" t="n">
        <v>0</v>
      </c>
      <c r="N138" t="n">
        <v>0</v>
      </c>
      <c r="O138" t="n">
        <v>0</v>
      </c>
      <c r="P138" t="n">
        <v>0</v>
      </c>
      <c r="Q138" t="n">
        <v>0</v>
      </c>
      <c r="R138" s="2" t="inlineStr"/>
    </row>
    <row r="139" ht="15" customHeight="1">
      <c r="A139" t="inlineStr">
        <is>
          <t>A 32247-2022</t>
        </is>
      </c>
      <c r="B139" s="1" t="n">
        <v>44781</v>
      </c>
      <c r="C139" s="1" t="n">
        <v>45976</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44165-2022</t>
        </is>
      </c>
      <c r="B140" s="1" t="n">
        <v>44839</v>
      </c>
      <c r="C140" s="1" t="n">
        <v>45976</v>
      </c>
      <c r="D140" t="inlineStr">
        <is>
          <t>ÖREBRO LÄN</t>
        </is>
      </c>
      <c r="E140" t="inlineStr">
        <is>
          <t>ÖREBRO</t>
        </is>
      </c>
      <c r="G140" t="n">
        <v>0.5</v>
      </c>
      <c r="H140" t="n">
        <v>0</v>
      </c>
      <c r="I140" t="n">
        <v>0</v>
      </c>
      <c r="J140" t="n">
        <v>0</v>
      </c>
      <c r="K140" t="n">
        <v>0</v>
      </c>
      <c r="L140" t="n">
        <v>0</v>
      </c>
      <c r="M140" t="n">
        <v>0</v>
      </c>
      <c r="N140" t="n">
        <v>0</v>
      </c>
      <c r="O140" t="n">
        <v>0</v>
      </c>
      <c r="P140" t="n">
        <v>0</v>
      </c>
      <c r="Q140" t="n">
        <v>0</v>
      </c>
      <c r="R140" s="2" t="inlineStr"/>
    </row>
    <row r="141" ht="15" customHeight="1">
      <c r="A141" t="inlineStr">
        <is>
          <t>A 46757-2021</t>
        </is>
      </c>
      <c r="B141" s="1" t="n">
        <v>44445</v>
      </c>
      <c r="C141" s="1" t="n">
        <v>45976</v>
      </c>
      <c r="D141" t="inlineStr">
        <is>
          <t>ÖREBRO LÄN</t>
        </is>
      </c>
      <c r="E141" t="inlineStr">
        <is>
          <t>ÖREBRO</t>
        </is>
      </c>
      <c r="G141" t="n">
        <v>5.6</v>
      </c>
      <c r="H141" t="n">
        <v>0</v>
      </c>
      <c r="I141" t="n">
        <v>0</v>
      </c>
      <c r="J141" t="n">
        <v>0</v>
      </c>
      <c r="K141" t="n">
        <v>0</v>
      </c>
      <c r="L141" t="n">
        <v>0</v>
      </c>
      <c r="M141" t="n">
        <v>0</v>
      </c>
      <c r="N141" t="n">
        <v>0</v>
      </c>
      <c r="O141" t="n">
        <v>0</v>
      </c>
      <c r="P141" t="n">
        <v>0</v>
      </c>
      <c r="Q141" t="n">
        <v>0</v>
      </c>
      <c r="R141" s="2" t="inlineStr"/>
    </row>
    <row r="142" ht="15" customHeight="1">
      <c r="A142" t="inlineStr">
        <is>
          <t>A 9609-2023</t>
        </is>
      </c>
      <c r="B142" s="1" t="n">
        <v>44983.93344907407</v>
      </c>
      <c r="C142" s="1" t="n">
        <v>45976</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7117-2021</t>
        </is>
      </c>
      <c r="B143" s="1" t="n">
        <v>44238</v>
      </c>
      <c r="C143" s="1" t="n">
        <v>45976</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41553-2022</t>
        </is>
      </c>
      <c r="B144" s="1" t="n">
        <v>44827.3940625</v>
      </c>
      <c r="C144" s="1" t="n">
        <v>45976</v>
      </c>
      <c r="D144" t="inlineStr">
        <is>
          <t>ÖREBRO LÄN</t>
        </is>
      </c>
      <c r="E144" t="inlineStr">
        <is>
          <t>ÖREBRO</t>
        </is>
      </c>
      <c r="G144" t="n">
        <v>3.7</v>
      </c>
      <c r="H144" t="n">
        <v>0</v>
      </c>
      <c r="I144" t="n">
        <v>0</v>
      </c>
      <c r="J144" t="n">
        <v>0</v>
      </c>
      <c r="K144" t="n">
        <v>0</v>
      </c>
      <c r="L144" t="n">
        <v>0</v>
      </c>
      <c r="M144" t="n">
        <v>0</v>
      </c>
      <c r="N144" t="n">
        <v>0</v>
      </c>
      <c r="O144" t="n">
        <v>0</v>
      </c>
      <c r="P144" t="n">
        <v>0</v>
      </c>
      <c r="Q144" t="n">
        <v>0</v>
      </c>
      <c r="R144" s="2" t="inlineStr"/>
    </row>
    <row r="145" ht="15" customHeight="1">
      <c r="A145" t="inlineStr">
        <is>
          <t>A 14562-2022</t>
        </is>
      </c>
      <c r="B145" s="1" t="n">
        <v>44655</v>
      </c>
      <c r="C145" s="1" t="n">
        <v>45976</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61232-2021</t>
        </is>
      </c>
      <c r="B146" s="1" t="n">
        <v>44498</v>
      </c>
      <c r="C146" s="1" t="n">
        <v>45976</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57498-2021</t>
        </is>
      </c>
      <c r="B147" s="1" t="n">
        <v>44483</v>
      </c>
      <c r="C147" s="1" t="n">
        <v>45976</v>
      </c>
      <c r="D147" t="inlineStr">
        <is>
          <t>ÖREBRO LÄN</t>
        </is>
      </c>
      <c r="E147" t="inlineStr">
        <is>
          <t>ÖREBRO</t>
        </is>
      </c>
      <c r="F147" t="inlineStr">
        <is>
          <t>Övriga Aktiebolag</t>
        </is>
      </c>
      <c r="G147" t="n">
        <v>2.7</v>
      </c>
      <c r="H147" t="n">
        <v>0</v>
      </c>
      <c r="I147" t="n">
        <v>0</v>
      </c>
      <c r="J147" t="n">
        <v>0</v>
      </c>
      <c r="K147" t="n">
        <v>0</v>
      </c>
      <c r="L147" t="n">
        <v>0</v>
      </c>
      <c r="M147" t="n">
        <v>0</v>
      </c>
      <c r="N147" t="n">
        <v>0</v>
      </c>
      <c r="O147" t="n">
        <v>0</v>
      </c>
      <c r="P147" t="n">
        <v>0</v>
      </c>
      <c r="Q147" t="n">
        <v>0</v>
      </c>
      <c r="R147" s="2" t="inlineStr"/>
    </row>
    <row r="148" ht="15" customHeight="1">
      <c r="A148" t="inlineStr">
        <is>
          <t>A 19458-2022</t>
        </is>
      </c>
      <c r="B148" s="1" t="n">
        <v>44693</v>
      </c>
      <c r="C148" s="1" t="n">
        <v>45976</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5795-2024</t>
        </is>
      </c>
      <c r="B149" s="1" t="n">
        <v>45335.4531712963</v>
      </c>
      <c r="C149" s="1" t="n">
        <v>45976</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63247-2021</t>
        </is>
      </c>
      <c r="B150" s="1" t="n">
        <v>44505</v>
      </c>
      <c r="C150" s="1" t="n">
        <v>45976</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33814-2021</t>
        </is>
      </c>
      <c r="B151" s="1" t="n">
        <v>44378</v>
      </c>
      <c r="C151" s="1" t="n">
        <v>45976</v>
      </c>
      <c r="D151" t="inlineStr">
        <is>
          <t>ÖREBRO LÄN</t>
        </is>
      </c>
      <c r="E151" t="inlineStr">
        <is>
          <t>ÖREBRO</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45976</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13631-2022</t>
        </is>
      </c>
      <c r="B153" s="1" t="n">
        <v>44648</v>
      </c>
      <c r="C153" s="1" t="n">
        <v>45976</v>
      </c>
      <c r="D153" t="inlineStr">
        <is>
          <t>ÖREBRO LÄN</t>
        </is>
      </c>
      <c r="E153" t="inlineStr">
        <is>
          <t>ÖREBRO</t>
        </is>
      </c>
      <c r="G153" t="n">
        <v>10.4</v>
      </c>
      <c r="H153" t="n">
        <v>0</v>
      </c>
      <c r="I153" t="n">
        <v>0</v>
      </c>
      <c r="J153" t="n">
        <v>0</v>
      </c>
      <c r="K153" t="n">
        <v>0</v>
      </c>
      <c r="L153" t="n">
        <v>0</v>
      </c>
      <c r="M153" t="n">
        <v>0</v>
      </c>
      <c r="N153" t="n">
        <v>0</v>
      </c>
      <c r="O153" t="n">
        <v>0</v>
      </c>
      <c r="P153" t="n">
        <v>0</v>
      </c>
      <c r="Q153" t="n">
        <v>0</v>
      </c>
      <c r="R153" s="2" t="inlineStr"/>
    </row>
    <row r="154" ht="15" customHeight="1">
      <c r="A154" t="inlineStr">
        <is>
          <t>A 20121-2024</t>
        </is>
      </c>
      <c r="B154" s="1" t="n">
        <v>45434</v>
      </c>
      <c r="C154" s="1" t="n">
        <v>45976</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20150-2024</t>
        </is>
      </c>
      <c r="B155" s="1" t="n">
        <v>45434.57969907407</v>
      </c>
      <c r="C155" s="1" t="n">
        <v>45976</v>
      </c>
      <c r="D155" t="inlineStr">
        <is>
          <t>ÖREBRO LÄN</t>
        </is>
      </c>
      <c r="E155" t="inlineStr">
        <is>
          <t>ÖREBRO</t>
        </is>
      </c>
      <c r="G155" t="n">
        <v>0.5</v>
      </c>
      <c r="H155" t="n">
        <v>0</v>
      </c>
      <c r="I155" t="n">
        <v>0</v>
      </c>
      <c r="J155" t="n">
        <v>0</v>
      </c>
      <c r="K155" t="n">
        <v>0</v>
      </c>
      <c r="L155" t="n">
        <v>0</v>
      </c>
      <c r="M155" t="n">
        <v>0</v>
      </c>
      <c r="N155" t="n">
        <v>0</v>
      </c>
      <c r="O155" t="n">
        <v>0</v>
      </c>
      <c r="P155" t="n">
        <v>0</v>
      </c>
      <c r="Q155" t="n">
        <v>0</v>
      </c>
      <c r="R155" s="2" t="inlineStr"/>
    </row>
    <row r="156" ht="15" customHeight="1">
      <c r="A156" t="inlineStr">
        <is>
          <t>A 767-2024</t>
        </is>
      </c>
      <c r="B156" s="1" t="n">
        <v>45300.51892361111</v>
      </c>
      <c r="C156" s="1" t="n">
        <v>45976</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62651-2020</t>
        </is>
      </c>
      <c r="B157" s="1" t="n">
        <v>44161</v>
      </c>
      <c r="C157" s="1" t="n">
        <v>45976</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52441-2024</t>
        </is>
      </c>
      <c r="B158" s="1" t="n">
        <v>45609.48451388889</v>
      </c>
      <c r="C158" s="1" t="n">
        <v>45976</v>
      </c>
      <c r="D158" t="inlineStr">
        <is>
          <t>ÖREBRO LÄN</t>
        </is>
      </c>
      <c r="E158" t="inlineStr">
        <is>
          <t>ÖREBRO</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58611-2024</t>
        </is>
      </c>
      <c r="B159" s="1" t="n">
        <v>45635.55555555555</v>
      </c>
      <c r="C159" s="1" t="n">
        <v>45976</v>
      </c>
      <c r="D159" t="inlineStr">
        <is>
          <t>ÖREBRO LÄN</t>
        </is>
      </c>
      <c r="E159" t="inlineStr">
        <is>
          <t>ÖREBRO</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46834-2022</t>
        </is>
      </c>
      <c r="B160" s="1" t="n">
        <v>44851</v>
      </c>
      <c r="C160" s="1" t="n">
        <v>45976</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45976</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3789-2023</t>
        </is>
      </c>
      <c r="B162" s="1" t="n">
        <v>44951</v>
      </c>
      <c r="C162" s="1" t="n">
        <v>45976</v>
      </c>
      <c r="D162" t="inlineStr">
        <is>
          <t>ÖREBRO LÄN</t>
        </is>
      </c>
      <c r="E162" t="inlineStr">
        <is>
          <t>ÖREBRO</t>
        </is>
      </c>
      <c r="G162" t="n">
        <v>7.5</v>
      </c>
      <c r="H162" t="n">
        <v>0</v>
      </c>
      <c r="I162" t="n">
        <v>0</v>
      </c>
      <c r="J162" t="n">
        <v>0</v>
      </c>
      <c r="K162" t="n">
        <v>0</v>
      </c>
      <c r="L162" t="n">
        <v>0</v>
      </c>
      <c r="M162" t="n">
        <v>0</v>
      </c>
      <c r="N162" t="n">
        <v>0</v>
      </c>
      <c r="O162" t="n">
        <v>0</v>
      </c>
      <c r="P162" t="n">
        <v>0</v>
      </c>
      <c r="Q162" t="n">
        <v>0</v>
      </c>
      <c r="R162" s="2" t="inlineStr"/>
    </row>
    <row r="163" ht="15" customHeight="1">
      <c r="A163" t="inlineStr">
        <is>
          <t>A 6638-2022</t>
        </is>
      </c>
      <c r="B163" s="1" t="n">
        <v>44601</v>
      </c>
      <c r="C163" s="1" t="n">
        <v>45976</v>
      </c>
      <c r="D163" t="inlineStr">
        <is>
          <t>ÖREBRO LÄN</t>
        </is>
      </c>
      <c r="E163" t="inlineStr">
        <is>
          <t>ÖREBRO</t>
        </is>
      </c>
      <c r="G163" t="n">
        <v>3.3</v>
      </c>
      <c r="H163" t="n">
        <v>0</v>
      </c>
      <c r="I163" t="n">
        <v>0</v>
      </c>
      <c r="J163" t="n">
        <v>0</v>
      </c>
      <c r="K163" t="n">
        <v>0</v>
      </c>
      <c r="L163" t="n">
        <v>0</v>
      </c>
      <c r="M163" t="n">
        <v>0</v>
      </c>
      <c r="N163" t="n">
        <v>0</v>
      </c>
      <c r="O163" t="n">
        <v>0</v>
      </c>
      <c r="P163" t="n">
        <v>0</v>
      </c>
      <c r="Q163" t="n">
        <v>0</v>
      </c>
      <c r="R163" s="2" t="inlineStr"/>
    </row>
    <row r="164" ht="15" customHeight="1">
      <c r="A164" t="inlineStr">
        <is>
          <t>A 2153-2023</t>
        </is>
      </c>
      <c r="B164" s="1" t="n">
        <v>44941</v>
      </c>
      <c r="C164" s="1" t="n">
        <v>45976</v>
      </c>
      <c r="D164" t="inlineStr">
        <is>
          <t>ÖREBRO LÄN</t>
        </is>
      </c>
      <c r="E164" t="inlineStr">
        <is>
          <t>ÖREBRO</t>
        </is>
      </c>
      <c r="G164" t="n">
        <v>6.3</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45976</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45976</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57869-2024</t>
        </is>
      </c>
      <c r="B167" s="1" t="n">
        <v>45631.44207175926</v>
      </c>
      <c r="C167" s="1" t="n">
        <v>45976</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11565-2023</t>
        </is>
      </c>
      <c r="B168" s="1" t="n">
        <v>44994</v>
      </c>
      <c r="C168" s="1" t="n">
        <v>45976</v>
      </c>
      <c r="D168" t="inlineStr">
        <is>
          <t>ÖREBRO LÄN</t>
        </is>
      </c>
      <c r="E168" t="inlineStr">
        <is>
          <t>ÖREBRO</t>
        </is>
      </c>
      <c r="G168" t="n">
        <v>4.7</v>
      </c>
      <c r="H168" t="n">
        <v>0</v>
      </c>
      <c r="I168" t="n">
        <v>0</v>
      </c>
      <c r="J168" t="n">
        <v>0</v>
      </c>
      <c r="K168" t="n">
        <v>0</v>
      </c>
      <c r="L168" t="n">
        <v>0</v>
      </c>
      <c r="M168" t="n">
        <v>0</v>
      </c>
      <c r="N168" t="n">
        <v>0</v>
      </c>
      <c r="O168" t="n">
        <v>0</v>
      </c>
      <c r="P168" t="n">
        <v>0</v>
      </c>
      <c r="Q168" t="n">
        <v>0</v>
      </c>
      <c r="R168" s="2" t="inlineStr"/>
    </row>
    <row r="169" ht="15" customHeight="1">
      <c r="A169" t="inlineStr">
        <is>
          <t>A 38075-2022</t>
        </is>
      </c>
      <c r="B169" s="1" t="n">
        <v>44811</v>
      </c>
      <c r="C169" s="1" t="n">
        <v>45976</v>
      </c>
      <c r="D169" t="inlineStr">
        <is>
          <t>ÖREBRO LÄN</t>
        </is>
      </c>
      <c r="E169" t="inlineStr">
        <is>
          <t>ÖREBRO</t>
        </is>
      </c>
      <c r="G169" t="n">
        <v>0.2</v>
      </c>
      <c r="H169" t="n">
        <v>0</v>
      </c>
      <c r="I169" t="n">
        <v>0</v>
      </c>
      <c r="J169" t="n">
        <v>0</v>
      </c>
      <c r="K169" t="n">
        <v>0</v>
      </c>
      <c r="L169" t="n">
        <v>0</v>
      </c>
      <c r="M169" t="n">
        <v>0</v>
      </c>
      <c r="N169" t="n">
        <v>0</v>
      </c>
      <c r="O169" t="n">
        <v>0</v>
      </c>
      <c r="P169" t="n">
        <v>0</v>
      </c>
      <c r="Q169" t="n">
        <v>0</v>
      </c>
      <c r="R169" s="2" t="inlineStr"/>
    </row>
    <row r="170" ht="15" customHeight="1">
      <c r="A170" t="inlineStr">
        <is>
          <t>A 30760-2022</t>
        </is>
      </c>
      <c r="B170" s="1" t="n">
        <v>44764.51827546296</v>
      </c>
      <c r="C170" s="1" t="n">
        <v>45976</v>
      </c>
      <c r="D170" t="inlineStr">
        <is>
          <t>ÖREBRO LÄN</t>
        </is>
      </c>
      <c r="E170" t="inlineStr">
        <is>
          <t>ÖREBRO</t>
        </is>
      </c>
      <c r="G170" t="n">
        <v>4</v>
      </c>
      <c r="H170" t="n">
        <v>0</v>
      </c>
      <c r="I170" t="n">
        <v>0</v>
      </c>
      <c r="J170" t="n">
        <v>0</v>
      </c>
      <c r="K170" t="n">
        <v>0</v>
      </c>
      <c r="L170" t="n">
        <v>0</v>
      </c>
      <c r="M170" t="n">
        <v>0</v>
      </c>
      <c r="N170" t="n">
        <v>0</v>
      </c>
      <c r="O170" t="n">
        <v>0</v>
      </c>
      <c r="P170" t="n">
        <v>0</v>
      </c>
      <c r="Q170" t="n">
        <v>0</v>
      </c>
      <c r="R170" s="2" t="inlineStr"/>
    </row>
    <row r="171" ht="15" customHeight="1">
      <c r="A171" t="inlineStr">
        <is>
          <t>A 19831-2021</t>
        </is>
      </c>
      <c r="B171" s="1" t="n">
        <v>44313</v>
      </c>
      <c r="C171" s="1" t="n">
        <v>45976</v>
      </c>
      <c r="D171" t="inlineStr">
        <is>
          <t>ÖREBRO LÄN</t>
        </is>
      </c>
      <c r="E171" t="inlineStr">
        <is>
          <t>ÖREBRO</t>
        </is>
      </c>
      <c r="G171" t="n">
        <v>3.2</v>
      </c>
      <c r="H171" t="n">
        <v>0</v>
      </c>
      <c r="I171" t="n">
        <v>0</v>
      </c>
      <c r="J171" t="n">
        <v>0</v>
      </c>
      <c r="K171" t="n">
        <v>0</v>
      </c>
      <c r="L171" t="n">
        <v>0</v>
      </c>
      <c r="M171" t="n">
        <v>0</v>
      </c>
      <c r="N171" t="n">
        <v>0</v>
      </c>
      <c r="O171" t="n">
        <v>0</v>
      </c>
      <c r="P171" t="n">
        <v>0</v>
      </c>
      <c r="Q171" t="n">
        <v>0</v>
      </c>
      <c r="R171" s="2" t="inlineStr"/>
    </row>
    <row r="172" ht="15" customHeight="1">
      <c r="A172" t="inlineStr">
        <is>
          <t>A 5133-2024</t>
        </is>
      </c>
      <c r="B172" s="1" t="n">
        <v>45330</v>
      </c>
      <c r="C172" s="1" t="n">
        <v>45976</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29490-2022</t>
        </is>
      </c>
      <c r="B173" s="1" t="n">
        <v>44753</v>
      </c>
      <c r="C173" s="1" t="n">
        <v>45976</v>
      </c>
      <c r="D173" t="inlineStr">
        <is>
          <t>ÖREBRO LÄN</t>
        </is>
      </c>
      <c r="E173" t="inlineStr">
        <is>
          <t>ÖREBRO</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58219-2024</t>
        </is>
      </c>
      <c r="B174" s="1" t="n">
        <v>45632</v>
      </c>
      <c r="C174" s="1" t="n">
        <v>45976</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58539-2024</t>
        </is>
      </c>
      <c r="B175" s="1" t="n">
        <v>45635.45157407408</v>
      </c>
      <c r="C175" s="1" t="n">
        <v>45976</v>
      </c>
      <c r="D175" t="inlineStr">
        <is>
          <t>ÖREBRO LÄN</t>
        </is>
      </c>
      <c r="E175" t="inlineStr">
        <is>
          <t>ÖREBRO</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37395-2021</t>
        </is>
      </c>
      <c r="B176" s="1" t="n">
        <v>44398</v>
      </c>
      <c r="C176" s="1" t="n">
        <v>45976</v>
      </c>
      <c r="D176" t="inlineStr">
        <is>
          <t>ÖREBRO LÄN</t>
        </is>
      </c>
      <c r="E176" t="inlineStr">
        <is>
          <t>ÖREBRO</t>
        </is>
      </c>
      <c r="G176" t="n">
        <v>3</v>
      </c>
      <c r="H176" t="n">
        <v>0</v>
      </c>
      <c r="I176" t="n">
        <v>0</v>
      </c>
      <c r="J176" t="n">
        <v>0</v>
      </c>
      <c r="K176" t="n">
        <v>0</v>
      </c>
      <c r="L176" t="n">
        <v>0</v>
      </c>
      <c r="M176" t="n">
        <v>0</v>
      </c>
      <c r="N176" t="n">
        <v>0</v>
      </c>
      <c r="O176" t="n">
        <v>0</v>
      </c>
      <c r="P176" t="n">
        <v>0</v>
      </c>
      <c r="Q176" t="n">
        <v>0</v>
      </c>
      <c r="R176" s="2" t="inlineStr"/>
    </row>
    <row r="177" ht="15" customHeight="1">
      <c r="A177" t="inlineStr">
        <is>
          <t>A 1647-2024</t>
        </is>
      </c>
      <c r="B177" s="1" t="n">
        <v>45306</v>
      </c>
      <c r="C177" s="1" t="n">
        <v>45976</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31906-2023</t>
        </is>
      </c>
      <c r="B178" s="1" t="n">
        <v>45118.8353125</v>
      </c>
      <c r="C178" s="1" t="n">
        <v>45976</v>
      </c>
      <c r="D178" t="inlineStr">
        <is>
          <t>ÖREBRO LÄN</t>
        </is>
      </c>
      <c r="E178" t="inlineStr">
        <is>
          <t>ÖREBRO</t>
        </is>
      </c>
      <c r="G178" t="n">
        <v>9</v>
      </c>
      <c r="H178" t="n">
        <v>0</v>
      </c>
      <c r="I178" t="n">
        <v>0</v>
      </c>
      <c r="J178" t="n">
        <v>0</v>
      </c>
      <c r="K178" t="n">
        <v>0</v>
      </c>
      <c r="L178" t="n">
        <v>0</v>
      </c>
      <c r="M178" t="n">
        <v>0</v>
      </c>
      <c r="N178" t="n">
        <v>0</v>
      </c>
      <c r="O178" t="n">
        <v>0</v>
      </c>
      <c r="P178" t="n">
        <v>0</v>
      </c>
      <c r="Q178" t="n">
        <v>0</v>
      </c>
      <c r="R178" s="2" t="inlineStr"/>
    </row>
    <row r="179" ht="15" customHeight="1">
      <c r="A179" t="inlineStr">
        <is>
          <t>A 66936-2021</t>
        </is>
      </c>
      <c r="B179" s="1" t="n">
        <v>44522.56349537037</v>
      </c>
      <c r="C179" s="1" t="n">
        <v>45976</v>
      </c>
      <c r="D179" t="inlineStr">
        <is>
          <t>ÖREBRO LÄN</t>
        </is>
      </c>
      <c r="E179" t="inlineStr">
        <is>
          <t>ÖREBRO</t>
        </is>
      </c>
      <c r="G179" t="n">
        <v>6.8</v>
      </c>
      <c r="H179" t="n">
        <v>0</v>
      </c>
      <c r="I179" t="n">
        <v>0</v>
      </c>
      <c r="J179" t="n">
        <v>0</v>
      </c>
      <c r="K179" t="n">
        <v>0</v>
      </c>
      <c r="L179" t="n">
        <v>0</v>
      </c>
      <c r="M179" t="n">
        <v>0</v>
      </c>
      <c r="N179" t="n">
        <v>0</v>
      </c>
      <c r="O179" t="n">
        <v>0</v>
      </c>
      <c r="P179" t="n">
        <v>0</v>
      </c>
      <c r="Q179" t="n">
        <v>0</v>
      </c>
      <c r="R179" s="2" t="inlineStr"/>
    </row>
    <row r="180" ht="15" customHeight="1">
      <c r="A180" t="inlineStr">
        <is>
          <t>A 44131-2022</t>
        </is>
      </c>
      <c r="B180" s="1" t="n">
        <v>44839</v>
      </c>
      <c r="C180" s="1" t="n">
        <v>45976</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58532-2024</t>
        </is>
      </c>
      <c r="B181" s="1" t="n">
        <v>45635.44899305556</v>
      </c>
      <c r="C181" s="1" t="n">
        <v>45976</v>
      </c>
      <c r="D181" t="inlineStr">
        <is>
          <t>ÖREBRO LÄN</t>
        </is>
      </c>
      <c r="E181" t="inlineStr">
        <is>
          <t>ÖREBRO</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31326-2024</t>
        </is>
      </c>
      <c r="B182" s="1" t="n">
        <v>45504.5934375</v>
      </c>
      <c r="C182" s="1" t="n">
        <v>45976</v>
      </c>
      <c r="D182" t="inlineStr">
        <is>
          <t>ÖREBRO LÄN</t>
        </is>
      </c>
      <c r="E182" t="inlineStr">
        <is>
          <t>ÖREBRO</t>
        </is>
      </c>
      <c r="G182" t="n">
        <v>6.4</v>
      </c>
      <c r="H182" t="n">
        <v>0</v>
      </c>
      <c r="I182" t="n">
        <v>0</v>
      </c>
      <c r="J182" t="n">
        <v>0</v>
      </c>
      <c r="K182" t="n">
        <v>0</v>
      </c>
      <c r="L182" t="n">
        <v>0</v>
      </c>
      <c r="M182" t="n">
        <v>0</v>
      </c>
      <c r="N182" t="n">
        <v>0</v>
      </c>
      <c r="O182" t="n">
        <v>0</v>
      </c>
      <c r="P182" t="n">
        <v>0</v>
      </c>
      <c r="Q182" t="n">
        <v>0</v>
      </c>
      <c r="R182" s="2" t="inlineStr"/>
    </row>
    <row r="183" ht="15" customHeight="1">
      <c r="A183" t="inlineStr">
        <is>
          <t>A 52477-2024</t>
        </is>
      </c>
      <c r="B183" s="1" t="n">
        <v>45609</v>
      </c>
      <c r="C183" s="1" t="n">
        <v>45976</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70719-2021</t>
        </is>
      </c>
      <c r="B184" s="1" t="n">
        <v>44537</v>
      </c>
      <c r="C184" s="1" t="n">
        <v>45976</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10368-2021</t>
        </is>
      </c>
      <c r="B185" s="1" t="n">
        <v>44257</v>
      </c>
      <c r="C185" s="1" t="n">
        <v>45976</v>
      </c>
      <c r="D185" t="inlineStr">
        <is>
          <t>ÖREBRO LÄN</t>
        </is>
      </c>
      <c r="E185" t="inlineStr">
        <is>
          <t>ÖREBRO</t>
        </is>
      </c>
      <c r="G185" t="n">
        <v>1.2</v>
      </c>
      <c r="H185" t="n">
        <v>0</v>
      </c>
      <c r="I185" t="n">
        <v>0</v>
      </c>
      <c r="J185" t="n">
        <v>0</v>
      </c>
      <c r="K185" t="n">
        <v>0</v>
      </c>
      <c r="L185" t="n">
        <v>0</v>
      </c>
      <c r="M185" t="n">
        <v>0</v>
      </c>
      <c r="N185" t="n">
        <v>0</v>
      </c>
      <c r="O185" t="n">
        <v>0</v>
      </c>
      <c r="P185" t="n">
        <v>0</v>
      </c>
      <c r="Q185" t="n">
        <v>0</v>
      </c>
      <c r="R185" s="2" t="inlineStr"/>
    </row>
    <row r="186" ht="15" customHeight="1">
      <c r="A186" t="inlineStr">
        <is>
          <t>A 16694-2025</t>
        </is>
      </c>
      <c r="B186" s="1" t="n">
        <v>45754.46480324074</v>
      </c>
      <c r="C186" s="1" t="n">
        <v>45976</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4284-2025</t>
        </is>
      </c>
      <c r="B187" s="1" t="n">
        <v>45685</v>
      </c>
      <c r="C187" s="1" t="n">
        <v>45976</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30374-2023</t>
        </is>
      </c>
      <c r="B188" s="1" t="n">
        <v>45111</v>
      </c>
      <c r="C188" s="1" t="n">
        <v>45976</v>
      </c>
      <c r="D188" t="inlineStr">
        <is>
          <t>ÖREBRO LÄN</t>
        </is>
      </c>
      <c r="E188" t="inlineStr">
        <is>
          <t>ÖREBRO</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2771-2023</t>
        </is>
      </c>
      <c r="B189" s="1" t="n">
        <v>44944.64704861111</v>
      </c>
      <c r="C189" s="1" t="n">
        <v>45976</v>
      </c>
      <c r="D189" t="inlineStr">
        <is>
          <t>ÖREBRO LÄN</t>
        </is>
      </c>
      <c r="E189" t="inlineStr">
        <is>
          <t>ÖREBRO</t>
        </is>
      </c>
      <c r="G189" t="n">
        <v>15.4</v>
      </c>
      <c r="H189" t="n">
        <v>0</v>
      </c>
      <c r="I189" t="n">
        <v>0</v>
      </c>
      <c r="J189" t="n">
        <v>0</v>
      </c>
      <c r="K189" t="n">
        <v>0</v>
      </c>
      <c r="L189" t="n">
        <v>0</v>
      </c>
      <c r="M189" t="n">
        <v>0</v>
      </c>
      <c r="N189" t="n">
        <v>0</v>
      </c>
      <c r="O189" t="n">
        <v>0</v>
      </c>
      <c r="P189" t="n">
        <v>0</v>
      </c>
      <c r="Q189" t="n">
        <v>0</v>
      </c>
      <c r="R189" s="2" t="inlineStr"/>
    </row>
    <row r="190" ht="15" customHeight="1">
      <c r="A190" t="inlineStr">
        <is>
          <t>A 38898-2023</t>
        </is>
      </c>
      <c r="B190" s="1" t="n">
        <v>45163</v>
      </c>
      <c r="C190" s="1" t="n">
        <v>45976</v>
      </c>
      <c r="D190" t="inlineStr">
        <is>
          <t>ÖREBRO LÄN</t>
        </is>
      </c>
      <c r="E190" t="inlineStr">
        <is>
          <t>ÖREBRO</t>
        </is>
      </c>
      <c r="G190" t="n">
        <v>5.1</v>
      </c>
      <c r="H190" t="n">
        <v>0</v>
      </c>
      <c r="I190" t="n">
        <v>0</v>
      </c>
      <c r="J190" t="n">
        <v>0</v>
      </c>
      <c r="K190" t="n">
        <v>0</v>
      </c>
      <c r="L190" t="n">
        <v>0</v>
      </c>
      <c r="M190" t="n">
        <v>0</v>
      </c>
      <c r="N190" t="n">
        <v>0</v>
      </c>
      <c r="O190" t="n">
        <v>0</v>
      </c>
      <c r="P190" t="n">
        <v>0</v>
      </c>
      <c r="Q190" t="n">
        <v>0</v>
      </c>
      <c r="R190" s="2" t="inlineStr"/>
    </row>
    <row r="191" ht="15" customHeight="1">
      <c r="A191" t="inlineStr">
        <is>
          <t>A 5764-2022</t>
        </is>
      </c>
      <c r="B191" s="1" t="n">
        <v>44596</v>
      </c>
      <c r="C191" s="1" t="n">
        <v>45976</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187-2024</t>
        </is>
      </c>
      <c r="B192" s="1" t="n">
        <v>45294</v>
      </c>
      <c r="C192" s="1" t="n">
        <v>45976</v>
      </c>
      <c r="D192" t="inlineStr">
        <is>
          <t>ÖREBRO LÄN</t>
        </is>
      </c>
      <c r="E192" t="inlineStr">
        <is>
          <t>ÖREBRO</t>
        </is>
      </c>
      <c r="G192" t="n">
        <v>5.9</v>
      </c>
      <c r="H192" t="n">
        <v>0</v>
      </c>
      <c r="I192" t="n">
        <v>0</v>
      </c>
      <c r="J192" t="n">
        <v>0</v>
      </c>
      <c r="K192" t="n">
        <v>0</v>
      </c>
      <c r="L192" t="n">
        <v>0</v>
      </c>
      <c r="M192" t="n">
        <v>0</v>
      </c>
      <c r="N192" t="n">
        <v>0</v>
      </c>
      <c r="O192" t="n">
        <v>0</v>
      </c>
      <c r="P192" t="n">
        <v>0</v>
      </c>
      <c r="Q192" t="n">
        <v>0</v>
      </c>
      <c r="R192" s="2" t="inlineStr"/>
    </row>
    <row r="193" ht="15" customHeight="1">
      <c r="A193" t="inlineStr">
        <is>
          <t>A 21036-2024</t>
        </is>
      </c>
      <c r="B193" s="1" t="n">
        <v>45439.65954861111</v>
      </c>
      <c r="C193" s="1" t="n">
        <v>45976</v>
      </c>
      <c r="D193" t="inlineStr">
        <is>
          <t>ÖREBRO LÄN</t>
        </is>
      </c>
      <c r="E193" t="inlineStr">
        <is>
          <t>ÖREBRO</t>
        </is>
      </c>
      <c r="F193" t="inlineStr">
        <is>
          <t>Övriga Aktiebolag</t>
        </is>
      </c>
      <c r="G193" t="n">
        <v>5.7</v>
      </c>
      <c r="H193" t="n">
        <v>0</v>
      </c>
      <c r="I193" t="n">
        <v>0</v>
      </c>
      <c r="J193" t="n">
        <v>0</v>
      </c>
      <c r="K193" t="n">
        <v>0</v>
      </c>
      <c r="L193" t="n">
        <v>0</v>
      </c>
      <c r="M193" t="n">
        <v>0</v>
      </c>
      <c r="N193" t="n">
        <v>0</v>
      </c>
      <c r="O193" t="n">
        <v>0</v>
      </c>
      <c r="P193" t="n">
        <v>0</v>
      </c>
      <c r="Q193" t="n">
        <v>0</v>
      </c>
      <c r="R193" s="2" t="inlineStr"/>
    </row>
    <row r="194" ht="15" customHeight="1">
      <c r="A194" t="inlineStr">
        <is>
          <t>A 2076-2025</t>
        </is>
      </c>
      <c r="B194" s="1" t="n">
        <v>45672</v>
      </c>
      <c r="C194" s="1" t="n">
        <v>45976</v>
      </c>
      <c r="D194" t="inlineStr">
        <is>
          <t>ÖREBRO LÄN</t>
        </is>
      </c>
      <c r="E194" t="inlineStr">
        <is>
          <t>ÖREBRO</t>
        </is>
      </c>
      <c r="G194" t="n">
        <v>1</v>
      </c>
      <c r="H194" t="n">
        <v>0</v>
      </c>
      <c r="I194" t="n">
        <v>0</v>
      </c>
      <c r="J194" t="n">
        <v>0</v>
      </c>
      <c r="K194" t="n">
        <v>0</v>
      </c>
      <c r="L194" t="n">
        <v>0</v>
      </c>
      <c r="M194" t="n">
        <v>0</v>
      </c>
      <c r="N194" t="n">
        <v>0</v>
      </c>
      <c r="O194" t="n">
        <v>0</v>
      </c>
      <c r="P194" t="n">
        <v>0</v>
      </c>
      <c r="Q194" t="n">
        <v>0</v>
      </c>
      <c r="R194" s="2" t="inlineStr"/>
    </row>
    <row r="195" ht="15" customHeight="1">
      <c r="A195" t="inlineStr">
        <is>
          <t>A 13762-2023</t>
        </is>
      </c>
      <c r="B195" s="1" t="n">
        <v>45007.43729166667</v>
      </c>
      <c r="C195" s="1" t="n">
        <v>45976</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60022-2024</t>
        </is>
      </c>
      <c r="B196" s="1" t="n">
        <v>45642</v>
      </c>
      <c r="C196" s="1" t="n">
        <v>45976</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58216-2024</t>
        </is>
      </c>
      <c r="B197" s="1" t="n">
        <v>45632</v>
      </c>
      <c r="C197" s="1" t="n">
        <v>45976</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3763-2025</t>
        </is>
      </c>
      <c r="B198" s="1" t="n">
        <v>45681</v>
      </c>
      <c r="C198" s="1" t="n">
        <v>45976</v>
      </c>
      <c r="D198" t="inlineStr">
        <is>
          <t>ÖREBRO LÄN</t>
        </is>
      </c>
      <c r="E198" t="inlineStr">
        <is>
          <t>ÖREBRO</t>
        </is>
      </c>
      <c r="G198" t="n">
        <v>10.1</v>
      </c>
      <c r="H198" t="n">
        <v>0</v>
      </c>
      <c r="I198" t="n">
        <v>0</v>
      </c>
      <c r="J198" t="n">
        <v>0</v>
      </c>
      <c r="K198" t="n">
        <v>0</v>
      </c>
      <c r="L198" t="n">
        <v>0</v>
      </c>
      <c r="M198" t="n">
        <v>0</v>
      </c>
      <c r="N198" t="n">
        <v>0</v>
      </c>
      <c r="O198" t="n">
        <v>0</v>
      </c>
      <c r="P198" t="n">
        <v>0</v>
      </c>
      <c r="Q198" t="n">
        <v>0</v>
      </c>
      <c r="R198" s="2" t="inlineStr"/>
    </row>
    <row r="199" ht="15" customHeight="1">
      <c r="A199" t="inlineStr">
        <is>
          <t>A 8332-2021</t>
        </is>
      </c>
      <c r="B199" s="1" t="n">
        <v>44244</v>
      </c>
      <c r="C199" s="1" t="n">
        <v>45976</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10470-2025</t>
        </is>
      </c>
      <c r="B200" s="1" t="n">
        <v>45720</v>
      </c>
      <c r="C200" s="1" t="n">
        <v>45976</v>
      </c>
      <c r="D200" t="inlineStr">
        <is>
          <t>ÖREBRO LÄN</t>
        </is>
      </c>
      <c r="E200" t="inlineStr">
        <is>
          <t>ÖREBRO</t>
        </is>
      </c>
      <c r="G200" t="n">
        <v>11.5</v>
      </c>
      <c r="H200" t="n">
        <v>0</v>
      </c>
      <c r="I200" t="n">
        <v>0</v>
      </c>
      <c r="J200" t="n">
        <v>0</v>
      </c>
      <c r="K200" t="n">
        <v>0</v>
      </c>
      <c r="L200" t="n">
        <v>0</v>
      </c>
      <c r="M200" t="n">
        <v>0</v>
      </c>
      <c r="N200" t="n">
        <v>0</v>
      </c>
      <c r="O200" t="n">
        <v>0</v>
      </c>
      <c r="P200" t="n">
        <v>0</v>
      </c>
      <c r="Q200" t="n">
        <v>0</v>
      </c>
      <c r="R200" s="2" t="inlineStr"/>
    </row>
    <row r="201" ht="15" customHeight="1">
      <c r="A201" t="inlineStr">
        <is>
          <t>A 1492-2022</t>
        </is>
      </c>
      <c r="B201" s="1" t="n">
        <v>44573</v>
      </c>
      <c r="C201" s="1" t="n">
        <v>45976</v>
      </c>
      <c r="D201" t="inlineStr">
        <is>
          <t>ÖREBRO LÄN</t>
        </is>
      </c>
      <c r="E201" t="inlineStr">
        <is>
          <t>ÖREBRO</t>
        </is>
      </c>
      <c r="G201" t="n">
        <v>1.3</v>
      </c>
      <c r="H201" t="n">
        <v>0</v>
      </c>
      <c r="I201" t="n">
        <v>0</v>
      </c>
      <c r="J201" t="n">
        <v>0</v>
      </c>
      <c r="K201" t="n">
        <v>0</v>
      </c>
      <c r="L201" t="n">
        <v>0</v>
      </c>
      <c r="M201" t="n">
        <v>0</v>
      </c>
      <c r="N201" t="n">
        <v>0</v>
      </c>
      <c r="O201" t="n">
        <v>0</v>
      </c>
      <c r="P201" t="n">
        <v>0</v>
      </c>
      <c r="Q201" t="n">
        <v>0</v>
      </c>
      <c r="R201" s="2" t="inlineStr"/>
    </row>
    <row r="202" ht="15" customHeight="1">
      <c r="A202" t="inlineStr">
        <is>
          <t>A 52623-2024</t>
        </is>
      </c>
      <c r="B202" s="1" t="n">
        <v>45609</v>
      </c>
      <c r="C202" s="1" t="n">
        <v>45976</v>
      </c>
      <c r="D202" t="inlineStr">
        <is>
          <t>ÖREBRO LÄN</t>
        </is>
      </c>
      <c r="E202" t="inlineStr">
        <is>
          <t>ÖREBRO</t>
        </is>
      </c>
      <c r="F202" t="inlineStr">
        <is>
          <t>Kommuner</t>
        </is>
      </c>
      <c r="G202" t="n">
        <v>1.7</v>
      </c>
      <c r="H202" t="n">
        <v>0</v>
      </c>
      <c r="I202" t="n">
        <v>0</v>
      </c>
      <c r="J202" t="n">
        <v>0</v>
      </c>
      <c r="K202" t="n">
        <v>0</v>
      </c>
      <c r="L202" t="n">
        <v>0</v>
      </c>
      <c r="M202" t="n">
        <v>0</v>
      </c>
      <c r="N202" t="n">
        <v>0</v>
      </c>
      <c r="O202" t="n">
        <v>0</v>
      </c>
      <c r="P202" t="n">
        <v>0</v>
      </c>
      <c r="Q202" t="n">
        <v>0</v>
      </c>
      <c r="R202" s="2" t="inlineStr"/>
    </row>
    <row r="203" ht="15" customHeight="1">
      <c r="A203" t="inlineStr">
        <is>
          <t>A 5324-2024</t>
        </is>
      </c>
      <c r="B203" s="1" t="n">
        <v>45331</v>
      </c>
      <c r="C203" s="1" t="n">
        <v>45976</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29554-2025</t>
        </is>
      </c>
      <c r="B204" s="1" t="n">
        <v>45825</v>
      </c>
      <c r="C204" s="1" t="n">
        <v>45976</v>
      </c>
      <c r="D204" t="inlineStr">
        <is>
          <t>ÖREBRO LÄN</t>
        </is>
      </c>
      <c r="E204" t="inlineStr">
        <is>
          <t>ÖREBRO</t>
        </is>
      </c>
      <c r="F204" t="inlineStr">
        <is>
          <t>Övriga Aktiebolag</t>
        </is>
      </c>
      <c r="G204" t="n">
        <v>1</v>
      </c>
      <c r="H204" t="n">
        <v>0</v>
      </c>
      <c r="I204" t="n">
        <v>0</v>
      </c>
      <c r="J204" t="n">
        <v>0</v>
      </c>
      <c r="K204" t="n">
        <v>0</v>
      </c>
      <c r="L204" t="n">
        <v>0</v>
      </c>
      <c r="M204" t="n">
        <v>0</v>
      </c>
      <c r="N204" t="n">
        <v>0</v>
      </c>
      <c r="O204" t="n">
        <v>0</v>
      </c>
      <c r="P204" t="n">
        <v>0</v>
      </c>
      <c r="Q204" t="n">
        <v>0</v>
      </c>
      <c r="R204" s="2" t="inlineStr"/>
    </row>
    <row r="205" ht="15" customHeight="1">
      <c r="A205" t="inlineStr">
        <is>
          <t>A 5946-2021</t>
        </is>
      </c>
      <c r="B205" s="1" t="n">
        <v>44230</v>
      </c>
      <c r="C205" s="1" t="n">
        <v>45976</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58615-2024</t>
        </is>
      </c>
      <c r="B206" s="1" t="n">
        <v>45635.5587037037</v>
      </c>
      <c r="C206" s="1" t="n">
        <v>45976</v>
      </c>
      <c r="D206" t="inlineStr">
        <is>
          <t>ÖREBRO LÄN</t>
        </is>
      </c>
      <c r="E206" t="inlineStr">
        <is>
          <t>ÖREBRO</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58620-2024</t>
        </is>
      </c>
      <c r="B207" s="1" t="n">
        <v>45635.56246527778</v>
      </c>
      <c r="C207" s="1" t="n">
        <v>45976</v>
      </c>
      <c r="D207" t="inlineStr">
        <is>
          <t>ÖREBRO LÄN</t>
        </is>
      </c>
      <c r="E207" t="inlineStr">
        <is>
          <t>ÖREBRO</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50026-2024</t>
        </is>
      </c>
      <c r="B208" s="1" t="n">
        <v>45599.60541666667</v>
      </c>
      <c r="C208" s="1" t="n">
        <v>45976</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1014-2024</t>
        </is>
      </c>
      <c r="B209" s="1" t="n">
        <v>45301</v>
      </c>
      <c r="C209" s="1" t="n">
        <v>45976</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30472-2022</t>
        </is>
      </c>
      <c r="B210" s="1" t="n">
        <v>44761.70467592592</v>
      </c>
      <c r="C210" s="1" t="n">
        <v>45976</v>
      </c>
      <c r="D210" t="inlineStr">
        <is>
          <t>ÖREBRO LÄN</t>
        </is>
      </c>
      <c r="E210" t="inlineStr">
        <is>
          <t>ÖREBRO</t>
        </is>
      </c>
      <c r="F210" t="inlineStr">
        <is>
          <t>Övriga Aktiebolag</t>
        </is>
      </c>
      <c r="G210" t="n">
        <v>5.6</v>
      </c>
      <c r="H210" t="n">
        <v>0</v>
      </c>
      <c r="I210" t="n">
        <v>0</v>
      </c>
      <c r="J210" t="n">
        <v>0</v>
      </c>
      <c r="K210" t="n">
        <v>0</v>
      </c>
      <c r="L210" t="n">
        <v>0</v>
      </c>
      <c r="M210" t="n">
        <v>0</v>
      </c>
      <c r="N210" t="n">
        <v>0</v>
      </c>
      <c r="O210" t="n">
        <v>0</v>
      </c>
      <c r="P210" t="n">
        <v>0</v>
      </c>
      <c r="Q210" t="n">
        <v>0</v>
      </c>
      <c r="R210" s="2" t="inlineStr"/>
    </row>
    <row r="211" ht="15" customHeight="1">
      <c r="A211" t="inlineStr">
        <is>
          <t>A 18360-2024</t>
        </is>
      </c>
      <c r="B211" s="1" t="n">
        <v>45422</v>
      </c>
      <c r="C211" s="1" t="n">
        <v>45976</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34056-2023</t>
        </is>
      </c>
      <c r="B212" s="1" t="n">
        <v>45135</v>
      </c>
      <c r="C212" s="1" t="n">
        <v>45976</v>
      </c>
      <c r="D212" t="inlineStr">
        <is>
          <t>ÖREBRO LÄN</t>
        </is>
      </c>
      <c r="E212" t="inlineStr">
        <is>
          <t>ÖREBRO</t>
        </is>
      </c>
      <c r="F212" t="inlineStr">
        <is>
          <t>Övriga Aktiebolag</t>
        </is>
      </c>
      <c r="G212" t="n">
        <v>4.1</v>
      </c>
      <c r="H212" t="n">
        <v>0</v>
      </c>
      <c r="I212" t="n">
        <v>0</v>
      </c>
      <c r="J212" t="n">
        <v>0</v>
      </c>
      <c r="K212" t="n">
        <v>0</v>
      </c>
      <c r="L212" t="n">
        <v>0</v>
      </c>
      <c r="M212" t="n">
        <v>0</v>
      </c>
      <c r="N212" t="n">
        <v>0</v>
      </c>
      <c r="O212" t="n">
        <v>0</v>
      </c>
      <c r="P212" t="n">
        <v>0</v>
      </c>
      <c r="Q212" t="n">
        <v>0</v>
      </c>
      <c r="R212" s="2" t="inlineStr"/>
    </row>
    <row r="213" ht="15" customHeight="1">
      <c r="A213" t="inlineStr">
        <is>
          <t>A 16676-2025</t>
        </is>
      </c>
      <c r="B213" s="1" t="n">
        <v>45754.44658564815</v>
      </c>
      <c r="C213" s="1" t="n">
        <v>45976</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43612-2022</t>
        </is>
      </c>
      <c r="B214" s="1" t="n">
        <v>44837</v>
      </c>
      <c r="C214" s="1" t="n">
        <v>45976</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51373-2023</t>
        </is>
      </c>
      <c r="B215" s="1" t="n">
        <v>45213</v>
      </c>
      <c r="C215" s="1" t="n">
        <v>45976</v>
      </c>
      <c r="D215" t="inlineStr">
        <is>
          <t>ÖREBRO LÄN</t>
        </is>
      </c>
      <c r="E215" t="inlineStr">
        <is>
          <t>ÖREBRO</t>
        </is>
      </c>
      <c r="G215" t="n">
        <v>5.9</v>
      </c>
      <c r="H215" t="n">
        <v>0</v>
      </c>
      <c r="I215" t="n">
        <v>0</v>
      </c>
      <c r="J215" t="n">
        <v>0</v>
      </c>
      <c r="K215" t="n">
        <v>0</v>
      </c>
      <c r="L215" t="n">
        <v>0</v>
      </c>
      <c r="M215" t="n">
        <v>0</v>
      </c>
      <c r="N215" t="n">
        <v>0</v>
      </c>
      <c r="O215" t="n">
        <v>0</v>
      </c>
      <c r="P215" t="n">
        <v>0</v>
      </c>
      <c r="Q215" t="n">
        <v>0</v>
      </c>
      <c r="R215" s="2" t="inlineStr"/>
    </row>
    <row r="216" ht="15" customHeight="1">
      <c r="A216" t="inlineStr">
        <is>
          <t>A 5357-2024</t>
        </is>
      </c>
      <c r="B216" s="1" t="n">
        <v>45331</v>
      </c>
      <c r="C216" s="1" t="n">
        <v>45976</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57243-2022</t>
        </is>
      </c>
      <c r="B217" s="1" t="n">
        <v>44895.71835648148</v>
      </c>
      <c r="C217" s="1" t="n">
        <v>45976</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35843-2022</t>
        </is>
      </c>
      <c r="B218" s="1" t="n">
        <v>44802</v>
      </c>
      <c r="C218" s="1" t="n">
        <v>45976</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13599-2025</t>
        </is>
      </c>
      <c r="B219" s="1" t="n">
        <v>45736.60597222222</v>
      </c>
      <c r="C219" s="1" t="n">
        <v>45976</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62794-2021</t>
        </is>
      </c>
      <c r="B220" s="1" t="n">
        <v>44504</v>
      </c>
      <c r="C220" s="1" t="n">
        <v>45976</v>
      </c>
      <c r="D220" t="inlineStr">
        <is>
          <t>ÖREBRO LÄN</t>
        </is>
      </c>
      <c r="E220" t="inlineStr">
        <is>
          <t>ÖREBRO</t>
        </is>
      </c>
      <c r="G220" t="n">
        <v>3.3</v>
      </c>
      <c r="H220" t="n">
        <v>0</v>
      </c>
      <c r="I220" t="n">
        <v>0</v>
      </c>
      <c r="J220" t="n">
        <v>0</v>
      </c>
      <c r="K220" t="n">
        <v>0</v>
      </c>
      <c r="L220" t="n">
        <v>0</v>
      </c>
      <c r="M220" t="n">
        <v>0</v>
      </c>
      <c r="N220" t="n">
        <v>0</v>
      </c>
      <c r="O220" t="n">
        <v>0</v>
      </c>
      <c r="P220" t="n">
        <v>0</v>
      </c>
      <c r="Q220" t="n">
        <v>0</v>
      </c>
      <c r="R220" s="2" t="inlineStr"/>
    </row>
    <row r="221" ht="15" customHeight="1">
      <c r="A221" t="inlineStr">
        <is>
          <t>A 20146-2024</t>
        </is>
      </c>
      <c r="B221" s="1" t="n">
        <v>45434.57641203704</v>
      </c>
      <c r="C221" s="1" t="n">
        <v>45976</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40051-2024</t>
        </is>
      </c>
      <c r="B222" s="1" t="n">
        <v>45553</v>
      </c>
      <c r="C222" s="1" t="n">
        <v>45976</v>
      </c>
      <c r="D222" t="inlineStr">
        <is>
          <t>ÖREBRO LÄN</t>
        </is>
      </c>
      <c r="E222" t="inlineStr">
        <is>
          <t>ÖREBRO</t>
        </is>
      </c>
      <c r="G222" t="n">
        <v>3.5</v>
      </c>
      <c r="H222" t="n">
        <v>0</v>
      </c>
      <c r="I222" t="n">
        <v>0</v>
      </c>
      <c r="J222" t="n">
        <v>0</v>
      </c>
      <c r="K222" t="n">
        <v>0</v>
      </c>
      <c r="L222" t="n">
        <v>0</v>
      </c>
      <c r="M222" t="n">
        <v>0</v>
      </c>
      <c r="N222" t="n">
        <v>0</v>
      </c>
      <c r="O222" t="n">
        <v>0</v>
      </c>
      <c r="P222" t="n">
        <v>0</v>
      </c>
      <c r="Q222" t="n">
        <v>0</v>
      </c>
      <c r="R222" s="2" t="inlineStr"/>
    </row>
    <row r="223" ht="15" customHeight="1">
      <c r="A223" t="inlineStr">
        <is>
          <t>A 19180-2025</t>
        </is>
      </c>
      <c r="B223" s="1" t="n">
        <v>45769.40133101852</v>
      </c>
      <c r="C223" s="1" t="n">
        <v>45976</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50446-2023</t>
        </is>
      </c>
      <c r="B224" s="1" t="n">
        <v>45216</v>
      </c>
      <c r="C224" s="1" t="n">
        <v>45976</v>
      </c>
      <c r="D224" t="inlineStr">
        <is>
          <t>ÖREBRO LÄN</t>
        </is>
      </c>
      <c r="E224" t="inlineStr">
        <is>
          <t>ÖREBRO</t>
        </is>
      </c>
      <c r="F224" t="inlineStr">
        <is>
          <t>Övriga Aktiebolag</t>
        </is>
      </c>
      <c r="G224" t="n">
        <v>2.8</v>
      </c>
      <c r="H224" t="n">
        <v>0</v>
      </c>
      <c r="I224" t="n">
        <v>0</v>
      </c>
      <c r="J224" t="n">
        <v>0</v>
      </c>
      <c r="K224" t="n">
        <v>0</v>
      </c>
      <c r="L224" t="n">
        <v>0</v>
      </c>
      <c r="M224" t="n">
        <v>0</v>
      </c>
      <c r="N224" t="n">
        <v>0</v>
      </c>
      <c r="O224" t="n">
        <v>0</v>
      </c>
      <c r="P224" t="n">
        <v>0</v>
      </c>
      <c r="Q224" t="n">
        <v>0</v>
      </c>
      <c r="R224" s="2" t="inlineStr"/>
    </row>
    <row r="225" ht="15" customHeight="1">
      <c r="A225" t="inlineStr">
        <is>
          <t>A 50450-2023</t>
        </is>
      </c>
      <c r="B225" s="1" t="n">
        <v>45216.73533564815</v>
      </c>
      <c r="C225" s="1" t="n">
        <v>45976</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10937-2024</t>
        </is>
      </c>
      <c r="B226" s="1" t="n">
        <v>45370.44461805555</v>
      </c>
      <c r="C226" s="1" t="n">
        <v>45976</v>
      </c>
      <c r="D226" t="inlineStr">
        <is>
          <t>ÖREBRO LÄN</t>
        </is>
      </c>
      <c r="E226" t="inlineStr">
        <is>
          <t>ÖREBRO</t>
        </is>
      </c>
      <c r="G226" t="n">
        <v>4.3</v>
      </c>
      <c r="H226" t="n">
        <v>0</v>
      </c>
      <c r="I226" t="n">
        <v>0</v>
      </c>
      <c r="J226" t="n">
        <v>0</v>
      </c>
      <c r="K226" t="n">
        <v>0</v>
      </c>
      <c r="L226" t="n">
        <v>0</v>
      </c>
      <c r="M226" t="n">
        <v>0</v>
      </c>
      <c r="N226" t="n">
        <v>0</v>
      </c>
      <c r="O226" t="n">
        <v>0</v>
      </c>
      <c r="P226" t="n">
        <v>0</v>
      </c>
      <c r="Q226" t="n">
        <v>0</v>
      </c>
      <c r="R226" s="2" t="inlineStr"/>
    </row>
    <row r="227" ht="15" customHeight="1">
      <c r="A227" t="inlineStr">
        <is>
          <t>A 20115-2024</t>
        </is>
      </c>
      <c r="B227" s="1" t="n">
        <v>45434</v>
      </c>
      <c r="C227" s="1" t="n">
        <v>45976</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26117-2021</t>
        </is>
      </c>
      <c r="B228" s="1" t="n">
        <v>44345</v>
      </c>
      <c r="C228" s="1" t="n">
        <v>45976</v>
      </c>
      <c r="D228" t="inlineStr">
        <is>
          <t>ÖREBRO LÄN</t>
        </is>
      </c>
      <c r="E228" t="inlineStr">
        <is>
          <t>ÖREBRO</t>
        </is>
      </c>
      <c r="G228" t="n">
        <v>8.1</v>
      </c>
      <c r="H228" t="n">
        <v>0</v>
      </c>
      <c r="I228" t="n">
        <v>0</v>
      </c>
      <c r="J228" t="n">
        <v>0</v>
      </c>
      <c r="K228" t="n">
        <v>0</v>
      </c>
      <c r="L228" t="n">
        <v>0</v>
      </c>
      <c r="M228" t="n">
        <v>0</v>
      </c>
      <c r="N228" t="n">
        <v>0</v>
      </c>
      <c r="O228" t="n">
        <v>0</v>
      </c>
      <c r="P228" t="n">
        <v>0</v>
      </c>
      <c r="Q228" t="n">
        <v>0</v>
      </c>
      <c r="R228" s="2" t="inlineStr"/>
    </row>
    <row r="229" ht="15" customHeight="1">
      <c r="A229" t="inlineStr">
        <is>
          <t>A 16936-2023</t>
        </is>
      </c>
      <c r="B229" s="1" t="n">
        <v>45033.63005787037</v>
      </c>
      <c r="C229" s="1" t="n">
        <v>45976</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40588-2021</t>
        </is>
      </c>
      <c r="B230" s="1" t="n">
        <v>44420</v>
      </c>
      <c r="C230" s="1" t="n">
        <v>45976</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58684-2023</t>
        </is>
      </c>
      <c r="B231" s="1" t="n">
        <v>45251</v>
      </c>
      <c r="C231" s="1" t="n">
        <v>45976</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37771-2024</t>
        </is>
      </c>
      <c r="B232" s="1" t="n">
        <v>45542.31359953704</v>
      </c>
      <c r="C232" s="1" t="n">
        <v>45976</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8565-2021</t>
        </is>
      </c>
      <c r="B233" s="1" t="n">
        <v>44245</v>
      </c>
      <c r="C233" s="1" t="n">
        <v>45976</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8575-2021</t>
        </is>
      </c>
      <c r="B234" s="1" t="n">
        <v>44245</v>
      </c>
      <c r="C234" s="1" t="n">
        <v>45976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57485-2023</t>
        </is>
      </c>
      <c r="B235" s="1" t="n">
        <v>45246</v>
      </c>
      <c r="C235" s="1" t="n">
        <v>45976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38057-2025</t>
        </is>
      </c>
      <c r="B236" s="1" t="n">
        <v>45882.42570601852</v>
      </c>
      <c r="C236" s="1" t="n">
        <v>45976</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37025-2024</t>
        </is>
      </c>
      <c r="B237" s="1" t="n">
        <v>45539.3840162037</v>
      </c>
      <c r="C237" s="1" t="n">
        <v>45976</v>
      </c>
      <c r="D237" t="inlineStr">
        <is>
          <t>ÖREBRO LÄN</t>
        </is>
      </c>
      <c r="E237" t="inlineStr">
        <is>
          <t>ÖREBRO</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37027-2024</t>
        </is>
      </c>
      <c r="B238" s="1" t="n">
        <v>45539.38487268519</v>
      </c>
      <c r="C238" s="1" t="n">
        <v>45976</v>
      </c>
      <c r="D238" t="inlineStr">
        <is>
          <t>ÖREBRO LÄN</t>
        </is>
      </c>
      <c r="E238" t="inlineStr">
        <is>
          <t>ÖREBRO</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6879-2024</t>
        </is>
      </c>
      <c r="B239" s="1" t="n">
        <v>45342.85280092592</v>
      </c>
      <c r="C239" s="1" t="n">
        <v>45976</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58032-2023</t>
        </is>
      </c>
      <c r="B240" s="1" t="n">
        <v>45247</v>
      </c>
      <c r="C240" s="1" t="n">
        <v>45976</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58035-2023</t>
        </is>
      </c>
      <c r="B241" s="1" t="n">
        <v>45247</v>
      </c>
      <c r="C241" s="1" t="n">
        <v>45976</v>
      </c>
      <c r="D241" t="inlineStr">
        <is>
          <t>ÖREBRO LÄN</t>
        </is>
      </c>
      <c r="E241" t="inlineStr">
        <is>
          <t>ÖREBRO</t>
        </is>
      </c>
      <c r="G241" t="n">
        <v>1.4</v>
      </c>
      <c r="H241" t="n">
        <v>0</v>
      </c>
      <c r="I241" t="n">
        <v>0</v>
      </c>
      <c r="J241" t="n">
        <v>0</v>
      </c>
      <c r="K241" t="n">
        <v>0</v>
      </c>
      <c r="L241" t="n">
        <v>0</v>
      </c>
      <c r="M241" t="n">
        <v>0</v>
      </c>
      <c r="N241" t="n">
        <v>0</v>
      </c>
      <c r="O241" t="n">
        <v>0</v>
      </c>
      <c r="P241" t="n">
        <v>0</v>
      </c>
      <c r="Q241" t="n">
        <v>0</v>
      </c>
      <c r="R241" s="2" t="inlineStr"/>
    </row>
    <row r="242" ht="15" customHeight="1">
      <c r="A242" t="inlineStr">
        <is>
          <t>A 60506-2024</t>
        </is>
      </c>
      <c r="B242" s="1" t="n">
        <v>45643.66630787037</v>
      </c>
      <c r="C242" s="1" t="n">
        <v>45976</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6387-2021</t>
        </is>
      </c>
      <c r="B243" s="1" t="n">
        <v>44235</v>
      </c>
      <c r="C243" s="1" t="n">
        <v>45976</v>
      </c>
      <c r="D243" t="inlineStr">
        <is>
          <t>ÖREBRO LÄN</t>
        </is>
      </c>
      <c r="E243" t="inlineStr">
        <is>
          <t>ÖREBRO</t>
        </is>
      </c>
      <c r="G243" t="n">
        <v>1.1</v>
      </c>
      <c r="H243" t="n">
        <v>0</v>
      </c>
      <c r="I243" t="n">
        <v>0</v>
      </c>
      <c r="J243" t="n">
        <v>0</v>
      </c>
      <c r="K243" t="n">
        <v>0</v>
      </c>
      <c r="L243" t="n">
        <v>0</v>
      </c>
      <c r="M243" t="n">
        <v>0</v>
      </c>
      <c r="N243" t="n">
        <v>0</v>
      </c>
      <c r="O243" t="n">
        <v>0</v>
      </c>
      <c r="P243" t="n">
        <v>0</v>
      </c>
      <c r="Q243" t="n">
        <v>0</v>
      </c>
      <c r="R243" s="2" t="inlineStr"/>
    </row>
    <row r="244" ht="15" customHeight="1">
      <c r="A244" t="inlineStr">
        <is>
          <t>A 71288-2021</t>
        </is>
      </c>
      <c r="B244" s="1" t="n">
        <v>44539.62481481482</v>
      </c>
      <c r="C244" s="1" t="n">
        <v>45976</v>
      </c>
      <c r="D244" t="inlineStr">
        <is>
          <t>ÖREBRO LÄN</t>
        </is>
      </c>
      <c r="E244" t="inlineStr">
        <is>
          <t>ÖREBRO</t>
        </is>
      </c>
      <c r="G244" t="n">
        <v>3.9</v>
      </c>
      <c r="H244" t="n">
        <v>0</v>
      </c>
      <c r="I244" t="n">
        <v>0</v>
      </c>
      <c r="J244" t="n">
        <v>0</v>
      </c>
      <c r="K244" t="n">
        <v>0</v>
      </c>
      <c r="L244" t="n">
        <v>0</v>
      </c>
      <c r="M244" t="n">
        <v>0</v>
      </c>
      <c r="N244" t="n">
        <v>0</v>
      </c>
      <c r="O244" t="n">
        <v>0</v>
      </c>
      <c r="P244" t="n">
        <v>0</v>
      </c>
      <c r="Q244" t="n">
        <v>0</v>
      </c>
      <c r="R244" s="2" t="inlineStr"/>
    </row>
    <row r="245" ht="15" customHeight="1">
      <c r="A245" t="inlineStr">
        <is>
          <t>A 44284-2022</t>
        </is>
      </c>
      <c r="B245" s="1" t="n">
        <v>44839.59194444444</v>
      </c>
      <c r="C245" s="1" t="n">
        <v>45976</v>
      </c>
      <c r="D245" t="inlineStr">
        <is>
          <t>ÖREBRO LÄN</t>
        </is>
      </c>
      <c r="E245" t="inlineStr">
        <is>
          <t>ÖREBRO</t>
        </is>
      </c>
      <c r="G245" t="n">
        <v>1.2</v>
      </c>
      <c r="H245" t="n">
        <v>0</v>
      </c>
      <c r="I245" t="n">
        <v>0</v>
      </c>
      <c r="J245" t="n">
        <v>0</v>
      </c>
      <c r="K245" t="n">
        <v>0</v>
      </c>
      <c r="L245" t="n">
        <v>0</v>
      </c>
      <c r="M245" t="n">
        <v>0</v>
      </c>
      <c r="N245" t="n">
        <v>0</v>
      </c>
      <c r="O245" t="n">
        <v>0</v>
      </c>
      <c r="P245" t="n">
        <v>0</v>
      </c>
      <c r="Q245" t="n">
        <v>0</v>
      </c>
      <c r="R245" s="2" t="inlineStr"/>
    </row>
    <row r="246" ht="15" customHeight="1">
      <c r="A246" t="inlineStr">
        <is>
          <t>A 45237-2023</t>
        </is>
      </c>
      <c r="B246" s="1" t="n">
        <v>45191</v>
      </c>
      <c r="C246" s="1" t="n">
        <v>45976</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7506-2025</t>
        </is>
      </c>
      <c r="B247" s="1" t="n">
        <v>45705</v>
      </c>
      <c r="C247" s="1" t="n">
        <v>45976</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35833-2024</t>
        </is>
      </c>
      <c r="B248" s="1" t="n">
        <v>45532.68699074074</v>
      </c>
      <c r="C248" s="1" t="n">
        <v>45976</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31240-2023</t>
        </is>
      </c>
      <c r="B249" s="1" t="n">
        <v>45114</v>
      </c>
      <c r="C249" s="1" t="n">
        <v>45976</v>
      </c>
      <c r="D249" t="inlineStr">
        <is>
          <t>ÖREBRO LÄN</t>
        </is>
      </c>
      <c r="E249" t="inlineStr">
        <is>
          <t>ÖREBRO</t>
        </is>
      </c>
      <c r="F249" t="inlineStr">
        <is>
          <t>Allmännings- och besparingsskogar</t>
        </is>
      </c>
      <c r="G249" t="n">
        <v>6.2</v>
      </c>
      <c r="H249" t="n">
        <v>0</v>
      </c>
      <c r="I249" t="n">
        <v>0</v>
      </c>
      <c r="J249" t="n">
        <v>0</v>
      </c>
      <c r="K249" t="n">
        <v>0</v>
      </c>
      <c r="L249" t="n">
        <v>0</v>
      </c>
      <c r="M249" t="n">
        <v>0</v>
      </c>
      <c r="N249" t="n">
        <v>0</v>
      </c>
      <c r="O249" t="n">
        <v>0</v>
      </c>
      <c r="P249" t="n">
        <v>0</v>
      </c>
      <c r="Q249" t="n">
        <v>0</v>
      </c>
      <c r="R249" s="2" t="inlineStr"/>
    </row>
    <row r="250" ht="15" customHeight="1">
      <c r="A250" t="inlineStr">
        <is>
          <t>A 11663-2024</t>
        </is>
      </c>
      <c r="B250" s="1" t="n">
        <v>45373</v>
      </c>
      <c r="C250" s="1" t="n">
        <v>45976</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14717-2024</t>
        </is>
      </c>
      <c r="B251" s="1" t="n">
        <v>45397.55104166667</v>
      </c>
      <c r="C251" s="1" t="n">
        <v>45976</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66799-2020</t>
        </is>
      </c>
      <c r="B252" s="1" t="n">
        <v>44179</v>
      </c>
      <c r="C252" s="1" t="n">
        <v>45976</v>
      </c>
      <c r="D252" t="inlineStr">
        <is>
          <t>ÖREBRO LÄN</t>
        </is>
      </c>
      <c r="E252" t="inlineStr">
        <is>
          <t>ÖREBRO</t>
        </is>
      </c>
      <c r="G252" t="n">
        <v>5.2</v>
      </c>
      <c r="H252" t="n">
        <v>0</v>
      </c>
      <c r="I252" t="n">
        <v>0</v>
      </c>
      <c r="J252" t="n">
        <v>0</v>
      </c>
      <c r="K252" t="n">
        <v>0</v>
      </c>
      <c r="L252" t="n">
        <v>0</v>
      </c>
      <c r="M252" t="n">
        <v>0</v>
      </c>
      <c r="N252" t="n">
        <v>0</v>
      </c>
      <c r="O252" t="n">
        <v>0</v>
      </c>
      <c r="P252" t="n">
        <v>0</v>
      </c>
      <c r="Q252" t="n">
        <v>0</v>
      </c>
      <c r="R252" s="2" t="inlineStr"/>
    </row>
    <row r="253" ht="15" customHeight="1">
      <c r="A253" t="inlineStr">
        <is>
          <t>A 58608-2024</t>
        </is>
      </c>
      <c r="B253" s="1" t="n">
        <v>45635.55185185185</v>
      </c>
      <c r="C253" s="1" t="n">
        <v>45976</v>
      </c>
      <c r="D253" t="inlineStr">
        <is>
          <t>ÖREBRO LÄN</t>
        </is>
      </c>
      <c r="E253" t="inlineStr">
        <is>
          <t>ÖREBRO</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18550-2025</t>
        </is>
      </c>
      <c r="B254" s="1" t="n">
        <v>45763.43422453704</v>
      </c>
      <c r="C254" s="1" t="n">
        <v>45976</v>
      </c>
      <c r="D254" t="inlineStr">
        <is>
          <t>ÖREBRO LÄN</t>
        </is>
      </c>
      <c r="E254" t="inlineStr">
        <is>
          <t>ÖREBRO</t>
        </is>
      </c>
      <c r="G254" t="n">
        <v>11.5</v>
      </c>
      <c r="H254" t="n">
        <v>0</v>
      </c>
      <c r="I254" t="n">
        <v>0</v>
      </c>
      <c r="J254" t="n">
        <v>0</v>
      </c>
      <c r="K254" t="n">
        <v>0</v>
      </c>
      <c r="L254" t="n">
        <v>0</v>
      </c>
      <c r="M254" t="n">
        <v>0</v>
      </c>
      <c r="N254" t="n">
        <v>0</v>
      </c>
      <c r="O254" t="n">
        <v>0</v>
      </c>
      <c r="P254" t="n">
        <v>0</v>
      </c>
      <c r="Q254" t="n">
        <v>0</v>
      </c>
      <c r="R254" s="2" t="inlineStr"/>
    </row>
    <row r="255" ht="15" customHeight="1">
      <c r="A255" t="inlineStr">
        <is>
          <t>A 37968-2024</t>
        </is>
      </c>
      <c r="B255" s="1" t="n">
        <v>45544</v>
      </c>
      <c r="C255" s="1" t="n">
        <v>45976</v>
      </c>
      <c r="D255" t="inlineStr">
        <is>
          <t>ÖREBRO LÄN</t>
        </is>
      </c>
      <c r="E255" t="inlineStr">
        <is>
          <t>ÖREBRO</t>
        </is>
      </c>
      <c r="G255" t="n">
        <v>2</v>
      </c>
      <c r="H255" t="n">
        <v>0</v>
      </c>
      <c r="I255" t="n">
        <v>0</v>
      </c>
      <c r="J255" t="n">
        <v>0</v>
      </c>
      <c r="K255" t="n">
        <v>0</v>
      </c>
      <c r="L255" t="n">
        <v>0</v>
      </c>
      <c r="M255" t="n">
        <v>0</v>
      </c>
      <c r="N255" t="n">
        <v>0</v>
      </c>
      <c r="O255" t="n">
        <v>0</v>
      </c>
      <c r="P255" t="n">
        <v>0</v>
      </c>
      <c r="Q255" t="n">
        <v>0</v>
      </c>
      <c r="R255" s="2" t="inlineStr"/>
    </row>
    <row r="256" ht="15" customHeight="1">
      <c r="A256" t="inlineStr">
        <is>
          <t>A 38422-2023</t>
        </is>
      </c>
      <c r="B256" s="1" t="n">
        <v>45162.36422453704</v>
      </c>
      <c r="C256" s="1" t="n">
        <v>45976</v>
      </c>
      <c r="D256" t="inlineStr">
        <is>
          <t>ÖREBRO LÄN</t>
        </is>
      </c>
      <c r="E256" t="inlineStr">
        <is>
          <t>ÖREBRO</t>
        </is>
      </c>
      <c r="G256" t="n">
        <v>8</v>
      </c>
      <c r="H256" t="n">
        <v>0</v>
      </c>
      <c r="I256" t="n">
        <v>0</v>
      </c>
      <c r="J256" t="n">
        <v>0</v>
      </c>
      <c r="K256" t="n">
        <v>0</v>
      </c>
      <c r="L256" t="n">
        <v>0</v>
      </c>
      <c r="M256" t="n">
        <v>0</v>
      </c>
      <c r="N256" t="n">
        <v>0</v>
      </c>
      <c r="O256" t="n">
        <v>0</v>
      </c>
      <c r="P256" t="n">
        <v>0</v>
      </c>
      <c r="Q256" t="n">
        <v>0</v>
      </c>
      <c r="R256" s="2" t="inlineStr"/>
    </row>
    <row r="257" ht="15" customHeight="1">
      <c r="A257" t="inlineStr">
        <is>
          <t>A 16739-2023</t>
        </is>
      </c>
      <c r="B257" s="1" t="n">
        <v>45030.72627314815</v>
      </c>
      <c r="C257" s="1" t="n">
        <v>45976</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56040-2024</t>
        </is>
      </c>
      <c r="B258" s="1" t="n">
        <v>45624.3344212963</v>
      </c>
      <c r="C258" s="1" t="n">
        <v>45976</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25443-2021</t>
        </is>
      </c>
      <c r="B259" s="1" t="n">
        <v>44342</v>
      </c>
      <c r="C259" s="1" t="n">
        <v>45976</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41678-2024</t>
        </is>
      </c>
      <c r="B260" s="1" t="n">
        <v>45560</v>
      </c>
      <c r="C260" s="1" t="n">
        <v>45976</v>
      </c>
      <c r="D260" t="inlineStr">
        <is>
          <t>ÖREBRO LÄN</t>
        </is>
      </c>
      <c r="E260" t="inlineStr">
        <is>
          <t>ÖREBRO</t>
        </is>
      </c>
      <c r="G260" t="n">
        <v>11.3</v>
      </c>
      <c r="H260" t="n">
        <v>0</v>
      </c>
      <c r="I260" t="n">
        <v>0</v>
      </c>
      <c r="J260" t="n">
        <v>0</v>
      </c>
      <c r="K260" t="n">
        <v>0</v>
      </c>
      <c r="L260" t="n">
        <v>0</v>
      </c>
      <c r="M260" t="n">
        <v>0</v>
      </c>
      <c r="N260" t="n">
        <v>0</v>
      </c>
      <c r="O260" t="n">
        <v>0</v>
      </c>
      <c r="P260" t="n">
        <v>0</v>
      </c>
      <c r="Q260" t="n">
        <v>0</v>
      </c>
      <c r="R260" s="2" t="inlineStr"/>
    </row>
    <row r="261" ht="15" customHeight="1">
      <c r="A261" t="inlineStr">
        <is>
          <t>A 14487-2023</t>
        </is>
      </c>
      <c r="B261" s="1" t="n">
        <v>45012</v>
      </c>
      <c r="C261" s="1" t="n">
        <v>45976</v>
      </c>
      <c r="D261" t="inlineStr">
        <is>
          <t>ÖREBRO LÄN</t>
        </is>
      </c>
      <c r="E261" t="inlineStr">
        <is>
          <t>ÖREBRO</t>
        </is>
      </c>
      <c r="G261" t="n">
        <v>0.5</v>
      </c>
      <c r="H261" t="n">
        <v>0</v>
      </c>
      <c r="I261" t="n">
        <v>0</v>
      </c>
      <c r="J261" t="n">
        <v>0</v>
      </c>
      <c r="K261" t="n">
        <v>0</v>
      </c>
      <c r="L261" t="n">
        <v>0</v>
      </c>
      <c r="M261" t="n">
        <v>0</v>
      </c>
      <c r="N261" t="n">
        <v>0</v>
      </c>
      <c r="O261" t="n">
        <v>0</v>
      </c>
      <c r="P261" t="n">
        <v>0</v>
      </c>
      <c r="Q261" t="n">
        <v>0</v>
      </c>
      <c r="R261" s="2" t="inlineStr"/>
    </row>
    <row r="262" ht="15" customHeight="1">
      <c r="A262" t="inlineStr">
        <is>
          <t>A 13700-2024</t>
        </is>
      </c>
      <c r="B262" s="1" t="n">
        <v>45390.59277777778</v>
      </c>
      <c r="C262" s="1" t="n">
        <v>45976</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13418-2024</t>
        </is>
      </c>
      <c r="B263" s="1" t="n">
        <v>45387.46482638889</v>
      </c>
      <c r="C263" s="1" t="n">
        <v>45976</v>
      </c>
      <c r="D263" t="inlineStr">
        <is>
          <t>ÖREBRO LÄN</t>
        </is>
      </c>
      <c r="E263" t="inlineStr">
        <is>
          <t>ÖREBRO</t>
        </is>
      </c>
      <c r="G263" t="n">
        <v>4.2</v>
      </c>
      <c r="H263" t="n">
        <v>0</v>
      </c>
      <c r="I263" t="n">
        <v>0</v>
      </c>
      <c r="J263" t="n">
        <v>0</v>
      </c>
      <c r="K263" t="n">
        <v>0</v>
      </c>
      <c r="L263" t="n">
        <v>0</v>
      </c>
      <c r="M263" t="n">
        <v>0</v>
      </c>
      <c r="N263" t="n">
        <v>0</v>
      </c>
      <c r="O263" t="n">
        <v>0</v>
      </c>
      <c r="P263" t="n">
        <v>0</v>
      </c>
      <c r="Q263" t="n">
        <v>0</v>
      </c>
      <c r="R263" s="2" t="inlineStr"/>
    </row>
    <row r="264" ht="15" customHeight="1">
      <c r="A264" t="inlineStr">
        <is>
          <t>A 6213-2021</t>
        </is>
      </c>
      <c r="B264" s="1" t="n">
        <v>44232</v>
      </c>
      <c r="C264" s="1" t="n">
        <v>45976</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5398-2022</t>
        </is>
      </c>
      <c r="B265" s="1" t="n">
        <v>44595.3353587963</v>
      </c>
      <c r="C265" s="1" t="n">
        <v>45976</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38415-2023</t>
        </is>
      </c>
      <c r="B266" s="1" t="n">
        <v>45162.35502314815</v>
      </c>
      <c r="C266" s="1" t="n">
        <v>45976</v>
      </c>
      <c r="D266" t="inlineStr">
        <is>
          <t>ÖREBRO LÄN</t>
        </is>
      </c>
      <c r="E266" t="inlineStr">
        <is>
          <t>ÖREBRO</t>
        </is>
      </c>
      <c r="G266" t="n">
        <v>2.6</v>
      </c>
      <c r="H266" t="n">
        <v>0</v>
      </c>
      <c r="I266" t="n">
        <v>0</v>
      </c>
      <c r="J266" t="n">
        <v>0</v>
      </c>
      <c r="K266" t="n">
        <v>0</v>
      </c>
      <c r="L266" t="n">
        <v>0</v>
      </c>
      <c r="M266" t="n">
        <v>0</v>
      </c>
      <c r="N266" t="n">
        <v>0</v>
      </c>
      <c r="O266" t="n">
        <v>0</v>
      </c>
      <c r="P266" t="n">
        <v>0</v>
      </c>
      <c r="Q266" t="n">
        <v>0</v>
      </c>
      <c r="R266" s="2" t="inlineStr"/>
    </row>
    <row r="267" ht="15" customHeight="1">
      <c r="A267" t="inlineStr">
        <is>
          <t>A 40522-2024</t>
        </is>
      </c>
      <c r="B267" s="1" t="n">
        <v>45555.59717592593</v>
      </c>
      <c r="C267" s="1" t="n">
        <v>45976</v>
      </c>
      <c r="D267" t="inlineStr">
        <is>
          <t>ÖREBRO LÄN</t>
        </is>
      </c>
      <c r="E267" t="inlineStr">
        <is>
          <t>ÖREBRO</t>
        </is>
      </c>
      <c r="G267" t="n">
        <v>5.1</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45976</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18047-2023</t>
        </is>
      </c>
      <c r="B269" s="1" t="n">
        <v>45040</v>
      </c>
      <c r="C269" s="1" t="n">
        <v>45976</v>
      </c>
      <c r="D269" t="inlineStr">
        <is>
          <t>ÖREBRO LÄN</t>
        </is>
      </c>
      <c r="E269" t="inlineStr">
        <is>
          <t>ÖREBRO</t>
        </is>
      </c>
      <c r="G269" t="n">
        <v>3.9</v>
      </c>
      <c r="H269" t="n">
        <v>0</v>
      </c>
      <c r="I269" t="n">
        <v>0</v>
      </c>
      <c r="J269" t="n">
        <v>0</v>
      </c>
      <c r="K269" t="n">
        <v>0</v>
      </c>
      <c r="L269" t="n">
        <v>0</v>
      </c>
      <c r="M269" t="n">
        <v>0</v>
      </c>
      <c r="N269" t="n">
        <v>0</v>
      </c>
      <c r="O269" t="n">
        <v>0</v>
      </c>
      <c r="P269" t="n">
        <v>0</v>
      </c>
      <c r="Q269" t="n">
        <v>0</v>
      </c>
      <c r="R269" s="2" t="inlineStr"/>
    </row>
    <row r="270" ht="15" customHeight="1">
      <c r="A270" t="inlineStr">
        <is>
          <t>A 49797-2024</t>
        </is>
      </c>
      <c r="B270" s="1" t="n">
        <v>45597.37265046296</v>
      </c>
      <c r="C270" s="1" t="n">
        <v>45976</v>
      </c>
      <c r="D270" t="inlineStr">
        <is>
          <t>ÖREBRO LÄN</t>
        </is>
      </c>
      <c r="E270" t="inlineStr">
        <is>
          <t>ÖREBRO</t>
        </is>
      </c>
      <c r="G270" t="n">
        <v>11.6</v>
      </c>
      <c r="H270" t="n">
        <v>0</v>
      </c>
      <c r="I270" t="n">
        <v>0</v>
      </c>
      <c r="J270" t="n">
        <v>0</v>
      </c>
      <c r="K270" t="n">
        <v>0</v>
      </c>
      <c r="L270" t="n">
        <v>0</v>
      </c>
      <c r="M270" t="n">
        <v>0</v>
      </c>
      <c r="N270" t="n">
        <v>0</v>
      </c>
      <c r="O270" t="n">
        <v>0</v>
      </c>
      <c r="P270" t="n">
        <v>0</v>
      </c>
      <c r="Q270" t="n">
        <v>0</v>
      </c>
      <c r="R270" s="2" t="inlineStr"/>
    </row>
    <row r="271" ht="15" customHeight="1">
      <c r="A271" t="inlineStr">
        <is>
          <t>A 49029-2024</t>
        </is>
      </c>
      <c r="B271" s="1" t="n">
        <v>45594</v>
      </c>
      <c r="C271" s="1" t="n">
        <v>45976</v>
      </c>
      <c r="D271" t="inlineStr">
        <is>
          <t>ÖREBRO LÄN</t>
        </is>
      </c>
      <c r="E271" t="inlineStr">
        <is>
          <t>ÖREBRO</t>
        </is>
      </c>
      <c r="G271" t="n">
        <v>3.7</v>
      </c>
      <c r="H271" t="n">
        <v>0</v>
      </c>
      <c r="I271" t="n">
        <v>0</v>
      </c>
      <c r="J271" t="n">
        <v>0</v>
      </c>
      <c r="K271" t="n">
        <v>0</v>
      </c>
      <c r="L271" t="n">
        <v>0</v>
      </c>
      <c r="M271" t="n">
        <v>0</v>
      </c>
      <c r="N271" t="n">
        <v>0</v>
      </c>
      <c r="O271" t="n">
        <v>0</v>
      </c>
      <c r="P271" t="n">
        <v>0</v>
      </c>
      <c r="Q271" t="n">
        <v>0</v>
      </c>
      <c r="R271" s="2" t="inlineStr"/>
    </row>
    <row r="272" ht="15" customHeight="1">
      <c r="A272" t="inlineStr">
        <is>
          <t>A 49062-2023</t>
        </is>
      </c>
      <c r="B272" s="1" t="n">
        <v>45210.35119212963</v>
      </c>
      <c r="C272" s="1" t="n">
        <v>45976</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39003-2025</t>
        </is>
      </c>
      <c r="B273" s="1" t="n">
        <v>45888.34467592592</v>
      </c>
      <c r="C273" s="1" t="n">
        <v>45976</v>
      </c>
      <c r="D273" t="inlineStr">
        <is>
          <t>ÖREBRO LÄN</t>
        </is>
      </c>
      <c r="E273" t="inlineStr">
        <is>
          <t>ÖREBRO</t>
        </is>
      </c>
      <c r="G273" t="n">
        <v>3.7</v>
      </c>
      <c r="H273" t="n">
        <v>0</v>
      </c>
      <c r="I273" t="n">
        <v>0</v>
      </c>
      <c r="J273" t="n">
        <v>0</v>
      </c>
      <c r="K273" t="n">
        <v>0</v>
      </c>
      <c r="L273" t="n">
        <v>0</v>
      </c>
      <c r="M273" t="n">
        <v>0</v>
      </c>
      <c r="N273" t="n">
        <v>0</v>
      </c>
      <c r="O273" t="n">
        <v>0</v>
      </c>
      <c r="P273" t="n">
        <v>0</v>
      </c>
      <c r="Q273" t="n">
        <v>0</v>
      </c>
      <c r="R273" s="2" t="inlineStr"/>
    </row>
    <row r="274" ht="15" customHeight="1">
      <c r="A274" t="inlineStr">
        <is>
          <t>A 15422-2022</t>
        </is>
      </c>
      <c r="B274" s="1" t="n">
        <v>44659.63753472222</v>
      </c>
      <c r="C274" s="1" t="n">
        <v>45976</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35829-2024</t>
        </is>
      </c>
      <c r="B275" s="1" t="n">
        <v>45532</v>
      </c>
      <c r="C275" s="1" t="n">
        <v>45976</v>
      </c>
      <c r="D275" t="inlineStr">
        <is>
          <t>ÖREBRO LÄN</t>
        </is>
      </c>
      <c r="E275" t="inlineStr">
        <is>
          <t>ÖREBRO</t>
        </is>
      </c>
      <c r="G275" t="n">
        <v>4.6</v>
      </c>
      <c r="H275" t="n">
        <v>0</v>
      </c>
      <c r="I275" t="n">
        <v>0</v>
      </c>
      <c r="J275" t="n">
        <v>0</v>
      </c>
      <c r="K275" t="n">
        <v>0</v>
      </c>
      <c r="L275" t="n">
        <v>0</v>
      </c>
      <c r="M275" t="n">
        <v>0</v>
      </c>
      <c r="N275" t="n">
        <v>0</v>
      </c>
      <c r="O275" t="n">
        <v>0</v>
      </c>
      <c r="P275" t="n">
        <v>0</v>
      </c>
      <c r="Q275" t="n">
        <v>0</v>
      </c>
      <c r="R275" s="2" t="inlineStr"/>
    </row>
    <row r="276" ht="15" customHeight="1">
      <c r="A276" t="inlineStr">
        <is>
          <t>A 39446-2025</t>
        </is>
      </c>
      <c r="B276" s="1" t="n">
        <v>45889.70388888889</v>
      </c>
      <c r="C276" s="1" t="n">
        <v>45976</v>
      </c>
      <c r="D276" t="inlineStr">
        <is>
          <t>ÖREBRO LÄN</t>
        </is>
      </c>
      <c r="E276" t="inlineStr">
        <is>
          <t>ÖREBRO</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46323-2024</t>
        </is>
      </c>
      <c r="B277" s="1" t="n">
        <v>45581.84538194445</v>
      </c>
      <c r="C277" s="1" t="n">
        <v>45976</v>
      </c>
      <c r="D277" t="inlineStr">
        <is>
          <t>ÖREBRO LÄN</t>
        </is>
      </c>
      <c r="E277" t="inlineStr">
        <is>
          <t>ÖREBRO</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39479-2025</t>
        </is>
      </c>
      <c r="B278" s="1" t="n">
        <v>45890.34752314815</v>
      </c>
      <c r="C278" s="1" t="n">
        <v>45976</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49465-2024</t>
        </is>
      </c>
      <c r="B279" s="1" t="n">
        <v>45596</v>
      </c>
      <c r="C279" s="1" t="n">
        <v>45976</v>
      </c>
      <c r="D279" t="inlineStr">
        <is>
          <t>ÖREBRO LÄN</t>
        </is>
      </c>
      <c r="E279" t="inlineStr">
        <is>
          <t>ÖREBRO</t>
        </is>
      </c>
      <c r="F279" t="inlineStr">
        <is>
          <t>Övriga Aktiebolag</t>
        </is>
      </c>
      <c r="G279" t="n">
        <v>21</v>
      </c>
      <c r="H279" t="n">
        <v>0</v>
      </c>
      <c r="I279" t="n">
        <v>0</v>
      </c>
      <c r="J279" t="n">
        <v>0</v>
      </c>
      <c r="K279" t="n">
        <v>0</v>
      </c>
      <c r="L279" t="n">
        <v>0</v>
      </c>
      <c r="M279" t="n">
        <v>0</v>
      </c>
      <c r="N279" t="n">
        <v>0</v>
      </c>
      <c r="O279" t="n">
        <v>0</v>
      </c>
      <c r="P279" t="n">
        <v>0</v>
      </c>
      <c r="Q279" t="n">
        <v>0</v>
      </c>
      <c r="R279" s="2" t="inlineStr"/>
    </row>
    <row r="280" ht="15" customHeight="1">
      <c r="A280" t="inlineStr">
        <is>
          <t>A 8022-2022</t>
        </is>
      </c>
      <c r="B280" s="1" t="n">
        <v>44609</v>
      </c>
      <c r="C280" s="1" t="n">
        <v>45976</v>
      </c>
      <c r="D280" t="inlineStr">
        <is>
          <t>ÖREBRO LÄN</t>
        </is>
      </c>
      <c r="E280" t="inlineStr">
        <is>
          <t>ÖREBRO</t>
        </is>
      </c>
      <c r="G280" t="n">
        <v>5.6</v>
      </c>
      <c r="H280" t="n">
        <v>0</v>
      </c>
      <c r="I280" t="n">
        <v>0</v>
      </c>
      <c r="J280" t="n">
        <v>0</v>
      </c>
      <c r="K280" t="n">
        <v>0</v>
      </c>
      <c r="L280" t="n">
        <v>0</v>
      </c>
      <c r="M280" t="n">
        <v>0</v>
      </c>
      <c r="N280" t="n">
        <v>0</v>
      </c>
      <c r="O280" t="n">
        <v>0</v>
      </c>
      <c r="P280" t="n">
        <v>0</v>
      </c>
      <c r="Q280" t="n">
        <v>0</v>
      </c>
      <c r="R280" s="2" t="inlineStr"/>
    </row>
    <row r="281" ht="15" customHeight="1">
      <c r="A281" t="inlineStr">
        <is>
          <t>A 38842-2022</t>
        </is>
      </c>
      <c r="B281" s="1" t="n">
        <v>44814</v>
      </c>
      <c r="C281" s="1" t="n">
        <v>45976</v>
      </c>
      <c r="D281" t="inlineStr">
        <is>
          <t>ÖREBRO LÄN</t>
        </is>
      </c>
      <c r="E281" t="inlineStr">
        <is>
          <t>ÖREBRO</t>
        </is>
      </c>
      <c r="G281" t="n">
        <v>5</v>
      </c>
      <c r="H281" t="n">
        <v>0</v>
      </c>
      <c r="I281" t="n">
        <v>0</v>
      </c>
      <c r="J281" t="n">
        <v>0</v>
      </c>
      <c r="K281" t="n">
        <v>0</v>
      </c>
      <c r="L281" t="n">
        <v>0</v>
      </c>
      <c r="M281" t="n">
        <v>0</v>
      </c>
      <c r="N281" t="n">
        <v>0</v>
      </c>
      <c r="O281" t="n">
        <v>0</v>
      </c>
      <c r="P281" t="n">
        <v>0</v>
      </c>
      <c r="Q281" t="n">
        <v>0</v>
      </c>
      <c r="R281" s="2" t="inlineStr"/>
    </row>
    <row r="282" ht="15" customHeight="1">
      <c r="A282" t="inlineStr">
        <is>
          <t>A 13181-2023</t>
        </is>
      </c>
      <c r="B282" s="1" t="n">
        <v>45002.60659722222</v>
      </c>
      <c r="C282" s="1" t="n">
        <v>45976</v>
      </c>
      <c r="D282" t="inlineStr">
        <is>
          <t>ÖREBRO LÄN</t>
        </is>
      </c>
      <c r="E282" t="inlineStr">
        <is>
          <t>ÖREBRO</t>
        </is>
      </c>
      <c r="G282" t="n">
        <v>1.2</v>
      </c>
      <c r="H282" t="n">
        <v>0</v>
      </c>
      <c r="I282" t="n">
        <v>0</v>
      </c>
      <c r="J282" t="n">
        <v>0</v>
      </c>
      <c r="K282" t="n">
        <v>0</v>
      </c>
      <c r="L282" t="n">
        <v>0</v>
      </c>
      <c r="M282" t="n">
        <v>0</v>
      </c>
      <c r="N282" t="n">
        <v>0</v>
      </c>
      <c r="O282" t="n">
        <v>0</v>
      </c>
      <c r="P282" t="n">
        <v>0</v>
      </c>
      <c r="Q282" t="n">
        <v>0</v>
      </c>
      <c r="R282" s="2" t="inlineStr"/>
    </row>
    <row r="283" ht="15" customHeight="1">
      <c r="A283" t="inlineStr">
        <is>
          <t>A 61078-2024</t>
        </is>
      </c>
      <c r="B283" s="1" t="n">
        <v>45645.51034722223</v>
      </c>
      <c r="C283" s="1" t="n">
        <v>45976</v>
      </c>
      <c r="D283" t="inlineStr">
        <is>
          <t>ÖREBRO LÄN</t>
        </is>
      </c>
      <c r="E283" t="inlineStr">
        <is>
          <t>ÖREBRO</t>
        </is>
      </c>
      <c r="G283" t="n">
        <v>4.1</v>
      </c>
      <c r="H283" t="n">
        <v>0</v>
      </c>
      <c r="I283" t="n">
        <v>0</v>
      </c>
      <c r="J283" t="n">
        <v>0</v>
      </c>
      <c r="K283" t="n">
        <v>0</v>
      </c>
      <c r="L283" t="n">
        <v>0</v>
      </c>
      <c r="M283" t="n">
        <v>0</v>
      </c>
      <c r="N283" t="n">
        <v>0</v>
      </c>
      <c r="O283" t="n">
        <v>0</v>
      </c>
      <c r="P283" t="n">
        <v>0</v>
      </c>
      <c r="Q283" t="n">
        <v>0</v>
      </c>
      <c r="R283" s="2" t="inlineStr"/>
    </row>
    <row r="284" ht="15" customHeight="1">
      <c r="A284" t="inlineStr">
        <is>
          <t>A 62511-2023</t>
        </is>
      </c>
      <c r="B284" s="1" t="n">
        <v>45268.61855324074</v>
      </c>
      <c r="C284" s="1" t="n">
        <v>45976</v>
      </c>
      <c r="D284" t="inlineStr">
        <is>
          <t>ÖREBRO LÄN</t>
        </is>
      </c>
      <c r="E284" t="inlineStr">
        <is>
          <t>ÖREBRO</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29978-2024</t>
        </is>
      </c>
      <c r="B285" s="1" t="n">
        <v>45488.48340277778</v>
      </c>
      <c r="C285" s="1" t="n">
        <v>45976</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37022-2024</t>
        </is>
      </c>
      <c r="B286" s="1" t="n">
        <v>45539.3822337963</v>
      </c>
      <c r="C286" s="1" t="n">
        <v>45976</v>
      </c>
      <c r="D286" t="inlineStr">
        <is>
          <t>ÖREBRO LÄN</t>
        </is>
      </c>
      <c r="E286" t="inlineStr">
        <is>
          <t>ÖREBRO</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37024-2024</t>
        </is>
      </c>
      <c r="B287" s="1" t="n">
        <v>45539.38329861111</v>
      </c>
      <c r="C287" s="1" t="n">
        <v>45976</v>
      </c>
      <c r="D287" t="inlineStr">
        <is>
          <t>ÖREBRO LÄN</t>
        </is>
      </c>
      <c r="E287" t="inlineStr">
        <is>
          <t>ÖREBRO</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47047-2022</t>
        </is>
      </c>
      <c r="B288" s="1" t="n">
        <v>44852.39063657408</v>
      </c>
      <c r="C288" s="1" t="n">
        <v>45976</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19978-2025</t>
        </is>
      </c>
      <c r="B289" s="1" t="n">
        <v>45771.7062037037</v>
      </c>
      <c r="C289" s="1" t="n">
        <v>45976</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7134-2025</t>
        </is>
      </c>
      <c r="B290" s="1" t="n">
        <v>45702</v>
      </c>
      <c r="C290" s="1" t="n">
        <v>45976</v>
      </c>
      <c r="D290" t="inlineStr">
        <is>
          <t>ÖREBRO LÄN</t>
        </is>
      </c>
      <c r="E290" t="inlineStr">
        <is>
          <t>ÖREBRO</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40330-2025</t>
        </is>
      </c>
      <c r="B291" s="1" t="n">
        <v>45895.4531712963</v>
      </c>
      <c r="C291" s="1" t="n">
        <v>45976</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40332-2025</t>
        </is>
      </c>
      <c r="B292" s="1" t="n">
        <v>45895.46060185185</v>
      </c>
      <c r="C292" s="1" t="n">
        <v>45976</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58598-2022</t>
        </is>
      </c>
      <c r="B293" s="1" t="n">
        <v>44902</v>
      </c>
      <c r="C293" s="1" t="n">
        <v>45976</v>
      </c>
      <c r="D293" t="inlineStr">
        <is>
          <t>ÖREBRO LÄN</t>
        </is>
      </c>
      <c r="E293" t="inlineStr">
        <is>
          <t>ÖREBRO</t>
        </is>
      </c>
      <c r="G293" t="n">
        <v>0.4</v>
      </c>
      <c r="H293" t="n">
        <v>0</v>
      </c>
      <c r="I293" t="n">
        <v>0</v>
      </c>
      <c r="J293" t="n">
        <v>0</v>
      </c>
      <c r="K293" t="n">
        <v>0</v>
      </c>
      <c r="L293" t="n">
        <v>0</v>
      </c>
      <c r="M293" t="n">
        <v>0</v>
      </c>
      <c r="N293" t="n">
        <v>0</v>
      </c>
      <c r="O293" t="n">
        <v>0</v>
      </c>
      <c r="P293" t="n">
        <v>0</v>
      </c>
      <c r="Q293" t="n">
        <v>0</v>
      </c>
      <c r="R293" s="2" t="inlineStr"/>
    </row>
    <row r="294" ht="15" customHeight="1">
      <c r="A294" t="inlineStr">
        <is>
          <t>A 13158-2024</t>
        </is>
      </c>
      <c r="B294" s="1" t="n">
        <v>45386.38728009259</v>
      </c>
      <c r="C294" s="1" t="n">
        <v>45976</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16374-2022</t>
        </is>
      </c>
      <c r="B295" s="1" t="n">
        <v>44671</v>
      </c>
      <c r="C295" s="1" t="n">
        <v>45976</v>
      </c>
      <c r="D295" t="inlineStr">
        <is>
          <t>ÖREBRO LÄN</t>
        </is>
      </c>
      <c r="E295" t="inlineStr">
        <is>
          <t>ÖREBRO</t>
        </is>
      </c>
      <c r="F295" t="inlineStr">
        <is>
          <t>Övriga Aktiebolag</t>
        </is>
      </c>
      <c r="G295" t="n">
        <v>30.3</v>
      </c>
      <c r="H295" t="n">
        <v>0</v>
      </c>
      <c r="I295" t="n">
        <v>0</v>
      </c>
      <c r="J295" t="n">
        <v>0</v>
      </c>
      <c r="K295" t="n">
        <v>0</v>
      </c>
      <c r="L295" t="n">
        <v>0</v>
      </c>
      <c r="M295" t="n">
        <v>0</v>
      </c>
      <c r="N295" t="n">
        <v>0</v>
      </c>
      <c r="O295" t="n">
        <v>0</v>
      </c>
      <c r="P295" t="n">
        <v>0</v>
      </c>
      <c r="Q295" t="n">
        <v>0</v>
      </c>
      <c r="R295" s="2" t="inlineStr"/>
    </row>
    <row r="296" ht="15" customHeight="1">
      <c r="A296" t="inlineStr">
        <is>
          <t>A 27956-2023</t>
        </is>
      </c>
      <c r="B296" s="1" t="n">
        <v>45098</v>
      </c>
      <c r="C296" s="1" t="n">
        <v>45976</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13321-2024</t>
        </is>
      </c>
      <c r="B297" s="1" t="n">
        <v>45386.83142361111</v>
      </c>
      <c r="C297" s="1" t="n">
        <v>45976</v>
      </c>
      <c r="D297" t="inlineStr">
        <is>
          <t>ÖREBRO LÄN</t>
        </is>
      </c>
      <c r="E297" t="inlineStr">
        <is>
          <t>ÖREBRO</t>
        </is>
      </c>
      <c r="G297" t="n">
        <v>13.1</v>
      </c>
      <c r="H297" t="n">
        <v>0</v>
      </c>
      <c r="I297" t="n">
        <v>0</v>
      </c>
      <c r="J297" t="n">
        <v>0</v>
      </c>
      <c r="K297" t="n">
        <v>0</v>
      </c>
      <c r="L297" t="n">
        <v>0</v>
      </c>
      <c r="M297" t="n">
        <v>0</v>
      </c>
      <c r="N297" t="n">
        <v>0</v>
      </c>
      <c r="O297" t="n">
        <v>0</v>
      </c>
      <c r="P297" t="n">
        <v>0</v>
      </c>
      <c r="Q297" t="n">
        <v>0</v>
      </c>
      <c r="R297" s="2" t="inlineStr"/>
    </row>
    <row r="298" ht="15" customHeight="1">
      <c r="A298" t="inlineStr">
        <is>
          <t>A 51331-2023</t>
        </is>
      </c>
      <c r="B298" s="1" t="n">
        <v>45219</v>
      </c>
      <c r="C298" s="1" t="n">
        <v>45976</v>
      </c>
      <c r="D298" t="inlineStr">
        <is>
          <t>ÖREBRO LÄN</t>
        </is>
      </c>
      <c r="E298" t="inlineStr">
        <is>
          <t>ÖREBRO</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55472-2023</t>
        </is>
      </c>
      <c r="B299" s="1" t="n">
        <v>45238</v>
      </c>
      <c r="C299" s="1" t="n">
        <v>45976</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48454-2025</t>
        </is>
      </c>
      <c r="B300" s="1" t="n">
        <v>45935.80164351852</v>
      </c>
      <c r="C300" s="1" t="n">
        <v>45976</v>
      </c>
      <c r="D300" t="inlineStr">
        <is>
          <t>ÖREBRO LÄN</t>
        </is>
      </c>
      <c r="E300" t="inlineStr">
        <is>
          <t>ÖREBRO</t>
        </is>
      </c>
      <c r="F300" t="inlineStr">
        <is>
          <t>Övriga Aktiebolag</t>
        </is>
      </c>
      <c r="G300" t="n">
        <v>18.1</v>
      </c>
      <c r="H300" t="n">
        <v>0</v>
      </c>
      <c r="I300" t="n">
        <v>0</v>
      </c>
      <c r="J300" t="n">
        <v>0</v>
      </c>
      <c r="K300" t="n">
        <v>0</v>
      </c>
      <c r="L300" t="n">
        <v>0</v>
      </c>
      <c r="M300" t="n">
        <v>0</v>
      </c>
      <c r="N300" t="n">
        <v>0</v>
      </c>
      <c r="O300" t="n">
        <v>0</v>
      </c>
      <c r="P300" t="n">
        <v>0</v>
      </c>
      <c r="Q300" t="n">
        <v>0</v>
      </c>
      <c r="R300" s="2" t="inlineStr"/>
    </row>
    <row r="301" ht="15" customHeight="1">
      <c r="A301" t="inlineStr">
        <is>
          <t>A 34874-2022</t>
        </is>
      </c>
      <c r="B301" s="1" t="n">
        <v>44796</v>
      </c>
      <c r="C301" s="1" t="n">
        <v>45976</v>
      </c>
      <c r="D301" t="inlineStr">
        <is>
          <t>ÖREBRO LÄN</t>
        </is>
      </c>
      <c r="E301" t="inlineStr">
        <is>
          <t>ÖREBRO</t>
        </is>
      </c>
      <c r="F301" t="inlineStr">
        <is>
          <t>Övriga Aktiebolag</t>
        </is>
      </c>
      <c r="G301" t="n">
        <v>2.3</v>
      </c>
      <c r="H301" t="n">
        <v>0</v>
      </c>
      <c r="I301" t="n">
        <v>0</v>
      </c>
      <c r="J301" t="n">
        <v>0</v>
      </c>
      <c r="K301" t="n">
        <v>0</v>
      </c>
      <c r="L301" t="n">
        <v>0</v>
      </c>
      <c r="M301" t="n">
        <v>0</v>
      </c>
      <c r="N301" t="n">
        <v>0</v>
      </c>
      <c r="O301" t="n">
        <v>0</v>
      </c>
      <c r="P301" t="n">
        <v>0</v>
      </c>
      <c r="Q301" t="n">
        <v>0</v>
      </c>
      <c r="R301" s="2" t="inlineStr"/>
    </row>
    <row r="302" ht="15" customHeight="1">
      <c r="A302" t="inlineStr">
        <is>
          <t>A 5129-2024</t>
        </is>
      </c>
      <c r="B302" s="1" t="n">
        <v>45330</v>
      </c>
      <c r="C302" s="1" t="n">
        <v>45976</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58486-2024</t>
        </is>
      </c>
      <c r="B303" s="1" t="n">
        <v>45635</v>
      </c>
      <c r="C303" s="1" t="n">
        <v>45976</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852-2025</t>
        </is>
      </c>
      <c r="B304" s="1" t="n">
        <v>45665.60148148148</v>
      </c>
      <c r="C304" s="1" t="n">
        <v>45976</v>
      </c>
      <c r="D304" t="inlineStr">
        <is>
          <t>ÖREBRO LÄN</t>
        </is>
      </c>
      <c r="E304" t="inlineStr">
        <is>
          <t>ÖREBRO</t>
        </is>
      </c>
      <c r="G304" t="n">
        <v>2.9</v>
      </c>
      <c r="H304" t="n">
        <v>0</v>
      </c>
      <c r="I304" t="n">
        <v>0</v>
      </c>
      <c r="J304" t="n">
        <v>0</v>
      </c>
      <c r="K304" t="n">
        <v>0</v>
      </c>
      <c r="L304" t="n">
        <v>0</v>
      </c>
      <c r="M304" t="n">
        <v>0</v>
      </c>
      <c r="N304" t="n">
        <v>0</v>
      </c>
      <c r="O304" t="n">
        <v>0</v>
      </c>
      <c r="P304" t="n">
        <v>0</v>
      </c>
      <c r="Q304" t="n">
        <v>0</v>
      </c>
      <c r="R304" s="2" t="inlineStr"/>
    </row>
    <row r="305" ht="15" customHeight="1">
      <c r="A305" t="inlineStr">
        <is>
          <t>A 15652-2025</t>
        </is>
      </c>
      <c r="B305" s="1" t="n">
        <v>45748</v>
      </c>
      <c r="C305" s="1" t="n">
        <v>45976</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16737-2023</t>
        </is>
      </c>
      <c r="B306" s="1" t="n">
        <v>45030.72472222222</v>
      </c>
      <c r="C306" s="1" t="n">
        <v>45976</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38583-2023</t>
        </is>
      </c>
      <c r="B307" s="1" t="n">
        <v>45162.62861111111</v>
      </c>
      <c r="C307" s="1" t="n">
        <v>45976</v>
      </c>
      <c r="D307" t="inlineStr">
        <is>
          <t>ÖREBRO LÄN</t>
        </is>
      </c>
      <c r="E307" t="inlineStr">
        <is>
          <t>ÖREBRO</t>
        </is>
      </c>
      <c r="G307" t="n">
        <v>5.7</v>
      </c>
      <c r="H307" t="n">
        <v>0</v>
      </c>
      <c r="I307" t="n">
        <v>0</v>
      </c>
      <c r="J307" t="n">
        <v>0</v>
      </c>
      <c r="K307" t="n">
        <v>0</v>
      </c>
      <c r="L307" t="n">
        <v>0</v>
      </c>
      <c r="M307" t="n">
        <v>0</v>
      </c>
      <c r="N307" t="n">
        <v>0</v>
      </c>
      <c r="O307" t="n">
        <v>0</v>
      </c>
      <c r="P307" t="n">
        <v>0</v>
      </c>
      <c r="Q307" t="n">
        <v>0</v>
      </c>
      <c r="R307" s="2" t="inlineStr"/>
    </row>
    <row r="308" ht="15" customHeight="1">
      <c r="A308" t="inlineStr">
        <is>
          <t>A 30015-2023</t>
        </is>
      </c>
      <c r="B308" s="1" t="n">
        <v>45109</v>
      </c>
      <c r="C308" s="1" t="n">
        <v>45976</v>
      </c>
      <c r="D308" t="inlineStr">
        <is>
          <t>ÖREBRO LÄN</t>
        </is>
      </c>
      <c r="E308" t="inlineStr">
        <is>
          <t>ÖREBRO</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5762-2025</t>
        </is>
      </c>
      <c r="B309" s="1" t="n">
        <v>45694.57181712963</v>
      </c>
      <c r="C309" s="1" t="n">
        <v>45976</v>
      </c>
      <c r="D309" t="inlineStr">
        <is>
          <t>ÖREBRO LÄN</t>
        </is>
      </c>
      <c r="E309" t="inlineStr">
        <is>
          <t>ÖREBRO</t>
        </is>
      </c>
      <c r="F309" t="inlineStr">
        <is>
          <t>Övriga Aktiebolag</t>
        </is>
      </c>
      <c r="G309" t="n">
        <v>1.5</v>
      </c>
      <c r="H309" t="n">
        <v>0</v>
      </c>
      <c r="I309" t="n">
        <v>0</v>
      </c>
      <c r="J309" t="n">
        <v>0</v>
      </c>
      <c r="K309" t="n">
        <v>0</v>
      </c>
      <c r="L309" t="n">
        <v>0</v>
      </c>
      <c r="M309" t="n">
        <v>0</v>
      </c>
      <c r="N309" t="n">
        <v>0</v>
      </c>
      <c r="O309" t="n">
        <v>0</v>
      </c>
      <c r="P309" t="n">
        <v>0</v>
      </c>
      <c r="Q309" t="n">
        <v>0</v>
      </c>
      <c r="R309" s="2" t="inlineStr"/>
    </row>
    <row r="310" ht="15" customHeight="1">
      <c r="A310" t="inlineStr">
        <is>
          <t>A 48644-2024</t>
        </is>
      </c>
      <c r="B310" s="1" t="n">
        <v>45593.47466435185</v>
      </c>
      <c r="C310" s="1" t="n">
        <v>45976</v>
      </c>
      <c r="D310" t="inlineStr">
        <is>
          <t>ÖREBRO LÄN</t>
        </is>
      </c>
      <c r="E310" t="inlineStr">
        <is>
          <t>ÖREBRO</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51180-2023</t>
        </is>
      </c>
      <c r="B311" s="1" t="n">
        <v>45219</v>
      </c>
      <c r="C311" s="1" t="n">
        <v>45976</v>
      </c>
      <c r="D311" t="inlineStr">
        <is>
          <t>ÖREBRO LÄN</t>
        </is>
      </c>
      <c r="E311" t="inlineStr">
        <is>
          <t>ÖREBRO</t>
        </is>
      </c>
      <c r="G311" t="n">
        <v>6.5</v>
      </c>
      <c r="H311" t="n">
        <v>0</v>
      </c>
      <c r="I311" t="n">
        <v>0</v>
      </c>
      <c r="J311" t="n">
        <v>0</v>
      </c>
      <c r="K311" t="n">
        <v>0</v>
      </c>
      <c r="L311" t="n">
        <v>0</v>
      </c>
      <c r="M311" t="n">
        <v>0</v>
      </c>
      <c r="N311" t="n">
        <v>0</v>
      </c>
      <c r="O311" t="n">
        <v>0</v>
      </c>
      <c r="P311" t="n">
        <v>0</v>
      </c>
      <c r="Q311" t="n">
        <v>0</v>
      </c>
      <c r="R311" s="2" t="inlineStr"/>
    </row>
    <row r="312" ht="15" customHeight="1">
      <c r="A312" t="inlineStr">
        <is>
          <t>A 58621-2024</t>
        </is>
      </c>
      <c r="B312" s="1" t="n">
        <v>45635.56321759259</v>
      </c>
      <c r="C312" s="1" t="n">
        <v>45976</v>
      </c>
      <c r="D312" t="inlineStr">
        <is>
          <t>ÖREBRO LÄN</t>
        </is>
      </c>
      <c r="E312" t="inlineStr">
        <is>
          <t>ÖREBRO</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1013-2024</t>
        </is>
      </c>
      <c r="B313" s="1" t="n">
        <v>45301</v>
      </c>
      <c r="C313" s="1" t="n">
        <v>45976</v>
      </c>
      <c r="D313" t="inlineStr">
        <is>
          <t>ÖREBRO LÄN</t>
        </is>
      </c>
      <c r="E313" t="inlineStr">
        <is>
          <t>ÖREBRO</t>
        </is>
      </c>
      <c r="G313" t="n">
        <v>2.6</v>
      </c>
      <c r="H313" t="n">
        <v>0</v>
      </c>
      <c r="I313" t="n">
        <v>0</v>
      </c>
      <c r="J313" t="n">
        <v>0</v>
      </c>
      <c r="K313" t="n">
        <v>0</v>
      </c>
      <c r="L313" t="n">
        <v>0</v>
      </c>
      <c r="M313" t="n">
        <v>0</v>
      </c>
      <c r="N313" t="n">
        <v>0</v>
      </c>
      <c r="O313" t="n">
        <v>0</v>
      </c>
      <c r="P313" t="n">
        <v>0</v>
      </c>
      <c r="Q313" t="n">
        <v>0</v>
      </c>
      <c r="R313" s="2" t="inlineStr"/>
    </row>
    <row r="314" ht="15" customHeight="1">
      <c r="A314" t="inlineStr">
        <is>
          <t>A 55745-2023</t>
        </is>
      </c>
      <c r="B314" s="1" t="n">
        <v>45239.44811342593</v>
      </c>
      <c r="C314" s="1" t="n">
        <v>45976</v>
      </c>
      <c r="D314" t="inlineStr">
        <is>
          <t>ÖREBRO LÄN</t>
        </is>
      </c>
      <c r="E314" t="inlineStr">
        <is>
          <t>ÖREBRO</t>
        </is>
      </c>
      <c r="G314" t="n">
        <v>13.3</v>
      </c>
      <c r="H314" t="n">
        <v>0</v>
      </c>
      <c r="I314" t="n">
        <v>0</v>
      </c>
      <c r="J314" t="n">
        <v>0</v>
      </c>
      <c r="K314" t="n">
        <v>0</v>
      </c>
      <c r="L314" t="n">
        <v>0</v>
      </c>
      <c r="M314" t="n">
        <v>0</v>
      </c>
      <c r="N314" t="n">
        <v>0</v>
      </c>
      <c r="O314" t="n">
        <v>0</v>
      </c>
      <c r="P314" t="n">
        <v>0</v>
      </c>
      <c r="Q314" t="n">
        <v>0</v>
      </c>
      <c r="R314" s="2" t="inlineStr"/>
    </row>
    <row r="315" ht="15" customHeight="1">
      <c r="A315" t="inlineStr">
        <is>
          <t>A 5578-2024</t>
        </is>
      </c>
      <c r="B315" s="1" t="n">
        <v>45334.49104166667</v>
      </c>
      <c r="C315" s="1" t="n">
        <v>45976</v>
      </c>
      <c r="D315" t="inlineStr">
        <is>
          <t>ÖREBRO LÄN</t>
        </is>
      </c>
      <c r="E315" t="inlineStr">
        <is>
          <t>ÖREBRO</t>
        </is>
      </c>
      <c r="G315" t="n">
        <v>2.4</v>
      </c>
      <c r="H315" t="n">
        <v>0</v>
      </c>
      <c r="I315" t="n">
        <v>0</v>
      </c>
      <c r="J315" t="n">
        <v>0</v>
      </c>
      <c r="K315" t="n">
        <v>0</v>
      </c>
      <c r="L315" t="n">
        <v>0</v>
      </c>
      <c r="M315" t="n">
        <v>0</v>
      </c>
      <c r="N315" t="n">
        <v>0</v>
      </c>
      <c r="O315" t="n">
        <v>0</v>
      </c>
      <c r="P315" t="n">
        <v>0</v>
      </c>
      <c r="Q315" t="n">
        <v>0</v>
      </c>
      <c r="R315" s="2" t="inlineStr"/>
    </row>
    <row r="316" ht="15" customHeight="1">
      <c r="A316" t="inlineStr">
        <is>
          <t>A 38573-2023</t>
        </is>
      </c>
      <c r="B316" s="1" t="n">
        <v>45162.61837962963</v>
      </c>
      <c r="C316" s="1" t="n">
        <v>45976</v>
      </c>
      <c r="D316" t="inlineStr">
        <is>
          <t>ÖREBRO LÄN</t>
        </is>
      </c>
      <c r="E316" t="inlineStr">
        <is>
          <t>ÖREBRO</t>
        </is>
      </c>
      <c r="G316" t="n">
        <v>2.2</v>
      </c>
      <c r="H316" t="n">
        <v>0</v>
      </c>
      <c r="I316" t="n">
        <v>0</v>
      </c>
      <c r="J316" t="n">
        <v>0</v>
      </c>
      <c r="K316" t="n">
        <v>0</v>
      </c>
      <c r="L316" t="n">
        <v>0</v>
      </c>
      <c r="M316" t="n">
        <v>0</v>
      </c>
      <c r="N316" t="n">
        <v>0</v>
      </c>
      <c r="O316" t="n">
        <v>0</v>
      </c>
      <c r="P316" t="n">
        <v>0</v>
      </c>
      <c r="Q316" t="n">
        <v>0</v>
      </c>
      <c r="R316" s="2" t="inlineStr"/>
    </row>
    <row r="317" ht="15" customHeight="1">
      <c r="A317" t="inlineStr">
        <is>
          <t>A 8512-2025</t>
        </is>
      </c>
      <c r="B317" s="1" t="n">
        <v>45709.54873842592</v>
      </c>
      <c r="C317" s="1" t="n">
        <v>45976</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13856-2022</t>
        </is>
      </c>
      <c r="B318" s="1" t="n">
        <v>44649.6965162037</v>
      </c>
      <c r="C318" s="1" t="n">
        <v>45976</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52256-2023</t>
        </is>
      </c>
      <c r="B319" s="1" t="n">
        <v>45224.51471064815</v>
      </c>
      <c r="C319" s="1" t="n">
        <v>45976</v>
      </c>
      <c r="D319" t="inlineStr">
        <is>
          <t>ÖREBRO LÄN</t>
        </is>
      </c>
      <c r="E319" t="inlineStr">
        <is>
          <t>ÖREBRO</t>
        </is>
      </c>
      <c r="G319" t="n">
        <v>2.8</v>
      </c>
      <c r="H319" t="n">
        <v>0</v>
      </c>
      <c r="I319" t="n">
        <v>0</v>
      </c>
      <c r="J319" t="n">
        <v>0</v>
      </c>
      <c r="K319" t="n">
        <v>0</v>
      </c>
      <c r="L319" t="n">
        <v>0</v>
      </c>
      <c r="M319" t="n">
        <v>0</v>
      </c>
      <c r="N319" t="n">
        <v>0</v>
      </c>
      <c r="O319" t="n">
        <v>0</v>
      </c>
      <c r="P319" t="n">
        <v>0</v>
      </c>
      <c r="Q319" t="n">
        <v>0</v>
      </c>
      <c r="R319" s="2" t="inlineStr"/>
    </row>
    <row r="320" ht="15" customHeight="1">
      <c r="A320" t="inlineStr">
        <is>
          <t>A 14715-2024</t>
        </is>
      </c>
      <c r="B320" s="1" t="n">
        <v>45397.5500462963</v>
      </c>
      <c r="C320" s="1" t="n">
        <v>45976</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60289-2023</t>
        </is>
      </c>
      <c r="B321" s="1" t="n">
        <v>45257</v>
      </c>
      <c r="C321" s="1" t="n">
        <v>45976</v>
      </c>
      <c r="D321" t="inlineStr">
        <is>
          <t>ÖREBRO LÄN</t>
        </is>
      </c>
      <c r="E321" t="inlineStr">
        <is>
          <t>ÖREBRO</t>
        </is>
      </c>
      <c r="G321" t="n">
        <v>10.9</v>
      </c>
      <c r="H321" t="n">
        <v>0</v>
      </c>
      <c r="I321" t="n">
        <v>0</v>
      </c>
      <c r="J321" t="n">
        <v>0</v>
      </c>
      <c r="K321" t="n">
        <v>0</v>
      </c>
      <c r="L321" t="n">
        <v>0</v>
      </c>
      <c r="M321" t="n">
        <v>0</v>
      </c>
      <c r="N321" t="n">
        <v>0</v>
      </c>
      <c r="O321" t="n">
        <v>0</v>
      </c>
      <c r="P321" t="n">
        <v>0</v>
      </c>
      <c r="Q321" t="n">
        <v>0</v>
      </c>
      <c r="R321" s="2" t="inlineStr"/>
    </row>
    <row r="322" ht="15" customHeight="1">
      <c r="A322" t="inlineStr">
        <is>
          <t>A 12017-2024</t>
        </is>
      </c>
      <c r="B322" s="1" t="n">
        <v>45377</v>
      </c>
      <c r="C322" s="1" t="n">
        <v>45976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54678-2023</t>
        </is>
      </c>
      <c r="B323" s="1" t="n">
        <v>45235</v>
      </c>
      <c r="C323" s="1" t="n">
        <v>45976</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32086-2023</t>
        </is>
      </c>
      <c r="B324" s="1" t="n">
        <v>45119.59789351852</v>
      </c>
      <c r="C324" s="1" t="n">
        <v>45976</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22079-2023</t>
        </is>
      </c>
      <c r="B325" s="1" t="n">
        <v>45069</v>
      </c>
      <c r="C325" s="1" t="n">
        <v>45976</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190-2024</t>
        </is>
      </c>
      <c r="B326" s="1" t="n">
        <v>45294.61858796296</v>
      </c>
      <c r="C326" s="1" t="n">
        <v>45976</v>
      </c>
      <c r="D326" t="inlineStr">
        <is>
          <t>ÖREBRO LÄN</t>
        </is>
      </c>
      <c r="E326" t="inlineStr">
        <is>
          <t>ÖREBRO</t>
        </is>
      </c>
      <c r="G326" t="n">
        <v>2.4</v>
      </c>
      <c r="H326" t="n">
        <v>0</v>
      </c>
      <c r="I326" t="n">
        <v>0</v>
      </c>
      <c r="J326" t="n">
        <v>0</v>
      </c>
      <c r="K326" t="n">
        <v>0</v>
      </c>
      <c r="L326" t="n">
        <v>0</v>
      </c>
      <c r="M326" t="n">
        <v>0</v>
      </c>
      <c r="N326" t="n">
        <v>0</v>
      </c>
      <c r="O326" t="n">
        <v>0</v>
      </c>
      <c r="P326" t="n">
        <v>0</v>
      </c>
      <c r="Q326" t="n">
        <v>0</v>
      </c>
      <c r="R326" s="2" t="inlineStr"/>
    </row>
    <row r="327" ht="15" customHeight="1">
      <c r="A327" t="inlineStr">
        <is>
          <t>A 58145-2024</t>
        </is>
      </c>
      <c r="B327" s="1" t="n">
        <v>45632.43230324074</v>
      </c>
      <c r="C327" s="1" t="n">
        <v>45976</v>
      </c>
      <c r="D327" t="inlineStr">
        <is>
          <t>ÖREBRO LÄN</t>
        </is>
      </c>
      <c r="E327" t="inlineStr">
        <is>
          <t>ÖREBRO</t>
        </is>
      </c>
      <c r="G327" t="n">
        <v>2.1</v>
      </c>
      <c r="H327" t="n">
        <v>0</v>
      </c>
      <c r="I327" t="n">
        <v>0</v>
      </c>
      <c r="J327" t="n">
        <v>0</v>
      </c>
      <c r="K327" t="n">
        <v>0</v>
      </c>
      <c r="L327" t="n">
        <v>0</v>
      </c>
      <c r="M327" t="n">
        <v>0</v>
      </c>
      <c r="N327" t="n">
        <v>0</v>
      </c>
      <c r="O327" t="n">
        <v>0</v>
      </c>
      <c r="P327" t="n">
        <v>0</v>
      </c>
      <c r="Q327" t="n">
        <v>0</v>
      </c>
      <c r="R327" s="2" t="inlineStr"/>
    </row>
    <row r="328" ht="15" customHeight="1">
      <c r="A328" t="inlineStr">
        <is>
          <t>A 44511-2023</t>
        </is>
      </c>
      <c r="B328" s="1" t="n">
        <v>45189</v>
      </c>
      <c r="C328" s="1" t="n">
        <v>45976</v>
      </c>
      <c r="D328" t="inlineStr">
        <is>
          <t>ÖREBRO LÄN</t>
        </is>
      </c>
      <c r="E328" t="inlineStr">
        <is>
          <t>ÖREBRO</t>
        </is>
      </c>
      <c r="F328" t="inlineStr">
        <is>
          <t>Allmännings- och besparingsskogar</t>
        </is>
      </c>
      <c r="G328" t="n">
        <v>2.7</v>
      </c>
      <c r="H328" t="n">
        <v>0</v>
      </c>
      <c r="I328" t="n">
        <v>0</v>
      </c>
      <c r="J328" t="n">
        <v>0</v>
      </c>
      <c r="K328" t="n">
        <v>0</v>
      </c>
      <c r="L328" t="n">
        <v>0</v>
      </c>
      <c r="M328" t="n">
        <v>0</v>
      </c>
      <c r="N328" t="n">
        <v>0</v>
      </c>
      <c r="O328" t="n">
        <v>0</v>
      </c>
      <c r="P328" t="n">
        <v>0</v>
      </c>
      <c r="Q328" t="n">
        <v>0</v>
      </c>
      <c r="R328" s="2" t="inlineStr"/>
    </row>
    <row r="329" ht="15" customHeight="1">
      <c r="A329" t="inlineStr">
        <is>
          <t>A 2630-2023</t>
        </is>
      </c>
      <c r="B329" s="1" t="n">
        <v>44944.39105324074</v>
      </c>
      <c r="C329" s="1" t="n">
        <v>45976</v>
      </c>
      <c r="D329" t="inlineStr">
        <is>
          <t>ÖREBRO LÄN</t>
        </is>
      </c>
      <c r="E329" t="inlineStr">
        <is>
          <t>ÖREBRO</t>
        </is>
      </c>
      <c r="G329" t="n">
        <v>6.1</v>
      </c>
      <c r="H329" t="n">
        <v>0</v>
      </c>
      <c r="I329" t="n">
        <v>0</v>
      </c>
      <c r="J329" t="n">
        <v>0</v>
      </c>
      <c r="K329" t="n">
        <v>0</v>
      </c>
      <c r="L329" t="n">
        <v>0</v>
      </c>
      <c r="M329" t="n">
        <v>0</v>
      </c>
      <c r="N329" t="n">
        <v>0</v>
      </c>
      <c r="O329" t="n">
        <v>0</v>
      </c>
      <c r="P329" t="n">
        <v>0</v>
      </c>
      <c r="Q329" t="n">
        <v>0</v>
      </c>
      <c r="R329" s="2" t="inlineStr"/>
    </row>
    <row r="330" ht="15" customHeight="1">
      <c r="A330" t="inlineStr">
        <is>
          <t>A 5330-2024</t>
        </is>
      </c>
      <c r="B330" s="1" t="n">
        <v>45331.4187962963</v>
      </c>
      <c r="C330" s="1" t="n">
        <v>45976</v>
      </c>
      <c r="D330" t="inlineStr">
        <is>
          <t>ÖREBRO LÄN</t>
        </is>
      </c>
      <c r="E330" t="inlineStr">
        <is>
          <t>ÖREBRO</t>
        </is>
      </c>
      <c r="G330" t="n">
        <v>1.4</v>
      </c>
      <c r="H330" t="n">
        <v>0</v>
      </c>
      <c r="I330" t="n">
        <v>0</v>
      </c>
      <c r="J330" t="n">
        <v>0</v>
      </c>
      <c r="K330" t="n">
        <v>0</v>
      </c>
      <c r="L330" t="n">
        <v>0</v>
      </c>
      <c r="M330" t="n">
        <v>0</v>
      </c>
      <c r="N330" t="n">
        <v>0</v>
      </c>
      <c r="O330" t="n">
        <v>0</v>
      </c>
      <c r="P330" t="n">
        <v>0</v>
      </c>
      <c r="Q330" t="n">
        <v>0</v>
      </c>
      <c r="R330" s="2" t="inlineStr"/>
    </row>
    <row r="331" ht="15" customHeight="1">
      <c r="A331" t="inlineStr">
        <is>
          <t>A 54925-2023</t>
        </is>
      </c>
      <c r="B331" s="1" t="n">
        <v>45229</v>
      </c>
      <c r="C331" s="1" t="n">
        <v>45976</v>
      </c>
      <c r="D331" t="inlineStr">
        <is>
          <t>ÖREBRO LÄN</t>
        </is>
      </c>
      <c r="E331" t="inlineStr">
        <is>
          <t>ÖREBRO</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52447-2024</t>
        </is>
      </c>
      <c r="B332" s="1" t="n">
        <v>45609.49157407408</v>
      </c>
      <c r="C332" s="1" t="n">
        <v>45976</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43803-2023</t>
        </is>
      </c>
      <c r="B333" s="1" t="n">
        <v>45187</v>
      </c>
      <c r="C333" s="1" t="n">
        <v>45976</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55943-2024</t>
        </is>
      </c>
      <c r="B334" s="1" t="n">
        <v>45623.61278935185</v>
      </c>
      <c r="C334" s="1" t="n">
        <v>45976</v>
      </c>
      <c r="D334" t="inlineStr">
        <is>
          <t>ÖREBRO LÄN</t>
        </is>
      </c>
      <c r="E334" t="inlineStr">
        <is>
          <t>ÖREBRO</t>
        </is>
      </c>
      <c r="G334" t="n">
        <v>4.8</v>
      </c>
      <c r="H334" t="n">
        <v>0</v>
      </c>
      <c r="I334" t="n">
        <v>0</v>
      </c>
      <c r="J334" t="n">
        <v>0</v>
      </c>
      <c r="K334" t="n">
        <v>0</v>
      </c>
      <c r="L334" t="n">
        <v>0</v>
      </c>
      <c r="M334" t="n">
        <v>0</v>
      </c>
      <c r="N334" t="n">
        <v>0</v>
      </c>
      <c r="O334" t="n">
        <v>0</v>
      </c>
      <c r="P334" t="n">
        <v>0</v>
      </c>
      <c r="Q334" t="n">
        <v>0</v>
      </c>
      <c r="R334" s="2" t="inlineStr"/>
    </row>
    <row r="335" ht="15" customHeight="1">
      <c r="A335" t="inlineStr">
        <is>
          <t>A 16300-2022</t>
        </is>
      </c>
      <c r="B335" s="1" t="n">
        <v>44670</v>
      </c>
      <c r="C335" s="1" t="n">
        <v>45976</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10830-2023</t>
        </is>
      </c>
      <c r="B336" s="1" t="n">
        <v>44990.89752314815</v>
      </c>
      <c r="C336" s="1" t="n">
        <v>45976</v>
      </c>
      <c r="D336" t="inlineStr">
        <is>
          <t>ÖREBRO LÄN</t>
        </is>
      </c>
      <c r="E336" t="inlineStr">
        <is>
          <t>ÖREBRO</t>
        </is>
      </c>
      <c r="G336" t="n">
        <v>2</v>
      </c>
      <c r="H336" t="n">
        <v>0</v>
      </c>
      <c r="I336" t="n">
        <v>0</v>
      </c>
      <c r="J336" t="n">
        <v>0</v>
      </c>
      <c r="K336" t="n">
        <v>0</v>
      </c>
      <c r="L336" t="n">
        <v>0</v>
      </c>
      <c r="M336" t="n">
        <v>0</v>
      </c>
      <c r="N336" t="n">
        <v>0</v>
      </c>
      <c r="O336" t="n">
        <v>0</v>
      </c>
      <c r="P336" t="n">
        <v>0</v>
      </c>
      <c r="Q336" t="n">
        <v>0</v>
      </c>
      <c r="R336" s="2" t="inlineStr"/>
    </row>
    <row r="337" ht="15" customHeight="1">
      <c r="A337" t="inlineStr">
        <is>
          <t>A 9585-2025</t>
        </is>
      </c>
      <c r="B337" s="1" t="n">
        <v>45715.63409722222</v>
      </c>
      <c r="C337" s="1" t="n">
        <v>45976</v>
      </c>
      <c r="D337" t="inlineStr">
        <is>
          <t>ÖREBRO LÄN</t>
        </is>
      </c>
      <c r="E337" t="inlineStr">
        <is>
          <t>ÖREBRO</t>
        </is>
      </c>
      <c r="G337" t="n">
        <v>3.4</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45976</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18181-2024</t>
        </is>
      </c>
      <c r="B339" s="1" t="n">
        <v>45420.64561342593</v>
      </c>
      <c r="C339" s="1" t="n">
        <v>45976</v>
      </c>
      <c r="D339" t="inlineStr">
        <is>
          <t>ÖREBRO LÄN</t>
        </is>
      </c>
      <c r="E339" t="inlineStr">
        <is>
          <t>ÖREBRO</t>
        </is>
      </c>
      <c r="G339" t="n">
        <v>7.6</v>
      </c>
      <c r="H339" t="n">
        <v>0</v>
      </c>
      <c r="I339" t="n">
        <v>0</v>
      </c>
      <c r="J339" t="n">
        <v>0</v>
      </c>
      <c r="K339" t="n">
        <v>0</v>
      </c>
      <c r="L339" t="n">
        <v>0</v>
      </c>
      <c r="M339" t="n">
        <v>0</v>
      </c>
      <c r="N339" t="n">
        <v>0</v>
      </c>
      <c r="O339" t="n">
        <v>0</v>
      </c>
      <c r="P339" t="n">
        <v>0</v>
      </c>
      <c r="Q339" t="n">
        <v>0</v>
      </c>
      <c r="R339" s="2" t="inlineStr"/>
    </row>
    <row r="340" ht="15" customHeight="1">
      <c r="A340" t="inlineStr">
        <is>
          <t>A 5125-2024</t>
        </is>
      </c>
      <c r="B340" s="1" t="n">
        <v>45330</v>
      </c>
      <c r="C340" s="1" t="n">
        <v>45976</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42138-2024</t>
        </is>
      </c>
      <c r="B341" s="1" t="n">
        <v>45562.41854166667</v>
      </c>
      <c r="C341" s="1" t="n">
        <v>45976</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6794-2025</t>
        </is>
      </c>
      <c r="B342" s="1" t="n">
        <v>45700.66429398148</v>
      </c>
      <c r="C342" s="1" t="n">
        <v>45976</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26101-2022</t>
        </is>
      </c>
      <c r="B343" s="1" t="n">
        <v>44734</v>
      </c>
      <c r="C343" s="1" t="n">
        <v>45976</v>
      </c>
      <c r="D343" t="inlineStr">
        <is>
          <t>ÖREBRO LÄN</t>
        </is>
      </c>
      <c r="E343" t="inlineStr">
        <is>
          <t>ÖREBRO</t>
        </is>
      </c>
      <c r="G343" t="n">
        <v>15.8</v>
      </c>
      <c r="H343" t="n">
        <v>0</v>
      </c>
      <c r="I343" t="n">
        <v>0</v>
      </c>
      <c r="J343" t="n">
        <v>0</v>
      </c>
      <c r="K343" t="n">
        <v>0</v>
      </c>
      <c r="L343" t="n">
        <v>0</v>
      </c>
      <c r="M343" t="n">
        <v>0</v>
      </c>
      <c r="N343" t="n">
        <v>0</v>
      </c>
      <c r="O343" t="n">
        <v>0</v>
      </c>
      <c r="P343" t="n">
        <v>0</v>
      </c>
      <c r="Q343" t="n">
        <v>0</v>
      </c>
      <c r="R343" s="2" t="inlineStr"/>
    </row>
    <row r="344" ht="15" customHeight="1">
      <c r="A344" t="inlineStr">
        <is>
          <t>A 2095-2025</t>
        </is>
      </c>
      <c r="B344" s="1" t="n">
        <v>45672</v>
      </c>
      <c r="C344" s="1" t="n">
        <v>45976</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70707-2021</t>
        </is>
      </c>
      <c r="B345" s="1" t="n">
        <v>44537</v>
      </c>
      <c r="C345" s="1" t="n">
        <v>45976</v>
      </c>
      <c r="D345" t="inlineStr">
        <is>
          <t>ÖREBRO LÄN</t>
        </is>
      </c>
      <c r="E345" t="inlineStr">
        <is>
          <t>ÖREBRO</t>
        </is>
      </c>
      <c r="G345" t="n">
        <v>13.2</v>
      </c>
      <c r="H345" t="n">
        <v>0</v>
      </c>
      <c r="I345" t="n">
        <v>0</v>
      </c>
      <c r="J345" t="n">
        <v>0</v>
      </c>
      <c r="K345" t="n">
        <v>0</v>
      </c>
      <c r="L345" t="n">
        <v>0</v>
      </c>
      <c r="M345" t="n">
        <v>0</v>
      </c>
      <c r="N345" t="n">
        <v>0</v>
      </c>
      <c r="O345" t="n">
        <v>0</v>
      </c>
      <c r="P345" t="n">
        <v>0</v>
      </c>
      <c r="Q345" t="n">
        <v>0</v>
      </c>
      <c r="R345" s="2" t="inlineStr"/>
    </row>
    <row r="346" ht="15" customHeight="1">
      <c r="A346" t="inlineStr">
        <is>
          <t>A 2596-2022</t>
        </is>
      </c>
      <c r="B346" s="1" t="n">
        <v>44580</v>
      </c>
      <c r="C346" s="1" t="n">
        <v>45976</v>
      </c>
      <c r="D346" t="inlineStr">
        <is>
          <t>ÖREBRO LÄN</t>
        </is>
      </c>
      <c r="E346" t="inlineStr">
        <is>
          <t>ÖREBRO</t>
        </is>
      </c>
      <c r="G346" t="n">
        <v>4.3</v>
      </c>
      <c r="H346" t="n">
        <v>0</v>
      </c>
      <c r="I346" t="n">
        <v>0</v>
      </c>
      <c r="J346" t="n">
        <v>0</v>
      </c>
      <c r="K346" t="n">
        <v>0</v>
      </c>
      <c r="L346" t="n">
        <v>0</v>
      </c>
      <c r="M346" t="n">
        <v>0</v>
      </c>
      <c r="N346" t="n">
        <v>0</v>
      </c>
      <c r="O346" t="n">
        <v>0</v>
      </c>
      <c r="P346" t="n">
        <v>0</v>
      </c>
      <c r="Q346" t="n">
        <v>0</v>
      </c>
      <c r="R346" s="2" t="inlineStr"/>
    </row>
    <row r="347" ht="15" customHeight="1">
      <c r="A347" t="inlineStr">
        <is>
          <t>A 71206-2021</t>
        </is>
      </c>
      <c r="B347" s="1" t="n">
        <v>44539</v>
      </c>
      <c r="C347" s="1" t="n">
        <v>45976</v>
      </c>
      <c r="D347" t="inlineStr">
        <is>
          <t>ÖREBRO LÄN</t>
        </is>
      </c>
      <c r="E347" t="inlineStr">
        <is>
          <t>ÖREBRO</t>
        </is>
      </c>
      <c r="G347" t="n">
        <v>2.5</v>
      </c>
      <c r="H347" t="n">
        <v>0</v>
      </c>
      <c r="I347" t="n">
        <v>0</v>
      </c>
      <c r="J347" t="n">
        <v>0</v>
      </c>
      <c r="K347" t="n">
        <v>0</v>
      </c>
      <c r="L347" t="n">
        <v>0</v>
      </c>
      <c r="M347" t="n">
        <v>0</v>
      </c>
      <c r="N347" t="n">
        <v>0</v>
      </c>
      <c r="O347" t="n">
        <v>0</v>
      </c>
      <c r="P347" t="n">
        <v>0</v>
      </c>
      <c r="Q347" t="n">
        <v>0</v>
      </c>
      <c r="R347" s="2" t="inlineStr"/>
    </row>
    <row r="348" ht="15" customHeight="1">
      <c r="A348" t="inlineStr">
        <is>
          <t>A 13857-2022</t>
        </is>
      </c>
      <c r="B348" s="1" t="n">
        <v>44649</v>
      </c>
      <c r="C348" s="1" t="n">
        <v>45976</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48140-2024</t>
        </is>
      </c>
      <c r="B349" s="1" t="n">
        <v>45589.66474537037</v>
      </c>
      <c r="C349" s="1" t="n">
        <v>45976</v>
      </c>
      <c r="D349" t="inlineStr">
        <is>
          <t>ÖREBRO LÄN</t>
        </is>
      </c>
      <c r="E349" t="inlineStr">
        <is>
          <t>ÖREBRO</t>
        </is>
      </c>
      <c r="G349" t="n">
        <v>2.4</v>
      </c>
      <c r="H349" t="n">
        <v>0</v>
      </c>
      <c r="I349" t="n">
        <v>0</v>
      </c>
      <c r="J349" t="n">
        <v>0</v>
      </c>
      <c r="K349" t="n">
        <v>0</v>
      </c>
      <c r="L349" t="n">
        <v>0</v>
      </c>
      <c r="M349" t="n">
        <v>0</v>
      </c>
      <c r="N349" t="n">
        <v>0</v>
      </c>
      <c r="O349" t="n">
        <v>0</v>
      </c>
      <c r="P349" t="n">
        <v>0</v>
      </c>
      <c r="Q349" t="n">
        <v>0</v>
      </c>
      <c r="R349" s="2" t="inlineStr"/>
    </row>
    <row r="350" ht="15" customHeight="1">
      <c r="A350" t="inlineStr">
        <is>
          <t>A 55692-2023</t>
        </is>
      </c>
      <c r="B350" s="1" t="n">
        <v>45239</v>
      </c>
      <c r="C350" s="1" t="n">
        <v>45976</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41703-2024</t>
        </is>
      </c>
      <c r="B351" s="1" t="n">
        <v>45560</v>
      </c>
      <c r="C351" s="1" t="n">
        <v>45976</v>
      </c>
      <c r="D351" t="inlineStr">
        <is>
          <t>ÖREBRO LÄN</t>
        </is>
      </c>
      <c r="E351" t="inlineStr">
        <is>
          <t>ÖREBRO</t>
        </is>
      </c>
      <c r="G351" t="n">
        <v>6.4</v>
      </c>
      <c r="H351" t="n">
        <v>0</v>
      </c>
      <c r="I351" t="n">
        <v>0</v>
      </c>
      <c r="J351" t="n">
        <v>0</v>
      </c>
      <c r="K351" t="n">
        <v>0</v>
      </c>
      <c r="L351" t="n">
        <v>0</v>
      </c>
      <c r="M351" t="n">
        <v>0</v>
      </c>
      <c r="N351" t="n">
        <v>0</v>
      </c>
      <c r="O351" t="n">
        <v>0</v>
      </c>
      <c r="P351" t="n">
        <v>0</v>
      </c>
      <c r="Q351" t="n">
        <v>0</v>
      </c>
      <c r="R351" s="2" t="inlineStr"/>
    </row>
    <row r="352" ht="15" customHeight="1">
      <c r="A352" t="inlineStr">
        <is>
          <t>A 60100-2022</t>
        </is>
      </c>
      <c r="B352" s="1" t="n">
        <v>44902</v>
      </c>
      <c r="C352" s="1" t="n">
        <v>45976</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15866-2022</t>
        </is>
      </c>
      <c r="B353" s="1" t="n">
        <v>44664</v>
      </c>
      <c r="C353" s="1" t="n">
        <v>45976</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2152-2023</t>
        </is>
      </c>
      <c r="B354" s="1" t="n">
        <v>44941.55056712963</v>
      </c>
      <c r="C354" s="1" t="n">
        <v>45976</v>
      </c>
      <c r="D354" t="inlineStr">
        <is>
          <t>ÖREBRO LÄN</t>
        </is>
      </c>
      <c r="E354" t="inlineStr">
        <is>
          <t>ÖREBRO</t>
        </is>
      </c>
      <c r="G354" t="n">
        <v>8</v>
      </c>
      <c r="H354" t="n">
        <v>0</v>
      </c>
      <c r="I354" t="n">
        <v>0</v>
      </c>
      <c r="J354" t="n">
        <v>0</v>
      </c>
      <c r="K354" t="n">
        <v>0</v>
      </c>
      <c r="L354" t="n">
        <v>0</v>
      </c>
      <c r="M354" t="n">
        <v>0</v>
      </c>
      <c r="N354" t="n">
        <v>0</v>
      </c>
      <c r="O354" t="n">
        <v>0</v>
      </c>
      <c r="P354" t="n">
        <v>0</v>
      </c>
      <c r="Q354" t="n">
        <v>0</v>
      </c>
      <c r="R354" s="2" t="inlineStr"/>
    </row>
    <row r="355" ht="15" customHeight="1">
      <c r="A355" t="inlineStr">
        <is>
          <t>A 8656-2025</t>
        </is>
      </c>
      <c r="B355" s="1" t="n">
        <v>45712.38268518518</v>
      </c>
      <c r="C355" s="1" t="n">
        <v>45976</v>
      </c>
      <c r="D355" t="inlineStr">
        <is>
          <t>ÖREBRO LÄN</t>
        </is>
      </c>
      <c r="E355" t="inlineStr">
        <is>
          <t>ÖREBRO</t>
        </is>
      </c>
      <c r="G355" t="n">
        <v>2.7</v>
      </c>
      <c r="H355" t="n">
        <v>0</v>
      </c>
      <c r="I355" t="n">
        <v>0</v>
      </c>
      <c r="J355" t="n">
        <v>0</v>
      </c>
      <c r="K355" t="n">
        <v>0</v>
      </c>
      <c r="L355" t="n">
        <v>0</v>
      </c>
      <c r="M355" t="n">
        <v>0</v>
      </c>
      <c r="N355" t="n">
        <v>0</v>
      </c>
      <c r="O355" t="n">
        <v>0</v>
      </c>
      <c r="P355" t="n">
        <v>0</v>
      </c>
      <c r="Q355" t="n">
        <v>0</v>
      </c>
      <c r="R355" s="2" t="inlineStr"/>
    </row>
    <row r="356" ht="15" customHeight="1">
      <c r="A356" t="inlineStr">
        <is>
          <t>A 55353-2024</t>
        </is>
      </c>
      <c r="B356" s="1" t="n">
        <v>45621.79526620371</v>
      </c>
      <c r="C356" s="1" t="n">
        <v>45976</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55357-2024</t>
        </is>
      </c>
      <c r="B357" s="1" t="n">
        <v>45621.81126157408</v>
      </c>
      <c r="C357" s="1" t="n">
        <v>45976</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42623-2022</t>
        </is>
      </c>
      <c r="B358" s="1" t="n">
        <v>44831</v>
      </c>
      <c r="C358" s="1" t="n">
        <v>45976</v>
      </c>
      <c r="D358" t="inlineStr">
        <is>
          <t>ÖREBRO LÄN</t>
        </is>
      </c>
      <c r="E358" t="inlineStr">
        <is>
          <t>ÖREBRO</t>
        </is>
      </c>
      <c r="G358" t="n">
        <v>3.6</v>
      </c>
      <c r="H358" t="n">
        <v>0</v>
      </c>
      <c r="I358" t="n">
        <v>0</v>
      </c>
      <c r="J358" t="n">
        <v>0</v>
      </c>
      <c r="K358" t="n">
        <v>0</v>
      </c>
      <c r="L358" t="n">
        <v>0</v>
      </c>
      <c r="M358" t="n">
        <v>0</v>
      </c>
      <c r="N358" t="n">
        <v>0</v>
      </c>
      <c r="O358" t="n">
        <v>0</v>
      </c>
      <c r="P358" t="n">
        <v>0</v>
      </c>
      <c r="Q358" t="n">
        <v>0</v>
      </c>
      <c r="R358" s="2" t="inlineStr"/>
    </row>
    <row r="359" ht="15" customHeight="1">
      <c r="A359" t="inlineStr">
        <is>
          <t>A 72329-2021</t>
        </is>
      </c>
      <c r="B359" s="1" t="n">
        <v>44545.46072916667</v>
      </c>
      <c r="C359" s="1" t="n">
        <v>45976</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41412-2025</t>
        </is>
      </c>
      <c r="B360" s="1" t="n">
        <v>45901.3549537037</v>
      </c>
      <c r="C360" s="1" t="n">
        <v>45976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33577-2023</t>
        </is>
      </c>
      <c r="B361" s="1" t="n">
        <v>45131</v>
      </c>
      <c r="C361" s="1" t="n">
        <v>45976</v>
      </c>
      <c r="D361" t="inlineStr">
        <is>
          <t>ÖREBRO LÄN</t>
        </is>
      </c>
      <c r="E361" t="inlineStr">
        <is>
          <t>ÖREBRO</t>
        </is>
      </c>
      <c r="G361" t="n">
        <v>2</v>
      </c>
      <c r="H361" t="n">
        <v>0</v>
      </c>
      <c r="I361" t="n">
        <v>0</v>
      </c>
      <c r="J361" t="n">
        <v>0</v>
      </c>
      <c r="K361" t="n">
        <v>0</v>
      </c>
      <c r="L361" t="n">
        <v>0</v>
      </c>
      <c r="M361" t="n">
        <v>0</v>
      </c>
      <c r="N361" t="n">
        <v>0</v>
      </c>
      <c r="O361" t="n">
        <v>0</v>
      </c>
      <c r="P361" t="n">
        <v>0</v>
      </c>
      <c r="Q361" t="n">
        <v>0</v>
      </c>
      <c r="R361" s="2" t="inlineStr"/>
    </row>
    <row r="362" ht="15" customHeight="1">
      <c r="A362" t="inlineStr">
        <is>
          <t>A 38489-2023</t>
        </is>
      </c>
      <c r="B362" s="1" t="n">
        <v>45162</v>
      </c>
      <c r="C362" s="1" t="n">
        <v>45976</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41669-2025</t>
        </is>
      </c>
      <c r="B363" s="1" t="n">
        <v>45902.36149305556</v>
      </c>
      <c r="C363" s="1" t="n">
        <v>45976</v>
      </c>
      <c r="D363" t="inlineStr">
        <is>
          <t>ÖREBRO LÄN</t>
        </is>
      </c>
      <c r="E363" t="inlineStr">
        <is>
          <t>ÖREBRO</t>
        </is>
      </c>
      <c r="G363" t="n">
        <v>2.8</v>
      </c>
      <c r="H363" t="n">
        <v>0</v>
      </c>
      <c r="I363" t="n">
        <v>0</v>
      </c>
      <c r="J363" t="n">
        <v>0</v>
      </c>
      <c r="K363" t="n">
        <v>0</v>
      </c>
      <c r="L363" t="n">
        <v>0</v>
      </c>
      <c r="M363" t="n">
        <v>0</v>
      </c>
      <c r="N363" t="n">
        <v>0</v>
      </c>
      <c r="O363" t="n">
        <v>0</v>
      </c>
      <c r="P363" t="n">
        <v>0</v>
      </c>
      <c r="Q363" t="n">
        <v>0</v>
      </c>
      <c r="R363" s="2" t="inlineStr"/>
    </row>
    <row r="364" ht="15" customHeight="1">
      <c r="A364" t="inlineStr">
        <is>
          <t>A 4344-2025</t>
        </is>
      </c>
      <c r="B364" s="1" t="n">
        <v>45685</v>
      </c>
      <c r="C364" s="1" t="n">
        <v>45976</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19763-2024</t>
        </is>
      </c>
      <c r="B365" s="1" t="n">
        <v>45432</v>
      </c>
      <c r="C365" s="1" t="n">
        <v>45976</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14545-2023</t>
        </is>
      </c>
      <c r="B366" s="1" t="n">
        <v>45013.34895833334</v>
      </c>
      <c r="C366" s="1" t="n">
        <v>45976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55355-2024</t>
        </is>
      </c>
      <c r="B367" s="1" t="n">
        <v>45621.80475694445</v>
      </c>
      <c r="C367" s="1" t="n">
        <v>45976</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54917-2023</t>
        </is>
      </c>
      <c r="B368" s="1" t="n">
        <v>45229</v>
      </c>
      <c r="C368" s="1" t="n">
        <v>45976</v>
      </c>
      <c r="D368" t="inlineStr">
        <is>
          <t>ÖREBRO LÄN</t>
        </is>
      </c>
      <c r="E368" t="inlineStr">
        <is>
          <t>ÖREBRO</t>
        </is>
      </c>
      <c r="G368" t="n">
        <v>3.1</v>
      </c>
      <c r="H368" t="n">
        <v>0</v>
      </c>
      <c r="I368" t="n">
        <v>0</v>
      </c>
      <c r="J368" t="n">
        <v>0</v>
      </c>
      <c r="K368" t="n">
        <v>0</v>
      </c>
      <c r="L368" t="n">
        <v>0</v>
      </c>
      <c r="M368" t="n">
        <v>0</v>
      </c>
      <c r="N368" t="n">
        <v>0</v>
      </c>
      <c r="O368" t="n">
        <v>0</v>
      </c>
      <c r="P368" t="n">
        <v>0</v>
      </c>
      <c r="Q368" t="n">
        <v>0</v>
      </c>
      <c r="R368" s="2" t="inlineStr"/>
    </row>
    <row r="369" ht="15" customHeight="1">
      <c r="A369" t="inlineStr">
        <is>
          <t>A 50311-2025</t>
        </is>
      </c>
      <c r="B369" s="1" t="n">
        <v>45944</v>
      </c>
      <c r="C369" s="1" t="n">
        <v>45976</v>
      </c>
      <c r="D369" t="inlineStr">
        <is>
          <t>ÖREBRO LÄN</t>
        </is>
      </c>
      <c r="E369" t="inlineStr">
        <is>
          <t>ÖREBRO</t>
        </is>
      </c>
      <c r="G369" t="n">
        <v>1.7</v>
      </c>
      <c r="H369" t="n">
        <v>0</v>
      </c>
      <c r="I369" t="n">
        <v>0</v>
      </c>
      <c r="J369" t="n">
        <v>0</v>
      </c>
      <c r="K369" t="n">
        <v>0</v>
      </c>
      <c r="L369" t="n">
        <v>0</v>
      </c>
      <c r="M369" t="n">
        <v>0</v>
      </c>
      <c r="N369" t="n">
        <v>0</v>
      </c>
      <c r="O369" t="n">
        <v>0</v>
      </c>
      <c r="P369" t="n">
        <v>0</v>
      </c>
      <c r="Q369" t="n">
        <v>0</v>
      </c>
      <c r="R369" s="2" t="inlineStr"/>
    </row>
    <row r="370" ht="15" customHeight="1">
      <c r="A370" t="inlineStr">
        <is>
          <t>A 14432-2023</t>
        </is>
      </c>
      <c r="B370" s="1" t="n">
        <v>45012</v>
      </c>
      <c r="C370" s="1" t="n">
        <v>45976</v>
      </c>
      <c r="D370" t="inlineStr">
        <is>
          <t>ÖREBRO LÄN</t>
        </is>
      </c>
      <c r="E370" t="inlineStr">
        <is>
          <t>ÖREBRO</t>
        </is>
      </c>
      <c r="G370" t="n">
        <v>3.3</v>
      </c>
      <c r="H370" t="n">
        <v>0</v>
      </c>
      <c r="I370" t="n">
        <v>0</v>
      </c>
      <c r="J370" t="n">
        <v>0</v>
      </c>
      <c r="K370" t="n">
        <v>0</v>
      </c>
      <c r="L370" t="n">
        <v>0</v>
      </c>
      <c r="M370" t="n">
        <v>0</v>
      </c>
      <c r="N370" t="n">
        <v>0</v>
      </c>
      <c r="O370" t="n">
        <v>0</v>
      </c>
      <c r="P370" t="n">
        <v>0</v>
      </c>
      <c r="Q370" t="n">
        <v>0</v>
      </c>
      <c r="R370" s="2" t="inlineStr"/>
    </row>
    <row r="371" ht="15" customHeight="1">
      <c r="A371" t="inlineStr">
        <is>
          <t>A 3652-2022</t>
        </is>
      </c>
      <c r="B371" s="1" t="n">
        <v>44586.46921296296</v>
      </c>
      <c r="C371" s="1" t="n">
        <v>45976</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37021-2024</t>
        </is>
      </c>
      <c r="B372" s="1" t="n">
        <v>45539.38146990741</v>
      </c>
      <c r="C372" s="1" t="n">
        <v>45976</v>
      </c>
      <c r="D372" t="inlineStr">
        <is>
          <t>ÖREBRO LÄN</t>
        </is>
      </c>
      <c r="E372" t="inlineStr">
        <is>
          <t>ÖREBRO</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56077-2022</t>
        </is>
      </c>
      <c r="B373" s="1" t="n">
        <v>44889.60872685185</v>
      </c>
      <c r="C373" s="1" t="n">
        <v>45976</v>
      </c>
      <c r="D373" t="inlineStr">
        <is>
          <t>ÖREBRO LÄN</t>
        </is>
      </c>
      <c r="E373" t="inlineStr">
        <is>
          <t>ÖREBRO</t>
        </is>
      </c>
      <c r="F373" t="inlineStr">
        <is>
          <t>Övriga Aktiebolag</t>
        </is>
      </c>
      <c r="G373" t="n">
        <v>2.5</v>
      </c>
      <c r="H373" t="n">
        <v>0</v>
      </c>
      <c r="I373" t="n">
        <v>0</v>
      </c>
      <c r="J373" t="n">
        <v>0</v>
      </c>
      <c r="K373" t="n">
        <v>0</v>
      </c>
      <c r="L373" t="n">
        <v>0</v>
      </c>
      <c r="M373" t="n">
        <v>0</v>
      </c>
      <c r="N373" t="n">
        <v>0</v>
      </c>
      <c r="O373" t="n">
        <v>0</v>
      </c>
      <c r="P373" t="n">
        <v>0</v>
      </c>
      <c r="Q373" t="n">
        <v>0</v>
      </c>
      <c r="R373" s="2" t="inlineStr"/>
    </row>
    <row r="374" ht="15" customHeight="1">
      <c r="A374" t="inlineStr">
        <is>
          <t>A 33457-2023</t>
        </is>
      </c>
      <c r="B374" s="1" t="n">
        <v>45131</v>
      </c>
      <c r="C374" s="1" t="n">
        <v>45976</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7141-2025</t>
        </is>
      </c>
      <c r="B375" s="1" t="n">
        <v>45702</v>
      </c>
      <c r="C375" s="1" t="n">
        <v>45976</v>
      </c>
      <c r="D375" t="inlineStr">
        <is>
          <t>ÖREBRO LÄN</t>
        </is>
      </c>
      <c r="E375" t="inlineStr">
        <is>
          <t>ÖREBRO</t>
        </is>
      </c>
      <c r="G375" t="n">
        <v>2.9</v>
      </c>
      <c r="H375" t="n">
        <v>0</v>
      </c>
      <c r="I375" t="n">
        <v>0</v>
      </c>
      <c r="J375" t="n">
        <v>0</v>
      </c>
      <c r="K375" t="n">
        <v>0</v>
      </c>
      <c r="L375" t="n">
        <v>0</v>
      </c>
      <c r="M375" t="n">
        <v>0</v>
      </c>
      <c r="N375" t="n">
        <v>0</v>
      </c>
      <c r="O375" t="n">
        <v>0</v>
      </c>
      <c r="P375" t="n">
        <v>0</v>
      </c>
      <c r="Q375" t="n">
        <v>0</v>
      </c>
      <c r="R375" s="2" t="inlineStr"/>
    </row>
    <row r="376" ht="15" customHeight="1">
      <c r="A376" t="inlineStr">
        <is>
          <t>A 52499-2024</t>
        </is>
      </c>
      <c r="B376" s="1" t="n">
        <v>45609.58422453704</v>
      </c>
      <c r="C376" s="1" t="n">
        <v>45976</v>
      </c>
      <c r="D376" t="inlineStr">
        <is>
          <t>ÖREBRO LÄN</t>
        </is>
      </c>
      <c r="E376" t="inlineStr">
        <is>
          <t>ÖREBRO</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8374-2021</t>
        </is>
      </c>
      <c r="B377" s="1" t="n">
        <v>44244</v>
      </c>
      <c r="C377" s="1" t="n">
        <v>45976</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14960-2025</t>
        </is>
      </c>
      <c r="B378" s="1" t="n">
        <v>45743.5853125</v>
      </c>
      <c r="C378" s="1" t="n">
        <v>45976</v>
      </c>
      <c r="D378" t="inlineStr">
        <is>
          <t>ÖREBRO LÄN</t>
        </is>
      </c>
      <c r="E378" t="inlineStr">
        <is>
          <t>ÖREBRO</t>
        </is>
      </c>
      <c r="G378" t="n">
        <v>1.6</v>
      </c>
      <c r="H378" t="n">
        <v>0</v>
      </c>
      <c r="I378" t="n">
        <v>0</v>
      </c>
      <c r="J378" t="n">
        <v>0</v>
      </c>
      <c r="K378" t="n">
        <v>0</v>
      </c>
      <c r="L378" t="n">
        <v>0</v>
      </c>
      <c r="M378" t="n">
        <v>0</v>
      </c>
      <c r="N378" t="n">
        <v>0</v>
      </c>
      <c r="O378" t="n">
        <v>0</v>
      </c>
      <c r="P378" t="n">
        <v>0</v>
      </c>
      <c r="Q378" t="n">
        <v>0</v>
      </c>
      <c r="R378" s="2" t="inlineStr"/>
    </row>
    <row r="379" ht="15" customHeight="1">
      <c r="A379" t="inlineStr">
        <is>
          <t>A 13623-2024</t>
        </is>
      </c>
      <c r="B379" s="1" t="n">
        <v>45390.38626157407</v>
      </c>
      <c r="C379" s="1" t="n">
        <v>45976</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22677-2022</t>
        </is>
      </c>
      <c r="B380" s="1" t="n">
        <v>44714</v>
      </c>
      <c r="C380" s="1" t="n">
        <v>45976</v>
      </c>
      <c r="D380" t="inlineStr">
        <is>
          <t>ÖREBRO LÄN</t>
        </is>
      </c>
      <c r="E380" t="inlineStr">
        <is>
          <t>ÖREBRO</t>
        </is>
      </c>
      <c r="G380" t="n">
        <v>2.3</v>
      </c>
      <c r="H380" t="n">
        <v>0</v>
      </c>
      <c r="I380" t="n">
        <v>0</v>
      </c>
      <c r="J380" t="n">
        <v>0</v>
      </c>
      <c r="K380" t="n">
        <v>0</v>
      </c>
      <c r="L380" t="n">
        <v>0</v>
      </c>
      <c r="M380" t="n">
        <v>0</v>
      </c>
      <c r="N380" t="n">
        <v>0</v>
      </c>
      <c r="O380" t="n">
        <v>0</v>
      </c>
      <c r="P380" t="n">
        <v>0</v>
      </c>
      <c r="Q380" t="n">
        <v>0</v>
      </c>
      <c r="R380" s="2" t="inlineStr"/>
    </row>
    <row r="381" ht="15" customHeight="1">
      <c r="A381" t="inlineStr">
        <is>
          <t>A 13169-2024</t>
        </is>
      </c>
      <c r="B381" s="1" t="n">
        <v>45386.40489583334</v>
      </c>
      <c r="C381" s="1" t="n">
        <v>45976</v>
      </c>
      <c r="D381" t="inlineStr">
        <is>
          <t>ÖREBRO LÄN</t>
        </is>
      </c>
      <c r="E381" t="inlineStr">
        <is>
          <t>ÖREBRO</t>
        </is>
      </c>
      <c r="G381" t="n">
        <v>4.3</v>
      </c>
      <c r="H381" t="n">
        <v>0</v>
      </c>
      <c r="I381" t="n">
        <v>0</v>
      </c>
      <c r="J381" t="n">
        <v>0</v>
      </c>
      <c r="K381" t="n">
        <v>0</v>
      </c>
      <c r="L381" t="n">
        <v>0</v>
      </c>
      <c r="M381" t="n">
        <v>0</v>
      </c>
      <c r="N381" t="n">
        <v>0</v>
      </c>
      <c r="O381" t="n">
        <v>0</v>
      </c>
      <c r="P381" t="n">
        <v>0</v>
      </c>
      <c r="Q381" t="n">
        <v>0</v>
      </c>
      <c r="R381" s="2" t="inlineStr"/>
    </row>
    <row r="382" ht="15" customHeight="1">
      <c r="A382" t="inlineStr">
        <is>
          <t>A 23710-2022</t>
        </is>
      </c>
      <c r="B382" s="1" t="n">
        <v>44722</v>
      </c>
      <c r="C382" s="1" t="n">
        <v>45976</v>
      </c>
      <c r="D382" t="inlineStr">
        <is>
          <t>ÖREBRO LÄN</t>
        </is>
      </c>
      <c r="E382" t="inlineStr">
        <is>
          <t>ÖREBRO</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4757-2024</t>
        </is>
      </c>
      <c r="B383" s="1" t="n">
        <v>45328</v>
      </c>
      <c r="C383" s="1" t="n">
        <v>45976</v>
      </c>
      <c r="D383" t="inlineStr">
        <is>
          <t>ÖREBRO LÄN</t>
        </is>
      </c>
      <c r="E383" t="inlineStr">
        <is>
          <t>ÖREBRO</t>
        </is>
      </c>
      <c r="G383" t="n">
        <v>1.9</v>
      </c>
      <c r="H383" t="n">
        <v>0</v>
      </c>
      <c r="I383" t="n">
        <v>0</v>
      </c>
      <c r="J383" t="n">
        <v>0</v>
      </c>
      <c r="K383" t="n">
        <v>0</v>
      </c>
      <c r="L383" t="n">
        <v>0</v>
      </c>
      <c r="M383" t="n">
        <v>0</v>
      </c>
      <c r="N383" t="n">
        <v>0</v>
      </c>
      <c r="O383" t="n">
        <v>0</v>
      </c>
      <c r="P383" t="n">
        <v>0</v>
      </c>
      <c r="Q383" t="n">
        <v>0</v>
      </c>
      <c r="R383" s="2" t="inlineStr"/>
    </row>
    <row r="384" ht="15" customHeight="1">
      <c r="A384" t="inlineStr">
        <is>
          <t>A 28054-2022</t>
        </is>
      </c>
      <c r="B384" s="1" t="n">
        <v>44746.41938657407</v>
      </c>
      <c r="C384" s="1" t="n">
        <v>45976</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30903-2024</t>
        </is>
      </c>
      <c r="B385" s="1" t="n">
        <v>45498.49946759259</v>
      </c>
      <c r="C385" s="1" t="n">
        <v>45976</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5619-2023</t>
        </is>
      </c>
      <c r="B386" s="1" t="n">
        <v>44958</v>
      </c>
      <c r="C386" s="1" t="n">
        <v>45976</v>
      </c>
      <c r="D386" t="inlineStr">
        <is>
          <t>ÖREBRO LÄN</t>
        </is>
      </c>
      <c r="E386" t="inlineStr">
        <is>
          <t>ÖREBRO</t>
        </is>
      </c>
      <c r="G386" t="n">
        <v>27</v>
      </c>
      <c r="H386" t="n">
        <v>0</v>
      </c>
      <c r="I386" t="n">
        <v>0</v>
      </c>
      <c r="J386" t="n">
        <v>0</v>
      </c>
      <c r="K386" t="n">
        <v>0</v>
      </c>
      <c r="L386" t="n">
        <v>0</v>
      </c>
      <c r="M386" t="n">
        <v>0</v>
      </c>
      <c r="N386" t="n">
        <v>0</v>
      </c>
      <c r="O386" t="n">
        <v>0</v>
      </c>
      <c r="P386" t="n">
        <v>0</v>
      </c>
      <c r="Q386" t="n">
        <v>0</v>
      </c>
      <c r="R386" s="2" t="inlineStr"/>
    </row>
    <row r="387" ht="15" customHeight="1">
      <c r="A387" t="inlineStr">
        <is>
          <t>A 541-2025</t>
        </is>
      </c>
      <c r="B387" s="1" t="n">
        <v>45664.52034722222</v>
      </c>
      <c r="C387" s="1" t="n">
        <v>45976</v>
      </c>
      <c r="D387" t="inlineStr">
        <is>
          <t>ÖREBRO LÄN</t>
        </is>
      </c>
      <c r="E387" t="inlineStr">
        <is>
          <t>ÖREBRO</t>
        </is>
      </c>
      <c r="G387" t="n">
        <v>2.2</v>
      </c>
      <c r="H387" t="n">
        <v>0</v>
      </c>
      <c r="I387" t="n">
        <v>0</v>
      </c>
      <c r="J387" t="n">
        <v>0</v>
      </c>
      <c r="K387" t="n">
        <v>0</v>
      </c>
      <c r="L387" t="n">
        <v>0</v>
      </c>
      <c r="M387" t="n">
        <v>0</v>
      </c>
      <c r="N387" t="n">
        <v>0</v>
      </c>
      <c r="O387" t="n">
        <v>0</v>
      </c>
      <c r="P387" t="n">
        <v>0</v>
      </c>
      <c r="Q387" t="n">
        <v>0</v>
      </c>
      <c r="R387" s="2" t="inlineStr"/>
    </row>
    <row r="388" ht="15" customHeight="1">
      <c r="A388" t="inlineStr">
        <is>
          <t>A 37277-2022</t>
        </is>
      </c>
      <c r="B388" s="1" t="n">
        <v>44807.49150462963</v>
      </c>
      <c r="C388" s="1" t="n">
        <v>45976</v>
      </c>
      <c r="D388" t="inlineStr">
        <is>
          <t>ÖREBRO LÄN</t>
        </is>
      </c>
      <c r="E388" t="inlineStr">
        <is>
          <t>ÖREBRO</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47193-2023</t>
        </is>
      </c>
      <c r="B389" s="1" t="n">
        <v>45202.3074537037</v>
      </c>
      <c r="C389" s="1" t="n">
        <v>45976</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59026-2024</t>
        </is>
      </c>
      <c r="B390" s="1" t="n">
        <v>45636.6875</v>
      </c>
      <c r="C390" s="1" t="n">
        <v>45976</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53143-2023</t>
        </is>
      </c>
      <c r="B391" s="1" t="n">
        <v>45229</v>
      </c>
      <c r="C391" s="1" t="n">
        <v>45976</v>
      </c>
      <c r="D391" t="inlineStr">
        <is>
          <t>ÖREBRO LÄN</t>
        </is>
      </c>
      <c r="E391" t="inlineStr">
        <is>
          <t>ÖREBRO</t>
        </is>
      </c>
      <c r="G391" t="n">
        <v>3.3</v>
      </c>
      <c r="H391" t="n">
        <v>0</v>
      </c>
      <c r="I391" t="n">
        <v>0</v>
      </c>
      <c r="J391" t="n">
        <v>0</v>
      </c>
      <c r="K391" t="n">
        <v>0</v>
      </c>
      <c r="L391" t="n">
        <v>0</v>
      </c>
      <c r="M391" t="n">
        <v>0</v>
      </c>
      <c r="N391" t="n">
        <v>0</v>
      </c>
      <c r="O391" t="n">
        <v>0</v>
      </c>
      <c r="P391" t="n">
        <v>0</v>
      </c>
      <c r="Q391" t="n">
        <v>0</v>
      </c>
      <c r="R391" s="2" t="inlineStr"/>
    </row>
    <row r="392" ht="15" customHeight="1">
      <c r="A392" t="inlineStr">
        <is>
          <t>A 25407-2021</t>
        </is>
      </c>
      <c r="B392" s="1" t="n">
        <v>44342</v>
      </c>
      <c r="C392" s="1" t="n">
        <v>45976</v>
      </c>
      <c r="D392" t="inlineStr">
        <is>
          <t>ÖREBRO LÄN</t>
        </is>
      </c>
      <c r="E392" t="inlineStr">
        <is>
          <t>ÖREBRO</t>
        </is>
      </c>
      <c r="F392" t="inlineStr">
        <is>
          <t>Kommuner</t>
        </is>
      </c>
      <c r="G392" t="n">
        <v>7.2</v>
      </c>
      <c r="H392" t="n">
        <v>0</v>
      </c>
      <c r="I392" t="n">
        <v>0</v>
      </c>
      <c r="J392" t="n">
        <v>0</v>
      </c>
      <c r="K392" t="n">
        <v>0</v>
      </c>
      <c r="L392" t="n">
        <v>0</v>
      </c>
      <c r="M392" t="n">
        <v>0</v>
      </c>
      <c r="N392" t="n">
        <v>0</v>
      </c>
      <c r="O392" t="n">
        <v>0</v>
      </c>
      <c r="P392" t="n">
        <v>0</v>
      </c>
      <c r="Q392" t="n">
        <v>0</v>
      </c>
      <c r="R392" s="2" t="inlineStr"/>
    </row>
    <row r="393" ht="15" customHeight="1">
      <c r="A393" t="inlineStr">
        <is>
          <t>A 23573-2023</t>
        </is>
      </c>
      <c r="B393" s="1" t="n">
        <v>45077.41672453703</v>
      </c>
      <c r="C393" s="1" t="n">
        <v>45976</v>
      </c>
      <c r="D393" t="inlineStr">
        <is>
          <t>ÖREBRO LÄN</t>
        </is>
      </c>
      <c r="E393" t="inlineStr">
        <is>
          <t>ÖREBRO</t>
        </is>
      </c>
      <c r="G393" t="n">
        <v>2.9</v>
      </c>
      <c r="H393" t="n">
        <v>0</v>
      </c>
      <c r="I393" t="n">
        <v>0</v>
      </c>
      <c r="J393" t="n">
        <v>0</v>
      </c>
      <c r="K393" t="n">
        <v>0</v>
      </c>
      <c r="L393" t="n">
        <v>0</v>
      </c>
      <c r="M393" t="n">
        <v>0</v>
      </c>
      <c r="N393" t="n">
        <v>0</v>
      </c>
      <c r="O393" t="n">
        <v>0</v>
      </c>
      <c r="P393" t="n">
        <v>0</v>
      </c>
      <c r="Q393" t="n">
        <v>0</v>
      </c>
      <c r="R393" s="2" t="inlineStr"/>
    </row>
    <row r="394" ht="15" customHeight="1">
      <c r="A394" t="inlineStr">
        <is>
          <t>A 17465-2023</t>
        </is>
      </c>
      <c r="B394" s="1" t="n">
        <v>45036</v>
      </c>
      <c r="C394" s="1" t="n">
        <v>45976</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51249-2025</t>
        </is>
      </c>
      <c r="B395" s="1" t="n">
        <v>45948.45704861111</v>
      </c>
      <c r="C395" s="1" t="n">
        <v>45976</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51248-2025</t>
        </is>
      </c>
      <c r="B396" s="1" t="n">
        <v>45948.450625</v>
      </c>
      <c r="C396" s="1" t="n">
        <v>45976</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45027-2024</t>
        </is>
      </c>
      <c r="B397" s="1" t="n">
        <v>45575</v>
      </c>
      <c r="C397" s="1" t="n">
        <v>45976</v>
      </c>
      <c r="D397" t="inlineStr">
        <is>
          <t>ÖREBRO LÄN</t>
        </is>
      </c>
      <c r="E397" t="inlineStr">
        <is>
          <t>ÖREBRO</t>
        </is>
      </c>
      <c r="G397" t="n">
        <v>6.3</v>
      </c>
      <c r="H397" t="n">
        <v>0</v>
      </c>
      <c r="I397" t="n">
        <v>0</v>
      </c>
      <c r="J397" t="n">
        <v>0</v>
      </c>
      <c r="K397" t="n">
        <v>0</v>
      </c>
      <c r="L397" t="n">
        <v>0</v>
      </c>
      <c r="M397" t="n">
        <v>0</v>
      </c>
      <c r="N397" t="n">
        <v>0</v>
      </c>
      <c r="O397" t="n">
        <v>0</v>
      </c>
      <c r="P397" t="n">
        <v>0</v>
      </c>
      <c r="Q397" t="n">
        <v>0</v>
      </c>
      <c r="R397" s="2" t="inlineStr"/>
    </row>
    <row r="398" ht="15" customHeight="1">
      <c r="A398" t="inlineStr">
        <is>
          <t>A 61593-2023</t>
        </is>
      </c>
      <c r="B398" s="1" t="n">
        <v>45265</v>
      </c>
      <c r="C398" s="1" t="n">
        <v>45976</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16140-2023</t>
        </is>
      </c>
      <c r="B399" s="1" t="n">
        <v>45027.6433912037</v>
      </c>
      <c r="C399" s="1" t="n">
        <v>45976</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59024-2024</t>
        </is>
      </c>
      <c r="B400" s="1" t="n">
        <v>45636.68505787037</v>
      </c>
      <c r="C400" s="1" t="n">
        <v>45976</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36635-2023</t>
        </is>
      </c>
      <c r="B401" s="1" t="n">
        <v>45153</v>
      </c>
      <c r="C401" s="1" t="n">
        <v>45976</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52135-2025</t>
        </is>
      </c>
      <c r="B402" s="1" t="n">
        <v>45952.84231481481</v>
      </c>
      <c r="C402" s="1" t="n">
        <v>45976</v>
      </c>
      <c r="D402" t="inlineStr">
        <is>
          <t>ÖREBRO LÄN</t>
        </is>
      </c>
      <c r="E402" t="inlineStr">
        <is>
          <t>ÖREBRO</t>
        </is>
      </c>
      <c r="G402" t="n">
        <v>4</v>
      </c>
      <c r="H402" t="n">
        <v>0</v>
      </c>
      <c r="I402" t="n">
        <v>0</v>
      </c>
      <c r="J402" t="n">
        <v>0</v>
      </c>
      <c r="K402" t="n">
        <v>0</v>
      </c>
      <c r="L402" t="n">
        <v>0</v>
      </c>
      <c r="M402" t="n">
        <v>0</v>
      </c>
      <c r="N402" t="n">
        <v>0</v>
      </c>
      <c r="O402" t="n">
        <v>0</v>
      </c>
      <c r="P402" t="n">
        <v>0</v>
      </c>
      <c r="Q402" t="n">
        <v>0</v>
      </c>
      <c r="R402" s="2" t="inlineStr"/>
    </row>
    <row r="403" ht="15" customHeight="1">
      <c r="A403" t="inlineStr">
        <is>
          <t>A 52391-2024</t>
        </is>
      </c>
      <c r="B403" s="1" t="n">
        <v>45609.43180555556</v>
      </c>
      <c r="C403" s="1" t="n">
        <v>45976</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52401-2024</t>
        </is>
      </c>
      <c r="B404" s="1" t="n">
        <v>45609.44553240741</v>
      </c>
      <c r="C404" s="1" t="n">
        <v>45976</v>
      </c>
      <c r="D404" t="inlineStr">
        <is>
          <t>ÖREBRO LÄN</t>
        </is>
      </c>
      <c r="E404" t="inlineStr">
        <is>
          <t>ÖREBRO</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10339-2023</t>
        </is>
      </c>
      <c r="B405" s="1" t="n">
        <v>44987</v>
      </c>
      <c r="C405" s="1" t="n">
        <v>45976</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31247-2023</t>
        </is>
      </c>
      <c r="B406" s="1" t="n">
        <v>45114</v>
      </c>
      <c r="C406" s="1" t="n">
        <v>45976</v>
      </c>
      <c r="D406" t="inlineStr">
        <is>
          <t>ÖREBRO LÄN</t>
        </is>
      </c>
      <c r="E406" t="inlineStr">
        <is>
          <t>ÖREBRO</t>
        </is>
      </c>
      <c r="F406" t="inlineStr">
        <is>
          <t>Allmännings- och besparingsskogar</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681-2024</t>
        </is>
      </c>
      <c r="B407" s="1" t="n">
        <v>45300</v>
      </c>
      <c r="C407" s="1" t="n">
        <v>45976</v>
      </c>
      <c r="D407" t="inlineStr">
        <is>
          <t>ÖREBRO LÄN</t>
        </is>
      </c>
      <c r="E407" t="inlineStr">
        <is>
          <t>ÖREBRO</t>
        </is>
      </c>
      <c r="G407" t="n">
        <v>3.3</v>
      </c>
      <c r="H407" t="n">
        <v>0</v>
      </c>
      <c r="I407" t="n">
        <v>0</v>
      </c>
      <c r="J407" t="n">
        <v>0</v>
      </c>
      <c r="K407" t="n">
        <v>0</v>
      </c>
      <c r="L407" t="n">
        <v>0</v>
      </c>
      <c r="M407" t="n">
        <v>0</v>
      </c>
      <c r="N407" t="n">
        <v>0</v>
      </c>
      <c r="O407" t="n">
        <v>0</v>
      </c>
      <c r="P407" t="n">
        <v>0</v>
      </c>
      <c r="Q407" t="n">
        <v>0</v>
      </c>
      <c r="R407" s="2" t="inlineStr"/>
    </row>
    <row r="408" ht="15" customHeight="1">
      <c r="A408" t="inlineStr">
        <is>
          <t>A 16165-2023</t>
        </is>
      </c>
      <c r="B408" s="1" t="n">
        <v>45027</v>
      </c>
      <c r="C408" s="1" t="n">
        <v>45976</v>
      </c>
      <c r="D408" t="inlineStr">
        <is>
          <t>ÖREBRO LÄN</t>
        </is>
      </c>
      <c r="E408" t="inlineStr">
        <is>
          <t>ÖREBRO</t>
        </is>
      </c>
      <c r="G408" t="n">
        <v>11</v>
      </c>
      <c r="H408" t="n">
        <v>0</v>
      </c>
      <c r="I408" t="n">
        <v>0</v>
      </c>
      <c r="J408" t="n">
        <v>0</v>
      </c>
      <c r="K408" t="n">
        <v>0</v>
      </c>
      <c r="L408" t="n">
        <v>0</v>
      </c>
      <c r="M408" t="n">
        <v>0</v>
      </c>
      <c r="N408" t="n">
        <v>0</v>
      </c>
      <c r="O408" t="n">
        <v>0</v>
      </c>
      <c r="P408" t="n">
        <v>0</v>
      </c>
      <c r="Q408" t="n">
        <v>0</v>
      </c>
      <c r="R408" s="2" t="inlineStr"/>
    </row>
    <row r="409" ht="15" customHeight="1">
      <c r="A409" t="inlineStr">
        <is>
          <t>A 26338-2021</t>
        </is>
      </c>
      <c r="B409" s="1" t="n">
        <v>44347</v>
      </c>
      <c r="C409" s="1" t="n">
        <v>45976</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51937-2025</t>
        </is>
      </c>
      <c r="B410" s="1" t="n">
        <v>45952.51270833334</v>
      </c>
      <c r="C410" s="1" t="n">
        <v>45976</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53234-2023</t>
        </is>
      </c>
      <c r="B411" s="1" t="n">
        <v>45229</v>
      </c>
      <c r="C411" s="1" t="n">
        <v>45976</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59757-2023</t>
        </is>
      </c>
      <c r="B412" s="1" t="n">
        <v>45257.40833333333</v>
      </c>
      <c r="C412" s="1" t="n">
        <v>45976</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21097-2025</t>
        </is>
      </c>
      <c r="B413" s="1" t="n">
        <v>45777.63863425926</v>
      </c>
      <c r="C413" s="1" t="n">
        <v>45976</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39130-2023</t>
        </is>
      </c>
      <c r="B414" s="1" t="n">
        <v>45165</v>
      </c>
      <c r="C414" s="1" t="n">
        <v>45976</v>
      </c>
      <c r="D414" t="inlineStr">
        <is>
          <t>ÖREBRO LÄN</t>
        </is>
      </c>
      <c r="E414" t="inlineStr">
        <is>
          <t>ÖREBRO</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11067-2025</t>
        </is>
      </c>
      <c r="B415" s="1" t="n">
        <v>45723</v>
      </c>
      <c r="C415" s="1" t="n">
        <v>45976</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50398-2022</t>
        </is>
      </c>
      <c r="B416" s="1" t="n">
        <v>44861</v>
      </c>
      <c r="C416" s="1" t="n">
        <v>45976</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9379-2024</t>
        </is>
      </c>
      <c r="B417" s="1" t="n">
        <v>45359.37298611111</v>
      </c>
      <c r="C417" s="1" t="n">
        <v>45976</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3659-2025</t>
        </is>
      </c>
      <c r="B418" s="1" t="n">
        <v>45681</v>
      </c>
      <c r="C418" s="1" t="n">
        <v>45976</v>
      </c>
      <c r="D418" t="inlineStr">
        <is>
          <t>ÖREBRO LÄN</t>
        </is>
      </c>
      <c r="E418" t="inlineStr">
        <is>
          <t>ÖREBRO</t>
        </is>
      </c>
      <c r="G418" t="n">
        <v>15.8</v>
      </c>
      <c r="H418" t="n">
        <v>0</v>
      </c>
      <c r="I418" t="n">
        <v>0</v>
      </c>
      <c r="J418" t="n">
        <v>0</v>
      </c>
      <c r="K418" t="n">
        <v>0</v>
      </c>
      <c r="L418" t="n">
        <v>0</v>
      </c>
      <c r="M418" t="n">
        <v>0</v>
      </c>
      <c r="N418" t="n">
        <v>0</v>
      </c>
      <c r="O418" t="n">
        <v>0</v>
      </c>
      <c r="P418" t="n">
        <v>0</v>
      </c>
      <c r="Q418" t="n">
        <v>0</v>
      </c>
      <c r="R418" s="2" t="inlineStr"/>
    </row>
    <row r="419" ht="15" customHeight="1">
      <c r="A419" t="inlineStr">
        <is>
          <t>A 13347-2023</t>
        </is>
      </c>
      <c r="B419" s="1" t="n">
        <v>45004</v>
      </c>
      <c r="C419" s="1" t="n">
        <v>45976</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6752-2022</t>
        </is>
      </c>
      <c r="B420" s="1" t="n">
        <v>44602.48082175926</v>
      </c>
      <c r="C420" s="1" t="n">
        <v>45976</v>
      </c>
      <c r="D420" t="inlineStr">
        <is>
          <t>ÖREBRO LÄN</t>
        </is>
      </c>
      <c r="E420" t="inlineStr">
        <is>
          <t>ÖREBRO</t>
        </is>
      </c>
      <c r="G420" t="n">
        <v>3.1</v>
      </c>
      <c r="H420" t="n">
        <v>0</v>
      </c>
      <c r="I420" t="n">
        <v>0</v>
      </c>
      <c r="J420" t="n">
        <v>0</v>
      </c>
      <c r="K420" t="n">
        <v>0</v>
      </c>
      <c r="L420" t="n">
        <v>0</v>
      </c>
      <c r="M420" t="n">
        <v>0</v>
      </c>
      <c r="N420" t="n">
        <v>0</v>
      </c>
      <c r="O420" t="n">
        <v>0</v>
      </c>
      <c r="P420" t="n">
        <v>0</v>
      </c>
      <c r="Q420" t="n">
        <v>0</v>
      </c>
      <c r="R420" s="2" t="inlineStr"/>
    </row>
    <row r="421" ht="15" customHeight="1">
      <c r="A421" t="inlineStr">
        <is>
          <t>A 51923-2025</t>
        </is>
      </c>
      <c r="B421" s="1" t="n">
        <v>45952.49300925926</v>
      </c>
      <c r="C421" s="1" t="n">
        <v>45976</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51925-2025</t>
        </is>
      </c>
      <c r="B422" s="1" t="n">
        <v>45952.49476851852</v>
      </c>
      <c r="C422" s="1" t="n">
        <v>45976</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57867-2024</t>
        </is>
      </c>
      <c r="B423" s="1" t="n">
        <v>45631.43864583333</v>
      </c>
      <c r="C423" s="1" t="n">
        <v>45976</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13355-2023</t>
        </is>
      </c>
      <c r="B424" s="1" t="n">
        <v>45004</v>
      </c>
      <c r="C424" s="1" t="n">
        <v>45976</v>
      </c>
      <c r="D424" t="inlineStr">
        <is>
          <t>ÖREBRO LÄN</t>
        </is>
      </c>
      <c r="E424" t="inlineStr">
        <is>
          <t>ÖREBRO</t>
        </is>
      </c>
      <c r="G424" t="n">
        <v>2.3</v>
      </c>
      <c r="H424" t="n">
        <v>0</v>
      </c>
      <c r="I424" t="n">
        <v>0</v>
      </c>
      <c r="J424" t="n">
        <v>0</v>
      </c>
      <c r="K424" t="n">
        <v>0</v>
      </c>
      <c r="L424" t="n">
        <v>0</v>
      </c>
      <c r="M424" t="n">
        <v>0</v>
      </c>
      <c r="N424" t="n">
        <v>0</v>
      </c>
      <c r="O424" t="n">
        <v>0</v>
      </c>
      <c r="P424" t="n">
        <v>0</v>
      </c>
      <c r="Q424" t="n">
        <v>0</v>
      </c>
      <c r="R424" s="2" t="inlineStr"/>
    </row>
    <row r="425" ht="15" customHeight="1">
      <c r="A425" t="inlineStr">
        <is>
          <t>A 14544-2023</t>
        </is>
      </c>
      <c r="B425" s="1" t="n">
        <v>45013</v>
      </c>
      <c r="C425" s="1" t="n">
        <v>45976</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71272-2021</t>
        </is>
      </c>
      <c r="B426" s="1" t="n">
        <v>44539.61571759259</v>
      </c>
      <c r="C426" s="1" t="n">
        <v>45976</v>
      </c>
      <c r="D426" t="inlineStr">
        <is>
          <t>ÖREBRO LÄN</t>
        </is>
      </c>
      <c r="E426" t="inlineStr">
        <is>
          <t>ÖREBRO</t>
        </is>
      </c>
      <c r="G426" t="n">
        <v>0.9</v>
      </c>
      <c r="H426" t="n">
        <v>0</v>
      </c>
      <c r="I426" t="n">
        <v>0</v>
      </c>
      <c r="J426" t="n">
        <v>0</v>
      </c>
      <c r="K426" t="n">
        <v>0</v>
      </c>
      <c r="L426" t="n">
        <v>0</v>
      </c>
      <c r="M426" t="n">
        <v>0</v>
      </c>
      <c r="N426" t="n">
        <v>0</v>
      </c>
      <c r="O426" t="n">
        <v>0</v>
      </c>
      <c r="P426" t="n">
        <v>0</v>
      </c>
      <c r="Q426" t="n">
        <v>0</v>
      </c>
      <c r="R426" s="2" t="inlineStr"/>
    </row>
    <row r="427" ht="15" customHeight="1">
      <c r="A427" t="inlineStr">
        <is>
          <t>A 3120-2022</t>
        </is>
      </c>
      <c r="B427" s="1" t="n">
        <v>44582</v>
      </c>
      <c r="C427" s="1" t="n">
        <v>45976</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52382-2025</t>
        </is>
      </c>
      <c r="B428" s="1" t="n">
        <v>45953.9559837963</v>
      </c>
      <c r="C428" s="1" t="n">
        <v>45976</v>
      </c>
      <c r="D428" t="inlineStr">
        <is>
          <t>ÖREBRO LÄN</t>
        </is>
      </c>
      <c r="E428" t="inlineStr">
        <is>
          <t>ÖREBRO</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19388-2024</t>
        </is>
      </c>
      <c r="B429" s="1" t="n">
        <v>45429.37775462963</v>
      </c>
      <c r="C429" s="1" t="n">
        <v>45976</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35345-2024</t>
        </is>
      </c>
      <c r="B430" s="1" t="n">
        <v>45530</v>
      </c>
      <c r="C430" s="1" t="n">
        <v>45976</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8568-2021</t>
        </is>
      </c>
      <c r="B431" s="1" t="n">
        <v>44245</v>
      </c>
      <c r="C431" s="1" t="n">
        <v>45976</v>
      </c>
      <c r="D431" t="inlineStr">
        <is>
          <t>ÖREBRO LÄN</t>
        </is>
      </c>
      <c r="E431" t="inlineStr">
        <is>
          <t>ÖREBRO</t>
        </is>
      </c>
      <c r="G431" t="n">
        <v>4.8</v>
      </c>
      <c r="H431" t="n">
        <v>0</v>
      </c>
      <c r="I431" t="n">
        <v>0</v>
      </c>
      <c r="J431" t="n">
        <v>0</v>
      </c>
      <c r="K431" t="n">
        <v>0</v>
      </c>
      <c r="L431" t="n">
        <v>0</v>
      </c>
      <c r="M431" t="n">
        <v>0</v>
      </c>
      <c r="N431" t="n">
        <v>0</v>
      </c>
      <c r="O431" t="n">
        <v>0</v>
      </c>
      <c r="P431" t="n">
        <v>0</v>
      </c>
      <c r="Q431" t="n">
        <v>0</v>
      </c>
      <c r="R431" s="2" t="inlineStr"/>
    </row>
    <row r="432" ht="15" customHeight="1">
      <c r="A432" t="inlineStr">
        <is>
          <t>A 45517-2023</t>
        </is>
      </c>
      <c r="B432" s="1" t="n">
        <v>45194.49594907407</v>
      </c>
      <c r="C432" s="1" t="n">
        <v>45976</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30743-2025</t>
        </is>
      </c>
      <c r="B433" s="1" t="n">
        <v>45831</v>
      </c>
      <c r="C433" s="1" t="n">
        <v>45976</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35819-2024</t>
        </is>
      </c>
      <c r="B434" s="1" t="n">
        <v>45532</v>
      </c>
      <c r="C434" s="1" t="n">
        <v>45976</v>
      </c>
      <c r="D434" t="inlineStr">
        <is>
          <t>ÖREBRO LÄN</t>
        </is>
      </c>
      <c r="E434" t="inlineStr">
        <is>
          <t>ÖREBRO</t>
        </is>
      </c>
      <c r="G434" t="n">
        <v>6.4</v>
      </c>
      <c r="H434" t="n">
        <v>0</v>
      </c>
      <c r="I434" t="n">
        <v>0</v>
      </c>
      <c r="J434" t="n">
        <v>0</v>
      </c>
      <c r="K434" t="n">
        <v>0</v>
      </c>
      <c r="L434" t="n">
        <v>0</v>
      </c>
      <c r="M434" t="n">
        <v>0</v>
      </c>
      <c r="N434" t="n">
        <v>0</v>
      </c>
      <c r="O434" t="n">
        <v>0</v>
      </c>
      <c r="P434" t="n">
        <v>0</v>
      </c>
      <c r="Q434" t="n">
        <v>0</v>
      </c>
      <c r="R434" s="2" t="inlineStr"/>
    </row>
    <row r="435" ht="15" customHeight="1">
      <c r="A435" t="inlineStr">
        <is>
          <t>A 40597-2021</t>
        </is>
      </c>
      <c r="B435" s="1" t="n">
        <v>44420</v>
      </c>
      <c r="C435" s="1" t="n">
        <v>45976</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2318-2023</t>
        </is>
      </c>
      <c r="B436" s="1" t="n">
        <v>44942</v>
      </c>
      <c r="C436" s="1" t="n">
        <v>45976</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32321-2023</t>
        </is>
      </c>
      <c r="B437" s="1" t="n">
        <v>45120</v>
      </c>
      <c r="C437" s="1" t="n">
        <v>45976</v>
      </c>
      <c r="D437" t="inlineStr">
        <is>
          <t>ÖREBRO LÄN</t>
        </is>
      </c>
      <c r="E437" t="inlineStr">
        <is>
          <t>ÖREBRO</t>
        </is>
      </c>
      <c r="G437" t="n">
        <v>3.4</v>
      </c>
      <c r="H437" t="n">
        <v>0</v>
      </c>
      <c r="I437" t="n">
        <v>0</v>
      </c>
      <c r="J437" t="n">
        <v>0</v>
      </c>
      <c r="K437" t="n">
        <v>0</v>
      </c>
      <c r="L437" t="n">
        <v>0</v>
      </c>
      <c r="M437" t="n">
        <v>0</v>
      </c>
      <c r="N437" t="n">
        <v>0</v>
      </c>
      <c r="O437" t="n">
        <v>0</v>
      </c>
      <c r="P437" t="n">
        <v>0</v>
      </c>
      <c r="Q437" t="n">
        <v>0</v>
      </c>
      <c r="R437" s="2" t="inlineStr"/>
    </row>
    <row r="438" ht="15" customHeight="1">
      <c r="A438" t="inlineStr">
        <is>
          <t>A 29138-2022</t>
        </is>
      </c>
      <c r="B438" s="1" t="n">
        <v>44750</v>
      </c>
      <c r="C438" s="1" t="n">
        <v>45976</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29143-2022</t>
        </is>
      </c>
      <c r="B439" s="1" t="n">
        <v>44750</v>
      </c>
      <c r="C439" s="1" t="n">
        <v>45976</v>
      </c>
      <c r="D439" t="inlineStr">
        <is>
          <t>ÖREBRO LÄN</t>
        </is>
      </c>
      <c r="E439" t="inlineStr">
        <is>
          <t>ÖREBRO</t>
        </is>
      </c>
      <c r="G439" t="n">
        <v>5.6</v>
      </c>
      <c r="H439" t="n">
        <v>0</v>
      </c>
      <c r="I439" t="n">
        <v>0</v>
      </c>
      <c r="J439" t="n">
        <v>0</v>
      </c>
      <c r="K439" t="n">
        <v>0</v>
      </c>
      <c r="L439" t="n">
        <v>0</v>
      </c>
      <c r="M439" t="n">
        <v>0</v>
      </c>
      <c r="N439" t="n">
        <v>0</v>
      </c>
      <c r="O439" t="n">
        <v>0</v>
      </c>
      <c r="P439" t="n">
        <v>0</v>
      </c>
      <c r="Q439" t="n">
        <v>0</v>
      </c>
      <c r="R439" s="2" t="inlineStr"/>
    </row>
    <row r="440" ht="15" customHeight="1">
      <c r="A440" t="inlineStr">
        <is>
          <t>A 14234-2024</t>
        </is>
      </c>
      <c r="B440" s="1" t="n">
        <v>45393.46980324074</v>
      </c>
      <c r="C440" s="1" t="n">
        <v>45976</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4557-2023</t>
        </is>
      </c>
      <c r="B441" s="1" t="n">
        <v>44956.6655787037</v>
      </c>
      <c r="C441" s="1" t="n">
        <v>45976</v>
      </c>
      <c r="D441" t="inlineStr">
        <is>
          <t>ÖREBRO LÄN</t>
        </is>
      </c>
      <c r="E441" t="inlineStr">
        <is>
          <t>ÖREBRO</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53558-2023</t>
        </is>
      </c>
      <c r="B442" s="1" t="n">
        <v>45230.47266203703</v>
      </c>
      <c r="C442" s="1" t="n">
        <v>45976</v>
      </c>
      <c r="D442" t="inlineStr">
        <is>
          <t>ÖREBRO LÄN</t>
        </is>
      </c>
      <c r="E442" t="inlineStr">
        <is>
          <t>ÖREBRO</t>
        </is>
      </c>
      <c r="F442" t="inlineStr">
        <is>
          <t>Övriga Aktiebolag</t>
        </is>
      </c>
      <c r="G442" t="n">
        <v>4.7</v>
      </c>
      <c r="H442" t="n">
        <v>0</v>
      </c>
      <c r="I442" t="n">
        <v>0</v>
      </c>
      <c r="J442" t="n">
        <v>0</v>
      </c>
      <c r="K442" t="n">
        <v>0</v>
      </c>
      <c r="L442" t="n">
        <v>0</v>
      </c>
      <c r="M442" t="n">
        <v>0</v>
      </c>
      <c r="N442" t="n">
        <v>0</v>
      </c>
      <c r="O442" t="n">
        <v>0</v>
      </c>
      <c r="P442" t="n">
        <v>0</v>
      </c>
      <c r="Q442" t="n">
        <v>0</v>
      </c>
      <c r="R442" s="2" t="inlineStr"/>
    </row>
    <row r="443" ht="15" customHeight="1">
      <c r="A443" t="inlineStr">
        <is>
          <t>A 46518-2023</t>
        </is>
      </c>
      <c r="B443" s="1" t="n">
        <v>45197.72777777778</v>
      </c>
      <c r="C443" s="1" t="n">
        <v>45976</v>
      </c>
      <c r="D443" t="inlineStr">
        <is>
          <t>ÖREBRO LÄN</t>
        </is>
      </c>
      <c r="E443" t="inlineStr">
        <is>
          <t>ÖREBRO</t>
        </is>
      </c>
      <c r="G443" t="n">
        <v>2.2</v>
      </c>
      <c r="H443" t="n">
        <v>0</v>
      </c>
      <c r="I443" t="n">
        <v>0</v>
      </c>
      <c r="J443" t="n">
        <v>0</v>
      </c>
      <c r="K443" t="n">
        <v>0</v>
      </c>
      <c r="L443" t="n">
        <v>0</v>
      </c>
      <c r="M443" t="n">
        <v>0</v>
      </c>
      <c r="N443" t="n">
        <v>0</v>
      </c>
      <c r="O443" t="n">
        <v>0</v>
      </c>
      <c r="P443" t="n">
        <v>0</v>
      </c>
      <c r="Q443" t="n">
        <v>0</v>
      </c>
      <c r="R443" s="2" t="inlineStr"/>
    </row>
    <row r="444" ht="15" customHeight="1">
      <c r="A444" t="inlineStr">
        <is>
          <t>A 7692-2023</t>
        </is>
      </c>
      <c r="B444" s="1" t="n">
        <v>44972.7762962963</v>
      </c>
      <c r="C444" s="1" t="n">
        <v>45976</v>
      </c>
      <c r="D444" t="inlineStr">
        <is>
          <t>ÖREBRO LÄN</t>
        </is>
      </c>
      <c r="E444" t="inlineStr">
        <is>
          <t>ÖREBRO</t>
        </is>
      </c>
      <c r="G444" t="n">
        <v>1.5</v>
      </c>
      <c r="H444" t="n">
        <v>0</v>
      </c>
      <c r="I444" t="n">
        <v>0</v>
      </c>
      <c r="J444" t="n">
        <v>0</v>
      </c>
      <c r="K444" t="n">
        <v>0</v>
      </c>
      <c r="L444" t="n">
        <v>0</v>
      </c>
      <c r="M444" t="n">
        <v>0</v>
      </c>
      <c r="N444" t="n">
        <v>0</v>
      </c>
      <c r="O444" t="n">
        <v>0</v>
      </c>
      <c r="P444" t="n">
        <v>0</v>
      </c>
      <c r="Q444" t="n">
        <v>0</v>
      </c>
      <c r="R444" s="2" t="inlineStr"/>
    </row>
    <row r="445" ht="15" customHeight="1">
      <c r="A445" t="inlineStr">
        <is>
          <t>A 53342-2025</t>
        </is>
      </c>
      <c r="B445" s="1" t="n">
        <v>45959.41769675926</v>
      </c>
      <c r="C445" s="1" t="n">
        <v>45976</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46056-2024</t>
        </is>
      </c>
      <c r="B446" s="1" t="n">
        <v>45580.91502314815</v>
      </c>
      <c r="C446" s="1" t="n">
        <v>45976</v>
      </c>
      <c r="D446" t="inlineStr">
        <is>
          <t>ÖREBRO LÄN</t>
        </is>
      </c>
      <c r="E446" t="inlineStr">
        <is>
          <t>ÖREBRO</t>
        </is>
      </c>
      <c r="F446" t="inlineStr">
        <is>
          <t>Övriga Aktiebolag</t>
        </is>
      </c>
      <c r="G446" t="n">
        <v>4.5</v>
      </c>
      <c r="H446" t="n">
        <v>0</v>
      </c>
      <c r="I446" t="n">
        <v>0</v>
      </c>
      <c r="J446" t="n">
        <v>0</v>
      </c>
      <c r="K446" t="n">
        <v>0</v>
      </c>
      <c r="L446" t="n">
        <v>0</v>
      </c>
      <c r="M446" t="n">
        <v>0</v>
      </c>
      <c r="N446" t="n">
        <v>0</v>
      </c>
      <c r="O446" t="n">
        <v>0</v>
      </c>
      <c r="P446" t="n">
        <v>0</v>
      </c>
      <c r="Q446" t="n">
        <v>0</v>
      </c>
      <c r="R446" s="2" t="inlineStr"/>
    </row>
    <row r="447" ht="15" customHeight="1">
      <c r="A447" t="inlineStr">
        <is>
          <t>A 32076-2023</t>
        </is>
      </c>
      <c r="B447" s="1" t="n">
        <v>45119.58324074074</v>
      </c>
      <c r="C447" s="1" t="n">
        <v>45976</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53350-2025</t>
        </is>
      </c>
      <c r="B448" s="1" t="n">
        <v>45959.43827546296</v>
      </c>
      <c r="C448" s="1" t="n">
        <v>45976</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21338-2025</t>
        </is>
      </c>
      <c r="B449" s="1" t="n">
        <v>45780</v>
      </c>
      <c r="C449" s="1" t="n">
        <v>45976</v>
      </c>
      <c r="D449" t="inlineStr">
        <is>
          <t>ÖREBRO LÄN</t>
        </is>
      </c>
      <c r="E449" t="inlineStr">
        <is>
          <t>ÖREBRO</t>
        </is>
      </c>
      <c r="G449" t="n">
        <v>3.2</v>
      </c>
      <c r="H449" t="n">
        <v>0</v>
      </c>
      <c r="I449" t="n">
        <v>0</v>
      </c>
      <c r="J449" t="n">
        <v>0</v>
      </c>
      <c r="K449" t="n">
        <v>0</v>
      </c>
      <c r="L449" t="n">
        <v>0</v>
      </c>
      <c r="M449" t="n">
        <v>0</v>
      </c>
      <c r="N449" t="n">
        <v>0</v>
      </c>
      <c r="O449" t="n">
        <v>0</v>
      </c>
      <c r="P449" t="n">
        <v>0</v>
      </c>
      <c r="Q449" t="n">
        <v>0</v>
      </c>
      <c r="R449" s="2" t="inlineStr"/>
    </row>
    <row r="450" ht="15" customHeight="1">
      <c r="A450" t="inlineStr">
        <is>
          <t>A 53437-2025</t>
        </is>
      </c>
      <c r="B450" s="1" t="n">
        <v>45959.63440972222</v>
      </c>
      <c r="C450" s="1" t="n">
        <v>45976</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57638-2022</t>
        </is>
      </c>
      <c r="B451" s="1" t="n">
        <v>44897</v>
      </c>
      <c r="C451" s="1" t="n">
        <v>45976</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53343-2025</t>
        </is>
      </c>
      <c r="B452" s="1" t="n">
        <v>45959.42025462963</v>
      </c>
      <c r="C452" s="1" t="n">
        <v>45976</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53443-2025</t>
        </is>
      </c>
      <c r="B453" s="1" t="n">
        <v>45959.6444675926</v>
      </c>
      <c r="C453" s="1" t="n">
        <v>45976</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8274-2025</t>
        </is>
      </c>
      <c r="B454" s="1" t="n">
        <v>45708</v>
      </c>
      <c r="C454" s="1" t="n">
        <v>45976</v>
      </c>
      <c r="D454" t="inlineStr">
        <is>
          <t>ÖREBRO LÄN</t>
        </is>
      </c>
      <c r="E454" t="inlineStr">
        <is>
          <t>ÖREBRO</t>
        </is>
      </c>
      <c r="G454" t="n">
        <v>5.8</v>
      </c>
      <c r="H454" t="n">
        <v>0</v>
      </c>
      <c r="I454" t="n">
        <v>0</v>
      </c>
      <c r="J454" t="n">
        <v>0</v>
      </c>
      <c r="K454" t="n">
        <v>0</v>
      </c>
      <c r="L454" t="n">
        <v>0</v>
      </c>
      <c r="M454" t="n">
        <v>0</v>
      </c>
      <c r="N454" t="n">
        <v>0</v>
      </c>
      <c r="O454" t="n">
        <v>0</v>
      </c>
      <c r="P454" t="n">
        <v>0</v>
      </c>
      <c r="Q454" t="n">
        <v>0</v>
      </c>
      <c r="R454" s="2" t="inlineStr"/>
    </row>
    <row r="455" ht="15" customHeight="1">
      <c r="A455" t="inlineStr">
        <is>
          <t>A 58644-2023</t>
        </is>
      </c>
      <c r="B455" s="1" t="n">
        <v>45251.58716435185</v>
      </c>
      <c r="C455" s="1" t="n">
        <v>45976</v>
      </c>
      <c r="D455" t="inlineStr">
        <is>
          <t>ÖREBRO LÄN</t>
        </is>
      </c>
      <c r="E455" t="inlineStr">
        <is>
          <t>ÖREBRO</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7634-2024</t>
        </is>
      </c>
      <c r="B456" s="1" t="n">
        <v>45348</v>
      </c>
      <c r="C456" s="1" t="n">
        <v>45976</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58208-2024</t>
        </is>
      </c>
      <c r="B457" s="1" t="n">
        <v>45632</v>
      </c>
      <c r="C457" s="1" t="n">
        <v>45976</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22719-2025</t>
        </is>
      </c>
      <c r="B458" s="1" t="n">
        <v>45789</v>
      </c>
      <c r="C458" s="1" t="n">
        <v>45976</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764-2024</t>
        </is>
      </c>
      <c r="B459" s="1" t="n">
        <v>45300.51512731481</v>
      </c>
      <c r="C459" s="1" t="n">
        <v>45976</v>
      </c>
      <c r="D459" t="inlineStr">
        <is>
          <t>ÖREBRO LÄN</t>
        </is>
      </c>
      <c r="E459" t="inlineStr">
        <is>
          <t>ÖREBRO</t>
        </is>
      </c>
      <c r="G459" t="n">
        <v>2</v>
      </c>
      <c r="H459" t="n">
        <v>0</v>
      </c>
      <c r="I459" t="n">
        <v>0</v>
      </c>
      <c r="J459" t="n">
        <v>0</v>
      </c>
      <c r="K459" t="n">
        <v>0</v>
      </c>
      <c r="L459" t="n">
        <v>0</v>
      </c>
      <c r="M459" t="n">
        <v>0</v>
      </c>
      <c r="N459" t="n">
        <v>0</v>
      </c>
      <c r="O459" t="n">
        <v>0</v>
      </c>
      <c r="P459" t="n">
        <v>0</v>
      </c>
      <c r="Q459" t="n">
        <v>0</v>
      </c>
      <c r="R459" s="2" t="inlineStr"/>
    </row>
    <row r="460" ht="15" customHeight="1">
      <c r="A460" t="inlineStr">
        <is>
          <t>A 22755-2025</t>
        </is>
      </c>
      <c r="B460" s="1" t="n">
        <v>45789.61872685186</v>
      </c>
      <c r="C460" s="1" t="n">
        <v>45976</v>
      </c>
      <c r="D460" t="inlineStr">
        <is>
          <t>ÖREBRO LÄN</t>
        </is>
      </c>
      <c r="E460" t="inlineStr">
        <is>
          <t>ÖREBRO</t>
        </is>
      </c>
      <c r="G460" t="n">
        <v>1.2</v>
      </c>
      <c r="H460" t="n">
        <v>0</v>
      </c>
      <c r="I460" t="n">
        <v>0</v>
      </c>
      <c r="J460" t="n">
        <v>0</v>
      </c>
      <c r="K460" t="n">
        <v>0</v>
      </c>
      <c r="L460" t="n">
        <v>0</v>
      </c>
      <c r="M460" t="n">
        <v>0</v>
      </c>
      <c r="N460" t="n">
        <v>0</v>
      </c>
      <c r="O460" t="n">
        <v>0</v>
      </c>
      <c r="P460" t="n">
        <v>0</v>
      </c>
      <c r="Q460" t="n">
        <v>0</v>
      </c>
      <c r="R460" s="2" t="inlineStr"/>
    </row>
    <row r="461" ht="15" customHeight="1">
      <c r="A461" t="inlineStr">
        <is>
          <t>A 53719-2025</t>
        </is>
      </c>
      <c r="B461" s="1" t="n">
        <v>45960.62042824074</v>
      </c>
      <c r="C461" s="1" t="n">
        <v>45976</v>
      </c>
      <c r="D461" t="inlineStr">
        <is>
          <t>ÖREBRO LÄN</t>
        </is>
      </c>
      <c r="E461" t="inlineStr">
        <is>
          <t>ÖREBRO</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71266-2021</t>
        </is>
      </c>
      <c r="B462" s="1" t="n">
        <v>44539</v>
      </c>
      <c r="C462" s="1" t="n">
        <v>45976</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71267-2021</t>
        </is>
      </c>
      <c r="B463" s="1" t="n">
        <v>44539</v>
      </c>
      <c r="C463" s="1" t="n">
        <v>45976</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45976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44960-2025</t>
        </is>
      </c>
      <c r="B465" s="1" t="n">
        <v>45918.61577546296</v>
      </c>
      <c r="C465" s="1" t="n">
        <v>45976</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34336-2024</t>
        </is>
      </c>
      <c r="B466" s="1" t="n">
        <v>45524.94774305556</v>
      </c>
      <c r="C466" s="1" t="n">
        <v>45976</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21983-2021</t>
        </is>
      </c>
      <c r="B467" s="1" t="n">
        <v>44323</v>
      </c>
      <c r="C467" s="1" t="n">
        <v>45976</v>
      </c>
      <c r="D467" t="inlineStr">
        <is>
          <t>ÖREBRO LÄN</t>
        </is>
      </c>
      <c r="E467" t="inlineStr">
        <is>
          <t>ÖREBRO</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62497-2023</t>
        </is>
      </c>
      <c r="B468" s="1" t="n">
        <v>45268.59935185185</v>
      </c>
      <c r="C468" s="1" t="n">
        <v>45976</v>
      </c>
      <c r="D468" t="inlineStr">
        <is>
          <t>ÖREBRO LÄN</t>
        </is>
      </c>
      <c r="E468" t="inlineStr">
        <is>
          <t>ÖREBRO</t>
        </is>
      </c>
      <c r="F468" t="inlineStr">
        <is>
          <t>Övriga Aktiebolag</t>
        </is>
      </c>
      <c r="G468" t="n">
        <v>3.2</v>
      </c>
      <c r="H468" t="n">
        <v>0</v>
      </c>
      <c r="I468" t="n">
        <v>0</v>
      </c>
      <c r="J468" t="n">
        <v>0</v>
      </c>
      <c r="K468" t="n">
        <v>0</v>
      </c>
      <c r="L468" t="n">
        <v>0</v>
      </c>
      <c r="M468" t="n">
        <v>0</v>
      </c>
      <c r="N468" t="n">
        <v>0</v>
      </c>
      <c r="O468" t="n">
        <v>0</v>
      </c>
      <c r="P468" t="n">
        <v>0</v>
      </c>
      <c r="Q468" t="n">
        <v>0</v>
      </c>
      <c r="R468" s="2" t="inlineStr"/>
    </row>
    <row r="469" ht="15" customHeight="1">
      <c r="A469" t="inlineStr">
        <is>
          <t>A 33294-2023</t>
        </is>
      </c>
      <c r="B469" s="1" t="n">
        <v>45127</v>
      </c>
      <c r="C469" s="1" t="n">
        <v>45976</v>
      </c>
      <c r="D469" t="inlineStr">
        <is>
          <t>ÖREBRO LÄN</t>
        </is>
      </c>
      <c r="E469" t="inlineStr">
        <is>
          <t>ÖREBRO</t>
        </is>
      </c>
      <c r="F469" t="inlineStr">
        <is>
          <t>Övriga Aktiebolag</t>
        </is>
      </c>
      <c r="G469" t="n">
        <v>6.7</v>
      </c>
      <c r="H469" t="n">
        <v>0</v>
      </c>
      <c r="I469" t="n">
        <v>0</v>
      </c>
      <c r="J469" t="n">
        <v>0</v>
      </c>
      <c r="K469" t="n">
        <v>0</v>
      </c>
      <c r="L469" t="n">
        <v>0</v>
      </c>
      <c r="M469" t="n">
        <v>0</v>
      </c>
      <c r="N469" t="n">
        <v>0</v>
      </c>
      <c r="O469" t="n">
        <v>0</v>
      </c>
      <c r="P469" t="n">
        <v>0</v>
      </c>
      <c r="Q469" t="n">
        <v>0</v>
      </c>
      <c r="R469" s="2" t="inlineStr"/>
    </row>
    <row r="470" ht="15" customHeight="1">
      <c r="A470" t="inlineStr">
        <is>
          <t>A 15555-2025</t>
        </is>
      </c>
      <c r="B470" s="1" t="n">
        <v>45747.67768518518</v>
      </c>
      <c r="C470" s="1" t="n">
        <v>45976</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61279-2024</t>
        </is>
      </c>
      <c r="B471" s="1" t="n">
        <v>45645</v>
      </c>
      <c r="C471" s="1" t="n">
        <v>45976</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38790-2024</t>
        </is>
      </c>
      <c r="B472" s="1" t="n">
        <v>45547.48450231482</v>
      </c>
      <c r="C472" s="1" t="n">
        <v>45976</v>
      </c>
      <c r="D472" t="inlineStr">
        <is>
          <t>ÖREBRO LÄN</t>
        </is>
      </c>
      <c r="E472" t="inlineStr">
        <is>
          <t>ÖREBRO</t>
        </is>
      </c>
      <c r="G472" t="n">
        <v>2</v>
      </c>
      <c r="H472" t="n">
        <v>0</v>
      </c>
      <c r="I472" t="n">
        <v>0</v>
      </c>
      <c r="J472" t="n">
        <v>0</v>
      </c>
      <c r="K472" t="n">
        <v>0</v>
      </c>
      <c r="L472" t="n">
        <v>0</v>
      </c>
      <c r="M472" t="n">
        <v>0</v>
      </c>
      <c r="N472" t="n">
        <v>0</v>
      </c>
      <c r="O472" t="n">
        <v>0</v>
      </c>
      <c r="P472" t="n">
        <v>0</v>
      </c>
      <c r="Q472" t="n">
        <v>0</v>
      </c>
      <c r="R472" s="2" t="inlineStr"/>
    </row>
    <row r="473" ht="15" customHeight="1">
      <c r="A473" t="inlineStr">
        <is>
          <t>A 71269-2021</t>
        </is>
      </c>
      <c r="B473" s="1" t="n">
        <v>44539</v>
      </c>
      <c r="C473" s="1" t="n">
        <v>45976</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30316-2024</t>
        </is>
      </c>
      <c r="B474" s="1" t="n">
        <v>45490</v>
      </c>
      <c r="C474" s="1" t="n">
        <v>45976</v>
      </c>
      <c r="D474" t="inlineStr">
        <is>
          <t>ÖREBRO LÄN</t>
        </is>
      </c>
      <c r="E474" t="inlineStr">
        <is>
          <t>ÖREBRO</t>
        </is>
      </c>
      <c r="G474" t="n">
        <v>5.5</v>
      </c>
      <c r="H474" t="n">
        <v>0</v>
      </c>
      <c r="I474" t="n">
        <v>0</v>
      </c>
      <c r="J474" t="n">
        <v>0</v>
      </c>
      <c r="K474" t="n">
        <v>0</v>
      </c>
      <c r="L474" t="n">
        <v>0</v>
      </c>
      <c r="M474" t="n">
        <v>0</v>
      </c>
      <c r="N474" t="n">
        <v>0</v>
      </c>
      <c r="O474" t="n">
        <v>0</v>
      </c>
      <c r="P474" t="n">
        <v>0</v>
      </c>
      <c r="Q474" t="n">
        <v>0</v>
      </c>
      <c r="R474" s="2" t="inlineStr"/>
    </row>
    <row r="475" ht="15" customHeight="1">
      <c r="A475" t="inlineStr">
        <is>
          <t>A 46052-2024</t>
        </is>
      </c>
      <c r="B475" s="1" t="n">
        <v>45580.89116898148</v>
      </c>
      <c r="C475" s="1" t="n">
        <v>45976</v>
      </c>
      <c r="D475" t="inlineStr">
        <is>
          <t>ÖREBRO LÄN</t>
        </is>
      </c>
      <c r="E475" t="inlineStr">
        <is>
          <t>ÖREBRO</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44199-2024</t>
        </is>
      </c>
      <c r="B476" s="1" t="n">
        <v>45573</v>
      </c>
      <c r="C476" s="1" t="n">
        <v>45976</v>
      </c>
      <c r="D476" t="inlineStr">
        <is>
          <t>ÖREBRO LÄN</t>
        </is>
      </c>
      <c r="E476" t="inlineStr">
        <is>
          <t>ÖREBRO</t>
        </is>
      </c>
      <c r="G476" t="n">
        <v>4.3</v>
      </c>
      <c r="H476" t="n">
        <v>0</v>
      </c>
      <c r="I476" t="n">
        <v>0</v>
      </c>
      <c r="J476" t="n">
        <v>0</v>
      </c>
      <c r="K476" t="n">
        <v>0</v>
      </c>
      <c r="L476" t="n">
        <v>0</v>
      </c>
      <c r="M476" t="n">
        <v>0</v>
      </c>
      <c r="N476" t="n">
        <v>0</v>
      </c>
      <c r="O476" t="n">
        <v>0</v>
      </c>
      <c r="P476" t="n">
        <v>0</v>
      </c>
      <c r="Q476" t="n">
        <v>0</v>
      </c>
      <c r="R476" s="2" t="inlineStr"/>
    </row>
    <row r="477" ht="15" customHeight="1">
      <c r="A477" t="inlineStr">
        <is>
          <t>A 44875-2025</t>
        </is>
      </c>
      <c r="B477" s="1" t="n">
        <v>45918.47043981482</v>
      </c>
      <c r="C477" s="1" t="n">
        <v>45976</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4380-2025</t>
        </is>
      </c>
      <c r="B478" s="1" t="n">
        <v>45686.3959375</v>
      </c>
      <c r="C478" s="1" t="n">
        <v>45976</v>
      </c>
      <c r="D478" t="inlineStr">
        <is>
          <t>ÖREBRO LÄN</t>
        </is>
      </c>
      <c r="E478" t="inlineStr">
        <is>
          <t>ÖREBRO</t>
        </is>
      </c>
      <c r="G478" t="n">
        <v>3.2</v>
      </c>
      <c r="H478" t="n">
        <v>0</v>
      </c>
      <c r="I478" t="n">
        <v>0</v>
      </c>
      <c r="J478" t="n">
        <v>0</v>
      </c>
      <c r="K478" t="n">
        <v>0</v>
      </c>
      <c r="L478" t="n">
        <v>0</v>
      </c>
      <c r="M478" t="n">
        <v>0</v>
      </c>
      <c r="N478" t="n">
        <v>0</v>
      </c>
      <c r="O478" t="n">
        <v>0</v>
      </c>
      <c r="P478" t="n">
        <v>0</v>
      </c>
      <c r="Q478" t="n">
        <v>0</v>
      </c>
      <c r="R478" s="2" t="inlineStr"/>
    </row>
    <row r="479" ht="15" customHeight="1">
      <c r="A479" t="inlineStr">
        <is>
          <t>A 54149-2024</t>
        </is>
      </c>
      <c r="B479" s="1" t="n">
        <v>45616</v>
      </c>
      <c r="C479" s="1" t="n">
        <v>45976</v>
      </c>
      <c r="D479" t="inlineStr">
        <is>
          <t>ÖREBRO LÄN</t>
        </is>
      </c>
      <c r="E479" t="inlineStr">
        <is>
          <t>ÖREBRO</t>
        </is>
      </c>
      <c r="G479" t="n">
        <v>2.7</v>
      </c>
      <c r="H479" t="n">
        <v>0</v>
      </c>
      <c r="I479" t="n">
        <v>0</v>
      </c>
      <c r="J479" t="n">
        <v>0</v>
      </c>
      <c r="K479" t="n">
        <v>0</v>
      </c>
      <c r="L479" t="n">
        <v>0</v>
      </c>
      <c r="M479" t="n">
        <v>0</v>
      </c>
      <c r="N479" t="n">
        <v>0</v>
      </c>
      <c r="O479" t="n">
        <v>0</v>
      </c>
      <c r="P479" t="n">
        <v>0</v>
      </c>
      <c r="Q479" t="n">
        <v>0</v>
      </c>
      <c r="R479" s="2" t="inlineStr"/>
    </row>
    <row r="480" ht="15" customHeight="1">
      <c r="A480" t="inlineStr">
        <is>
          <t>A 53715-2025</t>
        </is>
      </c>
      <c r="B480" s="1" t="n">
        <v>45960.61763888889</v>
      </c>
      <c r="C480" s="1" t="n">
        <v>45976</v>
      </c>
      <c r="D480" t="inlineStr">
        <is>
          <t>ÖREBRO LÄN</t>
        </is>
      </c>
      <c r="E480" t="inlineStr">
        <is>
          <t>ÖREBRO</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26443-2024</t>
        </is>
      </c>
      <c r="B481" s="1" t="n">
        <v>45469.49901620371</v>
      </c>
      <c r="C481" s="1" t="n">
        <v>45976</v>
      </c>
      <c r="D481" t="inlineStr">
        <is>
          <t>ÖREBRO LÄN</t>
        </is>
      </c>
      <c r="E481" t="inlineStr">
        <is>
          <t>ÖREBRO</t>
        </is>
      </c>
      <c r="G481" t="n">
        <v>5.7</v>
      </c>
      <c r="H481" t="n">
        <v>0</v>
      </c>
      <c r="I481" t="n">
        <v>0</v>
      </c>
      <c r="J481" t="n">
        <v>0</v>
      </c>
      <c r="K481" t="n">
        <v>0</v>
      </c>
      <c r="L481" t="n">
        <v>0</v>
      </c>
      <c r="M481" t="n">
        <v>0</v>
      </c>
      <c r="N481" t="n">
        <v>0</v>
      </c>
      <c r="O481" t="n">
        <v>0</v>
      </c>
      <c r="P481" t="n">
        <v>0</v>
      </c>
      <c r="Q481" t="n">
        <v>0</v>
      </c>
      <c r="R481" s="2" t="inlineStr"/>
    </row>
    <row r="482" ht="15" customHeight="1">
      <c r="A482" t="inlineStr">
        <is>
          <t>A 5136-2024</t>
        </is>
      </c>
      <c r="B482" s="1" t="n">
        <v>45330</v>
      </c>
      <c r="C482" s="1" t="n">
        <v>45976</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35477-2024</t>
        </is>
      </c>
      <c r="B483" s="1" t="n">
        <v>45531</v>
      </c>
      <c r="C483" s="1" t="n">
        <v>45976</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12871-2021</t>
        </is>
      </c>
      <c r="B484" s="1" t="n">
        <v>44271.42121527778</v>
      </c>
      <c r="C484" s="1" t="n">
        <v>45976</v>
      </c>
      <c r="D484" t="inlineStr">
        <is>
          <t>ÖREBRO LÄN</t>
        </is>
      </c>
      <c r="E484" t="inlineStr">
        <is>
          <t>ÖREBRO</t>
        </is>
      </c>
      <c r="G484" t="n">
        <v>0.9</v>
      </c>
      <c r="H484" t="n">
        <v>0</v>
      </c>
      <c r="I484" t="n">
        <v>0</v>
      </c>
      <c r="J484" t="n">
        <v>0</v>
      </c>
      <c r="K484" t="n">
        <v>0</v>
      </c>
      <c r="L484" t="n">
        <v>0</v>
      </c>
      <c r="M484" t="n">
        <v>0</v>
      </c>
      <c r="N484" t="n">
        <v>0</v>
      </c>
      <c r="O484" t="n">
        <v>0</v>
      </c>
      <c r="P484" t="n">
        <v>0</v>
      </c>
      <c r="Q484" t="n">
        <v>0</v>
      </c>
      <c r="R484" s="2" t="inlineStr"/>
    </row>
    <row r="485" ht="15" customHeight="1">
      <c r="A485" t="inlineStr">
        <is>
          <t>A 15424-2022</t>
        </is>
      </c>
      <c r="B485" s="1" t="n">
        <v>44659</v>
      </c>
      <c r="C485" s="1" t="n">
        <v>45976</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15682-2023</t>
        </is>
      </c>
      <c r="B486" s="1" t="n">
        <v>45021</v>
      </c>
      <c r="C486" s="1" t="n">
        <v>45976</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5406-2025</t>
        </is>
      </c>
      <c r="B487" s="1" t="n">
        <v>45692.64821759259</v>
      </c>
      <c r="C487" s="1" t="n">
        <v>45976</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12682-2023</t>
        </is>
      </c>
      <c r="B488" s="1" t="n">
        <v>45000.6115625</v>
      </c>
      <c r="C488" s="1" t="n">
        <v>45976</v>
      </c>
      <c r="D488" t="inlineStr">
        <is>
          <t>ÖREBRO LÄN</t>
        </is>
      </c>
      <c r="E488" t="inlineStr">
        <is>
          <t>ÖREBRO</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57247-2022</t>
        </is>
      </c>
      <c r="B489" s="1" t="n">
        <v>44895.73065972222</v>
      </c>
      <c r="C489" s="1" t="n">
        <v>45976</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54485-2025</t>
        </is>
      </c>
      <c r="B490" s="1" t="n">
        <v>45965.59295138889</v>
      </c>
      <c r="C490" s="1" t="n">
        <v>45976</v>
      </c>
      <c r="D490" t="inlineStr">
        <is>
          <t>ÖREBRO LÄN</t>
        </is>
      </c>
      <c r="E490" t="inlineStr">
        <is>
          <t>ÖREBRO</t>
        </is>
      </c>
      <c r="F490" t="inlineStr">
        <is>
          <t>Allmännings- och besparingsskogar</t>
        </is>
      </c>
      <c r="G490" t="n">
        <v>1.7</v>
      </c>
      <c r="H490" t="n">
        <v>0</v>
      </c>
      <c r="I490" t="n">
        <v>0</v>
      </c>
      <c r="J490" t="n">
        <v>0</v>
      </c>
      <c r="K490" t="n">
        <v>0</v>
      </c>
      <c r="L490" t="n">
        <v>0</v>
      </c>
      <c r="M490" t="n">
        <v>0</v>
      </c>
      <c r="N490" t="n">
        <v>0</v>
      </c>
      <c r="O490" t="n">
        <v>0</v>
      </c>
      <c r="P490" t="n">
        <v>0</v>
      </c>
      <c r="Q490" t="n">
        <v>0</v>
      </c>
      <c r="R490" s="2" t="inlineStr"/>
    </row>
    <row r="491" ht="15" customHeight="1">
      <c r="A491" t="inlineStr">
        <is>
          <t>A 52018-2024</t>
        </is>
      </c>
      <c r="B491" s="1" t="n">
        <v>45607.82974537037</v>
      </c>
      <c r="C491" s="1" t="n">
        <v>45976</v>
      </c>
      <c r="D491" t="inlineStr">
        <is>
          <t>ÖREBRO LÄN</t>
        </is>
      </c>
      <c r="E491" t="inlineStr">
        <is>
          <t>ÖREBRO</t>
        </is>
      </c>
      <c r="G491" t="n">
        <v>4.3</v>
      </c>
      <c r="H491" t="n">
        <v>0</v>
      </c>
      <c r="I491" t="n">
        <v>0</v>
      </c>
      <c r="J491" t="n">
        <v>0</v>
      </c>
      <c r="K491" t="n">
        <v>0</v>
      </c>
      <c r="L491" t="n">
        <v>0</v>
      </c>
      <c r="M491" t="n">
        <v>0</v>
      </c>
      <c r="N491" t="n">
        <v>0</v>
      </c>
      <c r="O491" t="n">
        <v>0</v>
      </c>
      <c r="P491" t="n">
        <v>0</v>
      </c>
      <c r="Q491" t="n">
        <v>0</v>
      </c>
      <c r="R491" s="2" t="inlineStr"/>
    </row>
    <row r="492" ht="15" customHeight="1">
      <c r="A492" t="inlineStr">
        <is>
          <t>A 34358-2022</t>
        </is>
      </c>
      <c r="B492" s="1" t="n">
        <v>44792.45494212963</v>
      </c>
      <c r="C492" s="1" t="n">
        <v>45976</v>
      </c>
      <c r="D492" t="inlineStr">
        <is>
          <t>ÖREBRO LÄN</t>
        </is>
      </c>
      <c r="E492" t="inlineStr">
        <is>
          <t>ÖREBRO</t>
        </is>
      </c>
      <c r="F492" t="inlineStr">
        <is>
          <t>Övriga Aktiebolag</t>
        </is>
      </c>
      <c r="G492" t="n">
        <v>3.4</v>
      </c>
      <c r="H492" t="n">
        <v>0</v>
      </c>
      <c r="I492" t="n">
        <v>0</v>
      </c>
      <c r="J492" t="n">
        <v>0</v>
      </c>
      <c r="K492" t="n">
        <v>0</v>
      </c>
      <c r="L492" t="n">
        <v>0</v>
      </c>
      <c r="M492" t="n">
        <v>0</v>
      </c>
      <c r="N492" t="n">
        <v>0</v>
      </c>
      <c r="O492" t="n">
        <v>0</v>
      </c>
      <c r="P492" t="n">
        <v>0</v>
      </c>
      <c r="Q492" t="n">
        <v>0</v>
      </c>
      <c r="R492" s="2" t="inlineStr"/>
    </row>
    <row r="493" ht="15" customHeight="1">
      <c r="A493" t="inlineStr">
        <is>
          <t>A 22348-2024</t>
        </is>
      </c>
      <c r="B493" s="1" t="n">
        <v>45446.61256944444</v>
      </c>
      <c r="C493" s="1" t="n">
        <v>45976</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15695-2024</t>
        </is>
      </c>
      <c r="B494" s="1" t="n">
        <v>45404.45487268519</v>
      </c>
      <c r="C494" s="1" t="n">
        <v>45976</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30089-2024</t>
        </is>
      </c>
      <c r="B495" s="1" t="n">
        <v>45485</v>
      </c>
      <c r="C495" s="1" t="n">
        <v>45976</v>
      </c>
      <c r="D495" t="inlineStr">
        <is>
          <t>ÖREBRO LÄN</t>
        </is>
      </c>
      <c r="E495" t="inlineStr">
        <is>
          <t>ÖREBRO</t>
        </is>
      </c>
      <c r="G495" t="n">
        <v>2.2</v>
      </c>
      <c r="H495" t="n">
        <v>0</v>
      </c>
      <c r="I495" t="n">
        <v>0</v>
      </c>
      <c r="J495" t="n">
        <v>0</v>
      </c>
      <c r="K495" t="n">
        <v>0</v>
      </c>
      <c r="L495" t="n">
        <v>0</v>
      </c>
      <c r="M495" t="n">
        <v>0</v>
      </c>
      <c r="N495" t="n">
        <v>0</v>
      </c>
      <c r="O495" t="n">
        <v>0</v>
      </c>
      <c r="P495" t="n">
        <v>0</v>
      </c>
      <c r="Q495" t="n">
        <v>0</v>
      </c>
      <c r="R495" s="2" t="inlineStr"/>
    </row>
    <row r="496" ht="15" customHeight="1">
      <c r="A496" t="inlineStr">
        <is>
          <t>A 54205-2025</t>
        </is>
      </c>
      <c r="B496" s="1" t="n">
        <v>45964.58512731481</v>
      </c>
      <c r="C496" s="1" t="n">
        <v>45976</v>
      </c>
      <c r="D496" t="inlineStr">
        <is>
          <t>ÖREBRO LÄN</t>
        </is>
      </c>
      <c r="E496" t="inlineStr">
        <is>
          <t>ÖREBRO</t>
        </is>
      </c>
      <c r="G496" t="n">
        <v>24.3</v>
      </c>
      <c r="H496" t="n">
        <v>0</v>
      </c>
      <c r="I496" t="n">
        <v>0</v>
      </c>
      <c r="J496" t="n">
        <v>0</v>
      </c>
      <c r="K496" t="n">
        <v>0</v>
      </c>
      <c r="L496" t="n">
        <v>0</v>
      </c>
      <c r="M496" t="n">
        <v>0</v>
      </c>
      <c r="N496" t="n">
        <v>0</v>
      </c>
      <c r="O496" t="n">
        <v>0</v>
      </c>
      <c r="P496" t="n">
        <v>0</v>
      </c>
      <c r="Q496" t="n">
        <v>0</v>
      </c>
      <c r="R496" s="2" t="inlineStr"/>
    </row>
    <row r="497" ht="15" customHeight="1">
      <c r="A497" t="inlineStr">
        <is>
          <t>A 5643-2025</t>
        </is>
      </c>
      <c r="B497" s="1" t="n">
        <v>45693</v>
      </c>
      <c r="C497" s="1" t="n">
        <v>45976</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58606-2024</t>
        </is>
      </c>
      <c r="B498" s="1" t="n">
        <v>45635.54747685185</v>
      </c>
      <c r="C498" s="1" t="n">
        <v>45976</v>
      </c>
      <c r="D498" t="inlineStr">
        <is>
          <t>ÖREBRO LÄN</t>
        </is>
      </c>
      <c r="E498" t="inlineStr">
        <is>
          <t>ÖREBRO</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123-2025</t>
        </is>
      </c>
      <c r="B499" s="1" t="n">
        <v>45659.54851851852</v>
      </c>
      <c r="C499" s="1" t="n">
        <v>45976</v>
      </c>
      <c r="D499" t="inlineStr">
        <is>
          <t>ÖREBRO LÄN</t>
        </is>
      </c>
      <c r="E499" t="inlineStr">
        <is>
          <t>ÖREBRO</t>
        </is>
      </c>
      <c r="G499" t="n">
        <v>1.6</v>
      </c>
      <c r="H499" t="n">
        <v>0</v>
      </c>
      <c r="I499" t="n">
        <v>0</v>
      </c>
      <c r="J499" t="n">
        <v>0</v>
      </c>
      <c r="K499" t="n">
        <v>0</v>
      </c>
      <c r="L499" t="n">
        <v>0</v>
      </c>
      <c r="M499" t="n">
        <v>0</v>
      </c>
      <c r="N499" t="n">
        <v>0</v>
      </c>
      <c r="O499" t="n">
        <v>0</v>
      </c>
      <c r="P499" t="n">
        <v>0</v>
      </c>
      <c r="Q499" t="n">
        <v>0</v>
      </c>
      <c r="R499" s="2" t="inlineStr"/>
    </row>
    <row r="500" ht="15" customHeight="1">
      <c r="A500" t="inlineStr">
        <is>
          <t>A 46030-2024</t>
        </is>
      </c>
      <c r="B500" s="1" t="n">
        <v>45580.70377314815</v>
      </c>
      <c r="C500" s="1" t="n">
        <v>45976</v>
      </c>
      <c r="D500" t="inlineStr">
        <is>
          <t>ÖREBRO LÄN</t>
        </is>
      </c>
      <c r="E500" t="inlineStr">
        <is>
          <t>ÖREBRO</t>
        </is>
      </c>
      <c r="G500" t="n">
        <v>3.9</v>
      </c>
      <c r="H500" t="n">
        <v>0</v>
      </c>
      <c r="I500" t="n">
        <v>0</v>
      </c>
      <c r="J500" t="n">
        <v>0</v>
      </c>
      <c r="K500" t="n">
        <v>0</v>
      </c>
      <c r="L500" t="n">
        <v>0</v>
      </c>
      <c r="M500" t="n">
        <v>0</v>
      </c>
      <c r="N500" t="n">
        <v>0</v>
      </c>
      <c r="O500" t="n">
        <v>0</v>
      </c>
      <c r="P500" t="n">
        <v>0</v>
      </c>
      <c r="Q500" t="n">
        <v>0</v>
      </c>
      <c r="R500" s="2" t="inlineStr"/>
    </row>
    <row r="501" ht="15" customHeight="1">
      <c r="A501" t="inlineStr">
        <is>
          <t>A 5342-2024</t>
        </is>
      </c>
      <c r="B501" s="1" t="n">
        <v>45331.44145833333</v>
      </c>
      <c r="C501" s="1" t="n">
        <v>45976</v>
      </c>
      <c r="D501" t="inlineStr">
        <is>
          <t>ÖREBRO LÄN</t>
        </is>
      </c>
      <c r="E501" t="inlineStr">
        <is>
          <t>ÖREBRO</t>
        </is>
      </c>
      <c r="G501" t="n">
        <v>2.5</v>
      </c>
      <c r="H501" t="n">
        <v>0</v>
      </c>
      <c r="I501" t="n">
        <v>0</v>
      </c>
      <c r="J501" t="n">
        <v>0</v>
      </c>
      <c r="K501" t="n">
        <v>0</v>
      </c>
      <c r="L501" t="n">
        <v>0</v>
      </c>
      <c r="M501" t="n">
        <v>0</v>
      </c>
      <c r="N501" t="n">
        <v>0</v>
      </c>
      <c r="O501" t="n">
        <v>0</v>
      </c>
      <c r="P501" t="n">
        <v>0</v>
      </c>
      <c r="Q501" t="n">
        <v>0</v>
      </c>
      <c r="R501" s="2" t="inlineStr"/>
    </row>
    <row r="502" ht="15" customHeight="1">
      <c r="A502" t="inlineStr">
        <is>
          <t>A 71295-2021</t>
        </is>
      </c>
      <c r="B502" s="1" t="n">
        <v>44539.63009259259</v>
      </c>
      <c r="C502" s="1" t="n">
        <v>45976</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37012-2024</t>
        </is>
      </c>
      <c r="B503" s="1" t="n">
        <v>45539</v>
      </c>
      <c r="C503" s="1" t="n">
        <v>45976</v>
      </c>
      <c r="D503" t="inlineStr">
        <is>
          <t>ÖREBRO LÄN</t>
        </is>
      </c>
      <c r="E503" t="inlineStr">
        <is>
          <t>ÖREBRO</t>
        </is>
      </c>
      <c r="G503" t="n">
        <v>4.1</v>
      </c>
      <c r="H503" t="n">
        <v>0</v>
      </c>
      <c r="I503" t="n">
        <v>0</v>
      </c>
      <c r="J503" t="n">
        <v>0</v>
      </c>
      <c r="K503" t="n">
        <v>0</v>
      </c>
      <c r="L503" t="n">
        <v>0</v>
      </c>
      <c r="M503" t="n">
        <v>0</v>
      </c>
      <c r="N503" t="n">
        <v>0</v>
      </c>
      <c r="O503" t="n">
        <v>0</v>
      </c>
      <c r="P503" t="n">
        <v>0</v>
      </c>
      <c r="Q503" t="n">
        <v>0</v>
      </c>
      <c r="R503" s="2" t="inlineStr"/>
    </row>
    <row r="504" ht="15" customHeight="1">
      <c r="A504" t="inlineStr">
        <is>
          <t>A 37020-2024</t>
        </is>
      </c>
      <c r="B504" s="1" t="n">
        <v>45539.38059027777</v>
      </c>
      <c r="C504" s="1" t="n">
        <v>45976</v>
      </c>
      <c r="D504" t="inlineStr">
        <is>
          <t>ÖREBRO LÄN</t>
        </is>
      </c>
      <c r="E504" t="inlineStr">
        <is>
          <t>ÖREBRO</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11516-2024</t>
        </is>
      </c>
      <c r="B505" s="1" t="n">
        <v>45372</v>
      </c>
      <c r="C505" s="1" t="n">
        <v>45976</v>
      </c>
      <c r="D505" t="inlineStr">
        <is>
          <t>ÖREBRO LÄN</t>
        </is>
      </c>
      <c r="E505" t="inlineStr">
        <is>
          <t>ÖREBRO</t>
        </is>
      </c>
      <c r="G505" t="n">
        <v>10.7</v>
      </c>
      <c r="H505" t="n">
        <v>0</v>
      </c>
      <c r="I505" t="n">
        <v>0</v>
      </c>
      <c r="J505" t="n">
        <v>0</v>
      </c>
      <c r="K505" t="n">
        <v>0</v>
      </c>
      <c r="L505" t="n">
        <v>0</v>
      </c>
      <c r="M505" t="n">
        <v>0</v>
      </c>
      <c r="N505" t="n">
        <v>0</v>
      </c>
      <c r="O505" t="n">
        <v>0</v>
      </c>
      <c r="P505" t="n">
        <v>0</v>
      </c>
      <c r="Q505" t="n">
        <v>0</v>
      </c>
      <c r="R505" s="2" t="inlineStr"/>
    </row>
    <row r="506" ht="15" customHeight="1">
      <c r="A506" t="inlineStr">
        <is>
          <t>A 55003-2025</t>
        </is>
      </c>
      <c r="B506" s="1" t="n">
        <v>45967</v>
      </c>
      <c r="C506" s="1" t="n">
        <v>45976</v>
      </c>
      <c r="D506" t="inlineStr">
        <is>
          <t>ÖREBRO LÄN</t>
        </is>
      </c>
      <c r="E506" t="inlineStr">
        <is>
          <t>ÖREBRO</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16958-2022</t>
        </is>
      </c>
      <c r="B507" s="1" t="n">
        <v>44676.50481481481</v>
      </c>
      <c r="C507" s="1" t="n">
        <v>45976</v>
      </c>
      <c r="D507" t="inlineStr">
        <is>
          <t>ÖREBRO LÄN</t>
        </is>
      </c>
      <c r="E507" t="inlineStr">
        <is>
          <t>ÖREBRO</t>
        </is>
      </c>
      <c r="G507" t="n">
        <v>3.1</v>
      </c>
      <c r="H507" t="n">
        <v>0</v>
      </c>
      <c r="I507" t="n">
        <v>0</v>
      </c>
      <c r="J507" t="n">
        <v>0</v>
      </c>
      <c r="K507" t="n">
        <v>0</v>
      </c>
      <c r="L507" t="n">
        <v>0</v>
      </c>
      <c r="M507" t="n">
        <v>0</v>
      </c>
      <c r="N507" t="n">
        <v>0</v>
      </c>
      <c r="O507" t="n">
        <v>0</v>
      </c>
      <c r="P507" t="n">
        <v>0</v>
      </c>
      <c r="Q507" t="n">
        <v>0</v>
      </c>
      <c r="R507" s="2" t="inlineStr"/>
    </row>
    <row r="508" ht="15" customHeight="1">
      <c r="A508" t="inlineStr">
        <is>
          <t>A 5338-2024</t>
        </is>
      </c>
      <c r="B508" s="1" t="n">
        <v>45331</v>
      </c>
      <c r="C508" s="1" t="n">
        <v>45976</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4970-2022</t>
        </is>
      </c>
      <c r="B509" s="1" t="n">
        <v>44593.51175925926</v>
      </c>
      <c r="C509" s="1" t="n">
        <v>45976</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25578-2025</t>
        </is>
      </c>
      <c r="B510" s="1" t="n">
        <v>45803.47803240741</v>
      </c>
      <c r="C510" s="1" t="n">
        <v>45976</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25519-2025</t>
        </is>
      </c>
      <c r="B511" s="1" t="n">
        <v>45803.38447916666</v>
      </c>
      <c r="C511" s="1" t="n">
        <v>45976</v>
      </c>
      <c r="D511" t="inlineStr">
        <is>
          <t>ÖREBRO LÄN</t>
        </is>
      </c>
      <c r="E511" t="inlineStr">
        <is>
          <t>ÖREBRO</t>
        </is>
      </c>
      <c r="G511" t="n">
        <v>7.4</v>
      </c>
      <c r="H511" t="n">
        <v>0</v>
      </c>
      <c r="I511" t="n">
        <v>0</v>
      </c>
      <c r="J511" t="n">
        <v>0</v>
      </c>
      <c r="K511" t="n">
        <v>0</v>
      </c>
      <c r="L511" t="n">
        <v>0</v>
      </c>
      <c r="M511" t="n">
        <v>0</v>
      </c>
      <c r="N511" t="n">
        <v>0</v>
      </c>
      <c r="O511" t="n">
        <v>0</v>
      </c>
      <c r="P511" t="n">
        <v>0</v>
      </c>
      <c r="Q511" t="n">
        <v>0</v>
      </c>
      <c r="R511" s="2" t="inlineStr"/>
    </row>
    <row r="512" ht="15" customHeight="1">
      <c r="A512" t="inlineStr">
        <is>
          <t>A 13657-2025</t>
        </is>
      </c>
      <c r="B512" s="1" t="n">
        <v>45736.7427662037</v>
      </c>
      <c r="C512" s="1" t="n">
        <v>45976</v>
      </c>
      <c r="D512" t="inlineStr">
        <is>
          <t>ÖREBRO LÄN</t>
        </is>
      </c>
      <c r="E512" t="inlineStr">
        <is>
          <t>ÖREBRO</t>
        </is>
      </c>
      <c r="G512" t="n">
        <v>3.8</v>
      </c>
      <c r="H512" t="n">
        <v>0</v>
      </c>
      <c r="I512" t="n">
        <v>0</v>
      </c>
      <c r="J512" t="n">
        <v>0</v>
      </c>
      <c r="K512" t="n">
        <v>0</v>
      </c>
      <c r="L512" t="n">
        <v>0</v>
      </c>
      <c r="M512" t="n">
        <v>0</v>
      </c>
      <c r="N512" t="n">
        <v>0</v>
      </c>
      <c r="O512" t="n">
        <v>0</v>
      </c>
      <c r="P512" t="n">
        <v>0</v>
      </c>
      <c r="Q512" t="n">
        <v>0</v>
      </c>
      <c r="R512" s="2" t="inlineStr"/>
    </row>
    <row r="513" ht="15" customHeight="1">
      <c r="A513" t="inlineStr">
        <is>
          <t>A 9314-2023</t>
        </is>
      </c>
      <c r="B513" s="1" t="n">
        <v>44980.67747685185</v>
      </c>
      <c r="C513" s="1" t="n">
        <v>45976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6522-2023</t>
        </is>
      </c>
      <c r="B514" s="1" t="n">
        <v>44966</v>
      </c>
      <c r="C514" s="1" t="n">
        <v>45976</v>
      </c>
      <c r="D514" t="inlineStr">
        <is>
          <t>ÖREBRO LÄN</t>
        </is>
      </c>
      <c r="E514" t="inlineStr">
        <is>
          <t>ÖREBRO</t>
        </is>
      </c>
      <c r="G514" t="n">
        <v>4.4</v>
      </c>
      <c r="H514" t="n">
        <v>0</v>
      </c>
      <c r="I514" t="n">
        <v>0</v>
      </c>
      <c r="J514" t="n">
        <v>0</v>
      </c>
      <c r="K514" t="n">
        <v>0</v>
      </c>
      <c r="L514" t="n">
        <v>0</v>
      </c>
      <c r="M514" t="n">
        <v>0</v>
      </c>
      <c r="N514" t="n">
        <v>0</v>
      </c>
      <c r="O514" t="n">
        <v>0</v>
      </c>
      <c r="P514" t="n">
        <v>0</v>
      </c>
      <c r="Q514" t="n">
        <v>0</v>
      </c>
      <c r="R514" s="2" t="inlineStr"/>
    </row>
    <row r="515" ht="15" customHeight="1">
      <c r="A515" t="inlineStr">
        <is>
          <t>A 18449-2023</t>
        </is>
      </c>
      <c r="B515" s="1" t="n">
        <v>45042.5203125</v>
      </c>
      <c r="C515" s="1" t="n">
        <v>45976</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16736-2023</t>
        </is>
      </c>
      <c r="B516" s="1" t="n">
        <v>45030.72328703704</v>
      </c>
      <c r="C516" s="1" t="n">
        <v>45976</v>
      </c>
      <c r="D516" t="inlineStr">
        <is>
          <t>ÖREBRO LÄN</t>
        </is>
      </c>
      <c r="E516" t="inlineStr">
        <is>
          <t>ÖREBRO</t>
        </is>
      </c>
      <c r="G516" t="n">
        <v>4</v>
      </c>
      <c r="H516" t="n">
        <v>0</v>
      </c>
      <c r="I516" t="n">
        <v>0</v>
      </c>
      <c r="J516" t="n">
        <v>0</v>
      </c>
      <c r="K516" t="n">
        <v>0</v>
      </c>
      <c r="L516" t="n">
        <v>0</v>
      </c>
      <c r="M516" t="n">
        <v>0</v>
      </c>
      <c r="N516" t="n">
        <v>0</v>
      </c>
      <c r="O516" t="n">
        <v>0</v>
      </c>
      <c r="P516" t="n">
        <v>0</v>
      </c>
      <c r="Q516" t="n">
        <v>0</v>
      </c>
      <c r="R516" s="2" t="inlineStr"/>
    </row>
    <row r="517" ht="15" customHeight="1">
      <c r="A517" t="inlineStr">
        <is>
          <t>A 50375-2024</t>
        </is>
      </c>
      <c r="B517" s="1" t="n">
        <v>45601.29311342593</v>
      </c>
      <c r="C517" s="1" t="n">
        <v>45976</v>
      </c>
      <c r="D517" t="inlineStr">
        <is>
          <t>ÖREBRO LÄN</t>
        </is>
      </c>
      <c r="E517" t="inlineStr">
        <is>
          <t>ÖREBRO</t>
        </is>
      </c>
      <c r="G517" t="n">
        <v>5</v>
      </c>
      <c r="H517" t="n">
        <v>0</v>
      </c>
      <c r="I517" t="n">
        <v>0</v>
      </c>
      <c r="J517" t="n">
        <v>0</v>
      </c>
      <c r="K517" t="n">
        <v>0</v>
      </c>
      <c r="L517" t="n">
        <v>0</v>
      </c>
      <c r="M517" t="n">
        <v>0</v>
      </c>
      <c r="N517" t="n">
        <v>0</v>
      </c>
      <c r="O517" t="n">
        <v>0</v>
      </c>
      <c r="P517" t="n">
        <v>0</v>
      </c>
      <c r="Q517" t="n">
        <v>0</v>
      </c>
      <c r="R517" s="2" t="inlineStr"/>
    </row>
    <row r="518" ht="15" customHeight="1">
      <c r="A518" t="inlineStr">
        <is>
          <t>A 22045-2024</t>
        </is>
      </c>
      <c r="B518" s="1" t="n">
        <v>45443.61171296296</v>
      </c>
      <c r="C518" s="1" t="n">
        <v>45976</v>
      </c>
      <c r="D518" t="inlineStr">
        <is>
          <t>ÖREBRO LÄN</t>
        </is>
      </c>
      <c r="E518" t="inlineStr">
        <is>
          <t>ÖREBRO</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3-2024</t>
        </is>
      </c>
      <c r="B519" s="1" t="n">
        <v>45292</v>
      </c>
      <c r="C519" s="1" t="n">
        <v>45976</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21306-2024</t>
        </is>
      </c>
      <c r="B520" s="1" t="n">
        <v>45440.67883101852</v>
      </c>
      <c r="C520" s="1" t="n">
        <v>45976</v>
      </c>
      <c r="D520" t="inlineStr">
        <is>
          <t>ÖREBRO LÄN</t>
        </is>
      </c>
      <c r="E520" t="inlineStr">
        <is>
          <t>ÖREBRO</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1257-2022</t>
        </is>
      </c>
      <c r="B521" s="1" t="n">
        <v>44572</v>
      </c>
      <c r="C521" s="1" t="n">
        <v>45976</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64730-2023</t>
        </is>
      </c>
      <c r="B522" s="1" t="n">
        <v>45281</v>
      </c>
      <c r="C522" s="1" t="n">
        <v>45976</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6869-2025</t>
        </is>
      </c>
      <c r="B523" s="1" t="n">
        <v>45700</v>
      </c>
      <c r="C523" s="1" t="n">
        <v>45976</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4416-2023</t>
        </is>
      </c>
      <c r="B524" s="1" t="n">
        <v>44956</v>
      </c>
      <c r="C524" s="1" t="n">
        <v>45976</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55748-2025</t>
        </is>
      </c>
      <c r="B525" s="1" t="n">
        <v>45972.57893518519</v>
      </c>
      <c r="C525" s="1" t="n">
        <v>45976</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55888-2025</t>
        </is>
      </c>
      <c r="B526" s="1" t="n">
        <v>45973.37163194444</v>
      </c>
      <c r="C526" s="1" t="n">
        <v>45976</v>
      </c>
      <c r="D526" t="inlineStr">
        <is>
          <t>ÖREBRO LÄN</t>
        </is>
      </c>
      <c r="E526" t="inlineStr">
        <is>
          <t>ÖREBRO</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55879-2025</t>
        </is>
      </c>
      <c r="B527" s="1" t="n">
        <v>45973.36508101852</v>
      </c>
      <c r="C527" s="1" t="n">
        <v>45976</v>
      </c>
      <c r="D527" t="inlineStr">
        <is>
          <t>ÖREBRO LÄN</t>
        </is>
      </c>
      <c r="E527" t="inlineStr">
        <is>
          <t>ÖREBRO</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16961-2022</t>
        </is>
      </c>
      <c r="B528" s="1" t="n">
        <v>44676</v>
      </c>
      <c r="C528" s="1" t="n">
        <v>45976</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55750-2025</t>
        </is>
      </c>
      <c r="B529" s="1" t="n">
        <v>45972.58171296296</v>
      </c>
      <c r="C529" s="1" t="n">
        <v>45976</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27180-2025</t>
        </is>
      </c>
      <c r="B530" s="1" t="n">
        <v>45812.35736111111</v>
      </c>
      <c r="C530" s="1" t="n">
        <v>45976</v>
      </c>
      <c r="D530" t="inlineStr">
        <is>
          <t>ÖREBRO LÄN</t>
        </is>
      </c>
      <c r="E530" t="inlineStr">
        <is>
          <t>ÖREBRO</t>
        </is>
      </c>
      <c r="G530" t="n">
        <v>1.3</v>
      </c>
      <c r="H530" t="n">
        <v>0</v>
      </c>
      <c r="I530" t="n">
        <v>0</v>
      </c>
      <c r="J530" t="n">
        <v>0</v>
      </c>
      <c r="K530" t="n">
        <v>0</v>
      </c>
      <c r="L530" t="n">
        <v>0</v>
      </c>
      <c r="M530" t="n">
        <v>0</v>
      </c>
      <c r="N530" t="n">
        <v>0</v>
      </c>
      <c r="O530" t="n">
        <v>0</v>
      </c>
      <c r="P530" t="n">
        <v>0</v>
      </c>
      <c r="Q530" t="n">
        <v>0</v>
      </c>
      <c r="R530" s="2" t="inlineStr"/>
    </row>
    <row r="531" ht="15" customHeight="1">
      <c r="A531" t="inlineStr">
        <is>
          <t>A 27215-2025</t>
        </is>
      </c>
      <c r="B531" s="1" t="n">
        <v>45812.41869212963</v>
      </c>
      <c r="C531" s="1" t="n">
        <v>45976</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27225-2025</t>
        </is>
      </c>
      <c r="B532" s="1" t="n">
        <v>45812.42856481481</v>
      </c>
      <c r="C532" s="1" t="n">
        <v>45976</v>
      </c>
      <c r="D532" t="inlineStr">
        <is>
          <t>ÖREBRO LÄN</t>
        </is>
      </c>
      <c r="E532" t="inlineStr">
        <is>
          <t>ÖREBRO</t>
        </is>
      </c>
      <c r="G532" t="n">
        <v>4</v>
      </c>
      <c r="H532" t="n">
        <v>0</v>
      </c>
      <c r="I532" t="n">
        <v>0</v>
      </c>
      <c r="J532" t="n">
        <v>0</v>
      </c>
      <c r="K532" t="n">
        <v>0</v>
      </c>
      <c r="L532" t="n">
        <v>0</v>
      </c>
      <c r="M532" t="n">
        <v>0</v>
      </c>
      <c r="N532" t="n">
        <v>0</v>
      </c>
      <c r="O532" t="n">
        <v>0</v>
      </c>
      <c r="P532" t="n">
        <v>0</v>
      </c>
      <c r="Q532" t="n">
        <v>0</v>
      </c>
      <c r="R532" s="2" t="inlineStr"/>
    </row>
    <row r="533" ht="15" customHeight="1">
      <c r="A533" t="inlineStr">
        <is>
          <t>A 17983-2025</t>
        </is>
      </c>
      <c r="B533" s="1" t="n">
        <v>45761.38829861111</v>
      </c>
      <c r="C533" s="1" t="n">
        <v>45976</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27220-2025</t>
        </is>
      </c>
      <c r="B534" s="1" t="n">
        <v>45812.42293981482</v>
      </c>
      <c r="C534" s="1" t="n">
        <v>45976</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23594-2023</t>
        </is>
      </c>
      <c r="B535" s="1" t="n">
        <v>45077</v>
      </c>
      <c r="C535" s="1" t="n">
        <v>45976</v>
      </c>
      <c r="D535" t="inlineStr">
        <is>
          <t>ÖREBRO LÄN</t>
        </is>
      </c>
      <c r="E535" t="inlineStr">
        <is>
          <t>ÖREBRO</t>
        </is>
      </c>
      <c r="G535" t="n">
        <v>9.9</v>
      </c>
      <c r="H535" t="n">
        <v>0</v>
      </c>
      <c r="I535" t="n">
        <v>0</v>
      </c>
      <c r="J535" t="n">
        <v>0</v>
      </c>
      <c r="K535" t="n">
        <v>0</v>
      </c>
      <c r="L535" t="n">
        <v>0</v>
      </c>
      <c r="M535" t="n">
        <v>0</v>
      </c>
      <c r="N535" t="n">
        <v>0</v>
      </c>
      <c r="O535" t="n">
        <v>0</v>
      </c>
      <c r="P535" t="n">
        <v>0</v>
      </c>
      <c r="Q535" t="n">
        <v>0</v>
      </c>
      <c r="R535" s="2" t="inlineStr"/>
    </row>
    <row r="536" ht="15" customHeight="1">
      <c r="A536" t="inlineStr">
        <is>
          <t>A 28120-2025</t>
        </is>
      </c>
      <c r="B536" s="1" t="n">
        <v>45818.30459490741</v>
      </c>
      <c r="C536" s="1" t="n">
        <v>45976</v>
      </c>
      <c r="D536" t="inlineStr">
        <is>
          <t>ÖREBRO LÄN</t>
        </is>
      </c>
      <c r="E536" t="inlineStr">
        <is>
          <t>ÖREBRO</t>
        </is>
      </c>
      <c r="G536" t="n">
        <v>1.5</v>
      </c>
      <c r="H536" t="n">
        <v>0</v>
      </c>
      <c r="I536" t="n">
        <v>0</v>
      </c>
      <c r="J536" t="n">
        <v>0</v>
      </c>
      <c r="K536" t="n">
        <v>0</v>
      </c>
      <c r="L536" t="n">
        <v>0</v>
      </c>
      <c r="M536" t="n">
        <v>0</v>
      </c>
      <c r="N536" t="n">
        <v>0</v>
      </c>
      <c r="O536" t="n">
        <v>0</v>
      </c>
      <c r="P536" t="n">
        <v>0</v>
      </c>
      <c r="Q536" t="n">
        <v>0</v>
      </c>
      <c r="R536" s="2" t="inlineStr"/>
    </row>
    <row r="537" ht="15" customHeight="1">
      <c r="A537" t="inlineStr">
        <is>
          <t>A 52444-2024</t>
        </is>
      </c>
      <c r="B537" s="1" t="n">
        <v>45609.48894675926</v>
      </c>
      <c r="C537" s="1" t="n">
        <v>45976</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41995-2024</t>
        </is>
      </c>
      <c r="B538" s="1" t="n">
        <v>45561.6475462963</v>
      </c>
      <c r="C538" s="1" t="n">
        <v>45976</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25996-2024</t>
        </is>
      </c>
      <c r="B539" s="1" t="n">
        <v>45467.89081018518</v>
      </c>
      <c r="C539" s="1" t="n">
        <v>45976</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8571-2021</t>
        </is>
      </c>
      <c r="B540" s="1" t="n">
        <v>44245</v>
      </c>
      <c r="C540" s="1" t="n">
        <v>45976</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7611-2024</t>
        </is>
      </c>
      <c r="B541" s="1" t="n">
        <v>45348.58864583333</v>
      </c>
      <c r="C541" s="1" t="n">
        <v>45976</v>
      </c>
      <c r="D541" t="inlineStr">
        <is>
          <t>ÖREBRO LÄN</t>
        </is>
      </c>
      <c r="E541" t="inlineStr">
        <is>
          <t>ÖREBRO</t>
        </is>
      </c>
      <c r="G541" t="n">
        <v>4.2</v>
      </c>
      <c r="H541" t="n">
        <v>0</v>
      </c>
      <c r="I541" t="n">
        <v>0</v>
      </c>
      <c r="J541" t="n">
        <v>0</v>
      </c>
      <c r="K541" t="n">
        <v>0</v>
      </c>
      <c r="L541" t="n">
        <v>0</v>
      </c>
      <c r="M541" t="n">
        <v>0</v>
      </c>
      <c r="N541" t="n">
        <v>0</v>
      </c>
      <c r="O541" t="n">
        <v>0</v>
      </c>
      <c r="P541" t="n">
        <v>0</v>
      </c>
      <c r="Q541" t="n">
        <v>0</v>
      </c>
      <c r="R541" s="2" t="inlineStr"/>
    </row>
    <row r="542" ht="15" customHeight="1">
      <c r="A542" t="inlineStr">
        <is>
          <t>A 28938-2025</t>
        </is>
      </c>
      <c r="B542" s="1" t="n">
        <v>45820.70626157407</v>
      </c>
      <c r="C542" s="1" t="n">
        <v>45976</v>
      </c>
      <c r="D542" t="inlineStr">
        <is>
          <t>ÖREBRO LÄN</t>
        </is>
      </c>
      <c r="E542" t="inlineStr">
        <is>
          <t>ÖREBRO</t>
        </is>
      </c>
      <c r="G542" t="n">
        <v>1.9</v>
      </c>
      <c r="H542" t="n">
        <v>0</v>
      </c>
      <c r="I542" t="n">
        <v>0</v>
      </c>
      <c r="J542" t="n">
        <v>0</v>
      </c>
      <c r="K542" t="n">
        <v>0</v>
      </c>
      <c r="L542" t="n">
        <v>0</v>
      </c>
      <c r="M542" t="n">
        <v>0</v>
      </c>
      <c r="N542" t="n">
        <v>0</v>
      </c>
      <c r="O542" t="n">
        <v>0</v>
      </c>
      <c r="P542" t="n">
        <v>0</v>
      </c>
      <c r="Q542" t="n">
        <v>0</v>
      </c>
      <c r="R542" s="2" t="inlineStr"/>
    </row>
    <row r="543" ht="15" customHeight="1">
      <c r="A543" t="inlineStr">
        <is>
          <t>A 15789-2023</t>
        </is>
      </c>
      <c r="B543" s="1" t="n">
        <v>45021.71539351852</v>
      </c>
      <c r="C543" s="1" t="n">
        <v>45976</v>
      </c>
      <c r="D543" t="inlineStr">
        <is>
          <t>ÖREBRO LÄN</t>
        </is>
      </c>
      <c r="E543" t="inlineStr">
        <is>
          <t>ÖREBRO</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28920-2025</t>
        </is>
      </c>
      <c r="B544" s="1" t="n">
        <v>45820.66532407407</v>
      </c>
      <c r="C544" s="1" t="n">
        <v>45976</v>
      </c>
      <c r="D544" t="inlineStr">
        <is>
          <t>ÖREBRO LÄN</t>
        </is>
      </c>
      <c r="E544" t="inlineStr">
        <is>
          <t>ÖREBRO</t>
        </is>
      </c>
      <c r="G544" t="n">
        <v>3</v>
      </c>
      <c r="H544" t="n">
        <v>0</v>
      </c>
      <c r="I544" t="n">
        <v>0</v>
      </c>
      <c r="J544" t="n">
        <v>0</v>
      </c>
      <c r="K544" t="n">
        <v>0</v>
      </c>
      <c r="L544" t="n">
        <v>0</v>
      </c>
      <c r="M544" t="n">
        <v>0</v>
      </c>
      <c r="N544" t="n">
        <v>0</v>
      </c>
      <c r="O544" t="n">
        <v>0</v>
      </c>
      <c r="P544" t="n">
        <v>0</v>
      </c>
      <c r="Q544" t="n">
        <v>0</v>
      </c>
      <c r="R544" s="2" t="inlineStr"/>
    </row>
    <row r="545" ht="15" customHeight="1">
      <c r="A545" t="inlineStr">
        <is>
          <t>A 52612-2024</t>
        </is>
      </c>
      <c r="B545" s="1" t="n">
        <v>45609</v>
      </c>
      <c r="C545" s="1" t="n">
        <v>45976</v>
      </c>
      <c r="D545" t="inlineStr">
        <is>
          <t>ÖREBRO LÄN</t>
        </is>
      </c>
      <c r="E545" t="inlineStr">
        <is>
          <t>ÖREBRO</t>
        </is>
      </c>
      <c r="F545" t="inlineStr">
        <is>
          <t>Kommuner</t>
        </is>
      </c>
      <c r="G545" t="n">
        <v>5.5</v>
      </c>
      <c r="H545" t="n">
        <v>0</v>
      </c>
      <c r="I545" t="n">
        <v>0</v>
      </c>
      <c r="J545" t="n">
        <v>0</v>
      </c>
      <c r="K545" t="n">
        <v>0</v>
      </c>
      <c r="L545" t="n">
        <v>0</v>
      </c>
      <c r="M545" t="n">
        <v>0</v>
      </c>
      <c r="N545" t="n">
        <v>0</v>
      </c>
      <c r="O545" t="n">
        <v>0</v>
      </c>
      <c r="P545" t="n">
        <v>0</v>
      </c>
      <c r="Q545" t="n">
        <v>0</v>
      </c>
      <c r="R545" s="2" t="inlineStr"/>
    </row>
    <row r="546" ht="15" customHeight="1">
      <c r="A546" t="inlineStr">
        <is>
          <t>A 29339-2025</t>
        </is>
      </c>
      <c r="B546" s="1" t="n">
        <v>45824.5044212963</v>
      </c>
      <c r="C546" s="1" t="n">
        <v>45976</v>
      </c>
      <c r="D546" t="inlineStr">
        <is>
          <t>ÖREBRO LÄN</t>
        </is>
      </c>
      <c r="E546" t="inlineStr">
        <is>
          <t>ÖREBRO</t>
        </is>
      </c>
      <c r="G546" t="n">
        <v>4.3</v>
      </c>
      <c r="H546" t="n">
        <v>0</v>
      </c>
      <c r="I546" t="n">
        <v>0</v>
      </c>
      <c r="J546" t="n">
        <v>0</v>
      </c>
      <c r="K546" t="n">
        <v>0</v>
      </c>
      <c r="L546" t="n">
        <v>0</v>
      </c>
      <c r="M546" t="n">
        <v>0</v>
      </c>
      <c r="N546" t="n">
        <v>0</v>
      </c>
      <c r="O546" t="n">
        <v>0</v>
      </c>
      <c r="P546" t="n">
        <v>0</v>
      </c>
      <c r="Q546" t="n">
        <v>0</v>
      </c>
      <c r="R546" s="2" t="inlineStr"/>
    </row>
    <row r="547" ht="15" customHeight="1">
      <c r="A547" t="inlineStr">
        <is>
          <t>A 60059-2023</t>
        </is>
      </c>
      <c r="B547" s="1" t="n">
        <v>45258.38157407408</v>
      </c>
      <c r="C547" s="1" t="n">
        <v>45976</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37786-2024</t>
        </is>
      </c>
      <c r="B548" s="1" t="n">
        <v>45542.82987268519</v>
      </c>
      <c r="C548" s="1" t="n">
        <v>45976</v>
      </c>
      <c r="D548" t="inlineStr">
        <is>
          <t>ÖREBRO LÄN</t>
        </is>
      </c>
      <c r="E548" t="inlineStr">
        <is>
          <t>ÖREBRO</t>
        </is>
      </c>
      <c r="G548" t="n">
        <v>3.1</v>
      </c>
      <c r="H548" t="n">
        <v>0</v>
      </c>
      <c r="I548" t="n">
        <v>0</v>
      </c>
      <c r="J548" t="n">
        <v>0</v>
      </c>
      <c r="K548" t="n">
        <v>0</v>
      </c>
      <c r="L548" t="n">
        <v>0</v>
      </c>
      <c r="M548" t="n">
        <v>0</v>
      </c>
      <c r="N548" t="n">
        <v>0</v>
      </c>
      <c r="O548" t="n">
        <v>0</v>
      </c>
      <c r="P548" t="n">
        <v>0</v>
      </c>
      <c r="Q548" t="n">
        <v>0</v>
      </c>
      <c r="R548" s="2" t="inlineStr"/>
    </row>
    <row r="549" ht="15" customHeight="1">
      <c r="A549" t="inlineStr">
        <is>
          <t>A 26858-2024</t>
        </is>
      </c>
      <c r="B549" s="1" t="n">
        <v>45470</v>
      </c>
      <c r="C549" s="1" t="n">
        <v>45976</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29701-2025</t>
        </is>
      </c>
      <c r="B550" s="1" t="n">
        <v>45825.55261574074</v>
      </c>
      <c r="C550" s="1" t="n">
        <v>45976</v>
      </c>
      <c r="D550" t="inlineStr">
        <is>
          <t>ÖREBRO LÄN</t>
        </is>
      </c>
      <c r="E550" t="inlineStr">
        <is>
          <t>ÖREBRO</t>
        </is>
      </c>
      <c r="G550" t="n">
        <v>5.8</v>
      </c>
      <c r="H550" t="n">
        <v>0</v>
      </c>
      <c r="I550" t="n">
        <v>0</v>
      </c>
      <c r="J550" t="n">
        <v>0</v>
      </c>
      <c r="K550" t="n">
        <v>0</v>
      </c>
      <c r="L550" t="n">
        <v>0</v>
      </c>
      <c r="M550" t="n">
        <v>0</v>
      </c>
      <c r="N550" t="n">
        <v>0</v>
      </c>
      <c r="O550" t="n">
        <v>0</v>
      </c>
      <c r="P550" t="n">
        <v>0</v>
      </c>
      <c r="Q550" t="n">
        <v>0</v>
      </c>
      <c r="R550" s="2" t="inlineStr"/>
    </row>
    <row r="551" ht="15" customHeight="1">
      <c r="A551" t="inlineStr">
        <is>
          <t>A 55875-2024</t>
        </is>
      </c>
      <c r="B551" s="1" t="n">
        <v>45623.55375</v>
      </c>
      <c r="C551" s="1" t="n">
        <v>45976</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29286-2025</t>
        </is>
      </c>
      <c r="B552" s="1" t="n">
        <v>45824.43502314815</v>
      </c>
      <c r="C552" s="1" t="n">
        <v>45976</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3841-2023</t>
        </is>
      </c>
      <c r="B553" s="1" t="n">
        <v>44951</v>
      </c>
      <c r="C553" s="1" t="n">
        <v>45976</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49215-2023</t>
        </is>
      </c>
      <c r="B554" s="1" t="n">
        <v>45210.61050925926</v>
      </c>
      <c r="C554" s="1" t="n">
        <v>45976</v>
      </c>
      <c r="D554" t="inlineStr">
        <is>
          <t>ÖREBRO LÄN</t>
        </is>
      </c>
      <c r="E554" t="inlineStr">
        <is>
          <t>ÖREBRO</t>
        </is>
      </c>
      <c r="F554" t="inlineStr">
        <is>
          <t>Övriga Aktiebolag</t>
        </is>
      </c>
      <c r="G554" t="n">
        <v>4.2</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45976</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30550-2025</t>
        </is>
      </c>
      <c r="B556" s="1" t="n">
        <v>45831.38224537037</v>
      </c>
      <c r="C556" s="1" t="n">
        <v>45976</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30731-2025</t>
        </is>
      </c>
      <c r="B557" s="1" t="n">
        <v>45831.57280092593</v>
      </c>
      <c r="C557" s="1" t="n">
        <v>45976</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19553-2023</t>
        </is>
      </c>
      <c r="B558" s="1" t="n">
        <v>45050</v>
      </c>
      <c r="C558" s="1" t="n">
        <v>45976</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31232-2025</t>
        </is>
      </c>
      <c r="B559" s="1" t="n">
        <v>45832.8252199074</v>
      </c>
      <c r="C559" s="1" t="n">
        <v>45976</v>
      </c>
      <c r="D559" t="inlineStr">
        <is>
          <t>ÖREBRO LÄN</t>
        </is>
      </c>
      <c r="E559" t="inlineStr">
        <is>
          <t>ÖREBRO</t>
        </is>
      </c>
      <c r="F559" t="inlineStr">
        <is>
          <t>Övriga Aktiebolag</t>
        </is>
      </c>
      <c r="G559" t="n">
        <v>2.1</v>
      </c>
      <c r="H559" t="n">
        <v>0</v>
      </c>
      <c r="I559" t="n">
        <v>0</v>
      </c>
      <c r="J559" t="n">
        <v>0</v>
      </c>
      <c r="K559" t="n">
        <v>0</v>
      </c>
      <c r="L559" t="n">
        <v>0</v>
      </c>
      <c r="M559" t="n">
        <v>0</v>
      </c>
      <c r="N559" t="n">
        <v>0</v>
      </c>
      <c r="O559" t="n">
        <v>0</v>
      </c>
      <c r="P559" t="n">
        <v>0</v>
      </c>
      <c r="Q559" t="n">
        <v>0</v>
      </c>
      <c r="R559" s="2" t="inlineStr"/>
    </row>
    <row r="560" ht="15" customHeight="1">
      <c r="A560" t="inlineStr">
        <is>
          <t>A 30951-2025</t>
        </is>
      </c>
      <c r="B560" s="1" t="n">
        <v>45832.43225694444</v>
      </c>
      <c r="C560" s="1" t="n">
        <v>45976</v>
      </c>
      <c r="D560" t="inlineStr">
        <is>
          <t>ÖREBRO LÄN</t>
        </is>
      </c>
      <c r="E560" t="inlineStr">
        <is>
          <t>ÖREBRO</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31233-2025</t>
        </is>
      </c>
      <c r="B561" s="1" t="n">
        <v>45832.83341435185</v>
      </c>
      <c r="C561" s="1" t="n">
        <v>45976</v>
      </c>
      <c r="D561" t="inlineStr">
        <is>
          <t>ÖREBRO LÄN</t>
        </is>
      </c>
      <c r="E561" t="inlineStr">
        <is>
          <t>ÖREBRO</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14291-2023</t>
        </is>
      </c>
      <c r="B562" s="1" t="n">
        <v>45010</v>
      </c>
      <c r="C562" s="1" t="n">
        <v>45976</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31237-2025</t>
        </is>
      </c>
      <c r="B563" s="1" t="n">
        <v>45832.84313657408</v>
      </c>
      <c r="C563" s="1" t="n">
        <v>45976</v>
      </c>
      <c r="D563" t="inlineStr">
        <is>
          <t>ÖREBRO LÄN</t>
        </is>
      </c>
      <c r="E563" t="inlineStr">
        <is>
          <t>ÖREBRO</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31066-2025</t>
        </is>
      </c>
      <c r="B564" s="1" t="n">
        <v>45832</v>
      </c>
      <c r="C564" s="1" t="n">
        <v>45976</v>
      </c>
      <c r="D564" t="inlineStr">
        <is>
          <t>ÖREBRO LÄN</t>
        </is>
      </c>
      <c r="E564" t="inlineStr">
        <is>
          <t>ÖREBRO</t>
        </is>
      </c>
      <c r="G564" t="n">
        <v>11.1</v>
      </c>
      <c r="H564" t="n">
        <v>0</v>
      </c>
      <c r="I564" t="n">
        <v>0</v>
      </c>
      <c r="J564" t="n">
        <v>0</v>
      </c>
      <c r="K564" t="n">
        <v>0</v>
      </c>
      <c r="L564" t="n">
        <v>0</v>
      </c>
      <c r="M564" t="n">
        <v>0</v>
      </c>
      <c r="N564" t="n">
        <v>0</v>
      </c>
      <c r="O564" t="n">
        <v>0</v>
      </c>
      <c r="P564" t="n">
        <v>0</v>
      </c>
      <c r="Q564" t="n">
        <v>0</v>
      </c>
      <c r="R564" s="2" t="inlineStr"/>
    </row>
    <row r="565" ht="15" customHeight="1">
      <c r="A565" t="inlineStr">
        <is>
          <t>A 58527-2024</t>
        </is>
      </c>
      <c r="B565" s="1" t="n">
        <v>45635.44388888889</v>
      </c>
      <c r="C565" s="1" t="n">
        <v>45976</v>
      </c>
      <c r="D565" t="inlineStr">
        <is>
          <t>ÖREBRO LÄN</t>
        </is>
      </c>
      <c r="E565" t="inlineStr">
        <is>
          <t>ÖREBRO</t>
        </is>
      </c>
      <c r="F565" t="inlineStr">
        <is>
          <t>Sveaskog</t>
        </is>
      </c>
      <c r="G565" t="n">
        <v>6.4</v>
      </c>
      <c r="H565" t="n">
        <v>0</v>
      </c>
      <c r="I565" t="n">
        <v>0</v>
      </c>
      <c r="J565" t="n">
        <v>0</v>
      </c>
      <c r="K565" t="n">
        <v>0</v>
      </c>
      <c r="L565" t="n">
        <v>0</v>
      </c>
      <c r="M565" t="n">
        <v>0</v>
      </c>
      <c r="N565" t="n">
        <v>0</v>
      </c>
      <c r="O565" t="n">
        <v>0</v>
      </c>
      <c r="P565" t="n">
        <v>0</v>
      </c>
      <c r="Q565" t="n">
        <v>0</v>
      </c>
      <c r="R565" s="2" t="inlineStr"/>
    </row>
    <row r="566" ht="15" customHeight="1">
      <c r="A566" t="inlineStr">
        <is>
          <t>A 55593-2022</t>
        </is>
      </c>
      <c r="B566" s="1" t="n">
        <v>44888</v>
      </c>
      <c r="C566" s="1" t="n">
        <v>45976</v>
      </c>
      <c r="D566" t="inlineStr">
        <is>
          <t>ÖREBRO LÄN</t>
        </is>
      </c>
      <c r="E566" t="inlineStr">
        <is>
          <t>ÖREBRO</t>
        </is>
      </c>
      <c r="G566" t="n">
        <v>3.6</v>
      </c>
      <c r="H566" t="n">
        <v>0</v>
      </c>
      <c r="I566" t="n">
        <v>0</v>
      </c>
      <c r="J566" t="n">
        <v>0</v>
      </c>
      <c r="K566" t="n">
        <v>0</v>
      </c>
      <c r="L566" t="n">
        <v>0</v>
      </c>
      <c r="M566" t="n">
        <v>0</v>
      </c>
      <c r="N566" t="n">
        <v>0</v>
      </c>
      <c r="O566" t="n">
        <v>0</v>
      </c>
      <c r="P566" t="n">
        <v>0</v>
      </c>
      <c r="Q566" t="n">
        <v>0</v>
      </c>
      <c r="R566" s="2" t="inlineStr"/>
    </row>
    <row r="567" ht="15" customHeight="1">
      <c r="A567" t="inlineStr">
        <is>
          <t>A 32188-2025</t>
        </is>
      </c>
      <c r="B567" s="1" t="n">
        <v>45835.56965277778</v>
      </c>
      <c r="C567" s="1" t="n">
        <v>45976</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32195-2025</t>
        </is>
      </c>
      <c r="B568" s="1" t="n">
        <v>45835.57407407407</v>
      </c>
      <c r="C568" s="1" t="n">
        <v>45976</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32218-2025</t>
        </is>
      </c>
      <c r="B569" s="1" t="n">
        <v>45835.58880787037</v>
      </c>
      <c r="C569" s="1" t="n">
        <v>45976</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32904-2025</t>
        </is>
      </c>
      <c r="B570" s="1" t="n">
        <v>45839</v>
      </c>
      <c r="C570" s="1" t="n">
        <v>45976</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32426-2025</t>
        </is>
      </c>
      <c r="B571" s="1" t="n">
        <v>45838.36179398148</v>
      </c>
      <c r="C571" s="1" t="n">
        <v>45976</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33191-2025</t>
        </is>
      </c>
      <c r="B572" s="1" t="n">
        <v>45840.6003587963</v>
      </c>
      <c r="C572" s="1" t="n">
        <v>45976</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63142-2023</t>
        </is>
      </c>
      <c r="B573" s="1" t="n">
        <v>45273</v>
      </c>
      <c r="C573" s="1" t="n">
        <v>45976</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23741-2022</t>
        </is>
      </c>
      <c r="B574" s="1" t="n">
        <v>44722</v>
      </c>
      <c r="C574" s="1" t="n">
        <v>45976</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59121-2024</t>
        </is>
      </c>
      <c r="B575" s="1" t="n">
        <v>45637.37755787037</v>
      </c>
      <c r="C575" s="1" t="n">
        <v>45976</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9704-2023</t>
        </is>
      </c>
      <c r="B576" s="1" t="n">
        <v>44984</v>
      </c>
      <c r="C576" s="1" t="n">
        <v>45976</v>
      </c>
      <c r="D576" t="inlineStr">
        <is>
          <t>ÖREBRO LÄN</t>
        </is>
      </c>
      <c r="E576" t="inlineStr">
        <is>
          <t>ÖREBRO</t>
        </is>
      </c>
      <c r="G576" t="n">
        <v>1</v>
      </c>
      <c r="H576" t="n">
        <v>0</v>
      </c>
      <c r="I576" t="n">
        <v>0</v>
      </c>
      <c r="J576" t="n">
        <v>0</v>
      </c>
      <c r="K576" t="n">
        <v>0</v>
      </c>
      <c r="L576" t="n">
        <v>0</v>
      </c>
      <c r="M576" t="n">
        <v>0</v>
      </c>
      <c r="N576" t="n">
        <v>0</v>
      </c>
      <c r="O576" t="n">
        <v>0</v>
      </c>
      <c r="P576" t="n">
        <v>0</v>
      </c>
      <c r="Q576" t="n">
        <v>0</v>
      </c>
      <c r="R576" s="2" t="inlineStr"/>
    </row>
    <row r="577" ht="15" customHeight="1">
      <c r="A577" t="inlineStr">
        <is>
          <t>A 12099-2023</t>
        </is>
      </c>
      <c r="B577" s="1" t="n">
        <v>44998.37043981482</v>
      </c>
      <c r="C577" s="1" t="n">
        <v>45976</v>
      </c>
      <c r="D577" t="inlineStr">
        <is>
          <t>ÖREBRO LÄN</t>
        </is>
      </c>
      <c r="E577" t="inlineStr">
        <is>
          <t>ÖREBRO</t>
        </is>
      </c>
      <c r="G577" t="n">
        <v>0.9</v>
      </c>
      <c r="H577" t="n">
        <v>0</v>
      </c>
      <c r="I577" t="n">
        <v>0</v>
      </c>
      <c r="J577" t="n">
        <v>0</v>
      </c>
      <c r="K577" t="n">
        <v>0</v>
      </c>
      <c r="L577" t="n">
        <v>0</v>
      </c>
      <c r="M577" t="n">
        <v>0</v>
      </c>
      <c r="N577" t="n">
        <v>0</v>
      </c>
      <c r="O577" t="n">
        <v>0</v>
      </c>
      <c r="P577" t="n">
        <v>0</v>
      </c>
      <c r="Q577" t="n">
        <v>0</v>
      </c>
      <c r="R577" s="2" t="inlineStr"/>
    </row>
    <row r="578" ht="15" customHeight="1">
      <c r="A578" t="inlineStr">
        <is>
          <t>A 17869-2024</t>
        </is>
      </c>
      <c r="B578" s="1" t="n">
        <v>45419</v>
      </c>
      <c r="C578" s="1" t="n">
        <v>45976</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5026-2022</t>
        </is>
      </c>
      <c r="B579" s="1" t="n">
        <v>44593.63974537037</v>
      </c>
      <c r="C579" s="1" t="n">
        <v>45976</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10832-2023</t>
        </is>
      </c>
      <c r="B580" s="1" t="n">
        <v>44990.91711805556</v>
      </c>
      <c r="C580" s="1" t="n">
        <v>45976</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48687-2024</t>
        </is>
      </c>
      <c r="B581" s="1" t="n">
        <v>45593.49899305555</v>
      </c>
      <c r="C581" s="1" t="n">
        <v>45976</v>
      </c>
      <c r="D581" t="inlineStr">
        <is>
          <t>ÖREBRO LÄN</t>
        </is>
      </c>
      <c r="E581" t="inlineStr">
        <is>
          <t>ÖREBRO</t>
        </is>
      </c>
      <c r="F581" t="inlineStr">
        <is>
          <t>Övriga Aktiebolag</t>
        </is>
      </c>
      <c r="G581" t="n">
        <v>3.8</v>
      </c>
      <c r="H581" t="n">
        <v>0</v>
      </c>
      <c r="I581" t="n">
        <v>0</v>
      </c>
      <c r="J581" t="n">
        <v>0</v>
      </c>
      <c r="K581" t="n">
        <v>0</v>
      </c>
      <c r="L581" t="n">
        <v>0</v>
      </c>
      <c r="M581" t="n">
        <v>0</v>
      </c>
      <c r="N581" t="n">
        <v>0</v>
      </c>
      <c r="O581" t="n">
        <v>0</v>
      </c>
      <c r="P581" t="n">
        <v>0</v>
      </c>
      <c r="Q581" t="n">
        <v>0</v>
      </c>
      <c r="R581" s="2" t="inlineStr"/>
    </row>
    <row r="582" ht="15" customHeight="1">
      <c r="A582" t="inlineStr">
        <is>
          <t>A 48581-2024</t>
        </is>
      </c>
      <c r="B582" s="1" t="n">
        <v>45593.41642361111</v>
      </c>
      <c r="C582" s="1" t="n">
        <v>45976</v>
      </c>
      <c r="D582" t="inlineStr">
        <is>
          <t>ÖREBRO LÄN</t>
        </is>
      </c>
      <c r="E582" t="inlineStr">
        <is>
          <t>ÖREBRO</t>
        </is>
      </c>
      <c r="G582" t="n">
        <v>0.7</v>
      </c>
      <c r="H582" t="n">
        <v>0</v>
      </c>
      <c r="I582" t="n">
        <v>0</v>
      </c>
      <c r="J582" t="n">
        <v>0</v>
      </c>
      <c r="K582" t="n">
        <v>0</v>
      </c>
      <c r="L582" t="n">
        <v>0</v>
      </c>
      <c r="M582" t="n">
        <v>0</v>
      </c>
      <c r="N582" t="n">
        <v>0</v>
      </c>
      <c r="O582" t="n">
        <v>0</v>
      </c>
      <c r="P582" t="n">
        <v>0</v>
      </c>
      <c r="Q582" t="n">
        <v>0</v>
      </c>
      <c r="R582" s="2" t="inlineStr"/>
    </row>
    <row r="583" ht="15" customHeight="1">
      <c r="A583" t="inlineStr">
        <is>
          <t>A 40231-2022</t>
        </is>
      </c>
      <c r="B583" s="1" t="n">
        <v>44820</v>
      </c>
      <c r="C583" s="1" t="n">
        <v>45976</v>
      </c>
      <c r="D583" t="inlineStr">
        <is>
          <t>ÖREBRO LÄN</t>
        </is>
      </c>
      <c r="E583" t="inlineStr">
        <is>
          <t>ÖREBRO</t>
        </is>
      </c>
      <c r="F583" t="inlineStr">
        <is>
          <t>Allmännings- och besparingsskogar</t>
        </is>
      </c>
      <c r="G583" t="n">
        <v>2.2</v>
      </c>
      <c r="H583" t="n">
        <v>0</v>
      </c>
      <c r="I583" t="n">
        <v>0</v>
      </c>
      <c r="J583" t="n">
        <v>0</v>
      </c>
      <c r="K583" t="n">
        <v>0</v>
      </c>
      <c r="L583" t="n">
        <v>0</v>
      </c>
      <c r="M583" t="n">
        <v>0</v>
      </c>
      <c r="N583" t="n">
        <v>0</v>
      </c>
      <c r="O583" t="n">
        <v>0</v>
      </c>
      <c r="P583" t="n">
        <v>0</v>
      </c>
      <c r="Q583" t="n">
        <v>0</v>
      </c>
      <c r="R583" s="2" t="inlineStr"/>
    </row>
    <row r="584" ht="15" customHeight="1">
      <c r="A584" t="inlineStr">
        <is>
          <t>A 35062-2025</t>
        </is>
      </c>
      <c r="B584" s="1" t="n">
        <v>45852</v>
      </c>
      <c r="C584" s="1" t="n">
        <v>45976</v>
      </c>
      <c r="D584" t="inlineStr">
        <is>
          <t>ÖREBRO LÄN</t>
        </is>
      </c>
      <c r="E584" t="inlineStr">
        <is>
          <t>ÖREBRO</t>
        </is>
      </c>
      <c r="G584" t="n">
        <v>2.8</v>
      </c>
      <c r="H584" t="n">
        <v>0</v>
      </c>
      <c r="I584" t="n">
        <v>0</v>
      </c>
      <c r="J584" t="n">
        <v>0</v>
      </c>
      <c r="K584" t="n">
        <v>0</v>
      </c>
      <c r="L584" t="n">
        <v>0</v>
      </c>
      <c r="M584" t="n">
        <v>0</v>
      </c>
      <c r="N584" t="n">
        <v>0</v>
      </c>
      <c r="O584" t="n">
        <v>0</v>
      </c>
      <c r="P584" t="n">
        <v>0</v>
      </c>
      <c r="Q584" t="n">
        <v>0</v>
      </c>
      <c r="R584" s="2" t="inlineStr"/>
    </row>
    <row r="585" ht="15" customHeight="1">
      <c r="A585" t="inlineStr">
        <is>
          <t>A 14963-2025</t>
        </is>
      </c>
      <c r="B585" s="1" t="n">
        <v>45743.58699074074</v>
      </c>
      <c r="C585" s="1" t="n">
        <v>45976</v>
      </c>
      <c r="D585" t="inlineStr">
        <is>
          <t>ÖREBRO LÄN</t>
        </is>
      </c>
      <c r="E585" t="inlineStr">
        <is>
          <t>ÖREBRO</t>
        </is>
      </c>
      <c r="G585" t="n">
        <v>9.1</v>
      </c>
      <c r="H585" t="n">
        <v>0</v>
      </c>
      <c r="I585" t="n">
        <v>0</v>
      </c>
      <c r="J585" t="n">
        <v>0</v>
      </c>
      <c r="K585" t="n">
        <v>0</v>
      </c>
      <c r="L585" t="n">
        <v>0</v>
      </c>
      <c r="M585" t="n">
        <v>0</v>
      </c>
      <c r="N585" t="n">
        <v>0</v>
      </c>
      <c r="O585" t="n">
        <v>0</v>
      </c>
      <c r="P585" t="n">
        <v>0</v>
      </c>
      <c r="Q585" t="n">
        <v>0</v>
      </c>
      <c r="R585" s="2" t="inlineStr"/>
    </row>
    <row r="586" ht="15" customHeight="1">
      <c r="A586" t="inlineStr">
        <is>
          <t>A 28821-2025</t>
        </is>
      </c>
      <c r="B586" s="1" t="n">
        <v>45820</v>
      </c>
      <c r="C586" s="1" t="n">
        <v>45976</v>
      </c>
      <c r="D586" t="inlineStr">
        <is>
          <t>ÖREBRO LÄN</t>
        </is>
      </c>
      <c r="E586" t="inlineStr">
        <is>
          <t>ÖREBRO</t>
        </is>
      </c>
      <c r="G586" t="n">
        <v>12.6</v>
      </c>
      <c r="H586" t="n">
        <v>0</v>
      </c>
      <c r="I586" t="n">
        <v>0</v>
      </c>
      <c r="J586" t="n">
        <v>0</v>
      </c>
      <c r="K586" t="n">
        <v>0</v>
      </c>
      <c r="L586" t="n">
        <v>0</v>
      </c>
      <c r="M586" t="n">
        <v>0</v>
      </c>
      <c r="N586" t="n">
        <v>0</v>
      </c>
      <c r="O586" t="n">
        <v>0</v>
      </c>
      <c r="P586" t="n">
        <v>0</v>
      </c>
      <c r="Q586" t="n">
        <v>0</v>
      </c>
      <c r="R586" s="2" t="inlineStr"/>
    </row>
    <row r="587" ht="15" customHeight="1">
      <c r="A587" t="inlineStr">
        <is>
          <t>A 35637-2025</t>
        </is>
      </c>
      <c r="B587" s="1" t="n">
        <v>45859.46859953704</v>
      </c>
      <c r="C587" s="1" t="n">
        <v>45976</v>
      </c>
      <c r="D587" t="inlineStr">
        <is>
          <t>ÖREBRO LÄN</t>
        </is>
      </c>
      <c r="E587" t="inlineStr">
        <is>
          <t>ÖREBRO</t>
        </is>
      </c>
      <c r="G587" t="n">
        <v>2.1</v>
      </c>
      <c r="H587" t="n">
        <v>0</v>
      </c>
      <c r="I587" t="n">
        <v>0</v>
      </c>
      <c r="J587" t="n">
        <v>0</v>
      </c>
      <c r="K587" t="n">
        <v>0</v>
      </c>
      <c r="L587" t="n">
        <v>0</v>
      </c>
      <c r="M587" t="n">
        <v>0</v>
      </c>
      <c r="N587" t="n">
        <v>0</v>
      </c>
      <c r="O587" t="n">
        <v>0</v>
      </c>
      <c r="P587" t="n">
        <v>0</v>
      </c>
      <c r="Q587" t="n">
        <v>0</v>
      </c>
      <c r="R587" s="2" t="inlineStr"/>
    </row>
    <row r="588" ht="15" customHeight="1">
      <c r="A588" t="inlineStr">
        <is>
          <t>A 33455-2023</t>
        </is>
      </c>
      <c r="B588" s="1" t="n">
        <v>45130.98962962963</v>
      </c>
      <c r="C588" s="1" t="n">
        <v>45976</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35928-2025</t>
        </is>
      </c>
      <c r="B589" s="1" t="n">
        <v>45862</v>
      </c>
      <c r="C589" s="1" t="n">
        <v>45976</v>
      </c>
      <c r="D589" t="inlineStr">
        <is>
          <t>ÖREBRO LÄN</t>
        </is>
      </c>
      <c r="E589" t="inlineStr">
        <is>
          <t>ÖREBRO</t>
        </is>
      </c>
      <c r="G589" t="n">
        <v>4.4</v>
      </c>
      <c r="H589" t="n">
        <v>0</v>
      </c>
      <c r="I589" t="n">
        <v>0</v>
      </c>
      <c r="J589" t="n">
        <v>0</v>
      </c>
      <c r="K589" t="n">
        <v>0</v>
      </c>
      <c r="L589" t="n">
        <v>0</v>
      </c>
      <c r="M589" t="n">
        <v>0</v>
      </c>
      <c r="N589" t="n">
        <v>0</v>
      </c>
      <c r="O589" t="n">
        <v>0</v>
      </c>
      <c r="P589" t="n">
        <v>0</v>
      </c>
      <c r="Q589" t="n">
        <v>0</v>
      </c>
      <c r="R589" s="2" t="inlineStr"/>
    </row>
    <row r="590" ht="15" customHeight="1">
      <c r="A590" t="inlineStr">
        <is>
          <t>A 2069-2025</t>
        </is>
      </c>
      <c r="B590" s="1" t="n">
        <v>45672.56614583333</v>
      </c>
      <c r="C590" s="1" t="n">
        <v>45976</v>
      </c>
      <c r="D590" t="inlineStr">
        <is>
          <t>ÖREBRO LÄN</t>
        </is>
      </c>
      <c r="E590" t="inlineStr">
        <is>
          <t>ÖREBRO</t>
        </is>
      </c>
      <c r="G590" t="n">
        <v>3.8</v>
      </c>
      <c r="H590" t="n">
        <v>0</v>
      </c>
      <c r="I590" t="n">
        <v>0</v>
      </c>
      <c r="J590" t="n">
        <v>0</v>
      </c>
      <c r="K590" t="n">
        <v>0</v>
      </c>
      <c r="L590" t="n">
        <v>0</v>
      </c>
      <c r="M590" t="n">
        <v>0</v>
      </c>
      <c r="N590" t="n">
        <v>0</v>
      </c>
      <c r="O590" t="n">
        <v>0</v>
      </c>
      <c r="P590" t="n">
        <v>0</v>
      </c>
      <c r="Q590" t="n">
        <v>0</v>
      </c>
      <c r="R590" s="2" t="inlineStr"/>
    </row>
    <row r="591" ht="15" customHeight="1">
      <c r="A591" t="inlineStr">
        <is>
          <t>A 32025-2024</t>
        </is>
      </c>
      <c r="B591" s="1" t="n">
        <v>45510.65754629629</v>
      </c>
      <c r="C591" s="1" t="n">
        <v>45976</v>
      </c>
      <c r="D591" t="inlineStr">
        <is>
          <t>ÖREBRO LÄN</t>
        </is>
      </c>
      <c r="E591" t="inlineStr">
        <is>
          <t>ÖREBRO</t>
        </is>
      </c>
      <c r="G591" t="n">
        <v>4</v>
      </c>
      <c r="H591" t="n">
        <v>0</v>
      </c>
      <c r="I591" t="n">
        <v>0</v>
      </c>
      <c r="J591" t="n">
        <v>0</v>
      </c>
      <c r="K591" t="n">
        <v>0</v>
      </c>
      <c r="L591" t="n">
        <v>0</v>
      </c>
      <c r="M591" t="n">
        <v>0</v>
      </c>
      <c r="N591" t="n">
        <v>0</v>
      </c>
      <c r="O591" t="n">
        <v>0</v>
      </c>
      <c r="P591" t="n">
        <v>0</v>
      </c>
      <c r="Q591" t="n">
        <v>0</v>
      </c>
      <c r="R591" s="2" t="inlineStr"/>
    </row>
    <row r="592" ht="15" customHeight="1">
      <c r="A592" t="inlineStr">
        <is>
          <t>A 55453-2024</t>
        </is>
      </c>
      <c r="B592" s="1" t="n">
        <v>45622.42097222222</v>
      </c>
      <c r="C592" s="1" t="n">
        <v>45976</v>
      </c>
      <c r="D592" t="inlineStr">
        <is>
          <t>ÖREBRO LÄN</t>
        </is>
      </c>
      <c r="E592" t="inlineStr">
        <is>
          <t>ÖREBRO</t>
        </is>
      </c>
      <c r="G592" t="n">
        <v>8.5</v>
      </c>
      <c r="H592" t="n">
        <v>0</v>
      </c>
      <c r="I592" t="n">
        <v>0</v>
      </c>
      <c r="J592" t="n">
        <v>0</v>
      </c>
      <c r="K592" t="n">
        <v>0</v>
      </c>
      <c r="L592" t="n">
        <v>0</v>
      </c>
      <c r="M592" t="n">
        <v>0</v>
      </c>
      <c r="N592" t="n">
        <v>0</v>
      </c>
      <c r="O592" t="n">
        <v>0</v>
      </c>
      <c r="P592" t="n">
        <v>0</v>
      </c>
      <c r="Q592" t="n">
        <v>0</v>
      </c>
      <c r="R592" s="2" t="inlineStr"/>
    </row>
    <row r="593" ht="15" customHeight="1">
      <c r="A593" t="inlineStr">
        <is>
          <t>A 58277-2022</t>
        </is>
      </c>
      <c r="B593" s="1" t="n">
        <v>44901.48108796297</v>
      </c>
      <c r="C593" s="1" t="n">
        <v>45976</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42518-2021</t>
        </is>
      </c>
      <c r="B594" s="1" t="n">
        <v>44427.81496527778</v>
      </c>
      <c r="C594" s="1" t="n">
        <v>45976</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36448-2025</t>
        </is>
      </c>
      <c r="B595" s="1" t="n">
        <v>45869.41929398148</v>
      </c>
      <c r="C595" s="1" t="n">
        <v>45976</v>
      </c>
      <c r="D595" t="inlineStr">
        <is>
          <t>ÖREBRO LÄN</t>
        </is>
      </c>
      <c r="E595" t="inlineStr">
        <is>
          <t>ÖREBRO</t>
        </is>
      </c>
      <c r="F595" t="inlineStr">
        <is>
          <t>Övriga Aktiebolag</t>
        </is>
      </c>
      <c r="G595" t="n">
        <v>4.3</v>
      </c>
      <c r="H595" t="n">
        <v>0</v>
      </c>
      <c r="I595" t="n">
        <v>0</v>
      </c>
      <c r="J595" t="n">
        <v>0</v>
      </c>
      <c r="K595" t="n">
        <v>0</v>
      </c>
      <c r="L595" t="n">
        <v>0</v>
      </c>
      <c r="M595" t="n">
        <v>0</v>
      </c>
      <c r="N595" t="n">
        <v>0</v>
      </c>
      <c r="O595" t="n">
        <v>0</v>
      </c>
      <c r="P595" t="n">
        <v>0</v>
      </c>
      <c r="Q595" t="n">
        <v>0</v>
      </c>
      <c r="R595" s="2" t="inlineStr"/>
    </row>
    <row r="596" ht="15" customHeight="1">
      <c r="A596" t="inlineStr">
        <is>
          <t>A 14524-2025</t>
        </is>
      </c>
      <c r="B596" s="1" t="n">
        <v>45741.64815972222</v>
      </c>
      <c r="C596" s="1" t="n">
        <v>45976</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36447-2025</t>
        </is>
      </c>
      <c r="B597" s="1" t="n">
        <v>45869.41387731482</v>
      </c>
      <c r="C597" s="1" t="n">
        <v>45976</v>
      </c>
      <c r="D597" t="inlineStr">
        <is>
          <t>ÖREBRO LÄN</t>
        </is>
      </c>
      <c r="E597" t="inlineStr">
        <is>
          <t>ÖREBRO</t>
        </is>
      </c>
      <c r="F597" t="inlineStr">
        <is>
          <t>Övriga Aktiebolag</t>
        </is>
      </c>
      <c r="G597" t="n">
        <v>12.6</v>
      </c>
      <c r="H597" t="n">
        <v>0</v>
      </c>
      <c r="I597" t="n">
        <v>0</v>
      </c>
      <c r="J597" t="n">
        <v>0</v>
      </c>
      <c r="K597" t="n">
        <v>0</v>
      </c>
      <c r="L597" t="n">
        <v>0</v>
      </c>
      <c r="M597" t="n">
        <v>0</v>
      </c>
      <c r="N597" t="n">
        <v>0</v>
      </c>
      <c r="O597" t="n">
        <v>0</v>
      </c>
      <c r="P597" t="n">
        <v>0</v>
      </c>
      <c r="Q597" t="n">
        <v>0</v>
      </c>
      <c r="R597" s="2" t="inlineStr"/>
    </row>
    <row r="598" ht="15" customHeight="1">
      <c r="A598" t="inlineStr">
        <is>
          <t>A 15354-2024</t>
        </is>
      </c>
      <c r="B598" s="1" t="n">
        <v>45400.85319444445</v>
      </c>
      <c r="C598" s="1" t="n">
        <v>45976</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41543-2024</t>
        </is>
      </c>
      <c r="B599" s="1" t="n">
        <v>45560</v>
      </c>
      <c r="C599" s="1" t="n">
        <v>45976</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71275-2021</t>
        </is>
      </c>
      <c r="B600" s="1" t="n">
        <v>44539</v>
      </c>
      <c r="C600" s="1" t="n">
        <v>45976</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71285-2021</t>
        </is>
      </c>
      <c r="B601" s="1" t="n">
        <v>44539.62236111111</v>
      </c>
      <c r="C601" s="1" t="n">
        <v>45976</v>
      </c>
      <c r="D601" t="inlineStr">
        <is>
          <t>ÖREBRO LÄN</t>
        </is>
      </c>
      <c r="E601" t="inlineStr">
        <is>
          <t>ÖREBRO</t>
        </is>
      </c>
      <c r="G601" t="n">
        <v>0.8</v>
      </c>
      <c r="H601" t="n">
        <v>0</v>
      </c>
      <c r="I601" t="n">
        <v>0</v>
      </c>
      <c r="J601" t="n">
        <v>0</v>
      </c>
      <c r="K601" t="n">
        <v>0</v>
      </c>
      <c r="L601" t="n">
        <v>0</v>
      </c>
      <c r="M601" t="n">
        <v>0</v>
      </c>
      <c r="N601" t="n">
        <v>0</v>
      </c>
      <c r="O601" t="n">
        <v>0</v>
      </c>
      <c r="P601" t="n">
        <v>0</v>
      </c>
      <c r="Q601" t="n">
        <v>0</v>
      </c>
      <c r="R601" s="2" t="inlineStr"/>
    </row>
    <row r="602" ht="15" customHeight="1">
      <c r="A602" t="inlineStr">
        <is>
          <t>A 2658-2023</t>
        </is>
      </c>
      <c r="B602" s="1" t="n">
        <v>44944</v>
      </c>
      <c r="C602" s="1" t="n">
        <v>45976</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11382-2023</t>
        </is>
      </c>
      <c r="B603" s="1" t="n">
        <v>44993.45635416666</v>
      </c>
      <c r="C603" s="1" t="n">
        <v>45976</v>
      </c>
      <c r="D603" t="inlineStr">
        <is>
          <t>ÖREBRO LÄN</t>
        </is>
      </c>
      <c r="E603" t="inlineStr">
        <is>
          <t>ÖREBRO</t>
        </is>
      </c>
      <c r="G603" t="n">
        <v>3.3</v>
      </c>
      <c r="H603" t="n">
        <v>0</v>
      </c>
      <c r="I603" t="n">
        <v>0</v>
      </c>
      <c r="J603" t="n">
        <v>0</v>
      </c>
      <c r="K603" t="n">
        <v>0</v>
      </c>
      <c r="L603" t="n">
        <v>0</v>
      </c>
      <c r="M603" t="n">
        <v>0</v>
      </c>
      <c r="N603" t="n">
        <v>0</v>
      </c>
      <c r="O603" t="n">
        <v>0</v>
      </c>
      <c r="P603" t="n">
        <v>0</v>
      </c>
      <c r="Q603" t="n">
        <v>0</v>
      </c>
      <c r="R603" s="2" t="inlineStr"/>
    </row>
    <row r="604" ht="15" customHeight="1">
      <c r="A604" t="inlineStr">
        <is>
          <t>A 52016-2024</t>
        </is>
      </c>
      <c r="B604" s="1" t="n">
        <v>45607.81917824074</v>
      </c>
      <c r="C604" s="1" t="n">
        <v>45976</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27112-2023</t>
        </is>
      </c>
      <c r="B605" s="1" t="n">
        <v>45096</v>
      </c>
      <c r="C605" s="1" t="n">
        <v>45976</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16739-2022</t>
        </is>
      </c>
      <c r="B606" s="1" t="n">
        <v>44673</v>
      </c>
      <c r="C606" s="1" t="n">
        <v>45976</v>
      </c>
      <c r="D606" t="inlineStr">
        <is>
          <t>ÖREBRO LÄN</t>
        </is>
      </c>
      <c r="E606" t="inlineStr">
        <is>
          <t>ÖREBRO</t>
        </is>
      </c>
      <c r="G606" t="n">
        <v>4.7</v>
      </c>
      <c r="H606" t="n">
        <v>0</v>
      </c>
      <c r="I606" t="n">
        <v>0</v>
      </c>
      <c r="J606" t="n">
        <v>0</v>
      </c>
      <c r="K606" t="n">
        <v>0</v>
      </c>
      <c r="L606" t="n">
        <v>0</v>
      </c>
      <c r="M606" t="n">
        <v>0</v>
      </c>
      <c r="N606" t="n">
        <v>0</v>
      </c>
      <c r="O606" t="n">
        <v>0</v>
      </c>
      <c r="P606" t="n">
        <v>0</v>
      </c>
      <c r="Q606" t="n">
        <v>0</v>
      </c>
      <c r="R606" s="2" t="inlineStr"/>
    </row>
    <row r="607" ht="15" customHeight="1">
      <c r="A607" t="inlineStr">
        <is>
          <t>A 8331-2021</t>
        </is>
      </c>
      <c r="B607" s="1" t="n">
        <v>44244</v>
      </c>
      <c r="C607" s="1" t="n">
        <v>45976</v>
      </c>
      <c r="D607" t="inlineStr">
        <is>
          <t>ÖREBRO LÄN</t>
        </is>
      </c>
      <c r="E607" t="inlineStr">
        <is>
          <t>ÖREBRO</t>
        </is>
      </c>
      <c r="G607" t="n">
        <v>9.1</v>
      </c>
      <c r="H607" t="n">
        <v>0</v>
      </c>
      <c r="I607" t="n">
        <v>0</v>
      </c>
      <c r="J607" t="n">
        <v>0</v>
      </c>
      <c r="K607" t="n">
        <v>0</v>
      </c>
      <c r="L607" t="n">
        <v>0</v>
      </c>
      <c r="M607" t="n">
        <v>0</v>
      </c>
      <c r="N607" t="n">
        <v>0</v>
      </c>
      <c r="O607" t="n">
        <v>0</v>
      </c>
      <c r="P607" t="n">
        <v>0</v>
      </c>
      <c r="Q607" t="n">
        <v>0</v>
      </c>
      <c r="R607" s="2" t="inlineStr"/>
    </row>
    <row r="608" ht="15" customHeight="1">
      <c r="A608" t="inlineStr">
        <is>
          <t>A 13592-2023</t>
        </is>
      </c>
      <c r="B608" s="1" t="n">
        <v>45006.56870370371</v>
      </c>
      <c r="C608" s="1" t="n">
        <v>45976</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40656-2023</t>
        </is>
      </c>
      <c r="B609" s="1" t="n">
        <v>45170</v>
      </c>
      <c r="C609" s="1" t="n">
        <v>45976</v>
      </c>
      <c r="D609" t="inlineStr">
        <is>
          <t>ÖREBRO LÄN</t>
        </is>
      </c>
      <c r="E609" t="inlineStr">
        <is>
          <t>ÖREBRO</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12245-2023</t>
        </is>
      </c>
      <c r="B610" s="1" t="n">
        <v>44998.64402777778</v>
      </c>
      <c r="C610" s="1" t="n">
        <v>45976</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c r="A611" t="inlineStr">
        <is>
          <t>A 8008-2024</t>
        </is>
      </c>
      <c r="B611" s="1" t="n">
        <v>45350.6794212963</v>
      </c>
      <c r="C611" s="1" t="n">
        <v>45976</v>
      </c>
      <c r="D611" t="inlineStr">
        <is>
          <t>ÖREBRO LÄN</t>
        </is>
      </c>
      <c r="E611" t="inlineStr">
        <is>
          <t>ÖREBRO</t>
        </is>
      </c>
      <c r="G611" t="n">
        <v>0.6</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2025-11-15T10:11:02Z</dcterms:created>
  <dcterms:modified xmlns:dcterms="http://purl.org/dc/terms/" xmlns:xsi="http://www.w3.org/2001/XMLSchema-instance" xsi:type="dcterms:W3CDTF">2025-11-15T10:11:03Z</dcterms:modified>
</cp:coreProperties>
</file>