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45337</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45337</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45337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45337</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45337</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45337</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45337</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45337</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45337</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45337</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45337</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45337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45337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45337</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45337</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45337</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45337</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45337</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45337</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5354-2024</t>
        </is>
      </c>
      <c r="B21" s="1" t="n">
        <v>45331</v>
      </c>
      <c r="C21" s="1" t="n">
        <v>45337</v>
      </c>
      <c r="D21" t="inlineStr">
        <is>
          <t>ÖREBRO LÄN</t>
        </is>
      </c>
      <c r="E21" t="inlineStr">
        <is>
          <t>ÖREBRO</t>
        </is>
      </c>
      <c r="G21" t="n">
        <v>1.1</v>
      </c>
      <c r="H21" t="n">
        <v>1</v>
      </c>
      <c r="I21" t="n">
        <v>1</v>
      </c>
      <c r="J21" t="n">
        <v>1</v>
      </c>
      <c r="K21" t="n">
        <v>1</v>
      </c>
      <c r="L21" t="n">
        <v>0</v>
      </c>
      <c r="M21" t="n">
        <v>0</v>
      </c>
      <c r="N21" t="n">
        <v>0</v>
      </c>
      <c r="O21" t="n">
        <v>2</v>
      </c>
      <c r="P21" t="n">
        <v>1</v>
      </c>
      <c r="Q21" t="n">
        <v>4</v>
      </c>
      <c r="R21" s="2" t="inlineStr">
        <is>
          <t>Rynkskinn
Kilporing
Kornknutmossa
Fläcknycklar</t>
        </is>
      </c>
      <c r="S21">
        <f>HYPERLINK("https://klasma.github.io/Logging_1880/artfynd/A 5354-2024 artfynd.xlsx", "A 5354-2024")</f>
        <v/>
      </c>
      <c r="T21">
        <f>HYPERLINK("https://klasma.github.io/Logging_1880/kartor/A 5354-2024 karta.png", "A 5354-2024")</f>
        <v/>
      </c>
      <c r="V21">
        <f>HYPERLINK("https://klasma.github.io/Logging_1880/klagomål/A 5354-2024 FSC-klagomål.docx", "A 5354-2024")</f>
        <v/>
      </c>
      <c r="W21">
        <f>HYPERLINK("https://klasma.github.io/Logging_1880/klagomålsmail/A 5354-2024 FSC-klagomål mail.docx", "A 5354-2024")</f>
        <v/>
      </c>
      <c r="X21">
        <f>HYPERLINK("https://klasma.github.io/Logging_1880/tillsyn/A 5354-2024 tillsynsbegäran.docx", "A 5354-2024")</f>
        <v/>
      </c>
      <c r="Y21">
        <f>HYPERLINK("https://klasma.github.io/Logging_1880/tillsynsmail/A 5354-2024 tillsynsbegäran mail.docx", "A 5354-2024")</f>
        <v/>
      </c>
    </row>
    <row r="22" ht="15" customHeight="1">
      <c r="A22" t="inlineStr">
        <is>
          <t>A 35545-2019</t>
        </is>
      </c>
      <c r="B22" s="1" t="n">
        <v>43654</v>
      </c>
      <c r="C22" s="1" t="n">
        <v>45337</v>
      </c>
      <c r="D22" t="inlineStr">
        <is>
          <t>ÖREBRO LÄN</t>
        </is>
      </c>
      <c r="E22" t="inlineStr">
        <is>
          <t>ÖREBRO</t>
        </is>
      </c>
      <c r="F22" t="inlineStr">
        <is>
          <t>Kommuner</t>
        </is>
      </c>
      <c r="G22" t="n">
        <v>2.7</v>
      </c>
      <c r="H22" t="n">
        <v>1</v>
      </c>
      <c r="I22" t="n">
        <v>1</v>
      </c>
      <c r="J22" t="n">
        <v>2</v>
      </c>
      <c r="K22" t="n">
        <v>0</v>
      </c>
      <c r="L22" t="n">
        <v>0</v>
      </c>
      <c r="M22" t="n">
        <v>0</v>
      </c>
      <c r="N22" t="n">
        <v>0</v>
      </c>
      <c r="O22" t="n">
        <v>2</v>
      </c>
      <c r="P22" t="n">
        <v>0</v>
      </c>
      <c r="Q22" t="n">
        <v>3</v>
      </c>
      <c r="R22" s="2" t="inlineStr">
        <is>
          <t>Spillkråka
Tallticka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1309-2020</t>
        </is>
      </c>
      <c r="B23" s="1" t="n">
        <v>43843</v>
      </c>
      <c r="C23" s="1" t="n">
        <v>45337</v>
      </c>
      <c r="D23" t="inlineStr">
        <is>
          <t>ÖREBRO LÄN</t>
        </is>
      </c>
      <c r="E23" t="inlineStr">
        <is>
          <t>ÖREBRO</t>
        </is>
      </c>
      <c r="G23" t="n">
        <v>16.5</v>
      </c>
      <c r="H23" t="n">
        <v>1</v>
      </c>
      <c r="I23" t="n">
        <v>1</v>
      </c>
      <c r="J23" t="n">
        <v>1</v>
      </c>
      <c r="K23" t="n">
        <v>0</v>
      </c>
      <c r="L23" t="n">
        <v>0</v>
      </c>
      <c r="M23" t="n">
        <v>0</v>
      </c>
      <c r="N23" t="n">
        <v>0</v>
      </c>
      <c r="O23" t="n">
        <v>1</v>
      </c>
      <c r="P23" t="n">
        <v>0</v>
      </c>
      <c r="Q23" t="n">
        <v>3</v>
      </c>
      <c r="R23" s="2" t="inlineStr">
        <is>
          <t>Vedskivlav
Nästlav
Revlummer</t>
        </is>
      </c>
      <c r="S23">
        <f>HYPERLINK("https://klasma.github.io/Logging_1880/artfynd/A 1309-2020 artfynd.xlsx", "A 1309-2020")</f>
        <v/>
      </c>
      <c r="T23">
        <f>HYPERLINK("https://klasma.github.io/Logging_1880/kartor/A 1309-2020 karta.png", "A 1309-2020")</f>
        <v/>
      </c>
      <c r="V23">
        <f>HYPERLINK("https://klasma.github.io/Logging_1880/klagomål/A 1309-2020 FSC-klagomål.docx", "A 1309-2020")</f>
        <v/>
      </c>
      <c r="W23">
        <f>HYPERLINK("https://klasma.github.io/Logging_1880/klagomålsmail/A 1309-2020 FSC-klagomål mail.docx", "A 1309-2020")</f>
        <v/>
      </c>
      <c r="X23">
        <f>HYPERLINK("https://klasma.github.io/Logging_1880/tillsyn/A 1309-2020 tillsynsbegäran.docx", "A 1309-2020")</f>
        <v/>
      </c>
      <c r="Y23">
        <f>HYPERLINK("https://klasma.github.io/Logging_1880/tillsynsmail/A 1309-2020 tillsynsbegäran mail.docx", "A 1309-2020")</f>
        <v/>
      </c>
    </row>
    <row r="24" ht="15" customHeight="1">
      <c r="A24" t="inlineStr">
        <is>
          <t>A 19244-2020</t>
        </is>
      </c>
      <c r="B24" s="1" t="n">
        <v>43936</v>
      </c>
      <c r="C24" s="1" t="n">
        <v>45337</v>
      </c>
      <c r="D24" t="inlineStr">
        <is>
          <t>ÖREBRO LÄN</t>
        </is>
      </c>
      <c r="E24" t="inlineStr">
        <is>
          <t>ÖREBRO</t>
        </is>
      </c>
      <c r="F24" t="inlineStr">
        <is>
          <t>Kommuner</t>
        </is>
      </c>
      <c r="G24" t="n">
        <v>13.7</v>
      </c>
      <c r="H24" t="n">
        <v>0</v>
      </c>
      <c r="I24" t="n">
        <v>2</v>
      </c>
      <c r="J24" t="n">
        <v>1</v>
      </c>
      <c r="K24" t="n">
        <v>0</v>
      </c>
      <c r="L24" t="n">
        <v>0</v>
      </c>
      <c r="M24" t="n">
        <v>0</v>
      </c>
      <c r="N24" t="n">
        <v>0</v>
      </c>
      <c r="O24" t="n">
        <v>1</v>
      </c>
      <c r="P24" t="n">
        <v>0</v>
      </c>
      <c r="Q24" t="n">
        <v>3</v>
      </c>
      <c r="R24" s="2" t="inlineStr">
        <is>
          <t>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row>
    <row r="25" ht="15" customHeight="1">
      <c r="A25" t="inlineStr">
        <is>
          <t>A 20838-2021</t>
        </is>
      </c>
      <c r="B25" s="1" t="n">
        <v>44319</v>
      </c>
      <c r="C25" s="1" t="n">
        <v>45337</v>
      </c>
      <c r="D25" t="inlineStr">
        <is>
          <t>ÖREBRO LÄN</t>
        </is>
      </c>
      <c r="E25" t="inlineStr">
        <is>
          <t>ÖREBRO</t>
        </is>
      </c>
      <c r="G25" t="n">
        <v>1.9</v>
      </c>
      <c r="H25" t="n">
        <v>0</v>
      </c>
      <c r="I25" t="n">
        <v>3</v>
      </c>
      <c r="J25" t="n">
        <v>0</v>
      </c>
      <c r="K25" t="n">
        <v>0</v>
      </c>
      <c r="L25" t="n">
        <v>0</v>
      </c>
      <c r="M25" t="n">
        <v>0</v>
      </c>
      <c r="N25" t="n">
        <v>0</v>
      </c>
      <c r="O25" t="n">
        <v>0</v>
      </c>
      <c r="P25" t="n">
        <v>0</v>
      </c>
      <c r="Q25" t="n">
        <v>3</v>
      </c>
      <c r="R25" s="2" t="inlineStr">
        <is>
          <t>Fjällig taggsvamp s.str.
Rödgul trumpetsvamp
Toppvaxskivling</t>
        </is>
      </c>
      <c r="S25">
        <f>HYPERLINK("https://klasma.github.io/Logging_1880/artfynd/A 20838-2021 artfynd.xlsx", "A 20838-2021")</f>
        <v/>
      </c>
      <c r="T25">
        <f>HYPERLINK("https://klasma.github.io/Logging_1880/kartor/A 20838-2021 karta.png", "A 20838-2021")</f>
        <v/>
      </c>
      <c r="V25">
        <f>HYPERLINK("https://klasma.github.io/Logging_1880/klagomål/A 20838-2021 FSC-klagomål.docx", "A 20838-2021")</f>
        <v/>
      </c>
      <c r="W25">
        <f>HYPERLINK("https://klasma.github.io/Logging_1880/klagomålsmail/A 20838-2021 FSC-klagomål mail.docx", "A 20838-2021")</f>
        <v/>
      </c>
      <c r="X25">
        <f>HYPERLINK("https://klasma.github.io/Logging_1880/tillsyn/A 20838-2021 tillsynsbegäran.docx", "A 20838-2021")</f>
        <v/>
      </c>
      <c r="Y25">
        <f>HYPERLINK("https://klasma.github.io/Logging_1880/tillsynsmail/A 20838-2021 tillsynsbegäran mail.docx", "A 20838-2021")</f>
        <v/>
      </c>
    </row>
    <row r="26" ht="15" customHeight="1">
      <c r="A26" t="inlineStr">
        <is>
          <t>A 24677-2022</t>
        </is>
      </c>
      <c r="B26" s="1" t="n">
        <v>44727</v>
      </c>
      <c r="C26" s="1" t="n">
        <v>45337</v>
      </c>
      <c r="D26" t="inlineStr">
        <is>
          <t>ÖREBRO LÄN</t>
        </is>
      </c>
      <c r="E26" t="inlineStr">
        <is>
          <t>ÖREBRO</t>
        </is>
      </c>
      <c r="G26" t="n">
        <v>3.3</v>
      </c>
      <c r="H26" t="n">
        <v>0</v>
      </c>
      <c r="I26" t="n">
        <v>1</v>
      </c>
      <c r="J26" t="n">
        <v>2</v>
      </c>
      <c r="K26" t="n">
        <v>0</v>
      </c>
      <c r="L26" t="n">
        <v>0</v>
      </c>
      <c r="M26" t="n">
        <v>0</v>
      </c>
      <c r="N26" t="n">
        <v>0</v>
      </c>
      <c r="O26" t="n">
        <v>2</v>
      </c>
      <c r="P26" t="n">
        <v>0</v>
      </c>
      <c r="Q26" t="n">
        <v>3</v>
      </c>
      <c r="R26" s="2" t="inlineStr">
        <is>
          <t>Motaggsvamp
Vedskivlav
Dropptaggsvamp</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row>
    <row r="27" ht="15" customHeight="1">
      <c r="A27" t="inlineStr">
        <is>
          <t>A 29487-2022</t>
        </is>
      </c>
      <c r="B27" s="1" t="n">
        <v>44753</v>
      </c>
      <c r="C27" s="1" t="n">
        <v>45337</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45337</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45337</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45337</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45337</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45337</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45337</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45337</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45337</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45337</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45337</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45337</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45337</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45337</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45337</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45337</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45337</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45337</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45337</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45337</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45337</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45337</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45337</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45337</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45337</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45337</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45337</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45337</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45337</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45337</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45337</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45337</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45337</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45337</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45337</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45337</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45337</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45337</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45337</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45337</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45337</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45337</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45337</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45337</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45337</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45337</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45337</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45337</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45337</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45337</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45337</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45337</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45337</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45337</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45337</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45337</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45337</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45337</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45337</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45337</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45337</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45337</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45337</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45337</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45337</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45337</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45337</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45337</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45337</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45337</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45337</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45337</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45337</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45337</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45337</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45337</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45337</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45337</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45337</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45337</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45337</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45337</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45337</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45337</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45337</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45337</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45337</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45337</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45337</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45337</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45337</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45337</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45337</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45337</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45337</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45337</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45337</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45337</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45337</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45337</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45337</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45337</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45337</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45337</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45337</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45337</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45337</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45337</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45337</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45337</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45337</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45337</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45337</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45337</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45337</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45337</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45337</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45337</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45337</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45337</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45337</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45337</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45337</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45337</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45337</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45337</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45337</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45337</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45337</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45337</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45337</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45337</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45337</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45337</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45337</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45337</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45337</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45337</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45337</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45337</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45337</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45337</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45337</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45337</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45337</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45337</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45337</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45337</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45337</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45337</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45337</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45337</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45337</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45337</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45337</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45337</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45337</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45337</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45337</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45337</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45337</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45337</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45337</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45337</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45337</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45337</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45337</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45337</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45337</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45337</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45337</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45337</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45337</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45337</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45337</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45337</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45337</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45337</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45337</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45337</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45337</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45337</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45337</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45337</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45337</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45337</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45337</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45337</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45337</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45337</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45337</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45337</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45337</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45337</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45337</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45337</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45337</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45337</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45337</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45337</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45337</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45337</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45337</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45337</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45337</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45337</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45337</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45337</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45337</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45337</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45337</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45337</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45337</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45337</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45337</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45337</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45337</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45337</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45337</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45337</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45337</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45337</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45337</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45337</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45337</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45337</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45337</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45337</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45337</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45337</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45337</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45337</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45337</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45337</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45337</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45337</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45337</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45337</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45337</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45337</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45337</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45337</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45337</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45337</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45337</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45337</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45337</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45337</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45337</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45337</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45337</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45337</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45337</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45337</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45337</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45337</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45337</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45337</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45337</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45337</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45337</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45337</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45337</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45337</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45337</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45337</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45337</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45337</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45337</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45337</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45337</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45337</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45337</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45337</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45337</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45337</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45337</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45337</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45337</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45337</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45337</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45337</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45337</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45337</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45337</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45337</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45337</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45337</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45337</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45337</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45337</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45337</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45337</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45337</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45337</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45337</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45337</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45337</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45337</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45337</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45337</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45337</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45337</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45337</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45337</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45337</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45337</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45337</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45337</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45337</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45337</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45337</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45337</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45337</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45337</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45337</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45337</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45337</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45337</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45337</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45337</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45337</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45337</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45337</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45337</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45337</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45337</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45337</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45337</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45337</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45337</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45337</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45337</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45337</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45337</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45337</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45337</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45337</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45337</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45337</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45337</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45337</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45337</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45337</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45337</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45337</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45337</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45337</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45337</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45337</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45337</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45337</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45337</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45337</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45337</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45337</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45337</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45337</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45337</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45337</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45337</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45337</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45337</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45337</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45337</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45337</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45337</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45337</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45337</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45337</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45337</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45337</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45337</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45337</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45337</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45337</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45337</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45337</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45337</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45337</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45337</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45337</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45337</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45337</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45337</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45337</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45337</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45337</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45337</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45337</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45337</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45337</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45337</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45337</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45337</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45337</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45337</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45337</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45337</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45337</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45337</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45337</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45337</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45337</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45337</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45337</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45337</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45337</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45337</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45337</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45337</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45337</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45337</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45337</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45337</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45337</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45337</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45337</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45337</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45337</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45337</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45337</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45337</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45337</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45337</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45337</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45337</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45337</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45337</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45337</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45337</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45337</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45337</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45337</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45337</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45337</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45337</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45337</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45337</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45337</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45337</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45337</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45337</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45337</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45337</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45337</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45337</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45337</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45337</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45337</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45337</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45337</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45337</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45337</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45337</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45337</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45337</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45337</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45337</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45337</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45337</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45337</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45337</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45337</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45337</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45337</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45337</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45337</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45337</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45337</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45337</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45337</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45337</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45337</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45337</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45337</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45337</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45337</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45337</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45337</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45337</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45337</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45337</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45337</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45337</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45337</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45337</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45337</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45337</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45337</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45337</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45337</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45337</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45337</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45337</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45337</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45337</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45337</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45337</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45337</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45337</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45337</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45337</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45337</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45337</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45337</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45337</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45337</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45337</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45337</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45337</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45337</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45337</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45337</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45337</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45337</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45337</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45337</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45337</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45337</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45337</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45337</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45337</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45337</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45337</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45337</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45337</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45337</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45337</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45337</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45337</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45337</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45337</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45337</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45337</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45337</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45337</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45337</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45337</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45337</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45337</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45337</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45337</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45337</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45337</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45337</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45337</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45337</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45337</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45337</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45337</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45337</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45337</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45337</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45337</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45337</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45337</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45337</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45337</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45337</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45337</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45337</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45337</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45337</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45337</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45337</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45337</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45337</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45337</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45337</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45337</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45337</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45337</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45337</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45337</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45337</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45337</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45337</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45337</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45337</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45337</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45337</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45337</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45337</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45337</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45337</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45337</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45337</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45337</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45337</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45337</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45337</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45337</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45337</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45337</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45337</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45337</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45337</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45337</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45337</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45337</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45337</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45337</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45337</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45337</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45337</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45337</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45337</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45337</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45337</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45337</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45337</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45337</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45337</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45337</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45337</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45337</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45337</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45337</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45337</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45337</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45337</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45337</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45337</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45337</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45337</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45337</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45337</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45337</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45337</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45337</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45337</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45337</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45337</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45337</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45337</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45337</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45337</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45337</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45337</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45337</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45337</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45337</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45337</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45337</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45337</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45337</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45337</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45337</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45337</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45337</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45337</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45337</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45337</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45337</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45337</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45337</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45337</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45337</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45337</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45337</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45337</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45337</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45337</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45337</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45337</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45337</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45337</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45337</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45337</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45337</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45337</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45337</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45337</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45337</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45337</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45337</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45337</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45337</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45337</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45337</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45337</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45337</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45337</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45337</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45337</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45337</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45337</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45337</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45337</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45337</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45337</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45337</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45337</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45337</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45337</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45337</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45337</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45337</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45337</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45337</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45337</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45337</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45337</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45337</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45337</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45337</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45337</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45337</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45337</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45337</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45337</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45337</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45337</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45337</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45337</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45337</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45337</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45337</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45337</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45337</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45337</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45337</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45337</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45337</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45337</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45337</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45337</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45337</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45337</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45337</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45337</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45337</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45337</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45337</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45337</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45337</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45337</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45337</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45337</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45337</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45337</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45337</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45337</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45337</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45337</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45337</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45337</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45337</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45337</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45337</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45337</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45337</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45337</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45337</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45337</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45337</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45337</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45337</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45337</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45337</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45337</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45337</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45337</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45337</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45337</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45337</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45337</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45337</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45337</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45337</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45337</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45337</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45337</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45337</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45337</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45337</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45337</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45337</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45337</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45337</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45337</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45337</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45337</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45337</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45337</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45337</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45337</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45337</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45337</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45337</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45337</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45337</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45337</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45337</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45337</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45337</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45337</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45337</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45337</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45337</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45337</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45337</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45337</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45337</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45337</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45337</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45337</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45337</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45337</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45337</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45337</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45337</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45337</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45337</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45337</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45337</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45337</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45337</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45337</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45337</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45337</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45337</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45337</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45337</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45337</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45337</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45337</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45337</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45337</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45337</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45337</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45337</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45337</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45337</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45337</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45337</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45337</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45337</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45337</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45337</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45337</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45337</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45337</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45337</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45337</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45337</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45337</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45337</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45337</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45337</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45337</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45337</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45337</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45337</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45337</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45337</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45337</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45337</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45337</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45337</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45337</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45337</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45337</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45337</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45337</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45337</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45337</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45337</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45337</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45337</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45337</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45337</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45337</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45337</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45337</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45337</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45337</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45337</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45337</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45337</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45337</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45337</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45337</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45337</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45337</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45337</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45337</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45337</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45337</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45337</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45337</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45337</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45337</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45337</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45337</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45337</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45337</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45337</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45337</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45337</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45337</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45337</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45337</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45337</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45337</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45337</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45337</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45337</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45337</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45337</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45337</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45337</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45337</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45337</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45337</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45337</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45337</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45337</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45337</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45337</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45337</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45337</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45337</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45337</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45337</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45337</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45337</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45337</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45337</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45337</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45337</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45337</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45337</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45337</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45337</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45337</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45337</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45337</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45337</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45337</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45337</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5127-2024</t>
        </is>
      </c>
      <c r="B969" s="1" t="n">
        <v>45330</v>
      </c>
      <c r="C969" s="1" t="n">
        <v>45337</v>
      </c>
      <c r="D969" t="inlineStr">
        <is>
          <t>ÖREBRO LÄN</t>
        </is>
      </c>
      <c r="E969" t="inlineStr">
        <is>
          <t>ÖREBRO</t>
        </is>
      </c>
      <c r="G969" t="n">
        <v>2.2</v>
      </c>
      <c r="H969" t="n">
        <v>0</v>
      </c>
      <c r="I969" t="n">
        <v>0</v>
      </c>
      <c r="J969" t="n">
        <v>0</v>
      </c>
      <c r="K969" t="n">
        <v>0</v>
      </c>
      <c r="L969" t="n">
        <v>0</v>
      </c>
      <c r="M969" t="n">
        <v>0</v>
      </c>
      <c r="N969" t="n">
        <v>0</v>
      </c>
      <c r="O969" t="n">
        <v>0</v>
      </c>
      <c r="P969" t="n">
        <v>0</v>
      </c>
      <c r="Q969" t="n">
        <v>0</v>
      </c>
      <c r="R969" s="2" t="inlineStr"/>
    </row>
    <row r="970" ht="15" customHeight="1">
      <c r="A970" t="inlineStr">
        <is>
          <t>A 5135-2024</t>
        </is>
      </c>
      <c r="B970" s="1" t="n">
        <v>45330</v>
      </c>
      <c r="C970" s="1" t="n">
        <v>45337</v>
      </c>
      <c r="D970" t="inlineStr">
        <is>
          <t>ÖREBRO LÄN</t>
        </is>
      </c>
      <c r="E970" t="inlineStr">
        <is>
          <t>ÖREBRO</t>
        </is>
      </c>
      <c r="G970" t="n">
        <v>0.8</v>
      </c>
      <c r="H970" t="n">
        <v>0</v>
      </c>
      <c r="I970" t="n">
        <v>0</v>
      </c>
      <c r="J970" t="n">
        <v>0</v>
      </c>
      <c r="K970" t="n">
        <v>0</v>
      </c>
      <c r="L970" t="n">
        <v>0</v>
      </c>
      <c r="M970" t="n">
        <v>0</v>
      </c>
      <c r="N970" t="n">
        <v>0</v>
      </c>
      <c r="O970" t="n">
        <v>0</v>
      </c>
      <c r="P970" t="n">
        <v>0</v>
      </c>
      <c r="Q970" t="n">
        <v>0</v>
      </c>
      <c r="R970" s="2" t="inlineStr"/>
    </row>
    <row r="971" ht="15" customHeight="1">
      <c r="A971" t="inlineStr">
        <is>
          <t>A 5136-2024</t>
        </is>
      </c>
      <c r="B971" s="1" t="n">
        <v>45330</v>
      </c>
      <c r="C971" s="1" t="n">
        <v>45337</v>
      </c>
      <c r="D971" t="inlineStr">
        <is>
          <t>ÖREBRO LÄN</t>
        </is>
      </c>
      <c r="E971" t="inlineStr">
        <is>
          <t>ÖREBRO</t>
        </is>
      </c>
      <c r="G971" t="n">
        <v>2.1</v>
      </c>
      <c r="H971" t="n">
        <v>0</v>
      </c>
      <c r="I971" t="n">
        <v>0</v>
      </c>
      <c r="J971" t="n">
        <v>0</v>
      </c>
      <c r="K971" t="n">
        <v>0</v>
      </c>
      <c r="L971" t="n">
        <v>0</v>
      </c>
      <c r="M971" t="n">
        <v>0</v>
      </c>
      <c r="N971" t="n">
        <v>0</v>
      </c>
      <c r="O971" t="n">
        <v>0</v>
      </c>
      <c r="P971" t="n">
        <v>0</v>
      </c>
      <c r="Q971" t="n">
        <v>0</v>
      </c>
      <c r="R971" s="2" t="inlineStr"/>
    </row>
    <row r="972" ht="15" customHeight="1">
      <c r="A972" t="inlineStr">
        <is>
          <t>A 5113-2024</t>
        </is>
      </c>
      <c r="B972" s="1" t="n">
        <v>45330</v>
      </c>
      <c r="C972" s="1" t="n">
        <v>45337</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5125-2024</t>
        </is>
      </c>
      <c r="B973" s="1" t="n">
        <v>45330</v>
      </c>
      <c r="C973" s="1" t="n">
        <v>45337</v>
      </c>
      <c r="D973" t="inlineStr">
        <is>
          <t>ÖREBRO LÄN</t>
        </is>
      </c>
      <c r="E973" t="inlineStr">
        <is>
          <t>ÖREBRO</t>
        </is>
      </c>
      <c r="G973" t="n">
        <v>0.7</v>
      </c>
      <c r="H973" t="n">
        <v>0</v>
      </c>
      <c r="I973" t="n">
        <v>0</v>
      </c>
      <c r="J973" t="n">
        <v>0</v>
      </c>
      <c r="K973" t="n">
        <v>0</v>
      </c>
      <c r="L973" t="n">
        <v>0</v>
      </c>
      <c r="M973" t="n">
        <v>0</v>
      </c>
      <c r="N973" t="n">
        <v>0</v>
      </c>
      <c r="O973" t="n">
        <v>0</v>
      </c>
      <c r="P973" t="n">
        <v>0</v>
      </c>
      <c r="Q973" t="n">
        <v>0</v>
      </c>
      <c r="R973" s="2" t="inlineStr"/>
    </row>
    <row r="974" ht="15" customHeight="1">
      <c r="A974" t="inlineStr">
        <is>
          <t>A 5129-2024</t>
        </is>
      </c>
      <c r="B974" s="1" t="n">
        <v>45330</v>
      </c>
      <c r="C974" s="1" t="n">
        <v>45337</v>
      </c>
      <c r="D974" t="inlineStr">
        <is>
          <t>ÖREBRO LÄN</t>
        </is>
      </c>
      <c r="E974" t="inlineStr">
        <is>
          <t>ÖREBRO</t>
        </is>
      </c>
      <c r="G974" t="n">
        <v>0.5</v>
      </c>
      <c r="H974" t="n">
        <v>0</v>
      </c>
      <c r="I974" t="n">
        <v>0</v>
      </c>
      <c r="J974" t="n">
        <v>0</v>
      </c>
      <c r="K974" t="n">
        <v>0</v>
      </c>
      <c r="L974" t="n">
        <v>0</v>
      </c>
      <c r="M974" t="n">
        <v>0</v>
      </c>
      <c r="N974" t="n">
        <v>0</v>
      </c>
      <c r="O974" t="n">
        <v>0</v>
      </c>
      <c r="P974" t="n">
        <v>0</v>
      </c>
      <c r="Q974" t="n">
        <v>0</v>
      </c>
      <c r="R974" s="2" t="inlineStr"/>
    </row>
    <row r="975" ht="15" customHeight="1">
      <c r="A975" t="inlineStr">
        <is>
          <t>A 5133-2024</t>
        </is>
      </c>
      <c r="B975" s="1" t="n">
        <v>45330</v>
      </c>
      <c r="C975" s="1" t="n">
        <v>45337</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5330-2024</t>
        </is>
      </c>
      <c r="B976" s="1" t="n">
        <v>45331</v>
      </c>
      <c r="C976" s="1" t="n">
        <v>45337</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5324-2024</t>
        </is>
      </c>
      <c r="B977" s="1" t="n">
        <v>45331</v>
      </c>
      <c r="C977" s="1" t="n">
        <v>45337</v>
      </c>
      <c r="D977" t="inlineStr">
        <is>
          <t>ÖREBRO LÄN</t>
        </is>
      </c>
      <c r="E977" t="inlineStr">
        <is>
          <t>ÖREBRO</t>
        </is>
      </c>
      <c r="G977" t="n">
        <v>1.5</v>
      </c>
      <c r="H977" t="n">
        <v>0</v>
      </c>
      <c r="I977" t="n">
        <v>0</v>
      </c>
      <c r="J977" t="n">
        <v>0</v>
      </c>
      <c r="K977" t="n">
        <v>0</v>
      </c>
      <c r="L977" t="n">
        <v>0</v>
      </c>
      <c r="M977" t="n">
        <v>0</v>
      </c>
      <c r="N977" t="n">
        <v>0</v>
      </c>
      <c r="O977" t="n">
        <v>0</v>
      </c>
      <c r="P977" t="n">
        <v>0</v>
      </c>
      <c r="Q977" t="n">
        <v>0</v>
      </c>
      <c r="R977" s="2" t="inlineStr"/>
    </row>
    <row r="978" ht="15" customHeight="1">
      <c r="A978" t="inlineStr">
        <is>
          <t>A 5357-2024</t>
        </is>
      </c>
      <c r="B978" s="1" t="n">
        <v>45331</v>
      </c>
      <c r="C978" s="1" t="n">
        <v>45337</v>
      </c>
      <c r="D978" t="inlineStr">
        <is>
          <t>ÖREBRO LÄN</t>
        </is>
      </c>
      <c r="E978" t="inlineStr">
        <is>
          <t>ÖREBRO</t>
        </is>
      </c>
      <c r="G978" t="n">
        <v>0.7</v>
      </c>
      <c r="H978" t="n">
        <v>0</v>
      </c>
      <c r="I978" t="n">
        <v>0</v>
      </c>
      <c r="J978" t="n">
        <v>0</v>
      </c>
      <c r="K978" t="n">
        <v>0</v>
      </c>
      <c r="L978" t="n">
        <v>0</v>
      </c>
      <c r="M978" t="n">
        <v>0</v>
      </c>
      <c r="N978" t="n">
        <v>0</v>
      </c>
      <c r="O978" t="n">
        <v>0</v>
      </c>
      <c r="P978" t="n">
        <v>0</v>
      </c>
      <c r="Q978" t="n">
        <v>0</v>
      </c>
      <c r="R978" s="2" t="inlineStr"/>
    </row>
    <row r="979" ht="15" customHeight="1">
      <c r="A979" t="inlineStr">
        <is>
          <t>A 5342-2024</t>
        </is>
      </c>
      <c r="B979" s="1" t="n">
        <v>45331</v>
      </c>
      <c r="C979" s="1" t="n">
        <v>45337</v>
      </c>
      <c r="D979" t="inlineStr">
        <is>
          <t>ÖREBRO LÄN</t>
        </is>
      </c>
      <c r="E979" t="inlineStr">
        <is>
          <t>ÖREBRO</t>
        </is>
      </c>
      <c r="G979" t="n">
        <v>2.5</v>
      </c>
      <c r="H979" t="n">
        <v>0</v>
      </c>
      <c r="I979" t="n">
        <v>0</v>
      </c>
      <c r="J979" t="n">
        <v>0</v>
      </c>
      <c r="K979" t="n">
        <v>0</v>
      </c>
      <c r="L979" t="n">
        <v>0</v>
      </c>
      <c r="M979" t="n">
        <v>0</v>
      </c>
      <c r="N979" t="n">
        <v>0</v>
      </c>
      <c r="O979" t="n">
        <v>0</v>
      </c>
      <c r="P979" t="n">
        <v>0</v>
      </c>
      <c r="Q979" t="n">
        <v>0</v>
      </c>
      <c r="R979" s="2" t="inlineStr"/>
    </row>
    <row r="980" ht="15" customHeight="1">
      <c r="A980" t="inlineStr">
        <is>
          <t>A 5352-2024</t>
        </is>
      </c>
      <c r="B980" s="1" t="n">
        <v>45331</v>
      </c>
      <c r="C980" s="1" t="n">
        <v>45337</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5581-2024</t>
        </is>
      </c>
      <c r="B981" s="1" t="n">
        <v>45334</v>
      </c>
      <c r="C981" s="1" t="n">
        <v>45337</v>
      </c>
      <c r="D981" t="inlineStr">
        <is>
          <t>ÖREBRO LÄN</t>
        </is>
      </c>
      <c r="E981" t="inlineStr">
        <is>
          <t>ÖREBRO</t>
        </is>
      </c>
      <c r="G981" t="n">
        <v>2.3</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45337</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c r="A983" t="inlineStr">
        <is>
          <t>A 5795-2024</t>
        </is>
      </c>
      <c r="B983" s="1" t="n">
        <v>45335</v>
      </c>
      <c r="C983" s="1" t="n">
        <v>45337</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2024-02-15T10:53:22Z</dcterms:created>
  <dcterms:modified xmlns:dcterms="http://purl.org/dc/terms/" xmlns:xsi="http://www.w3.org/2001/XMLSchema-instance" xsi:type="dcterms:W3CDTF">2024-02-15T10:53:23Z</dcterms:modified>
</cp:coreProperties>
</file>