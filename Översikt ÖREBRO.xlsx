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46139</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46139</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46139</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46139</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46139</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46139</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46139</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46139</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46139</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33069-2025</t>
        </is>
      </c>
      <c r="B15" s="1" t="n">
        <v>45840</v>
      </c>
      <c r="C15" s="1" t="n">
        <v>46139</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5354-2024</t>
        </is>
      </c>
      <c r="B16" s="1" t="n">
        <v>45331</v>
      </c>
      <c r="C16" s="1" t="n">
        <v>46139</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46139</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58832-2025</t>
        </is>
      </c>
      <c r="B18" s="1" t="n">
        <v>45987</v>
      </c>
      <c r="C18" s="1" t="n">
        <v>46139</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57553-2023</t>
        </is>
      </c>
      <c r="B19" s="1" t="n">
        <v>45246</v>
      </c>
      <c r="C19" s="1" t="n">
        <v>46139</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29487-2022</t>
        </is>
      </c>
      <c r="B20" s="1" t="n">
        <v>44753</v>
      </c>
      <c r="C20" s="1" t="n">
        <v>46139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46139</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46139</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46139</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575-2024</t>
        </is>
      </c>
      <c r="B24" s="1" t="n">
        <v>45299</v>
      </c>
      <c r="C24" s="1" t="n">
        <v>46139</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50096-2023</t>
        </is>
      </c>
      <c r="B25" s="1" t="n">
        <v>45215</v>
      </c>
      <c r="C25" s="1" t="n">
        <v>46139</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17074-2024</t>
        </is>
      </c>
      <c r="B26" s="1" t="n">
        <v>45412</v>
      </c>
      <c r="C26" s="1" t="n">
        <v>46139</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35098-2025</t>
        </is>
      </c>
      <c r="B27" s="1" t="n">
        <v>45852.5469212963</v>
      </c>
      <c r="C27" s="1" t="n">
        <v>46139</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46139</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59517-2025</t>
        </is>
      </c>
      <c r="B29" s="1" t="n">
        <v>45989.65462962963</v>
      </c>
      <c r="C29" s="1" t="n">
        <v>46139</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59519-2025</t>
        </is>
      </c>
      <c r="B30" s="1" t="n">
        <v>45989</v>
      </c>
      <c r="C30" s="1" t="n">
        <v>46139</v>
      </c>
      <c r="D30" t="inlineStr">
        <is>
          <t>ÖREBRO LÄN</t>
        </is>
      </c>
      <c r="E30" t="inlineStr">
        <is>
          <t>ÖREBRO</t>
        </is>
      </c>
      <c r="F30" t="inlineStr">
        <is>
          <t>Sveaskog</t>
        </is>
      </c>
      <c r="G30" t="n">
        <v>2.5</v>
      </c>
      <c r="H30" t="n">
        <v>3</v>
      </c>
      <c r="I30" t="n">
        <v>0</v>
      </c>
      <c r="J30" t="n">
        <v>0</v>
      </c>
      <c r="K30" t="n">
        <v>0</v>
      </c>
      <c r="L30" t="n">
        <v>0</v>
      </c>
      <c r="M30" t="n">
        <v>0</v>
      </c>
      <c r="N30" t="n">
        <v>0</v>
      </c>
      <c r="O30" t="n">
        <v>0</v>
      </c>
      <c r="P30" t="n">
        <v>0</v>
      </c>
      <c r="Q30" t="n">
        <v>3</v>
      </c>
      <c r="R30" s="2" t="inlineStr">
        <is>
          <t>Hasselmus
Nattviol
Blåsippa</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29478-2022</t>
        </is>
      </c>
      <c r="B31" s="1" t="n">
        <v>44753</v>
      </c>
      <c r="C31" s="1" t="n">
        <v>46139</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7608-2024</t>
        </is>
      </c>
      <c r="B34" s="1" t="n">
        <v>45348</v>
      </c>
      <c r="C34" s="1" t="n">
        <v>46139</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22577-2024</t>
        </is>
      </c>
      <c r="B35" s="1" t="n">
        <v>45447</v>
      </c>
      <c r="C35" s="1" t="n">
        <v>46139</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14956-2025</t>
        </is>
      </c>
      <c r="B36" s="1" t="n">
        <v>45743.58409722222</v>
      </c>
      <c r="C36" s="1" t="n">
        <v>46139</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46139</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30409-2025</t>
        </is>
      </c>
      <c r="B38" s="1" t="n">
        <v>45827.59738425926</v>
      </c>
      <c r="C38" s="1" t="n">
        <v>46139</v>
      </c>
      <c r="D38" t="inlineStr">
        <is>
          <t>ÖREBRO LÄN</t>
        </is>
      </c>
      <c r="E38" t="inlineStr">
        <is>
          <t>ÖREBRO</t>
        </is>
      </c>
      <c r="G38" t="n">
        <v>1.2</v>
      </c>
      <c r="H38" t="n">
        <v>0</v>
      </c>
      <c r="I38" t="n">
        <v>1</v>
      </c>
      <c r="J38" t="n">
        <v>1</v>
      </c>
      <c r="K38" t="n">
        <v>0</v>
      </c>
      <c r="L38" t="n">
        <v>0</v>
      </c>
      <c r="M38" t="n">
        <v>0</v>
      </c>
      <c r="N38" t="n">
        <v>0</v>
      </c>
      <c r="O38" t="n">
        <v>1</v>
      </c>
      <c r="P38" t="n">
        <v>0</v>
      </c>
      <c r="Q38" t="n">
        <v>2</v>
      </c>
      <c r="R38" s="2" t="inlineStr">
        <is>
          <t>Scharlakansvaxing
Gulfotsskölding</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52400-2024</t>
        </is>
      </c>
      <c r="B39" s="1" t="n">
        <v>45609.44461805555</v>
      </c>
      <c r="C39" s="1" t="n">
        <v>46139</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60557-2025</t>
        </is>
      </c>
      <c r="B40" s="1" t="n">
        <v>45995.74444444444</v>
      </c>
      <c r="C40" s="1" t="n">
        <v>46139</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63196-2025</t>
        </is>
      </c>
      <c r="B41" s="1" t="n">
        <v>46010.45872685185</v>
      </c>
      <c r="C41" s="1" t="n">
        <v>46139</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37019-2024</t>
        </is>
      </c>
      <c r="B42" s="1" t="n">
        <v>45539.37905092593</v>
      </c>
      <c r="C42" s="1" t="n">
        <v>46139</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2998-2026</t>
        </is>
      </c>
      <c r="B43" s="1" t="n">
        <v>46038.64835648148</v>
      </c>
      <c r="C43" s="1" t="n">
        <v>46139</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13395-2024</t>
        </is>
      </c>
      <c r="B44" s="1" t="n">
        <v>45387.42296296296</v>
      </c>
      <c r="C44" s="1" t="n">
        <v>46139</v>
      </c>
      <c r="D44" t="inlineStr">
        <is>
          <t>ÖREBRO LÄN</t>
        </is>
      </c>
      <c r="E44" t="inlineStr">
        <is>
          <t>ÖREBRO</t>
        </is>
      </c>
      <c r="G44" t="n">
        <v>1.9</v>
      </c>
      <c r="H44" t="n">
        <v>2</v>
      </c>
      <c r="I44" t="n">
        <v>0</v>
      </c>
      <c r="J44" t="n">
        <v>0</v>
      </c>
      <c r="K44" t="n">
        <v>0</v>
      </c>
      <c r="L44" t="n">
        <v>0</v>
      </c>
      <c r="M44" t="n">
        <v>0</v>
      </c>
      <c r="N44" t="n">
        <v>0</v>
      </c>
      <c r="O44" t="n">
        <v>0</v>
      </c>
      <c r="P44" t="n">
        <v>0</v>
      </c>
      <c r="Q44" t="n">
        <v>2</v>
      </c>
      <c r="R44" s="2" t="inlineStr">
        <is>
          <t>Järnsparv
Kungsfågel</t>
        </is>
      </c>
      <c r="S44">
        <f>HYPERLINK("https://klasma.github.io/Logging_1880/artfynd/A 13395-2024 artfynd.xlsx", "A 13395-2024")</f>
        <v/>
      </c>
      <c r="T44">
        <f>HYPERLINK("https://klasma.github.io/Logging_1880/kartor/A 13395-2024 karta.png", "A 13395-2024")</f>
        <v/>
      </c>
      <c r="V44">
        <f>HYPERLINK("https://klasma.github.io/Logging_1880/klagomål/A 13395-2024 FSC-klagomål.docx", "A 13395-2024")</f>
        <v/>
      </c>
      <c r="W44">
        <f>HYPERLINK("https://klasma.github.io/Logging_1880/klagomålsmail/A 13395-2024 FSC-klagomål mail.docx", "A 13395-2024")</f>
        <v/>
      </c>
      <c r="X44">
        <f>HYPERLINK("https://klasma.github.io/Logging_1880/tillsyn/A 13395-2024 tillsynsbegäran.docx", "A 13395-2024")</f>
        <v/>
      </c>
      <c r="Y44">
        <f>HYPERLINK("https://klasma.github.io/Logging_1880/tillsynsmail/A 13395-2024 tillsynsbegäran mail.docx", "A 13395-2024")</f>
        <v/>
      </c>
      <c r="Z44">
        <f>HYPERLINK("https://klasma.github.io/Logging_1880/fåglar/A 13395-2024 prioriterade fågelarter.docx", "A 13395-2024")</f>
        <v/>
      </c>
    </row>
    <row r="45" ht="15" customHeight="1">
      <c r="A45" t="inlineStr">
        <is>
          <t>A 13458-2024</t>
        </is>
      </c>
      <c r="B45" s="1" t="n">
        <v>45387.54642361111</v>
      </c>
      <c r="C45" s="1" t="n">
        <v>46139</v>
      </c>
      <c r="D45" t="inlineStr">
        <is>
          <t>ÖREBRO LÄN</t>
        </is>
      </c>
      <c r="E45" t="inlineStr">
        <is>
          <t>ÖREBRO</t>
        </is>
      </c>
      <c r="G45" t="n">
        <v>1.8</v>
      </c>
      <c r="H45" t="n">
        <v>2</v>
      </c>
      <c r="I45" t="n">
        <v>0</v>
      </c>
      <c r="J45" t="n">
        <v>1</v>
      </c>
      <c r="K45" t="n">
        <v>0</v>
      </c>
      <c r="L45" t="n">
        <v>0</v>
      </c>
      <c r="M45" t="n">
        <v>0</v>
      </c>
      <c r="N45" t="n">
        <v>0</v>
      </c>
      <c r="O45" t="n">
        <v>1</v>
      </c>
      <c r="P45" t="n">
        <v>0</v>
      </c>
      <c r="Q45" t="n">
        <v>2</v>
      </c>
      <c r="R45" s="2" t="inlineStr">
        <is>
          <t>Havsörn
Göktyta</t>
        </is>
      </c>
      <c r="S45">
        <f>HYPERLINK("https://klasma.github.io/Logging_1880/artfynd/A 13458-2024 artfynd.xlsx", "A 13458-2024")</f>
        <v/>
      </c>
      <c r="T45">
        <f>HYPERLINK("https://klasma.github.io/Logging_1880/kartor/A 13458-2024 karta.png", "A 13458-2024")</f>
        <v/>
      </c>
      <c r="V45">
        <f>HYPERLINK("https://klasma.github.io/Logging_1880/klagomål/A 13458-2024 FSC-klagomål.docx", "A 13458-2024")</f>
        <v/>
      </c>
      <c r="W45">
        <f>HYPERLINK("https://klasma.github.io/Logging_1880/klagomålsmail/A 13458-2024 FSC-klagomål mail.docx", "A 13458-2024")</f>
        <v/>
      </c>
      <c r="X45">
        <f>HYPERLINK("https://klasma.github.io/Logging_1880/tillsyn/A 13458-2024 tillsynsbegäran.docx", "A 13458-2024")</f>
        <v/>
      </c>
      <c r="Y45">
        <f>HYPERLINK("https://klasma.github.io/Logging_1880/tillsynsmail/A 13458-2024 tillsynsbegäran mail.docx", "A 13458-2024")</f>
        <v/>
      </c>
      <c r="Z45">
        <f>HYPERLINK("https://klasma.github.io/Logging_1880/fåglar/A 13458-2024 prioriterade fågelarter.docx", "A 13458-2024")</f>
        <v/>
      </c>
    </row>
    <row r="46" ht="15" customHeight="1">
      <c r="A46" t="inlineStr">
        <is>
          <t>A 29704-2022</t>
        </is>
      </c>
      <c r="B46" s="1" t="n">
        <v>44755</v>
      </c>
      <c r="C46" s="1" t="n">
        <v>46139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32105-2023</t>
        </is>
      </c>
      <c r="B47" s="1" t="n">
        <v>45119</v>
      </c>
      <c r="C47" s="1" t="n">
        <v>46139</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20247-2023</t>
        </is>
      </c>
      <c r="B48" s="1" t="n">
        <v>45055</v>
      </c>
      <c r="C48" s="1" t="n">
        <v>46139</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20032-2023</t>
        </is>
      </c>
      <c r="B49" s="1" t="n">
        <v>45054</v>
      </c>
      <c r="C49" s="1" t="n">
        <v>46139</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23998-2025</t>
        </is>
      </c>
      <c r="B50" s="1" t="n">
        <v>45796.42209490741</v>
      </c>
      <c r="C50" s="1" t="n">
        <v>46139</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46139</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11501-2025</t>
        </is>
      </c>
      <c r="B52" s="1" t="n">
        <v>45726</v>
      </c>
      <c r="C52" s="1" t="n">
        <v>46139</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57920-2024</t>
        </is>
      </c>
      <c r="B53" s="1" t="n">
        <v>45631.50894675926</v>
      </c>
      <c r="C53" s="1" t="n">
        <v>46139</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44744-2024</t>
        </is>
      </c>
      <c r="B54" s="1" t="n">
        <v>45574.59789351852</v>
      </c>
      <c r="C54" s="1" t="n">
        <v>46139</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42636-2023</t>
        </is>
      </c>
      <c r="B55" s="1" t="n">
        <v>45181.49559027778</v>
      </c>
      <c r="C55" s="1" t="n">
        <v>46139</v>
      </c>
      <c r="D55" t="inlineStr">
        <is>
          <t>ÖREBRO LÄN</t>
        </is>
      </c>
      <c r="E55" t="inlineStr">
        <is>
          <t>ÖREBRO</t>
        </is>
      </c>
      <c r="G55" t="n">
        <v>1.7</v>
      </c>
      <c r="H55" t="n">
        <v>0</v>
      </c>
      <c r="I55" t="n">
        <v>0</v>
      </c>
      <c r="J55" t="n">
        <v>1</v>
      </c>
      <c r="K55" t="n">
        <v>0</v>
      </c>
      <c r="L55" t="n">
        <v>0</v>
      </c>
      <c r="M55" t="n">
        <v>0</v>
      </c>
      <c r="N55" t="n">
        <v>0</v>
      </c>
      <c r="O55" t="n">
        <v>1</v>
      </c>
      <c r="P55" t="n">
        <v>0</v>
      </c>
      <c r="Q55" t="n">
        <v>1</v>
      </c>
      <c r="R55" s="2" t="inlineStr">
        <is>
          <t>Igelkott</t>
        </is>
      </c>
      <c r="S55">
        <f>HYPERLINK("https://klasma.github.io/Logging_1880/artfynd/A 42636-2023 artfynd.xlsx", "A 42636-2023")</f>
        <v/>
      </c>
      <c r="T55">
        <f>HYPERLINK("https://klasma.github.io/Logging_1880/kartor/A 42636-2023 karta.png", "A 42636-2023")</f>
        <v/>
      </c>
      <c r="V55">
        <f>HYPERLINK("https://klasma.github.io/Logging_1880/klagomål/A 42636-2023 FSC-klagomål.docx", "A 42636-2023")</f>
        <v/>
      </c>
      <c r="W55">
        <f>HYPERLINK("https://klasma.github.io/Logging_1880/klagomålsmail/A 42636-2023 FSC-klagomål mail.docx", "A 42636-2023")</f>
        <v/>
      </c>
      <c r="X55">
        <f>HYPERLINK("https://klasma.github.io/Logging_1880/tillsyn/A 42636-2023 tillsynsbegäran.docx", "A 42636-2023")</f>
        <v/>
      </c>
      <c r="Y55">
        <f>HYPERLINK("https://klasma.github.io/Logging_1880/tillsynsmail/A 42636-2023 tillsynsbegäran mail.docx", "A 42636-2023")</f>
        <v/>
      </c>
    </row>
    <row r="56" ht="15" customHeight="1">
      <c r="A56" t="inlineStr">
        <is>
          <t>A 55904-2024</t>
        </is>
      </c>
      <c r="B56" s="1" t="n">
        <v>45623.58190972222</v>
      </c>
      <c r="C56" s="1" t="n">
        <v>46139</v>
      </c>
      <c r="D56" t="inlineStr">
        <is>
          <t>ÖREBRO LÄN</t>
        </is>
      </c>
      <c r="E56" t="inlineStr">
        <is>
          <t>ÖREBRO</t>
        </is>
      </c>
      <c r="G56" t="n">
        <v>1.2</v>
      </c>
      <c r="H56" t="n">
        <v>1</v>
      </c>
      <c r="I56" t="n">
        <v>0</v>
      </c>
      <c r="J56" t="n">
        <v>0</v>
      </c>
      <c r="K56" t="n">
        <v>0</v>
      </c>
      <c r="L56" t="n">
        <v>0</v>
      </c>
      <c r="M56" t="n">
        <v>0</v>
      </c>
      <c r="N56" t="n">
        <v>0</v>
      </c>
      <c r="O56" t="n">
        <v>0</v>
      </c>
      <c r="P56" t="n">
        <v>0</v>
      </c>
      <c r="Q56" t="n">
        <v>1</v>
      </c>
      <c r="R56" s="2" t="inlineStr">
        <is>
          <t>Trana</t>
        </is>
      </c>
      <c r="S56">
        <f>HYPERLINK("https://klasma.github.io/Logging_1880/artfynd/A 55904-2024 artfynd.xlsx", "A 55904-2024")</f>
        <v/>
      </c>
      <c r="T56">
        <f>HYPERLINK("https://klasma.github.io/Logging_1880/kartor/A 55904-2024 karta.png", "A 55904-2024")</f>
        <v/>
      </c>
      <c r="V56">
        <f>HYPERLINK("https://klasma.github.io/Logging_1880/klagomål/A 55904-2024 FSC-klagomål.docx", "A 55904-2024")</f>
        <v/>
      </c>
      <c r="W56">
        <f>HYPERLINK("https://klasma.github.io/Logging_1880/klagomålsmail/A 55904-2024 FSC-klagomål mail.docx", "A 55904-2024")</f>
        <v/>
      </c>
      <c r="X56">
        <f>HYPERLINK("https://klasma.github.io/Logging_1880/tillsyn/A 55904-2024 tillsynsbegäran.docx", "A 55904-2024")</f>
        <v/>
      </c>
      <c r="Y56">
        <f>HYPERLINK("https://klasma.github.io/Logging_1880/tillsynsmail/A 55904-2024 tillsynsbegäran mail.docx", "A 55904-2024")</f>
        <v/>
      </c>
      <c r="Z56">
        <f>HYPERLINK("https://klasma.github.io/Logging_1880/fåglar/A 55904-2024 prioriterade fågelarter.docx", "A 55904-2024")</f>
        <v/>
      </c>
    </row>
    <row r="57" ht="15" customHeight="1">
      <c r="A57" t="inlineStr">
        <is>
          <t>A 50499-2025</t>
        </is>
      </c>
      <c r="B57" s="1" t="n">
        <v>45945.41712962963</v>
      </c>
      <c r="C57" s="1" t="n">
        <v>46139</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28936-2025</t>
        </is>
      </c>
      <c r="B58" s="1" t="n">
        <v>45820.69287037037</v>
      </c>
      <c r="C58" s="1" t="n">
        <v>46139</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26890-2022</t>
        </is>
      </c>
      <c r="B59" s="1" t="n">
        <v>44740</v>
      </c>
      <c r="C59" s="1" t="n">
        <v>46139</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52382-2025</t>
        </is>
      </c>
      <c r="B60" s="1" t="n">
        <v>45953.9559837963</v>
      </c>
      <c r="C60" s="1" t="n">
        <v>46139</v>
      </c>
      <c r="D60" t="inlineStr">
        <is>
          <t>ÖREBRO LÄN</t>
        </is>
      </c>
      <c r="E60" t="inlineStr">
        <is>
          <t>ÖREBRO</t>
        </is>
      </c>
      <c r="F60" t="inlineStr">
        <is>
          <t>Sveaskog</t>
        </is>
      </c>
      <c r="G60" t="n">
        <v>3.4</v>
      </c>
      <c r="H60" t="n">
        <v>0</v>
      </c>
      <c r="I60" t="n">
        <v>0</v>
      </c>
      <c r="J60" t="n">
        <v>1</v>
      </c>
      <c r="K60" t="n">
        <v>0</v>
      </c>
      <c r="L60" t="n">
        <v>0</v>
      </c>
      <c r="M60" t="n">
        <v>0</v>
      </c>
      <c r="N60" t="n">
        <v>0</v>
      </c>
      <c r="O60" t="n">
        <v>1</v>
      </c>
      <c r="P60" t="n">
        <v>0</v>
      </c>
      <c r="Q60" t="n">
        <v>1</v>
      </c>
      <c r="R60" s="2" t="inlineStr">
        <is>
          <t>Grantaggsvamp</t>
        </is>
      </c>
      <c r="S60">
        <f>HYPERLINK("https://klasma.github.io/Logging_1880/artfynd/A 52382-2025 artfynd.xlsx", "A 52382-2025")</f>
        <v/>
      </c>
      <c r="T60">
        <f>HYPERLINK("https://klasma.github.io/Logging_1880/kartor/A 52382-2025 karta.png", "A 52382-2025")</f>
        <v/>
      </c>
      <c r="V60">
        <f>HYPERLINK("https://klasma.github.io/Logging_1880/klagomål/A 52382-2025 FSC-klagomål.docx", "A 52382-2025")</f>
        <v/>
      </c>
      <c r="W60">
        <f>HYPERLINK("https://klasma.github.io/Logging_1880/klagomålsmail/A 52382-2025 FSC-klagomål mail.docx", "A 52382-2025")</f>
        <v/>
      </c>
      <c r="X60">
        <f>HYPERLINK("https://klasma.github.io/Logging_1880/tillsyn/A 52382-2025 tillsynsbegäran.docx", "A 52382-2025")</f>
        <v/>
      </c>
      <c r="Y60">
        <f>HYPERLINK("https://klasma.github.io/Logging_1880/tillsynsmail/A 52382-2025 tillsynsbegäran mail.docx", "A 52382-2025")</f>
        <v/>
      </c>
    </row>
    <row r="61" ht="15" customHeight="1">
      <c r="A61" t="inlineStr">
        <is>
          <t>A 43332-2022</t>
        </is>
      </c>
      <c r="B61" s="1" t="n">
        <v>44834</v>
      </c>
      <c r="C61" s="1" t="n">
        <v>46139</v>
      </c>
      <c r="D61" t="inlineStr">
        <is>
          <t>ÖREBRO LÄN</t>
        </is>
      </c>
      <c r="E61" t="inlineStr">
        <is>
          <t>ÖREBRO</t>
        </is>
      </c>
      <c r="G61" t="n">
        <v>2.3</v>
      </c>
      <c r="H61" t="n">
        <v>1</v>
      </c>
      <c r="I61" t="n">
        <v>0</v>
      </c>
      <c r="J61" t="n">
        <v>1</v>
      </c>
      <c r="K61" t="n">
        <v>0</v>
      </c>
      <c r="L61" t="n">
        <v>0</v>
      </c>
      <c r="M61" t="n">
        <v>0</v>
      </c>
      <c r="N61" t="n">
        <v>0</v>
      </c>
      <c r="O61" t="n">
        <v>1</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32204-2025</t>
        </is>
      </c>
      <c r="B62" s="1" t="n">
        <v>45835.58074074074</v>
      </c>
      <c r="C62" s="1" t="n">
        <v>46139</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32226-2025</t>
        </is>
      </c>
      <c r="B63" s="1" t="n">
        <v>45835.59478009259</v>
      </c>
      <c r="C63" s="1" t="n">
        <v>46139</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Dofttaggsvamp</t>
        </is>
      </c>
      <c r="S63">
        <f>HYPERLINK("https://klasma.github.io/Logging_1880/artfynd/A 32226-2025 artfynd.xlsx", "A 32226-2025")</f>
        <v/>
      </c>
      <c r="T63">
        <f>HYPERLINK("https://klasma.github.io/Logging_1880/kartor/A 32226-2025 karta.png", "A 32226-2025")</f>
        <v/>
      </c>
      <c r="V63">
        <f>HYPERLINK("https://klasma.github.io/Logging_1880/klagomål/A 32226-2025 FSC-klagomål.docx", "A 32226-2025")</f>
        <v/>
      </c>
      <c r="W63">
        <f>HYPERLINK("https://klasma.github.io/Logging_1880/klagomålsmail/A 32226-2025 FSC-klagomål mail.docx", "A 32226-2025")</f>
        <v/>
      </c>
      <c r="X63">
        <f>HYPERLINK("https://klasma.github.io/Logging_1880/tillsyn/A 32226-2025 tillsynsbegäran.docx", "A 32226-2025")</f>
        <v/>
      </c>
      <c r="Y63">
        <f>HYPERLINK("https://klasma.github.io/Logging_1880/tillsynsmail/A 32226-2025 tillsynsbegäran mail.docx", "A 32226-2025")</f>
        <v/>
      </c>
    </row>
    <row r="64" ht="15" customHeight="1">
      <c r="A64" t="inlineStr">
        <is>
          <t>A 58838-2025</t>
        </is>
      </c>
      <c r="B64" s="1" t="n">
        <v>45987.35973379629</v>
      </c>
      <c r="C64" s="1" t="n">
        <v>46139</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63199-2025</t>
        </is>
      </c>
      <c r="B65" s="1" t="n">
        <v>46010.46091435185</v>
      </c>
      <c r="C65" s="1" t="n">
        <v>46139</v>
      </c>
      <c r="D65" t="inlineStr">
        <is>
          <t>ÖREBRO LÄN</t>
        </is>
      </c>
      <c r="E65" t="inlineStr">
        <is>
          <t>ÖREBRO</t>
        </is>
      </c>
      <c r="F65" t="inlineStr">
        <is>
          <t>Sveaskog</t>
        </is>
      </c>
      <c r="G65" t="n">
        <v>0.9</v>
      </c>
      <c r="H65" t="n">
        <v>1</v>
      </c>
      <c r="I65" t="n">
        <v>0</v>
      </c>
      <c r="J65" t="n">
        <v>0</v>
      </c>
      <c r="K65" t="n">
        <v>0</v>
      </c>
      <c r="L65" t="n">
        <v>0</v>
      </c>
      <c r="M65" t="n">
        <v>0</v>
      </c>
      <c r="N65" t="n">
        <v>0</v>
      </c>
      <c r="O65" t="n">
        <v>0</v>
      </c>
      <c r="P65" t="n">
        <v>0</v>
      </c>
      <c r="Q65" t="n">
        <v>1</v>
      </c>
      <c r="R65" s="2" t="inlineStr">
        <is>
          <t>Gullviva</t>
        </is>
      </c>
      <c r="S65">
        <f>HYPERLINK("https://klasma.github.io/Logging_1880/artfynd/A 63199-2025 artfynd.xlsx", "A 63199-2025")</f>
        <v/>
      </c>
      <c r="T65">
        <f>HYPERLINK("https://klasma.github.io/Logging_1880/kartor/A 63199-2025 karta.png", "A 63199-2025")</f>
        <v/>
      </c>
      <c r="V65">
        <f>HYPERLINK("https://klasma.github.io/Logging_1880/klagomål/A 63199-2025 FSC-klagomål.docx", "A 63199-2025")</f>
        <v/>
      </c>
      <c r="W65">
        <f>HYPERLINK("https://klasma.github.io/Logging_1880/klagomålsmail/A 63199-2025 FSC-klagomål mail.docx", "A 63199-2025")</f>
        <v/>
      </c>
      <c r="X65">
        <f>HYPERLINK("https://klasma.github.io/Logging_1880/tillsyn/A 63199-2025 tillsynsbegäran.docx", "A 63199-2025")</f>
        <v/>
      </c>
      <c r="Y65">
        <f>HYPERLINK("https://klasma.github.io/Logging_1880/tillsynsmail/A 63199-2025 tillsynsbegäran mail.docx", "A 63199-2025")</f>
        <v/>
      </c>
    </row>
    <row r="66" ht="15" customHeight="1">
      <c r="A66" t="inlineStr">
        <is>
          <t>A 44389-2021</t>
        </is>
      </c>
      <c r="B66" s="1" t="n">
        <v>44435</v>
      </c>
      <c r="C66" s="1" t="n">
        <v>46139</v>
      </c>
      <c r="D66" t="inlineStr">
        <is>
          <t>ÖREBRO LÄN</t>
        </is>
      </c>
      <c r="E66" t="inlineStr">
        <is>
          <t>ÖREBRO</t>
        </is>
      </c>
      <c r="G66" t="n">
        <v>2.2</v>
      </c>
      <c r="H66" t="n">
        <v>1</v>
      </c>
      <c r="I66" t="n">
        <v>0</v>
      </c>
      <c r="J66" t="n">
        <v>0</v>
      </c>
      <c r="K66" t="n">
        <v>1</v>
      </c>
      <c r="L66" t="n">
        <v>0</v>
      </c>
      <c r="M66" t="n">
        <v>0</v>
      </c>
      <c r="N66" t="n">
        <v>0</v>
      </c>
      <c r="O66" t="n">
        <v>1</v>
      </c>
      <c r="P66" t="n">
        <v>1</v>
      </c>
      <c r="Q66" t="n">
        <v>1</v>
      </c>
      <c r="R66" s="2" t="inlineStr">
        <is>
          <t>Knärot</t>
        </is>
      </c>
      <c r="S66">
        <f>HYPERLINK("https://klasma.github.io/Logging_1880/artfynd/A 44389-2021 artfynd.xlsx", "A 44389-2021")</f>
        <v/>
      </c>
      <c r="T66">
        <f>HYPERLINK("https://klasma.github.io/Logging_1880/kartor/A 44389-2021 karta.png", "A 44389-2021")</f>
        <v/>
      </c>
      <c r="U66">
        <f>HYPERLINK("https://klasma.github.io/Logging_1880/knärot/A 44389-2021 karta knärot.png", "A 44389-2021")</f>
        <v/>
      </c>
      <c r="V66">
        <f>HYPERLINK("https://klasma.github.io/Logging_1880/klagomål/A 44389-2021 FSC-klagomål.docx", "A 44389-2021")</f>
        <v/>
      </c>
      <c r="W66">
        <f>HYPERLINK("https://klasma.github.io/Logging_1880/klagomålsmail/A 44389-2021 FSC-klagomål mail.docx", "A 44389-2021")</f>
        <v/>
      </c>
      <c r="X66">
        <f>HYPERLINK("https://klasma.github.io/Logging_1880/tillsyn/A 44389-2021 tillsynsbegäran.docx", "A 44389-2021")</f>
        <v/>
      </c>
      <c r="Y66">
        <f>HYPERLINK("https://klasma.github.io/Logging_1880/tillsynsmail/A 44389-2021 tillsynsbegäran mail.docx", "A 44389-2021")</f>
        <v/>
      </c>
    </row>
    <row r="67" ht="15" customHeight="1">
      <c r="A67" t="inlineStr">
        <is>
          <t>A 59516-2025</t>
        </is>
      </c>
      <c r="B67" s="1" t="n">
        <v>45989.65396990741</v>
      </c>
      <c r="C67" s="1" t="n">
        <v>46139</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3006-2026</t>
        </is>
      </c>
      <c r="B68" s="1" t="n">
        <v>46038.65719907408</v>
      </c>
      <c r="C68" s="1" t="n">
        <v>46139</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2077-2023</t>
        </is>
      </c>
      <c r="B69" s="1" t="n">
        <v>44939</v>
      </c>
      <c r="C69" s="1" t="n">
        <v>46139</v>
      </c>
      <c r="D69" t="inlineStr">
        <is>
          <t>ÖREBRO LÄN</t>
        </is>
      </c>
      <c r="E69" t="inlineStr">
        <is>
          <t>ÖREBRO</t>
        </is>
      </c>
      <c r="G69" t="n">
        <v>1.4</v>
      </c>
      <c r="H69" t="n">
        <v>1</v>
      </c>
      <c r="I69" t="n">
        <v>0</v>
      </c>
      <c r="J69" t="n">
        <v>1</v>
      </c>
      <c r="K69" t="n">
        <v>0</v>
      </c>
      <c r="L69" t="n">
        <v>0</v>
      </c>
      <c r="M69" t="n">
        <v>0</v>
      </c>
      <c r="N69" t="n">
        <v>0</v>
      </c>
      <c r="O69" t="n">
        <v>1</v>
      </c>
      <c r="P69" t="n">
        <v>0</v>
      </c>
      <c r="Q69" t="n">
        <v>1</v>
      </c>
      <c r="R69" s="2" t="inlineStr">
        <is>
          <t>Rödvingetrast</t>
        </is>
      </c>
      <c r="S69">
        <f>HYPERLINK("https://klasma.github.io/Logging_1880/artfynd/A 2077-2023 artfynd.xlsx", "A 2077-2023")</f>
        <v/>
      </c>
      <c r="T69">
        <f>HYPERLINK("https://klasma.github.io/Logging_1880/kartor/A 2077-2023 karta.png", "A 2077-2023")</f>
        <v/>
      </c>
      <c r="V69">
        <f>HYPERLINK("https://klasma.github.io/Logging_1880/klagomål/A 2077-2023 FSC-klagomål.docx", "A 2077-2023")</f>
        <v/>
      </c>
      <c r="W69">
        <f>HYPERLINK("https://klasma.github.io/Logging_1880/klagomålsmail/A 2077-2023 FSC-klagomål mail.docx", "A 2077-2023")</f>
        <v/>
      </c>
      <c r="X69">
        <f>HYPERLINK("https://klasma.github.io/Logging_1880/tillsyn/A 2077-2023 tillsynsbegäran.docx", "A 2077-2023")</f>
        <v/>
      </c>
      <c r="Y69">
        <f>HYPERLINK("https://klasma.github.io/Logging_1880/tillsynsmail/A 2077-2023 tillsynsbegäran mail.docx", "A 2077-2023")</f>
        <v/>
      </c>
      <c r="Z69">
        <f>HYPERLINK("https://klasma.github.io/Logging_1880/fåglar/A 2077-2023 prioriterade fågelarter.docx", "A 2077-2023")</f>
        <v/>
      </c>
    </row>
    <row r="70" ht="15" customHeight="1">
      <c r="A70" t="inlineStr">
        <is>
          <t>A 30725-2023</t>
        </is>
      </c>
      <c r="B70" s="1" t="n">
        <v>45112.61451388889</v>
      </c>
      <c r="C70" s="1" t="n">
        <v>46139</v>
      </c>
      <c r="D70" t="inlineStr">
        <is>
          <t>ÖREBRO LÄN</t>
        </is>
      </c>
      <c r="E70" t="inlineStr">
        <is>
          <t>ÖREBRO</t>
        </is>
      </c>
      <c r="G70" t="n">
        <v>1.8</v>
      </c>
      <c r="H70" t="n">
        <v>1</v>
      </c>
      <c r="I70" t="n">
        <v>0</v>
      </c>
      <c r="J70" t="n">
        <v>1</v>
      </c>
      <c r="K70" t="n">
        <v>0</v>
      </c>
      <c r="L70" t="n">
        <v>0</v>
      </c>
      <c r="M70" t="n">
        <v>0</v>
      </c>
      <c r="N70" t="n">
        <v>0</v>
      </c>
      <c r="O70" t="n">
        <v>1</v>
      </c>
      <c r="P70" t="n">
        <v>0</v>
      </c>
      <c r="Q70" t="n">
        <v>1</v>
      </c>
      <c r="R70" s="2" t="inlineStr">
        <is>
          <t>Gulsparv</t>
        </is>
      </c>
      <c r="S70">
        <f>HYPERLINK("https://klasma.github.io/Logging_1880/artfynd/A 30725-2023 artfynd.xlsx", "A 30725-2023")</f>
        <v/>
      </c>
      <c r="T70">
        <f>HYPERLINK("https://klasma.github.io/Logging_1880/kartor/A 30725-2023 karta.png", "A 30725-2023")</f>
        <v/>
      </c>
      <c r="V70">
        <f>HYPERLINK("https://klasma.github.io/Logging_1880/klagomål/A 30725-2023 FSC-klagomål.docx", "A 30725-2023")</f>
        <v/>
      </c>
      <c r="W70">
        <f>HYPERLINK("https://klasma.github.io/Logging_1880/klagomålsmail/A 30725-2023 FSC-klagomål mail.docx", "A 30725-2023")</f>
        <v/>
      </c>
      <c r="X70">
        <f>HYPERLINK("https://klasma.github.io/Logging_1880/tillsyn/A 30725-2023 tillsynsbegäran.docx", "A 30725-2023")</f>
        <v/>
      </c>
      <c r="Y70">
        <f>HYPERLINK("https://klasma.github.io/Logging_1880/tillsynsmail/A 30725-2023 tillsynsbegäran mail.docx", "A 30725-2023")</f>
        <v/>
      </c>
      <c r="Z70">
        <f>HYPERLINK("https://klasma.github.io/Logging_1880/fåglar/A 30725-2023 prioriterade fågelarter.docx", "A 30725-2023")</f>
        <v/>
      </c>
    </row>
    <row r="71" ht="15" customHeight="1">
      <c r="A71" t="inlineStr">
        <is>
          <t>A 31695-2024</t>
        </is>
      </c>
      <c r="B71" s="1" t="n">
        <v>45508</v>
      </c>
      <c r="C71" s="1" t="n">
        <v>46139</v>
      </c>
      <c r="D71" t="inlineStr">
        <is>
          <t>ÖREBRO LÄN</t>
        </is>
      </c>
      <c r="E71" t="inlineStr">
        <is>
          <t>ÖREBRO</t>
        </is>
      </c>
      <c r="G71" t="n">
        <v>1.3</v>
      </c>
      <c r="H71" t="n">
        <v>1</v>
      </c>
      <c r="I71" t="n">
        <v>1</v>
      </c>
      <c r="J71" t="n">
        <v>0</v>
      </c>
      <c r="K71" t="n">
        <v>0</v>
      </c>
      <c r="L71" t="n">
        <v>0</v>
      </c>
      <c r="M71" t="n">
        <v>0</v>
      </c>
      <c r="N71" t="n">
        <v>0</v>
      </c>
      <c r="O71" t="n">
        <v>0</v>
      </c>
      <c r="P71" t="n">
        <v>0</v>
      </c>
      <c r="Q71" t="n">
        <v>1</v>
      </c>
      <c r="R71" s="2" t="inlineStr">
        <is>
          <t>Skogsknipprot</t>
        </is>
      </c>
      <c r="S71">
        <f>HYPERLINK("https://klasma.github.io/Logging_1880/artfynd/A 31695-2024 artfynd.xlsx", "A 31695-2024")</f>
        <v/>
      </c>
      <c r="T71">
        <f>HYPERLINK("https://klasma.github.io/Logging_1880/kartor/A 31695-2024 karta.png", "A 31695-2024")</f>
        <v/>
      </c>
      <c r="V71">
        <f>HYPERLINK("https://klasma.github.io/Logging_1880/klagomål/A 31695-2024 FSC-klagomål.docx", "A 31695-2024")</f>
        <v/>
      </c>
      <c r="W71">
        <f>HYPERLINK("https://klasma.github.io/Logging_1880/klagomålsmail/A 31695-2024 FSC-klagomål mail.docx", "A 31695-2024")</f>
        <v/>
      </c>
      <c r="X71">
        <f>HYPERLINK("https://klasma.github.io/Logging_1880/tillsyn/A 31695-2024 tillsynsbegäran.docx", "A 31695-2024")</f>
        <v/>
      </c>
      <c r="Y71">
        <f>HYPERLINK("https://klasma.github.io/Logging_1880/tillsynsmail/A 31695-2024 tillsynsbegäran mail.docx", "A 31695-2024")</f>
        <v/>
      </c>
    </row>
    <row r="72" ht="15" customHeight="1">
      <c r="A72" t="inlineStr">
        <is>
          <t>A 5097-2023</t>
        </is>
      </c>
      <c r="B72" s="1" t="n">
        <v>44958</v>
      </c>
      <c r="C72" s="1" t="n">
        <v>46139</v>
      </c>
      <c r="D72" t="inlineStr">
        <is>
          <t>ÖREBRO LÄN</t>
        </is>
      </c>
      <c r="E72" t="inlineStr">
        <is>
          <t>ÖREBRO</t>
        </is>
      </c>
      <c r="G72" t="n">
        <v>3.6</v>
      </c>
      <c r="H72" t="n">
        <v>1</v>
      </c>
      <c r="I72" t="n">
        <v>0</v>
      </c>
      <c r="J72" t="n">
        <v>0</v>
      </c>
      <c r="K72" t="n">
        <v>0</v>
      </c>
      <c r="L72" t="n">
        <v>0</v>
      </c>
      <c r="M72" t="n">
        <v>0</v>
      </c>
      <c r="N72" t="n">
        <v>0</v>
      </c>
      <c r="O72" t="n">
        <v>0</v>
      </c>
      <c r="P72" t="n">
        <v>0</v>
      </c>
      <c r="Q72" t="n">
        <v>1</v>
      </c>
      <c r="R72" s="2" t="inlineStr">
        <is>
          <t>Grönvit nattviol</t>
        </is>
      </c>
      <c r="S72">
        <f>HYPERLINK("https://klasma.github.io/Logging_1880/artfynd/A 5097-2023 artfynd.xlsx", "A 5097-2023")</f>
        <v/>
      </c>
      <c r="T72">
        <f>HYPERLINK("https://klasma.github.io/Logging_1880/kartor/A 5097-2023 karta.png", "A 5097-2023")</f>
        <v/>
      </c>
      <c r="V72">
        <f>HYPERLINK("https://klasma.github.io/Logging_1880/klagomål/A 5097-2023 FSC-klagomål.docx", "A 5097-2023")</f>
        <v/>
      </c>
      <c r="W72">
        <f>HYPERLINK("https://klasma.github.io/Logging_1880/klagomålsmail/A 5097-2023 FSC-klagomål mail.docx", "A 5097-2023")</f>
        <v/>
      </c>
      <c r="X72">
        <f>HYPERLINK("https://klasma.github.io/Logging_1880/tillsyn/A 5097-2023 tillsynsbegäran.docx", "A 5097-2023")</f>
        <v/>
      </c>
      <c r="Y72">
        <f>HYPERLINK("https://klasma.github.io/Logging_1880/tillsynsmail/A 5097-2023 tillsynsbegäran mail.docx", "A 5097-2023")</f>
        <v/>
      </c>
    </row>
    <row r="73" ht="15" customHeight="1">
      <c r="A73" t="inlineStr">
        <is>
          <t>A 23606-2021</t>
        </is>
      </c>
      <c r="B73" s="1" t="n">
        <v>44334</v>
      </c>
      <c r="C73" s="1" t="n">
        <v>46139</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46139</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46139</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46139</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46139</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46139</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46139</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46139</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46139</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46139</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46139</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46139</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46139</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46139</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46139</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46139</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46139</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46139</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46139</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46139</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46139</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46139</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46139</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46139</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46139</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51429-2021</t>
        </is>
      </c>
      <c r="B98" s="1" t="n">
        <v>44461.92744212963</v>
      </c>
      <c r="C98" s="1" t="n">
        <v>46139</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26153-2021</t>
        </is>
      </c>
      <c r="B99" s="1" t="n">
        <v>44347</v>
      </c>
      <c r="C99" s="1" t="n">
        <v>46139</v>
      </c>
      <c r="D99" t="inlineStr">
        <is>
          <t>ÖREBRO LÄN</t>
        </is>
      </c>
      <c r="E99" t="inlineStr">
        <is>
          <t>ÖREBRO</t>
        </is>
      </c>
      <c r="G99" t="n">
        <v>1.5</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46139</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46139</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46139</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46139</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46139</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46139</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46139</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46139</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46139</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46139</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46139</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46139</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46139</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46139</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46139</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46139</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46139</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46139</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38422-2023</t>
        </is>
      </c>
      <c r="B118" s="1" t="n">
        <v>45162.36422453704</v>
      </c>
      <c r="C118" s="1" t="n">
        <v>46139</v>
      </c>
      <c r="D118" t="inlineStr">
        <is>
          <t>ÖREBRO LÄN</t>
        </is>
      </c>
      <c r="E118" t="inlineStr">
        <is>
          <t>ÖREBRO</t>
        </is>
      </c>
      <c r="G118" t="n">
        <v>8</v>
      </c>
      <c r="H118" t="n">
        <v>0</v>
      </c>
      <c r="I118" t="n">
        <v>0</v>
      </c>
      <c r="J118" t="n">
        <v>0</v>
      </c>
      <c r="K118" t="n">
        <v>0</v>
      </c>
      <c r="L118" t="n">
        <v>0</v>
      </c>
      <c r="M118" t="n">
        <v>0</v>
      </c>
      <c r="N118" t="n">
        <v>0</v>
      </c>
      <c r="O118" t="n">
        <v>0</v>
      </c>
      <c r="P118" t="n">
        <v>0</v>
      </c>
      <c r="Q118" t="n">
        <v>0</v>
      </c>
      <c r="R118" s="2" t="inlineStr"/>
    </row>
    <row r="119" ht="15" customHeight="1">
      <c r="A119" t="inlineStr">
        <is>
          <t>A 61232-2021</t>
        </is>
      </c>
      <c r="B119" s="1" t="n">
        <v>44498</v>
      </c>
      <c r="C119" s="1" t="n">
        <v>46139</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46139</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46139</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56040-2024</t>
        </is>
      </c>
      <c r="B122" s="1" t="n">
        <v>45624.3344212963</v>
      </c>
      <c r="C122" s="1" t="n">
        <v>46139</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57498-2021</t>
        </is>
      </c>
      <c r="B123" s="1" t="n">
        <v>44483</v>
      </c>
      <c r="C123" s="1" t="n">
        <v>46139</v>
      </c>
      <c r="D123" t="inlineStr">
        <is>
          <t>ÖREBRO LÄN</t>
        </is>
      </c>
      <c r="E123" t="inlineStr">
        <is>
          <t>ÖREBRO</t>
        </is>
      </c>
      <c r="F123" t="inlineStr">
        <is>
          <t>Övriga Aktiebolag</t>
        </is>
      </c>
      <c r="G123" t="n">
        <v>2.7</v>
      </c>
      <c r="H123" t="n">
        <v>0</v>
      </c>
      <c r="I123" t="n">
        <v>0</v>
      </c>
      <c r="J123" t="n">
        <v>0</v>
      </c>
      <c r="K123" t="n">
        <v>0</v>
      </c>
      <c r="L123" t="n">
        <v>0</v>
      </c>
      <c r="M123" t="n">
        <v>0</v>
      </c>
      <c r="N123" t="n">
        <v>0</v>
      </c>
      <c r="O123" t="n">
        <v>0</v>
      </c>
      <c r="P123" t="n">
        <v>0</v>
      </c>
      <c r="Q123" t="n">
        <v>0</v>
      </c>
      <c r="R123" s="2" t="inlineStr"/>
    </row>
    <row r="124" ht="15" customHeight="1">
      <c r="A124" t="inlineStr">
        <is>
          <t>A 15866-2022</t>
        </is>
      </c>
      <c r="B124" s="1" t="n">
        <v>44664</v>
      </c>
      <c r="C124" s="1" t="n">
        <v>46139</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14487-2023</t>
        </is>
      </c>
      <c r="B125" s="1" t="n">
        <v>45012</v>
      </c>
      <c r="C125" s="1" t="n">
        <v>46139</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41553-2022</t>
        </is>
      </c>
      <c r="B126" s="1" t="n">
        <v>44827.3940625</v>
      </c>
      <c r="C126" s="1" t="n">
        <v>46139</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14562-2022</t>
        </is>
      </c>
      <c r="B127" s="1" t="n">
        <v>44655</v>
      </c>
      <c r="C127" s="1" t="n">
        <v>46139</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46139</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46139</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46139</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46139</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46139</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40522-2024</t>
        </is>
      </c>
      <c r="B133" s="1" t="n">
        <v>45555.59717592593</v>
      </c>
      <c r="C133" s="1" t="n">
        <v>46139</v>
      </c>
      <c r="D133" t="inlineStr">
        <is>
          <t>ÖREBRO LÄN</t>
        </is>
      </c>
      <c r="E133" t="inlineStr">
        <is>
          <t>ÖREBRO</t>
        </is>
      </c>
      <c r="G133" t="n">
        <v>5.1</v>
      </c>
      <c r="H133" t="n">
        <v>0</v>
      </c>
      <c r="I133" t="n">
        <v>0</v>
      </c>
      <c r="J133" t="n">
        <v>0</v>
      </c>
      <c r="K133" t="n">
        <v>0</v>
      </c>
      <c r="L133" t="n">
        <v>0</v>
      </c>
      <c r="M133" t="n">
        <v>0</v>
      </c>
      <c r="N133" t="n">
        <v>0</v>
      </c>
      <c r="O133" t="n">
        <v>0</v>
      </c>
      <c r="P133" t="n">
        <v>0</v>
      </c>
      <c r="Q133" t="n">
        <v>0</v>
      </c>
      <c r="R133" s="2" t="inlineStr"/>
    </row>
    <row r="134" ht="15" customHeight="1">
      <c r="A134" t="inlineStr">
        <is>
          <t>A 57343-2021</t>
        </is>
      </c>
      <c r="B134" s="1" t="n">
        <v>44482</v>
      </c>
      <c r="C134" s="1" t="n">
        <v>46139</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49029-2024</t>
        </is>
      </c>
      <c r="B135" s="1" t="n">
        <v>45594</v>
      </c>
      <c r="C135" s="1" t="n">
        <v>46139</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49062-2023</t>
        </is>
      </c>
      <c r="B136" s="1" t="n">
        <v>45210.35119212963</v>
      </c>
      <c r="C136" s="1" t="n">
        <v>46139</v>
      </c>
      <c r="D136" t="inlineStr">
        <is>
          <t>ÖREBRO LÄN</t>
        </is>
      </c>
      <c r="E136" t="inlineStr">
        <is>
          <t>ÖREBRO</t>
        </is>
      </c>
      <c r="G136" t="n">
        <v>1.6</v>
      </c>
      <c r="H136" t="n">
        <v>0</v>
      </c>
      <c r="I136" t="n">
        <v>0</v>
      </c>
      <c r="J136" t="n">
        <v>0</v>
      </c>
      <c r="K136" t="n">
        <v>0</v>
      </c>
      <c r="L136" t="n">
        <v>0</v>
      </c>
      <c r="M136" t="n">
        <v>0</v>
      </c>
      <c r="N136" t="n">
        <v>0</v>
      </c>
      <c r="O136" t="n">
        <v>0</v>
      </c>
      <c r="P136" t="n">
        <v>0</v>
      </c>
      <c r="Q136" t="n">
        <v>0</v>
      </c>
      <c r="R136" s="2" t="inlineStr"/>
    </row>
    <row r="137" ht="15" customHeight="1">
      <c r="A137" t="inlineStr">
        <is>
          <t>A 26509-2021</t>
        </is>
      </c>
      <c r="B137" s="1" t="n">
        <v>44348.45107638889</v>
      </c>
      <c r="C137" s="1" t="n">
        <v>46139</v>
      </c>
      <c r="D137" t="inlineStr">
        <is>
          <t>ÖREBRO LÄN</t>
        </is>
      </c>
      <c r="E137" t="inlineStr">
        <is>
          <t>ÖREBRO</t>
        </is>
      </c>
      <c r="G137" t="n">
        <v>2.5</v>
      </c>
      <c r="H137" t="n">
        <v>0</v>
      </c>
      <c r="I137" t="n">
        <v>0</v>
      </c>
      <c r="J137" t="n">
        <v>0</v>
      </c>
      <c r="K137" t="n">
        <v>0</v>
      </c>
      <c r="L137" t="n">
        <v>0</v>
      </c>
      <c r="M137" t="n">
        <v>0</v>
      </c>
      <c r="N137" t="n">
        <v>0</v>
      </c>
      <c r="O137" t="n">
        <v>0</v>
      </c>
      <c r="P137" t="n">
        <v>0</v>
      </c>
      <c r="Q137" t="n">
        <v>0</v>
      </c>
      <c r="R137" s="2" t="inlineStr"/>
    </row>
    <row r="138" ht="15" customHeight="1">
      <c r="A138" t="inlineStr">
        <is>
          <t>A 4766-2022</t>
        </is>
      </c>
      <c r="B138" s="1" t="n">
        <v>44592</v>
      </c>
      <c r="C138" s="1" t="n">
        <v>46139</v>
      </c>
      <c r="D138" t="inlineStr">
        <is>
          <t>ÖREBRO LÄN</t>
        </is>
      </c>
      <c r="E138" t="inlineStr">
        <is>
          <t>ÖREBRO</t>
        </is>
      </c>
      <c r="G138" t="n">
        <v>2.9</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46139</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26119-2021</t>
        </is>
      </c>
      <c r="B140" s="1" t="n">
        <v>44345.33282407407</v>
      </c>
      <c r="C140" s="1" t="n">
        <v>46139</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35829-2024</t>
        </is>
      </c>
      <c r="B141" s="1" t="n">
        <v>45532</v>
      </c>
      <c r="C141" s="1" t="n">
        <v>46139</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28054-2022</t>
        </is>
      </c>
      <c r="B142" s="1" t="n">
        <v>44746.41938657407</v>
      </c>
      <c r="C142" s="1" t="n">
        <v>46139</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40312-2021</t>
        </is>
      </c>
      <c r="B143" s="1" t="n">
        <v>44419</v>
      </c>
      <c r="C143" s="1" t="n">
        <v>46139</v>
      </c>
      <c r="D143" t="inlineStr">
        <is>
          <t>ÖREBRO LÄN</t>
        </is>
      </c>
      <c r="E143" t="inlineStr">
        <is>
          <t>ÖREBRO</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46139</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12478-2022</t>
        </is>
      </c>
      <c r="B145" s="1" t="n">
        <v>44638</v>
      </c>
      <c r="C145" s="1" t="n">
        <v>46139</v>
      </c>
      <c r="D145" t="inlineStr">
        <is>
          <t>ÖREBRO LÄN</t>
        </is>
      </c>
      <c r="E145" t="inlineStr">
        <is>
          <t>ÖREBRO</t>
        </is>
      </c>
      <c r="F145" t="inlineStr">
        <is>
          <t>Kyrkan</t>
        </is>
      </c>
      <c r="G145" t="n">
        <v>1.4</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46139</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46139</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23863-2023</t>
        </is>
      </c>
      <c r="B148" s="1" t="n">
        <v>45078.48994212963</v>
      </c>
      <c r="C148" s="1" t="n">
        <v>46139</v>
      </c>
      <c r="D148" t="inlineStr">
        <is>
          <t>ÖREBRO LÄN</t>
        </is>
      </c>
      <c r="E148" t="inlineStr">
        <is>
          <t>ÖREBRO</t>
        </is>
      </c>
      <c r="F148" t="inlineStr">
        <is>
          <t>Övriga Aktiebolag</t>
        </is>
      </c>
      <c r="G148" t="n">
        <v>5.9</v>
      </c>
      <c r="H148" t="n">
        <v>0</v>
      </c>
      <c r="I148" t="n">
        <v>0</v>
      </c>
      <c r="J148" t="n">
        <v>0</v>
      </c>
      <c r="K148" t="n">
        <v>0</v>
      </c>
      <c r="L148" t="n">
        <v>0</v>
      </c>
      <c r="M148" t="n">
        <v>0</v>
      </c>
      <c r="N148" t="n">
        <v>0</v>
      </c>
      <c r="O148" t="n">
        <v>0</v>
      </c>
      <c r="P148" t="n">
        <v>0</v>
      </c>
      <c r="Q148" t="n">
        <v>0</v>
      </c>
      <c r="R148" s="2" t="inlineStr"/>
    </row>
    <row r="149" ht="15" customHeight="1">
      <c r="A149" t="inlineStr">
        <is>
          <t>A 16261-2022</t>
        </is>
      </c>
      <c r="B149" s="1" t="n">
        <v>44670</v>
      </c>
      <c r="C149" s="1" t="n">
        <v>46139</v>
      </c>
      <c r="D149" t="inlineStr">
        <is>
          <t>ÖREBRO LÄN</t>
        </is>
      </c>
      <c r="E149" t="inlineStr">
        <is>
          <t>ÖREBRO</t>
        </is>
      </c>
      <c r="G149" t="n">
        <v>1.2</v>
      </c>
      <c r="H149" t="n">
        <v>0</v>
      </c>
      <c r="I149" t="n">
        <v>0</v>
      </c>
      <c r="J149" t="n">
        <v>0</v>
      </c>
      <c r="K149" t="n">
        <v>0</v>
      </c>
      <c r="L149" t="n">
        <v>0</v>
      </c>
      <c r="M149" t="n">
        <v>0</v>
      </c>
      <c r="N149" t="n">
        <v>0</v>
      </c>
      <c r="O149" t="n">
        <v>0</v>
      </c>
      <c r="P149" t="n">
        <v>0</v>
      </c>
      <c r="Q149" t="n">
        <v>0</v>
      </c>
      <c r="R149" s="2" t="inlineStr"/>
    </row>
    <row r="150" ht="15" customHeight="1">
      <c r="A150" t="inlineStr">
        <is>
          <t>A 44165-2022</t>
        </is>
      </c>
      <c r="B150" s="1" t="n">
        <v>44839</v>
      </c>
      <c r="C150" s="1" t="n">
        <v>46139</v>
      </c>
      <c r="D150" t="inlineStr">
        <is>
          <t>ÖREBRO LÄN</t>
        </is>
      </c>
      <c r="E150" t="inlineStr">
        <is>
          <t>ÖREBRO</t>
        </is>
      </c>
      <c r="G150" t="n">
        <v>0.5</v>
      </c>
      <c r="H150" t="n">
        <v>0</v>
      </c>
      <c r="I150" t="n">
        <v>0</v>
      </c>
      <c r="J150" t="n">
        <v>0</v>
      </c>
      <c r="K150" t="n">
        <v>0</v>
      </c>
      <c r="L150" t="n">
        <v>0</v>
      </c>
      <c r="M150" t="n">
        <v>0</v>
      </c>
      <c r="N150" t="n">
        <v>0</v>
      </c>
      <c r="O150" t="n">
        <v>0</v>
      </c>
      <c r="P150" t="n">
        <v>0</v>
      </c>
      <c r="Q150" t="n">
        <v>0</v>
      </c>
      <c r="R150" s="2" t="inlineStr"/>
    </row>
    <row r="151" ht="15" customHeight="1">
      <c r="A151" t="inlineStr">
        <is>
          <t>A 13181-2023</t>
        </is>
      </c>
      <c r="B151" s="1" t="n">
        <v>45002.60659722222</v>
      </c>
      <c r="C151" s="1" t="n">
        <v>46139</v>
      </c>
      <c r="D151" t="inlineStr">
        <is>
          <t>ÖREBRO LÄN</t>
        </is>
      </c>
      <c r="E151" t="inlineStr">
        <is>
          <t>ÖREBRO</t>
        </is>
      </c>
      <c r="G151" t="n">
        <v>1.2</v>
      </c>
      <c r="H151" t="n">
        <v>0</v>
      </c>
      <c r="I151" t="n">
        <v>0</v>
      </c>
      <c r="J151" t="n">
        <v>0</v>
      </c>
      <c r="K151" t="n">
        <v>0</v>
      </c>
      <c r="L151" t="n">
        <v>0</v>
      </c>
      <c r="M151" t="n">
        <v>0</v>
      </c>
      <c r="N151" t="n">
        <v>0</v>
      </c>
      <c r="O151" t="n">
        <v>0</v>
      </c>
      <c r="P151" t="n">
        <v>0</v>
      </c>
      <c r="Q151" t="n">
        <v>0</v>
      </c>
      <c r="R151" s="2" t="inlineStr"/>
    </row>
    <row r="152" ht="15" customHeight="1">
      <c r="A152" t="inlineStr">
        <is>
          <t>A 61078-2024</t>
        </is>
      </c>
      <c r="B152" s="1" t="n">
        <v>45645.51034722223</v>
      </c>
      <c r="C152" s="1" t="n">
        <v>46139</v>
      </c>
      <c r="D152" t="inlineStr">
        <is>
          <t>ÖREBRO LÄN</t>
        </is>
      </c>
      <c r="E152" t="inlineStr">
        <is>
          <t>ÖREBRO</t>
        </is>
      </c>
      <c r="G152" t="n">
        <v>4.1</v>
      </c>
      <c r="H152" t="n">
        <v>0</v>
      </c>
      <c r="I152" t="n">
        <v>0</v>
      </c>
      <c r="J152" t="n">
        <v>0</v>
      </c>
      <c r="K152" t="n">
        <v>0</v>
      </c>
      <c r="L152" t="n">
        <v>0</v>
      </c>
      <c r="M152" t="n">
        <v>0</v>
      </c>
      <c r="N152" t="n">
        <v>0</v>
      </c>
      <c r="O152" t="n">
        <v>0</v>
      </c>
      <c r="P152" t="n">
        <v>0</v>
      </c>
      <c r="Q152" t="n">
        <v>0</v>
      </c>
      <c r="R152" s="2" t="inlineStr"/>
    </row>
    <row r="153" ht="15" customHeight="1">
      <c r="A153" t="inlineStr">
        <is>
          <t>A 62511-2023</t>
        </is>
      </c>
      <c r="B153" s="1" t="n">
        <v>45268.61855324074</v>
      </c>
      <c r="C153" s="1" t="n">
        <v>46139</v>
      </c>
      <c r="D153" t="inlineStr">
        <is>
          <t>ÖREBRO LÄN</t>
        </is>
      </c>
      <c r="E153" t="inlineStr">
        <is>
          <t>ÖREBRO</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14053-2025</t>
        </is>
      </c>
      <c r="B154" s="1" t="n">
        <v>45739</v>
      </c>
      <c r="C154" s="1" t="n">
        <v>46139</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541-2025</t>
        </is>
      </c>
      <c r="B155" s="1" t="n">
        <v>45664.52034722222</v>
      </c>
      <c r="C155" s="1" t="n">
        <v>46139</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46139</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53143-2023</t>
        </is>
      </c>
      <c r="B157" s="1" t="n">
        <v>45229</v>
      </c>
      <c r="C157" s="1" t="n">
        <v>46139</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25407-2021</t>
        </is>
      </c>
      <c r="B158" s="1" t="n">
        <v>44342</v>
      </c>
      <c r="C158" s="1" t="n">
        <v>46139</v>
      </c>
      <c r="D158" t="inlineStr">
        <is>
          <t>ÖREBRO LÄN</t>
        </is>
      </c>
      <c r="E158" t="inlineStr">
        <is>
          <t>ÖREBRO</t>
        </is>
      </c>
      <c r="F158" t="inlineStr">
        <is>
          <t>Kommuner</t>
        </is>
      </c>
      <c r="G158" t="n">
        <v>7.2</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46139</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46139</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45027-2024</t>
        </is>
      </c>
      <c r="B161" s="1" t="n">
        <v>45575</v>
      </c>
      <c r="C161" s="1" t="n">
        <v>46139</v>
      </c>
      <c r="D161" t="inlineStr">
        <is>
          <t>ÖREBRO LÄN</t>
        </is>
      </c>
      <c r="E161" t="inlineStr">
        <is>
          <t>ÖREBRO</t>
        </is>
      </c>
      <c r="G161" t="n">
        <v>6.3</v>
      </c>
      <c r="H161" t="n">
        <v>0</v>
      </c>
      <c r="I161" t="n">
        <v>0</v>
      </c>
      <c r="J161" t="n">
        <v>0</v>
      </c>
      <c r="K161" t="n">
        <v>0</v>
      </c>
      <c r="L161" t="n">
        <v>0</v>
      </c>
      <c r="M161" t="n">
        <v>0</v>
      </c>
      <c r="N161" t="n">
        <v>0</v>
      </c>
      <c r="O161" t="n">
        <v>0</v>
      </c>
      <c r="P161" t="n">
        <v>0</v>
      </c>
      <c r="Q161" t="n">
        <v>0</v>
      </c>
      <c r="R161" s="2" t="inlineStr"/>
    </row>
    <row r="162" ht="15" customHeight="1">
      <c r="A162" t="inlineStr">
        <is>
          <t>A 16140-2023</t>
        </is>
      </c>
      <c r="B162" s="1" t="n">
        <v>45027.6433912037</v>
      </c>
      <c r="C162" s="1" t="n">
        <v>46139</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55472-2023</t>
        </is>
      </c>
      <c r="B163" s="1" t="n">
        <v>45238</v>
      </c>
      <c r="C163" s="1" t="n">
        <v>46139</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5795-2024</t>
        </is>
      </c>
      <c r="B164" s="1" t="n">
        <v>45335.4531712963</v>
      </c>
      <c r="C164" s="1" t="n">
        <v>46139</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5129-2024</t>
        </is>
      </c>
      <c r="B165" s="1" t="n">
        <v>45330</v>
      </c>
      <c r="C165" s="1" t="n">
        <v>46139</v>
      </c>
      <c r="D165" t="inlineStr">
        <is>
          <t>ÖREBRO LÄN</t>
        </is>
      </c>
      <c r="E165" t="inlineStr">
        <is>
          <t>ÖREBRO</t>
        </is>
      </c>
      <c r="G165" t="n">
        <v>0.5</v>
      </c>
      <c r="H165" t="n">
        <v>0</v>
      </c>
      <c r="I165" t="n">
        <v>0</v>
      </c>
      <c r="J165" t="n">
        <v>0</v>
      </c>
      <c r="K165" t="n">
        <v>0</v>
      </c>
      <c r="L165" t="n">
        <v>0</v>
      </c>
      <c r="M165" t="n">
        <v>0</v>
      </c>
      <c r="N165" t="n">
        <v>0</v>
      </c>
      <c r="O165" t="n">
        <v>0</v>
      </c>
      <c r="P165" t="n">
        <v>0</v>
      </c>
      <c r="Q165" t="n">
        <v>0</v>
      </c>
      <c r="R165" s="2" t="inlineStr"/>
    </row>
    <row r="166" ht="15" customHeight="1">
      <c r="A166" t="inlineStr">
        <is>
          <t>A 58486-2024</t>
        </is>
      </c>
      <c r="B166" s="1" t="n">
        <v>45635</v>
      </c>
      <c r="C166" s="1" t="n">
        <v>46139</v>
      </c>
      <c r="D166" t="inlineStr">
        <is>
          <t>ÖREBRO LÄN</t>
        </is>
      </c>
      <c r="E166" t="inlineStr">
        <is>
          <t>ÖREBRO</t>
        </is>
      </c>
      <c r="G166" t="n">
        <v>1.7</v>
      </c>
      <c r="H166" t="n">
        <v>0</v>
      </c>
      <c r="I166" t="n">
        <v>0</v>
      </c>
      <c r="J166" t="n">
        <v>0</v>
      </c>
      <c r="K166" t="n">
        <v>0</v>
      </c>
      <c r="L166" t="n">
        <v>0</v>
      </c>
      <c r="M166" t="n">
        <v>0</v>
      </c>
      <c r="N166" t="n">
        <v>0</v>
      </c>
      <c r="O166" t="n">
        <v>0</v>
      </c>
      <c r="P166" t="n">
        <v>0</v>
      </c>
      <c r="Q166" t="n">
        <v>0</v>
      </c>
      <c r="R166" s="2" t="inlineStr"/>
    </row>
    <row r="167" ht="15" customHeight="1">
      <c r="A167" t="inlineStr">
        <is>
          <t>A 52391-2024</t>
        </is>
      </c>
      <c r="B167" s="1" t="n">
        <v>45609.43180555556</v>
      </c>
      <c r="C167" s="1" t="n">
        <v>46139</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52401-2024</t>
        </is>
      </c>
      <c r="B168" s="1" t="n">
        <v>45609.44553240741</v>
      </c>
      <c r="C168" s="1" t="n">
        <v>46139</v>
      </c>
      <c r="D168" t="inlineStr">
        <is>
          <t>ÖREBRO LÄN</t>
        </is>
      </c>
      <c r="E168" t="inlineStr">
        <is>
          <t>ÖREBRO</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30015-2023</t>
        </is>
      </c>
      <c r="B169" s="1" t="n">
        <v>45109</v>
      </c>
      <c r="C169" s="1" t="n">
        <v>46139</v>
      </c>
      <c r="D169" t="inlineStr">
        <is>
          <t>ÖREBRO LÄN</t>
        </is>
      </c>
      <c r="E169" t="inlineStr">
        <is>
          <t>ÖREBRO</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1013-2024</t>
        </is>
      </c>
      <c r="B170" s="1" t="n">
        <v>45301</v>
      </c>
      <c r="C170" s="1" t="n">
        <v>46139</v>
      </c>
      <c r="D170" t="inlineStr">
        <is>
          <t>ÖREBRO LÄN</t>
        </is>
      </c>
      <c r="E170" t="inlineStr">
        <is>
          <t>ÖREBRO</t>
        </is>
      </c>
      <c r="G170" t="n">
        <v>2.6</v>
      </c>
      <c r="H170" t="n">
        <v>0</v>
      </c>
      <c r="I170" t="n">
        <v>0</v>
      </c>
      <c r="J170" t="n">
        <v>0</v>
      </c>
      <c r="K170" t="n">
        <v>0</v>
      </c>
      <c r="L170" t="n">
        <v>0</v>
      </c>
      <c r="M170" t="n">
        <v>0</v>
      </c>
      <c r="N170" t="n">
        <v>0</v>
      </c>
      <c r="O170" t="n">
        <v>0</v>
      </c>
      <c r="P170" t="n">
        <v>0</v>
      </c>
      <c r="Q170" t="n">
        <v>0</v>
      </c>
      <c r="R170" s="2" t="inlineStr"/>
    </row>
    <row r="171" ht="15" customHeight="1">
      <c r="A171" t="inlineStr">
        <is>
          <t>A 59736-2023</t>
        </is>
      </c>
      <c r="B171" s="1" t="n">
        <v>45257.374375</v>
      </c>
      <c r="C171" s="1" t="n">
        <v>46139</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2153-2023</t>
        </is>
      </c>
      <c r="B172" s="1" t="n">
        <v>44941</v>
      </c>
      <c r="C172" s="1" t="n">
        <v>46139</v>
      </c>
      <c r="D172" t="inlineStr">
        <is>
          <t>ÖREBRO LÄN</t>
        </is>
      </c>
      <c r="E172" t="inlineStr">
        <is>
          <t>ÖREBRO</t>
        </is>
      </c>
      <c r="G172" t="n">
        <v>6.3</v>
      </c>
      <c r="H172" t="n">
        <v>0</v>
      </c>
      <c r="I172" t="n">
        <v>0</v>
      </c>
      <c r="J172" t="n">
        <v>0</v>
      </c>
      <c r="K172" t="n">
        <v>0</v>
      </c>
      <c r="L172" t="n">
        <v>0</v>
      </c>
      <c r="M172" t="n">
        <v>0</v>
      </c>
      <c r="N172" t="n">
        <v>0</v>
      </c>
      <c r="O172" t="n">
        <v>0</v>
      </c>
      <c r="P172" t="n">
        <v>0</v>
      </c>
      <c r="Q172" t="n">
        <v>0</v>
      </c>
      <c r="R172" s="2" t="inlineStr"/>
    </row>
    <row r="173" ht="15" customHeight="1">
      <c r="A173" t="inlineStr">
        <is>
          <t>A 41678-2024</t>
        </is>
      </c>
      <c r="B173" s="1" t="n">
        <v>45560</v>
      </c>
      <c r="C173" s="1" t="n">
        <v>46139</v>
      </c>
      <c r="D173" t="inlineStr">
        <is>
          <t>ÖREBRO LÄN</t>
        </is>
      </c>
      <c r="E173" t="inlineStr">
        <is>
          <t>ÖREBRO</t>
        </is>
      </c>
      <c r="G173" t="n">
        <v>11.3</v>
      </c>
      <c r="H173" t="n">
        <v>0</v>
      </c>
      <c r="I173" t="n">
        <v>0</v>
      </c>
      <c r="J173" t="n">
        <v>0</v>
      </c>
      <c r="K173" t="n">
        <v>0</v>
      </c>
      <c r="L173" t="n">
        <v>0</v>
      </c>
      <c r="M173" t="n">
        <v>0</v>
      </c>
      <c r="N173" t="n">
        <v>0</v>
      </c>
      <c r="O173" t="n">
        <v>0</v>
      </c>
      <c r="P173" t="n">
        <v>0</v>
      </c>
      <c r="Q173" t="n">
        <v>0</v>
      </c>
      <c r="R173" s="2" t="inlineStr"/>
    </row>
    <row r="174" ht="15" customHeight="1">
      <c r="A174" t="inlineStr">
        <is>
          <t>A 8512-2025</t>
        </is>
      </c>
      <c r="B174" s="1" t="n">
        <v>45709.54873842592</v>
      </c>
      <c r="C174" s="1" t="n">
        <v>46139</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14715-2024</t>
        </is>
      </c>
      <c r="B175" s="1" t="n">
        <v>45397.5500462963</v>
      </c>
      <c r="C175" s="1" t="n">
        <v>46139</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10829-2023</t>
        </is>
      </c>
      <c r="B176" s="1" t="n">
        <v>44990.88512731482</v>
      </c>
      <c r="C176" s="1" t="n">
        <v>46139</v>
      </c>
      <c r="D176" t="inlineStr">
        <is>
          <t>ÖREBRO LÄN</t>
        </is>
      </c>
      <c r="E176" t="inlineStr">
        <is>
          <t>ÖREBRO</t>
        </is>
      </c>
      <c r="G176" t="n">
        <v>4.4</v>
      </c>
      <c r="H176" t="n">
        <v>0</v>
      </c>
      <c r="I176" t="n">
        <v>0</v>
      </c>
      <c r="J176" t="n">
        <v>0</v>
      </c>
      <c r="K176" t="n">
        <v>0</v>
      </c>
      <c r="L176" t="n">
        <v>0</v>
      </c>
      <c r="M176" t="n">
        <v>0</v>
      </c>
      <c r="N176" t="n">
        <v>0</v>
      </c>
      <c r="O176" t="n">
        <v>0</v>
      </c>
      <c r="P176" t="n">
        <v>0</v>
      </c>
      <c r="Q176" t="n">
        <v>0</v>
      </c>
      <c r="R176" s="2" t="inlineStr"/>
    </row>
    <row r="177" ht="15" customHeight="1">
      <c r="A177" t="inlineStr">
        <is>
          <t>A 10831-2023</t>
        </is>
      </c>
      <c r="B177" s="1" t="n">
        <v>44990.90357638889</v>
      </c>
      <c r="C177" s="1" t="n">
        <v>46139</v>
      </c>
      <c r="D177" t="inlineStr">
        <is>
          <t>ÖREBRO LÄN</t>
        </is>
      </c>
      <c r="E177" t="inlineStr">
        <is>
          <t>ÖREBRO</t>
        </is>
      </c>
      <c r="G177" t="n">
        <v>1.9</v>
      </c>
      <c r="H177" t="n">
        <v>0</v>
      </c>
      <c r="I177" t="n">
        <v>0</v>
      </c>
      <c r="J177" t="n">
        <v>0</v>
      </c>
      <c r="K177" t="n">
        <v>0</v>
      </c>
      <c r="L177" t="n">
        <v>0</v>
      </c>
      <c r="M177" t="n">
        <v>0</v>
      </c>
      <c r="N177" t="n">
        <v>0</v>
      </c>
      <c r="O177" t="n">
        <v>0</v>
      </c>
      <c r="P177" t="n">
        <v>0</v>
      </c>
      <c r="Q177" t="n">
        <v>0</v>
      </c>
      <c r="R177" s="2" t="inlineStr"/>
    </row>
    <row r="178" ht="15" customHeight="1">
      <c r="A178" t="inlineStr">
        <is>
          <t>A 13418-2024</t>
        </is>
      </c>
      <c r="B178" s="1" t="n">
        <v>45387.46482638889</v>
      </c>
      <c r="C178" s="1" t="n">
        <v>46139</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58145-2024</t>
        </is>
      </c>
      <c r="B179" s="1" t="n">
        <v>45632.43230324074</v>
      </c>
      <c r="C179" s="1" t="n">
        <v>46139</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26338-2021</t>
        </is>
      </c>
      <c r="B180" s="1" t="n">
        <v>44347</v>
      </c>
      <c r="C180" s="1" t="n">
        <v>46139</v>
      </c>
      <c r="D180" t="inlineStr">
        <is>
          <t>ÖREBRO LÄN</t>
        </is>
      </c>
      <c r="E180" t="inlineStr">
        <is>
          <t>ÖREBRO</t>
        </is>
      </c>
      <c r="G180" t="n">
        <v>0.5</v>
      </c>
      <c r="H180" t="n">
        <v>0</v>
      </c>
      <c r="I180" t="n">
        <v>0</v>
      </c>
      <c r="J180" t="n">
        <v>0</v>
      </c>
      <c r="K180" t="n">
        <v>0</v>
      </c>
      <c r="L180" t="n">
        <v>0</v>
      </c>
      <c r="M180" t="n">
        <v>0</v>
      </c>
      <c r="N180" t="n">
        <v>0</v>
      </c>
      <c r="O180" t="n">
        <v>0</v>
      </c>
      <c r="P180" t="n">
        <v>0</v>
      </c>
      <c r="Q180" t="n">
        <v>0</v>
      </c>
      <c r="R180" s="2" t="inlineStr"/>
    </row>
    <row r="181" ht="15" customHeight="1">
      <c r="A181" t="inlineStr">
        <is>
          <t>A 58539-2024</t>
        </is>
      </c>
      <c r="B181" s="1" t="n">
        <v>45635.45157407408</v>
      </c>
      <c r="C181" s="1" t="n">
        <v>46139</v>
      </c>
      <c r="D181" t="inlineStr">
        <is>
          <t>ÖREBRO LÄN</t>
        </is>
      </c>
      <c r="E181" t="inlineStr">
        <is>
          <t>ÖREBRO</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16300-2022</t>
        </is>
      </c>
      <c r="B182" s="1" t="n">
        <v>44670</v>
      </c>
      <c r="C182" s="1" t="n">
        <v>46139</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53234-2023</t>
        </is>
      </c>
      <c r="B183" s="1" t="n">
        <v>45229</v>
      </c>
      <c r="C183" s="1" t="n">
        <v>46139</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58532-2024</t>
        </is>
      </c>
      <c r="B184" s="1" t="n">
        <v>45635.44899305556</v>
      </c>
      <c r="C184" s="1" t="n">
        <v>46139</v>
      </c>
      <c r="D184" t="inlineStr">
        <is>
          <t>ÖREBRO LÄN</t>
        </is>
      </c>
      <c r="E184" t="inlineStr">
        <is>
          <t>ÖREBRO</t>
        </is>
      </c>
      <c r="F184" t="inlineStr">
        <is>
          <t>Sveaskog</t>
        </is>
      </c>
      <c r="G184" t="n">
        <v>5.2</v>
      </c>
      <c r="H184" t="n">
        <v>0</v>
      </c>
      <c r="I184" t="n">
        <v>0</v>
      </c>
      <c r="J184" t="n">
        <v>0</v>
      </c>
      <c r="K184" t="n">
        <v>0</v>
      </c>
      <c r="L184" t="n">
        <v>0</v>
      </c>
      <c r="M184" t="n">
        <v>0</v>
      </c>
      <c r="N184" t="n">
        <v>0</v>
      </c>
      <c r="O184" t="n">
        <v>0</v>
      </c>
      <c r="P184" t="n">
        <v>0</v>
      </c>
      <c r="Q184" t="n">
        <v>0</v>
      </c>
      <c r="R184" s="2" t="inlineStr"/>
    </row>
    <row r="185" ht="15" customHeight="1">
      <c r="A185" t="inlineStr">
        <is>
          <t>A 18181-2024</t>
        </is>
      </c>
      <c r="B185" s="1" t="n">
        <v>45420.64561342593</v>
      </c>
      <c r="C185" s="1" t="n">
        <v>46139</v>
      </c>
      <c r="D185" t="inlineStr">
        <is>
          <t>ÖREBRO LÄN</t>
        </is>
      </c>
      <c r="E185" t="inlineStr">
        <is>
          <t>ÖREBRO</t>
        </is>
      </c>
      <c r="G185" t="n">
        <v>7.6</v>
      </c>
      <c r="H185" t="n">
        <v>0</v>
      </c>
      <c r="I185" t="n">
        <v>0</v>
      </c>
      <c r="J185" t="n">
        <v>0</v>
      </c>
      <c r="K185" t="n">
        <v>0</v>
      </c>
      <c r="L185" t="n">
        <v>0</v>
      </c>
      <c r="M185" t="n">
        <v>0</v>
      </c>
      <c r="N185" t="n">
        <v>0</v>
      </c>
      <c r="O185" t="n">
        <v>0</v>
      </c>
      <c r="P185" t="n">
        <v>0</v>
      </c>
      <c r="Q185" t="n">
        <v>0</v>
      </c>
      <c r="R185" s="2" t="inlineStr"/>
    </row>
    <row r="186" ht="15" customHeight="1">
      <c r="A186" t="inlineStr">
        <is>
          <t>A 59757-2023</t>
        </is>
      </c>
      <c r="B186" s="1" t="n">
        <v>45257.40833333333</v>
      </c>
      <c r="C186" s="1" t="n">
        <v>46139</v>
      </c>
      <c r="D186" t="inlineStr">
        <is>
          <t>ÖREBRO LÄN</t>
        </is>
      </c>
      <c r="E186" t="inlineStr">
        <is>
          <t>ÖREBRO</t>
        </is>
      </c>
      <c r="G186" t="n">
        <v>1</v>
      </c>
      <c r="H186" t="n">
        <v>0</v>
      </c>
      <c r="I186" t="n">
        <v>0</v>
      </c>
      <c r="J186" t="n">
        <v>0</v>
      </c>
      <c r="K186" t="n">
        <v>0</v>
      </c>
      <c r="L186" t="n">
        <v>0</v>
      </c>
      <c r="M186" t="n">
        <v>0</v>
      </c>
      <c r="N186" t="n">
        <v>0</v>
      </c>
      <c r="O186" t="n">
        <v>0</v>
      </c>
      <c r="P186" t="n">
        <v>0</v>
      </c>
      <c r="Q186" t="n">
        <v>0</v>
      </c>
      <c r="R186" s="2" t="inlineStr"/>
    </row>
    <row r="187" ht="15" customHeight="1">
      <c r="A187" t="inlineStr">
        <is>
          <t>A 11067-2025</t>
        </is>
      </c>
      <c r="B187" s="1" t="n">
        <v>45723</v>
      </c>
      <c r="C187" s="1" t="n">
        <v>46139</v>
      </c>
      <c r="D187" t="inlineStr">
        <is>
          <t>ÖREBRO LÄN</t>
        </is>
      </c>
      <c r="E187" t="inlineStr">
        <is>
          <t>ÖREBRO</t>
        </is>
      </c>
      <c r="G187" t="n">
        <v>3.1</v>
      </c>
      <c r="H187" t="n">
        <v>0</v>
      </c>
      <c r="I187" t="n">
        <v>0</v>
      </c>
      <c r="J187" t="n">
        <v>0</v>
      </c>
      <c r="K187" t="n">
        <v>0</v>
      </c>
      <c r="L187" t="n">
        <v>0</v>
      </c>
      <c r="M187" t="n">
        <v>0</v>
      </c>
      <c r="N187" t="n">
        <v>0</v>
      </c>
      <c r="O187" t="n">
        <v>0</v>
      </c>
      <c r="P187" t="n">
        <v>0</v>
      </c>
      <c r="Q187" t="n">
        <v>0</v>
      </c>
      <c r="R187" s="2" t="inlineStr"/>
    </row>
    <row r="188" ht="15" customHeight="1">
      <c r="A188" t="inlineStr">
        <is>
          <t>A 70707-2021</t>
        </is>
      </c>
      <c r="B188" s="1" t="n">
        <v>44537</v>
      </c>
      <c r="C188" s="1" t="n">
        <v>46139</v>
      </c>
      <c r="D188" t="inlineStr">
        <is>
          <t>ÖREBRO LÄN</t>
        </is>
      </c>
      <c r="E188" t="inlineStr">
        <is>
          <t>ÖREBRO</t>
        </is>
      </c>
      <c r="G188" t="n">
        <v>13.2</v>
      </c>
      <c r="H188" t="n">
        <v>0</v>
      </c>
      <c r="I188" t="n">
        <v>0</v>
      </c>
      <c r="J188" t="n">
        <v>0</v>
      </c>
      <c r="K188" t="n">
        <v>0</v>
      </c>
      <c r="L188" t="n">
        <v>0</v>
      </c>
      <c r="M188" t="n">
        <v>0</v>
      </c>
      <c r="N188" t="n">
        <v>0</v>
      </c>
      <c r="O188" t="n">
        <v>0</v>
      </c>
      <c r="P188" t="n">
        <v>0</v>
      </c>
      <c r="Q188" t="n">
        <v>0</v>
      </c>
      <c r="R188" s="2" t="inlineStr"/>
    </row>
    <row r="189" ht="15" customHeight="1">
      <c r="A189" t="inlineStr">
        <is>
          <t>A 187-2024</t>
        </is>
      </c>
      <c r="B189" s="1" t="n">
        <v>45294</v>
      </c>
      <c r="C189" s="1" t="n">
        <v>46139</v>
      </c>
      <c r="D189" t="inlineStr">
        <is>
          <t>ÖREBRO LÄN</t>
        </is>
      </c>
      <c r="E189" t="inlineStr">
        <is>
          <t>ÖREBRO</t>
        </is>
      </c>
      <c r="G189" t="n">
        <v>5.9</v>
      </c>
      <c r="H189" t="n">
        <v>0</v>
      </c>
      <c r="I189" t="n">
        <v>0</v>
      </c>
      <c r="J189" t="n">
        <v>0</v>
      </c>
      <c r="K189" t="n">
        <v>0</v>
      </c>
      <c r="L189" t="n">
        <v>0</v>
      </c>
      <c r="M189" t="n">
        <v>0</v>
      </c>
      <c r="N189" t="n">
        <v>0</v>
      </c>
      <c r="O189" t="n">
        <v>0</v>
      </c>
      <c r="P189" t="n">
        <v>0</v>
      </c>
      <c r="Q189" t="n">
        <v>0</v>
      </c>
      <c r="R189" s="2" t="inlineStr"/>
    </row>
    <row r="190" ht="15" customHeight="1">
      <c r="A190" t="inlineStr">
        <is>
          <t>A 60100-2022</t>
        </is>
      </c>
      <c r="B190" s="1" t="n">
        <v>44902</v>
      </c>
      <c r="C190" s="1" t="n">
        <v>46139</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3659-2025</t>
        </is>
      </c>
      <c r="B191" s="1" t="n">
        <v>45681</v>
      </c>
      <c r="C191" s="1" t="n">
        <v>46139</v>
      </c>
      <c r="D191" t="inlineStr">
        <is>
          <t>ÖREBRO LÄN</t>
        </is>
      </c>
      <c r="E191" t="inlineStr">
        <is>
          <t>ÖREBRO</t>
        </is>
      </c>
      <c r="G191" t="n">
        <v>15.8</v>
      </c>
      <c r="H191" t="n">
        <v>0</v>
      </c>
      <c r="I191" t="n">
        <v>0</v>
      </c>
      <c r="J191" t="n">
        <v>0</v>
      </c>
      <c r="K191" t="n">
        <v>0</v>
      </c>
      <c r="L191" t="n">
        <v>0</v>
      </c>
      <c r="M191" t="n">
        <v>0</v>
      </c>
      <c r="N191" t="n">
        <v>0</v>
      </c>
      <c r="O191" t="n">
        <v>0</v>
      </c>
      <c r="P191" t="n">
        <v>0</v>
      </c>
      <c r="Q191" t="n">
        <v>0</v>
      </c>
      <c r="R191" s="2" t="inlineStr"/>
    </row>
    <row r="192" ht="15" customHeight="1">
      <c r="A192" t="inlineStr">
        <is>
          <t>A 13762-2023</t>
        </is>
      </c>
      <c r="B192" s="1" t="n">
        <v>45007.43729166667</v>
      </c>
      <c r="C192" s="1" t="n">
        <v>46139</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2152-2023</t>
        </is>
      </c>
      <c r="B193" s="1" t="n">
        <v>44941.55056712963</v>
      </c>
      <c r="C193" s="1" t="n">
        <v>46139</v>
      </c>
      <c r="D193" t="inlineStr">
        <is>
          <t>ÖREBRO LÄN</t>
        </is>
      </c>
      <c r="E193" t="inlineStr">
        <is>
          <t>ÖREBRO</t>
        </is>
      </c>
      <c r="G193" t="n">
        <v>8</v>
      </c>
      <c r="H193" t="n">
        <v>0</v>
      </c>
      <c r="I193" t="n">
        <v>0</v>
      </c>
      <c r="J193" t="n">
        <v>0</v>
      </c>
      <c r="K193" t="n">
        <v>0</v>
      </c>
      <c r="L193" t="n">
        <v>0</v>
      </c>
      <c r="M193" t="n">
        <v>0</v>
      </c>
      <c r="N193" t="n">
        <v>0</v>
      </c>
      <c r="O193" t="n">
        <v>0</v>
      </c>
      <c r="P193" t="n">
        <v>0</v>
      </c>
      <c r="Q193" t="n">
        <v>0</v>
      </c>
      <c r="R193" s="2" t="inlineStr"/>
    </row>
    <row r="194" ht="15" customHeight="1">
      <c r="A194" t="inlineStr">
        <is>
          <t>A 13347-2023</t>
        </is>
      </c>
      <c r="B194" s="1" t="n">
        <v>45004</v>
      </c>
      <c r="C194" s="1" t="n">
        <v>46139</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8656-2025</t>
        </is>
      </c>
      <c r="B195" s="1" t="n">
        <v>45712.38268518518</v>
      </c>
      <c r="C195" s="1" t="n">
        <v>46139</v>
      </c>
      <c r="D195" t="inlineStr">
        <is>
          <t>ÖREBRO LÄN</t>
        </is>
      </c>
      <c r="E195" t="inlineStr">
        <is>
          <t>ÖREBRO</t>
        </is>
      </c>
      <c r="G195" t="n">
        <v>2.7</v>
      </c>
      <c r="H195" t="n">
        <v>0</v>
      </c>
      <c r="I195" t="n">
        <v>0</v>
      </c>
      <c r="J195" t="n">
        <v>0</v>
      </c>
      <c r="K195" t="n">
        <v>0</v>
      </c>
      <c r="L195" t="n">
        <v>0</v>
      </c>
      <c r="M195" t="n">
        <v>0</v>
      </c>
      <c r="N195" t="n">
        <v>0</v>
      </c>
      <c r="O195" t="n">
        <v>0</v>
      </c>
      <c r="P195" t="n">
        <v>0</v>
      </c>
      <c r="Q195" t="n">
        <v>0</v>
      </c>
      <c r="R195" s="2" t="inlineStr"/>
    </row>
    <row r="196" ht="15" customHeight="1">
      <c r="A196" t="inlineStr">
        <is>
          <t>A 55353-2024</t>
        </is>
      </c>
      <c r="B196" s="1" t="n">
        <v>45621.79526620371</v>
      </c>
      <c r="C196" s="1" t="n">
        <v>46139</v>
      </c>
      <c r="D196" t="inlineStr">
        <is>
          <t>ÖREBRO LÄN</t>
        </is>
      </c>
      <c r="E196" t="inlineStr">
        <is>
          <t>ÖREBRO</t>
        </is>
      </c>
      <c r="G196" t="n">
        <v>0.5</v>
      </c>
      <c r="H196" t="n">
        <v>0</v>
      </c>
      <c r="I196" t="n">
        <v>0</v>
      </c>
      <c r="J196" t="n">
        <v>0</v>
      </c>
      <c r="K196" t="n">
        <v>0</v>
      </c>
      <c r="L196" t="n">
        <v>0</v>
      </c>
      <c r="M196" t="n">
        <v>0</v>
      </c>
      <c r="N196" t="n">
        <v>0</v>
      </c>
      <c r="O196" t="n">
        <v>0</v>
      </c>
      <c r="P196" t="n">
        <v>0</v>
      </c>
      <c r="Q196" t="n">
        <v>0</v>
      </c>
      <c r="R196" s="2" t="inlineStr"/>
    </row>
    <row r="197" ht="15" customHeight="1">
      <c r="A197" t="inlineStr">
        <is>
          <t>A 55357-2024</t>
        </is>
      </c>
      <c r="B197" s="1" t="n">
        <v>45621.81126157408</v>
      </c>
      <c r="C197" s="1" t="n">
        <v>46139</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60022-2024</t>
        </is>
      </c>
      <c r="B198" s="1" t="n">
        <v>45642</v>
      </c>
      <c r="C198" s="1" t="n">
        <v>46139</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6752-2022</t>
        </is>
      </c>
      <c r="B199" s="1" t="n">
        <v>44602.48082175926</v>
      </c>
      <c r="C199" s="1" t="n">
        <v>46139</v>
      </c>
      <c r="D199" t="inlineStr">
        <is>
          <t>ÖREBRO LÄN</t>
        </is>
      </c>
      <c r="E199" t="inlineStr">
        <is>
          <t>ÖREBRO</t>
        </is>
      </c>
      <c r="G199" t="n">
        <v>3.1</v>
      </c>
      <c r="H199" t="n">
        <v>0</v>
      </c>
      <c r="I199" t="n">
        <v>0</v>
      </c>
      <c r="J199" t="n">
        <v>0</v>
      </c>
      <c r="K199" t="n">
        <v>0</v>
      </c>
      <c r="L199" t="n">
        <v>0</v>
      </c>
      <c r="M199" t="n">
        <v>0</v>
      </c>
      <c r="N199" t="n">
        <v>0</v>
      </c>
      <c r="O199" t="n">
        <v>0</v>
      </c>
      <c r="P199" t="n">
        <v>0</v>
      </c>
      <c r="Q199" t="n">
        <v>0</v>
      </c>
      <c r="R199" s="2" t="inlineStr"/>
    </row>
    <row r="200" ht="15" customHeight="1">
      <c r="A200" t="inlineStr">
        <is>
          <t>A 42623-2022</t>
        </is>
      </c>
      <c r="B200" s="1" t="n">
        <v>44831</v>
      </c>
      <c r="C200" s="1" t="n">
        <v>46139</v>
      </c>
      <c r="D200" t="inlineStr">
        <is>
          <t>ÖREBRO LÄN</t>
        </is>
      </c>
      <c r="E200" t="inlineStr">
        <is>
          <t>ÖREBRO</t>
        </is>
      </c>
      <c r="G200" t="n">
        <v>3.6</v>
      </c>
      <c r="H200" t="n">
        <v>0</v>
      </c>
      <c r="I200" t="n">
        <v>0</v>
      </c>
      <c r="J200" t="n">
        <v>0</v>
      </c>
      <c r="K200" t="n">
        <v>0</v>
      </c>
      <c r="L200" t="n">
        <v>0</v>
      </c>
      <c r="M200" t="n">
        <v>0</v>
      </c>
      <c r="N200" t="n">
        <v>0</v>
      </c>
      <c r="O200" t="n">
        <v>0</v>
      </c>
      <c r="P200" t="n">
        <v>0</v>
      </c>
      <c r="Q200" t="n">
        <v>0</v>
      </c>
      <c r="R200" s="2" t="inlineStr"/>
    </row>
    <row r="201" ht="15" customHeight="1">
      <c r="A201" t="inlineStr">
        <is>
          <t>A 72329-2021</t>
        </is>
      </c>
      <c r="B201" s="1" t="n">
        <v>44545.46072916667</v>
      </c>
      <c r="C201" s="1" t="n">
        <v>46139</v>
      </c>
      <c r="D201" t="inlineStr">
        <is>
          <t>ÖREBRO LÄN</t>
        </is>
      </c>
      <c r="E201" t="inlineStr">
        <is>
          <t>ÖREBRO</t>
        </is>
      </c>
      <c r="G201" t="n">
        <v>0.5</v>
      </c>
      <c r="H201" t="n">
        <v>0</v>
      </c>
      <c r="I201" t="n">
        <v>0</v>
      </c>
      <c r="J201" t="n">
        <v>0</v>
      </c>
      <c r="K201" t="n">
        <v>0</v>
      </c>
      <c r="L201" t="n">
        <v>0</v>
      </c>
      <c r="M201" t="n">
        <v>0</v>
      </c>
      <c r="N201" t="n">
        <v>0</v>
      </c>
      <c r="O201" t="n">
        <v>0</v>
      </c>
      <c r="P201" t="n">
        <v>0</v>
      </c>
      <c r="Q201" t="n">
        <v>0</v>
      </c>
      <c r="R201" s="2" t="inlineStr"/>
    </row>
    <row r="202" ht="15" customHeight="1">
      <c r="A202" t="inlineStr">
        <is>
          <t>A 10470-2025</t>
        </is>
      </c>
      <c r="B202" s="1" t="n">
        <v>45720</v>
      </c>
      <c r="C202" s="1" t="n">
        <v>46139</v>
      </c>
      <c r="D202" t="inlineStr">
        <is>
          <t>ÖREBRO LÄN</t>
        </is>
      </c>
      <c r="E202" t="inlineStr">
        <is>
          <t>ÖREBRO</t>
        </is>
      </c>
      <c r="G202" t="n">
        <v>11.5</v>
      </c>
      <c r="H202" t="n">
        <v>0</v>
      </c>
      <c r="I202" t="n">
        <v>0</v>
      </c>
      <c r="J202" t="n">
        <v>0</v>
      </c>
      <c r="K202" t="n">
        <v>0</v>
      </c>
      <c r="L202" t="n">
        <v>0</v>
      </c>
      <c r="M202" t="n">
        <v>0</v>
      </c>
      <c r="N202" t="n">
        <v>0</v>
      </c>
      <c r="O202" t="n">
        <v>0</v>
      </c>
      <c r="P202" t="n">
        <v>0</v>
      </c>
      <c r="Q202" t="n">
        <v>0</v>
      </c>
      <c r="R202" s="2" t="inlineStr"/>
    </row>
    <row r="203" ht="15" customHeight="1">
      <c r="A203" t="inlineStr">
        <is>
          <t>A 52623-2024</t>
        </is>
      </c>
      <c r="B203" s="1" t="n">
        <v>45609</v>
      </c>
      <c r="C203" s="1" t="n">
        <v>46139</v>
      </c>
      <c r="D203" t="inlineStr">
        <is>
          <t>ÖREBRO LÄN</t>
        </is>
      </c>
      <c r="E203" t="inlineStr">
        <is>
          <t>ÖREBRO</t>
        </is>
      </c>
      <c r="F203" t="inlineStr">
        <is>
          <t>Kommuner</t>
        </is>
      </c>
      <c r="G203" t="n">
        <v>1.7</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46139</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46139</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50026-2024</t>
        </is>
      </c>
      <c r="B206" s="1" t="n">
        <v>45599.60541666667</v>
      </c>
      <c r="C206" s="1" t="n">
        <v>46139</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39446-2025</t>
        </is>
      </c>
      <c r="B207" s="1" t="n">
        <v>45889.70388888889</v>
      </c>
      <c r="C207" s="1" t="n">
        <v>46139</v>
      </c>
      <c r="D207" t="inlineStr">
        <is>
          <t>ÖREBRO LÄN</t>
        </is>
      </c>
      <c r="E207" t="inlineStr">
        <is>
          <t>ÖREBRO</t>
        </is>
      </c>
      <c r="F207" t="inlineStr">
        <is>
          <t>Kyrkan</t>
        </is>
      </c>
      <c r="G207" t="n">
        <v>3.2</v>
      </c>
      <c r="H207" t="n">
        <v>0</v>
      </c>
      <c r="I207" t="n">
        <v>0</v>
      </c>
      <c r="J207" t="n">
        <v>0</v>
      </c>
      <c r="K207" t="n">
        <v>0</v>
      </c>
      <c r="L207" t="n">
        <v>0</v>
      </c>
      <c r="M207" t="n">
        <v>0</v>
      </c>
      <c r="N207" t="n">
        <v>0</v>
      </c>
      <c r="O207" t="n">
        <v>0</v>
      </c>
      <c r="P207" t="n">
        <v>0</v>
      </c>
      <c r="Q207" t="n">
        <v>0</v>
      </c>
      <c r="R207" s="2" t="inlineStr"/>
    </row>
    <row r="208" ht="15" customHeight="1">
      <c r="A208" t="inlineStr">
        <is>
          <t>A 62794-2021</t>
        </is>
      </c>
      <c r="B208" s="1" t="n">
        <v>44504</v>
      </c>
      <c r="C208" s="1" t="n">
        <v>46139</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19180-2025</t>
        </is>
      </c>
      <c r="B209" s="1" t="n">
        <v>45769.40133101852</v>
      </c>
      <c r="C209" s="1" t="n">
        <v>46139</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46323-2024</t>
        </is>
      </c>
      <c r="B210" s="1" t="n">
        <v>45581.84538194445</v>
      </c>
      <c r="C210" s="1" t="n">
        <v>46139</v>
      </c>
      <c r="D210" t="inlineStr">
        <is>
          <t>ÖREBRO LÄN</t>
        </is>
      </c>
      <c r="E210" t="inlineStr">
        <is>
          <t>ÖREBRO</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4344-2025</t>
        </is>
      </c>
      <c r="B211" s="1" t="n">
        <v>45685</v>
      </c>
      <c r="C211" s="1" t="n">
        <v>46139</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58684-2023</t>
        </is>
      </c>
      <c r="B212" s="1" t="n">
        <v>45251</v>
      </c>
      <c r="C212" s="1" t="n">
        <v>46139</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37771-2024</t>
        </is>
      </c>
      <c r="B213" s="1" t="n">
        <v>45542.31359953704</v>
      </c>
      <c r="C213" s="1" t="n">
        <v>46139</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39479-2025</t>
        </is>
      </c>
      <c r="B214" s="1" t="n">
        <v>45890.34752314815</v>
      </c>
      <c r="C214" s="1" t="n">
        <v>46139</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55355-2024</t>
        </is>
      </c>
      <c r="B215" s="1" t="n">
        <v>45621.80475694445</v>
      </c>
      <c r="C215" s="1" t="n">
        <v>46139</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71288-2021</t>
        </is>
      </c>
      <c r="B216" s="1" t="n">
        <v>44539.62481481482</v>
      </c>
      <c r="C216" s="1" t="n">
        <v>46139</v>
      </c>
      <c r="D216" t="inlineStr">
        <is>
          <t>ÖREBRO LÄN</t>
        </is>
      </c>
      <c r="E216" t="inlineStr">
        <is>
          <t>ÖREBRO</t>
        </is>
      </c>
      <c r="G216" t="n">
        <v>3.9</v>
      </c>
      <c r="H216" t="n">
        <v>0</v>
      </c>
      <c r="I216" t="n">
        <v>0</v>
      </c>
      <c r="J216" t="n">
        <v>0</v>
      </c>
      <c r="K216" t="n">
        <v>0</v>
      </c>
      <c r="L216" t="n">
        <v>0</v>
      </c>
      <c r="M216" t="n">
        <v>0</v>
      </c>
      <c r="N216" t="n">
        <v>0</v>
      </c>
      <c r="O216" t="n">
        <v>0</v>
      </c>
      <c r="P216" t="n">
        <v>0</v>
      </c>
      <c r="Q216" t="n">
        <v>0</v>
      </c>
      <c r="R216" s="2" t="inlineStr"/>
    </row>
    <row r="217" ht="15" customHeight="1">
      <c r="A217" t="inlineStr">
        <is>
          <t>A 40330-2025</t>
        </is>
      </c>
      <c r="B217" s="1" t="n">
        <v>45895.4531712963</v>
      </c>
      <c r="C217" s="1" t="n">
        <v>46139</v>
      </c>
      <c r="D217" t="inlineStr">
        <is>
          <t>ÖREBRO LÄN</t>
        </is>
      </c>
      <c r="E217" t="inlineStr">
        <is>
          <t>ÖREBRO</t>
        </is>
      </c>
      <c r="G217" t="n">
        <v>0.9</v>
      </c>
      <c r="H217" t="n">
        <v>0</v>
      </c>
      <c r="I217" t="n">
        <v>0</v>
      </c>
      <c r="J217" t="n">
        <v>0</v>
      </c>
      <c r="K217" t="n">
        <v>0</v>
      </c>
      <c r="L217" t="n">
        <v>0</v>
      </c>
      <c r="M217" t="n">
        <v>0</v>
      </c>
      <c r="N217" t="n">
        <v>0</v>
      </c>
      <c r="O217" t="n">
        <v>0</v>
      </c>
      <c r="P217" t="n">
        <v>0</v>
      </c>
      <c r="Q217" t="n">
        <v>0</v>
      </c>
      <c r="R217" s="2" t="inlineStr"/>
    </row>
    <row r="218" ht="15" customHeight="1">
      <c r="A218" t="inlineStr">
        <is>
          <t>A 40332-2025</t>
        </is>
      </c>
      <c r="B218" s="1" t="n">
        <v>45895.46060185185</v>
      </c>
      <c r="C218" s="1" t="n">
        <v>46139</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45237-2023</t>
        </is>
      </c>
      <c r="B219" s="1" t="n">
        <v>45191</v>
      </c>
      <c r="C219" s="1" t="n">
        <v>46139</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56077-2022</t>
        </is>
      </c>
      <c r="B220" s="1" t="n">
        <v>44889.60872685185</v>
      </c>
      <c r="C220" s="1" t="n">
        <v>46139</v>
      </c>
      <c r="D220" t="inlineStr">
        <is>
          <t>ÖREBRO LÄN</t>
        </is>
      </c>
      <c r="E220" t="inlineStr">
        <is>
          <t>ÖREBRO</t>
        </is>
      </c>
      <c r="F220" t="inlineStr">
        <is>
          <t>Övriga Aktiebolag</t>
        </is>
      </c>
      <c r="G220" t="n">
        <v>2.5</v>
      </c>
      <c r="H220" t="n">
        <v>0</v>
      </c>
      <c r="I220" t="n">
        <v>0</v>
      </c>
      <c r="J220" t="n">
        <v>0</v>
      </c>
      <c r="K220" t="n">
        <v>0</v>
      </c>
      <c r="L220" t="n">
        <v>0</v>
      </c>
      <c r="M220" t="n">
        <v>0</v>
      </c>
      <c r="N220" t="n">
        <v>0</v>
      </c>
      <c r="O220" t="n">
        <v>0</v>
      </c>
      <c r="P220" t="n">
        <v>0</v>
      </c>
      <c r="Q220" t="n">
        <v>0</v>
      </c>
      <c r="R220" s="2" t="inlineStr"/>
    </row>
    <row r="221" ht="15" customHeight="1">
      <c r="A221" t="inlineStr">
        <is>
          <t>A 48644-2024</t>
        </is>
      </c>
      <c r="B221" s="1" t="n">
        <v>45593.47466435185</v>
      </c>
      <c r="C221" s="1" t="n">
        <v>46139</v>
      </c>
      <c r="D221" t="inlineStr">
        <is>
          <t>ÖREBRO LÄN</t>
        </is>
      </c>
      <c r="E221" t="inlineStr">
        <is>
          <t>ÖREBRO</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57867-2024</t>
        </is>
      </c>
      <c r="B222" s="1" t="n">
        <v>45631.43864583333</v>
      </c>
      <c r="C222" s="1" t="n">
        <v>46139</v>
      </c>
      <c r="D222" t="inlineStr">
        <is>
          <t>ÖREBRO LÄN</t>
        </is>
      </c>
      <c r="E222" t="inlineStr">
        <is>
          <t>ÖREBRO</t>
        </is>
      </c>
      <c r="G222" t="n">
        <v>1.5</v>
      </c>
      <c r="H222" t="n">
        <v>0</v>
      </c>
      <c r="I222" t="n">
        <v>0</v>
      </c>
      <c r="J222" t="n">
        <v>0</v>
      </c>
      <c r="K222" t="n">
        <v>0</v>
      </c>
      <c r="L222" t="n">
        <v>0</v>
      </c>
      <c r="M222" t="n">
        <v>0</v>
      </c>
      <c r="N222" t="n">
        <v>0</v>
      </c>
      <c r="O222" t="n">
        <v>0</v>
      </c>
      <c r="P222" t="n">
        <v>0</v>
      </c>
      <c r="Q222" t="n">
        <v>0</v>
      </c>
      <c r="R222" s="2" t="inlineStr"/>
    </row>
    <row r="223" ht="15" customHeight="1">
      <c r="A223" t="inlineStr">
        <is>
          <t>A 33457-2023</t>
        </is>
      </c>
      <c r="B223" s="1" t="n">
        <v>45131</v>
      </c>
      <c r="C223" s="1" t="n">
        <v>46139</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7141-2025</t>
        </is>
      </c>
      <c r="B224" s="1" t="n">
        <v>45702</v>
      </c>
      <c r="C224" s="1" t="n">
        <v>46139</v>
      </c>
      <c r="D224" t="inlineStr">
        <is>
          <t>ÖREBRO LÄN</t>
        </is>
      </c>
      <c r="E224" t="inlineStr">
        <is>
          <t>ÖREBRO</t>
        </is>
      </c>
      <c r="G224" t="n">
        <v>2.9</v>
      </c>
      <c r="H224" t="n">
        <v>0</v>
      </c>
      <c r="I224" t="n">
        <v>0</v>
      </c>
      <c r="J224" t="n">
        <v>0</v>
      </c>
      <c r="K224" t="n">
        <v>0</v>
      </c>
      <c r="L224" t="n">
        <v>0</v>
      </c>
      <c r="M224" t="n">
        <v>0</v>
      </c>
      <c r="N224" t="n">
        <v>0</v>
      </c>
      <c r="O224" t="n">
        <v>0</v>
      </c>
      <c r="P224" t="n">
        <v>0</v>
      </c>
      <c r="Q224" t="n">
        <v>0</v>
      </c>
      <c r="R224" s="2" t="inlineStr"/>
    </row>
    <row r="225" ht="15" customHeight="1">
      <c r="A225" t="inlineStr">
        <is>
          <t>A 16739-2023</t>
        </is>
      </c>
      <c r="B225" s="1" t="n">
        <v>45030.72627314815</v>
      </c>
      <c r="C225" s="1" t="n">
        <v>46139</v>
      </c>
      <c r="D225" t="inlineStr">
        <is>
          <t>ÖREBRO LÄN</t>
        </is>
      </c>
      <c r="E225" t="inlineStr">
        <is>
          <t>ÖREBRO</t>
        </is>
      </c>
      <c r="G225" t="n">
        <v>1.2</v>
      </c>
      <c r="H225" t="n">
        <v>0</v>
      </c>
      <c r="I225" t="n">
        <v>0</v>
      </c>
      <c r="J225" t="n">
        <v>0</v>
      </c>
      <c r="K225" t="n">
        <v>0</v>
      </c>
      <c r="L225" t="n">
        <v>0</v>
      </c>
      <c r="M225" t="n">
        <v>0</v>
      </c>
      <c r="N225" t="n">
        <v>0</v>
      </c>
      <c r="O225" t="n">
        <v>0</v>
      </c>
      <c r="P225" t="n">
        <v>0</v>
      </c>
      <c r="Q225" t="n">
        <v>0</v>
      </c>
      <c r="R225" s="2" t="inlineStr"/>
    </row>
    <row r="226" ht="15" customHeight="1">
      <c r="A226" t="inlineStr">
        <is>
          <t>A 13355-2023</t>
        </is>
      </c>
      <c r="B226" s="1" t="n">
        <v>45004</v>
      </c>
      <c r="C226" s="1" t="n">
        <v>46139</v>
      </c>
      <c r="D226" t="inlineStr">
        <is>
          <t>ÖREBRO LÄN</t>
        </is>
      </c>
      <c r="E226" t="inlineStr">
        <is>
          <t>ÖREBRO</t>
        </is>
      </c>
      <c r="G226" t="n">
        <v>2.3</v>
      </c>
      <c r="H226" t="n">
        <v>0</v>
      </c>
      <c r="I226" t="n">
        <v>0</v>
      </c>
      <c r="J226" t="n">
        <v>0</v>
      </c>
      <c r="K226" t="n">
        <v>0</v>
      </c>
      <c r="L226" t="n">
        <v>0</v>
      </c>
      <c r="M226" t="n">
        <v>0</v>
      </c>
      <c r="N226" t="n">
        <v>0</v>
      </c>
      <c r="O226" t="n">
        <v>0</v>
      </c>
      <c r="P226" t="n">
        <v>0</v>
      </c>
      <c r="Q226" t="n">
        <v>0</v>
      </c>
      <c r="R226" s="2" t="inlineStr"/>
    </row>
    <row r="227" ht="15" customHeight="1">
      <c r="A227" t="inlineStr">
        <is>
          <t>A 14544-2023</t>
        </is>
      </c>
      <c r="B227" s="1" t="n">
        <v>45013</v>
      </c>
      <c r="C227" s="1" t="n">
        <v>46139</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71272-2021</t>
        </is>
      </c>
      <c r="B228" s="1" t="n">
        <v>44539.61571759259</v>
      </c>
      <c r="C228" s="1" t="n">
        <v>46139</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22677-2022</t>
        </is>
      </c>
      <c r="B229" s="1" t="n">
        <v>44714</v>
      </c>
      <c r="C229" s="1" t="n">
        <v>46139</v>
      </c>
      <c r="D229" t="inlineStr">
        <is>
          <t>ÖREBRO LÄN</t>
        </is>
      </c>
      <c r="E229" t="inlineStr">
        <is>
          <t>ÖREBRO</t>
        </is>
      </c>
      <c r="G229" t="n">
        <v>2.3</v>
      </c>
      <c r="H229" t="n">
        <v>0</v>
      </c>
      <c r="I229" t="n">
        <v>0</v>
      </c>
      <c r="J229" t="n">
        <v>0</v>
      </c>
      <c r="K229" t="n">
        <v>0</v>
      </c>
      <c r="L229" t="n">
        <v>0</v>
      </c>
      <c r="M229" t="n">
        <v>0</v>
      </c>
      <c r="N229" t="n">
        <v>0</v>
      </c>
      <c r="O229" t="n">
        <v>0</v>
      </c>
      <c r="P229" t="n">
        <v>0</v>
      </c>
      <c r="Q229" t="n">
        <v>0</v>
      </c>
      <c r="R229" s="2" t="inlineStr"/>
    </row>
    <row r="230" ht="15" customHeight="1">
      <c r="A230" t="inlineStr">
        <is>
          <t>A 13169-2024</t>
        </is>
      </c>
      <c r="B230" s="1" t="n">
        <v>45386.40489583334</v>
      </c>
      <c r="C230" s="1" t="n">
        <v>46139</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23710-2022</t>
        </is>
      </c>
      <c r="B231" s="1" t="n">
        <v>44722</v>
      </c>
      <c r="C231" s="1" t="n">
        <v>46139</v>
      </c>
      <c r="D231" t="inlineStr">
        <is>
          <t>ÖREBRO LÄN</t>
        </is>
      </c>
      <c r="E231" t="inlineStr">
        <is>
          <t>ÖREBRO</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3120-2022</t>
        </is>
      </c>
      <c r="B232" s="1" t="n">
        <v>44582</v>
      </c>
      <c r="C232" s="1" t="n">
        <v>46139</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19388-2024</t>
        </is>
      </c>
      <c r="B233" s="1" t="n">
        <v>45429.37775462963</v>
      </c>
      <c r="C233" s="1" t="n">
        <v>46139</v>
      </c>
      <c r="D233" t="inlineStr">
        <is>
          <t>ÖREBRO LÄN</t>
        </is>
      </c>
      <c r="E233" t="inlineStr">
        <is>
          <t>ÖREBRO</t>
        </is>
      </c>
      <c r="G233" t="n">
        <v>4.3</v>
      </c>
      <c r="H233" t="n">
        <v>0</v>
      </c>
      <c r="I233" t="n">
        <v>0</v>
      </c>
      <c r="J233" t="n">
        <v>0</v>
      </c>
      <c r="K233" t="n">
        <v>0</v>
      </c>
      <c r="L233" t="n">
        <v>0</v>
      </c>
      <c r="M233" t="n">
        <v>0</v>
      </c>
      <c r="N233" t="n">
        <v>0</v>
      </c>
      <c r="O233" t="n">
        <v>0</v>
      </c>
      <c r="P233" t="n">
        <v>0</v>
      </c>
      <c r="Q233" t="n">
        <v>0</v>
      </c>
      <c r="R233" s="2" t="inlineStr"/>
    </row>
    <row r="234" ht="15" customHeight="1">
      <c r="A234" t="inlineStr">
        <is>
          <t>A 4757-2024</t>
        </is>
      </c>
      <c r="B234" s="1" t="n">
        <v>45328</v>
      </c>
      <c r="C234" s="1" t="n">
        <v>46139</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49465-2024</t>
        </is>
      </c>
      <c r="B235" s="1" t="n">
        <v>45596</v>
      </c>
      <c r="C235" s="1" t="n">
        <v>46139</v>
      </c>
      <c r="D235" t="inlineStr">
        <is>
          <t>ÖREBRO LÄN</t>
        </is>
      </c>
      <c r="E235" t="inlineStr">
        <is>
          <t>ÖREBRO</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38842-2022</t>
        </is>
      </c>
      <c r="B236" s="1" t="n">
        <v>44814</v>
      </c>
      <c r="C236" s="1" t="n">
        <v>46139</v>
      </c>
      <c r="D236" t="inlineStr">
        <is>
          <t>ÖREBRO LÄN</t>
        </is>
      </c>
      <c r="E236" t="inlineStr">
        <is>
          <t>ÖREBRO</t>
        </is>
      </c>
      <c r="G236" t="n">
        <v>5</v>
      </c>
      <c r="H236" t="n">
        <v>0</v>
      </c>
      <c r="I236" t="n">
        <v>0</v>
      </c>
      <c r="J236" t="n">
        <v>0</v>
      </c>
      <c r="K236" t="n">
        <v>0</v>
      </c>
      <c r="L236" t="n">
        <v>0</v>
      </c>
      <c r="M236" t="n">
        <v>0</v>
      </c>
      <c r="N236" t="n">
        <v>0</v>
      </c>
      <c r="O236" t="n">
        <v>0</v>
      </c>
      <c r="P236" t="n">
        <v>0</v>
      </c>
      <c r="Q236" t="n">
        <v>0</v>
      </c>
      <c r="R236" s="2" t="inlineStr"/>
    </row>
    <row r="237" ht="15" customHeight="1">
      <c r="A237" t="inlineStr">
        <is>
          <t>A 30903-2024</t>
        </is>
      </c>
      <c r="B237" s="1" t="n">
        <v>45498.49946759259</v>
      </c>
      <c r="C237" s="1" t="n">
        <v>46139</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37022-2024</t>
        </is>
      </c>
      <c r="B238" s="1" t="n">
        <v>45539.3822337963</v>
      </c>
      <c r="C238" s="1" t="n">
        <v>46139</v>
      </c>
      <c r="D238" t="inlineStr">
        <is>
          <t>ÖREBRO LÄN</t>
        </is>
      </c>
      <c r="E238" t="inlineStr">
        <is>
          <t>ÖREBRO</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37024-2024</t>
        </is>
      </c>
      <c r="B239" s="1" t="n">
        <v>45539.38329861111</v>
      </c>
      <c r="C239" s="1" t="n">
        <v>46139</v>
      </c>
      <c r="D239" t="inlineStr">
        <is>
          <t>ÖREBRO LÄN</t>
        </is>
      </c>
      <c r="E239" t="inlineStr">
        <is>
          <t>ÖREBRO</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47193-2023</t>
        </is>
      </c>
      <c r="B240" s="1" t="n">
        <v>45202.3074537037</v>
      </c>
      <c r="C240" s="1" t="n">
        <v>46139</v>
      </c>
      <c r="D240" t="inlineStr">
        <is>
          <t>ÖREBRO LÄN</t>
        </is>
      </c>
      <c r="E240" t="inlineStr">
        <is>
          <t>ÖREBRO</t>
        </is>
      </c>
      <c r="G240" t="n">
        <v>2.4</v>
      </c>
      <c r="H240" t="n">
        <v>0</v>
      </c>
      <c r="I240" t="n">
        <v>0</v>
      </c>
      <c r="J240" t="n">
        <v>0</v>
      </c>
      <c r="K240" t="n">
        <v>0</v>
      </c>
      <c r="L240" t="n">
        <v>0</v>
      </c>
      <c r="M240" t="n">
        <v>0</v>
      </c>
      <c r="N240" t="n">
        <v>0</v>
      </c>
      <c r="O240" t="n">
        <v>0</v>
      </c>
      <c r="P240" t="n">
        <v>0</v>
      </c>
      <c r="Q240" t="n">
        <v>0</v>
      </c>
      <c r="R240" s="2" t="inlineStr"/>
    </row>
    <row r="241" ht="15" customHeight="1">
      <c r="A241" t="inlineStr">
        <is>
          <t>A 59026-2024</t>
        </is>
      </c>
      <c r="B241" s="1" t="n">
        <v>45636.6875</v>
      </c>
      <c r="C241" s="1" t="n">
        <v>46139</v>
      </c>
      <c r="D241" t="inlineStr">
        <is>
          <t>ÖREBRO LÄN</t>
        </is>
      </c>
      <c r="E241" t="inlineStr">
        <is>
          <t>ÖREBRO</t>
        </is>
      </c>
      <c r="G241" t="n">
        <v>0.9</v>
      </c>
      <c r="H241" t="n">
        <v>0</v>
      </c>
      <c r="I241" t="n">
        <v>0</v>
      </c>
      <c r="J241" t="n">
        <v>0</v>
      </c>
      <c r="K241" t="n">
        <v>0</v>
      </c>
      <c r="L241" t="n">
        <v>0</v>
      </c>
      <c r="M241" t="n">
        <v>0</v>
      </c>
      <c r="N241" t="n">
        <v>0</v>
      </c>
      <c r="O241" t="n">
        <v>0</v>
      </c>
      <c r="P241" t="n">
        <v>0</v>
      </c>
      <c r="Q241" t="n">
        <v>0</v>
      </c>
      <c r="R241" s="2" t="inlineStr"/>
    </row>
    <row r="242" ht="15" customHeight="1">
      <c r="A242" t="inlineStr">
        <is>
          <t>A 47047-2022</t>
        </is>
      </c>
      <c r="B242" s="1" t="n">
        <v>44852.39063657408</v>
      </c>
      <c r="C242" s="1" t="n">
        <v>46139</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17465-2023</t>
        </is>
      </c>
      <c r="B243" s="1" t="n">
        <v>45036</v>
      </c>
      <c r="C243" s="1" t="n">
        <v>46139</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40597-2021</t>
        </is>
      </c>
      <c r="B244" s="1" t="n">
        <v>44420</v>
      </c>
      <c r="C244" s="1" t="n">
        <v>46139</v>
      </c>
      <c r="D244" t="inlineStr">
        <is>
          <t>ÖREBRO LÄN</t>
        </is>
      </c>
      <c r="E244" t="inlineStr">
        <is>
          <t>ÖREBRO</t>
        </is>
      </c>
      <c r="G244" t="n">
        <v>2.1</v>
      </c>
      <c r="H244" t="n">
        <v>0</v>
      </c>
      <c r="I244" t="n">
        <v>0</v>
      </c>
      <c r="J244" t="n">
        <v>0</v>
      </c>
      <c r="K244" t="n">
        <v>0</v>
      </c>
      <c r="L244" t="n">
        <v>0</v>
      </c>
      <c r="M244" t="n">
        <v>0</v>
      </c>
      <c r="N244" t="n">
        <v>0</v>
      </c>
      <c r="O244" t="n">
        <v>0</v>
      </c>
      <c r="P244" t="n">
        <v>0</v>
      </c>
      <c r="Q244" t="n">
        <v>0</v>
      </c>
      <c r="R244" s="2" t="inlineStr"/>
    </row>
    <row r="245" ht="15" customHeight="1">
      <c r="A245" t="inlineStr">
        <is>
          <t>A 41412-2025</t>
        </is>
      </c>
      <c r="B245" s="1" t="n">
        <v>45901.3549537037</v>
      </c>
      <c r="C245" s="1" t="n">
        <v>46139</v>
      </c>
      <c r="D245" t="inlineStr">
        <is>
          <t>ÖREBRO LÄN</t>
        </is>
      </c>
      <c r="E245" t="inlineStr">
        <is>
          <t>ÖREBRO</t>
        </is>
      </c>
      <c r="G245" t="n">
        <v>1.1</v>
      </c>
      <c r="H245" t="n">
        <v>0</v>
      </c>
      <c r="I245" t="n">
        <v>0</v>
      </c>
      <c r="J245" t="n">
        <v>0</v>
      </c>
      <c r="K245" t="n">
        <v>0</v>
      </c>
      <c r="L245" t="n">
        <v>0</v>
      </c>
      <c r="M245" t="n">
        <v>0</v>
      </c>
      <c r="N245" t="n">
        <v>0</v>
      </c>
      <c r="O245" t="n">
        <v>0</v>
      </c>
      <c r="P245" t="n">
        <v>0</v>
      </c>
      <c r="Q245" t="n">
        <v>0</v>
      </c>
      <c r="R245" s="2" t="inlineStr"/>
    </row>
    <row r="246" ht="15" customHeight="1">
      <c r="A246" t="inlineStr">
        <is>
          <t>A 36635-2023</t>
        </is>
      </c>
      <c r="B246" s="1" t="n">
        <v>45153</v>
      </c>
      <c r="C246" s="1" t="n">
        <v>46139</v>
      </c>
      <c r="D246" t="inlineStr">
        <is>
          <t>ÖREBRO LÄN</t>
        </is>
      </c>
      <c r="E246" t="inlineStr">
        <is>
          <t>ÖREBRO</t>
        </is>
      </c>
      <c r="G246" t="n">
        <v>1.9</v>
      </c>
      <c r="H246" t="n">
        <v>0</v>
      </c>
      <c r="I246" t="n">
        <v>0</v>
      </c>
      <c r="J246" t="n">
        <v>0</v>
      </c>
      <c r="K246" t="n">
        <v>0</v>
      </c>
      <c r="L246" t="n">
        <v>0</v>
      </c>
      <c r="M246" t="n">
        <v>0</v>
      </c>
      <c r="N246" t="n">
        <v>0</v>
      </c>
      <c r="O246" t="n">
        <v>0</v>
      </c>
      <c r="P246" t="n">
        <v>0</v>
      </c>
      <c r="Q246" t="n">
        <v>0</v>
      </c>
      <c r="R246" s="2" t="inlineStr"/>
    </row>
    <row r="247" ht="15" customHeight="1">
      <c r="A247" t="inlineStr">
        <is>
          <t>A 41669-2025</t>
        </is>
      </c>
      <c r="B247" s="1" t="n">
        <v>45902.36149305556</v>
      </c>
      <c r="C247" s="1" t="n">
        <v>46139</v>
      </c>
      <c r="D247" t="inlineStr">
        <is>
          <t>ÖREBRO LÄN</t>
        </is>
      </c>
      <c r="E247" t="inlineStr">
        <is>
          <t>ÖREBRO</t>
        </is>
      </c>
      <c r="G247" t="n">
        <v>2.8</v>
      </c>
      <c r="H247" t="n">
        <v>0</v>
      </c>
      <c r="I247" t="n">
        <v>0</v>
      </c>
      <c r="J247" t="n">
        <v>0</v>
      </c>
      <c r="K247" t="n">
        <v>0</v>
      </c>
      <c r="L247" t="n">
        <v>0</v>
      </c>
      <c r="M247" t="n">
        <v>0</v>
      </c>
      <c r="N247" t="n">
        <v>0</v>
      </c>
      <c r="O247" t="n">
        <v>0</v>
      </c>
      <c r="P247" t="n">
        <v>0</v>
      </c>
      <c r="Q247" t="n">
        <v>0</v>
      </c>
      <c r="R247" s="2" t="inlineStr"/>
    </row>
    <row r="248" ht="15" customHeight="1">
      <c r="A248" t="inlineStr">
        <is>
          <t>A 681-2024</t>
        </is>
      </c>
      <c r="B248" s="1" t="n">
        <v>45300</v>
      </c>
      <c r="C248" s="1" t="n">
        <v>46139</v>
      </c>
      <c r="D248" t="inlineStr">
        <is>
          <t>ÖREBRO LÄN</t>
        </is>
      </c>
      <c r="E248" t="inlineStr">
        <is>
          <t>ÖREBRO</t>
        </is>
      </c>
      <c r="G248" t="n">
        <v>3.3</v>
      </c>
      <c r="H248" t="n">
        <v>0</v>
      </c>
      <c r="I248" t="n">
        <v>0</v>
      </c>
      <c r="J248" t="n">
        <v>0</v>
      </c>
      <c r="K248" t="n">
        <v>0</v>
      </c>
      <c r="L248" t="n">
        <v>0</v>
      </c>
      <c r="M248" t="n">
        <v>0</v>
      </c>
      <c r="N248" t="n">
        <v>0</v>
      </c>
      <c r="O248" t="n">
        <v>0</v>
      </c>
      <c r="P248" t="n">
        <v>0</v>
      </c>
      <c r="Q248" t="n">
        <v>0</v>
      </c>
      <c r="R248" s="2" t="inlineStr"/>
    </row>
    <row r="249" ht="15" customHeight="1">
      <c r="A249" t="inlineStr">
        <is>
          <t>A 58598-2022</t>
        </is>
      </c>
      <c r="B249" s="1" t="n">
        <v>44902</v>
      </c>
      <c r="C249" s="1" t="n">
        <v>46139</v>
      </c>
      <c r="D249" t="inlineStr">
        <is>
          <t>ÖREBRO LÄN</t>
        </is>
      </c>
      <c r="E249" t="inlineStr">
        <is>
          <t>ÖREBRO</t>
        </is>
      </c>
      <c r="G249" t="n">
        <v>0.4</v>
      </c>
      <c r="H249" t="n">
        <v>0</v>
      </c>
      <c r="I249" t="n">
        <v>0</v>
      </c>
      <c r="J249" t="n">
        <v>0</v>
      </c>
      <c r="K249" t="n">
        <v>0</v>
      </c>
      <c r="L249" t="n">
        <v>0</v>
      </c>
      <c r="M249" t="n">
        <v>0</v>
      </c>
      <c r="N249" t="n">
        <v>0</v>
      </c>
      <c r="O249" t="n">
        <v>0</v>
      </c>
      <c r="P249" t="n">
        <v>0</v>
      </c>
      <c r="Q249" t="n">
        <v>0</v>
      </c>
      <c r="R249" s="2" t="inlineStr"/>
    </row>
    <row r="250" ht="15" customHeight="1">
      <c r="A250" t="inlineStr">
        <is>
          <t>A 13158-2024</t>
        </is>
      </c>
      <c r="B250" s="1" t="n">
        <v>45386.38728009259</v>
      </c>
      <c r="C250" s="1" t="n">
        <v>46139</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51331-2023</t>
        </is>
      </c>
      <c r="B251" s="1" t="n">
        <v>45219</v>
      </c>
      <c r="C251" s="1" t="n">
        <v>46139</v>
      </c>
      <c r="D251" t="inlineStr">
        <is>
          <t>ÖREBRO LÄN</t>
        </is>
      </c>
      <c r="E251" t="inlineStr">
        <is>
          <t>ÖREBRO</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21097-2025</t>
        </is>
      </c>
      <c r="B252" s="1" t="n">
        <v>45777.63863425926</v>
      </c>
      <c r="C252" s="1" t="n">
        <v>46139</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2318-2023</t>
        </is>
      </c>
      <c r="B253" s="1" t="n">
        <v>44942</v>
      </c>
      <c r="C253" s="1" t="n">
        <v>46139</v>
      </c>
      <c r="D253" t="inlineStr">
        <is>
          <t>ÖREBRO LÄN</t>
        </is>
      </c>
      <c r="E253" t="inlineStr">
        <is>
          <t>ÖREBRO</t>
        </is>
      </c>
      <c r="G253" t="n">
        <v>1.9</v>
      </c>
      <c r="H253" t="n">
        <v>0</v>
      </c>
      <c r="I253" t="n">
        <v>0</v>
      </c>
      <c r="J253" t="n">
        <v>0</v>
      </c>
      <c r="K253" t="n">
        <v>0</v>
      </c>
      <c r="L253" t="n">
        <v>0</v>
      </c>
      <c r="M253" t="n">
        <v>0</v>
      </c>
      <c r="N253" t="n">
        <v>0</v>
      </c>
      <c r="O253" t="n">
        <v>0</v>
      </c>
      <c r="P253" t="n">
        <v>0</v>
      </c>
      <c r="Q253" t="n">
        <v>0</v>
      </c>
      <c r="R253" s="2" t="inlineStr"/>
    </row>
    <row r="254" ht="15" customHeight="1">
      <c r="A254" t="inlineStr">
        <is>
          <t>A 34874-2022</t>
        </is>
      </c>
      <c r="B254" s="1" t="n">
        <v>44796</v>
      </c>
      <c r="C254" s="1" t="n">
        <v>46139</v>
      </c>
      <c r="D254" t="inlineStr">
        <is>
          <t>ÖREBRO LÄN</t>
        </is>
      </c>
      <c r="E254" t="inlineStr">
        <is>
          <t>ÖREBRO</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20121-2024</t>
        </is>
      </c>
      <c r="B255" s="1" t="n">
        <v>45434</v>
      </c>
      <c r="C255" s="1" t="n">
        <v>46139</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20150-2024</t>
        </is>
      </c>
      <c r="B256" s="1" t="n">
        <v>45434.57969907407</v>
      </c>
      <c r="C256" s="1" t="n">
        <v>46139</v>
      </c>
      <c r="D256" t="inlineStr">
        <is>
          <t>ÖREBRO LÄN</t>
        </is>
      </c>
      <c r="E256" t="inlineStr">
        <is>
          <t>ÖREBRO</t>
        </is>
      </c>
      <c r="G256" t="n">
        <v>0.5</v>
      </c>
      <c r="H256" t="n">
        <v>0</v>
      </c>
      <c r="I256" t="n">
        <v>0</v>
      </c>
      <c r="J256" t="n">
        <v>0</v>
      </c>
      <c r="K256" t="n">
        <v>0</v>
      </c>
      <c r="L256" t="n">
        <v>0</v>
      </c>
      <c r="M256" t="n">
        <v>0</v>
      </c>
      <c r="N256" t="n">
        <v>0</v>
      </c>
      <c r="O256" t="n">
        <v>0</v>
      </c>
      <c r="P256" t="n">
        <v>0</v>
      </c>
      <c r="Q256" t="n">
        <v>0</v>
      </c>
      <c r="R256" s="2" t="inlineStr"/>
    </row>
    <row r="257" ht="15" customHeight="1">
      <c r="A257" t="inlineStr">
        <is>
          <t>A 852-2025</t>
        </is>
      </c>
      <c r="B257" s="1" t="n">
        <v>45665.60148148148</v>
      </c>
      <c r="C257" s="1" t="n">
        <v>46139</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767-2024</t>
        </is>
      </c>
      <c r="B258" s="1" t="n">
        <v>45300.51892361111</v>
      </c>
      <c r="C258" s="1" t="n">
        <v>46139</v>
      </c>
      <c r="D258" t="inlineStr">
        <is>
          <t>ÖREBRO LÄN</t>
        </is>
      </c>
      <c r="E258" t="inlineStr">
        <is>
          <t>ÖREBRO</t>
        </is>
      </c>
      <c r="G258" t="n">
        <v>2</v>
      </c>
      <c r="H258" t="n">
        <v>0</v>
      </c>
      <c r="I258" t="n">
        <v>0</v>
      </c>
      <c r="J258" t="n">
        <v>0</v>
      </c>
      <c r="K258" t="n">
        <v>0</v>
      </c>
      <c r="L258" t="n">
        <v>0</v>
      </c>
      <c r="M258" t="n">
        <v>0</v>
      </c>
      <c r="N258" t="n">
        <v>0</v>
      </c>
      <c r="O258" t="n">
        <v>0</v>
      </c>
      <c r="P258" t="n">
        <v>0</v>
      </c>
      <c r="Q258" t="n">
        <v>0</v>
      </c>
      <c r="R258" s="2" t="inlineStr"/>
    </row>
    <row r="259" ht="15" customHeight="1">
      <c r="A259" t="inlineStr">
        <is>
          <t>A 35819-2024</t>
        </is>
      </c>
      <c r="B259" s="1" t="n">
        <v>45532</v>
      </c>
      <c r="C259" s="1" t="n">
        <v>46139</v>
      </c>
      <c r="D259" t="inlineStr">
        <is>
          <t>ÖREBRO LÄN</t>
        </is>
      </c>
      <c r="E259" t="inlineStr">
        <is>
          <t>ÖREBRO</t>
        </is>
      </c>
      <c r="G259" t="n">
        <v>6.4</v>
      </c>
      <c r="H259" t="n">
        <v>0</v>
      </c>
      <c r="I259" t="n">
        <v>0</v>
      </c>
      <c r="J259" t="n">
        <v>0</v>
      </c>
      <c r="K259" t="n">
        <v>0</v>
      </c>
      <c r="L259" t="n">
        <v>0</v>
      </c>
      <c r="M259" t="n">
        <v>0</v>
      </c>
      <c r="N259" t="n">
        <v>0</v>
      </c>
      <c r="O259" t="n">
        <v>0</v>
      </c>
      <c r="P259" t="n">
        <v>0</v>
      </c>
      <c r="Q259" t="n">
        <v>0</v>
      </c>
      <c r="R259" s="2" t="inlineStr"/>
    </row>
    <row r="260" ht="15" customHeight="1">
      <c r="A260" t="inlineStr">
        <is>
          <t>A 52441-2024</t>
        </is>
      </c>
      <c r="B260" s="1" t="n">
        <v>45609.48451388889</v>
      </c>
      <c r="C260" s="1" t="n">
        <v>46139</v>
      </c>
      <c r="D260" t="inlineStr">
        <is>
          <t>ÖREBRO LÄN</t>
        </is>
      </c>
      <c r="E260" t="inlineStr">
        <is>
          <t>ÖREBRO</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58611-2024</t>
        </is>
      </c>
      <c r="B261" s="1" t="n">
        <v>45635.55555555555</v>
      </c>
      <c r="C261" s="1" t="n">
        <v>46139</v>
      </c>
      <c r="D261" t="inlineStr">
        <is>
          <t>ÖREBRO LÄN</t>
        </is>
      </c>
      <c r="E261" t="inlineStr">
        <is>
          <t>ÖREBRO</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38583-2023</t>
        </is>
      </c>
      <c r="B262" s="1" t="n">
        <v>45162.62861111111</v>
      </c>
      <c r="C262" s="1" t="n">
        <v>46139</v>
      </c>
      <c r="D262" t="inlineStr">
        <is>
          <t>ÖREBRO LÄN</t>
        </is>
      </c>
      <c r="E262" t="inlineStr">
        <is>
          <t>ÖREBRO</t>
        </is>
      </c>
      <c r="G262" t="n">
        <v>5.7</v>
      </c>
      <c r="H262" t="n">
        <v>0</v>
      </c>
      <c r="I262" t="n">
        <v>0</v>
      </c>
      <c r="J262" t="n">
        <v>0</v>
      </c>
      <c r="K262" t="n">
        <v>0</v>
      </c>
      <c r="L262" t="n">
        <v>0</v>
      </c>
      <c r="M262" t="n">
        <v>0</v>
      </c>
      <c r="N262" t="n">
        <v>0</v>
      </c>
      <c r="O262" t="n">
        <v>0</v>
      </c>
      <c r="P262" t="n">
        <v>0</v>
      </c>
      <c r="Q262" t="n">
        <v>0</v>
      </c>
      <c r="R262" s="2" t="inlineStr"/>
    </row>
    <row r="263" ht="15" customHeight="1">
      <c r="A263" t="inlineStr">
        <is>
          <t>A 55745-2023</t>
        </is>
      </c>
      <c r="B263" s="1" t="n">
        <v>45239.44811342593</v>
      </c>
      <c r="C263" s="1" t="n">
        <v>46139</v>
      </c>
      <c r="D263" t="inlineStr">
        <is>
          <t>ÖREBRO LÄN</t>
        </is>
      </c>
      <c r="E263" t="inlineStr">
        <is>
          <t>ÖREBRO</t>
        </is>
      </c>
      <c r="G263" t="n">
        <v>13.3</v>
      </c>
      <c r="H263" t="n">
        <v>0</v>
      </c>
      <c r="I263" t="n">
        <v>0</v>
      </c>
      <c r="J263" t="n">
        <v>0</v>
      </c>
      <c r="K263" t="n">
        <v>0</v>
      </c>
      <c r="L263" t="n">
        <v>0</v>
      </c>
      <c r="M263" t="n">
        <v>0</v>
      </c>
      <c r="N263" t="n">
        <v>0</v>
      </c>
      <c r="O263" t="n">
        <v>0</v>
      </c>
      <c r="P263" t="n">
        <v>0</v>
      </c>
      <c r="Q263" t="n">
        <v>0</v>
      </c>
      <c r="R263" s="2" t="inlineStr"/>
    </row>
    <row r="264" ht="15" customHeight="1">
      <c r="A264" t="inlineStr">
        <is>
          <t>A 32076-2023</t>
        </is>
      </c>
      <c r="B264" s="1" t="n">
        <v>45119.58324074074</v>
      </c>
      <c r="C264" s="1" t="n">
        <v>46139</v>
      </c>
      <c r="D264" t="inlineStr">
        <is>
          <t>ÖREBRO LÄN</t>
        </is>
      </c>
      <c r="E264" t="inlineStr">
        <is>
          <t>ÖREBRO</t>
        </is>
      </c>
      <c r="G264" t="n">
        <v>1.1</v>
      </c>
      <c r="H264" t="n">
        <v>0</v>
      </c>
      <c r="I264" t="n">
        <v>0</v>
      </c>
      <c r="J264" t="n">
        <v>0</v>
      </c>
      <c r="K264" t="n">
        <v>0</v>
      </c>
      <c r="L264" t="n">
        <v>0</v>
      </c>
      <c r="M264" t="n">
        <v>0</v>
      </c>
      <c r="N264" t="n">
        <v>0</v>
      </c>
      <c r="O264" t="n">
        <v>0</v>
      </c>
      <c r="P264" t="n">
        <v>0</v>
      </c>
      <c r="Q264" t="n">
        <v>0</v>
      </c>
      <c r="R264" s="2" t="inlineStr"/>
    </row>
    <row r="265" ht="15" customHeight="1">
      <c r="A265" t="inlineStr">
        <is>
          <t>A 38573-2023</t>
        </is>
      </c>
      <c r="B265" s="1" t="n">
        <v>45162.61837962963</v>
      </c>
      <c r="C265" s="1" t="n">
        <v>46139</v>
      </c>
      <c r="D265" t="inlineStr">
        <is>
          <t>ÖREBRO LÄN</t>
        </is>
      </c>
      <c r="E265" t="inlineStr">
        <is>
          <t>ÖREBRO</t>
        </is>
      </c>
      <c r="G265" t="n">
        <v>2.2</v>
      </c>
      <c r="H265" t="n">
        <v>0</v>
      </c>
      <c r="I265" t="n">
        <v>0</v>
      </c>
      <c r="J265" t="n">
        <v>0</v>
      </c>
      <c r="K265" t="n">
        <v>0</v>
      </c>
      <c r="L265" t="n">
        <v>0</v>
      </c>
      <c r="M265" t="n">
        <v>0</v>
      </c>
      <c r="N265" t="n">
        <v>0</v>
      </c>
      <c r="O265" t="n">
        <v>0</v>
      </c>
      <c r="P265" t="n">
        <v>0</v>
      </c>
      <c r="Q265" t="n">
        <v>0</v>
      </c>
      <c r="R265" s="2" t="inlineStr"/>
    </row>
    <row r="266" ht="15" customHeight="1">
      <c r="A266" t="inlineStr">
        <is>
          <t>A 21338-2025</t>
        </is>
      </c>
      <c r="B266" s="1" t="n">
        <v>45780</v>
      </c>
      <c r="C266" s="1" t="n">
        <v>46139</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13856-2022</t>
        </is>
      </c>
      <c r="B267" s="1" t="n">
        <v>44649.6965162037</v>
      </c>
      <c r="C267" s="1" t="n">
        <v>46139</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52256-2023</t>
        </is>
      </c>
      <c r="B268" s="1" t="n">
        <v>45224.51471064815</v>
      </c>
      <c r="C268" s="1" t="n">
        <v>46139</v>
      </c>
      <c r="D268" t="inlineStr">
        <is>
          <t>ÖREBRO LÄN</t>
        </is>
      </c>
      <c r="E268" t="inlineStr">
        <is>
          <t>ÖREBRO</t>
        </is>
      </c>
      <c r="G268" t="n">
        <v>2.8</v>
      </c>
      <c r="H268" t="n">
        <v>0</v>
      </c>
      <c r="I268" t="n">
        <v>0</v>
      </c>
      <c r="J268" t="n">
        <v>0</v>
      </c>
      <c r="K268" t="n">
        <v>0</v>
      </c>
      <c r="L268" t="n">
        <v>0</v>
      </c>
      <c r="M268" t="n">
        <v>0</v>
      </c>
      <c r="N268" t="n">
        <v>0</v>
      </c>
      <c r="O268" t="n">
        <v>0</v>
      </c>
      <c r="P268" t="n">
        <v>0</v>
      </c>
      <c r="Q268" t="n">
        <v>0</v>
      </c>
      <c r="R268" s="2" t="inlineStr"/>
    </row>
    <row r="269" ht="15" customHeight="1">
      <c r="A269" t="inlineStr">
        <is>
          <t>A 58644-2023</t>
        </is>
      </c>
      <c r="B269" s="1" t="n">
        <v>45251.58716435185</v>
      </c>
      <c r="C269" s="1" t="n">
        <v>46139</v>
      </c>
      <c r="D269" t="inlineStr">
        <is>
          <t>ÖREBRO LÄN</t>
        </is>
      </c>
      <c r="E269" t="inlineStr">
        <is>
          <t>ÖREBRO</t>
        </is>
      </c>
      <c r="F269" t="inlineStr">
        <is>
          <t>Övriga Aktiebolag</t>
        </is>
      </c>
      <c r="G269" t="n">
        <v>1.9</v>
      </c>
      <c r="H269" t="n">
        <v>0</v>
      </c>
      <c r="I269" t="n">
        <v>0</v>
      </c>
      <c r="J269" t="n">
        <v>0</v>
      </c>
      <c r="K269" t="n">
        <v>0</v>
      </c>
      <c r="L269" t="n">
        <v>0</v>
      </c>
      <c r="M269" t="n">
        <v>0</v>
      </c>
      <c r="N269" t="n">
        <v>0</v>
      </c>
      <c r="O269" t="n">
        <v>0</v>
      </c>
      <c r="P269" t="n">
        <v>0</v>
      </c>
      <c r="Q269" t="n">
        <v>0</v>
      </c>
      <c r="R269" s="2" t="inlineStr"/>
    </row>
    <row r="270" ht="15" customHeight="1">
      <c r="A270" t="inlineStr">
        <is>
          <t>A 60289-2023</t>
        </is>
      </c>
      <c r="B270" s="1" t="n">
        <v>45257</v>
      </c>
      <c r="C270" s="1" t="n">
        <v>46139</v>
      </c>
      <c r="D270" t="inlineStr">
        <is>
          <t>ÖREBRO LÄN</t>
        </is>
      </c>
      <c r="E270" t="inlineStr">
        <is>
          <t>ÖREBRO</t>
        </is>
      </c>
      <c r="G270" t="n">
        <v>10.9</v>
      </c>
      <c r="H270" t="n">
        <v>0</v>
      </c>
      <c r="I270" t="n">
        <v>0</v>
      </c>
      <c r="J270" t="n">
        <v>0</v>
      </c>
      <c r="K270" t="n">
        <v>0</v>
      </c>
      <c r="L270" t="n">
        <v>0</v>
      </c>
      <c r="M270" t="n">
        <v>0</v>
      </c>
      <c r="N270" t="n">
        <v>0</v>
      </c>
      <c r="O270" t="n">
        <v>0</v>
      </c>
      <c r="P270" t="n">
        <v>0</v>
      </c>
      <c r="Q270" t="n">
        <v>0</v>
      </c>
      <c r="R270" s="2" t="inlineStr"/>
    </row>
    <row r="271" ht="15" customHeight="1">
      <c r="A271" t="inlineStr">
        <is>
          <t>A 12017-2024</t>
        </is>
      </c>
      <c r="B271" s="1" t="n">
        <v>45377</v>
      </c>
      <c r="C271" s="1" t="n">
        <v>46139</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54678-2023</t>
        </is>
      </c>
      <c r="B272" s="1" t="n">
        <v>45235</v>
      </c>
      <c r="C272" s="1" t="n">
        <v>46139</v>
      </c>
      <c r="D272" t="inlineStr">
        <is>
          <t>ÖREBRO LÄN</t>
        </is>
      </c>
      <c r="E272" t="inlineStr">
        <is>
          <t>ÖREBRO</t>
        </is>
      </c>
      <c r="G272" t="n">
        <v>1.7</v>
      </c>
      <c r="H272" t="n">
        <v>0</v>
      </c>
      <c r="I272" t="n">
        <v>0</v>
      </c>
      <c r="J272" t="n">
        <v>0</v>
      </c>
      <c r="K272" t="n">
        <v>0</v>
      </c>
      <c r="L272" t="n">
        <v>0</v>
      </c>
      <c r="M272" t="n">
        <v>0</v>
      </c>
      <c r="N272" t="n">
        <v>0</v>
      </c>
      <c r="O272" t="n">
        <v>0</v>
      </c>
      <c r="P272" t="n">
        <v>0</v>
      </c>
      <c r="Q272" t="n">
        <v>0</v>
      </c>
      <c r="R272" s="2" t="inlineStr"/>
    </row>
    <row r="273" ht="15" customHeight="1">
      <c r="A273" t="inlineStr">
        <is>
          <t>A 190-2024</t>
        </is>
      </c>
      <c r="B273" s="1" t="n">
        <v>45294.61858796296</v>
      </c>
      <c r="C273" s="1" t="n">
        <v>46139</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44511-2023</t>
        </is>
      </c>
      <c r="B274" s="1" t="n">
        <v>45189</v>
      </c>
      <c r="C274" s="1" t="n">
        <v>46139</v>
      </c>
      <c r="D274" t="inlineStr">
        <is>
          <t>ÖREBRO LÄN</t>
        </is>
      </c>
      <c r="E274" t="inlineStr">
        <is>
          <t>ÖREBRO</t>
        </is>
      </c>
      <c r="F274" t="inlineStr">
        <is>
          <t>Allmännings- och besparingsskogar</t>
        </is>
      </c>
      <c r="G274" t="n">
        <v>2.7</v>
      </c>
      <c r="H274" t="n">
        <v>0</v>
      </c>
      <c r="I274" t="n">
        <v>0</v>
      </c>
      <c r="J274" t="n">
        <v>0</v>
      </c>
      <c r="K274" t="n">
        <v>0</v>
      </c>
      <c r="L274" t="n">
        <v>0</v>
      </c>
      <c r="M274" t="n">
        <v>0</v>
      </c>
      <c r="N274" t="n">
        <v>0</v>
      </c>
      <c r="O274" t="n">
        <v>0</v>
      </c>
      <c r="P274" t="n">
        <v>0</v>
      </c>
      <c r="Q274" t="n">
        <v>0</v>
      </c>
      <c r="R274" s="2" t="inlineStr"/>
    </row>
    <row r="275" ht="15" customHeight="1">
      <c r="A275" t="inlineStr">
        <is>
          <t>A 22719-2025</t>
        </is>
      </c>
      <c r="B275" s="1" t="n">
        <v>45789</v>
      </c>
      <c r="C275" s="1" t="n">
        <v>46139</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764-2024</t>
        </is>
      </c>
      <c r="B276" s="1" t="n">
        <v>45300.51512731481</v>
      </c>
      <c r="C276" s="1" t="n">
        <v>46139</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46139</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22755-2025</t>
        </is>
      </c>
      <c r="B278" s="1" t="n">
        <v>45789.61872685186</v>
      </c>
      <c r="C278" s="1" t="n">
        <v>46139</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52447-2024</t>
        </is>
      </c>
      <c r="B279" s="1" t="n">
        <v>45609.49157407408</v>
      </c>
      <c r="C279" s="1" t="n">
        <v>46139</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43803-2023</t>
        </is>
      </c>
      <c r="B280" s="1" t="n">
        <v>45187</v>
      </c>
      <c r="C280" s="1" t="n">
        <v>46139</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55943-2024</t>
        </is>
      </c>
      <c r="B281" s="1" t="n">
        <v>45623.61278935185</v>
      </c>
      <c r="C281" s="1" t="n">
        <v>46139</v>
      </c>
      <c r="D281" t="inlineStr">
        <is>
          <t>ÖREBRO LÄN</t>
        </is>
      </c>
      <c r="E281" t="inlineStr">
        <is>
          <t>ÖREBRO</t>
        </is>
      </c>
      <c r="G281" t="n">
        <v>4.8</v>
      </c>
      <c r="H281" t="n">
        <v>0</v>
      </c>
      <c r="I281" t="n">
        <v>0</v>
      </c>
      <c r="J281" t="n">
        <v>0</v>
      </c>
      <c r="K281" t="n">
        <v>0</v>
      </c>
      <c r="L281" t="n">
        <v>0</v>
      </c>
      <c r="M281" t="n">
        <v>0</v>
      </c>
      <c r="N281" t="n">
        <v>0</v>
      </c>
      <c r="O281" t="n">
        <v>0</v>
      </c>
      <c r="P281" t="n">
        <v>0</v>
      </c>
      <c r="Q281" t="n">
        <v>0</v>
      </c>
      <c r="R281" s="2" t="inlineStr"/>
    </row>
    <row r="282" ht="15" customHeight="1">
      <c r="A282" t="inlineStr">
        <is>
          <t>A 19831-2021</t>
        </is>
      </c>
      <c r="B282" s="1" t="n">
        <v>44313</v>
      </c>
      <c r="C282" s="1" t="n">
        <v>46139</v>
      </c>
      <c r="D282" t="inlineStr">
        <is>
          <t>ÖREBRO LÄN</t>
        </is>
      </c>
      <c r="E282" t="inlineStr">
        <is>
          <t>ÖREBRO</t>
        </is>
      </c>
      <c r="G282" t="n">
        <v>3.2</v>
      </c>
      <c r="H282" t="n">
        <v>0</v>
      </c>
      <c r="I282" t="n">
        <v>0</v>
      </c>
      <c r="J282" t="n">
        <v>0</v>
      </c>
      <c r="K282" t="n">
        <v>0</v>
      </c>
      <c r="L282" t="n">
        <v>0</v>
      </c>
      <c r="M282" t="n">
        <v>0</v>
      </c>
      <c r="N282" t="n">
        <v>0</v>
      </c>
      <c r="O282" t="n">
        <v>0</v>
      </c>
      <c r="P282" t="n">
        <v>0</v>
      </c>
      <c r="Q282" t="n">
        <v>0</v>
      </c>
      <c r="R282" s="2" t="inlineStr"/>
    </row>
    <row r="283" ht="15" customHeight="1">
      <c r="A283" t="inlineStr">
        <is>
          <t>A 34336-2024</t>
        </is>
      </c>
      <c r="B283" s="1" t="n">
        <v>45524.94774305556</v>
      </c>
      <c r="C283" s="1" t="n">
        <v>46139</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5133-2024</t>
        </is>
      </c>
      <c r="B284" s="1" t="n">
        <v>45330</v>
      </c>
      <c r="C284" s="1" t="n">
        <v>46139</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58219-2024</t>
        </is>
      </c>
      <c r="B285" s="1" t="n">
        <v>45632</v>
      </c>
      <c r="C285" s="1" t="n">
        <v>46139</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44960-2025</t>
        </is>
      </c>
      <c r="B286" s="1" t="n">
        <v>45918.61577546296</v>
      </c>
      <c r="C286" s="1" t="n">
        <v>46139</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15555-2025</t>
        </is>
      </c>
      <c r="B287" s="1" t="n">
        <v>45747.67768518518</v>
      </c>
      <c r="C287" s="1" t="n">
        <v>46139</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61279-2024</t>
        </is>
      </c>
      <c r="B288" s="1" t="n">
        <v>45645</v>
      </c>
      <c r="C288" s="1" t="n">
        <v>46139</v>
      </c>
      <c r="D288" t="inlineStr">
        <is>
          <t>ÖREBRO LÄN</t>
        </is>
      </c>
      <c r="E288" t="inlineStr">
        <is>
          <t>ÖREBRO</t>
        </is>
      </c>
      <c r="G288" t="n">
        <v>0.7</v>
      </c>
      <c r="H288" t="n">
        <v>0</v>
      </c>
      <c r="I288" t="n">
        <v>0</v>
      </c>
      <c r="J288" t="n">
        <v>0</v>
      </c>
      <c r="K288" t="n">
        <v>0</v>
      </c>
      <c r="L288" t="n">
        <v>0</v>
      </c>
      <c r="M288" t="n">
        <v>0</v>
      </c>
      <c r="N288" t="n">
        <v>0</v>
      </c>
      <c r="O288" t="n">
        <v>0</v>
      </c>
      <c r="P288" t="n">
        <v>0</v>
      </c>
      <c r="Q288" t="n">
        <v>0</v>
      </c>
      <c r="R288" s="2" t="inlineStr"/>
    </row>
    <row r="289" ht="15" customHeight="1">
      <c r="A289" t="inlineStr">
        <is>
          <t>A 38790-2024</t>
        </is>
      </c>
      <c r="B289" s="1" t="n">
        <v>45547.48450231482</v>
      </c>
      <c r="C289" s="1" t="n">
        <v>46139</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71269-2021</t>
        </is>
      </c>
      <c r="B290" s="1" t="n">
        <v>44539</v>
      </c>
      <c r="C290" s="1" t="n">
        <v>46139</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60028-2024</t>
        </is>
      </c>
      <c r="B291" s="1" t="n">
        <v>45642</v>
      </c>
      <c r="C291" s="1" t="n">
        <v>46139</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30316-2024</t>
        </is>
      </c>
      <c r="B292" s="1" t="n">
        <v>45490</v>
      </c>
      <c r="C292" s="1" t="n">
        <v>46139</v>
      </c>
      <c r="D292" t="inlineStr">
        <is>
          <t>ÖREBRO LÄN</t>
        </is>
      </c>
      <c r="E292" t="inlineStr">
        <is>
          <t>ÖREBRO</t>
        </is>
      </c>
      <c r="G292" t="n">
        <v>5.5</v>
      </c>
      <c r="H292" t="n">
        <v>0</v>
      </c>
      <c r="I292" t="n">
        <v>0</v>
      </c>
      <c r="J292" t="n">
        <v>0</v>
      </c>
      <c r="K292" t="n">
        <v>0</v>
      </c>
      <c r="L292" t="n">
        <v>0</v>
      </c>
      <c r="M292" t="n">
        <v>0</v>
      </c>
      <c r="N292" t="n">
        <v>0</v>
      </c>
      <c r="O292" t="n">
        <v>0</v>
      </c>
      <c r="P292" t="n">
        <v>0</v>
      </c>
      <c r="Q292" t="n">
        <v>0</v>
      </c>
      <c r="R292" s="2" t="inlineStr"/>
    </row>
    <row r="293" ht="15" customHeight="1">
      <c r="A293" t="inlineStr">
        <is>
          <t>A 52477-2024</t>
        </is>
      </c>
      <c r="B293" s="1" t="n">
        <v>45609</v>
      </c>
      <c r="C293" s="1" t="n">
        <v>46139</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44875-2025</t>
        </is>
      </c>
      <c r="B294" s="1" t="n">
        <v>45918.47043981482</v>
      </c>
      <c r="C294" s="1" t="n">
        <v>46139</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44199-2024</t>
        </is>
      </c>
      <c r="B295" s="1" t="n">
        <v>45573</v>
      </c>
      <c r="C295" s="1" t="n">
        <v>46139</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4380-2025</t>
        </is>
      </c>
      <c r="B296" s="1" t="n">
        <v>45686.3959375</v>
      </c>
      <c r="C296" s="1" t="n">
        <v>46139</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26443-2024</t>
        </is>
      </c>
      <c r="B297" s="1" t="n">
        <v>45469.49901620371</v>
      </c>
      <c r="C297" s="1" t="n">
        <v>46139</v>
      </c>
      <c r="D297" t="inlineStr">
        <is>
          <t>ÖREBRO LÄN</t>
        </is>
      </c>
      <c r="E297" t="inlineStr">
        <is>
          <t>ÖREBRO</t>
        </is>
      </c>
      <c r="G297" t="n">
        <v>5.7</v>
      </c>
      <c r="H297" t="n">
        <v>0</v>
      </c>
      <c r="I297" t="n">
        <v>0</v>
      </c>
      <c r="J297" t="n">
        <v>0</v>
      </c>
      <c r="K297" t="n">
        <v>0</v>
      </c>
      <c r="L297" t="n">
        <v>0</v>
      </c>
      <c r="M297" t="n">
        <v>0</v>
      </c>
      <c r="N297" t="n">
        <v>0</v>
      </c>
      <c r="O297" t="n">
        <v>0</v>
      </c>
      <c r="P297" t="n">
        <v>0</v>
      </c>
      <c r="Q297" t="n">
        <v>0</v>
      </c>
      <c r="R297" s="2" t="inlineStr"/>
    </row>
    <row r="298" ht="15" customHeight="1">
      <c r="A298" t="inlineStr">
        <is>
          <t>A 5136-2024</t>
        </is>
      </c>
      <c r="B298" s="1" t="n">
        <v>45330</v>
      </c>
      <c r="C298" s="1" t="n">
        <v>46139</v>
      </c>
      <c r="D298" t="inlineStr">
        <is>
          <t>ÖREBRO LÄN</t>
        </is>
      </c>
      <c r="E298" t="inlineStr">
        <is>
          <t>ÖREBRO</t>
        </is>
      </c>
      <c r="G298" t="n">
        <v>2.1</v>
      </c>
      <c r="H298" t="n">
        <v>0</v>
      </c>
      <c r="I298" t="n">
        <v>0</v>
      </c>
      <c r="J298" t="n">
        <v>0</v>
      </c>
      <c r="K298" t="n">
        <v>0</v>
      </c>
      <c r="L298" t="n">
        <v>0</v>
      </c>
      <c r="M298" t="n">
        <v>0</v>
      </c>
      <c r="N298" t="n">
        <v>0</v>
      </c>
      <c r="O298" t="n">
        <v>0</v>
      </c>
      <c r="P298" t="n">
        <v>0</v>
      </c>
      <c r="Q298" t="n">
        <v>0</v>
      </c>
      <c r="R298" s="2" t="inlineStr"/>
    </row>
    <row r="299" ht="15" customHeight="1">
      <c r="A299" t="inlineStr">
        <is>
          <t>A 6794-2025</t>
        </is>
      </c>
      <c r="B299" s="1" t="n">
        <v>45700.66429398148</v>
      </c>
      <c r="C299" s="1" t="n">
        <v>46139</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35477-2024</t>
        </is>
      </c>
      <c r="B300" s="1" t="n">
        <v>45531</v>
      </c>
      <c r="C300" s="1" t="n">
        <v>46139</v>
      </c>
      <c r="D300" t="inlineStr">
        <is>
          <t>ÖREBRO LÄN</t>
        </is>
      </c>
      <c r="E300" t="inlineStr">
        <is>
          <t>ÖREBRO</t>
        </is>
      </c>
      <c r="G300" t="n">
        <v>2.4</v>
      </c>
      <c r="H300" t="n">
        <v>0</v>
      </c>
      <c r="I300" t="n">
        <v>0</v>
      </c>
      <c r="J300" t="n">
        <v>0</v>
      </c>
      <c r="K300" t="n">
        <v>0</v>
      </c>
      <c r="L300" t="n">
        <v>0</v>
      </c>
      <c r="M300" t="n">
        <v>0</v>
      </c>
      <c r="N300" t="n">
        <v>0</v>
      </c>
      <c r="O300" t="n">
        <v>0</v>
      </c>
      <c r="P300" t="n">
        <v>0</v>
      </c>
      <c r="Q300" t="n">
        <v>0</v>
      </c>
      <c r="R300" s="2" t="inlineStr"/>
    </row>
    <row r="301" ht="15" customHeight="1">
      <c r="A301" t="inlineStr">
        <is>
          <t>A 2596-2022</t>
        </is>
      </c>
      <c r="B301" s="1" t="n">
        <v>44580</v>
      </c>
      <c r="C301" s="1" t="n">
        <v>46139</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13857-2022</t>
        </is>
      </c>
      <c r="B302" s="1" t="n">
        <v>44649</v>
      </c>
      <c r="C302" s="1" t="n">
        <v>46139</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5406-2025</t>
        </is>
      </c>
      <c r="B303" s="1" t="n">
        <v>45692.64821759259</v>
      </c>
      <c r="C303" s="1" t="n">
        <v>46139</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55692-2023</t>
        </is>
      </c>
      <c r="B304" s="1" t="n">
        <v>45239</v>
      </c>
      <c r="C304" s="1" t="n">
        <v>46139</v>
      </c>
      <c r="D304" t="inlineStr">
        <is>
          <t>ÖREBRO LÄN</t>
        </is>
      </c>
      <c r="E304" t="inlineStr">
        <is>
          <t>ÖREBRO</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4284-2025</t>
        </is>
      </c>
      <c r="B305" s="1" t="n">
        <v>45685</v>
      </c>
      <c r="C305" s="1" t="n">
        <v>46139</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52018-2024</t>
        </is>
      </c>
      <c r="B306" s="1" t="n">
        <v>45607.82974537037</v>
      </c>
      <c r="C306" s="1" t="n">
        <v>46139</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34358-2022</t>
        </is>
      </c>
      <c r="B307" s="1" t="n">
        <v>44792.45494212963</v>
      </c>
      <c r="C307" s="1" t="n">
        <v>46139</v>
      </c>
      <c r="D307" t="inlineStr">
        <is>
          <t>ÖREBRO LÄN</t>
        </is>
      </c>
      <c r="E307" t="inlineStr">
        <is>
          <t>ÖREBRO</t>
        </is>
      </c>
      <c r="F307" t="inlineStr">
        <is>
          <t>Övriga Aktiebolag</t>
        </is>
      </c>
      <c r="G307" t="n">
        <v>3.4</v>
      </c>
      <c r="H307" t="n">
        <v>0</v>
      </c>
      <c r="I307" t="n">
        <v>0</v>
      </c>
      <c r="J307" t="n">
        <v>0</v>
      </c>
      <c r="K307" t="n">
        <v>0</v>
      </c>
      <c r="L307" t="n">
        <v>0</v>
      </c>
      <c r="M307" t="n">
        <v>0</v>
      </c>
      <c r="N307" t="n">
        <v>0</v>
      </c>
      <c r="O307" t="n">
        <v>0</v>
      </c>
      <c r="P307" t="n">
        <v>0</v>
      </c>
      <c r="Q307" t="n">
        <v>0</v>
      </c>
      <c r="R307" s="2" t="inlineStr"/>
    </row>
    <row r="308" ht="15" customHeight="1">
      <c r="A308" t="inlineStr">
        <is>
          <t>A 2771-2023</t>
        </is>
      </c>
      <c r="B308" s="1" t="n">
        <v>44944.64704861111</v>
      </c>
      <c r="C308" s="1" t="n">
        <v>46139</v>
      </c>
      <c r="D308" t="inlineStr">
        <is>
          <t>ÖREBRO LÄN</t>
        </is>
      </c>
      <c r="E308" t="inlineStr">
        <is>
          <t>ÖREBRO</t>
        </is>
      </c>
      <c r="G308" t="n">
        <v>15.4</v>
      </c>
      <c r="H308" t="n">
        <v>0</v>
      </c>
      <c r="I308" t="n">
        <v>0</v>
      </c>
      <c r="J308" t="n">
        <v>0</v>
      </c>
      <c r="K308" t="n">
        <v>0</v>
      </c>
      <c r="L308" t="n">
        <v>0</v>
      </c>
      <c r="M308" t="n">
        <v>0</v>
      </c>
      <c r="N308" t="n">
        <v>0</v>
      </c>
      <c r="O308" t="n">
        <v>0</v>
      </c>
      <c r="P308" t="n">
        <v>0</v>
      </c>
      <c r="Q308" t="n">
        <v>0</v>
      </c>
      <c r="R308" s="2" t="inlineStr"/>
    </row>
    <row r="309" ht="15" customHeight="1">
      <c r="A309" t="inlineStr">
        <is>
          <t>A 22348-2024</t>
        </is>
      </c>
      <c r="B309" s="1" t="n">
        <v>45446.61256944444</v>
      </c>
      <c r="C309" s="1" t="n">
        <v>46139</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2076-2025</t>
        </is>
      </c>
      <c r="B310" s="1" t="n">
        <v>45672</v>
      </c>
      <c r="C310" s="1" t="n">
        <v>46139</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15695-2024</t>
        </is>
      </c>
      <c r="B311" s="1" t="n">
        <v>45404.45487268519</v>
      </c>
      <c r="C311" s="1" t="n">
        <v>46139</v>
      </c>
      <c r="D311" t="inlineStr">
        <is>
          <t>ÖREBRO LÄN</t>
        </is>
      </c>
      <c r="E311" t="inlineStr">
        <is>
          <t>ÖREBRO</t>
        </is>
      </c>
      <c r="G311" t="n">
        <v>2.7</v>
      </c>
      <c r="H311" t="n">
        <v>0</v>
      </c>
      <c r="I311" t="n">
        <v>0</v>
      </c>
      <c r="J311" t="n">
        <v>0</v>
      </c>
      <c r="K311" t="n">
        <v>0</v>
      </c>
      <c r="L311" t="n">
        <v>0</v>
      </c>
      <c r="M311" t="n">
        <v>0</v>
      </c>
      <c r="N311" t="n">
        <v>0</v>
      </c>
      <c r="O311" t="n">
        <v>0</v>
      </c>
      <c r="P311" t="n">
        <v>0</v>
      </c>
      <c r="Q311" t="n">
        <v>0</v>
      </c>
      <c r="R311" s="2" t="inlineStr"/>
    </row>
    <row r="312" ht="15" customHeight="1">
      <c r="A312" t="inlineStr">
        <is>
          <t>A 30089-2024</t>
        </is>
      </c>
      <c r="B312" s="1" t="n">
        <v>45485</v>
      </c>
      <c r="C312" s="1" t="n">
        <v>46139</v>
      </c>
      <c r="D312" t="inlineStr">
        <is>
          <t>ÖREBRO LÄN</t>
        </is>
      </c>
      <c r="E312" t="inlineStr">
        <is>
          <t>ÖREBRO</t>
        </is>
      </c>
      <c r="G312" t="n">
        <v>2.2</v>
      </c>
      <c r="H312" t="n">
        <v>0</v>
      </c>
      <c r="I312" t="n">
        <v>0</v>
      </c>
      <c r="J312" t="n">
        <v>0</v>
      </c>
      <c r="K312" t="n">
        <v>0</v>
      </c>
      <c r="L312" t="n">
        <v>0</v>
      </c>
      <c r="M312" t="n">
        <v>0</v>
      </c>
      <c r="N312" t="n">
        <v>0</v>
      </c>
      <c r="O312" t="n">
        <v>0</v>
      </c>
      <c r="P312" t="n">
        <v>0</v>
      </c>
      <c r="Q312" t="n">
        <v>0</v>
      </c>
      <c r="R312" s="2" t="inlineStr"/>
    </row>
    <row r="313" ht="15" customHeight="1">
      <c r="A313" t="inlineStr">
        <is>
          <t>A 5643-2025</t>
        </is>
      </c>
      <c r="B313" s="1" t="n">
        <v>45693</v>
      </c>
      <c r="C313" s="1" t="n">
        <v>46139</v>
      </c>
      <c r="D313" t="inlineStr">
        <is>
          <t>ÖREBRO LÄN</t>
        </is>
      </c>
      <c r="E313" t="inlineStr">
        <is>
          <t>ÖREBRO</t>
        </is>
      </c>
      <c r="G313" t="n">
        <v>2</v>
      </c>
      <c r="H313" t="n">
        <v>0</v>
      </c>
      <c r="I313" t="n">
        <v>0</v>
      </c>
      <c r="J313" t="n">
        <v>0</v>
      </c>
      <c r="K313" t="n">
        <v>0</v>
      </c>
      <c r="L313" t="n">
        <v>0</v>
      </c>
      <c r="M313" t="n">
        <v>0</v>
      </c>
      <c r="N313" t="n">
        <v>0</v>
      </c>
      <c r="O313" t="n">
        <v>0</v>
      </c>
      <c r="P313" t="n">
        <v>0</v>
      </c>
      <c r="Q313" t="n">
        <v>0</v>
      </c>
      <c r="R313" s="2" t="inlineStr"/>
    </row>
    <row r="314" ht="15" customHeight="1">
      <c r="A314" t="inlineStr">
        <is>
          <t>A 46030-2024</t>
        </is>
      </c>
      <c r="B314" s="1" t="n">
        <v>45580.70377314815</v>
      </c>
      <c r="C314" s="1" t="n">
        <v>46139</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58216-2024</t>
        </is>
      </c>
      <c r="B315" s="1" t="n">
        <v>45632</v>
      </c>
      <c r="C315" s="1" t="n">
        <v>46139</v>
      </c>
      <c r="D315" t="inlineStr">
        <is>
          <t>ÖREBRO LÄN</t>
        </is>
      </c>
      <c r="E315" t="inlineStr">
        <is>
          <t>ÖREBRO</t>
        </is>
      </c>
      <c r="G315" t="n">
        <v>1.9</v>
      </c>
      <c r="H315" t="n">
        <v>0</v>
      </c>
      <c r="I315" t="n">
        <v>0</v>
      </c>
      <c r="J315" t="n">
        <v>0</v>
      </c>
      <c r="K315" t="n">
        <v>0</v>
      </c>
      <c r="L315" t="n">
        <v>0</v>
      </c>
      <c r="M315" t="n">
        <v>0</v>
      </c>
      <c r="N315" t="n">
        <v>0</v>
      </c>
      <c r="O315" t="n">
        <v>0</v>
      </c>
      <c r="P315" t="n">
        <v>0</v>
      </c>
      <c r="Q315" t="n">
        <v>0</v>
      </c>
      <c r="R315" s="2" t="inlineStr"/>
    </row>
    <row r="316" ht="15" customHeight="1">
      <c r="A316" t="inlineStr">
        <is>
          <t>A 5342-2024</t>
        </is>
      </c>
      <c r="B316" s="1" t="n">
        <v>45331.44145833333</v>
      </c>
      <c r="C316" s="1" t="n">
        <v>46139</v>
      </c>
      <c r="D316" t="inlineStr">
        <is>
          <t>ÖREBRO LÄN</t>
        </is>
      </c>
      <c r="E316" t="inlineStr">
        <is>
          <t>ÖREBRO</t>
        </is>
      </c>
      <c r="G316" t="n">
        <v>2.5</v>
      </c>
      <c r="H316" t="n">
        <v>0</v>
      </c>
      <c r="I316" t="n">
        <v>0</v>
      </c>
      <c r="J316" t="n">
        <v>0</v>
      </c>
      <c r="K316" t="n">
        <v>0</v>
      </c>
      <c r="L316" t="n">
        <v>0</v>
      </c>
      <c r="M316" t="n">
        <v>0</v>
      </c>
      <c r="N316" t="n">
        <v>0</v>
      </c>
      <c r="O316" t="n">
        <v>0</v>
      </c>
      <c r="P316" t="n">
        <v>0</v>
      </c>
      <c r="Q316" t="n">
        <v>0</v>
      </c>
      <c r="R316" s="2" t="inlineStr"/>
    </row>
    <row r="317" ht="15" customHeight="1">
      <c r="A317" t="inlineStr">
        <is>
          <t>A 71295-2021</t>
        </is>
      </c>
      <c r="B317" s="1" t="n">
        <v>44539.63009259259</v>
      </c>
      <c r="C317" s="1" t="n">
        <v>46139</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3763-2025</t>
        </is>
      </c>
      <c r="B318" s="1" t="n">
        <v>45681</v>
      </c>
      <c r="C318" s="1" t="n">
        <v>46139</v>
      </c>
      <c r="D318" t="inlineStr">
        <is>
          <t>ÖREBRO LÄN</t>
        </is>
      </c>
      <c r="E318" t="inlineStr">
        <is>
          <t>ÖREBRO</t>
        </is>
      </c>
      <c r="G318" t="n">
        <v>10.1</v>
      </c>
      <c r="H318" t="n">
        <v>0</v>
      </c>
      <c r="I318" t="n">
        <v>0</v>
      </c>
      <c r="J318" t="n">
        <v>0</v>
      </c>
      <c r="K318" t="n">
        <v>0</v>
      </c>
      <c r="L318" t="n">
        <v>0</v>
      </c>
      <c r="M318" t="n">
        <v>0</v>
      </c>
      <c r="N318" t="n">
        <v>0</v>
      </c>
      <c r="O318" t="n">
        <v>0</v>
      </c>
      <c r="P318" t="n">
        <v>0</v>
      </c>
      <c r="Q318" t="n">
        <v>0</v>
      </c>
      <c r="R318" s="2" t="inlineStr"/>
    </row>
    <row r="319" ht="15" customHeight="1">
      <c r="A319" t="inlineStr">
        <is>
          <t>A 11516-2024</t>
        </is>
      </c>
      <c r="B319" s="1" t="n">
        <v>45372</v>
      </c>
      <c r="C319" s="1" t="n">
        <v>46139</v>
      </c>
      <c r="D319" t="inlineStr">
        <is>
          <t>ÖREBRO LÄN</t>
        </is>
      </c>
      <c r="E319" t="inlineStr">
        <is>
          <t>ÖREBRO</t>
        </is>
      </c>
      <c r="G319" t="n">
        <v>10.7</v>
      </c>
      <c r="H319" t="n">
        <v>0</v>
      </c>
      <c r="I319" t="n">
        <v>0</v>
      </c>
      <c r="J319" t="n">
        <v>0</v>
      </c>
      <c r="K319" t="n">
        <v>0</v>
      </c>
      <c r="L319" t="n">
        <v>0</v>
      </c>
      <c r="M319" t="n">
        <v>0</v>
      </c>
      <c r="N319" t="n">
        <v>0</v>
      </c>
      <c r="O319" t="n">
        <v>0</v>
      </c>
      <c r="P319" t="n">
        <v>0</v>
      </c>
      <c r="Q319" t="n">
        <v>0</v>
      </c>
      <c r="R319" s="2" t="inlineStr"/>
    </row>
    <row r="320" ht="15" customHeight="1">
      <c r="A320" t="inlineStr">
        <is>
          <t>A 5324-2024</t>
        </is>
      </c>
      <c r="B320" s="1" t="n">
        <v>45331</v>
      </c>
      <c r="C320" s="1" t="n">
        <v>46139</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25578-2025</t>
        </is>
      </c>
      <c r="B321" s="1" t="n">
        <v>45803.47803240741</v>
      </c>
      <c r="C321" s="1" t="n">
        <v>46139</v>
      </c>
      <c r="D321" t="inlineStr">
        <is>
          <t>ÖREBRO LÄN</t>
        </is>
      </c>
      <c r="E321" t="inlineStr">
        <is>
          <t>ÖREBRO</t>
        </is>
      </c>
      <c r="G321" t="n">
        <v>0.9</v>
      </c>
      <c r="H321" t="n">
        <v>0</v>
      </c>
      <c r="I321" t="n">
        <v>0</v>
      </c>
      <c r="J321" t="n">
        <v>0</v>
      </c>
      <c r="K321" t="n">
        <v>0</v>
      </c>
      <c r="L321" t="n">
        <v>0</v>
      </c>
      <c r="M321" t="n">
        <v>0</v>
      </c>
      <c r="N321" t="n">
        <v>0</v>
      </c>
      <c r="O321" t="n">
        <v>0</v>
      </c>
      <c r="P321" t="n">
        <v>0</v>
      </c>
      <c r="Q321" t="n">
        <v>0</v>
      </c>
      <c r="R321" s="2" t="inlineStr"/>
    </row>
    <row r="322" ht="15" customHeight="1">
      <c r="A322" t="inlineStr">
        <is>
          <t>A 11663-2024</t>
        </is>
      </c>
      <c r="B322" s="1" t="n">
        <v>45373</v>
      </c>
      <c r="C322" s="1" t="n">
        <v>46139</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25519-2025</t>
        </is>
      </c>
      <c r="B323" s="1" t="n">
        <v>45803.38447916666</v>
      </c>
      <c r="C323" s="1" t="n">
        <v>46139</v>
      </c>
      <c r="D323" t="inlineStr">
        <is>
          <t>ÖREBRO LÄN</t>
        </is>
      </c>
      <c r="E323" t="inlineStr">
        <is>
          <t>ÖREBRO</t>
        </is>
      </c>
      <c r="G323" t="n">
        <v>7.4</v>
      </c>
      <c r="H323" t="n">
        <v>0</v>
      </c>
      <c r="I323" t="n">
        <v>0</v>
      </c>
      <c r="J323" t="n">
        <v>0</v>
      </c>
      <c r="K323" t="n">
        <v>0</v>
      </c>
      <c r="L323" t="n">
        <v>0</v>
      </c>
      <c r="M323" t="n">
        <v>0</v>
      </c>
      <c r="N323" t="n">
        <v>0</v>
      </c>
      <c r="O323" t="n">
        <v>0</v>
      </c>
      <c r="P323" t="n">
        <v>0</v>
      </c>
      <c r="Q323" t="n">
        <v>0</v>
      </c>
      <c r="R323" s="2" t="inlineStr"/>
    </row>
    <row r="324" ht="15" customHeight="1">
      <c r="A324" t="inlineStr">
        <is>
          <t>A 48454-2025</t>
        </is>
      </c>
      <c r="B324" s="1" t="n">
        <v>45935.80164351852</v>
      </c>
      <c r="C324" s="1" t="n">
        <v>46139</v>
      </c>
      <c r="D324" t="inlineStr">
        <is>
          <t>ÖREBRO LÄN</t>
        </is>
      </c>
      <c r="E324" t="inlineStr">
        <is>
          <t>ÖREBRO</t>
        </is>
      </c>
      <c r="F324" t="inlineStr">
        <is>
          <t>Övriga Aktiebolag</t>
        </is>
      </c>
      <c r="G324" t="n">
        <v>18.1</v>
      </c>
      <c r="H324" t="n">
        <v>0</v>
      </c>
      <c r="I324" t="n">
        <v>0</v>
      </c>
      <c r="J324" t="n">
        <v>0</v>
      </c>
      <c r="K324" t="n">
        <v>0</v>
      </c>
      <c r="L324" t="n">
        <v>0</v>
      </c>
      <c r="M324" t="n">
        <v>0</v>
      </c>
      <c r="N324" t="n">
        <v>0</v>
      </c>
      <c r="O324" t="n">
        <v>0</v>
      </c>
      <c r="P324" t="n">
        <v>0</v>
      </c>
      <c r="Q324" t="n">
        <v>0</v>
      </c>
      <c r="R324" s="2" t="inlineStr"/>
    </row>
    <row r="325" ht="15" customHeight="1">
      <c r="A325" t="inlineStr">
        <is>
          <t>A 18360-2024</t>
        </is>
      </c>
      <c r="B325" s="1" t="n">
        <v>45422</v>
      </c>
      <c r="C325" s="1" t="n">
        <v>46139</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16676-2025</t>
        </is>
      </c>
      <c r="B326" s="1" t="n">
        <v>45754.44658564815</v>
      </c>
      <c r="C326" s="1" t="n">
        <v>46139</v>
      </c>
      <c r="D326" t="inlineStr">
        <is>
          <t>ÖREBRO LÄN</t>
        </is>
      </c>
      <c r="E326" t="inlineStr">
        <is>
          <t>ÖREBRO</t>
        </is>
      </c>
      <c r="G326" t="n">
        <v>5.8</v>
      </c>
      <c r="H326" t="n">
        <v>0</v>
      </c>
      <c r="I326" t="n">
        <v>0</v>
      </c>
      <c r="J326" t="n">
        <v>0</v>
      </c>
      <c r="K326" t="n">
        <v>0</v>
      </c>
      <c r="L326" t="n">
        <v>0</v>
      </c>
      <c r="M326" t="n">
        <v>0</v>
      </c>
      <c r="N326" t="n">
        <v>0</v>
      </c>
      <c r="O326" t="n">
        <v>0</v>
      </c>
      <c r="P326" t="n">
        <v>0</v>
      </c>
      <c r="Q326" t="n">
        <v>0</v>
      </c>
      <c r="R326" s="2" t="inlineStr"/>
    </row>
    <row r="327" ht="15" customHeight="1">
      <c r="A327" t="inlineStr">
        <is>
          <t>A 5357-2024</t>
        </is>
      </c>
      <c r="B327" s="1" t="n">
        <v>45331</v>
      </c>
      <c r="C327" s="1" t="n">
        <v>46139</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57243-2022</t>
        </is>
      </c>
      <c r="B328" s="1" t="n">
        <v>44895.71835648148</v>
      </c>
      <c r="C328" s="1" t="n">
        <v>46139</v>
      </c>
      <c r="D328" t="inlineStr">
        <is>
          <t>ÖREBRO LÄN</t>
        </is>
      </c>
      <c r="E328" t="inlineStr">
        <is>
          <t>ÖREBRO</t>
        </is>
      </c>
      <c r="G328" t="n">
        <v>6</v>
      </c>
      <c r="H328" t="n">
        <v>0</v>
      </c>
      <c r="I328" t="n">
        <v>0</v>
      </c>
      <c r="J328" t="n">
        <v>0</v>
      </c>
      <c r="K328" t="n">
        <v>0</v>
      </c>
      <c r="L328" t="n">
        <v>0</v>
      </c>
      <c r="M328" t="n">
        <v>0</v>
      </c>
      <c r="N328" t="n">
        <v>0</v>
      </c>
      <c r="O328" t="n">
        <v>0</v>
      </c>
      <c r="P328" t="n">
        <v>0</v>
      </c>
      <c r="Q328" t="n">
        <v>0</v>
      </c>
      <c r="R328" s="2" t="inlineStr"/>
    </row>
    <row r="329" ht="15" customHeight="1">
      <c r="A329" t="inlineStr">
        <is>
          <t>A 40051-2024</t>
        </is>
      </c>
      <c r="B329" s="1" t="n">
        <v>45553</v>
      </c>
      <c r="C329" s="1" t="n">
        <v>46139</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50446-2023</t>
        </is>
      </c>
      <c r="B330" s="1" t="n">
        <v>45216</v>
      </c>
      <c r="C330" s="1" t="n">
        <v>46139</v>
      </c>
      <c r="D330" t="inlineStr">
        <is>
          <t>ÖREBRO LÄN</t>
        </is>
      </c>
      <c r="E330" t="inlineStr">
        <is>
          <t>ÖREBRO</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50450-2023</t>
        </is>
      </c>
      <c r="B331" s="1" t="n">
        <v>45216.73533564815</v>
      </c>
      <c r="C331" s="1" t="n">
        <v>46139</v>
      </c>
      <c r="D331" t="inlineStr">
        <is>
          <t>ÖREBRO LÄN</t>
        </is>
      </c>
      <c r="E331" t="inlineStr">
        <is>
          <t>ÖREBRO</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26117-2021</t>
        </is>
      </c>
      <c r="B332" s="1" t="n">
        <v>44345</v>
      </c>
      <c r="C332" s="1" t="n">
        <v>46139</v>
      </c>
      <c r="D332" t="inlineStr">
        <is>
          <t>ÖREBRO LÄN</t>
        </is>
      </c>
      <c r="E332" t="inlineStr">
        <is>
          <t>ÖREBRO</t>
        </is>
      </c>
      <c r="G332" t="n">
        <v>8.1</v>
      </c>
      <c r="H332" t="n">
        <v>0</v>
      </c>
      <c r="I332" t="n">
        <v>0</v>
      </c>
      <c r="J332" t="n">
        <v>0</v>
      </c>
      <c r="K332" t="n">
        <v>0</v>
      </c>
      <c r="L332" t="n">
        <v>0</v>
      </c>
      <c r="M332" t="n">
        <v>0</v>
      </c>
      <c r="N332" t="n">
        <v>0</v>
      </c>
      <c r="O332" t="n">
        <v>0</v>
      </c>
      <c r="P332" t="n">
        <v>0</v>
      </c>
      <c r="Q332" t="n">
        <v>0</v>
      </c>
      <c r="R332" s="2" t="inlineStr"/>
    </row>
    <row r="333" ht="15" customHeight="1">
      <c r="A333" t="inlineStr">
        <is>
          <t>A 50311-2025</t>
        </is>
      </c>
      <c r="B333" s="1" t="n">
        <v>45944</v>
      </c>
      <c r="C333" s="1" t="n">
        <v>46139</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27180-2025</t>
        </is>
      </c>
      <c r="B334" s="1" t="n">
        <v>45812.35736111111</v>
      </c>
      <c r="C334" s="1" t="n">
        <v>46139</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27215-2025</t>
        </is>
      </c>
      <c r="B335" s="1" t="n">
        <v>45812.41869212963</v>
      </c>
      <c r="C335" s="1" t="n">
        <v>46139</v>
      </c>
      <c r="D335" t="inlineStr">
        <is>
          <t>ÖREBRO LÄN</t>
        </is>
      </c>
      <c r="E335" t="inlineStr">
        <is>
          <t>ÖREBRO</t>
        </is>
      </c>
      <c r="G335" t="n">
        <v>1.2</v>
      </c>
      <c r="H335" t="n">
        <v>0</v>
      </c>
      <c r="I335" t="n">
        <v>0</v>
      </c>
      <c r="J335" t="n">
        <v>0</v>
      </c>
      <c r="K335" t="n">
        <v>0</v>
      </c>
      <c r="L335" t="n">
        <v>0</v>
      </c>
      <c r="M335" t="n">
        <v>0</v>
      </c>
      <c r="N335" t="n">
        <v>0</v>
      </c>
      <c r="O335" t="n">
        <v>0</v>
      </c>
      <c r="P335" t="n">
        <v>0</v>
      </c>
      <c r="Q335" t="n">
        <v>0</v>
      </c>
      <c r="R335" s="2" t="inlineStr"/>
    </row>
    <row r="336" ht="15" customHeight="1">
      <c r="A336" t="inlineStr">
        <is>
          <t>A 27225-2025</t>
        </is>
      </c>
      <c r="B336" s="1" t="n">
        <v>45812.42856481481</v>
      </c>
      <c r="C336" s="1" t="n">
        <v>46139</v>
      </c>
      <c r="D336" t="inlineStr">
        <is>
          <t>ÖREBRO LÄN</t>
        </is>
      </c>
      <c r="E336" t="inlineStr">
        <is>
          <t>ÖREBRO</t>
        </is>
      </c>
      <c r="G336" t="n">
        <v>4</v>
      </c>
      <c r="H336" t="n">
        <v>0</v>
      </c>
      <c r="I336" t="n">
        <v>0</v>
      </c>
      <c r="J336" t="n">
        <v>0</v>
      </c>
      <c r="K336" t="n">
        <v>0</v>
      </c>
      <c r="L336" t="n">
        <v>0</v>
      </c>
      <c r="M336" t="n">
        <v>0</v>
      </c>
      <c r="N336" t="n">
        <v>0</v>
      </c>
      <c r="O336" t="n">
        <v>0</v>
      </c>
      <c r="P336" t="n">
        <v>0</v>
      </c>
      <c r="Q336" t="n">
        <v>0</v>
      </c>
      <c r="R336" s="2" t="inlineStr"/>
    </row>
    <row r="337" ht="15" customHeight="1">
      <c r="A337" t="inlineStr">
        <is>
          <t>A 6879-2024</t>
        </is>
      </c>
      <c r="B337" s="1" t="n">
        <v>45342.85280092592</v>
      </c>
      <c r="C337" s="1" t="n">
        <v>46139</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58032-2023</t>
        </is>
      </c>
      <c r="B338" s="1" t="n">
        <v>45247</v>
      </c>
      <c r="C338" s="1" t="n">
        <v>46139</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58035-2023</t>
        </is>
      </c>
      <c r="B339" s="1" t="n">
        <v>45247</v>
      </c>
      <c r="C339" s="1" t="n">
        <v>46139</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27220-2025</t>
        </is>
      </c>
      <c r="B340" s="1" t="n">
        <v>45812.42293981482</v>
      </c>
      <c r="C340" s="1" t="n">
        <v>46139</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28120-2025</t>
        </is>
      </c>
      <c r="B341" s="1" t="n">
        <v>45818.30459490741</v>
      </c>
      <c r="C341" s="1" t="n">
        <v>46139</v>
      </c>
      <c r="D341" t="inlineStr">
        <is>
          <t>ÖREBRO LÄN</t>
        </is>
      </c>
      <c r="E341" t="inlineStr">
        <is>
          <t>ÖREBRO</t>
        </is>
      </c>
      <c r="G341" t="n">
        <v>1.5</v>
      </c>
      <c r="H341" t="n">
        <v>0</v>
      </c>
      <c r="I341" t="n">
        <v>0</v>
      </c>
      <c r="J341" t="n">
        <v>0</v>
      </c>
      <c r="K341" t="n">
        <v>0</v>
      </c>
      <c r="L341" t="n">
        <v>0</v>
      </c>
      <c r="M341" t="n">
        <v>0</v>
      </c>
      <c r="N341" t="n">
        <v>0</v>
      </c>
      <c r="O341" t="n">
        <v>0</v>
      </c>
      <c r="P341" t="n">
        <v>0</v>
      </c>
      <c r="Q341" t="n">
        <v>0</v>
      </c>
      <c r="R341" s="2" t="inlineStr"/>
    </row>
    <row r="342" ht="15" customHeight="1">
      <c r="A342" t="inlineStr">
        <is>
          <t>A 7506-2025</t>
        </is>
      </c>
      <c r="B342" s="1" t="n">
        <v>45705</v>
      </c>
      <c r="C342" s="1" t="n">
        <v>46139</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51248-2025</t>
        </is>
      </c>
      <c r="B343" s="1" t="n">
        <v>45948.450625</v>
      </c>
      <c r="C343" s="1" t="n">
        <v>46139</v>
      </c>
      <c r="D343" t="inlineStr">
        <is>
          <t>ÖREBRO LÄN</t>
        </is>
      </c>
      <c r="E343" t="inlineStr">
        <is>
          <t>ÖREBRO</t>
        </is>
      </c>
      <c r="G343" t="n">
        <v>4.4</v>
      </c>
      <c r="H343" t="n">
        <v>0</v>
      </c>
      <c r="I343" t="n">
        <v>0</v>
      </c>
      <c r="J343" t="n">
        <v>0</v>
      </c>
      <c r="K343" t="n">
        <v>0</v>
      </c>
      <c r="L343" t="n">
        <v>0</v>
      </c>
      <c r="M343" t="n">
        <v>0</v>
      </c>
      <c r="N343" t="n">
        <v>0</v>
      </c>
      <c r="O343" t="n">
        <v>0</v>
      </c>
      <c r="P343" t="n">
        <v>0</v>
      </c>
      <c r="Q343" t="n">
        <v>0</v>
      </c>
      <c r="R343" s="2" t="inlineStr"/>
    </row>
    <row r="344" ht="15" customHeight="1">
      <c r="A344" t="inlineStr">
        <is>
          <t>A 28938-2025</t>
        </is>
      </c>
      <c r="B344" s="1" t="n">
        <v>45820.70626157407</v>
      </c>
      <c r="C344" s="1" t="n">
        <v>46139</v>
      </c>
      <c r="D344" t="inlineStr">
        <is>
          <t>ÖREBRO LÄN</t>
        </is>
      </c>
      <c r="E344" t="inlineStr">
        <is>
          <t>ÖREBRO</t>
        </is>
      </c>
      <c r="G344" t="n">
        <v>1.9</v>
      </c>
      <c r="H344" t="n">
        <v>0</v>
      </c>
      <c r="I344" t="n">
        <v>0</v>
      </c>
      <c r="J344" t="n">
        <v>0</v>
      </c>
      <c r="K344" t="n">
        <v>0</v>
      </c>
      <c r="L344" t="n">
        <v>0</v>
      </c>
      <c r="M344" t="n">
        <v>0</v>
      </c>
      <c r="N344" t="n">
        <v>0</v>
      </c>
      <c r="O344" t="n">
        <v>0</v>
      </c>
      <c r="P344" t="n">
        <v>0</v>
      </c>
      <c r="Q344" t="n">
        <v>0</v>
      </c>
      <c r="R344" s="2" t="inlineStr"/>
    </row>
    <row r="345" ht="15" customHeight="1">
      <c r="A345" t="inlineStr">
        <is>
          <t>A 51249-2025</t>
        </is>
      </c>
      <c r="B345" s="1" t="n">
        <v>45948.45704861111</v>
      </c>
      <c r="C345" s="1" t="n">
        <v>46139</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28920-2025</t>
        </is>
      </c>
      <c r="B346" s="1" t="n">
        <v>45820.66532407407</v>
      </c>
      <c r="C346" s="1" t="n">
        <v>46139</v>
      </c>
      <c r="D346" t="inlineStr">
        <is>
          <t>ÖREBRO LÄN</t>
        </is>
      </c>
      <c r="E346" t="inlineStr">
        <is>
          <t>ÖREBRO</t>
        </is>
      </c>
      <c r="G346" t="n">
        <v>3</v>
      </c>
      <c r="H346" t="n">
        <v>0</v>
      </c>
      <c r="I346" t="n">
        <v>0</v>
      </c>
      <c r="J346" t="n">
        <v>0</v>
      </c>
      <c r="K346" t="n">
        <v>0</v>
      </c>
      <c r="L346" t="n">
        <v>0</v>
      </c>
      <c r="M346" t="n">
        <v>0</v>
      </c>
      <c r="N346" t="n">
        <v>0</v>
      </c>
      <c r="O346" t="n">
        <v>0</v>
      </c>
      <c r="P346" t="n">
        <v>0</v>
      </c>
      <c r="Q346" t="n">
        <v>0</v>
      </c>
      <c r="R346" s="2" t="inlineStr"/>
    </row>
    <row r="347" ht="15" customHeight="1">
      <c r="A347" t="inlineStr">
        <is>
          <t>A 31240-2023</t>
        </is>
      </c>
      <c r="B347" s="1" t="n">
        <v>45114</v>
      </c>
      <c r="C347" s="1" t="n">
        <v>46139</v>
      </c>
      <c r="D347" t="inlineStr">
        <is>
          <t>ÖREBRO LÄN</t>
        </is>
      </c>
      <c r="E347" t="inlineStr">
        <is>
          <t>ÖREBRO</t>
        </is>
      </c>
      <c r="F347" t="inlineStr">
        <is>
          <t>Allmännings- och besparingsskogar</t>
        </is>
      </c>
      <c r="G347" t="n">
        <v>6.2</v>
      </c>
      <c r="H347" t="n">
        <v>0</v>
      </c>
      <c r="I347" t="n">
        <v>0</v>
      </c>
      <c r="J347" t="n">
        <v>0</v>
      </c>
      <c r="K347" t="n">
        <v>0</v>
      </c>
      <c r="L347" t="n">
        <v>0</v>
      </c>
      <c r="M347" t="n">
        <v>0</v>
      </c>
      <c r="N347" t="n">
        <v>0</v>
      </c>
      <c r="O347" t="n">
        <v>0</v>
      </c>
      <c r="P347" t="n">
        <v>0</v>
      </c>
      <c r="Q347" t="n">
        <v>0</v>
      </c>
      <c r="R347" s="2" t="inlineStr"/>
    </row>
    <row r="348" ht="15" customHeight="1">
      <c r="A348" t="inlineStr">
        <is>
          <t>A 29339-2025</t>
        </is>
      </c>
      <c r="B348" s="1" t="n">
        <v>45824.5044212963</v>
      </c>
      <c r="C348" s="1" t="n">
        <v>46139</v>
      </c>
      <c r="D348" t="inlineStr">
        <is>
          <t>ÖREBRO LÄN</t>
        </is>
      </c>
      <c r="E348" t="inlineStr">
        <is>
          <t>ÖREBRO</t>
        </is>
      </c>
      <c r="G348" t="n">
        <v>4.3</v>
      </c>
      <c r="H348" t="n">
        <v>0</v>
      </c>
      <c r="I348" t="n">
        <v>0</v>
      </c>
      <c r="J348" t="n">
        <v>0</v>
      </c>
      <c r="K348" t="n">
        <v>0</v>
      </c>
      <c r="L348" t="n">
        <v>0</v>
      </c>
      <c r="M348" t="n">
        <v>0</v>
      </c>
      <c r="N348" t="n">
        <v>0</v>
      </c>
      <c r="O348" t="n">
        <v>0</v>
      </c>
      <c r="P348" t="n">
        <v>0</v>
      </c>
      <c r="Q348" t="n">
        <v>0</v>
      </c>
      <c r="R348" s="2" t="inlineStr"/>
    </row>
    <row r="349" ht="15" customHeight="1">
      <c r="A349" t="inlineStr">
        <is>
          <t>A 60059-2023</t>
        </is>
      </c>
      <c r="B349" s="1" t="n">
        <v>45258.38157407408</v>
      </c>
      <c r="C349" s="1" t="n">
        <v>46139</v>
      </c>
      <c r="D349" t="inlineStr">
        <is>
          <t>ÖREBRO LÄN</t>
        </is>
      </c>
      <c r="E349" t="inlineStr">
        <is>
          <t>ÖREBRO</t>
        </is>
      </c>
      <c r="G349" t="n">
        <v>4</v>
      </c>
      <c r="H349" t="n">
        <v>0</v>
      </c>
      <c r="I349" t="n">
        <v>0</v>
      </c>
      <c r="J349" t="n">
        <v>0</v>
      </c>
      <c r="K349" t="n">
        <v>0</v>
      </c>
      <c r="L349" t="n">
        <v>0</v>
      </c>
      <c r="M349" t="n">
        <v>0</v>
      </c>
      <c r="N349" t="n">
        <v>0</v>
      </c>
      <c r="O349" t="n">
        <v>0</v>
      </c>
      <c r="P349" t="n">
        <v>0</v>
      </c>
      <c r="Q349" t="n">
        <v>0</v>
      </c>
      <c r="R349" s="2" t="inlineStr"/>
    </row>
    <row r="350" ht="15" customHeight="1">
      <c r="A350" t="inlineStr">
        <is>
          <t>A 26858-2024</t>
        </is>
      </c>
      <c r="B350" s="1" t="n">
        <v>45470</v>
      </c>
      <c r="C350" s="1" t="n">
        <v>46139</v>
      </c>
      <c r="D350" t="inlineStr">
        <is>
          <t>ÖREBRO LÄN</t>
        </is>
      </c>
      <c r="E350" t="inlineStr">
        <is>
          <t>ÖREBRO</t>
        </is>
      </c>
      <c r="G350" t="n">
        <v>2.3</v>
      </c>
      <c r="H350" t="n">
        <v>0</v>
      </c>
      <c r="I350" t="n">
        <v>0</v>
      </c>
      <c r="J350" t="n">
        <v>0</v>
      </c>
      <c r="K350" t="n">
        <v>0</v>
      </c>
      <c r="L350" t="n">
        <v>0</v>
      </c>
      <c r="M350" t="n">
        <v>0</v>
      </c>
      <c r="N350" t="n">
        <v>0</v>
      </c>
      <c r="O350" t="n">
        <v>0</v>
      </c>
      <c r="P350" t="n">
        <v>0</v>
      </c>
      <c r="Q350" t="n">
        <v>0</v>
      </c>
      <c r="R350" s="2" t="inlineStr"/>
    </row>
    <row r="351" ht="15" customHeight="1">
      <c r="A351" t="inlineStr">
        <is>
          <t>A 29701-2025</t>
        </is>
      </c>
      <c r="B351" s="1" t="n">
        <v>45825.55261574074</v>
      </c>
      <c r="C351" s="1" t="n">
        <v>46139</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14717-2024</t>
        </is>
      </c>
      <c r="B352" s="1" t="n">
        <v>45397.55104166667</v>
      </c>
      <c r="C352" s="1" t="n">
        <v>46139</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52135-2025</t>
        </is>
      </c>
      <c r="B353" s="1" t="n">
        <v>45952.84231481481</v>
      </c>
      <c r="C353" s="1" t="n">
        <v>46139</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51925-2025</t>
        </is>
      </c>
      <c r="B354" s="1" t="n">
        <v>45952.49476851852</v>
      </c>
      <c r="C354" s="1" t="n">
        <v>46139</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29286-2025</t>
        </is>
      </c>
      <c r="B355" s="1" t="n">
        <v>45824.43502314815</v>
      </c>
      <c r="C355" s="1" t="n">
        <v>46139</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51923-2025</t>
        </is>
      </c>
      <c r="B356" s="1" t="n">
        <v>45952.49300925926</v>
      </c>
      <c r="C356" s="1" t="n">
        <v>46139</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51937-2025</t>
        </is>
      </c>
      <c r="B357" s="1" t="n">
        <v>45952.51270833334</v>
      </c>
      <c r="C357" s="1" t="n">
        <v>46139</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30743-2025</t>
        </is>
      </c>
      <c r="B358" s="1" t="n">
        <v>45831</v>
      </c>
      <c r="C358" s="1" t="n">
        <v>46139</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37968-2024</t>
        </is>
      </c>
      <c r="B359" s="1" t="n">
        <v>45544</v>
      </c>
      <c r="C359" s="1" t="n">
        <v>46139</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53443-2025</t>
        </is>
      </c>
      <c r="B360" s="1" t="n">
        <v>45959.6444675926</v>
      </c>
      <c r="C360" s="1" t="n">
        <v>46139</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30550-2025</t>
        </is>
      </c>
      <c r="B361" s="1" t="n">
        <v>45831.38224537037</v>
      </c>
      <c r="C361" s="1" t="n">
        <v>46139</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53437-2025</t>
        </is>
      </c>
      <c r="B362" s="1" t="n">
        <v>45959.63440972222</v>
      </c>
      <c r="C362" s="1" t="n">
        <v>46139</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25443-2021</t>
        </is>
      </c>
      <c r="B363" s="1" t="n">
        <v>44342</v>
      </c>
      <c r="C363" s="1" t="n">
        <v>46139</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53342-2025</t>
        </is>
      </c>
      <c r="B364" s="1" t="n">
        <v>45959.41769675926</v>
      </c>
      <c r="C364" s="1" t="n">
        <v>46139</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53350-2025</t>
        </is>
      </c>
      <c r="B365" s="1" t="n">
        <v>45959.43827546296</v>
      </c>
      <c r="C365" s="1" t="n">
        <v>46139</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13700-2024</t>
        </is>
      </c>
      <c r="B366" s="1" t="n">
        <v>45390.59277777778</v>
      </c>
      <c r="C366" s="1" t="n">
        <v>46139</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30731-2025</t>
        </is>
      </c>
      <c r="B367" s="1" t="n">
        <v>45831.57280092593</v>
      </c>
      <c r="C367" s="1" t="n">
        <v>46139</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53343-2025</t>
        </is>
      </c>
      <c r="B368" s="1" t="n">
        <v>45959.42025462963</v>
      </c>
      <c r="C368" s="1" t="n">
        <v>46139</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31232-2025</t>
        </is>
      </c>
      <c r="B369" s="1" t="n">
        <v>45832.8252199074</v>
      </c>
      <c r="C369" s="1" t="n">
        <v>46139</v>
      </c>
      <c r="D369" t="inlineStr">
        <is>
          <t>ÖREBRO LÄN</t>
        </is>
      </c>
      <c r="E369" t="inlineStr">
        <is>
          <t>ÖREBRO</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53715-2025</t>
        </is>
      </c>
      <c r="B370" s="1" t="n">
        <v>45960.61763888889</v>
      </c>
      <c r="C370" s="1" t="n">
        <v>46139</v>
      </c>
      <c r="D370" t="inlineStr">
        <is>
          <t>ÖREBRO LÄN</t>
        </is>
      </c>
      <c r="E370" t="inlineStr">
        <is>
          <t>ÖREBRO</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53719-2025</t>
        </is>
      </c>
      <c r="B371" s="1" t="n">
        <v>45960.62042824074</v>
      </c>
      <c r="C371" s="1" t="n">
        <v>46139</v>
      </c>
      <c r="D371" t="inlineStr">
        <is>
          <t>ÖREBRO LÄN</t>
        </is>
      </c>
      <c r="E371" t="inlineStr">
        <is>
          <t>ÖREBRO</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30951-2025</t>
        </is>
      </c>
      <c r="B372" s="1" t="n">
        <v>45832.43225694444</v>
      </c>
      <c r="C372" s="1" t="n">
        <v>46139</v>
      </c>
      <c r="D372" t="inlineStr">
        <is>
          <t>ÖREBRO LÄN</t>
        </is>
      </c>
      <c r="E372" t="inlineStr">
        <is>
          <t>ÖREBRO</t>
        </is>
      </c>
      <c r="F372" t="inlineStr">
        <is>
          <t>Övriga Aktiebolag</t>
        </is>
      </c>
      <c r="G372" t="n">
        <v>2.3</v>
      </c>
      <c r="H372" t="n">
        <v>0</v>
      </c>
      <c r="I372" t="n">
        <v>0</v>
      </c>
      <c r="J372" t="n">
        <v>0</v>
      </c>
      <c r="K372" t="n">
        <v>0</v>
      </c>
      <c r="L372" t="n">
        <v>0</v>
      </c>
      <c r="M372" t="n">
        <v>0</v>
      </c>
      <c r="N372" t="n">
        <v>0</v>
      </c>
      <c r="O372" t="n">
        <v>0</v>
      </c>
      <c r="P372" t="n">
        <v>0</v>
      </c>
      <c r="Q372" t="n">
        <v>0</v>
      </c>
      <c r="R372" s="2" t="inlineStr"/>
    </row>
    <row r="373" ht="15" customHeight="1">
      <c r="A373" t="inlineStr">
        <is>
          <t>A 31233-2025</t>
        </is>
      </c>
      <c r="B373" s="1" t="n">
        <v>45832.83341435185</v>
      </c>
      <c r="C373" s="1" t="n">
        <v>46139</v>
      </c>
      <c r="D373" t="inlineStr">
        <is>
          <t>ÖREBRO LÄN</t>
        </is>
      </c>
      <c r="E373" t="inlineStr">
        <is>
          <t>ÖREBRO</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31237-2025</t>
        </is>
      </c>
      <c r="B374" s="1" t="n">
        <v>45832.84313657408</v>
      </c>
      <c r="C374" s="1" t="n">
        <v>46139</v>
      </c>
      <c r="D374" t="inlineStr">
        <is>
          <t>ÖREBRO LÄN</t>
        </is>
      </c>
      <c r="E374" t="inlineStr">
        <is>
          <t>ÖREBRO</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46139</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31066-2025</t>
        </is>
      </c>
      <c r="B376" s="1" t="n">
        <v>45832</v>
      </c>
      <c r="C376" s="1" t="n">
        <v>46139</v>
      </c>
      <c r="D376" t="inlineStr">
        <is>
          <t>ÖREBRO LÄN</t>
        </is>
      </c>
      <c r="E376" t="inlineStr">
        <is>
          <t>ÖREBRO</t>
        </is>
      </c>
      <c r="G376" t="n">
        <v>11.1</v>
      </c>
      <c r="H376" t="n">
        <v>0</v>
      </c>
      <c r="I376" t="n">
        <v>0</v>
      </c>
      <c r="J376" t="n">
        <v>0</v>
      </c>
      <c r="K376" t="n">
        <v>0</v>
      </c>
      <c r="L376" t="n">
        <v>0</v>
      </c>
      <c r="M376" t="n">
        <v>0</v>
      </c>
      <c r="N376" t="n">
        <v>0</v>
      </c>
      <c r="O376" t="n">
        <v>0</v>
      </c>
      <c r="P376" t="n">
        <v>0</v>
      </c>
      <c r="Q376" t="n">
        <v>0</v>
      </c>
      <c r="R376" s="2" t="inlineStr"/>
    </row>
    <row r="377" ht="15" customHeight="1">
      <c r="A377" t="inlineStr">
        <is>
          <t>A 54205-2025</t>
        </is>
      </c>
      <c r="B377" s="1" t="n">
        <v>45964.58512731481</v>
      </c>
      <c r="C377" s="1" t="n">
        <v>46139</v>
      </c>
      <c r="D377" t="inlineStr">
        <is>
          <t>ÖREBRO LÄN</t>
        </is>
      </c>
      <c r="E377" t="inlineStr">
        <is>
          <t>ÖREBRO</t>
        </is>
      </c>
      <c r="G377" t="n">
        <v>24.3</v>
      </c>
      <c r="H377" t="n">
        <v>0</v>
      </c>
      <c r="I377" t="n">
        <v>0</v>
      </c>
      <c r="J377" t="n">
        <v>0</v>
      </c>
      <c r="K377" t="n">
        <v>0</v>
      </c>
      <c r="L377" t="n">
        <v>0</v>
      </c>
      <c r="M377" t="n">
        <v>0</v>
      </c>
      <c r="N377" t="n">
        <v>0</v>
      </c>
      <c r="O377" t="n">
        <v>0</v>
      </c>
      <c r="P377" t="n">
        <v>0</v>
      </c>
      <c r="Q377" t="n">
        <v>0</v>
      </c>
      <c r="R377" s="2" t="inlineStr"/>
    </row>
    <row r="378" ht="15" customHeight="1">
      <c r="A378" t="inlineStr">
        <is>
          <t>A 54485-2025</t>
        </is>
      </c>
      <c r="B378" s="1" t="n">
        <v>45965.59295138889</v>
      </c>
      <c r="C378" s="1" t="n">
        <v>46139</v>
      </c>
      <c r="D378" t="inlineStr">
        <is>
          <t>ÖREBRO LÄN</t>
        </is>
      </c>
      <c r="E378" t="inlineStr">
        <is>
          <t>ÖREBRO</t>
        </is>
      </c>
      <c r="F378" t="inlineStr">
        <is>
          <t>Allmännings- och besparingsskogar</t>
        </is>
      </c>
      <c r="G378" t="n">
        <v>1.7</v>
      </c>
      <c r="H378" t="n">
        <v>0</v>
      </c>
      <c r="I378" t="n">
        <v>0</v>
      </c>
      <c r="J378" t="n">
        <v>0</v>
      </c>
      <c r="K378" t="n">
        <v>0</v>
      </c>
      <c r="L378" t="n">
        <v>0</v>
      </c>
      <c r="M378" t="n">
        <v>0</v>
      </c>
      <c r="N378" t="n">
        <v>0</v>
      </c>
      <c r="O378" t="n">
        <v>0</v>
      </c>
      <c r="P378" t="n">
        <v>0</v>
      </c>
      <c r="Q378" t="n">
        <v>0</v>
      </c>
      <c r="R378" s="2" t="inlineStr"/>
    </row>
    <row r="379" ht="15" customHeight="1">
      <c r="A379" t="inlineStr">
        <is>
          <t>A 32188-2025</t>
        </is>
      </c>
      <c r="B379" s="1" t="n">
        <v>45835.56965277778</v>
      </c>
      <c r="C379" s="1" t="n">
        <v>46139</v>
      </c>
      <c r="D379" t="inlineStr">
        <is>
          <t>ÖREBRO LÄN</t>
        </is>
      </c>
      <c r="E379" t="inlineStr">
        <is>
          <t>ÖREBRO</t>
        </is>
      </c>
      <c r="G379" t="n">
        <v>2.9</v>
      </c>
      <c r="H379" t="n">
        <v>0</v>
      </c>
      <c r="I379" t="n">
        <v>0</v>
      </c>
      <c r="J379" t="n">
        <v>0</v>
      </c>
      <c r="K379" t="n">
        <v>0</v>
      </c>
      <c r="L379" t="n">
        <v>0</v>
      </c>
      <c r="M379" t="n">
        <v>0</v>
      </c>
      <c r="N379" t="n">
        <v>0</v>
      </c>
      <c r="O379" t="n">
        <v>0</v>
      </c>
      <c r="P379" t="n">
        <v>0</v>
      </c>
      <c r="Q379" t="n">
        <v>0</v>
      </c>
      <c r="R379" s="2" t="inlineStr"/>
    </row>
    <row r="380" ht="15" customHeight="1">
      <c r="A380" t="inlineStr">
        <is>
          <t>A 32195-2025</t>
        </is>
      </c>
      <c r="B380" s="1" t="n">
        <v>45835.57407407407</v>
      </c>
      <c r="C380" s="1" t="n">
        <v>46139</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38415-2023</t>
        </is>
      </c>
      <c r="B381" s="1" t="n">
        <v>45162.35502314815</v>
      </c>
      <c r="C381" s="1" t="n">
        <v>46139</v>
      </c>
      <c r="D381" t="inlineStr">
        <is>
          <t>ÖREBRO LÄN</t>
        </is>
      </c>
      <c r="E381" t="inlineStr">
        <is>
          <t>ÖREBRO</t>
        </is>
      </c>
      <c r="G381" t="n">
        <v>2.6</v>
      </c>
      <c r="H381" t="n">
        <v>0</v>
      </c>
      <c r="I381" t="n">
        <v>0</v>
      </c>
      <c r="J381" t="n">
        <v>0</v>
      </c>
      <c r="K381" t="n">
        <v>0</v>
      </c>
      <c r="L381" t="n">
        <v>0</v>
      </c>
      <c r="M381" t="n">
        <v>0</v>
      </c>
      <c r="N381" t="n">
        <v>0</v>
      </c>
      <c r="O381" t="n">
        <v>0</v>
      </c>
      <c r="P381" t="n">
        <v>0</v>
      </c>
      <c r="Q381" t="n">
        <v>0</v>
      </c>
      <c r="R381" s="2" t="inlineStr"/>
    </row>
    <row r="382" ht="15" customHeight="1">
      <c r="A382" t="inlineStr">
        <is>
          <t>A 32218-2025</t>
        </is>
      </c>
      <c r="B382" s="1" t="n">
        <v>45835.58880787037</v>
      </c>
      <c r="C382" s="1" t="n">
        <v>46139</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32904-2025</t>
        </is>
      </c>
      <c r="B383" s="1" t="n">
        <v>45839</v>
      </c>
      <c r="C383" s="1" t="n">
        <v>46139</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60128-2023</t>
        </is>
      </c>
      <c r="B384" s="1" t="n">
        <v>45258</v>
      </c>
      <c r="C384" s="1" t="n">
        <v>46139</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32426-2025</t>
        </is>
      </c>
      <c r="B385" s="1" t="n">
        <v>45838.36179398148</v>
      </c>
      <c r="C385" s="1" t="n">
        <v>46139</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18047-2023</t>
        </is>
      </c>
      <c r="B386" s="1" t="n">
        <v>45040</v>
      </c>
      <c r="C386" s="1" t="n">
        <v>46139</v>
      </c>
      <c r="D386" t="inlineStr">
        <is>
          <t>ÖREBRO LÄN</t>
        </is>
      </c>
      <c r="E386" t="inlineStr">
        <is>
          <t>ÖREBRO</t>
        </is>
      </c>
      <c r="G386" t="n">
        <v>3.9</v>
      </c>
      <c r="H386" t="n">
        <v>0</v>
      </c>
      <c r="I386" t="n">
        <v>0</v>
      </c>
      <c r="J386" t="n">
        <v>0</v>
      </c>
      <c r="K386" t="n">
        <v>0</v>
      </c>
      <c r="L386" t="n">
        <v>0</v>
      </c>
      <c r="M386" t="n">
        <v>0</v>
      </c>
      <c r="N386" t="n">
        <v>0</v>
      </c>
      <c r="O386" t="n">
        <v>0</v>
      </c>
      <c r="P386" t="n">
        <v>0</v>
      </c>
      <c r="Q386" t="n">
        <v>0</v>
      </c>
      <c r="R386" s="2" t="inlineStr"/>
    </row>
    <row r="387" ht="15" customHeight="1">
      <c r="A387" t="inlineStr">
        <is>
          <t>A 49797-2024</t>
        </is>
      </c>
      <c r="B387" s="1" t="n">
        <v>45597.37265046296</v>
      </c>
      <c r="C387" s="1" t="n">
        <v>46139</v>
      </c>
      <c r="D387" t="inlineStr">
        <is>
          <t>ÖREBRO LÄN</t>
        </is>
      </c>
      <c r="E387" t="inlineStr">
        <is>
          <t>ÖREBRO</t>
        </is>
      </c>
      <c r="G387" t="n">
        <v>11.6</v>
      </c>
      <c r="H387" t="n">
        <v>0</v>
      </c>
      <c r="I387" t="n">
        <v>0</v>
      </c>
      <c r="J387" t="n">
        <v>0</v>
      </c>
      <c r="K387" t="n">
        <v>0</v>
      </c>
      <c r="L387" t="n">
        <v>0</v>
      </c>
      <c r="M387" t="n">
        <v>0</v>
      </c>
      <c r="N387" t="n">
        <v>0</v>
      </c>
      <c r="O387" t="n">
        <v>0</v>
      </c>
      <c r="P387" t="n">
        <v>0</v>
      </c>
      <c r="Q387" t="n">
        <v>0</v>
      </c>
      <c r="R387" s="2" t="inlineStr"/>
    </row>
    <row r="388" ht="15" customHeight="1">
      <c r="A388" t="inlineStr">
        <is>
          <t>A 33191-2025</t>
        </is>
      </c>
      <c r="B388" s="1" t="n">
        <v>45840.6003587963</v>
      </c>
      <c r="C388" s="1" t="n">
        <v>46139</v>
      </c>
      <c r="D388" t="inlineStr">
        <is>
          <t>ÖREBRO LÄN</t>
        </is>
      </c>
      <c r="E388" t="inlineStr">
        <is>
          <t>ÖREBRO</t>
        </is>
      </c>
      <c r="G388" t="n">
        <v>2.6</v>
      </c>
      <c r="H388" t="n">
        <v>0</v>
      </c>
      <c r="I388" t="n">
        <v>0</v>
      </c>
      <c r="J388" t="n">
        <v>0</v>
      </c>
      <c r="K388" t="n">
        <v>0</v>
      </c>
      <c r="L388" t="n">
        <v>0</v>
      </c>
      <c r="M388" t="n">
        <v>0</v>
      </c>
      <c r="N388" t="n">
        <v>0</v>
      </c>
      <c r="O388" t="n">
        <v>0</v>
      </c>
      <c r="P388" t="n">
        <v>0</v>
      </c>
      <c r="Q388" t="n">
        <v>0</v>
      </c>
      <c r="R388" s="2" t="inlineStr"/>
    </row>
    <row r="389" ht="15" customHeight="1">
      <c r="A389" t="inlineStr">
        <is>
          <t>A 55748-2025</t>
        </is>
      </c>
      <c r="B389" s="1" t="n">
        <v>45972.57893518519</v>
      </c>
      <c r="C389" s="1" t="n">
        <v>46139</v>
      </c>
      <c r="D389" t="inlineStr">
        <is>
          <t>ÖREBRO LÄN</t>
        </is>
      </c>
      <c r="E389" t="inlineStr">
        <is>
          <t>ÖREBRO</t>
        </is>
      </c>
      <c r="G389" t="n">
        <v>1.5</v>
      </c>
      <c r="H389" t="n">
        <v>0</v>
      </c>
      <c r="I389" t="n">
        <v>0</v>
      </c>
      <c r="J389" t="n">
        <v>0</v>
      </c>
      <c r="K389" t="n">
        <v>0</v>
      </c>
      <c r="L389" t="n">
        <v>0</v>
      </c>
      <c r="M389" t="n">
        <v>0</v>
      </c>
      <c r="N389" t="n">
        <v>0</v>
      </c>
      <c r="O389" t="n">
        <v>0</v>
      </c>
      <c r="P389" t="n">
        <v>0</v>
      </c>
      <c r="Q389" t="n">
        <v>0</v>
      </c>
      <c r="R389" s="2" t="inlineStr"/>
    </row>
    <row r="390" ht="15" customHeight="1">
      <c r="A390" t="inlineStr">
        <is>
          <t>A 55750-2025</t>
        </is>
      </c>
      <c r="B390" s="1" t="n">
        <v>45972.58171296296</v>
      </c>
      <c r="C390" s="1" t="n">
        <v>46139</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55888-2025</t>
        </is>
      </c>
      <c r="B391" s="1" t="n">
        <v>45973.37163194444</v>
      </c>
      <c r="C391" s="1" t="n">
        <v>46139</v>
      </c>
      <c r="D391" t="inlineStr">
        <is>
          <t>ÖREBRO LÄN</t>
        </is>
      </c>
      <c r="E391" t="inlineStr">
        <is>
          <t>ÖREBRO</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55879-2025</t>
        </is>
      </c>
      <c r="B392" s="1" t="n">
        <v>45973.36508101852</v>
      </c>
      <c r="C392" s="1" t="n">
        <v>46139</v>
      </c>
      <c r="D392" t="inlineStr">
        <is>
          <t>ÖREBRO LÄN</t>
        </is>
      </c>
      <c r="E392" t="inlineStr">
        <is>
          <t>ÖREBRO</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8022-2022</t>
        </is>
      </c>
      <c r="B393" s="1" t="n">
        <v>44609</v>
      </c>
      <c r="C393" s="1" t="n">
        <v>46139</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29978-2024</t>
        </is>
      </c>
      <c r="B394" s="1" t="n">
        <v>45488.48340277778</v>
      </c>
      <c r="C394" s="1" t="n">
        <v>46139</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19978-2025</t>
        </is>
      </c>
      <c r="B395" s="1" t="n">
        <v>45771.7062037037</v>
      </c>
      <c r="C395" s="1" t="n">
        <v>46139</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7134-2025</t>
        </is>
      </c>
      <c r="B396" s="1" t="n">
        <v>45702</v>
      </c>
      <c r="C396" s="1" t="n">
        <v>46139</v>
      </c>
      <c r="D396" t="inlineStr">
        <is>
          <t>ÖREBRO LÄN</t>
        </is>
      </c>
      <c r="E396" t="inlineStr">
        <is>
          <t>ÖREBRO</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48687-2024</t>
        </is>
      </c>
      <c r="B397" s="1" t="n">
        <v>45593.49899305555</v>
      </c>
      <c r="C397" s="1" t="n">
        <v>46139</v>
      </c>
      <c r="D397" t="inlineStr">
        <is>
          <t>ÖREBRO LÄN</t>
        </is>
      </c>
      <c r="E397" t="inlineStr">
        <is>
          <t>ÖREBRO</t>
        </is>
      </c>
      <c r="F397" t="inlineStr">
        <is>
          <t>Övriga Aktiebolag</t>
        </is>
      </c>
      <c r="G397" t="n">
        <v>3.8</v>
      </c>
      <c r="H397" t="n">
        <v>0</v>
      </c>
      <c r="I397" t="n">
        <v>0</v>
      </c>
      <c r="J397" t="n">
        <v>0</v>
      </c>
      <c r="K397" t="n">
        <v>0</v>
      </c>
      <c r="L397" t="n">
        <v>0</v>
      </c>
      <c r="M397" t="n">
        <v>0</v>
      </c>
      <c r="N397" t="n">
        <v>0</v>
      </c>
      <c r="O397" t="n">
        <v>0</v>
      </c>
      <c r="P397" t="n">
        <v>0</v>
      </c>
      <c r="Q397" t="n">
        <v>0</v>
      </c>
      <c r="R397" s="2" t="inlineStr"/>
    </row>
    <row r="398" ht="15" customHeight="1">
      <c r="A398" t="inlineStr">
        <is>
          <t>A 57537-2025</t>
        </is>
      </c>
      <c r="B398" s="1" t="n">
        <v>45980.6446875</v>
      </c>
      <c r="C398" s="1" t="n">
        <v>46139</v>
      </c>
      <c r="D398" t="inlineStr">
        <is>
          <t>ÖREBRO LÄN</t>
        </is>
      </c>
      <c r="E398" t="inlineStr">
        <is>
          <t>ÖREBRO</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58230-2025</t>
        </is>
      </c>
      <c r="B399" s="1" t="n">
        <v>45985.38037037037</v>
      </c>
      <c r="C399" s="1" t="n">
        <v>46139</v>
      </c>
      <c r="D399" t="inlineStr">
        <is>
          <t>ÖREBRO LÄN</t>
        </is>
      </c>
      <c r="E399" t="inlineStr">
        <is>
          <t>ÖREBRO</t>
        </is>
      </c>
      <c r="F399" t="inlineStr">
        <is>
          <t>Övriga Aktiebolag</t>
        </is>
      </c>
      <c r="G399" t="n">
        <v>1.4</v>
      </c>
      <c r="H399" t="n">
        <v>0</v>
      </c>
      <c r="I399" t="n">
        <v>0</v>
      </c>
      <c r="J399" t="n">
        <v>0</v>
      </c>
      <c r="K399" t="n">
        <v>0</v>
      </c>
      <c r="L399" t="n">
        <v>0</v>
      </c>
      <c r="M399" t="n">
        <v>0</v>
      </c>
      <c r="N399" t="n">
        <v>0</v>
      </c>
      <c r="O399" t="n">
        <v>0</v>
      </c>
      <c r="P399" t="n">
        <v>0</v>
      </c>
      <c r="Q399" t="n">
        <v>0</v>
      </c>
      <c r="R399" s="2" t="inlineStr"/>
    </row>
    <row r="400" ht="15" customHeight="1">
      <c r="A400" t="inlineStr">
        <is>
          <t>A 16374-2022</t>
        </is>
      </c>
      <c r="B400" s="1" t="n">
        <v>44671</v>
      </c>
      <c r="C400" s="1" t="n">
        <v>46139</v>
      </c>
      <c r="D400" t="inlineStr">
        <is>
          <t>ÖREBRO LÄN</t>
        </is>
      </c>
      <c r="E400" t="inlineStr">
        <is>
          <t>ÖREBRO</t>
        </is>
      </c>
      <c r="F400" t="inlineStr">
        <is>
          <t>Övriga Aktiebolag</t>
        </is>
      </c>
      <c r="G400" t="n">
        <v>30.3</v>
      </c>
      <c r="H400" t="n">
        <v>0</v>
      </c>
      <c r="I400" t="n">
        <v>0</v>
      </c>
      <c r="J400" t="n">
        <v>0</v>
      </c>
      <c r="K400" t="n">
        <v>0</v>
      </c>
      <c r="L400" t="n">
        <v>0</v>
      </c>
      <c r="M400" t="n">
        <v>0</v>
      </c>
      <c r="N400" t="n">
        <v>0</v>
      </c>
      <c r="O400" t="n">
        <v>0</v>
      </c>
      <c r="P400" t="n">
        <v>0</v>
      </c>
      <c r="Q400" t="n">
        <v>0</v>
      </c>
      <c r="R400" s="2" t="inlineStr"/>
    </row>
    <row r="401" ht="15" customHeight="1">
      <c r="A401" t="inlineStr">
        <is>
          <t>A 35062-2025</t>
        </is>
      </c>
      <c r="B401" s="1" t="n">
        <v>45852</v>
      </c>
      <c r="C401" s="1" t="n">
        <v>46139</v>
      </c>
      <c r="D401" t="inlineStr">
        <is>
          <t>ÖREBRO LÄN</t>
        </is>
      </c>
      <c r="E401" t="inlineStr">
        <is>
          <t>ÖREBRO</t>
        </is>
      </c>
      <c r="G401" t="n">
        <v>2.8</v>
      </c>
      <c r="H401" t="n">
        <v>0</v>
      </c>
      <c r="I401" t="n">
        <v>0</v>
      </c>
      <c r="J401" t="n">
        <v>0</v>
      </c>
      <c r="K401" t="n">
        <v>0</v>
      </c>
      <c r="L401" t="n">
        <v>0</v>
      </c>
      <c r="M401" t="n">
        <v>0</v>
      </c>
      <c r="N401" t="n">
        <v>0</v>
      </c>
      <c r="O401" t="n">
        <v>0</v>
      </c>
      <c r="P401" t="n">
        <v>0</v>
      </c>
      <c r="Q401" t="n">
        <v>0</v>
      </c>
      <c r="R401" s="2" t="inlineStr"/>
    </row>
    <row r="402" ht="15" customHeight="1">
      <c r="A402" t="inlineStr">
        <is>
          <t>A 27956-2023</t>
        </is>
      </c>
      <c r="B402" s="1" t="n">
        <v>45098</v>
      </c>
      <c r="C402" s="1" t="n">
        <v>46139</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13321-2024</t>
        </is>
      </c>
      <c r="B403" s="1" t="n">
        <v>45386.83142361111</v>
      </c>
      <c r="C403" s="1" t="n">
        <v>46139</v>
      </c>
      <c r="D403" t="inlineStr">
        <is>
          <t>ÖREBRO LÄN</t>
        </is>
      </c>
      <c r="E403" t="inlineStr">
        <is>
          <t>ÖREBRO</t>
        </is>
      </c>
      <c r="G403" t="n">
        <v>13.1</v>
      </c>
      <c r="H403" t="n">
        <v>0</v>
      </c>
      <c r="I403" t="n">
        <v>0</v>
      </c>
      <c r="J403" t="n">
        <v>0</v>
      </c>
      <c r="K403" t="n">
        <v>0</v>
      </c>
      <c r="L403" t="n">
        <v>0</v>
      </c>
      <c r="M403" t="n">
        <v>0</v>
      </c>
      <c r="N403" t="n">
        <v>0</v>
      </c>
      <c r="O403" t="n">
        <v>0</v>
      </c>
      <c r="P403" t="n">
        <v>0</v>
      </c>
      <c r="Q403" t="n">
        <v>0</v>
      </c>
      <c r="R403" s="2" t="inlineStr"/>
    </row>
    <row r="404" ht="15" customHeight="1">
      <c r="A404" t="inlineStr">
        <is>
          <t>A 58835-2025</t>
        </is>
      </c>
      <c r="B404" s="1" t="n">
        <v>45987.35519675926</v>
      </c>
      <c r="C404" s="1" t="n">
        <v>46139</v>
      </c>
      <c r="D404" t="inlineStr">
        <is>
          <t>ÖREBRO LÄN</t>
        </is>
      </c>
      <c r="E404" t="inlineStr">
        <is>
          <t>ÖREBRO</t>
        </is>
      </c>
      <c r="G404" t="n">
        <v>2.1</v>
      </c>
      <c r="H404" t="n">
        <v>0</v>
      </c>
      <c r="I404" t="n">
        <v>0</v>
      </c>
      <c r="J404" t="n">
        <v>0</v>
      </c>
      <c r="K404" t="n">
        <v>0</v>
      </c>
      <c r="L404" t="n">
        <v>0</v>
      </c>
      <c r="M404" t="n">
        <v>0</v>
      </c>
      <c r="N404" t="n">
        <v>0</v>
      </c>
      <c r="O404" t="n">
        <v>0</v>
      </c>
      <c r="P404" t="n">
        <v>0</v>
      </c>
      <c r="Q404" t="n">
        <v>0</v>
      </c>
      <c r="R404" s="2" t="inlineStr"/>
    </row>
    <row r="405" ht="15" customHeight="1">
      <c r="A405" t="inlineStr">
        <is>
          <t>A 28821-2025</t>
        </is>
      </c>
      <c r="B405" s="1" t="n">
        <v>45820</v>
      </c>
      <c r="C405" s="1" t="n">
        <v>46139</v>
      </c>
      <c r="D405" t="inlineStr">
        <is>
          <t>ÖREBRO LÄN</t>
        </is>
      </c>
      <c r="E405" t="inlineStr">
        <is>
          <t>ÖREBRO</t>
        </is>
      </c>
      <c r="G405" t="n">
        <v>12.6</v>
      </c>
      <c r="H405" t="n">
        <v>0</v>
      </c>
      <c r="I405" t="n">
        <v>0</v>
      </c>
      <c r="J405" t="n">
        <v>0</v>
      </c>
      <c r="K405" t="n">
        <v>0</v>
      </c>
      <c r="L405" t="n">
        <v>0</v>
      </c>
      <c r="M405" t="n">
        <v>0</v>
      </c>
      <c r="N405" t="n">
        <v>0</v>
      </c>
      <c r="O405" t="n">
        <v>0</v>
      </c>
      <c r="P405" t="n">
        <v>0</v>
      </c>
      <c r="Q405" t="n">
        <v>0</v>
      </c>
      <c r="R405" s="2" t="inlineStr"/>
    </row>
    <row r="406" ht="15" customHeight="1">
      <c r="A406" t="inlineStr">
        <is>
          <t>A 58587-2025</t>
        </is>
      </c>
      <c r="B406" s="1" t="n">
        <v>45986.40208333333</v>
      </c>
      <c r="C406" s="1" t="n">
        <v>46139</v>
      </c>
      <c r="D406" t="inlineStr">
        <is>
          <t>ÖREBRO LÄN</t>
        </is>
      </c>
      <c r="E406" t="inlineStr">
        <is>
          <t>ÖREBRO</t>
        </is>
      </c>
      <c r="G406" t="n">
        <v>1.6</v>
      </c>
      <c r="H406" t="n">
        <v>0</v>
      </c>
      <c r="I406" t="n">
        <v>0</v>
      </c>
      <c r="J406" t="n">
        <v>0</v>
      </c>
      <c r="K406" t="n">
        <v>0</v>
      </c>
      <c r="L406" t="n">
        <v>0</v>
      </c>
      <c r="M406" t="n">
        <v>0</v>
      </c>
      <c r="N406" t="n">
        <v>0</v>
      </c>
      <c r="O406" t="n">
        <v>0</v>
      </c>
      <c r="P406" t="n">
        <v>0</v>
      </c>
      <c r="Q406" t="n">
        <v>0</v>
      </c>
      <c r="R406" s="2" t="inlineStr"/>
    </row>
    <row r="407" ht="15" customHeight="1">
      <c r="A407" t="inlineStr">
        <is>
          <t>A 35637-2025</t>
        </is>
      </c>
      <c r="B407" s="1" t="n">
        <v>45859.46859953704</v>
      </c>
      <c r="C407" s="1" t="n">
        <v>46139</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46139</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59313-2025</t>
        </is>
      </c>
      <c r="B409" s="1" t="n">
        <v>45989.30920138889</v>
      </c>
      <c r="C409" s="1" t="n">
        <v>46139</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35928-2025</t>
        </is>
      </c>
      <c r="B410" s="1" t="n">
        <v>45862</v>
      </c>
      <c r="C410" s="1" t="n">
        <v>46139</v>
      </c>
      <c r="D410" t="inlineStr">
        <is>
          <t>ÖREBRO LÄN</t>
        </is>
      </c>
      <c r="E410" t="inlineStr">
        <is>
          <t>ÖREBRO</t>
        </is>
      </c>
      <c r="G410" t="n">
        <v>4.4</v>
      </c>
      <c r="H410" t="n">
        <v>0</v>
      </c>
      <c r="I410" t="n">
        <v>0</v>
      </c>
      <c r="J410" t="n">
        <v>0</v>
      </c>
      <c r="K410" t="n">
        <v>0</v>
      </c>
      <c r="L410" t="n">
        <v>0</v>
      </c>
      <c r="M410" t="n">
        <v>0</v>
      </c>
      <c r="N410" t="n">
        <v>0</v>
      </c>
      <c r="O410" t="n">
        <v>0</v>
      </c>
      <c r="P410" t="n">
        <v>0</v>
      </c>
      <c r="Q410" t="n">
        <v>0</v>
      </c>
      <c r="R410" s="2" t="inlineStr"/>
    </row>
    <row r="411" ht="15" customHeight="1">
      <c r="A411" t="inlineStr">
        <is>
          <t>A 59145-2025</t>
        </is>
      </c>
      <c r="B411" s="1" t="n">
        <v>45988.52015046297</v>
      </c>
      <c r="C411" s="1" t="n">
        <v>46139</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32025-2024</t>
        </is>
      </c>
      <c r="B412" s="1" t="n">
        <v>45510.65754629629</v>
      </c>
      <c r="C412" s="1" t="n">
        <v>46139</v>
      </c>
      <c r="D412" t="inlineStr">
        <is>
          <t>ÖREBRO LÄN</t>
        </is>
      </c>
      <c r="E412" t="inlineStr">
        <is>
          <t>ÖREBRO</t>
        </is>
      </c>
      <c r="G412" t="n">
        <v>4</v>
      </c>
      <c r="H412" t="n">
        <v>0</v>
      </c>
      <c r="I412" t="n">
        <v>0</v>
      </c>
      <c r="J412" t="n">
        <v>0</v>
      </c>
      <c r="K412" t="n">
        <v>0</v>
      </c>
      <c r="L412" t="n">
        <v>0</v>
      </c>
      <c r="M412" t="n">
        <v>0</v>
      </c>
      <c r="N412" t="n">
        <v>0</v>
      </c>
      <c r="O412" t="n">
        <v>0</v>
      </c>
      <c r="P412" t="n">
        <v>0</v>
      </c>
      <c r="Q412" t="n">
        <v>0</v>
      </c>
      <c r="R412" s="2" t="inlineStr"/>
    </row>
    <row r="413" ht="15" customHeight="1">
      <c r="A413" t="inlineStr">
        <is>
          <t>A 55453-2024</t>
        </is>
      </c>
      <c r="B413" s="1" t="n">
        <v>45622.42097222222</v>
      </c>
      <c r="C413" s="1" t="n">
        <v>46139</v>
      </c>
      <c r="D413" t="inlineStr">
        <is>
          <t>ÖREBRO LÄN</t>
        </is>
      </c>
      <c r="E413" t="inlineStr">
        <is>
          <t>ÖREBRO</t>
        </is>
      </c>
      <c r="G413" t="n">
        <v>8.5</v>
      </c>
      <c r="H413" t="n">
        <v>0</v>
      </c>
      <c r="I413" t="n">
        <v>0</v>
      </c>
      <c r="J413" t="n">
        <v>0</v>
      </c>
      <c r="K413" t="n">
        <v>0</v>
      </c>
      <c r="L413" t="n">
        <v>0</v>
      </c>
      <c r="M413" t="n">
        <v>0</v>
      </c>
      <c r="N413" t="n">
        <v>0</v>
      </c>
      <c r="O413" t="n">
        <v>0</v>
      </c>
      <c r="P413" t="n">
        <v>0</v>
      </c>
      <c r="Q413" t="n">
        <v>0</v>
      </c>
      <c r="R413" s="2" t="inlineStr"/>
    </row>
    <row r="414" ht="15" customHeight="1">
      <c r="A414" t="inlineStr">
        <is>
          <t>A 15652-2025</t>
        </is>
      </c>
      <c r="B414" s="1" t="n">
        <v>45748</v>
      </c>
      <c r="C414" s="1" t="n">
        <v>46139</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36448-2025</t>
        </is>
      </c>
      <c r="B415" s="1" t="n">
        <v>45869.41929398148</v>
      </c>
      <c r="C415" s="1" t="n">
        <v>46139</v>
      </c>
      <c r="D415" t="inlineStr">
        <is>
          <t>ÖREBRO LÄN</t>
        </is>
      </c>
      <c r="E415" t="inlineStr">
        <is>
          <t>ÖREBRO</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16737-2023</t>
        </is>
      </c>
      <c r="B416" s="1" t="n">
        <v>45030.72472222222</v>
      </c>
      <c r="C416" s="1" t="n">
        <v>46139</v>
      </c>
      <c r="D416" t="inlineStr">
        <is>
          <t>ÖREBRO LÄN</t>
        </is>
      </c>
      <c r="E416" t="inlineStr">
        <is>
          <t>ÖREBRO</t>
        </is>
      </c>
      <c r="G416" t="n">
        <v>1.2</v>
      </c>
      <c r="H416" t="n">
        <v>0</v>
      </c>
      <c r="I416" t="n">
        <v>0</v>
      </c>
      <c r="J416" t="n">
        <v>0</v>
      </c>
      <c r="K416" t="n">
        <v>0</v>
      </c>
      <c r="L416" t="n">
        <v>0</v>
      </c>
      <c r="M416" t="n">
        <v>0</v>
      </c>
      <c r="N416" t="n">
        <v>0</v>
      </c>
      <c r="O416" t="n">
        <v>0</v>
      </c>
      <c r="P416" t="n">
        <v>0</v>
      </c>
      <c r="Q416" t="n">
        <v>0</v>
      </c>
      <c r="R416" s="2" t="inlineStr"/>
    </row>
    <row r="417" ht="15" customHeight="1">
      <c r="A417" t="inlineStr">
        <is>
          <t>A 36447-2025</t>
        </is>
      </c>
      <c r="B417" s="1" t="n">
        <v>45869.41387731482</v>
      </c>
      <c r="C417" s="1" t="n">
        <v>46139</v>
      </c>
      <c r="D417" t="inlineStr">
        <is>
          <t>ÖREBRO LÄN</t>
        </is>
      </c>
      <c r="E417" t="inlineStr">
        <is>
          <t>ÖREBRO</t>
        </is>
      </c>
      <c r="F417" t="inlineStr">
        <is>
          <t>Övriga Aktiebolag</t>
        </is>
      </c>
      <c r="G417" t="n">
        <v>12.6</v>
      </c>
      <c r="H417" t="n">
        <v>0</v>
      </c>
      <c r="I417" t="n">
        <v>0</v>
      </c>
      <c r="J417" t="n">
        <v>0</v>
      </c>
      <c r="K417" t="n">
        <v>0</v>
      </c>
      <c r="L417" t="n">
        <v>0</v>
      </c>
      <c r="M417" t="n">
        <v>0</v>
      </c>
      <c r="N417" t="n">
        <v>0</v>
      </c>
      <c r="O417" t="n">
        <v>0</v>
      </c>
      <c r="P417" t="n">
        <v>0</v>
      </c>
      <c r="Q417" t="n">
        <v>0</v>
      </c>
      <c r="R417" s="2" t="inlineStr"/>
    </row>
    <row r="418" ht="15" customHeight="1">
      <c r="A418" t="inlineStr">
        <is>
          <t>A 59857-2025</t>
        </is>
      </c>
      <c r="B418" s="1" t="n">
        <v>45992.75820601852</v>
      </c>
      <c r="C418" s="1" t="n">
        <v>46139</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59938-2025</t>
        </is>
      </c>
      <c r="B419" s="1" t="n">
        <v>45993.42108796296</v>
      </c>
      <c r="C419" s="1" t="n">
        <v>46139</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5762-2025</t>
        </is>
      </c>
      <c r="B420" s="1" t="n">
        <v>45694.57181712963</v>
      </c>
      <c r="C420" s="1" t="n">
        <v>46139</v>
      </c>
      <c r="D420" t="inlineStr">
        <is>
          <t>ÖREBRO LÄN</t>
        </is>
      </c>
      <c r="E420" t="inlineStr">
        <is>
          <t>ÖREBRO</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51180-2023</t>
        </is>
      </c>
      <c r="B421" s="1" t="n">
        <v>45219</v>
      </c>
      <c r="C421" s="1" t="n">
        <v>46139</v>
      </c>
      <c r="D421" t="inlineStr">
        <is>
          <t>ÖREBRO LÄN</t>
        </is>
      </c>
      <c r="E421" t="inlineStr">
        <is>
          <t>ÖREBRO</t>
        </is>
      </c>
      <c r="G421" t="n">
        <v>6.5</v>
      </c>
      <c r="H421" t="n">
        <v>0</v>
      </c>
      <c r="I421" t="n">
        <v>0</v>
      </c>
      <c r="J421" t="n">
        <v>0</v>
      </c>
      <c r="K421" t="n">
        <v>0</v>
      </c>
      <c r="L421" t="n">
        <v>0</v>
      </c>
      <c r="M421" t="n">
        <v>0</v>
      </c>
      <c r="N421" t="n">
        <v>0</v>
      </c>
      <c r="O421" t="n">
        <v>0</v>
      </c>
      <c r="P421" t="n">
        <v>0</v>
      </c>
      <c r="Q421" t="n">
        <v>0</v>
      </c>
      <c r="R421" s="2" t="inlineStr"/>
    </row>
    <row r="422" ht="15" customHeight="1">
      <c r="A422" t="inlineStr">
        <is>
          <t>A 58621-2024</t>
        </is>
      </c>
      <c r="B422" s="1" t="n">
        <v>45635.56321759259</v>
      </c>
      <c r="C422" s="1" t="n">
        <v>46139</v>
      </c>
      <c r="D422" t="inlineStr">
        <is>
          <t>ÖREBRO LÄN</t>
        </is>
      </c>
      <c r="E422" t="inlineStr">
        <is>
          <t>ÖREBRO</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59856-2025</t>
        </is>
      </c>
      <c r="B423" s="1" t="n">
        <v>45992.74891203704</v>
      </c>
      <c r="C423" s="1" t="n">
        <v>46139</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59860-2025</t>
        </is>
      </c>
      <c r="B424" s="1" t="n">
        <v>45992.78351851852</v>
      </c>
      <c r="C424" s="1" t="n">
        <v>46139</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59858-2025</t>
        </is>
      </c>
      <c r="B425" s="1" t="n">
        <v>45992.76758101852</v>
      </c>
      <c r="C425" s="1" t="n">
        <v>46139</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59859-2025</t>
        </is>
      </c>
      <c r="B426" s="1" t="n">
        <v>45992.7803125</v>
      </c>
      <c r="C426" s="1" t="n">
        <v>46139</v>
      </c>
      <c r="D426" t="inlineStr">
        <is>
          <t>ÖREBRO LÄN</t>
        </is>
      </c>
      <c r="E426" t="inlineStr">
        <is>
          <t>ÖREBRO</t>
        </is>
      </c>
      <c r="G426" t="n">
        <v>0.4</v>
      </c>
      <c r="H426" t="n">
        <v>0</v>
      </c>
      <c r="I426" t="n">
        <v>0</v>
      </c>
      <c r="J426" t="n">
        <v>0</v>
      </c>
      <c r="K426" t="n">
        <v>0</v>
      </c>
      <c r="L426" t="n">
        <v>0</v>
      </c>
      <c r="M426" t="n">
        <v>0</v>
      </c>
      <c r="N426" t="n">
        <v>0</v>
      </c>
      <c r="O426" t="n">
        <v>0</v>
      </c>
      <c r="P426" t="n">
        <v>0</v>
      </c>
      <c r="Q426" t="n">
        <v>0</v>
      </c>
      <c r="R426" s="2" t="inlineStr"/>
    </row>
    <row r="427" ht="15" customHeight="1">
      <c r="A427" t="inlineStr">
        <is>
          <t>A 59937-2025</t>
        </is>
      </c>
      <c r="B427" s="1" t="n">
        <v>45993.41934027777</v>
      </c>
      <c r="C427" s="1" t="n">
        <v>46139</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60551-2025</t>
        </is>
      </c>
      <c r="B428" s="1" t="n">
        <v>45995</v>
      </c>
      <c r="C428" s="1" t="n">
        <v>46139</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5578-2024</t>
        </is>
      </c>
      <c r="B429" s="1" t="n">
        <v>45334.49104166667</v>
      </c>
      <c r="C429" s="1" t="n">
        <v>46139</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60466-2025</t>
        </is>
      </c>
      <c r="B430" s="1" t="n">
        <v>45995.55927083334</v>
      </c>
      <c r="C430" s="1" t="n">
        <v>46139</v>
      </c>
      <c r="D430" t="inlineStr">
        <is>
          <t>ÖREBRO LÄN</t>
        </is>
      </c>
      <c r="E430" t="inlineStr">
        <is>
          <t>ÖREBRO</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60555-2025</t>
        </is>
      </c>
      <c r="B431" s="1" t="n">
        <v>45995.73722222223</v>
      </c>
      <c r="C431" s="1" t="n">
        <v>46139</v>
      </c>
      <c r="D431" t="inlineStr">
        <is>
          <t>ÖREBRO LÄN</t>
        </is>
      </c>
      <c r="E431" t="inlineStr">
        <is>
          <t>ÖREBRO</t>
        </is>
      </c>
      <c r="G431" t="n">
        <v>1.7</v>
      </c>
      <c r="H431" t="n">
        <v>0</v>
      </c>
      <c r="I431" t="n">
        <v>0</v>
      </c>
      <c r="J431" t="n">
        <v>0</v>
      </c>
      <c r="K431" t="n">
        <v>0</v>
      </c>
      <c r="L431" t="n">
        <v>0</v>
      </c>
      <c r="M431" t="n">
        <v>0</v>
      </c>
      <c r="N431" t="n">
        <v>0</v>
      </c>
      <c r="O431" t="n">
        <v>0</v>
      </c>
      <c r="P431" t="n">
        <v>0</v>
      </c>
      <c r="Q431" t="n">
        <v>0</v>
      </c>
      <c r="R431" s="2" t="inlineStr"/>
    </row>
    <row r="432" ht="15" customHeight="1">
      <c r="A432" t="inlineStr">
        <is>
          <t>A 60720-2025</t>
        </is>
      </c>
      <c r="B432" s="1" t="n">
        <v>45996.64050925926</v>
      </c>
      <c r="C432" s="1" t="n">
        <v>46139</v>
      </c>
      <c r="D432" t="inlineStr">
        <is>
          <t>ÖREBRO LÄN</t>
        </is>
      </c>
      <c r="E432" t="inlineStr">
        <is>
          <t>ÖREBRO</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60840-2025</t>
        </is>
      </c>
      <c r="B433" s="1" t="n">
        <v>45999.48547453704</v>
      </c>
      <c r="C433" s="1" t="n">
        <v>46139</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60717-2025</t>
        </is>
      </c>
      <c r="B434" s="1" t="n">
        <v>45996.63673611111</v>
      </c>
      <c r="C434" s="1" t="n">
        <v>46139</v>
      </c>
      <c r="D434" t="inlineStr">
        <is>
          <t>ÖREBRO LÄN</t>
        </is>
      </c>
      <c r="E434" t="inlineStr">
        <is>
          <t>ÖREBRO</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60718-2025</t>
        </is>
      </c>
      <c r="B435" s="1" t="n">
        <v>45996.6384375</v>
      </c>
      <c r="C435" s="1" t="n">
        <v>46139</v>
      </c>
      <c r="D435" t="inlineStr">
        <is>
          <t>ÖREBRO LÄN</t>
        </is>
      </c>
      <c r="E435" t="inlineStr">
        <is>
          <t>ÖREBRO</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46139</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29554-2025</t>
        </is>
      </c>
      <c r="B437" s="1" t="n">
        <v>45825</v>
      </c>
      <c r="C437" s="1" t="n">
        <v>46139</v>
      </c>
      <c r="D437" t="inlineStr">
        <is>
          <t>ÖREBRO LÄN</t>
        </is>
      </c>
      <c r="E437" t="inlineStr">
        <is>
          <t>ÖREBRO</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32086-2023</t>
        </is>
      </c>
      <c r="B438" s="1" t="n">
        <v>45119.59789351852</v>
      </c>
      <c r="C438" s="1" t="n">
        <v>46139</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61525-2025</t>
        </is>
      </c>
      <c r="B439" s="1" t="n">
        <v>46001</v>
      </c>
      <c r="C439" s="1" t="n">
        <v>46139</v>
      </c>
      <c r="D439" t="inlineStr">
        <is>
          <t>ÖREBRO LÄN</t>
        </is>
      </c>
      <c r="E439" t="inlineStr">
        <is>
          <t>ÖREBRO</t>
        </is>
      </c>
      <c r="G439" t="n">
        <v>2.6</v>
      </c>
      <c r="H439" t="n">
        <v>0</v>
      </c>
      <c r="I439" t="n">
        <v>0</v>
      </c>
      <c r="J439" t="n">
        <v>0</v>
      </c>
      <c r="K439" t="n">
        <v>0</v>
      </c>
      <c r="L439" t="n">
        <v>0</v>
      </c>
      <c r="M439" t="n">
        <v>0</v>
      </c>
      <c r="N439" t="n">
        <v>0</v>
      </c>
      <c r="O439" t="n">
        <v>0</v>
      </c>
      <c r="P439" t="n">
        <v>0</v>
      </c>
      <c r="Q439" t="n">
        <v>0</v>
      </c>
      <c r="R439" s="2" t="inlineStr"/>
    </row>
    <row r="440" ht="15" customHeight="1">
      <c r="A440" t="inlineStr">
        <is>
          <t>A 22079-2023</t>
        </is>
      </c>
      <c r="B440" s="1" t="n">
        <v>45069</v>
      </c>
      <c r="C440" s="1" t="n">
        <v>46139</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61930-2025</t>
        </is>
      </c>
      <c r="B441" s="1" t="n">
        <v>46003</v>
      </c>
      <c r="C441" s="1" t="n">
        <v>46139</v>
      </c>
      <c r="D441" t="inlineStr">
        <is>
          <t>ÖREBRO LÄN</t>
        </is>
      </c>
      <c r="E441" t="inlineStr">
        <is>
          <t>ÖREBRO</t>
        </is>
      </c>
      <c r="G441" t="n">
        <v>2.3</v>
      </c>
      <c r="H441" t="n">
        <v>0</v>
      </c>
      <c r="I441" t="n">
        <v>0</v>
      </c>
      <c r="J441" t="n">
        <v>0</v>
      </c>
      <c r="K441" t="n">
        <v>0</v>
      </c>
      <c r="L441" t="n">
        <v>0</v>
      </c>
      <c r="M441" t="n">
        <v>0</v>
      </c>
      <c r="N441" t="n">
        <v>0</v>
      </c>
      <c r="O441" t="n">
        <v>0</v>
      </c>
      <c r="P441" t="n">
        <v>0</v>
      </c>
      <c r="Q441" t="n">
        <v>0</v>
      </c>
      <c r="R441" s="2" t="inlineStr"/>
    </row>
    <row r="442" ht="15" customHeight="1">
      <c r="A442" t="inlineStr">
        <is>
          <t>A 2630-2023</t>
        </is>
      </c>
      <c r="B442" s="1" t="n">
        <v>44944.39105324074</v>
      </c>
      <c r="C442" s="1" t="n">
        <v>46139</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5330-2024</t>
        </is>
      </c>
      <c r="B443" s="1" t="n">
        <v>45331.4187962963</v>
      </c>
      <c r="C443" s="1" t="n">
        <v>46139</v>
      </c>
      <c r="D443" t="inlineStr">
        <is>
          <t>ÖREBRO LÄN</t>
        </is>
      </c>
      <c r="E443" t="inlineStr">
        <is>
          <t>ÖREBRO</t>
        </is>
      </c>
      <c r="G443" t="n">
        <v>1.4</v>
      </c>
      <c r="H443" t="n">
        <v>0</v>
      </c>
      <c r="I443" t="n">
        <v>0</v>
      </c>
      <c r="J443" t="n">
        <v>0</v>
      </c>
      <c r="K443" t="n">
        <v>0</v>
      </c>
      <c r="L443" t="n">
        <v>0</v>
      </c>
      <c r="M443" t="n">
        <v>0</v>
      </c>
      <c r="N443" t="n">
        <v>0</v>
      </c>
      <c r="O443" t="n">
        <v>0</v>
      </c>
      <c r="P443" t="n">
        <v>0</v>
      </c>
      <c r="Q443" t="n">
        <v>0</v>
      </c>
      <c r="R443" s="2" t="inlineStr"/>
    </row>
    <row r="444" ht="15" customHeight="1">
      <c r="A444" t="inlineStr">
        <is>
          <t>A 54925-2023</t>
        </is>
      </c>
      <c r="B444" s="1" t="n">
        <v>45229</v>
      </c>
      <c r="C444" s="1" t="n">
        <v>46139</v>
      </c>
      <c r="D444" t="inlineStr">
        <is>
          <t>ÖREBRO LÄN</t>
        </is>
      </c>
      <c r="E444" t="inlineStr">
        <is>
          <t>ÖREBRO</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38057-2025</t>
        </is>
      </c>
      <c r="B445" s="1" t="n">
        <v>45882.42570601852</v>
      </c>
      <c r="C445" s="1" t="n">
        <v>46139</v>
      </c>
      <c r="D445" t="inlineStr">
        <is>
          <t>ÖREBRO LÄN</t>
        </is>
      </c>
      <c r="E445" t="inlineStr">
        <is>
          <t>ÖREBRO</t>
        </is>
      </c>
      <c r="G445" t="n">
        <v>3</v>
      </c>
      <c r="H445" t="n">
        <v>0</v>
      </c>
      <c r="I445" t="n">
        <v>0</v>
      </c>
      <c r="J445" t="n">
        <v>0</v>
      </c>
      <c r="K445" t="n">
        <v>0</v>
      </c>
      <c r="L445" t="n">
        <v>0</v>
      </c>
      <c r="M445" t="n">
        <v>0</v>
      </c>
      <c r="N445" t="n">
        <v>0</v>
      </c>
      <c r="O445" t="n">
        <v>0</v>
      </c>
      <c r="P445" t="n">
        <v>0</v>
      </c>
      <c r="Q445" t="n">
        <v>0</v>
      </c>
      <c r="R445" s="2" t="inlineStr"/>
    </row>
    <row r="446" ht="15" customHeight="1">
      <c r="A446" t="inlineStr">
        <is>
          <t>A 10830-2023</t>
        </is>
      </c>
      <c r="B446" s="1" t="n">
        <v>44990.89752314815</v>
      </c>
      <c r="C446" s="1" t="n">
        <v>46139</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9585-2025</t>
        </is>
      </c>
      <c r="B447" s="1" t="n">
        <v>45715.63409722222</v>
      </c>
      <c r="C447" s="1" t="n">
        <v>46139</v>
      </c>
      <c r="D447" t="inlineStr">
        <is>
          <t>ÖREBRO LÄN</t>
        </is>
      </c>
      <c r="E447" t="inlineStr">
        <is>
          <t>ÖREBRO</t>
        </is>
      </c>
      <c r="G447" t="n">
        <v>3.4</v>
      </c>
      <c r="H447" t="n">
        <v>0</v>
      </c>
      <c r="I447" t="n">
        <v>0</v>
      </c>
      <c r="J447" t="n">
        <v>0</v>
      </c>
      <c r="K447" t="n">
        <v>0</v>
      </c>
      <c r="L447" t="n">
        <v>0</v>
      </c>
      <c r="M447" t="n">
        <v>0</v>
      </c>
      <c r="N447" t="n">
        <v>0</v>
      </c>
      <c r="O447" t="n">
        <v>0</v>
      </c>
      <c r="P447" t="n">
        <v>0</v>
      </c>
      <c r="Q447" t="n">
        <v>0</v>
      </c>
      <c r="R447" s="2" t="inlineStr"/>
    </row>
    <row r="448" ht="15" customHeight="1">
      <c r="A448" t="inlineStr">
        <is>
          <t>A 5125-2024</t>
        </is>
      </c>
      <c r="B448" s="1" t="n">
        <v>45330</v>
      </c>
      <c r="C448" s="1" t="n">
        <v>46139</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42138-2024</t>
        </is>
      </c>
      <c r="B449" s="1" t="n">
        <v>45562.41854166667</v>
      </c>
      <c r="C449" s="1" t="n">
        <v>46139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26101-2022</t>
        </is>
      </c>
      <c r="B450" s="1" t="n">
        <v>44734</v>
      </c>
      <c r="C450" s="1" t="n">
        <v>46139</v>
      </c>
      <c r="D450" t="inlineStr">
        <is>
          <t>ÖREBRO LÄN</t>
        </is>
      </c>
      <c r="E450" t="inlineStr">
        <is>
          <t>ÖREBRO</t>
        </is>
      </c>
      <c r="G450" t="n">
        <v>15.8</v>
      </c>
      <c r="H450" t="n">
        <v>0</v>
      </c>
      <c r="I450" t="n">
        <v>0</v>
      </c>
      <c r="J450" t="n">
        <v>0</v>
      </c>
      <c r="K450" t="n">
        <v>0</v>
      </c>
      <c r="L450" t="n">
        <v>0</v>
      </c>
      <c r="M450" t="n">
        <v>0</v>
      </c>
      <c r="N450" t="n">
        <v>0</v>
      </c>
      <c r="O450" t="n">
        <v>0</v>
      </c>
      <c r="P450" t="n">
        <v>0</v>
      </c>
      <c r="Q450" t="n">
        <v>0</v>
      </c>
      <c r="R450" s="2" t="inlineStr"/>
    </row>
    <row r="451" ht="15" customHeight="1">
      <c r="A451" t="inlineStr">
        <is>
          <t>A 2095-2025</t>
        </is>
      </c>
      <c r="B451" s="1" t="n">
        <v>45672</v>
      </c>
      <c r="C451" s="1" t="n">
        <v>46139</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62683-2025</t>
        </is>
      </c>
      <c r="B452" s="1" t="n">
        <v>46008.45796296297</v>
      </c>
      <c r="C452" s="1" t="n">
        <v>46139</v>
      </c>
      <c r="D452" t="inlineStr">
        <is>
          <t>ÖREBRO LÄN</t>
        </is>
      </c>
      <c r="E452" t="inlineStr">
        <is>
          <t>ÖREBRO</t>
        </is>
      </c>
      <c r="G452" t="n">
        <v>5.1</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46139</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55003-2025</t>
        </is>
      </c>
      <c r="B454" s="1" t="n">
        <v>45967</v>
      </c>
      <c r="C454" s="1" t="n">
        <v>46139</v>
      </c>
      <c r="D454" t="inlineStr">
        <is>
          <t>ÖREBRO LÄN</t>
        </is>
      </c>
      <c r="E454" t="inlineStr">
        <is>
          <t>ÖREBRO</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48140-2024</t>
        </is>
      </c>
      <c r="B455" s="1" t="n">
        <v>45589.66474537037</v>
      </c>
      <c r="C455" s="1" t="n">
        <v>46139</v>
      </c>
      <c r="D455" t="inlineStr">
        <is>
          <t>ÖREBRO LÄN</t>
        </is>
      </c>
      <c r="E455" t="inlineStr">
        <is>
          <t>ÖREBRO</t>
        </is>
      </c>
      <c r="G455" t="n">
        <v>2.4</v>
      </c>
      <c r="H455" t="n">
        <v>0</v>
      </c>
      <c r="I455" t="n">
        <v>0</v>
      </c>
      <c r="J455" t="n">
        <v>0</v>
      </c>
      <c r="K455" t="n">
        <v>0</v>
      </c>
      <c r="L455" t="n">
        <v>0</v>
      </c>
      <c r="M455" t="n">
        <v>0</v>
      </c>
      <c r="N455" t="n">
        <v>0</v>
      </c>
      <c r="O455" t="n">
        <v>0</v>
      </c>
      <c r="P455" t="n">
        <v>0</v>
      </c>
      <c r="Q455" t="n">
        <v>0</v>
      </c>
      <c r="R455" s="2" t="inlineStr"/>
    </row>
    <row r="456" ht="15" customHeight="1">
      <c r="A456" t="inlineStr">
        <is>
          <t>A 41703-2024</t>
        </is>
      </c>
      <c r="B456" s="1" t="n">
        <v>45560</v>
      </c>
      <c r="C456" s="1" t="n">
        <v>46139</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16258-2022</t>
        </is>
      </c>
      <c r="B457" s="1" t="n">
        <v>44670</v>
      </c>
      <c r="C457" s="1" t="n">
        <v>46139</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63657-2025</t>
        </is>
      </c>
      <c r="B458" s="1" t="n">
        <v>46014.44479166667</v>
      </c>
      <c r="C458" s="1" t="n">
        <v>46139</v>
      </c>
      <c r="D458" t="inlineStr">
        <is>
          <t>ÖREBRO LÄN</t>
        </is>
      </c>
      <c r="E458" t="inlineStr">
        <is>
          <t>ÖREBRO</t>
        </is>
      </c>
      <c r="F458" t="inlineStr">
        <is>
          <t>Allmännings- och besparingsskogar</t>
        </is>
      </c>
      <c r="G458" t="n">
        <v>3.9</v>
      </c>
      <c r="H458" t="n">
        <v>0</v>
      </c>
      <c r="I458" t="n">
        <v>0</v>
      </c>
      <c r="J458" t="n">
        <v>0</v>
      </c>
      <c r="K458" t="n">
        <v>0</v>
      </c>
      <c r="L458" t="n">
        <v>0</v>
      </c>
      <c r="M458" t="n">
        <v>0</v>
      </c>
      <c r="N458" t="n">
        <v>0</v>
      </c>
      <c r="O458" t="n">
        <v>0</v>
      </c>
      <c r="P458" t="n">
        <v>0</v>
      </c>
      <c r="Q458" t="n">
        <v>0</v>
      </c>
      <c r="R458" s="2" t="inlineStr"/>
    </row>
    <row r="459" ht="15" customHeight="1">
      <c r="A459" t="inlineStr">
        <is>
          <t>A 63666-2025</t>
        </is>
      </c>
      <c r="B459" s="1" t="n">
        <v>46014.45650462963</v>
      </c>
      <c r="C459" s="1" t="n">
        <v>46139</v>
      </c>
      <c r="D459" t="inlineStr">
        <is>
          <t>ÖREBRO LÄN</t>
        </is>
      </c>
      <c r="E459" t="inlineStr">
        <is>
          <t>ÖREBRO</t>
        </is>
      </c>
      <c r="F459" t="inlineStr">
        <is>
          <t>Allmännings- och besparingsskogar</t>
        </is>
      </c>
      <c r="G459" t="n">
        <v>2.6</v>
      </c>
      <c r="H459" t="n">
        <v>0</v>
      </c>
      <c r="I459" t="n">
        <v>0</v>
      </c>
      <c r="J459" t="n">
        <v>0</v>
      </c>
      <c r="K459" t="n">
        <v>0</v>
      </c>
      <c r="L459" t="n">
        <v>0</v>
      </c>
      <c r="M459" t="n">
        <v>0</v>
      </c>
      <c r="N459" t="n">
        <v>0</v>
      </c>
      <c r="O459" t="n">
        <v>0</v>
      </c>
      <c r="P459" t="n">
        <v>0</v>
      </c>
      <c r="Q459" t="n">
        <v>0</v>
      </c>
      <c r="R459" s="2" t="inlineStr"/>
    </row>
    <row r="460" ht="15" customHeight="1">
      <c r="A460" t="inlineStr">
        <is>
          <t>A 63662-2025</t>
        </is>
      </c>
      <c r="B460" s="1" t="n">
        <v>46014.45055555556</v>
      </c>
      <c r="C460" s="1" t="n">
        <v>46139</v>
      </c>
      <c r="D460" t="inlineStr">
        <is>
          <t>ÖREBRO LÄN</t>
        </is>
      </c>
      <c r="E460" t="inlineStr">
        <is>
          <t>ÖREBRO</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64018-2025</t>
        </is>
      </c>
      <c r="B461" s="1" t="n">
        <v>46021.4546412037</v>
      </c>
      <c r="C461" s="1" t="n">
        <v>46139</v>
      </c>
      <c r="D461" t="inlineStr">
        <is>
          <t>ÖREBRO LÄN</t>
        </is>
      </c>
      <c r="E461" t="inlineStr">
        <is>
          <t>ÖREBRO</t>
        </is>
      </c>
      <c r="G461" t="n">
        <v>2.9</v>
      </c>
      <c r="H461" t="n">
        <v>0</v>
      </c>
      <c r="I461" t="n">
        <v>0</v>
      </c>
      <c r="J461" t="n">
        <v>0</v>
      </c>
      <c r="K461" t="n">
        <v>0</v>
      </c>
      <c r="L461" t="n">
        <v>0</v>
      </c>
      <c r="M461" t="n">
        <v>0</v>
      </c>
      <c r="N461" t="n">
        <v>0</v>
      </c>
      <c r="O461" t="n">
        <v>0</v>
      </c>
      <c r="P461" t="n">
        <v>0</v>
      </c>
      <c r="Q461" t="n">
        <v>0</v>
      </c>
      <c r="R461" s="2" t="inlineStr"/>
    </row>
    <row r="462" ht="15" customHeight="1">
      <c r="A462" t="inlineStr">
        <is>
          <t>A 33577-2023</t>
        </is>
      </c>
      <c r="B462" s="1" t="n">
        <v>45131</v>
      </c>
      <c r="C462" s="1" t="n">
        <v>46139</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38489-2023</t>
        </is>
      </c>
      <c r="B463" s="1" t="n">
        <v>45162</v>
      </c>
      <c r="C463" s="1" t="n">
        <v>46139</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64019-2025</t>
        </is>
      </c>
      <c r="B464" s="1" t="n">
        <v>46021.45914351852</v>
      </c>
      <c r="C464" s="1" t="n">
        <v>46139</v>
      </c>
      <c r="D464" t="inlineStr">
        <is>
          <t>ÖREBRO LÄN</t>
        </is>
      </c>
      <c r="E464" t="inlineStr">
        <is>
          <t>ÖREBRO</t>
        </is>
      </c>
      <c r="G464" t="n">
        <v>2</v>
      </c>
      <c r="H464" t="n">
        <v>0</v>
      </c>
      <c r="I464" t="n">
        <v>0</v>
      </c>
      <c r="J464" t="n">
        <v>0</v>
      </c>
      <c r="K464" t="n">
        <v>0</v>
      </c>
      <c r="L464" t="n">
        <v>0</v>
      </c>
      <c r="M464" t="n">
        <v>0</v>
      </c>
      <c r="N464" t="n">
        <v>0</v>
      </c>
      <c r="O464" t="n">
        <v>0</v>
      </c>
      <c r="P464" t="n">
        <v>0</v>
      </c>
      <c r="Q464" t="n">
        <v>0</v>
      </c>
      <c r="R464" s="2" t="inlineStr"/>
    </row>
    <row r="465" ht="15" customHeight="1">
      <c r="A465" t="inlineStr">
        <is>
          <t>A 19763-2024</t>
        </is>
      </c>
      <c r="B465" s="1" t="n">
        <v>45432</v>
      </c>
      <c r="C465" s="1" t="n">
        <v>46139</v>
      </c>
      <c r="D465" t="inlineStr">
        <is>
          <t>ÖREBRO LÄN</t>
        </is>
      </c>
      <c r="E465" t="inlineStr">
        <is>
          <t>ÖREBRO</t>
        </is>
      </c>
      <c r="G465" t="n">
        <v>1.9</v>
      </c>
      <c r="H465" t="n">
        <v>0</v>
      </c>
      <c r="I465" t="n">
        <v>0</v>
      </c>
      <c r="J465" t="n">
        <v>0</v>
      </c>
      <c r="K465" t="n">
        <v>0</v>
      </c>
      <c r="L465" t="n">
        <v>0</v>
      </c>
      <c r="M465" t="n">
        <v>0</v>
      </c>
      <c r="N465" t="n">
        <v>0</v>
      </c>
      <c r="O465" t="n">
        <v>0</v>
      </c>
      <c r="P465" t="n">
        <v>0</v>
      </c>
      <c r="Q465" t="n">
        <v>0</v>
      </c>
      <c r="R465" s="2" t="inlineStr"/>
    </row>
    <row r="466" ht="15" customHeight="1">
      <c r="A466" t="inlineStr">
        <is>
          <t>A 14545-2023</t>
        </is>
      </c>
      <c r="B466" s="1" t="n">
        <v>45013.34895833334</v>
      </c>
      <c r="C466" s="1" t="n">
        <v>46139</v>
      </c>
      <c r="D466" t="inlineStr">
        <is>
          <t>ÖREBRO LÄN</t>
        </is>
      </c>
      <c r="E466" t="inlineStr">
        <is>
          <t>ÖREBRO</t>
        </is>
      </c>
      <c r="G466" t="n">
        <v>2.5</v>
      </c>
      <c r="H466" t="n">
        <v>0</v>
      </c>
      <c r="I466" t="n">
        <v>0</v>
      </c>
      <c r="J466" t="n">
        <v>0</v>
      </c>
      <c r="K466" t="n">
        <v>0</v>
      </c>
      <c r="L466" t="n">
        <v>0</v>
      </c>
      <c r="M466" t="n">
        <v>0</v>
      </c>
      <c r="N466" t="n">
        <v>0</v>
      </c>
      <c r="O466" t="n">
        <v>0</v>
      </c>
      <c r="P466" t="n">
        <v>0</v>
      </c>
      <c r="Q466" t="n">
        <v>0</v>
      </c>
      <c r="R466" s="2" t="inlineStr"/>
    </row>
    <row r="467" ht="15" customHeight="1">
      <c r="A467" t="inlineStr">
        <is>
          <t>A 54917-2023</t>
        </is>
      </c>
      <c r="B467" s="1" t="n">
        <v>45229</v>
      </c>
      <c r="C467" s="1" t="n">
        <v>46139</v>
      </c>
      <c r="D467" t="inlineStr">
        <is>
          <t>ÖREBRO LÄN</t>
        </is>
      </c>
      <c r="E467" t="inlineStr">
        <is>
          <t>ÖREBRO</t>
        </is>
      </c>
      <c r="G467" t="n">
        <v>3.1</v>
      </c>
      <c r="H467" t="n">
        <v>0</v>
      </c>
      <c r="I467" t="n">
        <v>0</v>
      </c>
      <c r="J467" t="n">
        <v>0</v>
      </c>
      <c r="K467" t="n">
        <v>0</v>
      </c>
      <c r="L467" t="n">
        <v>0</v>
      </c>
      <c r="M467" t="n">
        <v>0</v>
      </c>
      <c r="N467" t="n">
        <v>0</v>
      </c>
      <c r="O467" t="n">
        <v>0</v>
      </c>
      <c r="P467" t="n">
        <v>0</v>
      </c>
      <c r="Q467" t="n">
        <v>0</v>
      </c>
      <c r="R467" s="2" t="inlineStr"/>
    </row>
    <row r="468" ht="15" customHeight="1">
      <c r="A468" t="inlineStr">
        <is>
          <t>A 14432-2023</t>
        </is>
      </c>
      <c r="B468" s="1" t="n">
        <v>45012</v>
      </c>
      <c r="C468" s="1" t="n">
        <v>46139</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44586.46921296296</v>
      </c>
      <c r="C469" s="1" t="n">
        <v>46139</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37021-2024</t>
        </is>
      </c>
      <c r="B470" s="1" t="n">
        <v>45539.38146990741</v>
      </c>
      <c r="C470" s="1" t="n">
        <v>46139</v>
      </c>
      <c r="D470" t="inlineStr">
        <is>
          <t>ÖREBRO LÄN</t>
        </is>
      </c>
      <c r="E470" t="inlineStr">
        <is>
          <t>ÖREBRO</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52499-2024</t>
        </is>
      </c>
      <c r="B471" s="1" t="n">
        <v>45609.58422453704</v>
      </c>
      <c r="C471" s="1" t="n">
        <v>46139</v>
      </c>
      <c r="D471" t="inlineStr">
        <is>
          <t>ÖREBRO LÄN</t>
        </is>
      </c>
      <c r="E471" t="inlineStr">
        <is>
          <t>ÖREBRO</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14960-2025</t>
        </is>
      </c>
      <c r="B472" s="1" t="n">
        <v>45743.5853125</v>
      </c>
      <c r="C472" s="1" t="n">
        <v>46139</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13623-2024</t>
        </is>
      </c>
      <c r="B473" s="1" t="n">
        <v>45390.38626157407</v>
      </c>
      <c r="C473" s="1" t="n">
        <v>46139</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1153-2026</t>
        </is>
      </c>
      <c r="B474" s="1" t="n">
        <v>46031.30899305556</v>
      </c>
      <c r="C474" s="1" t="n">
        <v>46139</v>
      </c>
      <c r="D474" t="inlineStr">
        <is>
          <t>ÖREBRO LÄN</t>
        </is>
      </c>
      <c r="E474" t="inlineStr">
        <is>
          <t>ÖREBRO</t>
        </is>
      </c>
      <c r="G474" t="n">
        <v>3.3</v>
      </c>
      <c r="H474" t="n">
        <v>0</v>
      </c>
      <c r="I474" t="n">
        <v>0</v>
      </c>
      <c r="J474" t="n">
        <v>0</v>
      </c>
      <c r="K474" t="n">
        <v>0</v>
      </c>
      <c r="L474" t="n">
        <v>0</v>
      </c>
      <c r="M474" t="n">
        <v>0</v>
      </c>
      <c r="N474" t="n">
        <v>0</v>
      </c>
      <c r="O474" t="n">
        <v>0</v>
      </c>
      <c r="P474" t="n">
        <v>0</v>
      </c>
      <c r="Q474" t="n">
        <v>0</v>
      </c>
      <c r="R474" s="2" t="inlineStr"/>
    </row>
    <row r="475" ht="15" customHeight="1">
      <c r="A475" t="inlineStr">
        <is>
          <t>A 5619-2023</t>
        </is>
      </c>
      <c r="B475" s="1" t="n">
        <v>44958</v>
      </c>
      <c r="C475" s="1" t="n">
        <v>46139</v>
      </c>
      <c r="D475" t="inlineStr">
        <is>
          <t>ÖREBRO LÄN</t>
        </is>
      </c>
      <c r="E475" t="inlineStr">
        <is>
          <t>ÖREBRO</t>
        </is>
      </c>
      <c r="G475" t="n">
        <v>27</v>
      </c>
      <c r="H475" t="n">
        <v>0</v>
      </c>
      <c r="I475" t="n">
        <v>0</v>
      </c>
      <c r="J475" t="n">
        <v>0</v>
      </c>
      <c r="K475" t="n">
        <v>0</v>
      </c>
      <c r="L475" t="n">
        <v>0</v>
      </c>
      <c r="M475" t="n">
        <v>0</v>
      </c>
      <c r="N475" t="n">
        <v>0</v>
      </c>
      <c r="O475" t="n">
        <v>0</v>
      </c>
      <c r="P475" t="n">
        <v>0</v>
      </c>
      <c r="Q475" t="n">
        <v>0</v>
      </c>
      <c r="R475" s="2" t="inlineStr"/>
    </row>
    <row r="476" ht="15" customHeight="1">
      <c r="A476" t="inlineStr">
        <is>
          <t>A 37277-2022</t>
        </is>
      </c>
      <c r="B476" s="1" t="n">
        <v>44807.49150462963</v>
      </c>
      <c r="C476" s="1" t="n">
        <v>46139</v>
      </c>
      <c r="D476" t="inlineStr">
        <is>
          <t>ÖREBRO LÄN</t>
        </is>
      </c>
      <c r="E476" t="inlineStr">
        <is>
          <t>ÖREBRO</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23573-2023</t>
        </is>
      </c>
      <c r="B477" s="1" t="n">
        <v>45077.41672453703</v>
      </c>
      <c r="C477" s="1" t="n">
        <v>46139</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18550-2025</t>
        </is>
      </c>
      <c r="B478" s="1" t="n">
        <v>45763</v>
      </c>
      <c r="C478" s="1" t="n">
        <v>46139</v>
      </c>
      <c r="D478" t="inlineStr">
        <is>
          <t>ÖREBRO LÄN</t>
        </is>
      </c>
      <c r="E478" t="inlineStr">
        <is>
          <t>ÖREBRO</t>
        </is>
      </c>
      <c r="G478" t="n">
        <v>11.5</v>
      </c>
      <c r="H478" t="n">
        <v>0</v>
      </c>
      <c r="I478" t="n">
        <v>0</v>
      </c>
      <c r="J478" t="n">
        <v>0</v>
      </c>
      <c r="K478" t="n">
        <v>0</v>
      </c>
      <c r="L478" t="n">
        <v>0</v>
      </c>
      <c r="M478" t="n">
        <v>0</v>
      </c>
      <c r="N478" t="n">
        <v>0</v>
      </c>
      <c r="O478" t="n">
        <v>0</v>
      </c>
      <c r="P478" t="n">
        <v>0</v>
      </c>
      <c r="Q478" t="n">
        <v>0</v>
      </c>
      <c r="R478" s="2" t="inlineStr"/>
    </row>
    <row r="479" ht="15" customHeight="1">
      <c r="A479" t="inlineStr">
        <is>
          <t>A 61593-2023</t>
        </is>
      </c>
      <c r="B479" s="1" t="n">
        <v>45265</v>
      </c>
      <c r="C479" s="1" t="n">
        <v>46139</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59024-2024</t>
        </is>
      </c>
      <c r="B480" s="1" t="n">
        <v>45636.68505787037</v>
      </c>
      <c r="C480" s="1" t="n">
        <v>46139</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2162-2026</t>
        </is>
      </c>
      <c r="B481" s="1" t="n">
        <v>46036.43479166667</v>
      </c>
      <c r="C481" s="1" t="n">
        <v>46139</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59515-2025</t>
        </is>
      </c>
      <c r="B482" s="1" t="n">
        <v>45989.65238425926</v>
      </c>
      <c r="C482" s="1" t="n">
        <v>46139</v>
      </c>
      <c r="D482" t="inlineStr">
        <is>
          <t>ÖREBRO LÄN</t>
        </is>
      </c>
      <c r="E482" t="inlineStr">
        <is>
          <t>ÖREBRO</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10339-2023</t>
        </is>
      </c>
      <c r="B483" s="1" t="n">
        <v>44987</v>
      </c>
      <c r="C483" s="1" t="n">
        <v>46139</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31247-2023</t>
        </is>
      </c>
      <c r="B484" s="1" t="n">
        <v>45114</v>
      </c>
      <c r="C484" s="1" t="n">
        <v>46139</v>
      </c>
      <c r="D484" t="inlineStr">
        <is>
          <t>ÖREBRO LÄN</t>
        </is>
      </c>
      <c r="E484" t="inlineStr">
        <is>
          <t>ÖREBRO</t>
        </is>
      </c>
      <c r="F484" t="inlineStr">
        <is>
          <t>Allmännings- och besparingsskogar</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16165-2023</t>
        </is>
      </c>
      <c r="B485" s="1" t="n">
        <v>45027</v>
      </c>
      <c r="C485" s="1" t="n">
        <v>46139</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2970-2026</t>
        </is>
      </c>
      <c r="B486" s="1" t="n">
        <v>46038.6202662037</v>
      </c>
      <c r="C486" s="1" t="n">
        <v>46139</v>
      </c>
      <c r="D486" t="inlineStr">
        <is>
          <t>ÖREBRO LÄN</t>
        </is>
      </c>
      <c r="E486" t="inlineStr">
        <is>
          <t>ÖREBRO</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3252-2026</t>
        </is>
      </c>
      <c r="B487" s="1" t="n">
        <v>46041.58626157408</v>
      </c>
      <c r="C487" s="1" t="n">
        <v>46139</v>
      </c>
      <c r="D487" t="inlineStr">
        <is>
          <t>ÖREBRO LÄN</t>
        </is>
      </c>
      <c r="E487" t="inlineStr">
        <is>
          <t>ÖREBRO</t>
        </is>
      </c>
      <c r="F487" t="inlineStr">
        <is>
          <t>Övriga Aktiebolag</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39130-2023</t>
        </is>
      </c>
      <c r="B488" s="1" t="n">
        <v>45165</v>
      </c>
      <c r="C488" s="1" t="n">
        <v>46139</v>
      </c>
      <c r="D488" t="inlineStr">
        <is>
          <t>ÖREBRO LÄN</t>
        </is>
      </c>
      <c r="E488" t="inlineStr">
        <is>
          <t>ÖREBRO</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50398-2022</t>
        </is>
      </c>
      <c r="B489" s="1" t="n">
        <v>44861</v>
      </c>
      <c r="C489" s="1" t="n">
        <v>46139</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9379-2024</t>
        </is>
      </c>
      <c r="B490" s="1" t="n">
        <v>45359.37298611111</v>
      </c>
      <c r="C490" s="1" t="n">
        <v>46139</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3111-2026</t>
        </is>
      </c>
      <c r="B491" s="1" t="n">
        <v>46041.36004629629</v>
      </c>
      <c r="C491" s="1" t="n">
        <v>46139</v>
      </c>
      <c r="D491" t="inlineStr">
        <is>
          <t>ÖREBRO LÄN</t>
        </is>
      </c>
      <c r="E491" t="inlineStr">
        <is>
          <t>ÖREBRO</t>
        </is>
      </c>
      <c r="F491" t="inlineStr">
        <is>
          <t>Övriga Aktiebolag</t>
        </is>
      </c>
      <c r="G491" t="n">
        <v>8.6</v>
      </c>
      <c r="H491" t="n">
        <v>0</v>
      </c>
      <c r="I491" t="n">
        <v>0</v>
      </c>
      <c r="J491" t="n">
        <v>0</v>
      </c>
      <c r="K491" t="n">
        <v>0</v>
      </c>
      <c r="L491" t="n">
        <v>0</v>
      </c>
      <c r="M491" t="n">
        <v>0</v>
      </c>
      <c r="N491" t="n">
        <v>0</v>
      </c>
      <c r="O491" t="n">
        <v>0</v>
      </c>
      <c r="P491" t="n">
        <v>0</v>
      </c>
      <c r="Q491" t="n">
        <v>0</v>
      </c>
      <c r="R491" s="2" t="inlineStr"/>
    </row>
    <row r="492" ht="15" customHeight="1">
      <c r="A492" t="inlineStr">
        <is>
          <t>A 3031-2026</t>
        </is>
      </c>
      <c r="B492" s="1" t="n">
        <v>46038.71271990741</v>
      </c>
      <c r="C492" s="1" t="n">
        <v>46139</v>
      </c>
      <c r="D492" t="inlineStr">
        <is>
          <t>ÖREBRO LÄN</t>
        </is>
      </c>
      <c r="E492" t="inlineStr">
        <is>
          <t>ÖREBRO</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3033-2026</t>
        </is>
      </c>
      <c r="B493" s="1" t="n">
        <v>46038.71920138889</v>
      </c>
      <c r="C493" s="1" t="n">
        <v>46139</v>
      </c>
      <c r="D493" t="inlineStr">
        <is>
          <t>ÖREBRO LÄN</t>
        </is>
      </c>
      <c r="E493" t="inlineStr">
        <is>
          <t>ÖREBRO</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3042-2026</t>
        </is>
      </c>
      <c r="B494" s="1" t="n">
        <v>46038.73467592592</v>
      </c>
      <c r="C494" s="1" t="n">
        <v>46139</v>
      </c>
      <c r="D494" t="inlineStr">
        <is>
          <t>ÖREBRO LÄN</t>
        </is>
      </c>
      <c r="E494" t="inlineStr">
        <is>
          <t>ÖREBRO</t>
        </is>
      </c>
      <c r="F494" t="inlineStr">
        <is>
          <t>Övriga Aktiebolag</t>
        </is>
      </c>
      <c r="G494" t="n">
        <v>1</v>
      </c>
      <c r="H494" t="n">
        <v>0</v>
      </c>
      <c r="I494" t="n">
        <v>0</v>
      </c>
      <c r="J494" t="n">
        <v>0</v>
      </c>
      <c r="K494" t="n">
        <v>0</v>
      </c>
      <c r="L494" t="n">
        <v>0</v>
      </c>
      <c r="M494" t="n">
        <v>0</v>
      </c>
      <c r="N494" t="n">
        <v>0</v>
      </c>
      <c r="O494" t="n">
        <v>0</v>
      </c>
      <c r="P494" t="n">
        <v>0</v>
      </c>
      <c r="Q494" t="n">
        <v>0</v>
      </c>
      <c r="R494" s="2" t="inlineStr"/>
    </row>
    <row r="495" ht="15" customHeight="1">
      <c r="A495" t="inlineStr">
        <is>
          <t>A 35345-2024</t>
        </is>
      </c>
      <c r="B495" s="1" t="n">
        <v>45530</v>
      </c>
      <c r="C495" s="1" t="n">
        <v>46139</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45517-2023</t>
        </is>
      </c>
      <c r="B496" s="1" t="n">
        <v>45194.49594907407</v>
      </c>
      <c r="C496" s="1" t="n">
        <v>46139</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3944-2026</t>
        </is>
      </c>
      <c r="B497" s="1" t="n">
        <v>46043.93358796297</v>
      </c>
      <c r="C497" s="1" t="n">
        <v>46139</v>
      </c>
      <c r="D497" t="inlineStr">
        <is>
          <t>ÖREBRO LÄN</t>
        </is>
      </c>
      <c r="E497" t="inlineStr">
        <is>
          <t>ÖREBRO</t>
        </is>
      </c>
      <c r="F497" t="inlineStr">
        <is>
          <t>Övriga Aktiebolag</t>
        </is>
      </c>
      <c r="G497" t="n">
        <v>1.7</v>
      </c>
      <c r="H497" t="n">
        <v>0</v>
      </c>
      <c r="I497" t="n">
        <v>0</v>
      </c>
      <c r="J497" t="n">
        <v>0</v>
      </c>
      <c r="K497" t="n">
        <v>0</v>
      </c>
      <c r="L497" t="n">
        <v>0</v>
      </c>
      <c r="M497" t="n">
        <v>0</v>
      </c>
      <c r="N497" t="n">
        <v>0</v>
      </c>
      <c r="O497" t="n">
        <v>0</v>
      </c>
      <c r="P497" t="n">
        <v>0</v>
      </c>
      <c r="Q497" t="n">
        <v>0</v>
      </c>
      <c r="R497" s="2" t="inlineStr"/>
    </row>
    <row r="498" ht="15" customHeight="1">
      <c r="A498" t="inlineStr">
        <is>
          <t>A 32321-2023</t>
        </is>
      </c>
      <c r="B498" s="1" t="n">
        <v>45120</v>
      </c>
      <c r="C498" s="1" t="n">
        <v>46139</v>
      </c>
      <c r="D498" t="inlineStr">
        <is>
          <t>ÖREBRO LÄN</t>
        </is>
      </c>
      <c r="E498" t="inlineStr">
        <is>
          <t>ÖREBRO</t>
        </is>
      </c>
      <c r="G498" t="n">
        <v>3.4</v>
      </c>
      <c r="H498" t="n">
        <v>0</v>
      </c>
      <c r="I498" t="n">
        <v>0</v>
      </c>
      <c r="J498" t="n">
        <v>0</v>
      </c>
      <c r="K498" t="n">
        <v>0</v>
      </c>
      <c r="L498" t="n">
        <v>0</v>
      </c>
      <c r="M498" t="n">
        <v>0</v>
      </c>
      <c r="N498" t="n">
        <v>0</v>
      </c>
      <c r="O498" t="n">
        <v>0</v>
      </c>
      <c r="P498" t="n">
        <v>0</v>
      </c>
      <c r="Q498" t="n">
        <v>0</v>
      </c>
      <c r="R498" s="2" t="inlineStr"/>
    </row>
    <row r="499" ht="15" customHeight="1">
      <c r="A499" t="inlineStr">
        <is>
          <t>A 29138-2022</t>
        </is>
      </c>
      <c r="B499" s="1" t="n">
        <v>44750</v>
      </c>
      <c r="C499" s="1" t="n">
        <v>46139</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29143-2022</t>
        </is>
      </c>
      <c r="B500" s="1" t="n">
        <v>44750</v>
      </c>
      <c r="C500" s="1" t="n">
        <v>46139</v>
      </c>
      <c r="D500" t="inlineStr">
        <is>
          <t>ÖREBRO LÄN</t>
        </is>
      </c>
      <c r="E500" t="inlineStr">
        <is>
          <t>ÖREBRO</t>
        </is>
      </c>
      <c r="G500" t="n">
        <v>5.6</v>
      </c>
      <c r="H500" t="n">
        <v>0</v>
      </c>
      <c r="I500" t="n">
        <v>0</v>
      </c>
      <c r="J500" t="n">
        <v>0</v>
      </c>
      <c r="K500" t="n">
        <v>0</v>
      </c>
      <c r="L500" t="n">
        <v>0</v>
      </c>
      <c r="M500" t="n">
        <v>0</v>
      </c>
      <c r="N500" t="n">
        <v>0</v>
      </c>
      <c r="O500" t="n">
        <v>0</v>
      </c>
      <c r="P500" t="n">
        <v>0</v>
      </c>
      <c r="Q500" t="n">
        <v>0</v>
      </c>
      <c r="R500" s="2" t="inlineStr"/>
    </row>
    <row r="501" ht="15" customHeight="1">
      <c r="A501" t="inlineStr">
        <is>
          <t>A 14234-2024</t>
        </is>
      </c>
      <c r="B501" s="1" t="n">
        <v>45393.46980324074</v>
      </c>
      <c r="C501" s="1" t="n">
        <v>46139</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4557-2023</t>
        </is>
      </c>
      <c r="B502" s="1" t="n">
        <v>44956.6655787037</v>
      </c>
      <c r="C502" s="1" t="n">
        <v>46139</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53558-2023</t>
        </is>
      </c>
      <c r="B503" s="1" t="n">
        <v>45230.47266203703</v>
      </c>
      <c r="C503" s="1" t="n">
        <v>46139</v>
      </c>
      <c r="D503" t="inlineStr">
        <is>
          <t>ÖREBRO LÄN</t>
        </is>
      </c>
      <c r="E503" t="inlineStr">
        <is>
          <t>ÖREBRO</t>
        </is>
      </c>
      <c r="F503" t="inlineStr">
        <is>
          <t>Övriga Aktiebolag</t>
        </is>
      </c>
      <c r="G503" t="n">
        <v>4.7</v>
      </c>
      <c r="H503" t="n">
        <v>0</v>
      </c>
      <c r="I503" t="n">
        <v>0</v>
      </c>
      <c r="J503" t="n">
        <v>0</v>
      </c>
      <c r="K503" t="n">
        <v>0</v>
      </c>
      <c r="L503" t="n">
        <v>0</v>
      </c>
      <c r="M503" t="n">
        <v>0</v>
      </c>
      <c r="N503" t="n">
        <v>0</v>
      </c>
      <c r="O503" t="n">
        <v>0</v>
      </c>
      <c r="P503" t="n">
        <v>0</v>
      </c>
      <c r="Q503" t="n">
        <v>0</v>
      </c>
      <c r="R503" s="2" t="inlineStr"/>
    </row>
    <row r="504" ht="15" customHeight="1">
      <c r="A504" t="inlineStr">
        <is>
          <t>A 46518-2023</t>
        </is>
      </c>
      <c r="B504" s="1" t="n">
        <v>45197.72777777778</v>
      </c>
      <c r="C504" s="1" t="n">
        <v>46139</v>
      </c>
      <c r="D504" t="inlineStr">
        <is>
          <t>ÖREBRO LÄN</t>
        </is>
      </c>
      <c r="E504" t="inlineStr">
        <is>
          <t>ÖREBRO</t>
        </is>
      </c>
      <c r="G504" t="n">
        <v>2.2</v>
      </c>
      <c r="H504" t="n">
        <v>0</v>
      </c>
      <c r="I504" t="n">
        <v>0</v>
      </c>
      <c r="J504" t="n">
        <v>0</v>
      </c>
      <c r="K504" t="n">
        <v>0</v>
      </c>
      <c r="L504" t="n">
        <v>0</v>
      </c>
      <c r="M504" t="n">
        <v>0</v>
      </c>
      <c r="N504" t="n">
        <v>0</v>
      </c>
      <c r="O504" t="n">
        <v>0</v>
      </c>
      <c r="P504" t="n">
        <v>0</v>
      </c>
      <c r="Q504" t="n">
        <v>0</v>
      </c>
      <c r="R504" s="2" t="inlineStr"/>
    </row>
    <row r="505" ht="15" customHeight="1">
      <c r="A505" t="inlineStr">
        <is>
          <t>A 7692-2023</t>
        </is>
      </c>
      <c r="B505" s="1" t="n">
        <v>44972.7762962963</v>
      </c>
      <c r="C505" s="1" t="n">
        <v>46139</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46056-2024</t>
        </is>
      </c>
      <c r="B506" s="1" t="n">
        <v>45580.91502314815</v>
      </c>
      <c r="C506" s="1" t="n">
        <v>46139</v>
      </c>
      <c r="D506" t="inlineStr">
        <is>
          <t>ÖREBRO LÄN</t>
        </is>
      </c>
      <c r="E506" t="inlineStr">
        <is>
          <t>ÖREBRO</t>
        </is>
      </c>
      <c r="F506" t="inlineStr">
        <is>
          <t>Övriga Aktiebolag</t>
        </is>
      </c>
      <c r="G506" t="n">
        <v>4.5</v>
      </c>
      <c r="H506" t="n">
        <v>0</v>
      </c>
      <c r="I506" t="n">
        <v>0</v>
      </c>
      <c r="J506" t="n">
        <v>0</v>
      </c>
      <c r="K506" t="n">
        <v>0</v>
      </c>
      <c r="L506" t="n">
        <v>0</v>
      </c>
      <c r="M506" t="n">
        <v>0</v>
      </c>
      <c r="N506" t="n">
        <v>0</v>
      </c>
      <c r="O506" t="n">
        <v>0</v>
      </c>
      <c r="P506" t="n">
        <v>0</v>
      </c>
      <c r="Q506" t="n">
        <v>0</v>
      </c>
      <c r="R506" s="2" t="inlineStr"/>
    </row>
    <row r="507" ht="15" customHeight="1">
      <c r="A507" t="inlineStr">
        <is>
          <t>A 57638-2022</t>
        </is>
      </c>
      <c r="B507" s="1" t="n">
        <v>44897</v>
      </c>
      <c r="C507" s="1" t="n">
        <v>46139</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8274-2025</t>
        </is>
      </c>
      <c r="B508" s="1" t="n">
        <v>45708</v>
      </c>
      <c r="C508" s="1" t="n">
        <v>46139</v>
      </c>
      <c r="D508" t="inlineStr">
        <is>
          <t>ÖREBRO LÄN</t>
        </is>
      </c>
      <c r="E508" t="inlineStr">
        <is>
          <t>ÖREBRO</t>
        </is>
      </c>
      <c r="G508" t="n">
        <v>5.8</v>
      </c>
      <c r="H508" t="n">
        <v>0</v>
      </c>
      <c r="I508" t="n">
        <v>0</v>
      </c>
      <c r="J508" t="n">
        <v>0</v>
      </c>
      <c r="K508" t="n">
        <v>0</v>
      </c>
      <c r="L508" t="n">
        <v>0</v>
      </c>
      <c r="M508" t="n">
        <v>0</v>
      </c>
      <c r="N508" t="n">
        <v>0</v>
      </c>
      <c r="O508" t="n">
        <v>0</v>
      </c>
      <c r="P508" t="n">
        <v>0</v>
      </c>
      <c r="Q508" t="n">
        <v>0</v>
      </c>
      <c r="R508" s="2" t="inlineStr"/>
    </row>
    <row r="509" ht="15" customHeight="1">
      <c r="A509" t="inlineStr">
        <is>
          <t>A 7634-2024</t>
        </is>
      </c>
      <c r="B509" s="1" t="n">
        <v>45348</v>
      </c>
      <c r="C509" s="1" t="n">
        <v>46139</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58208-2024</t>
        </is>
      </c>
      <c r="B510" s="1" t="n">
        <v>45632</v>
      </c>
      <c r="C510" s="1" t="n">
        <v>46139</v>
      </c>
      <c r="D510" t="inlineStr">
        <is>
          <t>ÖREBRO LÄN</t>
        </is>
      </c>
      <c r="E510" t="inlineStr">
        <is>
          <t>ÖREBRO</t>
        </is>
      </c>
      <c r="G510" t="n">
        <v>3.1</v>
      </c>
      <c r="H510" t="n">
        <v>0</v>
      </c>
      <c r="I510" t="n">
        <v>0</v>
      </c>
      <c r="J510" t="n">
        <v>0</v>
      </c>
      <c r="K510" t="n">
        <v>0</v>
      </c>
      <c r="L510" t="n">
        <v>0</v>
      </c>
      <c r="M510" t="n">
        <v>0</v>
      </c>
      <c r="N510" t="n">
        <v>0</v>
      </c>
      <c r="O510" t="n">
        <v>0</v>
      </c>
      <c r="P510" t="n">
        <v>0</v>
      </c>
      <c r="Q510" t="n">
        <v>0</v>
      </c>
      <c r="R510" s="2" t="inlineStr"/>
    </row>
    <row r="511" ht="15" customHeight="1">
      <c r="A511" t="inlineStr">
        <is>
          <t>A 71266-2021</t>
        </is>
      </c>
      <c r="B511" s="1" t="n">
        <v>44539</v>
      </c>
      <c r="C511" s="1" t="n">
        <v>46139</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71267-2021</t>
        </is>
      </c>
      <c r="B512" s="1" t="n">
        <v>44539</v>
      </c>
      <c r="C512" s="1" t="n">
        <v>46139</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71280-2021</t>
        </is>
      </c>
      <c r="B513" s="1" t="n">
        <v>44539</v>
      </c>
      <c r="C513" s="1" t="n">
        <v>46139</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6220-2026</t>
        </is>
      </c>
      <c r="B514" s="1" t="n">
        <v>46055.43789351852</v>
      </c>
      <c r="C514" s="1" t="n">
        <v>46139</v>
      </c>
      <c r="D514" t="inlineStr">
        <is>
          <t>ÖREBRO LÄN</t>
        </is>
      </c>
      <c r="E514" t="inlineStr">
        <is>
          <t>ÖREBRO</t>
        </is>
      </c>
      <c r="G514" t="n">
        <v>2.1</v>
      </c>
      <c r="H514" t="n">
        <v>0</v>
      </c>
      <c r="I514" t="n">
        <v>0</v>
      </c>
      <c r="J514" t="n">
        <v>0</v>
      </c>
      <c r="K514" t="n">
        <v>0</v>
      </c>
      <c r="L514" t="n">
        <v>0</v>
      </c>
      <c r="M514" t="n">
        <v>0</v>
      </c>
      <c r="N514" t="n">
        <v>0</v>
      </c>
      <c r="O514" t="n">
        <v>0</v>
      </c>
      <c r="P514" t="n">
        <v>0</v>
      </c>
      <c r="Q514" t="n">
        <v>0</v>
      </c>
      <c r="R514" s="2" t="inlineStr"/>
    </row>
    <row r="515" ht="15" customHeight="1">
      <c r="A515" t="inlineStr">
        <is>
          <t>A 21983-2021</t>
        </is>
      </c>
      <c r="B515" s="1" t="n">
        <v>44323</v>
      </c>
      <c r="C515" s="1" t="n">
        <v>46139</v>
      </c>
      <c r="D515" t="inlineStr">
        <is>
          <t>ÖREBRO LÄN</t>
        </is>
      </c>
      <c r="E515" t="inlineStr">
        <is>
          <t>ÖREBRO</t>
        </is>
      </c>
      <c r="F515" t="inlineStr">
        <is>
          <t>Övriga Aktiebolag</t>
        </is>
      </c>
      <c r="G515" t="n">
        <v>0.7</v>
      </c>
      <c r="H515" t="n">
        <v>0</v>
      </c>
      <c r="I515" t="n">
        <v>0</v>
      </c>
      <c r="J515" t="n">
        <v>0</v>
      </c>
      <c r="K515" t="n">
        <v>0</v>
      </c>
      <c r="L515" t="n">
        <v>0</v>
      </c>
      <c r="M515" t="n">
        <v>0</v>
      </c>
      <c r="N515" t="n">
        <v>0</v>
      </c>
      <c r="O515" t="n">
        <v>0</v>
      </c>
      <c r="P515" t="n">
        <v>0</v>
      </c>
      <c r="Q515" t="n">
        <v>0</v>
      </c>
      <c r="R515" s="2" t="inlineStr"/>
    </row>
    <row r="516" ht="15" customHeight="1">
      <c r="A516" t="inlineStr">
        <is>
          <t>A 62497-2023</t>
        </is>
      </c>
      <c r="B516" s="1" t="n">
        <v>45268.59935185185</v>
      </c>
      <c r="C516" s="1" t="n">
        <v>46139</v>
      </c>
      <c r="D516" t="inlineStr">
        <is>
          <t>ÖREBRO LÄN</t>
        </is>
      </c>
      <c r="E516" t="inlineStr">
        <is>
          <t>ÖREBRO</t>
        </is>
      </c>
      <c r="F516" t="inlineStr">
        <is>
          <t>Övriga Aktiebolag</t>
        </is>
      </c>
      <c r="G516" t="n">
        <v>3.2</v>
      </c>
      <c r="H516" t="n">
        <v>0</v>
      </c>
      <c r="I516" t="n">
        <v>0</v>
      </c>
      <c r="J516" t="n">
        <v>0</v>
      </c>
      <c r="K516" t="n">
        <v>0</v>
      </c>
      <c r="L516" t="n">
        <v>0</v>
      </c>
      <c r="M516" t="n">
        <v>0</v>
      </c>
      <c r="N516" t="n">
        <v>0</v>
      </c>
      <c r="O516" t="n">
        <v>0</v>
      </c>
      <c r="P516" t="n">
        <v>0</v>
      </c>
      <c r="Q516" t="n">
        <v>0</v>
      </c>
      <c r="R516" s="2" t="inlineStr"/>
    </row>
    <row r="517" ht="15" customHeight="1">
      <c r="A517" t="inlineStr">
        <is>
          <t>A 33294-2023</t>
        </is>
      </c>
      <c r="B517" s="1" t="n">
        <v>45127</v>
      </c>
      <c r="C517" s="1" t="n">
        <v>46139</v>
      </c>
      <c r="D517" t="inlineStr">
        <is>
          <t>ÖREBRO LÄN</t>
        </is>
      </c>
      <c r="E517" t="inlineStr">
        <is>
          <t>ÖREBRO</t>
        </is>
      </c>
      <c r="F517" t="inlineStr">
        <is>
          <t>Övriga Aktiebolag</t>
        </is>
      </c>
      <c r="G517" t="n">
        <v>6.7</v>
      </c>
      <c r="H517" t="n">
        <v>0</v>
      </c>
      <c r="I517" t="n">
        <v>0</v>
      </c>
      <c r="J517" t="n">
        <v>0</v>
      </c>
      <c r="K517" t="n">
        <v>0</v>
      </c>
      <c r="L517" t="n">
        <v>0</v>
      </c>
      <c r="M517" t="n">
        <v>0</v>
      </c>
      <c r="N517" t="n">
        <v>0</v>
      </c>
      <c r="O517" t="n">
        <v>0</v>
      </c>
      <c r="P517" t="n">
        <v>0</v>
      </c>
      <c r="Q517" t="n">
        <v>0</v>
      </c>
      <c r="R517" s="2" t="inlineStr"/>
    </row>
    <row r="518" ht="15" customHeight="1">
      <c r="A518" t="inlineStr">
        <is>
          <t>A 46052-2024</t>
        </is>
      </c>
      <c r="B518" s="1" t="n">
        <v>45580.89116898148</v>
      </c>
      <c r="C518" s="1" t="n">
        <v>46139</v>
      </c>
      <c r="D518" t="inlineStr">
        <is>
          <t>ÖREBRO LÄN</t>
        </is>
      </c>
      <c r="E518" t="inlineStr">
        <is>
          <t>ÖREBRO</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54149-2024</t>
        </is>
      </c>
      <c r="B519" s="1" t="n">
        <v>45616</v>
      </c>
      <c r="C519" s="1" t="n">
        <v>46139</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15424-2022</t>
        </is>
      </c>
      <c r="B520" s="1" t="n">
        <v>44659</v>
      </c>
      <c r="C520" s="1" t="n">
        <v>46139</v>
      </c>
      <c r="D520" t="inlineStr">
        <is>
          <t>ÖREBRO LÄN</t>
        </is>
      </c>
      <c r="E520" t="inlineStr">
        <is>
          <t>ÖREBRO</t>
        </is>
      </c>
      <c r="G520" t="n">
        <v>2.2</v>
      </c>
      <c r="H520" t="n">
        <v>0</v>
      </c>
      <c r="I520" t="n">
        <v>0</v>
      </c>
      <c r="J520" t="n">
        <v>0</v>
      </c>
      <c r="K520" t="n">
        <v>0</v>
      </c>
      <c r="L520" t="n">
        <v>0</v>
      </c>
      <c r="M520" t="n">
        <v>0</v>
      </c>
      <c r="N520" t="n">
        <v>0</v>
      </c>
      <c r="O520" t="n">
        <v>0</v>
      </c>
      <c r="P520" t="n">
        <v>0</v>
      </c>
      <c r="Q520" t="n">
        <v>0</v>
      </c>
      <c r="R520" s="2" t="inlineStr"/>
    </row>
    <row r="521" ht="15" customHeight="1">
      <c r="A521" t="inlineStr">
        <is>
          <t>A 15682-2023</t>
        </is>
      </c>
      <c r="B521" s="1" t="n">
        <v>45021</v>
      </c>
      <c r="C521" s="1" t="n">
        <v>46139</v>
      </c>
      <c r="D521" t="inlineStr">
        <is>
          <t>ÖREBRO LÄN</t>
        </is>
      </c>
      <c r="E521" t="inlineStr">
        <is>
          <t>ÖREBRO</t>
        </is>
      </c>
      <c r="G521" t="n">
        <v>1.3</v>
      </c>
      <c r="H521" t="n">
        <v>0</v>
      </c>
      <c r="I521" t="n">
        <v>0</v>
      </c>
      <c r="J521" t="n">
        <v>0</v>
      </c>
      <c r="K521" t="n">
        <v>0</v>
      </c>
      <c r="L521" t="n">
        <v>0</v>
      </c>
      <c r="M521" t="n">
        <v>0</v>
      </c>
      <c r="N521" t="n">
        <v>0</v>
      </c>
      <c r="O521" t="n">
        <v>0</v>
      </c>
      <c r="P521" t="n">
        <v>0</v>
      </c>
      <c r="Q521" t="n">
        <v>0</v>
      </c>
      <c r="R521" s="2" t="inlineStr"/>
    </row>
    <row r="522" ht="15" customHeight="1">
      <c r="A522" t="inlineStr">
        <is>
          <t>A 13778-2026</t>
        </is>
      </c>
      <c r="B522" s="1" t="n">
        <v>46097</v>
      </c>
      <c r="C522" s="1" t="n">
        <v>46139</v>
      </c>
      <c r="D522" t="inlineStr">
        <is>
          <t>ÖREBRO LÄN</t>
        </is>
      </c>
      <c r="E522" t="inlineStr">
        <is>
          <t>ÖREBRO</t>
        </is>
      </c>
      <c r="F522" t="inlineStr">
        <is>
          <t>Övriga Aktiebolag</t>
        </is>
      </c>
      <c r="G522" t="n">
        <v>23.7</v>
      </c>
      <c r="H522" t="n">
        <v>0</v>
      </c>
      <c r="I522" t="n">
        <v>0</v>
      </c>
      <c r="J522" t="n">
        <v>0</v>
      </c>
      <c r="K522" t="n">
        <v>0</v>
      </c>
      <c r="L522" t="n">
        <v>0</v>
      </c>
      <c r="M522" t="n">
        <v>0</v>
      </c>
      <c r="N522" t="n">
        <v>0</v>
      </c>
      <c r="O522" t="n">
        <v>0</v>
      </c>
      <c r="P522" t="n">
        <v>0</v>
      </c>
      <c r="Q522" t="n">
        <v>0</v>
      </c>
      <c r="R522" s="2" t="inlineStr"/>
    </row>
    <row r="523" ht="15" customHeight="1">
      <c r="A523" t="inlineStr">
        <is>
          <t>A 12682-2023</t>
        </is>
      </c>
      <c r="B523" s="1" t="n">
        <v>45000.6115625</v>
      </c>
      <c r="C523" s="1" t="n">
        <v>46139</v>
      </c>
      <c r="D523" t="inlineStr">
        <is>
          <t>ÖREBRO LÄN</t>
        </is>
      </c>
      <c r="E523" t="inlineStr">
        <is>
          <t>ÖREBRO</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57247-2022</t>
        </is>
      </c>
      <c r="B524" s="1" t="n">
        <v>44895.73065972222</v>
      </c>
      <c r="C524" s="1" t="n">
        <v>46139</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14032-2026</t>
        </is>
      </c>
      <c r="B525" s="1" t="n">
        <v>46098</v>
      </c>
      <c r="C525" s="1" t="n">
        <v>46139</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58606-2024</t>
        </is>
      </c>
      <c r="B526" s="1" t="n">
        <v>45635.54747685185</v>
      </c>
      <c r="C526" s="1" t="n">
        <v>46139</v>
      </c>
      <c r="D526" t="inlineStr">
        <is>
          <t>ÖREBRO LÄN</t>
        </is>
      </c>
      <c r="E526" t="inlineStr">
        <is>
          <t>ÖREBRO</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123-2025</t>
        </is>
      </c>
      <c r="B527" s="1" t="n">
        <v>45659.54851851852</v>
      </c>
      <c r="C527" s="1" t="n">
        <v>46139</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7550-2026</t>
        </is>
      </c>
      <c r="B528" s="1" t="n">
        <v>46059.68496527777</v>
      </c>
      <c r="C528" s="1" t="n">
        <v>46139</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7220-2026</t>
        </is>
      </c>
      <c r="B529" s="1" t="n">
        <v>46058.56126157408</v>
      </c>
      <c r="C529" s="1" t="n">
        <v>46139</v>
      </c>
      <c r="D529" t="inlineStr">
        <is>
          <t>ÖREBRO LÄN</t>
        </is>
      </c>
      <c r="E529" t="inlineStr">
        <is>
          <t>ÖREBRO</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7227-2026</t>
        </is>
      </c>
      <c r="B530" s="1" t="n">
        <v>46058.56858796296</v>
      </c>
      <c r="C530" s="1" t="n">
        <v>46139</v>
      </c>
      <c r="D530" t="inlineStr">
        <is>
          <t>ÖREBRO LÄN</t>
        </is>
      </c>
      <c r="E530" t="inlineStr">
        <is>
          <t>ÖREBRO</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37012-2024</t>
        </is>
      </c>
      <c r="B531" s="1" t="n">
        <v>45539</v>
      </c>
      <c r="C531" s="1" t="n">
        <v>46139</v>
      </c>
      <c r="D531" t="inlineStr">
        <is>
          <t>ÖREBRO LÄN</t>
        </is>
      </c>
      <c r="E531" t="inlineStr">
        <is>
          <t>ÖREBRO</t>
        </is>
      </c>
      <c r="G531" t="n">
        <v>4.1</v>
      </c>
      <c r="H531" t="n">
        <v>0</v>
      </c>
      <c r="I531" t="n">
        <v>0</v>
      </c>
      <c r="J531" t="n">
        <v>0</v>
      </c>
      <c r="K531" t="n">
        <v>0</v>
      </c>
      <c r="L531" t="n">
        <v>0</v>
      </c>
      <c r="M531" t="n">
        <v>0</v>
      </c>
      <c r="N531" t="n">
        <v>0</v>
      </c>
      <c r="O531" t="n">
        <v>0</v>
      </c>
      <c r="P531" t="n">
        <v>0</v>
      </c>
      <c r="Q531" t="n">
        <v>0</v>
      </c>
      <c r="R531" s="2" t="inlineStr"/>
    </row>
    <row r="532" ht="15" customHeight="1">
      <c r="A532" t="inlineStr">
        <is>
          <t>A 37020-2024</t>
        </is>
      </c>
      <c r="B532" s="1" t="n">
        <v>45539.38059027777</v>
      </c>
      <c r="C532" s="1" t="n">
        <v>46139</v>
      </c>
      <c r="D532" t="inlineStr">
        <is>
          <t>ÖREBRO LÄN</t>
        </is>
      </c>
      <c r="E532" t="inlineStr">
        <is>
          <t>ÖREBRO</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16958-2022</t>
        </is>
      </c>
      <c r="B533" s="1" t="n">
        <v>44676.50481481481</v>
      </c>
      <c r="C533" s="1" t="n">
        <v>46139</v>
      </c>
      <c r="D533" t="inlineStr">
        <is>
          <t>ÖREBRO LÄN</t>
        </is>
      </c>
      <c r="E533" t="inlineStr">
        <is>
          <t>ÖREBRO</t>
        </is>
      </c>
      <c r="G533" t="n">
        <v>3.1</v>
      </c>
      <c r="H533" t="n">
        <v>0</v>
      </c>
      <c r="I533" t="n">
        <v>0</v>
      </c>
      <c r="J533" t="n">
        <v>0</v>
      </c>
      <c r="K533" t="n">
        <v>0</v>
      </c>
      <c r="L533" t="n">
        <v>0</v>
      </c>
      <c r="M533" t="n">
        <v>0</v>
      </c>
      <c r="N533" t="n">
        <v>0</v>
      </c>
      <c r="O533" t="n">
        <v>0</v>
      </c>
      <c r="P533" t="n">
        <v>0</v>
      </c>
      <c r="Q533" t="n">
        <v>0</v>
      </c>
      <c r="R533" s="2" t="inlineStr"/>
    </row>
    <row r="534" ht="15" customHeight="1">
      <c r="A534" t="inlineStr">
        <is>
          <t>A 5338-2024</t>
        </is>
      </c>
      <c r="B534" s="1" t="n">
        <v>45331</v>
      </c>
      <c r="C534" s="1" t="n">
        <v>46139</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4970-2022</t>
        </is>
      </c>
      <c r="B535" s="1" t="n">
        <v>44593.51175925926</v>
      </c>
      <c r="C535" s="1" t="n">
        <v>46139</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13657-2025</t>
        </is>
      </c>
      <c r="B536" s="1" t="n">
        <v>45736.7427662037</v>
      </c>
      <c r="C536" s="1" t="n">
        <v>46139</v>
      </c>
      <c r="D536" t="inlineStr">
        <is>
          <t>ÖREBRO LÄN</t>
        </is>
      </c>
      <c r="E536" t="inlineStr">
        <is>
          <t>ÖREBRO</t>
        </is>
      </c>
      <c r="G536" t="n">
        <v>3.8</v>
      </c>
      <c r="H536" t="n">
        <v>0</v>
      </c>
      <c r="I536" t="n">
        <v>0</v>
      </c>
      <c r="J536" t="n">
        <v>0</v>
      </c>
      <c r="K536" t="n">
        <v>0</v>
      </c>
      <c r="L536" t="n">
        <v>0</v>
      </c>
      <c r="M536" t="n">
        <v>0</v>
      </c>
      <c r="N536" t="n">
        <v>0</v>
      </c>
      <c r="O536" t="n">
        <v>0</v>
      </c>
      <c r="P536" t="n">
        <v>0</v>
      </c>
      <c r="Q536" t="n">
        <v>0</v>
      </c>
      <c r="R536" s="2" t="inlineStr"/>
    </row>
    <row r="537" ht="15" customHeight="1">
      <c r="A537" t="inlineStr">
        <is>
          <t>A 9314-2023</t>
        </is>
      </c>
      <c r="B537" s="1" t="n">
        <v>44980.67747685185</v>
      </c>
      <c r="C537" s="1" t="n">
        <v>46139</v>
      </c>
      <c r="D537" t="inlineStr">
        <is>
          <t>ÖREBRO LÄN</t>
        </is>
      </c>
      <c r="E537" t="inlineStr">
        <is>
          <t>ÖREBRO</t>
        </is>
      </c>
      <c r="G537" t="n">
        <v>0.8</v>
      </c>
      <c r="H537" t="n">
        <v>0</v>
      </c>
      <c r="I537" t="n">
        <v>0</v>
      </c>
      <c r="J537" t="n">
        <v>0</v>
      </c>
      <c r="K537" t="n">
        <v>0</v>
      </c>
      <c r="L537" t="n">
        <v>0</v>
      </c>
      <c r="M537" t="n">
        <v>0</v>
      </c>
      <c r="N537" t="n">
        <v>0</v>
      </c>
      <c r="O537" t="n">
        <v>0</v>
      </c>
      <c r="P537" t="n">
        <v>0</v>
      </c>
      <c r="Q537" t="n">
        <v>0</v>
      </c>
      <c r="R537" s="2" t="inlineStr"/>
    </row>
    <row r="538" ht="15" customHeight="1">
      <c r="A538" t="inlineStr">
        <is>
          <t>A 6254-2026</t>
        </is>
      </c>
      <c r="B538" s="1" t="n">
        <v>46055</v>
      </c>
      <c r="C538" s="1" t="n">
        <v>46139</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8461-2026</t>
        </is>
      </c>
      <c r="B539" s="1" t="n">
        <v>46065.42981481482</v>
      </c>
      <c r="C539" s="1" t="n">
        <v>46139</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6522-2023</t>
        </is>
      </c>
      <c r="B540" s="1" t="n">
        <v>44966</v>
      </c>
      <c r="C540" s="1" t="n">
        <v>46139</v>
      </c>
      <c r="D540" t="inlineStr">
        <is>
          <t>ÖREBRO LÄN</t>
        </is>
      </c>
      <c r="E540" t="inlineStr">
        <is>
          <t>ÖREBRO</t>
        </is>
      </c>
      <c r="G540" t="n">
        <v>4.4</v>
      </c>
      <c r="H540" t="n">
        <v>0</v>
      </c>
      <c r="I540" t="n">
        <v>0</v>
      </c>
      <c r="J540" t="n">
        <v>0</v>
      </c>
      <c r="K540" t="n">
        <v>0</v>
      </c>
      <c r="L540" t="n">
        <v>0</v>
      </c>
      <c r="M540" t="n">
        <v>0</v>
      </c>
      <c r="N540" t="n">
        <v>0</v>
      </c>
      <c r="O540" t="n">
        <v>0</v>
      </c>
      <c r="P540" t="n">
        <v>0</v>
      </c>
      <c r="Q540" t="n">
        <v>0</v>
      </c>
      <c r="R540" s="2" t="inlineStr"/>
    </row>
    <row r="541" ht="15" customHeight="1">
      <c r="A541" t="inlineStr">
        <is>
          <t>A 18449-2023</t>
        </is>
      </c>
      <c r="B541" s="1" t="n">
        <v>45042.5203125</v>
      </c>
      <c r="C541" s="1" t="n">
        <v>46139</v>
      </c>
      <c r="D541" t="inlineStr">
        <is>
          <t>ÖREBRO LÄN</t>
        </is>
      </c>
      <c r="E541" t="inlineStr">
        <is>
          <t>ÖREBRO</t>
        </is>
      </c>
      <c r="G541" t="n">
        <v>1.5</v>
      </c>
      <c r="H541" t="n">
        <v>0</v>
      </c>
      <c r="I541" t="n">
        <v>0</v>
      </c>
      <c r="J541" t="n">
        <v>0</v>
      </c>
      <c r="K541" t="n">
        <v>0</v>
      </c>
      <c r="L541" t="n">
        <v>0</v>
      </c>
      <c r="M541" t="n">
        <v>0</v>
      </c>
      <c r="N541" t="n">
        <v>0</v>
      </c>
      <c r="O541" t="n">
        <v>0</v>
      </c>
      <c r="P541" t="n">
        <v>0</v>
      </c>
      <c r="Q541" t="n">
        <v>0</v>
      </c>
      <c r="R541" s="2" t="inlineStr"/>
    </row>
    <row r="542" ht="15" customHeight="1">
      <c r="A542" t="inlineStr">
        <is>
          <t>A 16736-2023</t>
        </is>
      </c>
      <c r="B542" s="1" t="n">
        <v>45030.72328703704</v>
      </c>
      <c r="C542" s="1" t="n">
        <v>46139</v>
      </c>
      <c r="D542" t="inlineStr">
        <is>
          <t>ÖREBRO LÄN</t>
        </is>
      </c>
      <c r="E542" t="inlineStr">
        <is>
          <t>ÖREBRO</t>
        </is>
      </c>
      <c r="G542" t="n">
        <v>4</v>
      </c>
      <c r="H542" t="n">
        <v>0</v>
      </c>
      <c r="I542" t="n">
        <v>0</v>
      </c>
      <c r="J542" t="n">
        <v>0</v>
      </c>
      <c r="K542" t="n">
        <v>0</v>
      </c>
      <c r="L542" t="n">
        <v>0</v>
      </c>
      <c r="M542" t="n">
        <v>0</v>
      </c>
      <c r="N542" t="n">
        <v>0</v>
      </c>
      <c r="O542" t="n">
        <v>0</v>
      </c>
      <c r="P542" t="n">
        <v>0</v>
      </c>
      <c r="Q542" t="n">
        <v>0</v>
      </c>
      <c r="R542" s="2" t="inlineStr"/>
    </row>
    <row r="543" ht="15" customHeight="1">
      <c r="A543" t="inlineStr">
        <is>
          <t>A 50375-2024</t>
        </is>
      </c>
      <c r="B543" s="1" t="n">
        <v>45601.29311342593</v>
      </c>
      <c r="C543" s="1" t="n">
        <v>46139</v>
      </c>
      <c r="D543" t="inlineStr">
        <is>
          <t>ÖREBRO LÄN</t>
        </is>
      </c>
      <c r="E543" t="inlineStr">
        <is>
          <t>ÖREBRO</t>
        </is>
      </c>
      <c r="G543" t="n">
        <v>5</v>
      </c>
      <c r="H543" t="n">
        <v>0</v>
      </c>
      <c r="I543" t="n">
        <v>0</v>
      </c>
      <c r="J543" t="n">
        <v>0</v>
      </c>
      <c r="K543" t="n">
        <v>0</v>
      </c>
      <c r="L543" t="n">
        <v>0</v>
      </c>
      <c r="M543" t="n">
        <v>0</v>
      </c>
      <c r="N543" t="n">
        <v>0</v>
      </c>
      <c r="O543" t="n">
        <v>0</v>
      </c>
      <c r="P543" t="n">
        <v>0</v>
      </c>
      <c r="Q543" t="n">
        <v>0</v>
      </c>
      <c r="R543" s="2" t="inlineStr"/>
    </row>
    <row r="544" ht="15" customHeight="1">
      <c r="A544" t="inlineStr">
        <is>
          <t>A 8677-2026</t>
        </is>
      </c>
      <c r="B544" s="1" t="n">
        <v>46066.40994212963</v>
      </c>
      <c r="C544" s="1" t="n">
        <v>46139</v>
      </c>
      <c r="D544" t="inlineStr">
        <is>
          <t>ÖREBRO LÄN</t>
        </is>
      </c>
      <c r="E544" t="inlineStr">
        <is>
          <t>ÖREBRO</t>
        </is>
      </c>
      <c r="G544" t="n">
        <v>2.6</v>
      </c>
      <c r="H544" t="n">
        <v>0</v>
      </c>
      <c r="I544" t="n">
        <v>0</v>
      </c>
      <c r="J544" t="n">
        <v>0</v>
      </c>
      <c r="K544" t="n">
        <v>0</v>
      </c>
      <c r="L544" t="n">
        <v>0</v>
      </c>
      <c r="M544" t="n">
        <v>0</v>
      </c>
      <c r="N544" t="n">
        <v>0</v>
      </c>
      <c r="O544" t="n">
        <v>0</v>
      </c>
      <c r="P544" t="n">
        <v>0</v>
      </c>
      <c r="Q544" t="n">
        <v>0</v>
      </c>
      <c r="R544" s="2" t="inlineStr"/>
    </row>
    <row r="545" ht="15" customHeight="1">
      <c r="A545" t="inlineStr">
        <is>
          <t>A 22045-2024</t>
        </is>
      </c>
      <c r="B545" s="1" t="n">
        <v>45443.61171296296</v>
      </c>
      <c r="C545" s="1" t="n">
        <v>46139</v>
      </c>
      <c r="D545" t="inlineStr">
        <is>
          <t>ÖREBRO LÄN</t>
        </is>
      </c>
      <c r="E545" t="inlineStr">
        <is>
          <t>ÖREBRO</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3-2024</t>
        </is>
      </c>
      <c r="B546" s="1" t="n">
        <v>45292</v>
      </c>
      <c r="C546" s="1" t="n">
        <v>46139</v>
      </c>
      <c r="D546" t="inlineStr">
        <is>
          <t>ÖREBRO LÄN</t>
        </is>
      </c>
      <c r="E546" t="inlineStr">
        <is>
          <t>ÖREBRO</t>
        </is>
      </c>
      <c r="G546" t="n">
        <v>2.7</v>
      </c>
      <c r="H546" t="n">
        <v>0</v>
      </c>
      <c r="I546" t="n">
        <v>0</v>
      </c>
      <c r="J546" t="n">
        <v>0</v>
      </c>
      <c r="K546" t="n">
        <v>0</v>
      </c>
      <c r="L546" t="n">
        <v>0</v>
      </c>
      <c r="M546" t="n">
        <v>0</v>
      </c>
      <c r="N546" t="n">
        <v>0</v>
      </c>
      <c r="O546" t="n">
        <v>0</v>
      </c>
      <c r="P546" t="n">
        <v>0</v>
      </c>
      <c r="Q546" t="n">
        <v>0</v>
      </c>
      <c r="R546" s="2" t="inlineStr"/>
    </row>
    <row r="547" ht="15" customHeight="1">
      <c r="A547" t="inlineStr">
        <is>
          <t>A 21306-2024</t>
        </is>
      </c>
      <c r="B547" s="1" t="n">
        <v>45440.67883101852</v>
      </c>
      <c r="C547" s="1" t="n">
        <v>46139</v>
      </c>
      <c r="D547" t="inlineStr">
        <is>
          <t>ÖREBRO LÄN</t>
        </is>
      </c>
      <c r="E547" t="inlineStr">
        <is>
          <t>ÖREBRO</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1257-2022</t>
        </is>
      </c>
      <c r="B548" s="1" t="n">
        <v>44572</v>
      </c>
      <c r="C548" s="1" t="n">
        <v>46139</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8662-2026</t>
        </is>
      </c>
      <c r="B549" s="1" t="n">
        <v>46066.38112268518</v>
      </c>
      <c r="C549" s="1" t="n">
        <v>46139</v>
      </c>
      <c r="D549" t="inlineStr">
        <is>
          <t>ÖREBRO LÄN</t>
        </is>
      </c>
      <c r="E549" t="inlineStr">
        <is>
          <t>ÖREBRO</t>
        </is>
      </c>
      <c r="G549" t="n">
        <v>3.2</v>
      </c>
      <c r="H549" t="n">
        <v>0</v>
      </c>
      <c r="I549" t="n">
        <v>0</v>
      </c>
      <c r="J549" t="n">
        <v>0</v>
      </c>
      <c r="K549" t="n">
        <v>0</v>
      </c>
      <c r="L549" t="n">
        <v>0</v>
      </c>
      <c r="M549" t="n">
        <v>0</v>
      </c>
      <c r="N549" t="n">
        <v>0</v>
      </c>
      <c r="O549" t="n">
        <v>0</v>
      </c>
      <c r="P549" t="n">
        <v>0</v>
      </c>
      <c r="Q549" t="n">
        <v>0</v>
      </c>
      <c r="R549" s="2" t="inlineStr"/>
    </row>
    <row r="550" ht="15" customHeight="1">
      <c r="A550" t="inlineStr">
        <is>
          <t>A 64730-2023</t>
        </is>
      </c>
      <c r="B550" s="1" t="n">
        <v>45281</v>
      </c>
      <c r="C550" s="1" t="n">
        <v>46139</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6869-2025</t>
        </is>
      </c>
      <c r="B551" s="1" t="n">
        <v>45700</v>
      </c>
      <c r="C551" s="1" t="n">
        <v>46139</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4416-2023</t>
        </is>
      </c>
      <c r="B552" s="1" t="n">
        <v>44956</v>
      </c>
      <c r="C552" s="1" t="n">
        <v>46139</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16961-2022</t>
        </is>
      </c>
      <c r="B553" s="1" t="n">
        <v>44676</v>
      </c>
      <c r="C553" s="1" t="n">
        <v>46139</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17983-2025</t>
        </is>
      </c>
      <c r="B554" s="1" t="n">
        <v>45761.38829861111</v>
      </c>
      <c r="C554" s="1" t="n">
        <v>46139</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9318-2026</t>
        </is>
      </c>
      <c r="B555" s="1" t="n">
        <v>46070.62585648148</v>
      </c>
      <c r="C555" s="1" t="n">
        <v>46139</v>
      </c>
      <c r="D555" t="inlineStr">
        <is>
          <t>ÖREBRO LÄN</t>
        </is>
      </c>
      <c r="E555" t="inlineStr">
        <is>
          <t>ÖREBRO</t>
        </is>
      </c>
      <c r="F555" t="inlineStr">
        <is>
          <t>Övriga Aktiebolag</t>
        </is>
      </c>
      <c r="G555" t="n">
        <v>2.7</v>
      </c>
      <c r="H555" t="n">
        <v>0</v>
      </c>
      <c r="I555" t="n">
        <v>0</v>
      </c>
      <c r="J555" t="n">
        <v>0</v>
      </c>
      <c r="K555" t="n">
        <v>0</v>
      </c>
      <c r="L555" t="n">
        <v>0</v>
      </c>
      <c r="M555" t="n">
        <v>0</v>
      </c>
      <c r="N555" t="n">
        <v>0</v>
      </c>
      <c r="O555" t="n">
        <v>0</v>
      </c>
      <c r="P555" t="n">
        <v>0</v>
      </c>
      <c r="Q555" t="n">
        <v>0</v>
      </c>
      <c r="R555" s="2" t="inlineStr"/>
    </row>
    <row r="556" ht="15" customHeight="1">
      <c r="A556" t="inlineStr">
        <is>
          <t>A 23594-2023</t>
        </is>
      </c>
      <c r="B556" s="1" t="n">
        <v>45077</v>
      </c>
      <c r="C556" s="1" t="n">
        <v>46139</v>
      </c>
      <c r="D556" t="inlineStr">
        <is>
          <t>ÖREBRO LÄN</t>
        </is>
      </c>
      <c r="E556" t="inlineStr">
        <is>
          <t>ÖREBRO</t>
        </is>
      </c>
      <c r="G556" t="n">
        <v>9.9</v>
      </c>
      <c r="H556" t="n">
        <v>0</v>
      </c>
      <c r="I556" t="n">
        <v>0</v>
      </c>
      <c r="J556" t="n">
        <v>0</v>
      </c>
      <c r="K556" t="n">
        <v>0</v>
      </c>
      <c r="L556" t="n">
        <v>0</v>
      </c>
      <c r="M556" t="n">
        <v>0</v>
      </c>
      <c r="N556" t="n">
        <v>0</v>
      </c>
      <c r="O556" t="n">
        <v>0</v>
      </c>
      <c r="P556" t="n">
        <v>0</v>
      </c>
      <c r="Q556" t="n">
        <v>0</v>
      </c>
      <c r="R556" s="2" t="inlineStr"/>
    </row>
    <row r="557" ht="15" customHeight="1">
      <c r="A557" t="inlineStr">
        <is>
          <t>A 52444-2024</t>
        </is>
      </c>
      <c r="B557" s="1" t="n">
        <v>45609.48894675926</v>
      </c>
      <c r="C557" s="1" t="n">
        <v>46139</v>
      </c>
      <c r="D557" t="inlineStr">
        <is>
          <t>ÖREBRO LÄN</t>
        </is>
      </c>
      <c r="E557" t="inlineStr">
        <is>
          <t>ÖREBRO</t>
        </is>
      </c>
      <c r="G557" t="n">
        <v>1.7</v>
      </c>
      <c r="H557" t="n">
        <v>0</v>
      </c>
      <c r="I557" t="n">
        <v>0</v>
      </c>
      <c r="J557" t="n">
        <v>0</v>
      </c>
      <c r="K557" t="n">
        <v>0</v>
      </c>
      <c r="L557" t="n">
        <v>0</v>
      </c>
      <c r="M557" t="n">
        <v>0</v>
      </c>
      <c r="N557" t="n">
        <v>0</v>
      </c>
      <c r="O557" t="n">
        <v>0</v>
      </c>
      <c r="P557" t="n">
        <v>0</v>
      </c>
      <c r="Q557" t="n">
        <v>0</v>
      </c>
      <c r="R557" s="2" t="inlineStr"/>
    </row>
    <row r="558" ht="15" customHeight="1">
      <c r="A558" t="inlineStr">
        <is>
          <t>A 41995-2024</t>
        </is>
      </c>
      <c r="B558" s="1" t="n">
        <v>45561.6475462963</v>
      </c>
      <c r="C558" s="1" t="n">
        <v>46139</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25996-2024</t>
        </is>
      </c>
      <c r="B559" s="1" t="n">
        <v>45467.89081018518</v>
      </c>
      <c r="C559" s="1" t="n">
        <v>46139</v>
      </c>
      <c r="D559" t="inlineStr">
        <is>
          <t>ÖREBRO LÄN</t>
        </is>
      </c>
      <c r="E559" t="inlineStr">
        <is>
          <t>ÖREBRO</t>
        </is>
      </c>
      <c r="G559" t="n">
        <v>4.7</v>
      </c>
      <c r="H559" t="n">
        <v>0</v>
      </c>
      <c r="I559" t="n">
        <v>0</v>
      </c>
      <c r="J559" t="n">
        <v>0</v>
      </c>
      <c r="K559" t="n">
        <v>0</v>
      </c>
      <c r="L559" t="n">
        <v>0</v>
      </c>
      <c r="M559" t="n">
        <v>0</v>
      </c>
      <c r="N559" t="n">
        <v>0</v>
      </c>
      <c r="O559" t="n">
        <v>0</v>
      </c>
      <c r="P559" t="n">
        <v>0</v>
      </c>
      <c r="Q559" t="n">
        <v>0</v>
      </c>
      <c r="R559" s="2" t="inlineStr"/>
    </row>
    <row r="560" ht="15" customHeight="1">
      <c r="A560" t="inlineStr">
        <is>
          <t>A 7611-2024</t>
        </is>
      </c>
      <c r="B560" s="1" t="n">
        <v>45348.58864583333</v>
      </c>
      <c r="C560" s="1" t="n">
        <v>46139</v>
      </c>
      <c r="D560" t="inlineStr">
        <is>
          <t>ÖREBRO LÄN</t>
        </is>
      </c>
      <c r="E560" t="inlineStr">
        <is>
          <t>ÖREBRO</t>
        </is>
      </c>
      <c r="G560" t="n">
        <v>4.2</v>
      </c>
      <c r="H560" t="n">
        <v>0</v>
      </c>
      <c r="I560" t="n">
        <v>0</v>
      </c>
      <c r="J560" t="n">
        <v>0</v>
      </c>
      <c r="K560" t="n">
        <v>0</v>
      </c>
      <c r="L560" t="n">
        <v>0</v>
      </c>
      <c r="M560" t="n">
        <v>0</v>
      </c>
      <c r="N560" t="n">
        <v>0</v>
      </c>
      <c r="O560" t="n">
        <v>0</v>
      </c>
      <c r="P560" t="n">
        <v>0</v>
      </c>
      <c r="Q560" t="n">
        <v>0</v>
      </c>
      <c r="R560" s="2" t="inlineStr"/>
    </row>
    <row r="561" ht="15" customHeight="1">
      <c r="A561" t="inlineStr">
        <is>
          <t>A 15789-2023</t>
        </is>
      </c>
      <c r="B561" s="1" t="n">
        <v>45021.71539351852</v>
      </c>
      <c r="C561" s="1" t="n">
        <v>46139</v>
      </c>
      <c r="D561" t="inlineStr">
        <is>
          <t>ÖREBRO LÄN</t>
        </is>
      </c>
      <c r="E561" t="inlineStr">
        <is>
          <t>ÖREBRO</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10502-2026</t>
        </is>
      </c>
      <c r="B562" s="1" t="n">
        <v>46077</v>
      </c>
      <c r="C562" s="1" t="n">
        <v>46139</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52612-2024</t>
        </is>
      </c>
      <c r="B563" s="1" t="n">
        <v>45609</v>
      </c>
      <c r="C563" s="1" t="n">
        <v>46139</v>
      </c>
      <c r="D563" t="inlineStr">
        <is>
          <t>ÖREBRO LÄN</t>
        </is>
      </c>
      <c r="E563" t="inlineStr">
        <is>
          <t>ÖREBRO</t>
        </is>
      </c>
      <c r="F563" t="inlineStr">
        <is>
          <t>Kommuner</t>
        </is>
      </c>
      <c r="G563" t="n">
        <v>5.5</v>
      </c>
      <c r="H563" t="n">
        <v>0</v>
      </c>
      <c r="I563" t="n">
        <v>0</v>
      </c>
      <c r="J563" t="n">
        <v>0</v>
      </c>
      <c r="K563" t="n">
        <v>0</v>
      </c>
      <c r="L563" t="n">
        <v>0</v>
      </c>
      <c r="M563" t="n">
        <v>0</v>
      </c>
      <c r="N563" t="n">
        <v>0</v>
      </c>
      <c r="O563" t="n">
        <v>0</v>
      </c>
      <c r="P563" t="n">
        <v>0</v>
      </c>
      <c r="Q563" t="n">
        <v>0</v>
      </c>
      <c r="R563" s="2" t="inlineStr"/>
    </row>
    <row r="564" ht="15" customHeight="1">
      <c r="A564" t="inlineStr">
        <is>
          <t>A 37786-2024</t>
        </is>
      </c>
      <c r="B564" s="1" t="n">
        <v>45542.82987268519</v>
      </c>
      <c r="C564" s="1" t="n">
        <v>46139</v>
      </c>
      <c r="D564" t="inlineStr">
        <is>
          <t>ÖREBRO LÄN</t>
        </is>
      </c>
      <c r="E564" t="inlineStr">
        <is>
          <t>ÖREBRO</t>
        </is>
      </c>
      <c r="G564" t="n">
        <v>3.1</v>
      </c>
      <c r="H564" t="n">
        <v>0</v>
      </c>
      <c r="I564" t="n">
        <v>0</v>
      </c>
      <c r="J564" t="n">
        <v>0</v>
      </c>
      <c r="K564" t="n">
        <v>0</v>
      </c>
      <c r="L564" t="n">
        <v>0</v>
      </c>
      <c r="M564" t="n">
        <v>0</v>
      </c>
      <c r="N564" t="n">
        <v>0</v>
      </c>
      <c r="O564" t="n">
        <v>0</v>
      </c>
      <c r="P564" t="n">
        <v>0</v>
      </c>
      <c r="Q564" t="n">
        <v>0</v>
      </c>
      <c r="R564" s="2" t="inlineStr"/>
    </row>
    <row r="565" ht="15" customHeight="1">
      <c r="A565" t="inlineStr">
        <is>
          <t>A 55875-2024</t>
        </is>
      </c>
      <c r="B565" s="1" t="n">
        <v>45623.55375</v>
      </c>
      <c r="C565" s="1" t="n">
        <v>46139</v>
      </c>
      <c r="D565" t="inlineStr">
        <is>
          <t>ÖREBRO LÄN</t>
        </is>
      </c>
      <c r="E565" t="inlineStr">
        <is>
          <t>ÖREBRO</t>
        </is>
      </c>
      <c r="G565" t="n">
        <v>3.5</v>
      </c>
      <c r="H565" t="n">
        <v>0</v>
      </c>
      <c r="I565" t="n">
        <v>0</v>
      </c>
      <c r="J565" t="n">
        <v>0</v>
      </c>
      <c r="K565" t="n">
        <v>0</v>
      </c>
      <c r="L565" t="n">
        <v>0</v>
      </c>
      <c r="M565" t="n">
        <v>0</v>
      </c>
      <c r="N565" t="n">
        <v>0</v>
      </c>
      <c r="O565" t="n">
        <v>0</v>
      </c>
      <c r="P565" t="n">
        <v>0</v>
      </c>
      <c r="Q565" t="n">
        <v>0</v>
      </c>
      <c r="R565" s="2" t="inlineStr"/>
    </row>
    <row r="566" ht="15" customHeight="1">
      <c r="A566" t="inlineStr">
        <is>
          <t>A 3841-2023</t>
        </is>
      </c>
      <c r="B566" s="1" t="n">
        <v>44951</v>
      </c>
      <c r="C566" s="1" t="n">
        <v>46139</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10816-2026</t>
        </is>
      </c>
      <c r="B567" s="1" t="n">
        <v>46078.61224537037</v>
      </c>
      <c r="C567" s="1" t="n">
        <v>46139</v>
      </c>
      <c r="D567" t="inlineStr">
        <is>
          <t>ÖREBRO LÄN</t>
        </is>
      </c>
      <c r="E567" t="inlineStr">
        <is>
          <t>ÖREBRO</t>
        </is>
      </c>
      <c r="G567" t="n">
        <v>0.9</v>
      </c>
      <c r="H567" t="n">
        <v>0</v>
      </c>
      <c r="I567" t="n">
        <v>0</v>
      </c>
      <c r="J567" t="n">
        <v>0</v>
      </c>
      <c r="K567" t="n">
        <v>0</v>
      </c>
      <c r="L567" t="n">
        <v>0</v>
      </c>
      <c r="M567" t="n">
        <v>0</v>
      </c>
      <c r="N567" t="n">
        <v>0</v>
      </c>
      <c r="O567" t="n">
        <v>0</v>
      </c>
      <c r="P567" t="n">
        <v>0</v>
      </c>
      <c r="Q567" t="n">
        <v>0</v>
      </c>
      <c r="R567" s="2" t="inlineStr"/>
    </row>
    <row r="568" ht="15" customHeight="1">
      <c r="A568" t="inlineStr">
        <is>
          <t>A 10108-2026</t>
        </is>
      </c>
      <c r="B568" s="1" t="n">
        <v>46074.64310185185</v>
      </c>
      <c r="C568" s="1" t="n">
        <v>46139</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49215-2023</t>
        </is>
      </c>
      <c r="B569" s="1" t="n">
        <v>45210.61050925926</v>
      </c>
      <c r="C569" s="1" t="n">
        <v>46139</v>
      </c>
      <c r="D569" t="inlineStr">
        <is>
          <t>ÖREBRO LÄN</t>
        </is>
      </c>
      <c r="E569" t="inlineStr">
        <is>
          <t>ÖREBRO</t>
        </is>
      </c>
      <c r="F569" t="inlineStr">
        <is>
          <t>Övriga Aktiebolag</t>
        </is>
      </c>
      <c r="G569" t="n">
        <v>4.2</v>
      </c>
      <c r="H569" t="n">
        <v>0</v>
      </c>
      <c r="I569" t="n">
        <v>0</v>
      </c>
      <c r="J569" t="n">
        <v>0</v>
      </c>
      <c r="K569" t="n">
        <v>0</v>
      </c>
      <c r="L569" t="n">
        <v>0</v>
      </c>
      <c r="M569" t="n">
        <v>0</v>
      </c>
      <c r="N569" t="n">
        <v>0</v>
      </c>
      <c r="O569" t="n">
        <v>0</v>
      </c>
      <c r="P569" t="n">
        <v>0</v>
      </c>
      <c r="Q569" t="n">
        <v>0</v>
      </c>
      <c r="R569" s="2" t="inlineStr"/>
    </row>
    <row r="570" ht="15" customHeight="1">
      <c r="A570" t="inlineStr">
        <is>
          <t>A 10970-2026</t>
        </is>
      </c>
      <c r="B570" s="1" t="n">
        <v>46079.44788194444</v>
      </c>
      <c r="C570" s="1" t="n">
        <v>46139</v>
      </c>
      <c r="D570" t="inlineStr">
        <is>
          <t>ÖREBRO LÄN</t>
        </is>
      </c>
      <c r="E570" t="inlineStr">
        <is>
          <t>ÖREBRO</t>
        </is>
      </c>
      <c r="G570" t="n">
        <v>6.5</v>
      </c>
      <c r="H570" t="n">
        <v>0</v>
      </c>
      <c r="I570" t="n">
        <v>0</v>
      </c>
      <c r="J570" t="n">
        <v>0</v>
      </c>
      <c r="K570" t="n">
        <v>0</v>
      </c>
      <c r="L570" t="n">
        <v>0</v>
      </c>
      <c r="M570" t="n">
        <v>0</v>
      </c>
      <c r="N570" t="n">
        <v>0</v>
      </c>
      <c r="O570" t="n">
        <v>0</v>
      </c>
      <c r="P570" t="n">
        <v>0</v>
      </c>
      <c r="Q570" t="n">
        <v>0</v>
      </c>
      <c r="R570" s="2" t="inlineStr"/>
    </row>
    <row r="571" ht="15" customHeight="1">
      <c r="A571" t="inlineStr">
        <is>
          <t>A 10972-2026</t>
        </is>
      </c>
      <c r="B571" s="1" t="n">
        <v>46079.45015046297</v>
      </c>
      <c r="C571" s="1" t="n">
        <v>46139</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11286-2026</t>
        </is>
      </c>
      <c r="B572" s="1" t="n">
        <v>46080</v>
      </c>
      <c r="C572" s="1" t="n">
        <v>46139</v>
      </c>
      <c r="D572" t="inlineStr">
        <is>
          <t>ÖREBRO LÄN</t>
        </is>
      </c>
      <c r="E572" t="inlineStr">
        <is>
          <t>ÖREBRO</t>
        </is>
      </c>
      <c r="G572" t="n">
        <v>5.4</v>
      </c>
      <c r="H572" t="n">
        <v>0</v>
      </c>
      <c r="I572" t="n">
        <v>0</v>
      </c>
      <c r="J572" t="n">
        <v>0</v>
      </c>
      <c r="K572" t="n">
        <v>0</v>
      </c>
      <c r="L572" t="n">
        <v>0</v>
      </c>
      <c r="M572" t="n">
        <v>0</v>
      </c>
      <c r="N572" t="n">
        <v>0</v>
      </c>
      <c r="O572" t="n">
        <v>0</v>
      </c>
      <c r="P572" t="n">
        <v>0</v>
      </c>
      <c r="Q572" t="n">
        <v>0</v>
      </c>
      <c r="R572" s="2" t="inlineStr"/>
    </row>
    <row r="573" ht="15" customHeight="1">
      <c r="A573" t="inlineStr">
        <is>
          <t>A 17744-2026</t>
        </is>
      </c>
      <c r="B573" s="1" t="n">
        <v>46122.31243055555</v>
      </c>
      <c r="C573" s="1" t="n">
        <v>46139</v>
      </c>
      <c r="D573" t="inlineStr">
        <is>
          <t>ÖREBRO LÄN</t>
        </is>
      </c>
      <c r="E573" t="inlineStr">
        <is>
          <t>ÖREBRO</t>
        </is>
      </c>
      <c r="G573" t="n">
        <v>3.5</v>
      </c>
      <c r="H573" t="n">
        <v>0</v>
      </c>
      <c r="I573" t="n">
        <v>0</v>
      </c>
      <c r="J573" t="n">
        <v>0</v>
      </c>
      <c r="K573" t="n">
        <v>0</v>
      </c>
      <c r="L573" t="n">
        <v>0</v>
      </c>
      <c r="M573" t="n">
        <v>0</v>
      </c>
      <c r="N573" t="n">
        <v>0</v>
      </c>
      <c r="O573" t="n">
        <v>0</v>
      </c>
      <c r="P573" t="n">
        <v>0</v>
      </c>
      <c r="Q573" t="n">
        <v>0</v>
      </c>
      <c r="R573" s="2" t="inlineStr"/>
    </row>
    <row r="574" ht="15" customHeight="1">
      <c r="A574" t="inlineStr">
        <is>
          <t>A 43399-2022</t>
        </is>
      </c>
      <c r="B574" s="1" t="n">
        <v>44834</v>
      </c>
      <c r="C574" s="1" t="n">
        <v>46139</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10944-2026</t>
        </is>
      </c>
      <c r="B575" s="1" t="n">
        <v>46079.37659722222</v>
      </c>
      <c r="C575" s="1" t="n">
        <v>46139</v>
      </c>
      <c r="D575" t="inlineStr">
        <is>
          <t>ÖREBRO LÄN</t>
        </is>
      </c>
      <c r="E575" t="inlineStr">
        <is>
          <t>ÖREBRO</t>
        </is>
      </c>
      <c r="G575" t="n">
        <v>2.7</v>
      </c>
      <c r="H575" t="n">
        <v>0</v>
      </c>
      <c r="I575" t="n">
        <v>0</v>
      </c>
      <c r="J575" t="n">
        <v>0</v>
      </c>
      <c r="K575" t="n">
        <v>0</v>
      </c>
      <c r="L575" t="n">
        <v>0</v>
      </c>
      <c r="M575" t="n">
        <v>0</v>
      </c>
      <c r="N575" t="n">
        <v>0</v>
      </c>
      <c r="O575" t="n">
        <v>0</v>
      </c>
      <c r="P575" t="n">
        <v>0</v>
      </c>
      <c r="Q575" t="n">
        <v>0</v>
      </c>
      <c r="R575" s="2" t="inlineStr"/>
    </row>
    <row r="576" ht="15" customHeight="1">
      <c r="A576" t="inlineStr">
        <is>
          <t>A 19553-2023</t>
        </is>
      </c>
      <c r="B576" s="1" t="n">
        <v>45050</v>
      </c>
      <c r="C576" s="1" t="n">
        <v>46139</v>
      </c>
      <c r="D576" t="inlineStr">
        <is>
          <t>ÖREBRO LÄN</t>
        </is>
      </c>
      <c r="E576" t="inlineStr">
        <is>
          <t>ÖREBRO</t>
        </is>
      </c>
      <c r="G576" t="n">
        <v>2.1</v>
      </c>
      <c r="H576" t="n">
        <v>0</v>
      </c>
      <c r="I576" t="n">
        <v>0</v>
      </c>
      <c r="J576" t="n">
        <v>0</v>
      </c>
      <c r="K576" t="n">
        <v>0</v>
      </c>
      <c r="L576" t="n">
        <v>0</v>
      </c>
      <c r="M576" t="n">
        <v>0</v>
      </c>
      <c r="N576" t="n">
        <v>0</v>
      </c>
      <c r="O576" t="n">
        <v>0</v>
      </c>
      <c r="P576" t="n">
        <v>0</v>
      </c>
      <c r="Q576" t="n">
        <v>0</v>
      </c>
      <c r="R576" s="2" t="inlineStr"/>
    </row>
    <row r="577" ht="15" customHeight="1">
      <c r="A577" t="inlineStr">
        <is>
          <t>A 14291-2023</t>
        </is>
      </c>
      <c r="B577" s="1" t="n">
        <v>45010</v>
      </c>
      <c r="C577" s="1" t="n">
        <v>46139</v>
      </c>
      <c r="D577" t="inlineStr">
        <is>
          <t>ÖREBRO LÄN</t>
        </is>
      </c>
      <c r="E577" t="inlineStr">
        <is>
          <t>ÖREBRO</t>
        </is>
      </c>
      <c r="G577" t="n">
        <v>0.8</v>
      </c>
      <c r="H577" t="n">
        <v>0</v>
      </c>
      <c r="I577" t="n">
        <v>0</v>
      </c>
      <c r="J577" t="n">
        <v>0</v>
      </c>
      <c r="K577" t="n">
        <v>0</v>
      </c>
      <c r="L577" t="n">
        <v>0</v>
      </c>
      <c r="M577" t="n">
        <v>0</v>
      </c>
      <c r="N577" t="n">
        <v>0</v>
      </c>
      <c r="O577" t="n">
        <v>0</v>
      </c>
      <c r="P577" t="n">
        <v>0</v>
      </c>
      <c r="Q577" t="n">
        <v>0</v>
      </c>
      <c r="R577" s="2" t="inlineStr"/>
    </row>
    <row r="578" ht="15" customHeight="1">
      <c r="A578" t="inlineStr">
        <is>
          <t>A 58527-2024</t>
        </is>
      </c>
      <c r="B578" s="1" t="n">
        <v>45635.44388888889</v>
      </c>
      <c r="C578" s="1" t="n">
        <v>46139</v>
      </c>
      <c r="D578" t="inlineStr">
        <is>
          <t>ÖREBRO LÄN</t>
        </is>
      </c>
      <c r="E578" t="inlineStr">
        <is>
          <t>ÖREBRO</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55593-2022</t>
        </is>
      </c>
      <c r="B579" s="1" t="n">
        <v>44888</v>
      </c>
      <c r="C579" s="1" t="n">
        <v>46139</v>
      </c>
      <c r="D579" t="inlineStr">
        <is>
          <t>ÖREBRO LÄN</t>
        </is>
      </c>
      <c r="E579" t="inlineStr">
        <is>
          <t>ÖREBRO</t>
        </is>
      </c>
      <c r="G579" t="n">
        <v>3.6</v>
      </c>
      <c r="H579" t="n">
        <v>0</v>
      </c>
      <c r="I579" t="n">
        <v>0</v>
      </c>
      <c r="J579" t="n">
        <v>0</v>
      </c>
      <c r="K579" t="n">
        <v>0</v>
      </c>
      <c r="L579" t="n">
        <v>0</v>
      </c>
      <c r="M579" t="n">
        <v>0</v>
      </c>
      <c r="N579" t="n">
        <v>0</v>
      </c>
      <c r="O579" t="n">
        <v>0</v>
      </c>
      <c r="P579" t="n">
        <v>0</v>
      </c>
      <c r="Q579" t="n">
        <v>0</v>
      </c>
      <c r="R579" s="2" t="inlineStr"/>
    </row>
    <row r="580" ht="15" customHeight="1">
      <c r="A580" t="inlineStr">
        <is>
          <t>A 63142-2023</t>
        </is>
      </c>
      <c r="B580" s="1" t="n">
        <v>45273</v>
      </c>
      <c r="C580" s="1" t="n">
        <v>46139</v>
      </c>
      <c r="D580" t="inlineStr">
        <is>
          <t>ÖREBRO LÄN</t>
        </is>
      </c>
      <c r="E580" t="inlineStr">
        <is>
          <t>ÖREBRO</t>
        </is>
      </c>
      <c r="G580" t="n">
        <v>1.8</v>
      </c>
      <c r="H580" t="n">
        <v>0</v>
      </c>
      <c r="I580" t="n">
        <v>0</v>
      </c>
      <c r="J580" t="n">
        <v>0</v>
      </c>
      <c r="K580" t="n">
        <v>0</v>
      </c>
      <c r="L580" t="n">
        <v>0</v>
      </c>
      <c r="M580" t="n">
        <v>0</v>
      </c>
      <c r="N580" t="n">
        <v>0</v>
      </c>
      <c r="O580" t="n">
        <v>0</v>
      </c>
      <c r="P580" t="n">
        <v>0</v>
      </c>
      <c r="Q580" t="n">
        <v>0</v>
      </c>
      <c r="R580" s="2" t="inlineStr"/>
    </row>
    <row r="581" ht="15" customHeight="1">
      <c r="A581" t="inlineStr">
        <is>
          <t>A 23741-2022</t>
        </is>
      </c>
      <c r="B581" s="1" t="n">
        <v>44722</v>
      </c>
      <c r="C581" s="1" t="n">
        <v>46139</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59121-2024</t>
        </is>
      </c>
      <c r="B582" s="1" t="n">
        <v>45637.37755787037</v>
      </c>
      <c r="C582" s="1" t="n">
        <v>46139</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9704-2023</t>
        </is>
      </c>
      <c r="B583" s="1" t="n">
        <v>44984</v>
      </c>
      <c r="C583" s="1" t="n">
        <v>46139</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12536-2026</t>
        </is>
      </c>
      <c r="B584" s="1" t="n">
        <v>46090.60851851852</v>
      </c>
      <c r="C584" s="1" t="n">
        <v>46139</v>
      </c>
      <c r="D584" t="inlineStr">
        <is>
          <t>ÖREBRO LÄN</t>
        </is>
      </c>
      <c r="E584" t="inlineStr">
        <is>
          <t>ÖREBRO</t>
        </is>
      </c>
      <c r="G584" t="n">
        <v>7.7</v>
      </c>
      <c r="H584" t="n">
        <v>0</v>
      </c>
      <c r="I584" t="n">
        <v>0</v>
      </c>
      <c r="J584" t="n">
        <v>0</v>
      </c>
      <c r="K584" t="n">
        <v>0</v>
      </c>
      <c r="L584" t="n">
        <v>0</v>
      </c>
      <c r="M584" t="n">
        <v>0</v>
      </c>
      <c r="N584" t="n">
        <v>0</v>
      </c>
      <c r="O584" t="n">
        <v>0</v>
      </c>
      <c r="P584" t="n">
        <v>0</v>
      </c>
      <c r="Q584" t="n">
        <v>0</v>
      </c>
      <c r="R584" s="2" t="inlineStr"/>
    </row>
    <row r="585" ht="15" customHeight="1">
      <c r="A585" t="inlineStr">
        <is>
          <t>A 12099-2023</t>
        </is>
      </c>
      <c r="B585" s="1" t="n">
        <v>44998.37043981482</v>
      </c>
      <c r="C585" s="1" t="n">
        <v>46139</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17869-2024</t>
        </is>
      </c>
      <c r="B586" s="1" t="n">
        <v>45419</v>
      </c>
      <c r="C586" s="1" t="n">
        <v>46139</v>
      </c>
      <c r="D586" t="inlineStr">
        <is>
          <t>ÖREBRO LÄN</t>
        </is>
      </c>
      <c r="E586" t="inlineStr">
        <is>
          <t>ÖREBRO</t>
        </is>
      </c>
      <c r="G586" t="n">
        <v>3.7</v>
      </c>
      <c r="H586" t="n">
        <v>0</v>
      </c>
      <c r="I586" t="n">
        <v>0</v>
      </c>
      <c r="J586" t="n">
        <v>0</v>
      </c>
      <c r="K586" t="n">
        <v>0</v>
      </c>
      <c r="L586" t="n">
        <v>0</v>
      </c>
      <c r="M586" t="n">
        <v>0</v>
      </c>
      <c r="N586" t="n">
        <v>0</v>
      </c>
      <c r="O586" t="n">
        <v>0</v>
      </c>
      <c r="P586" t="n">
        <v>0</v>
      </c>
      <c r="Q586" t="n">
        <v>0</v>
      </c>
      <c r="R586" s="2" t="inlineStr"/>
    </row>
    <row r="587" ht="15" customHeight="1">
      <c r="A587" t="inlineStr">
        <is>
          <t>A 5026-2022</t>
        </is>
      </c>
      <c r="B587" s="1" t="n">
        <v>44593.63974537037</v>
      </c>
      <c r="C587" s="1" t="n">
        <v>46139</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10832-2023</t>
        </is>
      </c>
      <c r="B588" s="1" t="n">
        <v>44990.91711805556</v>
      </c>
      <c r="C588" s="1" t="n">
        <v>46139</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48581-2024</t>
        </is>
      </c>
      <c r="B589" s="1" t="n">
        <v>45593.41642361111</v>
      </c>
      <c r="C589" s="1" t="n">
        <v>46139</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40231-2022</t>
        </is>
      </c>
      <c r="B590" s="1" t="n">
        <v>44820</v>
      </c>
      <c r="C590" s="1" t="n">
        <v>46139</v>
      </c>
      <c r="D590" t="inlineStr">
        <is>
          <t>ÖREBRO LÄN</t>
        </is>
      </c>
      <c r="E590" t="inlineStr">
        <is>
          <t>ÖREBRO</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14963-2025</t>
        </is>
      </c>
      <c r="B591" s="1" t="n">
        <v>45743.58699074074</v>
      </c>
      <c r="C591" s="1" t="n">
        <v>46139</v>
      </c>
      <c r="D591" t="inlineStr">
        <is>
          <t>ÖREBRO LÄN</t>
        </is>
      </c>
      <c r="E591" t="inlineStr">
        <is>
          <t>ÖREBRO</t>
        </is>
      </c>
      <c r="G591" t="n">
        <v>9.1</v>
      </c>
      <c r="H591" t="n">
        <v>0</v>
      </c>
      <c r="I591" t="n">
        <v>0</v>
      </c>
      <c r="J591" t="n">
        <v>0</v>
      </c>
      <c r="K591" t="n">
        <v>0</v>
      </c>
      <c r="L591" t="n">
        <v>0</v>
      </c>
      <c r="M591" t="n">
        <v>0</v>
      </c>
      <c r="N591" t="n">
        <v>0</v>
      </c>
      <c r="O591" t="n">
        <v>0</v>
      </c>
      <c r="P591" t="n">
        <v>0</v>
      </c>
      <c r="Q591" t="n">
        <v>0</v>
      </c>
      <c r="R591" s="2" t="inlineStr"/>
    </row>
    <row r="592" ht="15" customHeight="1">
      <c r="A592" t="inlineStr">
        <is>
          <t>A 33455-2023</t>
        </is>
      </c>
      <c r="B592" s="1" t="n">
        <v>45130.98962962963</v>
      </c>
      <c r="C592" s="1" t="n">
        <v>46139</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2069-2025</t>
        </is>
      </c>
      <c r="B593" s="1" t="n">
        <v>45672.56614583333</v>
      </c>
      <c r="C593" s="1" t="n">
        <v>46139</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58277-2022</t>
        </is>
      </c>
      <c r="B594" s="1" t="n">
        <v>44901.48108796297</v>
      </c>
      <c r="C594" s="1" t="n">
        <v>46139</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42518-2021</t>
        </is>
      </c>
      <c r="B595" s="1" t="n">
        <v>44427.81496527778</v>
      </c>
      <c r="C595" s="1" t="n">
        <v>46139</v>
      </c>
      <c r="D595" t="inlineStr">
        <is>
          <t>ÖREBRO LÄN</t>
        </is>
      </c>
      <c r="E595" t="inlineStr">
        <is>
          <t>ÖREBRO</t>
        </is>
      </c>
      <c r="G595" t="n">
        <v>4.5</v>
      </c>
      <c r="H595" t="n">
        <v>0</v>
      </c>
      <c r="I595" t="n">
        <v>0</v>
      </c>
      <c r="J595" t="n">
        <v>0</v>
      </c>
      <c r="K595" t="n">
        <v>0</v>
      </c>
      <c r="L595" t="n">
        <v>0</v>
      </c>
      <c r="M595" t="n">
        <v>0</v>
      </c>
      <c r="N595" t="n">
        <v>0</v>
      </c>
      <c r="O595" t="n">
        <v>0</v>
      </c>
      <c r="P595" t="n">
        <v>0</v>
      </c>
      <c r="Q595" t="n">
        <v>0</v>
      </c>
      <c r="R595" s="2" t="inlineStr"/>
    </row>
    <row r="596" ht="15" customHeight="1">
      <c r="A596" t="inlineStr">
        <is>
          <t>A 14524-2025</t>
        </is>
      </c>
      <c r="B596" s="1" t="n">
        <v>45741.64815972222</v>
      </c>
      <c r="C596" s="1" t="n">
        <v>46139</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15354-2024</t>
        </is>
      </c>
      <c r="B597" s="1" t="n">
        <v>45400.85319444445</v>
      </c>
      <c r="C597" s="1" t="n">
        <v>46139</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41543-2024</t>
        </is>
      </c>
      <c r="B598" s="1" t="n">
        <v>45560</v>
      </c>
      <c r="C598" s="1" t="n">
        <v>46139</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71275-2021</t>
        </is>
      </c>
      <c r="B599" s="1" t="n">
        <v>44539</v>
      </c>
      <c r="C599" s="1" t="n">
        <v>46139</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71285-2021</t>
        </is>
      </c>
      <c r="B600" s="1" t="n">
        <v>44539.62236111111</v>
      </c>
      <c r="C600" s="1" t="n">
        <v>46139</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2658-2023</t>
        </is>
      </c>
      <c r="B601" s="1" t="n">
        <v>44944</v>
      </c>
      <c r="C601" s="1" t="n">
        <v>46139</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11382-2023</t>
        </is>
      </c>
      <c r="B602" s="1" t="n">
        <v>44993.45635416666</v>
      </c>
      <c r="C602" s="1" t="n">
        <v>46139</v>
      </c>
      <c r="D602" t="inlineStr">
        <is>
          <t>ÖREBRO LÄN</t>
        </is>
      </c>
      <c r="E602" t="inlineStr">
        <is>
          <t>ÖREBRO</t>
        </is>
      </c>
      <c r="G602" t="n">
        <v>3.3</v>
      </c>
      <c r="H602" t="n">
        <v>0</v>
      </c>
      <c r="I602" t="n">
        <v>0</v>
      </c>
      <c r="J602" t="n">
        <v>0</v>
      </c>
      <c r="K602" t="n">
        <v>0</v>
      </c>
      <c r="L602" t="n">
        <v>0</v>
      </c>
      <c r="M602" t="n">
        <v>0</v>
      </c>
      <c r="N602" t="n">
        <v>0</v>
      </c>
      <c r="O602" t="n">
        <v>0</v>
      </c>
      <c r="P602" t="n">
        <v>0</v>
      </c>
      <c r="Q602" t="n">
        <v>0</v>
      </c>
      <c r="R602" s="2" t="inlineStr"/>
    </row>
    <row r="603" ht="15" customHeight="1">
      <c r="A603" t="inlineStr">
        <is>
          <t>A 52016-2024</t>
        </is>
      </c>
      <c r="B603" s="1" t="n">
        <v>45607.81917824074</v>
      </c>
      <c r="C603" s="1" t="n">
        <v>46139</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27112-2023</t>
        </is>
      </c>
      <c r="B604" s="1" t="n">
        <v>45096</v>
      </c>
      <c r="C604" s="1" t="n">
        <v>46139</v>
      </c>
      <c r="D604" t="inlineStr">
        <is>
          <t>ÖREBRO LÄN</t>
        </is>
      </c>
      <c r="E604" t="inlineStr">
        <is>
          <t>ÖREBRO</t>
        </is>
      </c>
      <c r="G604" t="n">
        <v>0.7</v>
      </c>
      <c r="H604" t="n">
        <v>0</v>
      </c>
      <c r="I604" t="n">
        <v>0</v>
      </c>
      <c r="J604" t="n">
        <v>0</v>
      </c>
      <c r="K604" t="n">
        <v>0</v>
      </c>
      <c r="L604" t="n">
        <v>0</v>
      </c>
      <c r="M604" t="n">
        <v>0</v>
      </c>
      <c r="N604" t="n">
        <v>0</v>
      </c>
      <c r="O604" t="n">
        <v>0</v>
      </c>
      <c r="P604" t="n">
        <v>0</v>
      </c>
      <c r="Q604" t="n">
        <v>0</v>
      </c>
      <c r="R604" s="2" t="inlineStr"/>
    </row>
    <row r="605" ht="15" customHeight="1">
      <c r="A605" t="inlineStr">
        <is>
          <t>A 16739-2022</t>
        </is>
      </c>
      <c r="B605" s="1" t="n">
        <v>44673</v>
      </c>
      <c r="C605" s="1" t="n">
        <v>46139</v>
      </c>
      <c r="D605" t="inlineStr">
        <is>
          <t>ÖREBRO LÄN</t>
        </is>
      </c>
      <c r="E605" t="inlineStr">
        <is>
          <t>ÖREBRO</t>
        </is>
      </c>
      <c r="G605" t="n">
        <v>4.7</v>
      </c>
      <c r="H605" t="n">
        <v>0</v>
      </c>
      <c r="I605" t="n">
        <v>0</v>
      </c>
      <c r="J605" t="n">
        <v>0</v>
      </c>
      <c r="K605" t="n">
        <v>0</v>
      </c>
      <c r="L605" t="n">
        <v>0</v>
      </c>
      <c r="M605" t="n">
        <v>0</v>
      </c>
      <c r="N605" t="n">
        <v>0</v>
      </c>
      <c r="O605" t="n">
        <v>0</v>
      </c>
      <c r="P605" t="n">
        <v>0</v>
      </c>
      <c r="Q605" t="n">
        <v>0</v>
      </c>
      <c r="R605" s="2" t="inlineStr"/>
    </row>
    <row r="606" ht="15" customHeight="1">
      <c r="A606" t="inlineStr">
        <is>
          <t>A 13592-2023</t>
        </is>
      </c>
      <c r="B606" s="1" t="n">
        <v>45006.56870370371</v>
      </c>
      <c r="C606" s="1" t="n">
        <v>46139</v>
      </c>
      <c r="D606" t="inlineStr">
        <is>
          <t>ÖREBRO LÄN</t>
        </is>
      </c>
      <c r="E606" t="inlineStr">
        <is>
          <t>ÖREBRO</t>
        </is>
      </c>
      <c r="G606" t="n">
        <v>2</v>
      </c>
      <c r="H606" t="n">
        <v>0</v>
      </c>
      <c r="I606" t="n">
        <v>0</v>
      </c>
      <c r="J606" t="n">
        <v>0</v>
      </c>
      <c r="K606" t="n">
        <v>0</v>
      </c>
      <c r="L606" t="n">
        <v>0</v>
      </c>
      <c r="M606" t="n">
        <v>0</v>
      </c>
      <c r="N606" t="n">
        <v>0</v>
      </c>
      <c r="O606" t="n">
        <v>0</v>
      </c>
      <c r="P606" t="n">
        <v>0</v>
      </c>
      <c r="Q606" t="n">
        <v>0</v>
      </c>
      <c r="R606" s="2" t="inlineStr"/>
    </row>
    <row r="607" ht="15" customHeight="1">
      <c r="A607" t="inlineStr">
        <is>
          <t>A 40656-2023</t>
        </is>
      </c>
      <c r="B607" s="1" t="n">
        <v>45170</v>
      </c>
      <c r="C607" s="1" t="n">
        <v>46139</v>
      </c>
      <c r="D607" t="inlineStr">
        <is>
          <t>ÖREBRO LÄN</t>
        </is>
      </c>
      <c r="E607" t="inlineStr">
        <is>
          <t>ÖREBRO</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12245-2023</t>
        </is>
      </c>
      <c r="B608" s="1" t="n">
        <v>44998.64402777778</v>
      </c>
      <c r="C608" s="1" t="n">
        <v>46139</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8008-2024</t>
        </is>
      </c>
      <c r="B609" s="1" t="n">
        <v>45350.6794212963</v>
      </c>
      <c r="C609" s="1" t="n">
        <v>46139</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46834-2022</t>
        </is>
      </c>
      <c r="B610" s="1" t="n">
        <v>44851</v>
      </c>
      <c r="C610" s="1" t="n">
        <v>46139</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3789-2023</t>
        </is>
      </c>
      <c r="B611" s="1" t="n">
        <v>44951</v>
      </c>
      <c r="C611" s="1" t="n">
        <v>46139</v>
      </c>
      <c r="D611" t="inlineStr">
        <is>
          <t>ÖREBRO LÄN</t>
        </is>
      </c>
      <c r="E611" t="inlineStr">
        <is>
          <t>ÖREBRO</t>
        </is>
      </c>
      <c r="G611" t="n">
        <v>7.5</v>
      </c>
      <c r="H611" t="n">
        <v>0</v>
      </c>
      <c r="I611" t="n">
        <v>0</v>
      </c>
      <c r="J611" t="n">
        <v>0</v>
      </c>
      <c r="K611" t="n">
        <v>0</v>
      </c>
      <c r="L611" t="n">
        <v>0</v>
      </c>
      <c r="M611" t="n">
        <v>0</v>
      </c>
      <c r="N611" t="n">
        <v>0</v>
      </c>
      <c r="O611" t="n">
        <v>0</v>
      </c>
      <c r="P611" t="n">
        <v>0</v>
      </c>
      <c r="Q611" t="n">
        <v>0</v>
      </c>
      <c r="R611" s="2" t="inlineStr"/>
    </row>
    <row r="612" ht="15" customHeight="1">
      <c r="A612" t="inlineStr">
        <is>
          <t>A 57869-2024</t>
        </is>
      </c>
      <c r="B612" s="1" t="n">
        <v>45631.44207175926</v>
      </c>
      <c r="C612" s="1" t="n">
        <v>46139</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11565-2023</t>
        </is>
      </c>
      <c r="B613" s="1" t="n">
        <v>44994</v>
      </c>
      <c r="C613" s="1" t="n">
        <v>46139</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1647-2024</t>
        </is>
      </c>
      <c r="B614" s="1" t="n">
        <v>45306</v>
      </c>
      <c r="C614" s="1" t="n">
        <v>46139</v>
      </c>
      <c r="D614" t="inlineStr">
        <is>
          <t>ÖREBRO LÄN</t>
        </is>
      </c>
      <c r="E614" t="inlineStr">
        <is>
          <t>ÖREBRO</t>
        </is>
      </c>
      <c r="G614" t="n">
        <v>1.3</v>
      </c>
      <c r="H614" t="n">
        <v>0</v>
      </c>
      <c r="I614" t="n">
        <v>0</v>
      </c>
      <c r="J614" t="n">
        <v>0</v>
      </c>
      <c r="K614" t="n">
        <v>0</v>
      </c>
      <c r="L614" t="n">
        <v>0</v>
      </c>
      <c r="M614" t="n">
        <v>0</v>
      </c>
      <c r="N614" t="n">
        <v>0</v>
      </c>
      <c r="O614" t="n">
        <v>0</v>
      </c>
      <c r="P614" t="n">
        <v>0</v>
      </c>
      <c r="Q614" t="n">
        <v>0</v>
      </c>
      <c r="R614" s="2" t="inlineStr"/>
    </row>
    <row r="615" ht="15" customHeight="1">
      <c r="A615" t="inlineStr">
        <is>
          <t>A 31906-2023</t>
        </is>
      </c>
      <c r="B615" s="1" t="n">
        <v>45118.8353125</v>
      </c>
      <c r="C615" s="1" t="n">
        <v>46139</v>
      </c>
      <c r="D615" t="inlineStr">
        <is>
          <t>ÖREBRO LÄN</t>
        </is>
      </c>
      <c r="E615" t="inlineStr">
        <is>
          <t>ÖREBRO</t>
        </is>
      </c>
      <c r="G615" t="n">
        <v>9</v>
      </c>
      <c r="H615" t="n">
        <v>0</v>
      </c>
      <c r="I615" t="n">
        <v>0</v>
      </c>
      <c r="J615" t="n">
        <v>0</v>
      </c>
      <c r="K615" t="n">
        <v>0</v>
      </c>
      <c r="L615" t="n">
        <v>0</v>
      </c>
      <c r="M615" t="n">
        <v>0</v>
      </c>
      <c r="N615" t="n">
        <v>0</v>
      </c>
      <c r="O615" t="n">
        <v>0</v>
      </c>
      <c r="P615" t="n">
        <v>0</v>
      </c>
      <c r="Q615" t="n">
        <v>0</v>
      </c>
      <c r="R615" s="2" t="inlineStr"/>
    </row>
    <row r="616" ht="15" customHeight="1">
      <c r="A616" t="inlineStr">
        <is>
          <t>A 31326-2024</t>
        </is>
      </c>
      <c r="B616" s="1" t="n">
        <v>45504.5934375</v>
      </c>
      <c r="C616" s="1" t="n">
        <v>46139</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70719-2021</t>
        </is>
      </c>
      <c r="B617" s="1" t="n">
        <v>44537</v>
      </c>
      <c r="C617" s="1" t="n">
        <v>46139</v>
      </c>
      <c r="D617" t="inlineStr">
        <is>
          <t>ÖREBRO LÄN</t>
        </is>
      </c>
      <c r="E617" t="inlineStr">
        <is>
          <t>ÖREBRO</t>
        </is>
      </c>
      <c r="G617" t="n">
        <v>4.3</v>
      </c>
      <c r="H617" t="n">
        <v>0</v>
      </c>
      <c r="I617" t="n">
        <v>0</v>
      </c>
      <c r="J617" t="n">
        <v>0</v>
      </c>
      <c r="K617" t="n">
        <v>0</v>
      </c>
      <c r="L617" t="n">
        <v>0</v>
      </c>
      <c r="M617" t="n">
        <v>0</v>
      </c>
      <c r="N617" t="n">
        <v>0</v>
      </c>
      <c r="O617" t="n">
        <v>0</v>
      </c>
      <c r="P617" t="n">
        <v>0</v>
      </c>
      <c r="Q617" t="n">
        <v>0</v>
      </c>
      <c r="R617" s="2" t="inlineStr"/>
    </row>
    <row r="618" ht="15" customHeight="1">
      <c r="A618" t="inlineStr">
        <is>
          <t>A 16694-2025</t>
        </is>
      </c>
      <c r="B618" s="1" t="n">
        <v>45754.46480324074</v>
      </c>
      <c r="C618" s="1" t="n">
        <v>46139</v>
      </c>
      <c r="D618" t="inlineStr">
        <is>
          <t>ÖREBRO LÄN</t>
        </is>
      </c>
      <c r="E618" t="inlineStr">
        <is>
          <t>ÖREBRO</t>
        </is>
      </c>
      <c r="G618" t="n">
        <v>1.2</v>
      </c>
      <c r="H618" t="n">
        <v>0</v>
      </c>
      <c r="I618" t="n">
        <v>0</v>
      </c>
      <c r="J618" t="n">
        <v>0</v>
      </c>
      <c r="K618" t="n">
        <v>0</v>
      </c>
      <c r="L618" t="n">
        <v>0</v>
      </c>
      <c r="M618" t="n">
        <v>0</v>
      </c>
      <c r="N618" t="n">
        <v>0</v>
      </c>
      <c r="O618" t="n">
        <v>0</v>
      </c>
      <c r="P618" t="n">
        <v>0</v>
      </c>
      <c r="Q618" t="n">
        <v>0</v>
      </c>
      <c r="R618" s="2" t="inlineStr"/>
    </row>
    <row r="619" ht="15" customHeight="1">
      <c r="A619" t="inlineStr">
        <is>
          <t>A 30374-2023</t>
        </is>
      </c>
      <c r="B619" s="1" t="n">
        <v>45111</v>
      </c>
      <c r="C619" s="1" t="n">
        <v>46139</v>
      </c>
      <c r="D619" t="inlineStr">
        <is>
          <t>ÖREBRO LÄN</t>
        </is>
      </c>
      <c r="E619" t="inlineStr">
        <is>
          <t>ÖREBRO</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38898-2023</t>
        </is>
      </c>
      <c r="B620" s="1" t="n">
        <v>45163</v>
      </c>
      <c r="C620" s="1" t="n">
        <v>46139</v>
      </c>
      <c r="D620" t="inlineStr">
        <is>
          <t>ÖREBRO LÄN</t>
        </is>
      </c>
      <c r="E620" t="inlineStr">
        <is>
          <t>ÖREBRO</t>
        </is>
      </c>
      <c r="G620" t="n">
        <v>5.1</v>
      </c>
      <c r="H620" t="n">
        <v>0</v>
      </c>
      <c r="I620" t="n">
        <v>0</v>
      </c>
      <c r="J620" t="n">
        <v>0</v>
      </c>
      <c r="K620" t="n">
        <v>0</v>
      </c>
      <c r="L620" t="n">
        <v>0</v>
      </c>
      <c r="M620" t="n">
        <v>0</v>
      </c>
      <c r="N620" t="n">
        <v>0</v>
      </c>
      <c r="O620" t="n">
        <v>0</v>
      </c>
      <c r="P620" t="n">
        <v>0</v>
      </c>
      <c r="Q620" t="n">
        <v>0</v>
      </c>
      <c r="R620" s="2" t="inlineStr"/>
    </row>
    <row r="621" ht="15" customHeight="1">
      <c r="A621" t="inlineStr">
        <is>
          <t>A 5764-2022</t>
        </is>
      </c>
      <c r="B621" s="1" t="n">
        <v>44596</v>
      </c>
      <c r="C621" s="1" t="n">
        <v>46139</v>
      </c>
      <c r="D621" t="inlineStr">
        <is>
          <t>ÖREBRO LÄN</t>
        </is>
      </c>
      <c r="E621" t="inlineStr">
        <is>
          <t>ÖREBRO</t>
        </is>
      </c>
      <c r="G621" t="n">
        <v>3.5</v>
      </c>
      <c r="H621" t="n">
        <v>0</v>
      </c>
      <c r="I621" t="n">
        <v>0</v>
      </c>
      <c r="J621" t="n">
        <v>0</v>
      </c>
      <c r="K621" t="n">
        <v>0</v>
      </c>
      <c r="L621" t="n">
        <v>0</v>
      </c>
      <c r="M621" t="n">
        <v>0</v>
      </c>
      <c r="N621" t="n">
        <v>0</v>
      </c>
      <c r="O621" t="n">
        <v>0</v>
      </c>
      <c r="P621" t="n">
        <v>0</v>
      </c>
      <c r="Q621" t="n">
        <v>0</v>
      </c>
      <c r="R621" s="2" t="inlineStr"/>
    </row>
    <row r="622" ht="15" customHeight="1">
      <c r="A622" t="inlineStr">
        <is>
          <t>A 21036-2024</t>
        </is>
      </c>
      <c r="B622" s="1" t="n">
        <v>45439.65954861111</v>
      </c>
      <c r="C622" s="1" t="n">
        <v>46139</v>
      </c>
      <c r="D622" t="inlineStr">
        <is>
          <t>ÖREBRO LÄN</t>
        </is>
      </c>
      <c r="E622" t="inlineStr">
        <is>
          <t>ÖREBRO</t>
        </is>
      </c>
      <c r="F622" t="inlineStr">
        <is>
          <t>Övriga Aktiebolag</t>
        </is>
      </c>
      <c r="G622" t="n">
        <v>5.7</v>
      </c>
      <c r="H622" t="n">
        <v>0</v>
      </c>
      <c r="I622" t="n">
        <v>0</v>
      </c>
      <c r="J622" t="n">
        <v>0</v>
      </c>
      <c r="K622" t="n">
        <v>0</v>
      </c>
      <c r="L622" t="n">
        <v>0</v>
      </c>
      <c r="M622" t="n">
        <v>0</v>
      </c>
      <c r="N622" t="n">
        <v>0</v>
      </c>
      <c r="O622" t="n">
        <v>0</v>
      </c>
      <c r="P622" t="n">
        <v>0</v>
      </c>
      <c r="Q622" t="n">
        <v>0</v>
      </c>
      <c r="R622" s="2" t="inlineStr"/>
    </row>
    <row r="623" ht="15" customHeight="1">
      <c r="A623" t="inlineStr">
        <is>
          <t>A 1492-2022</t>
        </is>
      </c>
      <c r="B623" s="1" t="n">
        <v>44573</v>
      </c>
      <c r="C623" s="1" t="n">
        <v>46139</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58615-2024</t>
        </is>
      </c>
      <c r="B624" s="1" t="n">
        <v>45635.5587037037</v>
      </c>
      <c r="C624" s="1" t="n">
        <v>46139</v>
      </c>
      <c r="D624" t="inlineStr">
        <is>
          <t>ÖREBRO LÄN</t>
        </is>
      </c>
      <c r="E624" t="inlineStr">
        <is>
          <t>ÖREBRO</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58620-2024</t>
        </is>
      </c>
      <c r="B625" s="1" t="n">
        <v>45635.56246527778</v>
      </c>
      <c r="C625" s="1" t="n">
        <v>46139</v>
      </c>
      <c r="D625" t="inlineStr">
        <is>
          <t>ÖREBRO LÄN</t>
        </is>
      </c>
      <c r="E625" t="inlineStr">
        <is>
          <t>ÖREBRO</t>
        </is>
      </c>
      <c r="F625" t="inlineStr">
        <is>
          <t>Sveaskog</t>
        </is>
      </c>
      <c r="G625" t="n">
        <v>4.5</v>
      </c>
      <c r="H625" t="n">
        <v>0</v>
      </c>
      <c r="I625" t="n">
        <v>0</v>
      </c>
      <c r="J625" t="n">
        <v>0</v>
      </c>
      <c r="K625" t="n">
        <v>0</v>
      </c>
      <c r="L625" t="n">
        <v>0</v>
      </c>
      <c r="M625" t="n">
        <v>0</v>
      </c>
      <c r="N625" t="n">
        <v>0</v>
      </c>
      <c r="O625" t="n">
        <v>0</v>
      </c>
      <c r="P625" t="n">
        <v>0</v>
      </c>
      <c r="Q625" t="n">
        <v>0</v>
      </c>
      <c r="R625" s="2" t="inlineStr"/>
    </row>
    <row r="626" ht="15" customHeight="1">
      <c r="A626" t="inlineStr">
        <is>
          <t>A 1014-2024</t>
        </is>
      </c>
      <c r="B626" s="1" t="n">
        <v>45301</v>
      </c>
      <c r="C626" s="1" t="n">
        <v>46139</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30472-2022</t>
        </is>
      </c>
      <c r="B627" s="1" t="n">
        <v>44761.70467592592</v>
      </c>
      <c r="C627" s="1" t="n">
        <v>46139</v>
      </c>
      <c r="D627" t="inlineStr">
        <is>
          <t>ÖREBRO LÄN</t>
        </is>
      </c>
      <c r="E627" t="inlineStr">
        <is>
          <t>ÖREBRO</t>
        </is>
      </c>
      <c r="F627" t="inlineStr">
        <is>
          <t>Övriga Aktiebolag</t>
        </is>
      </c>
      <c r="G627" t="n">
        <v>5.6</v>
      </c>
      <c r="H627" t="n">
        <v>0</v>
      </c>
      <c r="I627" t="n">
        <v>0</v>
      </c>
      <c r="J627" t="n">
        <v>0</v>
      </c>
      <c r="K627" t="n">
        <v>0</v>
      </c>
      <c r="L627" t="n">
        <v>0</v>
      </c>
      <c r="M627" t="n">
        <v>0</v>
      </c>
      <c r="N627" t="n">
        <v>0</v>
      </c>
      <c r="O627" t="n">
        <v>0</v>
      </c>
      <c r="P627" t="n">
        <v>0</v>
      </c>
      <c r="Q627" t="n">
        <v>0</v>
      </c>
      <c r="R627" s="2" t="inlineStr"/>
    </row>
    <row r="628" ht="15" customHeight="1">
      <c r="A628" t="inlineStr">
        <is>
          <t>A 34056-2023</t>
        </is>
      </c>
      <c r="B628" s="1" t="n">
        <v>45135</v>
      </c>
      <c r="C628" s="1" t="n">
        <v>46139</v>
      </c>
      <c r="D628" t="inlineStr">
        <is>
          <t>ÖREBRO LÄN</t>
        </is>
      </c>
      <c r="E628" t="inlineStr">
        <is>
          <t>ÖREBRO</t>
        </is>
      </c>
      <c r="F628" t="inlineStr">
        <is>
          <t>Övriga Aktiebolag</t>
        </is>
      </c>
      <c r="G628" t="n">
        <v>4.1</v>
      </c>
      <c r="H628" t="n">
        <v>0</v>
      </c>
      <c r="I628" t="n">
        <v>0</v>
      </c>
      <c r="J628" t="n">
        <v>0</v>
      </c>
      <c r="K628" t="n">
        <v>0</v>
      </c>
      <c r="L628" t="n">
        <v>0</v>
      </c>
      <c r="M628" t="n">
        <v>0</v>
      </c>
      <c r="N628" t="n">
        <v>0</v>
      </c>
      <c r="O628" t="n">
        <v>0</v>
      </c>
      <c r="P628" t="n">
        <v>0</v>
      </c>
      <c r="Q628" t="n">
        <v>0</v>
      </c>
      <c r="R628" s="2" t="inlineStr"/>
    </row>
    <row r="629" ht="15" customHeight="1">
      <c r="A629" t="inlineStr">
        <is>
          <t>A 43612-2022</t>
        </is>
      </c>
      <c r="B629" s="1" t="n">
        <v>44837</v>
      </c>
      <c r="C629" s="1" t="n">
        <v>46139</v>
      </c>
      <c r="D629" t="inlineStr">
        <is>
          <t>ÖREBRO LÄN</t>
        </is>
      </c>
      <c r="E629" t="inlineStr">
        <is>
          <t>ÖREBRO</t>
        </is>
      </c>
      <c r="G629" t="n">
        <v>0.6</v>
      </c>
      <c r="H629" t="n">
        <v>0</v>
      </c>
      <c r="I629" t="n">
        <v>0</v>
      </c>
      <c r="J629" t="n">
        <v>0</v>
      </c>
      <c r="K629" t="n">
        <v>0</v>
      </c>
      <c r="L629" t="n">
        <v>0</v>
      </c>
      <c r="M629" t="n">
        <v>0</v>
      </c>
      <c r="N629" t="n">
        <v>0</v>
      </c>
      <c r="O629" t="n">
        <v>0</v>
      </c>
      <c r="P629" t="n">
        <v>0</v>
      </c>
      <c r="Q629" t="n">
        <v>0</v>
      </c>
      <c r="R629" s="2" t="inlineStr"/>
    </row>
    <row r="630" ht="15" customHeight="1">
      <c r="A630" t="inlineStr">
        <is>
          <t>A 51373-2023</t>
        </is>
      </c>
      <c r="B630" s="1" t="n">
        <v>45213</v>
      </c>
      <c r="C630" s="1" t="n">
        <v>46139</v>
      </c>
      <c r="D630" t="inlineStr">
        <is>
          <t>ÖREBRO LÄN</t>
        </is>
      </c>
      <c r="E630" t="inlineStr">
        <is>
          <t>ÖREBRO</t>
        </is>
      </c>
      <c r="G630" t="n">
        <v>5.9</v>
      </c>
      <c r="H630" t="n">
        <v>0</v>
      </c>
      <c r="I630" t="n">
        <v>0</v>
      </c>
      <c r="J630" t="n">
        <v>0</v>
      </c>
      <c r="K630" t="n">
        <v>0</v>
      </c>
      <c r="L630" t="n">
        <v>0</v>
      </c>
      <c r="M630" t="n">
        <v>0</v>
      </c>
      <c r="N630" t="n">
        <v>0</v>
      </c>
      <c r="O630" t="n">
        <v>0</v>
      </c>
      <c r="P630" t="n">
        <v>0</v>
      </c>
      <c r="Q630" t="n">
        <v>0</v>
      </c>
      <c r="R630" s="2" t="inlineStr"/>
    </row>
    <row r="631" ht="15" customHeight="1">
      <c r="A631" t="inlineStr">
        <is>
          <t>A 35843-2022</t>
        </is>
      </c>
      <c r="B631" s="1" t="n">
        <v>44802</v>
      </c>
      <c r="C631" s="1" t="n">
        <v>46139</v>
      </c>
      <c r="D631" t="inlineStr">
        <is>
          <t>ÖREBRO LÄN</t>
        </is>
      </c>
      <c r="E631" t="inlineStr">
        <is>
          <t>ÖREBRO</t>
        </is>
      </c>
      <c r="G631" t="n">
        <v>2.4</v>
      </c>
      <c r="H631" t="n">
        <v>0</v>
      </c>
      <c r="I631" t="n">
        <v>0</v>
      </c>
      <c r="J631" t="n">
        <v>0</v>
      </c>
      <c r="K631" t="n">
        <v>0</v>
      </c>
      <c r="L631" t="n">
        <v>0</v>
      </c>
      <c r="M631" t="n">
        <v>0</v>
      </c>
      <c r="N631" t="n">
        <v>0</v>
      </c>
      <c r="O631" t="n">
        <v>0</v>
      </c>
      <c r="P631" t="n">
        <v>0</v>
      </c>
      <c r="Q631" t="n">
        <v>0</v>
      </c>
      <c r="R631" s="2" t="inlineStr"/>
    </row>
    <row r="632" ht="15" customHeight="1">
      <c r="A632" t="inlineStr">
        <is>
          <t>A 13599-2025</t>
        </is>
      </c>
      <c r="B632" s="1" t="n">
        <v>45736.60597222222</v>
      </c>
      <c r="C632" s="1" t="n">
        <v>46139</v>
      </c>
      <c r="D632" t="inlineStr">
        <is>
          <t>ÖREBRO LÄN</t>
        </is>
      </c>
      <c r="E632" t="inlineStr">
        <is>
          <t>ÖREBRO</t>
        </is>
      </c>
      <c r="G632" t="n">
        <v>1.9</v>
      </c>
      <c r="H632" t="n">
        <v>0</v>
      </c>
      <c r="I632" t="n">
        <v>0</v>
      </c>
      <c r="J632" t="n">
        <v>0</v>
      </c>
      <c r="K632" t="n">
        <v>0</v>
      </c>
      <c r="L632" t="n">
        <v>0</v>
      </c>
      <c r="M632" t="n">
        <v>0</v>
      </c>
      <c r="N632" t="n">
        <v>0</v>
      </c>
      <c r="O632" t="n">
        <v>0</v>
      </c>
      <c r="P632" t="n">
        <v>0</v>
      </c>
      <c r="Q632" t="n">
        <v>0</v>
      </c>
      <c r="R632" s="2" t="inlineStr"/>
    </row>
    <row r="633" ht="15" customHeight="1">
      <c r="A633" t="inlineStr">
        <is>
          <t>A 20146-2024</t>
        </is>
      </c>
      <c r="B633" s="1" t="n">
        <v>45434.57641203704</v>
      </c>
      <c r="C633" s="1" t="n">
        <v>46139</v>
      </c>
      <c r="D633" t="inlineStr">
        <is>
          <t>ÖREBRO LÄN</t>
        </is>
      </c>
      <c r="E633" t="inlineStr">
        <is>
          <t>ÖREBRO</t>
        </is>
      </c>
      <c r="G633" t="n">
        <v>0.5</v>
      </c>
      <c r="H633" t="n">
        <v>0</v>
      </c>
      <c r="I633" t="n">
        <v>0</v>
      </c>
      <c r="J633" t="n">
        <v>0</v>
      </c>
      <c r="K633" t="n">
        <v>0</v>
      </c>
      <c r="L633" t="n">
        <v>0</v>
      </c>
      <c r="M633" t="n">
        <v>0</v>
      </c>
      <c r="N633" t="n">
        <v>0</v>
      </c>
      <c r="O633" t="n">
        <v>0</v>
      </c>
      <c r="P633" t="n">
        <v>0</v>
      </c>
      <c r="Q633" t="n">
        <v>0</v>
      </c>
      <c r="R633" s="2" t="inlineStr"/>
    </row>
    <row r="634" ht="15" customHeight="1">
      <c r="A634" t="inlineStr">
        <is>
          <t>A 10937-2024</t>
        </is>
      </c>
      <c r="B634" s="1" t="n">
        <v>45370.44461805555</v>
      </c>
      <c r="C634" s="1" t="n">
        <v>46139</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20115-2024</t>
        </is>
      </c>
      <c r="B635" s="1" t="n">
        <v>45434</v>
      </c>
      <c r="C635" s="1" t="n">
        <v>46139</v>
      </c>
      <c r="D635" t="inlineStr">
        <is>
          <t>ÖREBRO LÄN</t>
        </is>
      </c>
      <c r="E635" t="inlineStr">
        <is>
          <t>ÖREBRO</t>
        </is>
      </c>
      <c r="G635" t="n">
        <v>1.7</v>
      </c>
      <c r="H635" t="n">
        <v>0</v>
      </c>
      <c r="I635" t="n">
        <v>0</v>
      </c>
      <c r="J635" t="n">
        <v>0</v>
      </c>
      <c r="K635" t="n">
        <v>0</v>
      </c>
      <c r="L635" t="n">
        <v>0</v>
      </c>
      <c r="M635" t="n">
        <v>0</v>
      </c>
      <c r="N635" t="n">
        <v>0</v>
      </c>
      <c r="O635" t="n">
        <v>0</v>
      </c>
      <c r="P635" t="n">
        <v>0</v>
      </c>
      <c r="Q635" t="n">
        <v>0</v>
      </c>
      <c r="R635" s="2" t="inlineStr"/>
    </row>
    <row r="636" ht="15" customHeight="1">
      <c r="A636" t="inlineStr">
        <is>
          <t>A 16936-2023</t>
        </is>
      </c>
      <c r="B636" s="1" t="n">
        <v>45033.63005787037</v>
      </c>
      <c r="C636" s="1" t="n">
        <v>46139</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40588-2021</t>
        </is>
      </c>
      <c r="B637" s="1" t="n">
        <v>44420</v>
      </c>
      <c r="C637" s="1" t="n">
        <v>46139</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57485-2023</t>
        </is>
      </c>
      <c r="B638" s="1" t="n">
        <v>45246</v>
      </c>
      <c r="C638" s="1" t="n">
        <v>46139</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37025-2024</t>
        </is>
      </c>
      <c r="B639" s="1" t="n">
        <v>45539.3840162037</v>
      </c>
      <c r="C639" s="1" t="n">
        <v>46139</v>
      </c>
      <c r="D639" t="inlineStr">
        <is>
          <t>ÖREBRO LÄN</t>
        </is>
      </c>
      <c r="E639" t="inlineStr">
        <is>
          <t>ÖREBRO</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37027-2024</t>
        </is>
      </c>
      <c r="B640" s="1" t="n">
        <v>45539.38487268519</v>
      </c>
      <c r="C640" s="1" t="n">
        <v>46139</v>
      </c>
      <c r="D640" t="inlineStr">
        <is>
          <t>ÖREBRO LÄN</t>
        </is>
      </c>
      <c r="E640" t="inlineStr">
        <is>
          <t>ÖREBRO</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60506-2024</t>
        </is>
      </c>
      <c r="B641" s="1" t="n">
        <v>45643.66630787037</v>
      </c>
      <c r="C641" s="1" t="n">
        <v>46139</v>
      </c>
      <c r="D641" t="inlineStr">
        <is>
          <t>ÖREBRO LÄN</t>
        </is>
      </c>
      <c r="E641" t="inlineStr">
        <is>
          <t>ÖREBRO</t>
        </is>
      </c>
      <c r="G641" t="n">
        <v>5.8</v>
      </c>
      <c r="H641" t="n">
        <v>0</v>
      </c>
      <c r="I641" t="n">
        <v>0</v>
      </c>
      <c r="J641" t="n">
        <v>0</v>
      </c>
      <c r="K641" t="n">
        <v>0</v>
      </c>
      <c r="L641" t="n">
        <v>0</v>
      </c>
      <c r="M641" t="n">
        <v>0</v>
      </c>
      <c r="N641" t="n">
        <v>0</v>
      </c>
      <c r="O641" t="n">
        <v>0</v>
      </c>
      <c r="P641" t="n">
        <v>0</v>
      </c>
      <c r="Q641" t="n">
        <v>0</v>
      </c>
      <c r="R641" s="2" t="inlineStr"/>
    </row>
    <row r="642" ht="15" customHeight="1">
      <c r="A642" t="inlineStr">
        <is>
          <t>A 44284-2022</t>
        </is>
      </c>
      <c r="B642" s="1" t="n">
        <v>44839.59194444444</v>
      </c>
      <c r="C642" s="1" t="n">
        <v>46139</v>
      </c>
      <c r="D642" t="inlineStr">
        <is>
          <t>ÖREBRO LÄN</t>
        </is>
      </c>
      <c r="E642" t="inlineStr">
        <is>
          <t>ÖREBRO</t>
        </is>
      </c>
      <c r="G642" t="n">
        <v>1.2</v>
      </c>
      <c r="H642" t="n">
        <v>0</v>
      </c>
      <c r="I642" t="n">
        <v>0</v>
      </c>
      <c r="J642" t="n">
        <v>0</v>
      </c>
      <c r="K642" t="n">
        <v>0</v>
      </c>
      <c r="L642" t="n">
        <v>0</v>
      </c>
      <c r="M642" t="n">
        <v>0</v>
      </c>
      <c r="N642" t="n">
        <v>0</v>
      </c>
      <c r="O642" t="n">
        <v>0</v>
      </c>
      <c r="P642" t="n">
        <v>0</v>
      </c>
      <c r="Q642" t="n">
        <v>0</v>
      </c>
      <c r="R642" s="2" t="inlineStr"/>
    </row>
    <row r="643" ht="15" customHeight="1">
      <c r="A643" t="inlineStr">
        <is>
          <t>A 35833-2024</t>
        </is>
      </c>
      <c r="B643" s="1" t="n">
        <v>45532.68699074074</v>
      </c>
      <c r="C643" s="1" t="n">
        <v>46139</v>
      </c>
      <c r="D643" t="inlineStr">
        <is>
          <t>ÖREBRO LÄN</t>
        </is>
      </c>
      <c r="E643" t="inlineStr">
        <is>
          <t>ÖREBRO</t>
        </is>
      </c>
      <c r="G643" t="n">
        <v>1.8</v>
      </c>
      <c r="H643" t="n">
        <v>0</v>
      </c>
      <c r="I643" t="n">
        <v>0</v>
      </c>
      <c r="J643" t="n">
        <v>0</v>
      </c>
      <c r="K643" t="n">
        <v>0</v>
      </c>
      <c r="L643" t="n">
        <v>0</v>
      </c>
      <c r="M643" t="n">
        <v>0</v>
      </c>
      <c r="N643" t="n">
        <v>0</v>
      </c>
      <c r="O643" t="n">
        <v>0</v>
      </c>
      <c r="P643" t="n">
        <v>0</v>
      </c>
      <c r="Q643" t="n">
        <v>0</v>
      </c>
      <c r="R643" s="2" t="inlineStr"/>
    </row>
    <row r="644">
      <c r="A644" t="inlineStr">
        <is>
          <t>A 58608-2024</t>
        </is>
      </c>
      <c r="B644" s="1" t="n">
        <v>45635.55185185185</v>
      </c>
      <c r="C644" s="1" t="n">
        <v>46139</v>
      </c>
      <c r="D644" t="inlineStr">
        <is>
          <t>ÖREBRO LÄN</t>
        </is>
      </c>
      <c r="E644" t="inlineStr">
        <is>
          <t>ÖREBRO</t>
        </is>
      </c>
      <c r="F644" t="inlineStr">
        <is>
          <t>Sveaskog</t>
        </is>
      </c>
      <c r="G644" t="n">
        <v>0.3</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2026-04-27T11:27:38Z</dcterms:created>
  <dcterms:modified xmlns:dcterms="http://purl.org/dc/terms/" xmlns:xsi="http://www.w3.org/2001/XMLSchema-instance" xsi:type="dcterms:W3CDTF">2026-04-27T11:27:39Z</dcterms:modified>
</cp:coreProperties>
</file>