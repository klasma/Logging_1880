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46035</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46035</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46035</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15758-2023</t>
        </is>
      </c>
      <c r="B9" s="1" t="n">
        <v>45021</v>
      </c>
      <c r="C9" s="1" t="n">
        <v>46035</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46035</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45989.65600694445</v>
      </c>
      <c r="C11" s="1" t="n">
        <v>46035</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46035</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33069-2025</t>
        </is>
      </c>
      <c r="B13" s="1" t="n">
        <v>45840</v>
      </c>
      <c r="C13" s="1" t="n">
        <v>46035</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46035</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46035</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46035</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46035</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46035</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46035</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46035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46035</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46035</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13627-2025</t>
        </is>
      </c>
      <c r="B23" s="1" t="n">
        <v>45736</v>
      </c>
      <c r="C23" s="1" t="n">
        <v>46035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46035</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35098-2025</t>
        </is>
      </c>
      <c r="B25" s="1" t="n">
        <v>45852.5469212963</v>
      </c>
      <c r="C25" s="1" t="n">
        <v>46035</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46035</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46035</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45989.65541666667</v>
      </c>
      <c r="C28" s="1" t="n">
        <v>46035</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575-2024</t>
        </is>
      </c>
      <c r="B29" s="1" t="n">
        <v>45299</v>
      </c>
      <c r="C29" s="1" t="n">
        <v>46035</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29478-2022</t>
        </is>
      </c>
      <c r="B30" s="1" t="n">
        <v>44753</v>
      </c>
      <c r="C30" s="1" t="n">
        <v>46035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46035</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46035</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46035</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14956-2025</t>
        </is>
      </c>
      <c r="B36" s="1" t="n">
        <v>45743.58409722222</v>
      </c>
      <c r="C36" s="1" t="n">
        <v>46035</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22577-2024</t>
        </is>
      </c>
      <c r="B37" s="1" t="n">
        <v>45447</v>
      </c>
      <c r="C37" s="1" t="n">
        <v>46035</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30409-2025</t>
        </is>
      </c>
      <c r="B38" s="1" t="n">
        <v>45827.59738425926</v>
      </c>
      <c r="C38" s="1" t="n">
        <v>46035</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51550-2025</t>
        </is>
      </c>
      <c r="B39" s="1" t="n">
        <v>45950.83359953704</v>
      </c>
      <c r="C39" s="1" t="n">
        <v>46035</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60557-2025</t>
        </is>
      </c>
      <c r="B40" s="1" t="n">
        <v>45995.74444444444</v>
      </c>
      <c r="C40" s="1" t="n">
        <v>46035</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46035</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8267-2021</t>
        </is>
      </c>
      <c r="B42" s="1" t="n">
        <v>44244</v>
      </c>
      <c r="C42" s="1" t="n">
        <v>46035</v>
      </c>
      <c r="D42" t="inlineStr">
        <is>
          <t>ÖREBRO LÄN</t>
        </is>
      </c>
      <c r="E42" t="inlineStr">
        <is>
          <t>ÖREBRO</t>
        </is>
      </c>
      <c r="G42" t="n">
        <v>2.5</v>
      </c>
      <c r="H42" t="n">
        <v>1</v>
      </c>
      <c r="I42" t="n">
        <v>1</v>
      </c>
      <c r="J42" t="n">
        <v>0</v>
      </c>
      <c r="K42" t="n">
        <v>0</v>
      </c>
      <c r="L42" t="n">
        <v>0</v>
      </c>
      <c r="M42" t="n">
        <v>0</v>
      </c>
      <c r="N42" t="n">
        <v>0</v>
      </c>
      <c r="O42" t="n">
        <v>0</v>
      </c>
      <c r="P42" t="n">
        <v>0</v>
      </c>
      <c r="Q42" t="n">
        <v>2</v>
      </c>
      <c r="R42" s="2" t="inlineStr">
        <is>
          <t>Svart trolldruva
Blåsippa</t>
        </is>
      </c>
      <c r="S42">
        <f>HYPERLINK("https://klasma.github.io/Logging_1880/artfynd/A 8267-2021 artfynd.xlsx", "A 8267-2021")</f>
        <v/>
      </c>
      <c r="T42">
        <f>HYPERLINK("https://klasma.github.io/Logging_1880/kartor/A 8267-2021 karta.png", "A 8267-2021")</f>
        <v/>
      </c>
      <c r="V42">
        <f>HYPERLINK("https://klasma.github.io/Logging_1880/klagomål/A 8267-2021 FSC-klagomål.docx", "A 8267-2021")</f>
        <v/>
      </c>
      <c r="W42">
        <f>HYPERLINK("https://klasma.github.io/Logging_1880/klagomålsmail/A 8267-2021 FSC-klagomål mail.docx", "A 8267-2021")</f>
        <v/>
      </c>
      <c r="X42">
        <f>HYPERLINK("https://klasma.github.io/Logging_1880/tillsyn/A 8267-2021 tillsynsbegäran.docx", "A 8267-2021")</f>
        <v/>
      </c>
      <c r="Y42">
        <f>HYPERLINK("https://klasma.github.io/Logging_1880/tillsynsmail/A 8267-2021 tillsynsbegäran mail.docx", "A 8267-2021")</f>
        <v/>
      </c>
    </row>
    <row r="43" ht="15" customHeight="1">
      <c r="A43" t="inlineStr">
        <is>
          <t>A 37019-2024</t>
        </is>
      </c>
      <c r="B43" s="1" t="n">
        <v>45539.37905092593</v>
      </c>
      <c r="C43" s="1" t="n">
        <v>46035</v>
      </c>
      <c r="D43" t="inlineStr">
        <is>
          <t>ÖREBRO LÄN</t>
        </is>
      </c>
      <c r="E43" t="inlineStr">
        <is>
          <t>ÖREBRO</t>
        </is>
      </c>
      <c r="F43" t="inlineStr">
        <is>
          <t>Sveaskog</t>
        </is>
      </c>
      <c r="G43" t="n">
        <v>1.9</v>
      </c>
      <c r="H43" t="n">
        <v>1</v>
      </c>
      <c r="I43" t="n">
        <v>1</v>
      </c>
      <c r="J43" t="n">
        <v>0</v>
      </c>
      <c r="K43" t="n">
        <v>0</v>
      </c>
      <c r="L43" t="n">
        <v>0</v>
      </c>
      <c r="M43" t="n">
        <v>0</v>
      </c>
      <c r="N43" t="n">
        <v>0</v>
      </c>
      <c r="O43" t="n">
        <v>0</v>
      </c>
      <c r="P43" t="n">
        <v>0</v>
      </c>
      <c r="Q43" t="n">
        <v>2</v>
      </c>
      <c r="R43" s="2" t="inlineStr">
        <is>
          <t>Tibast
Huggorm</t>
        </is>
      </c>
      <c r="S43">
        <f>HYPERLINK("https://klasma.github.io/Logging_1880/artfynd/A 37019-2024 artfynd.xlsx", "A 37019-2024")</f>
        <v/>
      </c>
      <c r="T43">
        <f>HYPERLINK("https://klasma.github.io/Logging_1880/kartor/A 37019-2024 karta.png", "A 37019-2024")</f>
        <v/>
      </c>
      <c r="V43">
        <f>HYPERLINK("https://klasma.github.io/Logging_1880/klagomål/A 37019-2024 FSC-klagomål.docx", "A 37019-2024")</f>
        <v/>
      </c>
      <c r="W43">
        <f>HYPERLINK("https://klasma.github.io/Logging_1880/klagomålsmail/A 37019-2024 FSC-klagomål mail.docx", "A 37019-2024")</f>
        <v/>
      </c>
      <c r="X43">
        <f>HYPERLINK("https://klasma.github.io/Logging_1880/tillsyn/A 37019-2024 tillsynsbegäran.docx", "A 37019-2024")</f>
        <v/>
      </c>
      <c r="Y43">
        <f>HYPERLINK("https://klasma.github.io/Logging_1880/tillsynsmail/A 37019-2024 tillsynsbegäran mail.docx", "A 37019-2024")</f>
        <v/>
      </c>
    </row>
    <row r="44" ht="15" customHeight="1">
      <c r="A44" t="inlineStr">
        <is>
          <t>A 7608-2024</t>
        </is>
      </c>
      <c r="B44" s="1" t="n">
        <v>45348</v>
      </c>
      <c r="C44" s="1" t="n">
        <v>46035</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52400-2024</t>
        </is>
      </c>
      <c r="B45" s="1" t="n">
        <v>45609.44461805555</v>
      </c>
      <c r="C45" s="1" t="n">
        <v>46035</v>
      </c>
      <c r="D45" t="inlineStr">
        <is>
          <t>ÖREBRO LÄN</t>
        </is>
      </c>
      <c r="E45" t="inlineStr">
        <is>
          <t>ÖREBRO</t>
        </is>
      </c>
      <c r="F45" t="inlineStr">
        <is>
          <t>Sveaskog</t>
        </is>
      </c>
      <c r="G45" t="n">
        <v>7</v>
      </c>
      <c r="H45" t="n">
        <v>2</v>
      </c>
      <c r="I45" t="n">
        <v>0</v>
      </c>
      <c r="J45" t="n">
        <v>0</v>
      </c>
      <c r="K45" t="n">
        <v>1</v>
      </c>
      <c r="L45" t="n">
        <v>0</v>
      </c>
      <c r="M45" t="n">
        <v>0</v>
      </c>
      <c r="N45" t="n">
        <v>0</v>
      </c>
      <c r="O45" t="n">
        <v>1</v>
      </c>
      <c r="P45" t="n">
        <v>1</v>
      </c>
      <c r="Q45" t="n">
        <v>2</v>
      </c>
      <c r="R45" s="2" t="inlineStr">
        <is>
          <t>Väddnätfjäril
Grönvit nattviol</t>
        </is>
      </c>
      <c r="S45">
        <f>HYPERLINK("https://klasma.github.io/Logging_1880/artfynd/A 52400-2024 artfynd.xlsx", "A 52400-2024")</f>
        <v/>
      </c>
      <c r="T45">
        <f>HYPERLINK("https://klasma.github.io/Logging_1880/kartor/A 52400-2024 karta.png", "A 52400-2024")</f>
        <v/>
      </c>
      <c r="V45">
        <f>HYPERLINK("https://klasma.github.io/Logging_1880/klagomål/A 52400-2024 FSC-klagomål.docx", "A 52400-2024")</f>
        <v/>
      </c>
      <c r="W45">
        <f>HYPERLINK("https://klasma.github.io/Logging_1880/klagomålsmail/A 52400-2024 FSC-klagomål mail.docx", "A 52400-2024")</f>
        <v/>
      </c>
      <c r="X45">
        <f>HYPERLINK("https://klasma.github.io/Logging_1880/tillsyn/A 52400-2024 tillsynsbegäran.docx", "A 52400-2024")</f>
        <v/>
      </c>
      <c r="Y45">
        <f>HYPERLINK("https://klasma.github.io/Logging_1880/tillsynsmail/A 52400-2024 tillsynsbegäran mail.docx", "A 52400-2024")</f>
        <v/>
      </c>
    </row>
    <row r="46" ht="15" customHeight="1">
      <c r="A46" t="inlineStr">
        <is>
          <t>A 29704-2022</t>
        </is>
      </c>
      <c r="B46" s="1" t="n">
        <v>44755</v>
      </c>
      <c r="C46" s="1" t="n">
        <v>46035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46035</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46035</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23998-2025</t>
        </is>
      </c>
      <c r="B49" s="1" t="n">
        <v>45796.42209490741</v>
      </c>
      <c r="C49" s="1" t="n">
        <v>46035</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42636-2023</t>
        </is>
      </c>
      <c r="B50" s="1" t="n">
        <v>45181.49559027778</v>
      </c>
      <c r="C50" s="1" t="n">
        <v>46035</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44744-2024</t>
        </is>
      </c>
      <c r="B51" s="1" t="n">
        <v>45574.59789351852</v>
      </c>
      <c r="C51" s="1" t="n">
        <v>46035</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55904-2024</t>
        </is>
      </c>
      <c r="B52" s="1" t="n">
        <v>45623.58190972222</v>
      </c>
      <c r="C52" s="1" t="n">
        <v>46035</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15621-2021</t>
        </is>
      </c>
      <c r="B53" s="1" t="n">
        <v>44285</v>
      </c>
      <c r="C53" s="1" t="n">
        <v>46035</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11501-2025</t>
        </is>
      </c>
      <c r="B54" s="1" t="n">
        <v>45726</v>
      </c>
      <c r="C54" s="1" t="n">
        <v>46035</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28936-2025</t>
        </is>
      </c>
      <c r="B55" s="1" t="n">
        <v>45820.69287037037</v>
      </c>
      <c r="C55" s="1" t="n">
        <v>46035</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4014-2021</t>
        </is>
      </c>
      <c r="B56" s="1" t="n">
        <v>44218</v>
      </c>
      <c r="C56" s="1" t="n">
        <v>46035</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50499-2025</t>
        </is>
      </c>
      <c r="B57" s="1" t="n">
        <v>45945.41712962963</v>
      </c>
      <c r="C57" s="1" t="n">
        <v>46035</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32226-2025</t>
        </is>
      </c>
      <c r="B58" s="1" t="n">
        <v>45835.59478009259</v>
      </c>
      <c r="C58" s="1" t="n">
        <v>46035</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46035</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32105-2023</t>
        </is>
      </c>
      <c r="B60" s="1" t="n">
        <v>45119</v>
      </c>
      <c r="C60" s="1" t="n">
        <v>46035</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20032-2023</t>
        </is>
      </c>
      <c r="B61" s="1" t="n">
        <v>45054</v>
      </c>
      <c r="C61" s="1" t="n">
        <v>46035</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63199-2025</t>
        </is>
      </c>
      <c r="B62" s="1" t="n">
        <v>46010.46091435185</v>
      </c>
      <c r="C62" s="1" t="n">
        <v>46035</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22604-2024</t>
        </is>
      </c>
      <c r="B63" s="1" t="n">
        <v>45447</v>
      </c>
      <c r="C63" s="1" t="n">
        <v>46035</v>
      </c>
      <c r="D63" t="inlineStr">
        <is>
          <t>ÖREBRO LÄN</t>
        </is>
      </c>
      <c r="E63" t="inlineStr">
        <is>
          <t>ÖREBRO</t>
        </is>
      </c>
      <c r="G63" t="n">
        <v>4.4</v>
      </c>
      <c r="H63" t="n">
        <v>0</v>
      </c>
      <c r="I63" t="n">
        <v>0</v>
      </c>
      <c r="J63" t="n">
        <v>1</v>
      </c>
      <c r="K63" t="n">
        <v>0</v>
      </c>
      <c r="L63" t="n">
        <v>0</v>
      </c>
      <c r="M63" t="n">
        <v>0</v>
      </c>
      <c r="N63" t="n">
        <v>0</v>
      </c>
      <c r="O63" t="n">
        <v>1</v>
      </c>
      <c r="P63" t="n">
        <v>0</v>
      </c>
      <c r="Q63" t="n">
        <v>1</v>
      </c>
      <c r="R63" s="2" t="inlineStr">
        <is>
          <t>Månlåsbräken</t>
        </is>
      </c>
      <c r="S63">
        <f>HYPERLINK("https://klasma.github.io/Logging_1880/artfynd/A 22604-2024 artfynd.xlsx", "A 22604-2024")</f>
        <v/>
      </c>
      <c r="T63">
        <f>HYPERLINK("https://klasma.github.io/Logging_1880/kartor/A 22604-2024 karta.png", "A 22604-2024")</f>
        <v/>
      </c>
      <c r="V63">
        <f>HYPERLINK("https://klasma.github.io/Logging_1880/klagomål/A 22604-2024 FSC-klagomål.docx", "A 22604-2024")</f>
        <v/>
      </c>
      <c r="W63">
        <f>HYPERLINK("https://klasma.github.io/Logging_1880/klagomålsmail/A 22604-2024 FSC-klagomål mail.docx", "A 22604-2024")</f>
        <v/>
      </c>
      <c r="X63">
        <f>HYPERLINK("https://klasma.github.io/Logging_1880/tillsyn/A 22604-2024 tillsynsbegäran.docx", "A 22604-2024")</f>
        <v/>
      </c>
      <c r="Y63">
        <f>HYPERLINK("https://klasma.github.io/Logging_1880/tillsynsmail/A 22604-2024 tillsynsbegäran mail.docx", "A 22604-2024")</f>
        <v/>
      </c>
    </row>
    <row r="64" ht="15" customHeight="1">
      <c r="A64" t="inlineStr">
        <is>
          <t>A 63196-2025</t>
        </is>
      </c>
      <c r="B64" s="1" t="n">
        <v>46010.45872685185</v>
      </c>
      <c r="C64" s="1" t="n">
        <v>46035</v>
      </c>
      <c r="D64" t="inlineStr">
        <is>
          <t>ÖREBRO LÄN</t>
        </is>
      </c>
      <c r="E64" t="inlineStr">
        <is>
          <t>ÖREBRO</t>
        </is>
      </c>
      <c r="F64" t="inlineStr">
        <is>
          <t>Sveaskog</t>
        </is>
      </c>
      <c r="G64" t="n">
        <v>1.4</v>
      </c>
      <c r="H64" t="n">
        <v>0</v>
      </c>
      <c r="I64" t="n">
        <v>1</v>
      </c>
      <c r="J64" t="n">
        <v>0</v>
      </c>
      <c r="K64" t="n">
        <v>0</v>
      </c>
      <c r="L64" t="n">
        <v>0</v>
      </c>
      <c r="M64" t="n">
        <v>0</v>
      </c>
      <c r="N64" t="n">
        <v>0</v>
      </c>
      <c r="O64" t="n">
        <v>0</v>
      </c>
      <c r="P64" t="n">
        <v>0</v>
      </c>
      <c r="Q64" t="n">
        <v>1</v>
      </c>
      <c r="R64" s="2" t="inlineStr">
        <is>
          <t>Tibast</t>
        </is>
      </c>
      <c r="S64">
        <f>HYPERLINK("https://klasma.github.io/Logging_1880/artfynd/A 63196-2025 artfynd.xlsx", "A 63196-2025")</f>
        <v/>
      </c>
      <c r="T64">
        <f>HYPERLINK("https://klasma.github.io/Logging_1880/kartor/A 63196-2025 karta.png", "A 63196-2025")</f>
        <v/>
      </c>
      <c r="V64">
        <f>HYPERLINK("https://klasma.github.io/Logging_1880/klagomål/A 63196-2025 FSC-klagomål.docx", "A 63196-2025")</f>
        <v/>
      </c>
      <c r="W64">
        <f>HYPERLINK("https://klasma.github.io/Logging_1880/klagomålsmail/A 63196-2025 FSC-klagomål mail.docx", "A 63196-2025")</f>
        <v/>
      </c>
      <c r="X64">
        <f>HYPERLINK("https://klasma.github.io/Logging_1880/tillsyn/A 63196-2025 tillsynsbegäran.docx", "A 63196-2025")</f>
        <v/>
      </c>
      <c r="Y64">
        <f>HYPERLINK("https://klasma.github.io/Logging_1880/tillsynsmail/A 63196-2025 tillsynsbegäran mail.docx", "A 63196-2025")</f>
        <v/>
      </c>
    </row>
    <row r="65" ht="15" customHeight="1">
      <c r="A65" t="inlineStr">
        <is>
          <t>A 30725-2023</t>
        </is>
      </c>
      <c r="B65" s="1" t="n">
        <v>45112.61451388889</v>
      </c>
      <c r="C65" s="1" t="n">
        <v>46035</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46035</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46035</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58838-2025</t>
        </is>
      </c>
      <c r="B68" s="1" t="n">
        <v>45987.35973379629</v>
      </c>
      <c r="C68" s="1" t="n">
        <v>46035</v>
      </c>
      <c r="D68" t="inlineStr">
        <is>
          <t>ÖREBRO LÄN</t>
        </is>
      </c>
      <c r="E68" t="inlineStr">
        <is>
          <t>ÖREBRO</t>
        </is>
      </c>
      <c r="G68" t="n">
        <v>1.7</v>
      </c>
      <c r="H68" t="n">
        <v>0</v>
      </c>
      <c r="I68" t="n">
        <v>1</v>
      </c>
      <c r="J68" t="n">
        <v>0</v>
      </c>
      <c r="K68" t="n">
        <v>0</v>
      </c>
      <c r="L68" t="n">
        <v>0</v>
      </c>
      <c r="M68" t="n">
        <v>0</v>
      </c>
      <c r="N68" t="n">
        <v>0</v>
      </c>
      <c r="O68" t="n">
        <v>0</v>
      </c>
      <c r="P68" t="n">
        <v>0</v>
      </c>
      <c r="Q68" t="n">
        <v>1</v>
      </c>
      <c r="R68" s="2" t="inlineStr">
        <is>
          <t>Grönpyrola</t>
        </is>
      </c>
      <c r="S68">
        <f>HYPERLINK("https://klasma.github.io/Logging_1880/artfynd/A 58838-2025 artfynd.xlsx", "A 58838-2025")</f>
        <v/>
      </c>
      <c r="T68">
        <f>HYPERLINK("https://klasma.github.io/Logging_1880/kartor/A 58838-2025 karta.png", "A 58838-2025")</f>
        <v/>
      </c>
      <c r="V68">
        <f>HYPERLINK("https://klasma.github.io/Logging_1880/klagomål/A 58838-2025 FSC-klagomål.docx", "A 58838-2025")</f>
        <v/>
      </c>
      <c r="W68">
        <f>HYPERLINK("https://klasma.github.io/Logging_1880/klagomålsmail/A 58838-2025 FSC-klagomål mail.docx", "A 58838-2025")</f>
        <v/>
      </c>
      <c r="X68">
        <f>HYPERLINK("https://klasma.github.io/Logging_1880/tillsyn/A 58838-2025 tillsynsbegäran.docx", "A 58838-2025")</f>
        <v/>
      </c>
      <c r="Y68">
        <f>HYPERLINK("https://klasma.github.io/Logging_1880/tillsynsmail/A 58838-2025 tillsynsbegäran mail.docx", "A 58838-2025")</f>
        <v/>
      </c>
    </row>
    <row r="69" ht="15" customHeight="1">
      <c r="A69" t="inlineStr">
        <is>
          <t>A 59516-2025</t>
        </is>
      </c>
      <c r="B69" s="1" t="n">
        <v>45989.65396990741</v>
      </c>
      <c r="C69" s="1" t="n">
        <v>46035</v>
      </c>
      <c r="D69" t="inlineStr">
        <is>
          <t>ÖREBRO LÄN</t>
        </is>
      </c>
      <c r="E69" t="inlineStr">
        <is>
          <t>ÖREBRO</t>
        </is>
      </c>
      <c r="F69" t="inlineStr">
        <is>
          <t>Sveaskog</t>
        </is>
      </c>
      <c r="G69" t="n">
        <v>1.9</v>
      </c>
      <c r="H69" t="n">
        <v>0</v>
      </c>
      <c r="I69" t="n">
        <v>1</v>
      </c>
      <c r="J69" t="n">
        <v>0</v>
      </c>
      <c r="K69" t="n">
        <v>0</v>
      </c>
      <c r="L69" t="n">
        <v>0</v>
      </c>
      <c r="M69" t="n">
        <v>0</v>
      </c>
      <c r="N69" t="n">
        <v>0</v>
      </c>
      <c r="O69" t="n">
        <v>0</v>
      </c>
      <c r="P69" t="n">
        <v>0</v>
      </c>
      <c r="Q69" t="n">
        <v>1</v>
      </c>
      <c r="R69" s="2" t="inlineStr">
        <is>
          <t>Tibast</t>
        </is>
      </c>
      <c r="S69">
        <f>HYPERLINK("https://klasma.github.io/Logging_1880/artfynd/A 59516-2025 artfynd.xlsx", "A 59516-2025")</f>
        <v/>
      </c>
      <c r="T69">
        <f>HYPERLINK("https://klasma.github.io/Logging_1880/kartor/A 59516-2025 karta.png", "A 59516-2025")</f>
        <v/>
      </c>
      <c r="V69">
        <f>HYPERLINK("https://klasma.github.io/Logging_1880/klagomål/A 59516-2025 FSC-klagomål.docx", "A 59516-2025")</f>
        <v/>
      </c>
      <c r="W69">
        <f>HYPERLINK("https://klasma.github.io/Logging_1880/klagomålsmail/A 59516-2025 FSC-klagomål mail.docx", "A 59516-2025")</f>
        <v/>
      </c>
      <c r="X69">
        <f>HYPERLINK("https://klasma.github.io/Logging_1880/tillsyn/A 59516-2025 tillsynsbegäran.docx", "A 59516-2025")</f>
        <v/>
      </c>
      <c r="Y69">
        <f>HYPERLINK("https://klasma.github.io/Logging_1880/tillsynsmail/A 59516-2025 tillsynsbegäran mail.docx", "A 59516-2025")</f>
        <v/>
      </c>
    </row>
    <row r="70" ht="15" customHeight="1">
      <c r="A70" t="inlineStr">
        <is>
          <t>A 26890-2022</t>
        </is>
      </c>
      <c r="B70" s="1" t="n">
        <v>44740</v>
      </c>
      <c r="C70" s="1" t="n">
        <v>46035</v>
      </c>
      <c r="D70" t="inlineStr">
        <is>
          <t>ÖREBRO LÄN</t>
        </is>
      </c>
      <c r="E70" t="inlineStr">
        <is>
          <t>ÖREBRO</t>
        </is>
      </c>
      <c r="G70" t="n">
        <v>4.2</v>
      </c>
      <c r="H70" t="n">
        <v>1</v>
      </c>
      <c r="I70" t="n">
        <v>0</v>
      </c>
      <c r="J70" t="n">
        <v>0</v>
      </c>
      <c r="K70" t="n">
        <v>1</v>
      </c>
      <c r="L70" t="n">
        <v>0</v>
      </c>
      <c r="M70" t="n">
        <v>0</v>
      </c>
      <c r="N70" t="n">
        <v>0</v>
      </c>
      <c r="O70" t="n">
        <v>1</v>
      </c>
      <c r="P70" t="n">
        <v>1</v>
      </c>
      <c r="Q70" t="n">
        <v>1</v>
      </c>
      <c r="R70" s="2" t="inlineStr">
        <is>
          <t>Hällebräcka</t>
        </is>
      </c>
      <c r="S70">
        <f>HYPERLINK("https://klasma.github.io/Logging_1880/artfynd/A 26890-2022 artfynd.xlsx", "A 26890-2022")</f>
        <v/>
      </c>
      <c r="T70">
        <f>HYPERLINK("https://klasma.github.io/Logging_1880/kartor/A 26890-2022 karta.png", "A 26890-2022")</f>
        <v/>
      </c>
      <c r="V70">
        <f>HYPERLINK("https://klasma.github.io/Logging_1880/klagomål/A 26890-2022 FSC-klagomål.docx", "A 26890-2022")</f>
        <v/>
      </c>
      <c r="W70">
        <f>HYPERLINK("https://klasma.github.io/Logging_1880/klagomålsmail/A 26890-2022 FSC-klagomål mail.docx", "A 26890-2022")</f>
        <v/>
      </c>
      <c r="X70">
        <f>HYPERLINK("https://klasma.github.io/Logging_1880/tillsyn/A 26890-2022 tillsynsbegäran.docx", "A 26890-2022")</f>
        <v/>
      </c>
      <c r="Y70">
        <f>HYPERLINK("https://klasma.github.io/Logging_1880/tillsynsmail/A 26890-2022 tillsynsbegäran mail.docx", "A 26890-2022")</f>
        <v/>
      </c>
    </row>
    <row r="71" ht="15" customHeight="1">
      <c r="A71" t="inlineStr">
        <is>
          <t>A 57920-2024</t>
        </is>
      </c>
      <c r="B71" s="1" t="n">
        <v>45631.50894675926</v>
      </c>
      <c r="C71" s="1" t="n">
        <v>46035</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2077-2023</t>
        </is>
      </c>
      <c r="B72" s="1" t="n">
        <v>44939</v>
      </c>
      <c r="C72" s="1" t="n">
        <v>46035</v>
      </c>
      <c r="D72" t="inlineStr">
        <is>
          <t>ÖREBRO LÄN</t>
        </is>
      </c>
      <c r="E72" t="inlineStr">
        <is>
          <t>ÖREBRO</t>
        </is>
      </c>
      <c r="G72" t="n">
        <v>1.4</v>
      </c>
      <c r="H72" t="n">
        <v>1</v>
      </c>
      <c r="I72" t="n">
        <v>0</v>
      </c>
      <c r="J72" t="n">
        <v>1</v>
      </c>
      <c r="K72" t="n">
        <v>0</v>
      </c>
      <c r="L72" t="n">
        <v>0</v>
      </c>
      <c r="M72" t="n">
        <v>0</v>
      </c>
      <c r="N72" t="n">
        <v>0</v>
      </c>
      <c r="O72" t="n">
        <v>1</v>
      </c>
      <c r="P72" t="n">
        <v>0</v>
      </c>
      <c r="Q72" t="n">
        <v>1</v>
      </c>
      <c r="R72" s="2" t="inlineStr">
        <is>
          <t>Rödvingetrast</t>
        </is>
      </c>
      <c r="S72">
        <f>HYPERLINK("https://klasma.github.io/Logging_1880/artfynd/A 2077-2023 artfynd.xlsx", "A 2077-2023")</f>
        <v/>
      </c>
      <c r="T72">
        <f>HYPERLINK("https://klasma.github.io/Logging_1880/kartor/A 2077-2023 karta.png", "A 2077-2023")</f>
        <v/>
      </c>
      <c r="V72">
        <f>HYPERLINK("https://klasma.github.io/Logging_1880/klagomål/A 2077-2023 FSC-klagomål.docx", "A 2077-2023")</f>
        <v/>
      </c>
      <c r="W72">
        <f>HYPERLINK("https://klasma.github.io/Logging_1880/klagomålsmail/A 2077-2023 FSC-klagomål mail.docx", "A 2077-2023")</f>
        <v/>
      </c>
      <c r="X72">
        <f>HYPERLINK("https://klasma.github.io/Logging_1880/tillsyn/A 2077-2023 tillsynsbegäran.docx", "A 2077-2023")</f>
        <v/>
      </c>
      <c r="Y72">
        <f>HYPERLINK("https://klasma.github.io/Logging_1880/tillsynsmail/A 2077-2023 tillsynsbegäran mail.docx", "A 2077-2023")</f>
        <v/>
      </c>
      <c r="Z72">
        <f>HYPERLINK("https://klasma.github.io/Logging_1880/fåglar/A 2077-2023 prioriterade fågelarter.docx", "A 2077-2023")</f>
        <v/>
      </c>
    </row>
    <row r="73" ht="15" customHeight="1">
      <c r="A73" t="inlineStr">
        <is>
          <t>A 44389-2021</t>
        </is>
      </c>
      <c r="B73" s="1" t="n">
        <v>44435</v>
      </c>
      <c r="C73" s="1" t="n">
        <v>46035</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31695-2024</t>
        </is>
      </c>
      <c r="B74" s="1" t="n">
        <v>45508</v>
      </c>
      <c r="C74" s="1" t="n">
        <v>46035</v>
      </c>
      <c r="D74" t="inlineStr">
        <is>
          <t>ÖREBRO LÄN</t>
        </is>
      </c>
      <c r="E74" t="inlineStr">
        <is>
          <t>ÖREBRO</t>
        </is>
      </c>
      <c r="G74" t="n">
        <v>1.3</v>
      </c>
      <c r="H74" t="n">
        <v>1</v>
      </c>
      <c r="I74" t="n">
        <v>1</v>
      </c>
      <c r="J74" t="n">
        <v>0</v>
      </c>
      <c r="K74" t="n">
        <v>0</v>
      </c>
      <c r="L74" t="n">
        <v>0</v>
      </c>
      <c r="M74" t="n">
        <v>0</v>
      </c>
      <c r="N74" t="n">
        <v>0</v>
      </c>
      <c r="O74" t="n">
        <v>0</v>
      </c>
      <c r="P74" t="n">
        <v>0</v>
      </c>
      <c r="Q74" t="n">
        <v>1</v>
      </c>
      <c r="R74" s="2" t="inlineStr">
        <is>
          <t>Skogsknipprot</t>
        </is>
      </c>
      <c r="S74">
        <f>HYPERLINK("https://klasma.github.io/Logging_1880/artfynd/A 31695-2024 artfynd.xlsx", "A 31695-2024")</f>
        <v/>
      </c>
      <c r="T74">
        <f>HYPERLINK("https://klasma.github.io/Logging_1880/kartor/A 31695-2024 karta.png", "A 31695-2024")</f>
        <v/>
      </c>
      <c r="V74">
        <f>HYPERLINK("https://klasma.github.io/Logging_1880/klagomål/A 31695-2024 FSC-klagomål.docx", "A 31695-2024")</f>
        <v/>
      </c>
      <c r="W74">
        <f>HYPERLINK("https://klasma.github.io/Logging_1880/klagomålsmail/A 31695-2024 FSC-klagomål mail.docx", "A 31695-2024")</f>
        <v/>
      </c>
      <c r="X74">
        <f>HYPERLINK("https://klasma.github.io/Logging_1880/tillsyn/A 31695-2024 tillsynsbegäran.docx", "A 31695-2024")</f>
        <v/>
      </c>
      <c r="Y74">
        <f>HYPERLINK("https://klasma.github.io/Logging_1880/tillsynsmail/A 31695-2024 tillsynsbegäran mail.docx", "A 31695-2024")</f>
        <v/>
      </c>
    </row>
    <row r="75" ht="15" customHeight="1">
      <c r="A75" t="inlineStr">
        <is>
          <t>A 9406-2021</t>
        </is>
      </c>
      <c r="B75" s="1" t="n">
        <v>44251</v>
      </c>
      <c r="C75" s="1" t="n">
        <v>46035</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46035</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46035</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46035</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46035</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13760-2021</t>
        </is>
      </c>
      <c r="B80" s="1" t="n">
        <v>44274</v>
      </c>
      <c r="C80" s="1" t="n">
        <v>46035</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46035</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46035</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46035</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46035</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46035</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46035</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7365-2022</t>
        </is>
      </c>
      <c r="B87" s="1" t="n">
        <v>44606</v>
      </c>
      <c r="C87" s="1" t="n">
        <v>46035</v>
      </c>
      <c r="D87" t="inlineStr">
        <is>
          <t>ÖREBRO LÄN</t>
        </is>
      </c>
      <c r="E87" t="inlineStr">
        <is>
          <t>ÖREBRO</t>
        </is>
      </c>
      <c r="G87" t="n">
        <v>0.9</v>
      </c>
      <c r="H87" t="n">
        <v>0</v>
      </c>
      <c r="I87" t="n">
        <v>0</v>
      </c>
      <c r="J87" t="n">
        <v>0</v>
      </c>
      <c r="K87" t="n">
        <v>0</v>
      </c>
      <c r="L87" t="n">
        <v>0</v>
      </c>
      <c r="M87" t="n">
        <v>0</v>
      </c>
      <c r="N87" t="n">
        <v>0</v>
      </c>
      <c r="O87" t="n">
        <v>0</v>
      </c>
      <c r="P87" t="n">
        <v>0</v>
      </c>
      <c r="Q87" t="n">
        <v>0</v>
      </c>
      <c r="R87" s="2" t="inlineStr"/>
    </row>
    <row r="88" ht="15" customHeight="1">
      <c r="A88" t="inlineStr">
        <is>
          <t>A 33779-2021</t>
        </is>
      </c>
      <c r="B88" s="1" t="n">
        <v>44378.54952546296</v>
      </c>
      <c r="C88" s="1" t="n">
        <v>46035</v>
      </c>
      <c r="D88" t="inlineStr">
        <is>
          <t>ÖREBRO LÄN</t>
        </is>
      </c>
      <c r="E88" t="inlineStr">
        <is>
          <t>ÖREBRO</t>
        </is>
      </c>
      <c r="F88" t="inlineStr">
        <is>
          <t>Kommuner</t>
        </is>
      </c>
      <c r="G88" t="n">
        <v>4.5</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46035</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46035</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46035</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46035</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46035</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46035</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46035</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46035</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46035</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46035</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46035</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46035</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46035</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46035</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46035</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46035</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46035</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46035</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46035</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46035</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46035</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46035</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46035</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46035</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46035</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46035</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46035</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46035</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46035</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46035</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46035</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46035</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46035</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46035</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46035</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46035</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46035</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46035</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46035</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46035</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46035</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46035</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46035</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46035</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46035</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46035</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46035</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46035</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46035</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46035</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46035</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46035</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46035</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46035</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46035</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46035</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46035</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46035</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46035</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46035</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46035</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46035</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46035</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40312-2021</t>
        </is>
      </c>
      <c r="B154" s="1" t="n">
        <v>44419</v>
      </c>
      <c r="C154" s="1" t="n">
        <v>46035</v>
      </c>
      <c r="D154" t="inlineStr">
        <is>
          <t>ÖREBRO LÄN</t>
        </is>
      </c>
      <c r="E154" t="inlineStr">
        <is>
          <t>ÖREBRO</t>
        </is>
      </c>
      <c r="F154" t="inlineStr">
        <is>
          <t>Övriga Aktiebolag</t>
        </is>
      </c>
      <c r="G154" t="n">
        <v>2.6</v>
      </c>
      <c r="H154" t="n">
        <v>0</v>
      </c>
      <c r="I154" t="n">
        <v>0</v>
      </c>
      <c r="J154" t="n">
        <v>0</v>
      </c>
      <c r="K154" t="n">
        <v>0</v>
      </c>
      <c r="L154" t="n">
        <v>0</v>
      </c>
      <c r="M154" t="n">
        <v>0</v>
      </c>
      <c r="N154" t="n">
        <v>0</v>
      </c>
      <c r="O154" t="n">
        <v>0</v>
      </c>
      <c r="P154" t="n">
        <v>0</v>
      </c>
      <c r="Q154" t="n">
        <v>0</v>
      </c>
      <c r="R154" s="2" t="inlineStr"/>
    </row>
    <row r="155" ht="15" customHeight="1">
      <c r="A155" t="inlineStr">
        <is>
          <t>A 26509-2021</t>
        </is>
      </c>
      <c r="B155" s="1" t="n">
        <v>44348.45107638889</v>
      </c>
      <c r="C155" s="1" t="n">
        <v>46035</v>
      </c>
      <c r="D155" t="inlineStr">
        <is>
          <t>ÖREBRO LÄN</t>
        </is>
      </c>
      <c r="E155" t="inlineStr">
        <is>
          <t>ÖREBRO</t>
        </is>
      </c>
      <c r="G155" t="n">
        <v>2.5</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46035</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46035</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46035</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19831-2021</t>
        </is>
      </c>
      <c r="B159" s="1" t="n">
        <v>44313</v>
      </c>
      <c r="C159" s="1" t="n">
        <v>46035</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5762-2025</t>
        </is>
      </c>
      <c r="B160" s="1" t="n">
        <v>45694.57181712963</v>
      </c>
      <c r="C160" s="1" t="n">
        <v>46035</v>
      </c>
      <c r="D160" t="inlineStr">
        <is>
          <t>ÖREBRO LÄN</t>
        </is>
      </c>
      <c r="E160" t="inlineStr">
        <is>
          <t>ÖREBRO</t>
        </is>
      </c>
      <c r="F160" t="inlineStr">
        <is>
          <t>Övriga Aktiebolag</t>
        </is>
      </c>
      <c r="G160" t="n">
        <v>1.5</v>
      </c>
      <c r="H160" t="n">
        <v>0</v>
      </c>
      <c r="I160" t="n">
        <v>0</v>
      </c>
      <c r="J160" t="n">
        <v>0</v>
      </c>
      <c r="K160" t="n">
        <v>0</v>
      </c>
      <c r="L160" t="n">
        <v>0</v>
      </c>
      <c r="M160" t="n">
        <v>0</v>
      </c>
      <c r="N160" t="n">
        <v>0</v>
      </c>
      <c r="O160" t="n">
        <v>0</v>
      </c>
      <c r="P160" t="n">
        <v>0</v>
      </c>
      <c r="Q160" t="n">
        <v>0</v>
      </c>
      <c r="R160" s="2" t="inlineStr"/>
    </row>
    <row r="161" ht="15" customHeight="1">
      <c r="A161" t="inlineStr">
        <is>
          <t>A 5357-2024</t>
        </is>
      </c>
      <c r="B161" s="1" t="n">
        <v>45331</v>
      </c>
      <c r="C161" s="1" t="n">
        <v>46035</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15354-2024</t>
        </is>
      </c>
      <c r="B162" s="1" t="n">
        <v>45400.85319444445</v>
      </c>
      <c r="C162" s="1" t="n">
        <v>46035</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11067-2025</t>
        </is>
      </c>
      <c r="B163" s="1" t="n">
        <v>45723</v>
      </c>
      <c r="C163" s="1" t="n">
        <v>46035</v>
      </c>
      <c r="D163" t="inlineStr">
        <is>
          <t>ÖREBRO LÄN</t>
        </is>
      </c>
      <c r="E163" t="inlineStr">
        <is>
          <t>ÖREBRO</t>
        </is>
      </c>
      <c r="G163" t="n">
        <v>3.1</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46035</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46035</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62794-2021</t>
        </is>
      </c>
      <c r="B166" s="1" t="n">
        <v>44504</v>
      </c>
      <c r="C166" s="1" t="n">
        <v>46035</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681-2024</t>
        </is>
      </c>
      <c r="B167" s="1" t="n">
        <v>45300</v>
      </c>
      <c r="C167" s="1" t="n">
        <v>46035</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52612-2024</t>
        </is>
      </c>
      <c r="B168" s="1" t="n">
        <v>45609</v>
      </c>
      <c r="C168" s="1" t="n">
        <v>46035</v>
      </c>
      <c r="D168" t="inlineStr">
        <is>
          <t>ÖREBRO LÄN</t>
        </is>
      </c>
      <c r="E168" t="inlineStr">
        <is>
          <t>ÖREBRO</t>
        </is>
      </c>
      <c r="F168" t="inlineStr">
        <is>
          <t>Kommuner</t>
        </is>
      </c>
      <c r="G168" t="n">
        <v>5.5</v>
      </c>
      <c r="H168" t="n">
        <v>0</v>
      </c>
      <c r="I168" t="n">
        <v>0</v>
      </c>
      <c r="J168" t="n">
        <v>0</v>
      </c>
      <c r="K168" t="n">
        <v>0</v>
      </c>
      <c r="L168" t="n">
        <v>0</v>
      </c>
      <c r="M168" t="n">
        <v>0</v>
      </c>
      <c r="N168" t="n">
        <v>0</v>
      </c>
      <c r="O168" t="n">
        <v>0</v>
      </c>
      <c r="P168" t="n">
        <v>0</v>
      </c>
      <c r="Q168" t="n">
        <v>0</v>
      </c>
      <c r="R168" s="2" t="inlineStr"/>
    </row>
    <row r="169" ht="15" customHeight="1">
      <c r="A169" t="inlineStr">
        <is>
          <t>A 5795-2024</t>
        </is>
      </c>
      <c r="B169" s="1" t="n">
        <v>45335.4531712963</v>
      </c>
      <c r="C169" s="1" t="n">
        <v>46035</v>
      </c>
      <c r="D169" t="inlineStr">
        <is>
          <t>ÖREBRO LÄN</t>
        </is>
      </c>
      <c r="E169" t="inlineStr">
        <is>
          <t>ÖREBRO</t>
        </is>
      </c>
      <c r="G169" t="n">
        <v>1.8</v>
      </c>
      <c r="H169" t="n">
        <v>0</v>
      </c>
      <c r="I169" t="n">
        <v>0</v>
      </c>
      <c r="J169" t="n">
        <v>0</v>
      </c>
      <c r="K169" t="n">
        <v>0</v>
      </c>
      <c r="L169" t="n">
        <v>0</v>
      </c>
      <c r="M169" t="n">
        <v>0</v>
      </c>
      <c r="N169" t="n">
        <v>0</v>
      </c>
      <c r="O169" t="n">
        <v>0</v>
      </c>
      <c r="P169" t="n">
        <v>0</v>
      </c>
      <c r="Q169" t="n">
        <v>0</v>
      </c>
      <c r="R169" s="2" t="inlineStr"/>
    </row>
    <row r="170" ht="15" customHeight="1">
      <c r="A170" t="inlineStr">
        <is>
          <t>A 37771-2024</t>
        </is>
      </c>
      <c r="B170" s="1" t="n">
        <v>45542.31359953704</v>
      </c>
      <c r="C170" s="1" t="n">
        <v>46035</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46035</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15652-2025</t>
        </is>
      </c>
      <c r="B172" s="1" t="n">
        <v>45748</v>
      </c>
      <c r="C172" s="1" t="n">
        <v>46035</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2076-2025</t>
        </is>
      </c>
      <c r="B173" s="1" t="n">
        <v>45672</v>
      </c>
      <c r="C173" s="1" t="n">
        <v>46035</v>
      </c>
      <c r="D173" t="inlineStr">
        <is>
          <t>ÖREBRO LÄN</t>
        </is>
      </c>
      <c r="E173" t="inlineStr">
        <is>
          <t>ÖREBRO</t>
        </is>
      </c>
      <c r="G173" t="n">
        <v>1</v>
      </c>
      <c r="H173" t="n">
        <v>0</v>
      </c>
      <c r="I173" t="n">
        <v>0</v>
      </c>
      <c r="J173" t="n">
        <v>0</v>
      </c>
      <c r="K173" t="n">
        <v>0</v>
      </c>
      <c r="L173" t="n">
        <v>0</v>
      </c>
      <c r="M173" t="n">
        <v>0</v>
      </c>
      <c r="N173" t="n">
        <v>0</v>
      </c>
      <c r="O173" t="n">
        <v>0</v>
      </c>
      <c r="P173" t="n">
        <v>0</v>
      </c>
      <c r="Q173" t="n">
        <v>0</v>
      </c>
      <c r="R173" s="2" t="inlineStr"/>
    </row>
    <row r="174" ht="15" customHeight="1">
      <c r="A174" t="inlineStr">
        <is>
          <t>A 5125-2024</t>
        </is>
      </c>
      <c r="B174" s="1" t="n">
        <v>45330</v>
      </c>
      <c r="C174" s="1" t="n">
        <v>46035</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14960-2025</t>
        </is>
      </c>
      <c r="B175" s="1" t="n">
        <v>45743.5853125</v>
      </c>
      <c r="C175" s="1" t="n">
        <v>46035</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14234-2024</t>
        </is>
      </c>
      <c r="B176" s="1" t="n">
        <v>45393.46980324074</v>
      </c>
      <c r="C176" s="1" t="n">
        <v>46035</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60022-2024</t>
        </is>
      </c>
      <c r="B177" s="1" t="n">
        <v>45642</v>
      </c>
      <c r="C177" s="1" t="n">
        <v>46035</v>
      </c>
      <c r="D177" t="inlineStr">
        <is>
          <t>ÖREBRO LÄN</t>
        </is>
      </c>
      <c r="E177" t="inlineStr">
        <is>
          <t>ÖREBRO</t>
        </is>
      </c>
      <c r="G177" t="n">
        <v>1.7</v>
      </c>
      <c r="H177" t="n">
        <v>0</v>
      </c>
      <c r="I177" t="n">
        <v>0</v>
      </c>
      <c r="J177" t="n">
        <v>0</v>
      </c>
      <c r="K177" t="n">
        <v>0</v>
      </c>
      <c r="L177" t="n">
        <v>0</v>
      </c>
      <c r="M177" t="n">
        <v>0</v>
      </c>
      <c r="N177" t="n">
        <v>0</v>
      </c>
      <c r="O177" t="n">
        <v>0</v>
      </c>
      <c r="P177" t="n">
        <v>0</v>
      </c>
      <c r="Q177" t="n">
        <v>0</v>
      </c>
      <c r="R177" s="2" t="inlineStr"/>
    </row>
    <row r="178" ht="15" customHeight="1">
      <c r="A178" t="inlineStr">
        <is>
          <t>A 11663-2024</t>
        </is>
      </c>
      <c r="B178" s="1" t="n">
        <v>45373</v>
      </c>
      <c r="C178" s="1" t="n">
        <v>46035</v>
      </c>
      <c r="D178" t="inlineStr">
        <is>
          <t>ÖREBRO LÄN</t>
        </is>
      </c>
      <c r="E178" t="inlineStr">
        <is>
          <t>ÖREBRO</t>
        </is>
      </c>
      <c r="G178" t="n">
        <v>1</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46035</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21097-2025</t>
        </is>
      </c>
      <c r="B180" s="1" t="n">
        <v>45777.63863425926</v>
      </c>
      <c r="C180" s="1" t="n">
        <v>46035</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48454-2025</t>
        </is>
      </c>
      <c r="B181" s="1" t="n">
        <v>45935.80164351852</v>
      </c>
      <c r="C181" s="1" t="n">
        <v>46035</v>
      </c>
      <c r="D181" t="inlineStr">
        <is>
          <t>ÖREBRO LÄN</t>
        </is>
      </c>
      <c r="E181" t="inlineStr">
        <is>
          <t>ÖREBRO</t>
        </is>
      </c>
      <c r="F181" t="inlineStr">
        <is>
          <t>Övriga Aktiebolag</t>
        </is>
      </c>
      <c r="G181" t="n">
        <v>18.1</v>
      </c>
      <c r="H181" t="n">
        <v>0</v>
      </c>
      <c r="I181" t="n">
        <v>0</v>
      </c>
      <c r="J181" t="n">
        <v>0</v>
      </c>
      <c r="K181" t="n">
        <v>0</v>
      </c>
      <c r="L181" t="n">
        <v>0</v>
      </c>
      <c r="M181" t="n">
        <v>0</v>
      </c>
      <c r="N181" t="n">
        <v>0</v>
      </c>
      <c r="O181" t="n">
        <v>0</v>
      </c>
      <c r="P181" t="n">
        <v>0</v>
      </c>
      <c r="Q181" t="n">
        <v>0</v>
      </c>
      <c r="R181" s="2" t="inlineStr"/>
    </row>
    <row r="182" ht="15" customHeight="1">
      <c r="A182" t="inlineStr">
        <is>
          <t>A 55593-2022</t>
        </is>
      </c>
      <c r="B182" s="1" t="n">
        <v>44888</v>
      </c>
      <c r="C182" s="1" t="n">
        <v>46035</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50446-2023</t>
        </is>
      </c>
      <c r="B183" s="1" t="n">
        <v>45216</v>
      </c>
      <c r="C183" s="1" t="n">
        <v>46035</v>
      </c>
      <c r="D183" t="inlineStr">
        <is>
          <t>ÖREBRO LÄN</t>
        </is>
      </c>
      <c r="E183" t="inlineStr">
        <is>
          <t>ÖREBRO</t>
        </is>
      </c>
      <c r="F183" t="inlineStr">
        <is>
          <t>Övriga Aktiebolag</t>
        </is>
      </c>
      <c r="G183" t="n">
        <v>2.8</v>
      </c>
      <c r="H183" t="n">
        <v>0</v>
      </c>
      <c r="I183" t="n">
        <v>0</v>
      </c>
      <c r="J183" t="n">
        <v>0</v>
      </c>
      <c r="K183" t="n">
        <v>0</v>
      </c>
      <c r="L183" t="n">
        <v>0</v>
      </c>
      <c r="M183" t="n">
        <v>0</v>
      </c>
      <c r="N183" t="n">
        <v>0</v>
      </c>
      <c r="O183" t="n">
        <v>0</v>
      </c>
      <c r="P183" t="n">
        <v>0</v>
      </c>
      <c r="Q183" t="n">
        <v>0</v>
      </c>
      <c r="R183" s="2" t="inlineStr"/>
    </row>
    <row r="184" ht="15" customHeight="1">
      <c r="A184" t="inlineStr">
        <is>
          <t>A 50450-2023</t>
        </is>
      </c>
      <c r="B184" s="1" t="n">
        <v>45216.73533564815</v>
      </c>
      <c r="C184" s="1" t="n">
        <v>46035</v>
      </c>
      <c r="D184" t="inlineStr">
        <is>
          <t>ÖREBRO LÄN</t>
        </is>
      </c>
      <c r="E184" t="inlineStr">
        <is>
          <t>ÖREBRO</t>
        </is>
      </c>
      <c r="F184" t="inlineStr">
        <is>
          <t>Övriga Aktiebolag</t>
        </is>
      </c>
      <c r="G184" t="n">
        <v>0.8</v>
      </c>
      <c r="H184" t="n">
        <v>0</v>
      </c>
      <c r="I184" t="n">
        <v>0</v>
      </c>
      <c r="J184" t="n">
        <v>0</v>
      </c>
      <c r="K184" t="n">
        <v>0</v>
      </c>
      <c r="L184" t="n">
        <v>0</v>
      </c>
      <c r="M184" t="n">
        <v>0</v>
      </c>
      <c r="N184" t="n">
        <v>0</v>
      </c>
      <c r="O184" t="n">
        <v>0</v>
      </c>
      <c r="P184" t="n">
        <v>0</v>
      </c>
      <c r="Q184" t="n">
        <v>0</v>
      </c>
      <c r="R184" s="2" t="inlineStr"/>
    </row>
    <row r="185" ht="15" customHeight="1">
      <c r="A185" t="inlineStr">
        <is>
          <t>A 43612-2022</t>
        </is>
      </c>
      <c r="B185" s="1" t="n">
        <v>44837</v>
      </c>
      <c r="C185" s="1" t="n">
        <v>46035</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42138-2024</t>
        </is>
      </c>
      <c r="B186" s="1" t="n">
        <v>45562.41854166667</v>
      </c>
      <c r="C186" s="1" t="n">
        <v>46035</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41678-2024</t>
        </is>
      </c>
      <c r="B187" s="1" t="n">
        <v>45560</v>
      </c>
      <c r="C187" s="1" t="n">
        <v>46035</v>
      </c>
      <c r="D187" t="inlineStr">
        <is>
          <t>ÖREBRO LÄN</t>
        </is>
      </c>
      <c r="E187" t="inlineStr">
        <is>
          <t>ÖREBRO</t>
        </is>
      </c>
      <c r="G187" t="n">
        <v>11.3</v>
      </c>
      <c r="H187" t="n">
        <v>0</v>
      </c>
      <c r="I187" t="n">
        <v>0</v>
      </c>
      <c r="J187" t="n">
        <v>0</v>
      </c>
      <c r="K187" t="n">
        <v>0</v>
      </c>
      <c r="L187" t="n">
        <v>0</v>
      </c>
      <c r="M187" t="n">
        <v>0</v>
      </c>
      <c r="N187" t="n">
        <v>0</v>
      </c>
      <c r="O187" t="n">
        <v>0</v>
      </c>
      <c r="P187" t="n">
        <v>0</v>
      </c>
      <c r="Q187" t="n">
        <v>0</v>
      </c>
      <c r="R187" s="2" t="inlineStr"/>
    </row>
    <row r="188" ht="15" customHeight="1">
      <c r="A188" t="inlineStr">
        <is>
          <t>A 18550-2025</t>
        </is>
      </c>
      <c r="B188" s="1" t="n">
        <v>45763.43422453704</v>
      </c>
      <c r="C188" s="1" t="n">
        <v>46035</v>
      </c>
      <c r="D188" t="inlineStr">
        <is>
          <t>ÖREBRO LÄN</t>
        </is>
      </c>
      <c r="E188" t="inlineStr">
        <is>
          <t>ÖREBRO</t>
        </is>
      </c>
      <c r="G188" t="n">
        <v>11.5</v>
      </c>
      <c r="H188" t="n">
        <v>0</v>
      </c>
      <c r="I188" t="n">
        <v>0</v>
      </c>
      <c r="J188" t="n">
        <v>0</v>
      </c>
      <c r="K188" t="n">
        <v>0</v>
      </c>
      <c r="L188" t="n">
        <v>0</v>
      </c>
      <c r="M188" t="n">
        <v>0</v>
      </c>
      <c r="N188" t="n">
        <v>0</v>
      </c>
      <c r="O188" t="n">
        <v>0</v>
      </c>
      <c r="P188" t="n">
        <v>0</v>
      </c>
      <c r="Q188" t="n">
        <v>0</v>
      </c>
      <c r="R188" s="2" t="inlineStr"/>
    </row>
    <row r="189" ht="15" customHeight="1">
      <c r="A189" t="inlineStr">
        <is>
          <t>A 34874-2022</t>
        </is>
      </c>
      <c r="B189" s="1" t="n">
        <v>44796</v>
      </c>
      <c r="C189" s="1" t="n">
        <v>46035</v>
      </c>
      <c r="D189" t="inlineStr">
        <is>
          <t>ÖREBRO LÄN</t>
        </is>
      </c>
      <c r="E189" t="inlineStr">
        <is>
          <t>ÖREBRO</t>
        </is>
      </c>
      <c r="F189" t="inlineStr">
        <is>
          <t>Övriga Aktiebolag</t>
        </is>
      </c>
      <c r="G189" t="n">
        <v>2.3</v>
      </c>
      <c r="H189" t="n">
        <v>0</v>
      </c>
      <c r="I189" t="n">
        <v>0</v>
      </c>
      <c r="J189" t="n">
        <v>0</v>
      </c>
      <c r="K189" t="n">
        <v>0</v>
      </c>
      <c r="L189" t="n">
        <v>0</v>
      </c>
      <c r="M189" t="n">
        <v>0</v>
      </c>
      <c r="N189" t="n">
        <v>0</v>
      </c>
      <c r="O189" t="n">
        <v>0</v>
      </c>
      <c r="P189" t="n">
        <v>0</v>
      </c>
      <c r="Q189" t="n">
        <v>0</v>
      </c>
      <c r="R189" s="2" t="inlineStr"/>
    </row>
    <row r="190" ht="15" customHeight="1">
      <c r="A190" t="inlineStr">
        <is>
          <t>A 39003-2025</t>
        </is>
      </c>
      <c r="B190" s="1" t="n">
        <v>45888.34467592592</v>
      </c>
      <c r="C190" s="1" t="n">
        <v>46035</v>
      </c>
      <c r="D190" t="inlineStr">
        <is>
          <t>ÖREBRO LÄN</t>
        </is>
      </c>
      <c r="E190" t="inlineStr">
        <is>
          <t>ÖREBRO</t>
        </is>
      </c>
      <c r="G190" t="n">
        <v>3.7</v>
      </c>
      <c r="H190" t="n">
        <v>0</v>
      </c>
      <c r="I190" t="n">
        <v>0</v>
      </c>
      <c r="J190" t="n">
        <v>0</v>
      </c>
      <c r="K190" t="n">
        <v>0</v>
      </c>
      <c r="L190" t="n">
        <v>0</v>
      </c>
      <c r="M190" t="n">
        <v>0</v>
      </c>
      <c r="N190" t="n">
        <v>0</v>
      </c>
      <c r="O190" t="n">
        <v>0</v>
      </c>
      <c r="P190" t="n">
        <v>0</v>
      </c>
      <c r="Q190" t="n">
        <v>0</v>
      </c>
      <c r="R190" s="2" t="inlineStr"/>
    </row>
    <row r="191" ht="15" customHeight="1">
      <c r="A191" t="inlineStr">
        <is>
          <t>A 15422-2022</t>
        </is>
      </c>
      <c r="B191" s="1" t="n">
        <v>44659.63753472222</v>
      </c>
      <c r="C191" s="1" t="n">
        <v>46035</v>
      </c>
      <c r="D191" t="inlineStr">
        <is>
          <t>ÖREBRO LÄN</t>
        </is>
      </c>
      <c r="E191" t="inlineStr">
        <is>
          <t>ÖREBRO</t>
        </is>
      </c>
      <c r="G191" t="n">
        <v>2</v>
      </c>
      <c r="H191" t="n">
        <v>0</v>
      </c>
      <c r="I191" t="n">
        <v>0</v>
      </c>
      <c r="J191" t="n">
        <v>0</v>
      </c>
      <c r="K191" t="n">
        <v>0</v>
      </c>
      <c r="L191" t="n">
        <v>0</v>
      </c>
      <c r="M191" t="n">
        <v>0</v>
      </c>
      <c r="N191" t="n">
        <v>0</v>
      </c>
      <c r="O191" t="n">
        <v>0</v>
      </c>
      <c r="P191" t="n">
        <v>0</v>
      </c>
      <c r="Q191" t="n">
        <v>0</v>
      </c>
      <c r="R191" s="2" t="inlineStr"/>
    </row>
    <row r="192" ht="15" customHeight="1">
      <c r="A192" t="inlineStr">
        <is>
          <t>A 35819-2024</t>
        </is>
      </c>
      <c r="B192" s="1" t="n">
        <v>45532</v>
      </c>
      <c r="C192" s="1" t="n">
        <v>46035</v>
      </c>
      <c r="D192" t="inlineStr">
        <is>
          <t>ÖREBRO LÄN</t>
        </is>
      </c>
      <c r="E192" t="inlineStr">
        <is>
          <t>ÖREBRO</t>
        </is>
      </c>
      <c r="G192" t="n">
        <v>6.4</v>
      </c>
      <c r="H192" t="n">
        <v>0</v>
      </c>
      <c r="I192" t="n">
        <v>0</v>
      </c>
      <c r="J192" t="n">
        <v>0</v>
      </c>
      <c r="K192" t="n">
        <v>0</v>
      </c>
      <c r="L192" t="n">
        <v>0</v>
      </c>
      <c r="M192" t="n">
        <v>0</v>
      </c>
      <c r="N192" t="n">
        <v>0</v>
      </c>
      <c r="O192" t="n">
        <v>0</v>
      </c>
      <c r="P192" t="n">
        <v>0</v>
      </c>
      <c r="Q192" t="n">
        <v>0</v>
      </c>
      <c r="R192" s="2" t="inlineStr"/>
    </row>
    <row r="193" ht="15" customHeight="1">
      <c r="A193" t="inlineStr">
        <is>
          <t>A 13418-2024</t>
        </is>
      </c>
      <c r="B193" s="1" t="n">
        <v>45387.46482638889</v>
      </c>
      <c r="C193" s="1" t="n">
        <v>46035</v>
      </c>
      <c r="D193" t="inlineStr">
        <is>
          <t>ÖREBRO LÄN</t>
        </is>
      </c>
      <c r="E193" t="inlineStr">
        <is>
          <t>ÖREBRO</t>
        </is>
      </c>
      <c r="G193" t="n">
        <v>4.2</v>
      </c>
      <c r="H193" t="n">
        <v>0</v>
      </c>
      <c r="I193" t="n">
        <v>0</v>
      </c>
      <c r="J193" t="n">
        <v>0</v>
      </c>
      <c r="K193" t="n">
        <v>0</v>
      </c>
      <c r="L193" t="n">
        <v>0</v>
      </c>
      <c r="M193" t="n">
        <v>0</v>
      </c>
      <c r="N193" t="n">
        <v>0</v>
      </c>
      <c r="O193" t="n">
        <v>0</v>
      </c>
      <c r="P193" t="n">
        <v>0</v>
      </c>
      <c r="Q193" t="n">
        <v>0</v>
      </c>
      <c r="R193" s="2" t="inlineStr"/>
    </row>
    <row r="194" ht="15" customHeight="1">
      <c r="A194" t="inlineStr">
        <is>
          <t>A 32076-2023</t>
        </is>
      </c>
      <c r="B194" s="1" t="n">
        <v>45119.58324074074</v>
      </c>
      <c r="C194" s="1" t="n">
        <v>46035</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46323-2024</t>
        </is>
      </c>
      <c r="B195" s="1" t="n">
        <v>45581.84538194445</v>
      </c>
      <c r="C195" s="1" t="n">
        <v>46035</v>
      </c>
      <c r="D195" t="inlineStr">
        <is>
          <t>ÖREBRO LÄN</t>
        </is>
      </c>
      <c r="E195" t="inlineStr">
        <is>
          <t>ÖREBRO</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61593-2023</t>
        </is>
      </c>
      <c r="B196" s="1" t="n">
        <v>45265</v>
      </c>
      <c r="C196" s="1" t="n">
        <v>46035</v>
      </c>
      <c r="D196" t="inlineStr">
        <is>
          <t>ÖREBRO LÄN</t>
        </is>
      </c>
      <c r="E196" t="inlineStr">
        <is>
          <t>ÖREBRO</t>
        </is>
      </c>
      <c r="G196" t="n">
        <v>2.5</v>
      </c>
      <c r="H196" t="n">
        <v>0</v>
      </c>
      <c r="I196" t="n">
        <v>0</v>
      </c>
      <c r="J196" t="n">
        <v>0</v>
      </c>
      <c r="K196" t="n">
        <v>0</v>
      </c>
      <c r="L196" t="n">
        <v>0</v>
      </c>
      <c r="M196" t="n">
        <v>0</v>
      </c>
      <c r="N196" t="n">
        <v>0</v>
      </c>
      <c r="O196" t="n">
        <v>0</v>
      </c>
      <c r="P196" t="n">
        <v>0</v>
      </c>
      <c r="Q196" t="n">
        <v>0</v>
      </c>
      <c r="R196" s="2" t="inlineStr"/>
    </row>
    <row r="197" ht="15" customHeight="1">
      <c r="A197" t="inlineStr">
        <is>
          <t>A 764-2024</t>
        </is>
      </c>
      <c r="B197" s="1" t="n">
        <v>45300.51512731481</v>
      </c>
      <c r="C197" s="1" t="n">
        <v>46035</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39446-2025</t>
        </is>
      </c>
      <c r="B198" s="1" t="n">
        <v>45889.70388888889</v>
      </c>
      <c r="C198" s="1" t="n">
        <v>46035</v>
      </c>
      <c r="D198" t="inlineStr">
        <is>
          <t>ÖREBRO LÄN</t>
        </is>
      </c>
      <c r="E198" t="inlineStr">
        <is>
          <t>ÖREBRO</t>
        </is>
      </c>
      <c r="F198" t="inlineStr">
        <is>
          <t>Kyrkan</t>
        </is>
      </c>
      <c r="G198" t="n">
        <v>3.2</v>
      </c>
      <c r="H198" t="n">
        <v>0</v>
      </c>
      <c r="I198" t="n">
        <v>0</v>
      </c>
      <c r="J198" t="n">
        <v>0</v>
      </c>
      <c r="K198" t="n">
        <v>0</v>
      </c>
      <c r="L198" t="n">
        <v>0</v>
      </c>
      <c r="M198" t="n">
        <v>0</v>
      </c>
      <c r="N198" t="n">
        <v>0</v>
      </c>
      <c r="O198" t="n">
        <v>0</v>
      </c>
      <c r="P198" t="n">
        <v>0</v>
      </c>
      <c r="Q198" t="n">
        <v>0</v>
      </c>
      <c r="R198" s="2" t="inlineStr"/>
    </row>
    <row r="199" ht="15" customHeight="1">
      <c r="A199" t="inlineStr">
        <is>
          <t>A 38842-2022</t>
        </is>
      </c>
      <c r="B199" s="1" t="n">
        <v>44814</v>
      </c>
      <c r="C199" s="1" t="n">
        <v>46035</v>
      </c>
      <c r="D199" t="inlineStr">
        <is>
          <t>ÖREBRO LÄN</t>
        </is>
      </c>
      <c r="E199" t="inlineStr">
        <is>
          <t>ÖREBRO</t>
        </is>
      </c>
      <c r="G199" t="n">
        <v>5</v>
      </c>
      <c r="H199" t="n">
        <v>0</v>
      </c>
      <c r="I199" t="n">
        <v>0</v>
      </c>
      <c r="J199" t="n">
        <v>0</v>
      </c>
      <c r="K199" t="n">
        <v>0</v>
      </c>
      <c r="L199" t="n">
        <v>0</v>
      </c>
      <c r="M199" t="n">
        <v>0</v>
      </c>
      <c r="N199" t="n">
        <v>0</v>
      </c>
      <c r="O199" t="n">
        <v>0</v>
      </c>
      <c r="P199" t="n">
        <v>0</v>
      </c>
      <c r="Q199" t="n">
        <v>0</v>
      </c>
      <c r="R199" s="2" t="inlineStr"/>
    </row>
    <row r="200" ht="15" customHeight="1">
      <c r="A200" t="inlineStr">
        <is>
          <t>A 39479-2025</t>
        </is>
      </c>
      <c r="B200" s="1" t="n">
        <v>45890.34752314815</v>
      </c>
      <c r="C200" s="1" t="n">
        <v>46035</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40597-2021</t>
        </is>
      </c>
      <c r="B201" s="1" t="n">
        <v>44420</v>
      </c>
      <c r="C201" s="1" t="n">
        <v>46035</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48644-2024</t>
        </is>
      </c>
      <c r="B202" s="1" t="n">
        <v>45593.47466435185</v>
      </c>
      <c r="C202" s="1" t="n">
        <v>46035</v>
      </c>
      <c r="D202" t="inlineStr">
        <is>
          <t>ÖREBRO LÄN</t>
        </is>
      </c>
      <c r="E202" t="inlineStr">
        <is>
          <t>ÖREBRO</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58644-2023</t>
        </is>
      </c>
      <c r="B203" s="1" t="n">
        <v>45251.58716435185</v>
      </c>
      <c r="C203" s="1" t="n">
        <v>46035</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8575-2021</t>
        </is>
      </c>
      <c r="B204" s="1" t="n">
        <v>44245</v>
      </c>
      <c r="C204" s="1" t="n">
        <v>46035</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26338-2021</t>
        </is>
      </c>
      <c r="B205" s="1" t="n">
        <v>44347</v>
      </c>
      <c r="C205" s="1" t="n">
        <v>46035</v>
      </c>
      <c r="D205" t="inlineStr">
        <is>
          <t>ÖREBRO LÄN</t>
        </is>
      </c>
      <c r="E205" t="inlineStr">
        <is>
          <t>ÖREBRO</t>
        </is>
      </c>
      <c r="G205" t="n">
        <v>0.5</v>
      </c>
      <c r="H205" t="n">
        <v>0</v>
      </c>
      <c r="I205" t="n">
        <v>0</v>
      </c>
      <c r="J205" t="n">
        <v>0</v>
      </c>
      <c r="K205" t="n">
        <v>0</v>
      </c>
      <c r="L205" t="n">
        <v>0</v>
      </c>
      <c r="M205" t="n">
        <v>0</v>
      </c>
      <c r="N205" t="n">
        <v>0</v>
      </c>
      <c r="O205" t="n">
        <v>0</v>
      </c>
      <c r="P205" t="n">
        <v>0</v>
      </c>
      <c r="Q205" t="n">
        <v>0</v>
      </c>
      <c r="R205" s="2" t="inlineStr"/>
    </row>
    <row r="206" ht="15" customHeight="1">
      <c r="A206" t="inlineStr">
        <is>
          <t>A 21338-2025</t>
        </is>
      </c>
      <c r="B206" s="1" t="n">
        <v>45780</v>
      </c>
      <c r="C206" s="1" t="n">
        <v>46035</v>
      </c>
      <c r="D206" t="inlineStr">
        <is>
          <t>ÖREBRO LÄN</t>
        </is>
      </c>
      <c r="E206" t="inlineStr">
        <is>
          <t>ÖREBRO</t>
        </is>
      </c>
      <c r="G206" t="n">
        <v>3.2</v>
      </c>
      <c r="H206" t="n">
        <v>0</v>
      </c>
      <c r="I206" t="n">
        <v>0</v>
      </c>
      <c r="J206" t="n">
        <v>0</v>
      </c>
      <c r="K206" t="n">
        <v>0</v>
      </c>
      <c r="L206" t="n">
        <v>0</v>
      </c>
      <c r="M206" t="n">
        <v>0</v>
      </c>
      <c r="N206" t="n">
        <v>0</v>
      </c>
      <c r="O206" t="n">
        <v>0</v>
      </c>
      <c r="P206" t="n">
        <v>0</v>
      </c>
      <c r="Q206" t="n">
        <v>0</v>
      </c>
      <c r="R206" s="2" t="inlineStr"/>
    </row>
    <row r="207" ht="15" customHeight="1">
      <c r="A207" t="inlineStr">
        <is>
          <t>A 71266-2021</t>
        </is>
      </c>
      <c r="B207" s="1" t="n">
        <v>44539</v>
      </c>
      <c r="C207" s="1" t="n">
        <v>46035</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71267-2021</t>
        </is>
      </c>
      <c r="B208" s="1" t="n">
        <v>44539</v>
      </c>
      <c r="C208" s="1" t="n">
        <v>46035</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71280-2021</t>
        </is>
      </c>
      <c r="B209" s="1" t="n">
        <v>44539</v>
      </c>
      <c r="C209" s="1" t="n">
        <v>46035</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40330-2025</t>
        </is>
      </c>
      <c r="B210" s="1" t="n">
        <v>45895.4531712963</v>
      </c>
      <c r="C210" s="1" t="n">
        <v>46035</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40332-2025</t>
        </is>
      </c>
      <c r="B211" s="1" t="n">
        <v>45895.46060185185</v>
      </c>
      <c r="C211" s="1" t="n">
        <v>46035</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22755-2025</t>
        </is>
      </c>
      <c r="B212" s="1" t="n">
        <v>45789.61872685186</v>
      </c>
      <c r="C212" s="1" t="n">
        <v>46035</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44199-2024</t>
        </is>
      </c>
      <c r="B213" s="1" t="n">
        <v>45573</v>
      </c>
      <c r="C213" s="1" t="n">
        <v>46035</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34336-2024</t>
        </is>
      </c>
      <c r="B214" s="1" t="n">
        <v>45524.94774305556</v>
      </c>
      <c r="C214" s="1" t="n">
        <v>46035</v>
      </c>
      <c r="D214" t="inlineStr">
        <is>
          <t>ÖREBRO LÄN</t>
        </is>
      </c>
      <c r="E214" t="inlineStr">
        <is>
          <t>ÖREBRO</t>
        </is>
      </c>
      <c r="G214" t="n">
        <v>1.3</v>
      </c>
      <c r="H214" t="n">
        <v>0</v>
      </c>
      <c r="I214" t="n">
        <v>0</v>
      </c>
      <c r="J214" t="n">
        <v>0</v>
      </c>
      <c r="K214" t="n">
        <v>0</v>
      </c>
      <c r="L214" t="n">
        <v>0</v>
      </c>
      <c r="M214" t="n">
        <v>0</v>
      </c>
      <c r="N214" t="n">
        <v>0</v>
      </c>
      <c r="O214" t="n">
        <v>0</v>
      </c>
      <c r="P214" t="n">
        <v>0</v>
      </c>
      <c r="Q214" t="n">
        <v>0</v>
      </c>
      <c r="R214" s="2" t="inlineStr"/>
    </row>
    <row r="215" ht="15" customHeight="1">
      <c r="A215" t="inlineStr">
        <is>
          <t>A 26443-2024</t>
        </is>
      </c>
      <c r="B215" s="1" t="n">
        <v>45469.49901620371</v>
      </c>
      <c r="C215" s="1" t="n">
        <v>46035</v>
      </c>
      <c r="D215" t="inlineStr">
        <is>
          <t>ÖREBRO LÄN</t>
        </is>
      </c>
      <c r="E215" t="inlineStr">
        <is>
          <t>ÖREBRO</t>
        </is>
      </c>
      <c r="G215" t="n">
        <v>5.7</v>
      </c>
      <c r="H215" t="n">
        <v>0</v>
      </c>
      <c r="I215" t="n">
        <v>0</v>
      </c>
      <c r="J215" t="n">
        <v>0</v>
      </c>
      <c r="K215" t="n">
        <v>0</v>
      </c>
      <c r="L215" t="n">
        <v>0</v>
      </c>
      <c r="M215" t="n">
        <v>0</v>
      </c>
      <c r="N215" t="n">
        <v>0</v>
      </c>
      <c r="O215" t="n">
        <v>0</v>
      </c>
      <c r="P215" t="n">
        <v>0</v>
      </c>
      <c r="Q215" t="n">
        <v>0</v>
      </c>
      <c r="R215" s="2" t="inlineStr"/>
    </row>
    <row r="216" ht="15" customHeight="1">
      <c r="A216" t="inlineStr">
        <is>
          <t>A 35477-2024</t>
        </is>
      </c>
      <c r="B216" s="1" t="n">
        <v>45531</v>
      </c>
      <c r="C216" s="1" t="n">
        <v>46035</v>
      </c>
      <c r="D216" t="inlineStr">
        <is>
          <t>ÖREBRO LÄN</t>
        </is>
      </c>
      <c r="E216" t="inlineStr">
        <is>
          <t>ÖREBRO</t>
        </is>
      </c>
      <c r="G216" t="n">
        <v>2.4</v>
      </c>
      <c r="H216" t="n">
        <v>0</v>
      </c>
      <c r="I216" t="n">
        <v>0</v>
      </c>
      <c r="J216" t="n">
        <v>0</v>
      </c>
      <c r="K216" t="n">
        <v>0</v>
      </c>
      <c r="L216" t="n">
        <v>0</v>
      </c>
      <c r="M216" t="n">
        <v>0</v>
      </c>
      <c r="N216" t="n">
        <v>0</v>
      </c>
      <c r="O216" t="n">
        <v>0</v>
      </c>
      <c r="P216" t="n">
        <v>0</v>
      </c>
      <c r="Q216" t="n">
        <v>0</v>
      </c>
      <c r="R216" s="2" t="inlineStr"/>
    </row>
    <row r="217" ht="15" customHeight="1">
      <c r="A217" t="inlineStr">
        <is>
          <t>A 48581-2024</t>
        </is>
      </c>
      <c r="B217" s="1" t="n">
        <v>45593.41642361111</v>
      </c>
      <c r="C217" s="1" t="n">
        <v>46035</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22719-2025</t>
        </is>
      </c>
      <c r="B218" s="1" t="n">
        <v>45789</v>
      </c>
      <c r="C218" s="1" t="n">
        <v>46035</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47047-2022</t>
        </is>
      </c>
      <c r="B219" s="1" t="n">
        <v>44852.39063657408</v>
      </c>
      <c r="C219" s="1" t="n">
        <v>46035</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30316-2024</t>
        </is>
      </c>
      <c r="B220" s="1" t="n">
        <v>45490</v>
      </c>
      <c r="C220" s="1" t="n">
        <v>46035</v>
      </c>
      <c r="D220" t="inlineStr">
        <is>
          <t>ÖREBRO LÄN</t>
        </is>
      </c>
      <c r="E220" t="inlineStr">
        <is>
          <t>ÖREBRO</t>
        </is>
      </c>
      <c r="G220" t="n">
        <v>5.5</v>
      </c>
      <c r="H220" t="n">
        <v>0</v>
      </c>
      <c r="I220" t="n">
        <v>0</v>
      </c>
      <c r="J220" t="n">
        <v>0</v>
      </c>
      <c r="K220" t="n">
        <v>0</v>
      </c>
      <c r="L220" t="n">
        <v>0</v>
      </c>
      <c r="M220" t="n">
        <v>0</v>
      </c>
      <c r="N220" t="n">
        <v>0</v>
      </c>
      <c r="O220" t="n">
        <v>0</v>
      </c>
      <c r="P220" t="n">
        <v>0</v>
      </c>
      <c r="Q220" t="n">
        <v>0</v>
      </c>
      <c r="R220" s="2" t="inlineStr"/>
    </row>
    <row r="221" ht="15" customHeight="1">
      <c r="A221" t="inlineStr">
        <is>
          <t>A 38790-2024</t>
        </is>
      </c>
      <c r="B221" s="1" t="n">
        <v>45547.48450231482</v>
      </c>
      <c r="C221" s="1" t="n">
        <v>46035</v>
      </c>
      <c r="D221" t="inlineStr">
        <is>
          <t>ÖREBRO LÄN</t>
        </is>
      </c>
      <c r="E221" t="inlineStr">
        <is>
          <t>ÖREBRO</t>
        </is>
      </c>
      <c r="G221" t="n">
        <v>2</v>
      </c>
      <c r="H221" t="n">
        <v>0</v>
      </c>
      <c r="I221" t="n">
        <v>0</v>
      </c>
      <c r="J221" t="n">
        <v>0</v>
      </c>
      <c r="K221" t="n">
        <v>0</v>
      </c>
      <c r="L221" t="n">
        <v>0</v>
      </c>
      <c r="M221" t="n">
        <v>0</v>
      </c>
      <c r="N221" t="n">
        <v>0</v>
      </c>
      <c r="O221" t="n">
        <v>0</v>
      </c>
      <c r="P221" t="n">
        <v>0</v>
      </c>
      <c r="Q221" t="n">
        <v>0</v>
      </c>
      <c r="R221" s="2" t="inlineStr"/>
    </row>
    <row r="222" ht="15" customHeight="1">
      <c r="A222" t="inlineStr">
        <is>
          <t>A 61279-2024</t>
        </is>
      </c>
      <c r="B222" s="1" t="n">
        <v>45645</v>
      </c>
      <c r="C222" s="1" t="n">
        <v>46035</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71269-2021</t>
        </is>
      </c>
      <c r="B223" s="1" t="n">
        <v>44539</v>
      </c>
      <c r="C223" s="1" t="n">
        <v>46035</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21036-2024</t>
        </is>
      </c>
      <c r="B224" s="1" t="n">
        <v>45439.65954861111</v>
      </c>
      <c r="C224" s="1" t="n">
        <v>46035</v>
      </c>
      <c r="D224" t="inlineStr">
        <is>
          <t>ÖREBRO LÄN</t>
        </is>
      </c>
      <c r="E224" t="inlineStr">
        <is>
          <t>ÖREBRO</t>
        </is>
      </c>
      <c r="F224" t="inlineStr">
        <is>
          <t>Övriga Aktiebolag</t>
        </is>
      </c>
      <c r="G224" t="n">
        <v>5.7</v>
      </c>
      <c r="H224" t="n">
        <v>0</v>
      </c>
      <c r="I224" t="n">
        <v>0</v>
      </c>
      <c r="J224" t="n">
        <v>0</v>
      </c>
      <c r="K224" t="n">
        <v>0</v>
      </c>
      <c r="L224" t="n">
        <v>0</v>
      </c>
      <c r="M224" t="n">
        <v>0</v>
      </c>
      <c r="N224" t="n">
        <v>0</v>
      </c>
      <c r="O224" t="n">
        <v>0</v>
      </c>
      <c r="P224" t="n">
        <v>0</v>
      </c>
      <c r="Q224" t="n">
        <v>0</v>
      </c>
      <c r="R224" s="2" t="inlineStr"/>
    </row>
    <row r="225" ht="15" customHeight="1">
      <c r="A225" t="inlineStr">
        <is>
          <t>A 15555-2025</t>
        </is>
      </c>
      <c r="B225" s="1" t="n">
        <v>45747.67768518518</v>
      </c>
      <c r="C225" s="1" t="n">
        <v>46035</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5136-2024</t>
        </is>
      </c>
      <c r="B226" s="1" t="n">
        <v>45330</v>
      </c>
      <c r="C226" s="1" t="n">
        <v>46035</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41669-2025</t>
        </is>
      </c>
      <c r="B227" s="1" t="n">
        <v>45902.36149305556</v>
      </c>
      <c r="C227" s="1" t="n">
        <v>46035</v>
      </c>
      <c r="D227" t="inlineStr">
        <is>
          <t>ÖREBRO LÄN</t>
        </is>
      </c>
      <c r="E227" t="inlineStr">
        <is>
          <t>ÖREBRO</t>
        </is>
      </c>
      <c r="G227" t="n">
        <v>2.8</v>
      </c>
      <c r="H227" t="n">
        <v>0</v>
      </c>
      <c r="I227" t="n">
        <v>0</v>
      </c>
      <c r="J227" t="n">
        <v>0</v>
      </c>
      <c r="K227" t="n">
        <v>0</v>
      </c>
      <c r="L227" t="n">
        <v>0</v>
      </c>
      <c r="M227" t="n">
        <v>0</v>
      </c>
      <c r="N227" t="n">
        <v>0</v>
      </c>
      <c r="O227" t="n">
        <v>0</v>
      </c>
      <c r="P227" t="n">
        <v>0</v>
      </c>
      <c r="Q227" t="n">
        <v>0</v>
      </c>
      <c r="R227" s="2" t="inlineStr"/>
    </row>
    <row r="228" ht="15" customHeight="1">
      <c r="A228" t="inlineStr">
        <is>
          <t>A 41412-2025</t>
        </is>
      </c>
      <c r="B228" s="1" t="n">
        <v>45901.3549537037</v>
      </c>
      <c r="C228" s="1" t="n">
        <v>46035</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4380-2025</t>
        </is>
      </c>
      <c r="B229" s="1" t="n">
        <v>45686.3959375</v>
      </c>
      <c r="C229" s="1" t="n">
        <v>46035</v>
      </c>
      <c r="D229" t="inlineStr">
        <is>
          <t>ÖREBRO LÄN</t>
        </is>
      </c>
      <c r="E229" t="inlineStr">
        <is>
          <t>ÖREBRO</t>
        </is>
      </c>
      <c r="G229" t="n">
        <v>3.2</v>
      </c>
      <c r="H229" t="n">
        <v>0</v>
      </c>
      <c r="I229" t="n">
        <v>0</v>
      </c>
      <c r="J229" t="n">
        <v>0</v>
      </c>
      <c r="K229" t="n">
        <v>0</v>
      </c>
      <c r="L229" t="n">
        <v>0</v>
      </c>
      <c r="M229" t="n">
        <v>0</v>
      </c>
      <c r="N229" t="n">
        <v>0</v>
      </c>
      <c r="O229" t="n">
        <v>0</v>
      </c>
      <c r="P229" t="n">
        <v>0</v>
      </c>
      <c r="Q229" t="n">
        <v>0</v>
      </c>
      <c r="R229" s="2" t="inlineStr"/>
    </row>
    <row r="230" ht="15" customHeight="1">
      <c r="A230" t="inlineStr">
        <is>
          <t>A 16739-2023</t>
        </is>
      </c>
      <c r="B230" s="1" t="n">
        <v>45030.72627314815</v>
      </c>
      <c r="C230" s="1" t="n">
        <v>46035</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34358-2022</t>
        </is>
      </c>
      <c r="B231" s="1" t="n">
        <v>44792.45494212963</v>
      </c>
      <c r="C231" s="1" t="n">
        <v>46035</v>
      </c>
      <c r="D231" t="inlineStr">
        <is>
          <t>ÖREBRO LÄN</t>
        </is>
      </c>
      <c r="E231" t="inlineStr">
        <is>
          <t>ÖREBRO</t>
        </is>
      </c>
      <c r="F231" t="inlineStr">
        <is>
          <t>Övriga Aktiebolag</t>
        </is>
      </c>
      <c r="G231" t="n">
        <v>3.4</v>
      </c>
      <c r="H231" t="n">
        <v>0</v>
      </c>
      <c r="I231" t="n">
        <v>0</v>
      </c>
      <c r="J231" t="n">
        <v>0</v>
      </c>
      <c r="K231" t="n">
        <v>0</v>
      </c>
      <c r="L231" t="n">
        <v>0</v>
      </c>
      <c r="M231" t="n">
        <v>0</v>
      </c>
      <c r="N231" t="n">
        <v>0</v>
      </c>
      <c r="O231" t="n">
        <v>0</v>
      </c>
      <c r="P231" t="n">
        <v>0</v>
      </c>
      <c r="Q231" t="n">
        <v>0</v>
      </c>
      <c r="R231" s="2" t="inlineStr"/>
    </row>
    <row r="232" ht="15" customHeight="1">
      <c r="A232" t="inlineStr">
        <is>
          <t>A 15695-2024</t>
        </is>
      </c>
      <c r="B232" s="1" t="n">
        <v>45404.45487268519</v>
      </c>
      <c r="C232" s="1" t="n">
        <v>46035</v>
      </c>
      <c r="D232" t="inlineStr">
        <is>
          <t>ÖREBRO LÄN</t>
        </is>
      </c>
      <c r="E232" t="inlineStr">
        <is>
          <t>ÖREBRO</t>
        </is>
      </c>
      <c r="G232" t="n">
        <v>2.7</v>
      </c>
      <c r="H232" t="n">
        <v>0</v>
      </c>
      <c r="I232" t="n">
        <v>0</v>
      </c>
      <c r="J232" t="n">
        <v>0</v>
      </c>
      <c r="K232" t="n">
        <v>0</v>
      </c>
      <c r="L232" t="n">
        <v>0</v>
      </c>
      <c r="M232" t="n">
        <v>0</v>
      </c>
      <c r="N232" t="n">
        <v>0</v>
      </c>
      <c r="O232" t="n">
        <v>0</v>
      </c>
      <c r="P232" t="n">
        <v>0</v>
      </c>
      <c r="Q232" t="n">
        <v>0</v>
      </c>
      <c r="R232" s="2" t="inlineStr"/>
    </row>
    <row r="233" ht="15" customHeight="1">
      <c r="A233" t="inlineStr">
        <is>
          <t>A 2771-2023</t>
        </is>
      </c>
      <c r="B233" s="1" t="n">
        <v>44944.64704861111</v>
      </c>
      <c r="C233" s="1" t="n">
        <v>46035</v>
      </c>
      <c r="D233" t="inlineStr">
        <is>
          <t>ÖREBRO LÄN</t>
        </is>
      </c>
      <c r="E233" t="inlineStr">
        <is>
          <t>ÖREBRO</t>
        </is>
      </c>
      <c r="G233" t="n">
        <v>15.4</v>
      </c>
      <c r="H233" t="n">
        <v>0</v>
      </c>
      <c r="I233" t="n">
        <v>0</v>
      </c>
      <c r="J233" t="n">
        <v>0</v>
      </c>
      <c r="K233" t="n">
        <v>0</v>
      </c>
      <c r="L233" t="n">
        <v>0</v>
      </c>
      <c r="M233" t="n">
        <v>0</v>
      </c>
      <c r="N233" t="n">
        <v>0</v>
      </c>
      <c r="O233" t="n">
        <v>0</v>
      </c>
      <c r="P233" t="n">
        <v>0</v>
      </c>
      <c r="Q233" t="n">
        <v>0</v>
      </c>
      <c r="R233" s="2" t="inlineStr"/>
    </row>
    <row r="234" ht="15" customHeight="1">
      <c r="A234" t="inlineStr">
        <is>
          <t>A 5406-2025</t>
        </is>
      </c>
      <c r="B234" s="1" t="n">
        <v>45692.64821759259</v>
      </c>
      <c r="C234" s="1" t="n">
        <v>46035</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12017-2024</t>
        </is>
      </c>
      <c r="B235" s="1" t="n">
        <v>45377</v>
      </c>
      <c r="C235" s="1" t="n">
        <v>46035</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56077-2022</t>
        </is>
      </c>
      <c r="B236" s="1" t="n">
        <v>44889.60872685185</v>
      </c>
      <c r="C236" s="1" t="n">
        <v>46035</v>
      </c>
      <c r="D236" t="inlineStr">
        <is>
          <t>ÖREBRO LÄN</t>
        </is>
      </c>
      <c r="E236" t="inlineStr">
        <is>
          <t>ÖREBRO</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9609-2023</t>
        </is>
      </c>
      <c r="B237" s="1" t="n">
        <v>44983.93344907407</v>
      </c>
      <c r="C237" s="1" t="n">
        <v>46035</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22348-2024</t>
        </is>
      </c>
      <c r="B238" s="1" t="n">
        <v>45446.61256944444</v>
      </c>
      <c r="C238" s="1" t="n">
        <v>46035</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52018-2024</t>
        </is>
      </c>
      <c r="B239" s="1" t="n">
        <v>45607.82974537037</v>
      </c>
      <c r="C239" s="1" t="n">
        <v>46035</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30089-2024</t>
        </is>
      </c>
      <c r="B240" s="1" t="n">
        <v>45485</v>
      </c>
      <c r="C240" s="1" t="n">
        <v>46035</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70707-2021</t>
        </is>
      </c>
      <c r="B241" s="1" t="n">
        <v>44537</v>
      </c>
      <c r="C241" s="1" t="n">
        <v>46035</v>
      </c>
      <c r="D241" t="inlineStr">
        <is>
          <t>ÖREBRO LÄN</t>
        </is>
      </c>
      <c r="E241" t="inlineStr">
        <is>
          <t>ÖREBRO</t>
        </is>
      </c>
      <c r="G241" t="n">
        <v>13.2</v>
      </c>
      <c r="H241" t="n">
        <v>0</v>
      </c>
      <c r="I241" t="n">
        <v>0</v>
      </c>
      <c r="J241" t="n">
        <v>0</v>
      </c>
      <c r="K241" t="n">
        <v>0</v>
      </c>
      <c r="L241" t="n">
        <v>0</v>
      </c>
      <c r="M241" t="n">
        <v>0</v>
      </c>
      <c r="N241" t="n">
        <v>0</v>
      </c>
      <c r="O241" t="n">
        <v>0</v>
      </c>
      <c r="P241" t="n">
        <v>0</v>
      </c>
      <c r="Q241" t="n">
        <v>0</v>
      </c>
      <c r="R241" s="2" t="inlineStr"/>
    </row>
    <row r="242" ht="15" customHeight="1">
      <c r="A242" t="inlineStr">
        <is>
          <t>A 57243-2022</t>
        </is>
      </c>
      <c r="B242" s="1" t="n">
        <v>44895.71835648148</v>
      </c>
      <c r="C242" s="1" t="n">
        <v>46035</v>
      </c>
      <c r="D242" t="inlineStr">
        <is>
          <t>ÖREBRO LÄN</t>
        </is>
      </c>
      <c r="E242" t="inlineStr">
        <is>
          <t>ÖREBRO</t>
        </is>
      </c>
      <c r="G242" t="n">
        <v>6</v>
      </c>
      <c r="H242" t="n">
        <v>0</v>
      </c>
      <c r="I242" t="n">
        <v>0</v>
      </c>
      <c r="J242" t="n">
        <v>0</v>
      </c>
      <c r="K242" t="n">
        <v>0</v>
      </c>
      <c r="L242" t="n">
        <v>0</v>
      </c>
      <c r="M242" t="n">
        <v>0</v>
      </c>
      <c r="N242" t="n">
        <v>0</v>
      </c>
      <c r="O242" t="n">
        <v>0</v>
      </c>
      <c r="P242" t="n">
        <v>0</v>
      </c>
      <c r="Q242" t="n">
        <v>0</v>
      </c>
      <c r="R242" s="2" t="inlineStr"/>
    </row>
    <row r="243" ht="15" customHeight="1">
      <c r="A243" t="inlineStr">
        <is>
          <t>A 58621-2024</t>
        </is>
      </c>
      <c r="B243" s="1" t="n">
        <v>45635.56321759259</v>
      </c>
      <c r="C243" s="1" t="n">
        <v>46035</v>
      </c>
      <c r="D243" t="inlineStr">
        <is>
          <t>ÖREBRO LÄN</t>
        </is>
      </c>
      <c r="E243" t="inlineStr">
        <is>
          <t>ÖREBRO</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58216-2024</t>
        </is>
      </c>
      <c r="B244" s="1" t="n">
        <v>45632</v>
      </c>
      <c r="C244" s="1" t="n">
        <v>46035</v>
      </c>
      <c r="D244" t="inlineStr">
        <is>
          <t>ÖREBRO LÄN</t>
        </is>
      </c>
      <c r="E244" t="inlineStr">
        <is>
          <t>ÖREBRO</t>
        </is>
      </c>
      <c r="G244" t="n">
        <v>1.9</v>
      </c>
      <c r="H244" t="n">
        <v>0</v>
      </c>
      <c r="I244" t="n">
        <v>0</v>
      </c>
      <c r="J244" t="n">
        <v>0</v>
      </c>
      <c r="K244" t="n">
        <v>0</v>
      </c>
      <c r="L244" t="n">
        <v>0</v>
      </c>
      <c r="M244" t="n">
        <v>0</v>
      </c>
      <c r="N244" t="n">
        <v>0</v>
      </c>
      <c r="O244" t="n">
        <v>0</v>
      </c>
      <c r="P244" t="n">
        <v>0</v>
      </c>
      <c r="Q244" t="n">
        <v>0</v>
      </c>
      <c r="R244" s="2" t="inlineStr"/>
    </row>
    <row r="245" ht="15" customHeight="1">
      <c r="A245" t="inlineStr">
        <is>
          <t>A 71295-2021</t>
        </is>
      </c>
      <c r="B245" s="1" t="n">
        <v>44539.63009259259</v>
      </c>
      <c r="C245" s="1" t="n">
        <v>46035</v>
      </c>
      <c r="D245" t="inlineStr">
        <is>
          <t>ÖREBRO LÄN</t>
        </is>
      </c>
      <c r="E245" t="inlineStr">
        <is>
          <t>ÖREBRO</t>
        </is>
      </c>
      <c r="G245" t="n">
        <v>2.3</v>
      </c>
      <c r="H245" t="n">
        <v>0</v>
      </c>
      <c r="I245" t="n">
        <v>0</v>
      </c>
      <c r="J245" t="n">
        <v>0</v>
      </c>
      <c r="K245" t="n">
        <v>0</v>
      </c>
      <c r="L245" t="n">
        <v>0</v>
      </c>
      <c r="M245" t="n">
        <v>0</v>
      </c>
      <c r="N245" t="n">
        <v>0</v>
      </c>
      <c r="O245" t="n">
        <v>0</v>
      </c>
      <c r="P245" t="n">
        <v>0</v>
      </c>
      <c r="Q245" t="n">
        <v>0</v>
      </c>
      <c r="R245" s="2" t="inlineStr"/>
    </row>
    <row r="246" ht="15" customHeight="1">
      <c r="A246" t="inlineStr">
        <is>
          <t>A 46030-2024</t>
        </is>
      </c>
      <c r="B246" s="1" t="n">
        <v>45580.70377314815</v>
      </c>
      <c r="C246" s="1" t="n">
        <v>46035</v>
      </c>
      <c r="D246" t="inlineStr">
        <is>
          <t>ÖREBRO LÄN</t>
        </is>
      </c>
      <c r="E246" t="inlineStr">
        <is>
          <t>ÖREBRO</t>
        </is>
      </c>
      <c r="G246" t="n">
        <v>3.9</v>
      </c>
      <c r="H246" t="n">
        <v>0</v>
      </c>
      <c r="I246" t="n">
        <v>0</v>
      </c>
      <c r="J246" t="n">
        <v>0</v>
      </c>
      <c r="K246" t="n">
        <v>0</v>
      </c>
      <c r="L246" t="n">
        <v>0</v>
      </c>
      <c r="M246" t="n">
        <v>0</v>
      </c>
      <c r="N246" t="n">
        <v>0</v>
      </c>
      <c r="O246" t="n">
        <v>0</v>
      </c>
      <c r="P246" t="n">
        <v>0</v>
      </c>
      <c r="Q246" t="n">
        <v>0</v>
      </c>
      <c r="R246" s="2" t="inlineStr"/>
    </row>
    <row r="247" ht="15" customHeight="1">
      <c r="A247" t="inlineStr">
        <is>
          <t>A 5643-2025</t>
        </is>
      </c>
      <c r="B247" s="1" t="n">
        <v>45693</v>
      </c>
      <c r="C247" s="1" t="n">
        <v>46035</v>
      </c>
      <c r="D247" t="inlineStr">
        <is>
          <t>ÖREBRO LÄN</t>
        </is>
      </c>
      <c r="E247" t="inlineStr">
        <is>
          <t>ÖREBRO</t>
        </is>
      </c>
      <c r="G247" t="n">
        <v>2</v>
      </c>
      <c r="H247" t="n">
        <v>0</v>
      </c>
      <c r="I247" t="n">
        <v>0</v>
      </c>
      <c r="J247" t="n">
        <v>0</v>
      </c>
      <c r="K247" t="n">
        <v>0</v>
      </c>
      <c r="L247" t="n">
        <v>0</v>
      </c>
      <c r="M247" t="n">
        <v>0</v>
      </c>
      <c r="N247" t="n">
        <v>0</v>
      </c>
      <c r="O247" t="n">
        <v>0</v>
      </c>
      <c r="P247" t="n">
        <v>0</v>
      </c>
      <c r="Q247" t="n">
        <v>0</v>
      </c>
      <c r="R247" s="2" t="inlineStr"/>
    </row>
    <row r="248" ht="15" customHeight="1">
      <c r="A248" t="inlineStr">
        <is>
          <t>A 11516-2024</t>
        </is>
      </c>
      <c r="B248" s="1" t="n">
        <v>45372</v>
      </c>
      <c r="C248" s="1" t="n">
        <v>46035</v>
      </c>
      <c r="D248" t="inlineStr">
        <is>
          <t>ÖREBRO LÄN</t>
        </is>
      </c>
      <c r="E248" t="inlineStr">
        <is>
          <t>ÖREBRO</t>
        </is>
      </c>
      <c r="G248" t="n">
        <v>10.7</v>
      </c>
      <c r="H248" t="n">
        <v>0</v>
      </c>
      <c r="I248" t="n">
        <v>0</v>
      </c>
      <c r="J248" t="n">
        <v>0</v>
      </c>
      <c r="K248" t="n">
        <v>0</v>
      </c>
      <c r="L248" t="n">
        <v>0</v>
      </c>
      <c r="M248" t="n">
        <v>0</v>
      </c>
      <c r="N248" t="n">
        <v>0</v>
      </c>
      <c r="O248" t="n">
        <v>0</v>
      </c>
      <c r="P248" t="n">
        <v>0</v>
      </c>
      <c r="Q248" t="n">
        <v>0</v>
      </c>
      <c r="R248" s="2" t="inlineStr"/>
    </row>
    <row r="249" ht="15" customHeight="1">
      <c r="A249" t="inlineStr">
        <is>
          <t>A 5342-2024</t>
        </is>
      </c>
      <c r="B249" s="1" t="n">
        <v>45331.44145833333</v>
      </c>
      <c r="C249" s="1" t="n">
        <v>46035</v>
      </c>
      <c r="D249" t="inlineStr">
        <is>
          <t>ÖREBRO LÄN</t>
        </is>
      </c>
      <c r="E249" t="inlineStr">
        <is>
          <t>ÖREBRO</t>
        </is>
      </c>
      <c r="G249" t="n">
        <v>2.5</v>
      </c>
      <c r="H249" t="n">
        <v>0</v>
      </c>
      <c r="I249" t="n">
        <v>0</v>
      </c>
      <c r="J249" t="n">
        <v>0</v>
      </c>
      <c r="K249" t="n">
        <v>0</v>
      </c>
      <c r="L249" t="n">
        <v>0</v>
      </c>
      <c r="M249" t="n">
        <v>0</v>
      </c>
      <c r="N249" t="n">
        <v>0</v>
      </c>
      <c r="O249" t="n">
        <v>0</v>
      </c>
      <c r="P249" t="n">
        <v>0</v>
      </c>
      <c r="Q249" t="n">
        <v>0</v>
      </c>
      <c r="R249" s="2" t="inlineStr"/>
    </row>
    <row r="250" ht="15" customHeight="1">
      <c r="A250" t="inlineStr">
        <is>
          <t>A 37012-2024</t>
        </is>
      </c>
      <c r="B250" s="1" t="n">
        <v>45539</v>
      </c>
      <c r="C250" s="1" t="n">
        <v>46035</v>
      </c>
      <c r="D250" t="inlineStr">
        <is>
          <t>ÖREBRO LÄN</t>
        </is>
      </c>
      <c r="E250" t="inlineStr">
        <is>
          <t>ÖREBRO</t>
        </is>
      </c>
      <c r="G250" t="n">
        <v>4.1</v>
      </c>
      <c r="H250" t="n">
        <v>0</v>
      </c>
      <c r="I250" t="n">
        <v>0</v>
      </c>
      <c r="J250" t="n">
        <v>0</v>
      </c>
      <c r="K250" t="n">
        <v>0</v>
      </c>
      <c r="L250" t="n">
        <v>0</v>
      </c>
      <c r="M250" t="n">
        <v>0</v>
      </c>
      <c r="N250" t="n">
        <v>0</v>
      </c>
      <c r="O250" t="n">
        <v>0</v>
      </c>
      <c r="P250" t="n">
        <v>0</v>
      </c>
      <c r="Q250" t="n">
        <v>0</v>
      </c>
      <c r="R250" s="2" t="inlineStr"/>
    </row>
    <row r="251" ht="15" customHeight="1">
      <c r="A251" t="inlineStr">
        <is>
          <t>A 37020-2024</t>
        </is>
      </c>
      <c r="B251" s="1" t="n">
        <v>45539.38059027777</v>
      </c>
      <c r="C251" s="1" t="n">
        <v>46035</v>
      </c>
      <c r="D251" t="inlineStr">
        <is>
          <t>ÖREBRO LÄN</t>
        </is>
      </c>
      <c r="E251" t="inlineStr">
        <is>
          <t>ÖREBRO</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55353-2024</t>
        </is>
      </c>
      <c r="B252" s="1" t="n">
        <v>45621.79526620371</v>
      </c>
      <c r="C252" s="1" t="n">
        <v>46035</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541-2025</t>
        </is>
      </c>
      <c r="B253" s="1" t="n">
        <v>45664.52034722222</v>
      </c>
      <c r="C253" s="1" t="n">
        <v>46035</v>
      </c>
      <c r="D253" t="inlineStr">
        <is>
          <t>ÖREBRO LÄN</t>
        </is>
      </c>
      <c r="E253" t="inlineStr">
        <is>
          <t>ÖREBRO</t>
        </is>
      </c>
      <c r="G253" t="n">
        <v>2.2</v>
      </c>
      <c r="H253" t="n">
        <v>0</v>
      </c>
      <c r="I253" t="n">
        <v>0</v>
      </c>
      <c r="J253" t="n">
        <v>0</v>
      </c>
      <c r="K253" t="n">
        <v>0</v>
      </c>
      <c r="L253" t="n">
        <v>0</v>
      </c>
      <c r="M253" t="n">
        <v>0</v>
      </c>
      <c r="N253" t="n">
        <v>0</v>
      </c>
      <c r="O253" t="n">
        <v>0</v>
      </c>
      <c r="P253" t="n">
        <v>0</v>
      </c>
      <c r="Q253" t="n">
        <v>0</v>
      </c>
      <c r="R253" s="2" t="inlineStr"/>
    </row>
    <row r="254" ht="15" customHeight="1">
      <c r="A254" t="inlineStr">
        <is>
          <t>A 19553-2023</t>
        </is>
      </c>
      <c r="B254" s="1" t="n">
        <v>45050</v>
      </c>
      <c r="C254" s="1" t="n">
        <v>46035</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37025-2024</t>
        </is>
      </c>
      <c r="B255" s="1" t="n">
        <v>45539.3840162037</v>
      </c>
      <c r="C255" s="1" t="n">
        <v>46035</v>
      </c>
      <c r="D255" t="inlineStr">
        <is>
          <t>ÖREBRO LÄN</t>
        </is>
      </c>
      <c r="E255" t="inlineStr">
        <is>
          <t>ÖREBRO</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37027-2024</t>
        </is>
      </c>
      <c r="B256" s="1" t="n">
        <v>45539.38487268519</v>
      </c>
      <c r="C256" s="1" t="n">
        <v>46035</v>
      </c>
      <c r="D256" t="inlineStr">
        <is>
          <t>ÖREBRO LÄN</t>
        </is>
      </c>
      <c r="E256" t="inlineStr">
        <is>
          <t>ÖREBRO</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25578-2025</t>
        </is>
      </c>
      <c r="B257" s="1" t="n">
        <v>45803.47803240741</v>
      </c>
      <c r="C257" s="1" t="n">
        <v>46035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44875-2025</t>
        </is>
      </c>
      <c r="B258" s="1" t="n">
        <v>45918.47043981482</v>
      </c>
      <c r="C258" s="1" t="n">
        <v>46035</v>
      </c>
      <c r="D258" t="inlineStr">
        <is>
          <t>ÖREBRO LÄN</t>
        </is>
      </c>
      <c r="E258" t="inlineStr">
        <is>
          <t>ÖREBRO</t>
        </is>
      </c>
      <c r="G258" t="n">
        <v>1.4</v>
      </c>
      <c r="H258" t="n">
        <v>0</v>
      </c>
      <c r="I258" t="n">
        <v>0</v>
      </c>
      <c r="J258" t="n">
        <v>0</v>
      </c>
      <c r="K258" t="n">
        <v>0</v>
      </c>
      <c r="L258" t="n">
        <v>0</v>
      </c>
      <c r="M258" t="n">
        <v>0</v>
      </c>
      <c r="N258" t="n">
        <v>0</v>
      </c>
      <c r="O258" t="n">
        <v>0</v>
      </c>
      <c r="P258" t="n">
        <v>0</v>
      </c>
      <c r="Q258" t="n">
        <v>0</v>
      </c>
      <c r="R258" s="2" t="inlineStr"/>
    </row>
    <row r="259" ht="15" customHeight="1">
      <c r="A259" t="inlineStr">
        <is>
          <t>A 23594-2023</t>
        </is>
      </c>
      <c r="B259" s="1" t="n">
        <v>45077</v>
      </c>
      <c r="C259" s="1" t="n">
        <v>46035</v>
      </c>
      <c r="D259" t="inlineStr">
        <is>
          <t>ÖREBRO LÄN</t>
        </is>
      </c>
      <c r="E259" t="inlineStr">
        <is>
          <t>ÖREBRO</t>
        </is>
      </c>
      <c r="G259" t="n">
        <v>9.9</v>
      </c>
      <c r="H259" t="n">
        <v>0</v>
      </c>
      <c r="I259" t="n">
        <v>0</v>
      </c>
      <c r="J259" t="n">
        <v>0</v>
      </c>
      <c r="K259" t="n">
        <v>0</v>
      </c>
      <c r="L259" t="n">
        <v>0</v>
      </c>
      <c r="M259" t="n">
        <v>0</v>
      </c>
      <c r="N259" t="n">
        <v>0</v>
      </c>
      <c r="O259" t="n">
        <v>0</v>
      </c>
      <c r="P259" t="n">
        <v>0</v>
      </c>
      <c r="Q259" t="n">
        <v>0</v>
      </c>
      <c r="R259" s="2" t="inlineStr"/>
    </row>
    <row r="260" ht="15" customHeight="1">
      <c r="A260" t="inlineStr">
        <is>
          <t>A 8022-2022</t>
        </is>
      </c>
      <c r="B260" s="1" t="n">
        <v>44609</v>
      </c>
      <c r="C260" s="1" t="n">
        <v>46035</v>
      </c>
      <c r="D260" t="inlineStr">
        <is>
          <t>ÖREBRO LÄN</t>
        </is>
      </c>
      <c r="E260" t="inlineStr">
        <is>
          <t>ÖREBRO</t>
        </is>
      </c>
      <c r="G260" t="n">
        <v>5.6</v>
      </c>
      <c r="H260" t="n">
        <v>0</v>
      </c>
      <c r="I260" t="n">
        <v>0</v>
      </c>
      <c r="J260" t="n">
        <v>0</v>
      </c>
      <c r="K260" t="n">
        <v>0</v>
      </c>
      <c r="L260" t="n">
        <v>0</v>
      </c>
      <c r="M260" t="n">
        <v>0</v>
      </c>
      <c r="N260" t="n">
        <v>0</v>
      </c>
      <c r="O260" t="n">
        <v>0</v>
      </c>
      <c r="P260" t="n">
        <v>0</v>
      </c>
      <c r="Q260" t="n">
        <v>0</v>
      </c>
      <c r="R260" s="2" t="inlineStr"/>
    </row>
    <row r="261" ht="15" customHeight="1">
      <c r="A261" t="inlineStr">
        <is>
          <t>A 47193-2023</t>
        </is>
      </c>
      <c r="B261" s="1" t="n">
        <v>45202.3074537037</v>
      </c>
      <c r="C261" s="1" t="n">
        <v>46035</v>
      </c>
      <c r="D261" t="inlineStr">
        <is>
          <t>ÖREBRO LÄN</t>
        </is>
      </c>
      <c r="E261" t="inlineStr">
        <is>
          <t>ÖREBRO</t>
        </is>
      </c>
      <c r="G261" t="n">
        <v>2.4</v>
      </c>
      <c r="H261" t="n">
        <v>0</v>
      </c>
      <c r="I261" t="n">
        <v>0</v>
      </c>
      <c r="J261" t="n">
        <v>0</v>
      </c>
      <c r="K261" t="n">
        <v>0</v>
      </c>
      <c r="L261" t="n">
        <v>0</v>
      </c>
      <c r="M261" t="n">
        <v>0</v>
      </c>
      <c r="N261" t="n">
        <v>0</v>
      </c>
      <c r="O261" t="n">
        <v>0</v>
      </c>
      <c r="P261" t="n">
        <v>0</v>
      </c>
      <c r="Q261" t="n">
        <v>0</v>
      </c>
      <c r="R261" s="2" t="inlineStr"/>
    </row>
    <row r="262" ht="15" customHeight="1">
      <c r="A262" t="inlineStr">
        <is>
          <t>A 25519-2025</t>
        </is>
      </c>
      <c r="B262" s="1" t="n">
        <v>45803.38447916666</v>
      </c>
      <c r="C262" s="1" t="n">
        <v>46035</v>
      </c>
      <c r="D262" t="inlineStr">
        <is>
          <t>ÖREBRO LÄN</t>
        </is>
      </c>
      <c r="E262" t="inlineStr">
        <is>
          <t>ÖREBRO</t>
        </is>
      </c>
      <c r="G262" t="n">
        <v>7.4</v>
      </c>
      <c r="H262" t="n">
        <v>0</v>
      </c>
      <c r="I262" t="n">
        <v>0</v>
      </c>
      <c r="J262" t="n">
        <v>0</v>
      </c>
      <c r="K262" t="n">
        <v>0</v>
      </c>
      <c r="L262" t="n">
        <v>0</v>
      </c>
      <c r="M262" t="n">
        <v>0</v>
      </c>
      <c r="N262" t="n">
        <v>0</v>
      </c>
      <c r="O262" t="n">
        <v>0</v>
      </c>
      <c r="P262" t="n">
        <v>0</v>
      </c>
      <c r="Q262" t="n">
        <v>0</v>
      </c>
      <c r="R262" s="2" t="inlineStr"/>
    </row>
    <row r="263" ht="15" customHeight="1">
      <c r="A263" t="inlineStr">
        <is>
          <t>A 58598-2022</t>
        </is>
      </c>
      <c r="B263" s="1" t="n">
        <v>44902</v>
      </c>
      <c r="C263" s="1" t="n">
        <v>46035</v>
      </c>
      <c r="D263" t="inlineStr">
        <is>
          <t>ÖREBRO LÄN</t>
        </is>
      </c>
      <c r="E263" t="inlineStr">
        <is>
          <t>ÖREBRO</t>
        </is>
      </c>
      <c r="G263" t="n">
        <v>0.4</v>
      </c>
      <c r="H263" t="n">
        <v>0</v>
      </c>
      <c r="I263" t="n">
        <v>0</v>
      </c>
      <c r="J263" t="n">
        <v>0</v>
      </c>
      <c r="K263" t="n">
        <v>0</v>
      </c>
      <c r="L263" t="n">
        <v>0</v>
      </c>
      <c r="M263" t="n">
        <v>0</v>
      </c>
      <c r="N263" t="n">
        <v>0</v>
      </c>
      <c r="O263" t="n">
        <v>0</v>
      </c>
      <c r="P263" t="n">
        <v>0</v>
      </c>
      <c r="Q263" t="n">
        <v>0</v>
      </c>
      <c r="R263" s="2" t="inlineStr"/>
    </row>
    <row r="264" ht="15" customHeight="1">
      <c r="A264" t="inlineStr">
        <is>
          <t>A 44960-2025</t>
        </is>
      </c>
      <c r="B264" s="1" t="n">
        <v>45918.61577546296</v>
      </c>
      <c r="C264" s="1" t="n">
        <v>46035</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71206-2021</t>
        </is>
      </c>
      <c r="B265" s="1" t="n">
        <v>44539</v>
      </c>
      <c r="C265" s="1" t="n">
        <v>46035</v>
      </c>
      <c r="D265" t="inlineStr">
        <is>
          <t>ÖREBRO LÄN</t>
        </is>
      </c>
      <c r="E265" t="inlineStr">
        <is>
          <t>ÖREBRO</t>
        </is>
      </c>
      <c r="G265" t="n">
        <v>2.5</v>
      </c>
      <c r="H265" t="n">
        <v>0</v>
      </c>
      <c r="I265" t="n">
        <v>0</v>
      </c>
      <c r="J265" t="n">
        <v>0</v>
      </c>
      <c r="K265" t="n">
        <v>0</v>
      </c>
      <c r="L265" t="n">
        <v>0</v>
      </c>
      <c r="M265" t="n">
        <v>0</v>
      </c>
      <c r="N265" t="n">
        <v>0</v>
      </c>
      <c r="O265" t="n">
        <v>0</v>
      </c>
      <c r="P265" t="n">
        <v>0</v>
      </c>
      <c r="Q265" t="n">
        <v>0</v>
      </c>
      <c r="R265" s="2" t="inlineStr"/>
    </row>
    <row r="266" ht="15" customHeight="1">
      <c r="A266" t="inlineStr">
        <is>
          <t>A 16739-2022</t>
        </is>
      </c>
      <c r="B266" s="1" t="n">
        <v>44673</v>
      </c>
      <c r="C266" s="1" t="n">
        <v>46035</v>
      </c>
      <c r="D266" t="inlineStr">
        <is>
          <t>ÖREBRO LÄN</t>
        </is>
      </c>
      <c r="E266" t="inlineStr">
        <is>
          <t>ÖREBRO</t>
        </is>
      </c>
      <c r="G266" t="n">
        <v>4.7</v>
      </c>
      <c r="H266" t="n">
        <v>0</v>
      </c>
      <c r="I266" t="n">
        <v>0</v>
      </c>
      <c r="J266" t="n">
        <v>0</v>
      </c>
      <c r="K266" t="n">
        <v>0</v>
      </c>
      <c r="L266" t="n">
        <v>0</v>
      </c>
      <c r="M266" t="n">
        <v>0</v>
      </c>
      <c r="N266" t="n">
        <v>0</v>
      </c>
      <c r="O266" t="n">
        <v>0</v>
      </c>
      <c r="P266" t="n">
        <v>0</v>
      </c>
      <c r="Q266" t="n">
        <v>0</v>
      </c>
      <c r="R266" s="2" t="inlineStr"/>
    </row>
    <row r="267" ht="15" customHeight="1">
      <c r="A267" t="inlineStr">
        <is>
          <t>A 9379-2024</t>
        </is>
      </c>
      <c r="B267" s="1" t="n">
        <v>45359.37298611111</v>
      </c>
      <c r="C267" s="1" t="n">
        <v>46035</v>
      </c>
      <c r="D267" t="inlineStr">
        <is>
          <t>ÖREBRO LÄN</t>
        </is>
      </c>
      <c r="E267" t="inlineStr">
        <is>
          <t>ÖREBRO</t>
        </is>
      </c>
      <c r="G267" t="n">
        <v>2.4</v>
      </c>
      <c r="H267" t="n">
        <v>0</v>
      </c>
      <c r="I267" t="n">
        <v>0</v>
      </c>
      <c r="J267" t="n">
        <v>0</v>
      </c>
      <c r="K267" t="n">
        <v>0</v>
      </c>
      <c r="L267" t="n">
        <v>0</v>
      </c>
      <c r="M267" t="n">
        <v>0</v>
      </c>
      <c r="N267" t="n">
        <v>0</v>
      </c>
      <c r="O267" t="n">
        <v>0</v>
      </c>
      <c r="P267" t="n">
        <v>0</v>
      </c>
      <c r="Q267" t="n">
        <v>0</v>
      </c>
      <c r="R267" s="2" t="inlineStr"/>
    </row>
    <row r="268" ht="15" customHeight="1">
      <c r="A268" t="inlineStr">
        <is>
          <t>A 5398-2022</t>
        </is>
      </c>
      <c r="B268" s="1" t="n">
        <v>44595.3353587963</v>
      </c>
      <c r="C268" s="1" t="n">
        <v>46035</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41995-2024</t>
        </is>
      </c>
      <c r="B269" s="1" t="n">
        <v>45561.6475462963</v>
      </c>
      <c r="C269" s="1" t="n">
        <v>46035</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27220-2025</t>
        </is>
      </c>
      <c r="B270" s="1" t="n">
        <v>45812.42293981482</v>
      </c>
      <c r="C270" s="1" t="n">
        <v>46035</v>
      </c>
      <c r="D270" t="inlineStr">
        <is>
          <t>ÖREBRO LÄN</t>
        </is>
      </c>
      <c r="E270" t="inlineStr">
        <is>
          <t>ÖREBRO</t>
        </is>
      </c>
      <c r="G270" t="n">
        <v>0.6</v>
      </c>
      <c r="H270" t="n">
        <v>0</v>
      </c>
      <c r="I270" t="n">
        <v>0</v>
      </c>
      <c r="J270" t="n">
        <v>0</v>
      </c>
      <c r="K270" t="n">
        <v>0</v>
      </c>
      <c r="L270" t="n">
        <v>0</v>
      </c>
      <c r="M270" t="n">
        <v>0</v>
      </c>
      <c r="N270" t="n">
        <v>0</v>
      </c>
      <c r="O270" t="n">
        <v>0</v>
      </c>
      <c r="P270" t="n">
        <v>0</v>
      </c>
      <c r="Q270" t="n">
        <v>0</v>
      </c>
      <c r="R270" s="2" t="inlineStr"/>
    </row>
    <row r="271" ht="15" customHeight="1">
      <c r="A271" t="inlineStr">
        <is>
          <t>A 16737-2023</t>
        </is>
      </c>
      <c r="B271" s="1" t="n">
        <v>45030.72472222222</v>
      </c>
      <c r="C271" s="1" t="n">
        <v>46035</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27180-2025</t>
        </is>
      </c>
      <c r="B272" s="1" t="n">
        <v>45812.35736111111</v>
      </c>
      <c r="C272" s="1" t="n">
        <v>46035</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27215-2025</t>
        </is>
      </c>
      <c r="B273" s="1" t="n">
        <v>45812.41869212963</v>
      </c>
      <c r="C273" s="1" t="n">
        <v>46035</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27225-2025</t>
        </is>
      </c>
      <c r="B274" s="1" t="n">
        <v>45812.42856481481</v>
      </c>
      <c r="C274" s="1" t="n">
        <v>46035</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15866-2022</t>
        </is>
      </c>
      <c r="B275" s="1" t="n">
        <v>44664</v>
      </c>
      <c r="C275" s="1" t="n">
        <v>46035</v>
      </c>
      <c r="D275" t="inlineStr">
        <is>
          <t>ÖREBRO LÄN</t>
        </is>
      </c>
      <c r="E275" t="inlineStr">
        <is>
          <t>ÖREBRO</t>
        </is>
      </c>
      <c r="G275" t="n">
        <v>4</v>
      </c>
      <c r="H275" t="n">
        <v>0</v>
      </c>
      <c r="I275" t="n">
        <v>0</v>
      </c>
      <c r="J275" t="n">
        <v>0</v>
      </c>
      <c r="K275" t="n">
        <v>0</v>
      </c>
      <c r="L275" t="n">
        <v>0</v>
      </c>
      <c r="M275" t="n">
        <v>0</v>
      </c>
      <c r="N275" t="n">
        <v>0</v>
      </c>
      <c r="O275" t="n">
        <v>0</v>
      </c>
      <c r="P275" t="n">
        <v>0</v>
      </c>
      <c r="Q275" t="n">
        <v>0</v>
      </c>
      <c r="R275" s="2" t="inlineStr"/>
    </row>
    <row r="276" ht="15" customHeight="1">
      <c r="A276" t="inlineStr">
        <is>
          <t>A 2318-2023</t>
        </is>
      </c>
      <c r="B276" s="1" t="n">
        <v>44942</v>
      </c>
      <c r="C276" s="1" t="n">
        <v>46035</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5764-2022</t>
        </is>
      </c>
      <c r="B277" s="1" t="n">
        <v>44596</v>
      </c>
      <c r="C277" s="1" t="n">
        <v>46035</v>
      </c>
      <c r="D277" t="inlineStr">
        <is>
          <t>ÖREBRO LÄN</t>
        </is>
      </c>
      <c r="E277" t="inlineStr">
        <is>
          <t>ÖREBRO</t>
        </is>
      </c>
      <c r="G277" t="n">
        <v>3.5</v>
      </c>
      <c r="H277" t="n">
        <v>0</v>
      </c>
      <c r="I277" t="n">
        <v>0</v>
      </c>
      <c r="J277" t="n">
        <v>0</v>
      </c>
      <c r="K277" t="n">
        <v>0</v>
      </c>
      <c r="L277" t="n">
        <v>0</v>
      </c>
      <c r="M277" t="n">
        <v>0</v>
      </c>
      <c r="N277" t="n">
        <v>0</v>
      </c>
      <c r="O277" t="n">
        <v>0</v>
      </c>
      <c r="P277" t="n">
        <v>0</v>
      </c>
      <c r="Q277" t="n">
        <v>0</v>
      </c>
      <c r="R277" s="2" t="inlineStr"/>
    </row>
    <row r="278" ht="15" customHeight="1">
      <c r="A278" t="inlineStr">
        <is>
          <t>A 45027-2024</t>
        </is>
      </c>
      <c r="B278" s="1" t="n">
        <v>45575</v>
      </c>
      <c r="C278" s="1" t="n">
        <v>46035</v>
      </c>
      <c r="D278" t="inlineStr">
        <is>
          <t>ÖREBRO LÄN</t>
        </is>
      </c>
      <c r="E278" t="inlineStr">
        <is>
          <t>ÖREBRO</t>
        </is>
      </c>
      <c r="G278" t="n">
        <v>6.3</v>
      </c>
      <c r="H278" t="n">
        <v>0</v>
      </c>
      <c r="I278" t="n">
        <v>0</v>
      </c>
      <c r="J278" t="n">
        <v>0</v>
      </c>
      <c r="K278" t="n">
        <v>0</v>
      </c>
      <c r="L278" t="n">
        <v>0</v>
      </c>
      <c r="M278" t="n">
        <v>0</v>
      </c>
      <c r="N278" t="n">
        <v>0</v>
      </c>
      <c r="O278" t="n">
        <v>0</v>
      </c>
      <c r="P278" t="n">
        <v>0</v>
      </c>
      <c r="Q278" t="n">
        <v>0</v>
      </c>
      <c r="R278" s="2" t="inlineStr"/>
    </row>
    <row r="279" ht="15" customHeight="1">
      <c r="A279" t="inlineStr">
        <is>
          <t>A 40051-2024</t>
        </is>
      </c>
      <c r="B279" s="1" t="n">
        <v>45553</v>
      </c>
      <c r="C279" s="1" t="n">
        <v>46035</v>
      </c>
      <c r="D279" t="inlineStr">
        <is>
          <t>ÖREBRO LÄN</t>
        </is>
      </c>
      <c r="E279" t="inlineStr">
        <is>
          <t>ÖREBRO</t>
        </is>
      </c>
      <c r="G279" t="n">
        <v>3.5</v>
      </c>
      <c r="H279" t="n">
        <v>0</v>
      </c>
      <c r="I279" t="n">
        <v>0</v>
      </c>
      <c r="J279" t="n">
        <v>0</v>
      </c>
      <c r="K279" t="n">
        <v>0</v>
      </c>
      <c r="L279" t="n">
        <v>0</v>
      </c>
      <c r="M279" t="n">
        <v>0</v>
      </c>
      <c r="N279" t="n">
        <v>0</v>
      </c>
      <c r="O279" t="n">
        <v>0</v>
      </c>
      <c r="P279" t="n">
        <v>0</v>
      </c>
      <c r="Q279" t="n">
        <v>0</v>
      </c>
      <c r="R279" s="2" t="inlineStr"/>
    </row>
    <row r="280" ht="15" customHeight="1">
      <c r="A280" t="inlineStr">
        <is>
          <t>A 28120-2025</t>
        </is>
      </c>
      <c r="B280" s="1" t="n">
        <v>45818.30459490741</v>
      </c>
      <c r="C280" s="1" t="n">
        <v>46035</v>
      </c>
      <c r="D280" t="inlineStr">
        <is>
          <t>ÖREBRO LÄN</t>
        </is>
      </c>
      <c r="E280" t="inlineStr">
        <is>
          <t>ÖREBRO</t>
        </is>
      </c>
      <c r="G280" t="n">
        <v>1.5</v>
      </c>
      <c r="H280" t="n">
        <v>0</v>
      </c>
      <c r="I280" t="n">
        <v>0</v>
      </c>
      <c r="J280" t="n">
        <v>0</v>
      </c>
      <c r="K280" t="n">
        <v>0</v>
      </c>
      <c r="L280" t="n">
        <v>0</v>
      </c>
      <c r="M280" t="n">
        <v>0</v>
      </c>
      <c r="N280" t="n">
        <v>0</v>
      </c>
      <c r="O280" t="n">
        <v>0</v>
      </c>
      <c r="P280" t="n">
        <v>0</v>
      </c>
      <c r="Q280" t="n">
        <v>0</v>
      </c>
      <c r="R280" s="2" t="inlineStr"/>
    </row>
    <row r="281" ht="15" customHeight="1">
      <c r="A281" t="inlineStr">
        <is>
          <t>A 41543-2024</t>
        </is>
      </c>
      <c r="B281" s="1" t="n">
        <v>45560</v>
      </c>
      <c r="C281" s="1" t="n">
        <v>46035</v>
      </c>
      <c r="D281" t="inlineStr">
        <is>
          <t>ÖREBRO LÄN</t>
        </is>
      </c>
      <c r="E281" t="inlineStr">
        <is>
          <t>ÖREBRO</t>
        </is>
      </c>
      <c r="G281" t="n">
        <v>2.8</v>
      </c>
      <c r="H281" t="n">
        <v>0</v>
      </c>
      <c r="I281" t="n">
        <v>0</v>
      </c>
      <c r="J281" t="n">
        <v>0</v>
      </c>
      <c r="K281" t="n">
        <v>0</v>
      </c>
      <c r="L281" t="n">
        <v>0</v>
      </c>
      <c r="M281" t="n">
        <v>0</v>
      </c>
      <c r="N281" t="n">
        <v>0</v>
      </c>
      <c r="O281" t="n">
        <v>0</v>
      </c>
      <c r="P281" t="n">
        <v>0</v>
      </c>
      <c r="Q281" t="n">
        <v>0</v>
      </c>
      <c r="R281" s="2" t="inlineStr"/>
    </row>
    <row r="282" ht="15" customHeight="1">
      <c r="A282" t="inlineStr">
        <is>
          <t>A 10799-2024</t>
        </is>
      </c>
      <c r="B282" s="1" t="n">
        <v>45369</v>
      </c>
      <c r="C282" s="1" t="n">
        <v>46035</v>
      </c>
      <c r="D282" t="inlineStr">
        <is>
          <t>ÖREBRO LÄN</t>
        </is>
      </c>
      <c r="E282" t="inlineStr">
        <is>
          <t>ÖREBRO</t>
        </is>
      </c>
      <c r="G282" t="n">
        <v>5.8</v>
      </c>
      <c r="H282" t="n">
        <v>0</v>
      </c>
      <c r="I282" t="n">
        <v>0</v>
      </c>
      <c r="J282" t="n">
        <v>0</v>
      </c>
      <c r="K282" t="n">
        <v>0</v>
      </c>
      <c r="L282" t="n">
        <v>0</v>
      </c>
      <c r="M282" t="n">
        <v>0</v>
      </c>
      <c r="N282" t="n">
        <v>0</v>
      </c>
      <c r="O282" t="n">
        <v>0</v>
      </c>
      <c r="P282" t="n">
        <v>0</v>
      </c>
      <c r="Q282" t="n">
        <v>0</v>
      </c>
      <c r="R282" s="2" t="inlineStr"/>
    </row>
    <row r="283" ht="15" customHeight="1">
      <c r="A283" t="inlineStr">
        <is>
          <t>A 16694-2025</t>
        </is>
      </c>
      <c r="B283" s="1" t="n">
        <v>45754.46480324074</v>
      </c>
      <c r="C283" s="1" t="n">
        <v>46035</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49465-2024</t>
        </is>
      </c>
      <c r="B284" s="1" t="n">
        <v>45596</v>
      </c>
      <c r="C284" s="1" t="n">
        <v>46035</v>
      </c>
      <c r="D284" t="inlineStr">
        <is>
          <t>ÖREBRO LÄN</t>
        </is>
      </c>
      <c r="E284" t="inlineStr">
        <is>
          <t>ÖREBRO</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28938-2025</t>
        </is>
      </c>
      <c r="B285" s="1" t="n">
        <v>45820.70626157407</v>
      </c>
      <c r="C285" s="1" t="n">
        <v>46035</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28920-2025</t>
        </is>
      </c>
      <c r="B286" s="1" t="n">
        <v>45820.66532407407</v>
      </c>
      <c r="C286" s="1" t="n">
        <v>46035</v>
      </c>
      <c r="D286" t="inlineStr">
        <is>
          <t>ÖREBRO LÄN</t>
        </is>
      </c>
      <c r="E286" t="inlineStr">
        <is>
          <t>ÖREBRO</t>
        </is>
      </c>
      <c r="G286" t="n">
        <v>3</v>
      </c>
      <c r="H286" t="n">
        <v>0</v>
      </c>
      <c r="I286" t="n">
        <v>0</v>
      </c>
      <c r="J286" t="n">
        <v>0</v>
      </c>
      <c r="K286" t="n">
        <v>0</v>
      </c>
      <c r="L286" t="n">
        <v>0</v>
      </c>
      <c r="M286" t="n">
        <v>0</v>
      </c>
      <c r="N286" t="n">
        <v>0</v>
      </c>
      <c r="O286" t="n">
        <v>0</v>
      </c>
      <c r="P286" t="n">
        <v>0</v>
      </c>
      <c r="Q286" t="n">
        <v>0</v>
      </c>
      <c r="R286" s="2" t="inlineStr"/>
    </row>
    <row r="287" ht="15" customHeight="1">
      <c r="A287" t="inlineStr">
        <is>
          <t>A 29286-2025</t>
        </is>
      </c>
      <c r="B287" s="1" t="n">
        <v>45824.43502314815</v>
      </c>
      <c r="C287" s="1" t="n">
        <v>46035</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59121-2024</t>
        </is>
      </c>
      <c r="B288" s="1" t="n">
        <v>45637.37755787037</v>
      </c>
      <c r="C288" s="1" t="n">
        <v>46035</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49215-2023</t>
        </is>
      </c>
      <c r="B289" s="1" t="n">
        <v>45210.61050925926</v>
      </c>
      <c r="C289" s="1" t="n">
        <v>46035</v>
      </c>
      <c r="D289" t="inlineStr">
        <is>
          <t>ÖREBRO LÄN</t>
        </is>
      </c>
      <c r="E289" t="inlineStr">
        <is>
          <t>ÖREBRO</t>
        </is>
      </c>
      <c r="F289" t="inlineStr">
        <is>
          <t>Övriga Aktiebolag</t>
        </is>
      </c>
      <c r="G289" t="n">
        <v>4.2</v>
      </c>
      <c r="H289" t="n">
        <v>0</v>
      </c>
      <c r="I289" t="n">
        <v>0</v>
      </c>
      <c r="J289" t="n">
        <v>0</v>
      </c>
      <c r="K289" t="n">
        <v>0</v>
      </c>
      <c r="L289" t="n">
        <v>0</v>
      </c>
      <c r="M289" t="n">
        <v>0</v>
      </c>
      <c r="N289" t="n">
        <v>0</v>
      </c>
      <c r="O289" t="n">
        <v>0</v>
      </c>
      <c r="P289" t="n">
        <v>0</v>
      </c>
      <c r="Q289" t="n">
        <v>0</v>
      </c>
      <c r="R289" s="2" t="inlineStr"/>
    </row>
    <row r="290" ht="15" customHeight="1">
      <c r="A290" t="inlineStr">
        <is>
          <t>A 29339-2025</t>
        </is>
      </c>
      <c r="B290" s="1" t="n">
        <v>45824.5044212963</v>
      </c>
      <c r="C290" s="1" t="n">
        <v>46035</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50311-2025</t>
        </is>
      </c>
      <c r="B291" s="1" t="n">
        <v>45944</v>
      </c>
      <c r="C291" s="1" t="n">
        <v>46035</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17983-2025</t>
        </is>
      </c>
      <c r="B292" s="1" t="n">
        <v>45761.38829861111</v>
      </c>
      <c r="C292" s="1" t="n">
        <v>46035</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60059-2023</t>
        </is>
      </c>
      <c r="B293" s="1" t="n">
        <v>45258.38157407408</v>
      </c>
      <c r="C293" s="1" t="n">
        <v>46035</v>
      </c>
      <c r="D293" t="inlineStr">
        <is>
          <t>ÖREBRO LÄN</t>
        </is>
      </c>
      <c r="E293" t="inlineStr">
        <is>
          <t>ÖREBRO</t>
        </is>
      </c>
      <c r="G293" t="n">
        <v>4</v>
      </c>
      <c r="H293" t="n">
        <v>0</v>
      </c>
      <c r="I293" t="n">
        <v>0</v>
      </c>
      <c r="J293" t="n">
        <v>0</v>
      </c>
      <c r="K293" t="n">
        <v>0</v>
      </c>
      <c r="L293" t="n">
        <v>0</v>
      </c>
      <c r="M293" t="n">
        <v>0</v>
      </c>
      <c r="N293" t="n">
        <v>0</v>
      </c>
      <c r="O293" t="n">
        <v>0</v>
      </c>
      <c r="P293" t="n">
        <v>0</v>
      </c>
      <c r="Q293" t="n">
        <v>0</v>
      </c>
      <c r="R293" s="2" t="inlineStr"/>
    </row>
    <row r="294" ht="15" customHeight="1">
      <c r="A294" t="inlineStr">
        <is>
          <t>A 26858-2024</t>
        </is>
      </c>
      <c r="B294" s="1" t="n">
        <v>45470</v>
      </c>
      <c r="C294" s="1" t="n">
        <v>46035</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8571-2021</t>
        </is>
      </c>
      <c r="B295" s="1" t="n">
        <v>44245</v>
      </c>
      <c r="C295" s="1" t="n">
        <v>46035</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29701-2025</t>
        </is>
      </c>
      <c r="B296" s="1" t="n">
        <v>45825.55261574074</v>
      </c>
      <c r="C296" s="1" t="n">
        <v>46035</v>
      </c>
      <c r="D296" t="inlineStr">
        <is>
          <t>ÖREBRO LÄN</t>
        </is>
      </c>
      <c r="E296" t="inlineStr">
        <is>
          <t>ÖREBRO</t>
        </is>
      </c>
      <c r="G296" t="n">
        <v>5.8</v>
      </c>
      <c r="H296" t="n">
        <v>0</v>
      </c>
      <c r="I296" t="n">
        <v>0</v>
      </c>
      <c r="J296" t="n">
        <v>0</v>
      </c>
      <c r="K296" t="n">
        <v>0</v>
      </c>
      <c r="L296" t="n">
        <v>0</v>
      </c>
      <c r="M296" t="n">
        <v>0</v>
      </c>
      <c r="N296" t="n">
        <v>0</v>
      </c>
      <c r="O296" t="n">
        <v>0</v>
      </c>
      <c r="P296" t="n">
        <v>0</v>
      </c>
      <c r="Q296" t="n">
        <v>0</v>
      </c>
      <c r="R296" s="2" t="inlineStr"/>
    </row>
    <row r="297" ht="15" customHeight="1">
      <c r="A297" t="inlineStr">
        <is>
          <t>A 55692-2023</t>
        </is>
      </c>
      <c r="B297" s="1" t="n">
        <v>45239</v>
      </c>
      <c r="C297" s="1" t="n">
        <v>46035</v>
      </c>
      <c r="D297" t="inlineStr">
        <is>
          <t>ÖREBRO LÄN</t>
        </is>
      </c>
      <c r="E297" t="inlineStr">
        <is>
          <t>ÖREBRO</t>
        </is>
      </c>
      <c r="F297" t="inlineStr">
        <is>
          <t>Övriga Aktiebolag</t>
        </is>
      </c>
      <c r="G297" t="n">
        <v>0.4</v>
      </c>
      <c r="H297" t="n">
        <v>0</v>
      </c>
      <c r="I297" t="n">
        <v>0</v>
      </c>
      <c r="J297" t="n">
        <v>0</v>
      </c>
      <c r="K297" t="n">
        <v>0</v>
      </c>
      <c r="L297" t="n">
        <v>0</v>
      </c>
      <c r="M297" t="n">
        <v>0</v>
      </c>
      <c r="N297" t="n">
        <v>0</v>
      </c>
      <c r="O297" t="n">
        <v>0</v>
      </c>
      <c r="P297" t="n">
        <v>0</v>
      </c>
      <c r="Q297" t="n">
        <v>0</v>
      </c>
      <c r="R297" s="2" t="inlineStr"/>
    </row>
    <row r="298" ht="15" customHeight="1">
      <c r="A298" t="inlineStr">
        <is>
          <t>A 14715-2024</t>
        </is>
      </c>
      <c r="B298" s="1" t="n">
        <v>45397.5500462963</v>
      </c>
      <c r="C298" s="1" t="n">
        <v>46035</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30550-2025</t>
        </is>
      </c>
      <c r="B299" s="1" t="n">
        <v>45831.38224537037</v>
      </c>
      <c r="C299" s="1" t="n">
        <v>46035</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30731-2025</t>
        </is>
      </c>
      <c r="B300" s="1" t="n">
        <v>45831.57280092593</v>
      </c>
      <c r="C300" s="1" t="n">
        <v>46035</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12682-2023</t>
        </is>
      </c>
      <c r="B301" s="1" t="n">
        <v>45000.6115625</v>
      </c>
      <c r="C301" s="1" t="n">
        <v>46035</v>
      </c>
      <c r="D301" t="inlineStr">
        <is>
          <t>ÖREBRO LÄN</t>
        </is>
      </c>
      <c r="E301" t="inlineStr">
        <is>
          <t>ÖREBRO</t>
        </is>
      </c>
      <c r="F301" t="inlineStr">
        <is>
          <t>Övriga Aktiebolag</t>
        </is>
      </c>
      <c r="G301" t="n">
        <v>4.4</v>
      </c>
      <c r="H301" t="n">
        <v>0</v>
      </c>
      <c r="I301" t="n">
        <v>0</v>
      </c>
      <c r="J301" t="n">
        <v>0</v>
      </c>
      <c r="K301" t="n">
        <v>0</v>
      </c>
      <c r="L301" t="n">
        <v>0</v>
      </c>
      <c r="M301" t="n">
        <v>0</v>
      </c>
      <c r="N301" t="n">
        <v>0</v>
      </c>
      <c r="O301" t="n">
        <v>0</v>
      </c>
      <c r="P301" t="n">
        <v>0</v>
      </c>
      <c r="Q301" t="n">
        <v>0</v>
      </c>
      <c r="R301" s="2" t="inlineStr"/>
    </row>
    <row r="302" ht="15" customHeight="1">
      <c r="A302" t="inlineStr">
        <is>
          <t>A 13592-2023</t>
        </is>
      </c>
      <c r="B302" s="1" t="n">
        <v>45006.56870370371</v>
      </c>
      <c r="C302" s="1" t="n">
        <v>46035</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30951-2025</t>
        </is>
      </c>
      <c r="B303" s="1" t="n">
        <v>45832.43225694444</v>
      </c>
      <c r="C303" s="1" t="n">
        <v>46035</v>
      </c>
      <c r="D303" t="inlineStr">
        <is>
          <t>ÖREBRO LÄN</t>
        </is>
      </c>
      <c r="E303" t="inlineStr">
        <is>
          <t>ÖREBRO</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10368-2021</t>
        </is>
      </c>
      <c r="B304" s="1" t="n">
        <v>44257</v>
      </c>
      <c r="C304" s="1" t="n">
        <v>46035</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31066-2025</t>
        </is>
      </c>
      <c r="B305" s="1" t="n">
        <v>45832</v>
      </c>
      <c r="C305" s="1" t="n">
        <v>46035</v>
      </c>
      <c r="D305" t="inlineStr">
        <is>
          <t>ÖREBRO LÄN</t>
        </is>
      </c>
      <c r="E305" t="inlineStr">
        <is>
          <t>ÖREBRO</t>
        </is>
      </c>
      <c r="G305" t="n">
        <v>11.1</v>
      </c>
      <c r="H305" t="n">
        <v>0</v>
      </c>
      <c r="I305" t="n">
        <v>0</v>
      </c>
      <c r="J305" t="n">
        <v>0</v>
      </c>
      <c r="K305" t="n">
        <v>0</v>
      </c>
      <c r="L305" t="n">
        <v>0</v>
      </c>
      <c r="M305" t="n">
        <v>0</v>
      </c>
      <c r="N305" t="n">
        <v>0</v>
      </c>
      <c r="O305" t="n">
        <v>0</v>
      </c>
      <c r="P305" t="n">
        <v>0</v>
      </c>
      <c r="Q305" t="n">
        <v>0</v>
      </c>
      <c r="R305" s="2" t="inlineStr"/>
    </row>
    <row r="306" ht="15" customHeight="1">
      <c r="A306" t="inlineStr">
        <is>
          <t>A 59736-2023</t>
        </is>
      </c>
      <c r="B306" s="1" t="n">
        <v>45257.374375</v>
      </c>
      <c r="C306" s="1" t="n">
        <v>46035</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51249-2025</t>
        </is>
      </c>
      <c r="B307" s="1" t="n">
        <v>45948.45704861111</v>
      </c>
      <c r="C307" s="1" t="n">
        <v>46035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59858-2025</t>
        </is>
      </c>
      <c r="B308" s="1" t="n">
        <v>45992.76758101852</v>
      </c>
      <c r="C308" s="1" t="n">
        <v>46035</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59859-2025</t>
        </is>
      </c>
      <c r="B309" s="1" t="n">
        <v>45992.7803125</v>
      </c>
      <c r="C309" s="1" t="n">
        <v>46035</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59860-2025</t>
        </is>
      </c>
      <c r="B310" s="1" t="n">
        <v>45992.78351851852</v>
      </c>
      <c r="C310" s="1" t="n">
        <v>46035</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55355-2024</t>
        </is>
      </c>
      <c r="B311" s="1" t="n">
        <v>45621.80475694445</v>
      </c>
      <c r="C311" s="1" t="n">
        <v>46035</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31233-2025</t>
        </is>
      </c>
      <c r="B312" s="1" t="n">
        <v>45832.83341435185</v>
      </c>
      <c r="C312" s="1" t="n">
        <v>46035</v>
      </c>
      <c r="D312" t="inlineStr">
        <is>
          <t>ÖREBRO LÄN</t>
        </is>
      </c>
      <c r="E312" t="inlineStr">
        <is>
          <t>ÖREBRO</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31232-2025</t>
        </is>
      </c>
      <c r="B313" s="1" t="n">
        <v>45832.8252199074</v>
      </c>
      <c r="C313" s="1" t="n">
        <v>46035</v>
      </c>
      <c r="D313" t="inlineStr">
        <is>
          <t>ÖREBRO LÄN</t>
        </is>
      </c>
      <c r="E313" t="inlineStr">
        <is>
          <t>ÖREBRO</t>
        </is>
      </c>
      <c r="F313" t="inlineStr">
        <is>
          <t>Övriga Aktiebolag</t>
        </is>
      </c>
      <c r="G313" t="n">
        <v>2.1</v>
      </c>
      <c r="H313" t="n">
        <v>0</v>
      </c>
      <c r="I313" t="n">
        <v>0</v>
      </c>
      <c r="J313" t="n">
        <v>0</v>
      </c>
      <c r="K313" t="n">
        <v>0</v>
      </c>
      <c r="L313" t="n">
        <v>0</v>
      </c>
      <c r="M313" t="n">
        <v>0</v>
      </c>
      <c r="N313" t="n">
        <v>0</v>
      </c>
      <c r="O313" t="n">
        <v>0</v>
      </c>
      <c r="P313" t="n">
        <v>0</v>
      </c>
      <c r="Q313" t="n">
        <v>0</v>
      </c>
      <c r="R313" s="2" t="inlineStr"/>
    </row>
    <row r="314" ht="15" customHeight="1">
      <c r="A314" t="inlineStr">
        <is>
          <t>A 49029-2024</t>
        </is>
      </c>
      <c r="B314" s="1" t="n">
        <v>45594</v>
      </c>
      <c r="C314" s="1" t="n">
        <v>46035</v>
      </c>
      <c r="D314" t="inlineStr">
        <is>
          <t>ÖREBRO LÄN</t>
        </is>
      </c>
      <c r="E314" t="inlineStr">
        <is>
          <t>ÖREBRO</t>
        </is>
      </c>
      <c r="G314" t="n">
        <v>3.7</v>
      </c>
      <c r="H314" t="n">
        <v>0</v>
      </c>
      <c r="I314" t="n">
        <v>0</v>
      </c>
      <c r="J314" t="n">
        <v>0</v>
      </c>
      <c r="K314" t="n">
        <v>0</v>
      </c>
      <c r="L314" t="n">
        <v>0</v>
      </c>
      <c r="M314" t="n">
        <v>0</v>
      </c>
      <c r="N314" t="n">
        <v>0</v>
      </c>
      <c r="O314" t="n">
        <v>0</v>
      </c>
      <c r="P314" t="n">
        <v>0</v>
      </c>
      <c r="Q314" t="n">
        <v>0</v>
      </c>
      <c r="R314" s="2" t="inlineStr"/>
    </row>
    <row r="315" ht="15" customHeight="1">
      <c r="A315" t="inlineStr">
        <is>
          <t>A 31237-2025</t>
        </is>
      </c>
      <c r="B315" s="1" t="n">
        <v>45832.84313657408</v>
      </c>
      <c r="C315" s="1" t="n">
        <v>46035</v>
      </c>
      <c r="D315" t="inlineStr">
        <is>
          <t>ÖREBRO LÄN</t>
        </is>
      </c>
      <c r="E315" t="inlineStr">
        <is>
          <t>ÖREBRO</t>
        </is>
      </c>
      <c r="F315" t="inlineStr">
        <is>
          <t>Övriga Aktiebolag</t>
        </is>
      </c>
      <c r="G315" t="n">
        <v>1.7</v>
      </c>
      <c r="H315" t="n">
        <v>0</v>
      </c>
      <c r="I315" t="n">
        <v>0</v>
      </c>
      <c r="J315" t="n">
        <v>0</v>
      </c>
      <c r="K315" t="n">
        <v>0</v>
      </c>
      <c r="L315" t="n">
        <v>0</v>
      </c>
      <c r="M315" t="n">
        <v>0</v>
      </c>
      <c r="N315" t="n">
        <v>0</v>
      </c>
      <c r="O315" t="n">
        <v>0</v>
      </c>
      <c r="P315" t="n">
        <v>0</v>
      </c>
      <c r="Q315" t="n">
        <v>0</v>
      </c>
      <c r="R315" s="2" t="inlineStr"/>
    </row>
    <row r="316" ht="15" customHeight="1">
      <c r="A316" t="inlineStr">
        <is>
          <t>A 20115-2024</t>
        </is>
      </c>
      <c r="B316" s="1" t="n">
        <v>45434</v>
      </c>
      <c r="C316" s="1" t="n">
        <v>46035</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51248-2025</t>
        </is>
      </c>
      <c r="B317" s="1" t="n">
        <v>45948.450625</v>
      </c>
      <c r="C317" s="1" t="n">
        <v>46035</v>
      </c>
      <c r="D317" t="inlineStr">
        <is>
          <t>ÖREBRO LÄN</t>
        </is>
      </c>
      <c r="E317" t="inlineStr">
        <is>
          <t>ÖREBRO</t>
        </is>
      </c>
      <c r="G317" t="n">
        <v>4.4</v>
      </c>
      <c r="H317" t="n">
        <v>0</v>
      </c>
      <c r="I317" t="n">
        <v>0</v>
      </c>
      <c r="J317" t="n">
        <v>0</v>
      </c>
      <c r="K317" t="n">
        <v>0</v>
      </c>
      <c r="L317" t="n">
        <v>0</v>
      </c>
      <c r="M317" t="n">
        <v>0</v>
      </c>
      <c r="N317" t="n">
        <v>0</v>
      </c>
      <c r="O317" t="n">
        <v>0</v>
      </c>
      <c r="P317" t="n">
        <v>0</v>
      </c>
      <c r="Q317" t="n">
        <v>0</v>
      </c>
      <c r="R317" s="2" t="inlineStr"/>
    </row>
    <row r="318" ht="15" customHeight="1">
      <c r="A318" t="inlineStr">
        <is>
          <t>A 55875-2024</t>
        </is>
      </c>
      <c r="B318" s="1" t="n">
        <v>45623.55375</v>
      </c>
      <c r="C318" s="1" t="n">
        <v>46035</v>
      </c>
      <c r="D318" t="inlineStr">
        <is>
          <t>ÖREBRO LÄN</t>
        </is>
      </c>
      <c r="E318" t="inlineStr">
        <is>
          <t>ÖREBRO</t>
        </is>
      </c>
      <c r="G318" t="n">
        <v>3.5</v>
      </c>
      <c r="H318" t="n">
        <v>0</v>
      </c>
      <c r="I318" t="n">
        <v>0</v>
      </c>
      <c r="J318" t="n">
        <v>0</v>
      </c>
      <c r="K318" t="n">
        <v>0</v>
      </c>
      <c r="L318" t="n">
        <v>0</v>
      </c>
      <c r="M318" t="n">
        <v>0</v>
      </c>
      <c r="N318" t="n">
        <v>0</v>
      </c>
      <c r="O318" t="n">
        <v>0</v>
      </c>
      <c r="P318" t="n">
        <v>0</v>
      </c>
      <c r="Q318" t="n">
        <v>0</v>
      </c>
      <c r="R318" s="2" t="inlineStr"/>
    </row>
    <row r="319" ht="15" customHeight="1">
      <c r="A319" t="inlineStr">
        <is>
          <t>A 23710-2022</t>
        </is>
      </c>
      <c r="B319" s="1" t="n">
        <v>44722</v>
      </c>
      <c r="C319" s="1" t="n">
        <v>46035</v>
      </c>
      <c r="D319" t="inlineStr">
        <is>
          <t>ÖREBRO LÄN</t>
        </is>
      </c>
      <c r="E319" t="inlineStr">
        <is>
          <t>ÖREBRO</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10470-2025</t>
        </is>
      </c>
      <c r="B320" s="1" t="n">
        <v>45720</v>
      </c>
      <c r="C320" s="1" t="n">
        <v>46035</v>
      </c>
      <c r="D320" t="inlineStr">
        <is>
          <t>ÖREBRO LÄN</t>
        </is>
      </c>
      <c r="E320" t="inlineStr">
        <is>
          <t>ÖREBRO</t>
        </is>
      </c>
      <c r="G320" t="n">
        <v>11.5</v>
      </c>
      <c r="H320" t="n">
        <v>0</v>
      </c>
      <c r="I320" t="n">
        <v>0</v>
      </c>
      <c r="J320" t="n">
        <v>0</v>
      </c>
      <c r="K320" t="n">
        <v>0</v>
      </c>
      <c r="L320" t="n">
        <v>0</v>
      </c>
      <c r="M320" t="n">
        <v>0</v>
      </c>
      <c r="N320" t="n">
        <v>0</v>
      </c>
      <c r="O320" t="n">
        <v>0</v>
      </c>
      <c r="P320" t="n">
        <v>0</v>
      </c>
      <c r="Q320" t="n">
        <v>0</v>
      </c>
      <c r="R320" s="2" t="inlineStr"/>
    </row>
    <row r="321" ht="15" customHeight="1">
      <c r="A321" t="inlineStr">
        <is>
          <t>A 32218-2025</t>
        </is>
      </c>
      <c r="B321" s="1" t="n">
        <v>45835.58880787037</v>
      </c>
      <c r="C321" s="1" t="n">
        <v>46035</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46056-2024</t>
        </is>
      </c>
      <c r="B322" s="1" t="n">
        <v>45580.91502314815</v>
      </c>
      <c r="C322" s="1" t="n">
        <v>46035</v>
      </c>
      <c r="D322" t="inlineStr">
        <is>
          <t>ÖREBRO LÄN</t>
        </is>
      </c>
      <c r="E322" t="inlineStr">
        <is>
          <t>ÖREBRO</t>
        </is>
      </c>
      <c r="F322" t="inlineStr">
        <is>
          <t>Övriga Aktiebolag</t>
        </is>
      </c>
      <c r="G322" t="n">
        <v>4.5</v>
      </c>
      <c r="H322" t="n">
        <v>0</v>
      </c>
      <c r="I322" t="n">
        <v>0</v>
      </c>
      <c r="J322" t="n">
        <v>0</v>
      </c>
      <c r="K322" t="n">
        <v>0</v>
      </c>
      <c r="L322" t="n">
        <v>0</v>
      </c>
      <c r="M322" t="n">
        <v>0</v>
      </c>
      <c r="N322" t="n">
        <v>0</v>
      </c>
      <c r="O322" t="n">
        <v>0</v>
      </c>
      <c r="P322" t="n">
        <v>0</v>
      </c>
      <c r="Q322" t="n">
        <v>0</v>
      </c>
      <c r="R322" s="2" t="inlineStr"/>
    </row>
    <row r="323" ht="15" customHeight="1">
      <c r="A323" t="inlineStr">
        <is>
          <t>A 13355-2023</t>
        </is>
      </c>
      <c r="B323" s="1" t="n">
        <v>45004</v>
      </c>
      <c r="C323" s="1" t="n">
        <v>46035</v>
      </c>
      <c r="D323" t="inlineStr">
        <is>
          <t>ÖREBRO LÄN</t>
        </is>
      </c>
      <c r="E323" t="inlineStr">
        <is>
          <t>ÖREBRO</t>
        </is>
      </c>
      <c r="G323" t="n">
        <v>2.3</v>
      </c>
      <c r="H323" t="n">
        <v>0</v>
      </c>
      <c r="I323" t="n">
        <v>0</v>
      </c>
      <c r="J323" t="n">
        <v>0</v>
      </c>
      <c r="K323" t="n">
        <v>0</v>
      </c>
      <c r="L323" t="n">
        <v>0</v>
      </c>
      <c r="M323" t="n">
        <v>0</v>
      </c>
      <c r="N323" t="n">
        <v>0</v>
      </c>
      <c r="O323" t="n">
        <v>0</v>
      </c>
      <c r="P323" t="n">
        <v>0</v>
      </c>
      <c r="Q323" t="n">
        <v>0</v>
      </c>
      <c r="R323" s="2" t="inlineStr"/>
    </row>
    <row r="324" ht="15" customHeight="1">
      <c r="A324" t="inlineStr">
        <is>
          <t>A 32188-2025</t>
        </is>
      </c>
      <c r="B324" s="1" t="n">
        <v>45835.56965277778</v>
      </c>
      <c r="C324" s="1" t="n">
        <v>46035</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32195-2025</t>
        </is>
      </c>
      <c r="B325" s="1" t="n">
        <v>45835.57407407407</v>
      </c>
      <c r="C325" s="1" t="n">
        <v>46035</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6522-2023</t>
        </is>
      </c>
      <c r="B326" s="1" t="n">
        <v>44966</v>
      </c>
      <c r="C326" s="1" t="n">
        <v>46035</v>
      </c>
      <c r="D326" t="inlineStr">
        <is>
          <t>ÖREBRO LÄN</t>
        </is>
      </c>
      <c r="E326" t="inlineStr">
        <is>
          <t>ÖREBRO</t>
        </is>
      </c>
      <c r="G326" t="n">
        <v>4.4</v>
      </c>
      <c r="H326" t="n">
        <v>0</v>
      </c>
      <c r="I326" t="n">
        <v>0</v>
      </c>
      <c r="J326" t="n">
        <v>0</v>
      </c>
      <c r="K326" t="n">
        <v>0</v>
      </c>
      <c r="L326" t="n">
        <v>0</v>
      </c>
      <c r="M326" t="n">
        <v>0</v>
      </c>
      <c r="N326" t="n">
        <v>0</v>
      </c>
      <c r="O326" t="n">
        <v>0</v>
      </c>
      <c r="P326" t="n">
        <v>0</v>
      </c>
      <c r="Q326" t="n">
        <v>0</v>
      </c>
      <c r="R326" s="2" t="inlineStr"/>
    </row>
    <row r="327" ht="15" customHeight="1">
      <c r="A327" t="inlineStr">
        <is>
          <t>A 56040-2024</t>
        </is>
      </c>
      <c r="B327" s="1" t="n">
        <v>45624.3344212963</v>
      </c>
      <c r="C327" s="1" t="n">
        <v>46035</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52444-2024</t>
        </is>
      </c>
      <c r="B328" s="1" t="n">
        <v>45609.48894675926</v>
      </c>
      <c r="C328" s="1" t="n">
        <v>46035</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59857-2025</t>
        </is>
      </c>
      <c r="B329" s="1" t="n">
        <v>45992.75820601852</v>
      </c>
      <c r="C329" s="1" t="n">
        <v>46035</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33191-2025</t>
        </is>
      </c>
      <c r="B330" s="1" t="n">
        <v>45840.6003587963</v>
      </c>
      <c r="C330" s="1" t="n">
        <v>46035</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32426-2025</t>
        </is>
      </c>
      <c r="B331" s="1" t="n">
        <v>45838.36179398148</v>
      </c>
      <c r="C331" s="1" t="n">
        <v>46035</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60128-2023</t>
        </is>
      </c>
      <c r="B332" s="1" t="n">
        <v>45258</v>
      </c>
      <c r="C332" s="1" t="n">
        <v>46035</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16140-2023</t>
        </is>
      </c>
      <c r="B333" s="1" t="n">
        <v>45027.6433912037</v>
      </c>
      <c r="C333" s="1" t="n">
        <v>46035</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32904-2025</t>
        </is>
      </c>
      <c r="B334" s="1" t="n">
        <v>45839</v>
      </c>
      <c r="C334" s="1" t="n">
        <v>46035</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6752-2022</t>
        </is>
      </c>
      <c r="B335" s="1" t="n">
        <v>44602.48082175926</v>
      </c>
      <c r="C335" s="1" t="n">
        <v>46035</v>
      </c>
      <c r="D335" t="inlineStr">
        <is>
          <t>ÖREBRO LÄN</t>
        </is>
      </c>
      <c r="E335" t="inlineStr">
        <is>
          <t>ÖREBRO</t>
        </is>
      </c>
      <c r="G335" t="n">
        <v>3.1</v>
      </c>
      <c r="H335" t="n">
        <v>0</v>
      </c>
      <c r="I335" t="n">
        <v>0</v>
      </c>
      <c r="J335" t="n">
        <v>0</v>
      </c>
      <c r="K335" t="n">
        <v>0</v>
      </c>
      <c r="L335" t="n">
        <v>0</v>
      </c>
      <c r="M335" t="n">
        <v>0</v>
      </c>
      <c r="N335" t="n">
        <v>0</v>
      </c>
      <c r="O335" t="n">
        <v>0</v>
      </c>
      <c r="P335" t="n">
        <v>0</v>
      </c>
      <c r="Q335" t="n">
        <v>0</v>
      </c>
      <c r="R335" s="2" t="inlineStr"/>
    </row>
    <row r="336" ht="15" customHeight="1">
      <c r="A336" t="inlineStr">
        <is>
          <t>A 34056-2023</t>
        </is>
      </c>
      <c r="B336" s="1" t="n">
        <v>45135</v>
      </c>
      <c r="C336" s="1" t="n">
        <v>46035</v>
      </c>
      <c r="D336" t="inlineStr">
        <is>
          <t>ÖREBRO LÄN</t>
        </is>
      </c>
      <c r="E336" t="inlineStr">
        <is>
          <t>ÖREBRO</t>
        </is>
      </c>
      <c r="F336" t="inlineStr">
        <is>
          <t>Övriga Aktiebolag</t>
        </is>
      </c>
      <c r="G336" t="n">
        <v>4.1</v>
      </c>
      <c r="H336" t="n">
        <v>0</v>
      </c>
      <c r="I336" t="n">
        <v>0</v>
      </c>
      <c r="J336" t="n">
        <v>0</v>
      </c>
      <c r="K336" t="n">
        <v>0</v>
      </c>
      <c r="L336" t="n">
        <v>0</v>
      </c>
      <c r="M336" t="n">
        <v>0</v>
      </c>
      <c r="N336" t="n">
        <v>0</v>
      </c>
      <c r="O336" t="n">
        <v>0</v>
      </c>
      <c r="P336" t="n">
        <v>0</v>
      </c>
      <c r="Q336" t="n">
        <v>0</v>
      </c>
      <c r="R336" s="2" t="inlineStr"/>
    </row>
    <row r="337" ht="15" customHeight="1">
      <c r="A337" t="inlineStr">
        <is>
          <t>A 33457-2023</t>
        </is>
      </c>
      <c r="B337" s="1" t="n">
        <v>45131</v>
      </c>
      <c r="C337" s="1" t="n">
        <v>46035</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45237-2023</t>
        </is>
      </c>
      <c r="B338" s="1" t="n">
        <v>45191</v>
      </c>
      <c r="C338" s="1" t="n">
        <v>46035</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5946-2021</t>
        </is>
      </c>
      <c r="B339" s="1" t="n">
        <v>44230</v>
      </c>
      <c r="C339" s="1" t="n">
        <v>46035</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51180-2023</t>
        </is>
      </c>
      <c r="B340" s="1" t="n">
        <v>45219</v>
      </c>
      <c r="C340" s="1" t="n">
        <v>46035</v>
      </c>
      <c r="D340" t="inlineStr">
        <is>
          <t>ÖREBRO LÄN</t>
        </is>
      </c>
      <c r="E340" t="inlineStr">
        <is>
          <t>ÖREBRO</t>
        </is>
      </c>
      <c r="G340" t="n">
        <v>6.5</v>
      </c>
      <c r="H340" t="n">
        <v>0</v>
      </c>
      <c r="I340" t="n">
        <v>0</v>
      </c>
      <c r="J340" t="n">
        <v>0</v>
      </c>
      <c r="K340" t="n">
        <v>0</v>
      </c>
      <c r="L340" t="n">
        <v>0</v>
      </c>
      <c r="M340" t="n">
        <v>0</v>
      </c>
      <c r="N340" t="n">
        <v>0</v>
      </c>
      <c r="O340" t="n">
        <v>0</v>
      </c>
      <c r="P340" t="n">
        <v>0</v>
      </c>
      <c r="Q340" t="n">
        <v>0</v>
      </c>
      <c r="R340" s="2" t="inlineStr"/>
    </row>
    <row r="341" ht="15" customHeight="1">
      <c r="A341" t="inlineStr">
        <is>
          <t>A 60028-2024</t>
        </is>
      </c>
      <c r="B341" s="1" t="n">
        <v>45642</v>
      </c>
      <c r="C341" s="1" t="n">
        <v>46035</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33294-2023</t>
        </is>
      </c>
      <c r="B342" s="1" t="n">
        <v>45127</v>
      </c>
      <c r="C342" s="1" t="n">
        <v>46035</v>
      </c>
      <c r="D342" t="inlineStr">
        <is>
          <t>ÖREBRO LÄN</t>
        </is>
      </c>
      <c r="E342" t="inlineStr">
        <is>
          <t>ÖREBRO</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51925-2025</t>
        </is>
      </c>
      <c r="B343" s="1" t="n">
        <v>45952.49476851852</v>
      </c>
      <c r="C343" s="1" t="n">
        <v>46035</v>
      </c>
      <c r="D343" t="inlineStr">
        <is>
          <t>ÖREBRO LÄN</t>
        </is>
      </c>
      <c r="E343" t="inlineStr">
        <is>
          <t>ÖREBRO</t>
        </is>
      </c>
      <c r="G343" t="n">
        <v>0.9</v>
      </c>
      <c r="H343" t="n">
        <v>0</v>
      </c>
      <c r="I343" t="n">
        <v>0</v>
      </c>
      <c r="J343" t="n">
        <v>0</v>
      </c>
      <c r="K343" t="n">
        <v>0</v>
      </c>
      <c r="L343" t="n">
        <v>0</v>
      </c>
      <c r="M343" t="n">
        <v>0</v>
      </c>
      <c r="N343" t="n">
        <v>0</v>
      </c>
      <c r="O343" t="n">
        <v>0</v>
      </c>
      <c r="P343" t="n">
        <v>0</v>
      </c>
      <c r="Q343" t="n">
        <v>0</v>
      </c>
      <c r="R343" s="2" t="inlineStr"/>
    </row>
    <row r="344" ht="15" customHeight="1">
      <c r="A344" t="inlineStr">
        <is>
          <t>A 13857-2022</t>
        </is>
      </c>
      <c r="B344" s="1" t="n">
        <v>44649</v>
      </c>
      <c r="C344" s="1" t="n">
        <v>46035</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61078-2024</t>
        </is>
      </c>
      <c r="B345" s="1" t="n">
        <v>45645.51034722223</v>
      </c>
      <c r="C345" s="1" t="n">
        <v>46035</v>
      </c>
      <c r="D345" t="inlineStr">
        <is>
          <t>ÖREBRO LÄN</t>
        </is>
      </c>
      <c r="E345" t="inlineStr">
        <is>
          <t>ÖREBRO</t>
        </is>
      </c>
      <c r="G345" t="n">
        <v>4.1</v>
      </c>
      <c r="H345" t="n">
        <v>0</v>
      </c>
      <c r="I345" t="n">
        <v>0</v>
      </c>
      <c r="J345" t="n">
        <v>0</v>
      </c>
      <c r="K345" t="n">
        <v>0</v>
      </c>
      <c r="L345" t="n">
        <v>0</v>
      </c>
      <c r="M345" t="n">
        <v>0</v>
      </c>
      <c r="N345" t="n">
        <v>0</v>
      </c>
      <c r="O345" t="n">
        <v>0</v>
      </c>
      <c r="P345" t="n">
        <v>0</v>
      </c>
      <c r="Q345" t="n">
        <v>0</v>
      </c>
      <c r="R345" s="2" t="inlineStr"/>
    </row>
    <row r="346" ht="15" customHeight="1">
      <c r="A346" t="inlineStr">
        <is>
          <t>A 48687-2024</t>
        </is>
      </c>
      <c r="B346" s="1" t="n">
        <v>45593.49899305555</v>
      </c>
      <c r="C346" s="1" t="n">
        <v>46035</v>
      </c>
      <c r="D346" t="inlineStr">
        <is>
          <t>ÖREBRO LÄN</t>
        </is>
      </c>
      <c r="E346" t="inlineStr">
        <is>
          <t>ÖREBRO</t>
        </is>
      </c>
      <c r="F346" t="inlineStr">
        <is>
          <t>Övriga Aktiebolag</t>
        </is>
      </c>
      <c r="G346" t="n">
        <v>3.8</v>
      </c>
      <c r="H346" t="n">
        <v>0</v>
      </c>
      <c r="I346" t="n">
        <v>0</v>
      </c>
      <c r="J346" t="n">
        <v>0</v>
      </c>
      <c r="K346" t="n">
        <v>0</v>
      </c>
      <c r="L346" t="n">
        <v>0</v>
      </c>
      <c r="M346" t="n">
        <v>0</v>
      </c>
      <c r="N346" t="n">
        <v>0</v>
      </c>
      <c r="O346" t="n">
        <v>0</v>
      </c>
      <c r="P346" t="n">
        <v>0</v>
      </c>
      <c r="Q346" t="n">
        <v>0</v>
      </c>
      <c r="R346" s="2" t="inlineStr"/>
    </row>
    <row r="347" ht="15" customHeight="1">
      <c r="A347" t="inlineStr">
        <is>
          <t>A 12871-2021</t>
        </is>
      </c>
      <c r="B347" s="1" t="n">
        <v>44271.42121527778</v>
      </c>
      <c r="C347" s="1" t="n">
        <v>46035</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13158-2024</t>
        </is>
      </c>
      <c r="B348" s="1" t="n">
        <v>45386.38728009259</v>
      </c>
      <c r="C348" s="1" t="n">
        <v>46035</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59938-2025</t>
        </is>
      </c>
      <c r="B349" s="1" t="n">
        <v>45993.42108796296</v>
      </c>
      <c r="C349" s="1" t="n">
        <v>46035</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51923-2025</t>
        </is>
      </c>
      <c r="B350" s="1" t="n">
        <v>45952.49300925926</v>
      </c>
      <c r="C350" s="1" t="n">
        <v>46035</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51937-2025</t>
        </is>
      </c>
      <c r="B351" s="1" t="n">
        <v>45952.51270833334</v>
      </c>
      <c r="C351" s="1" t="n">
        <v>46035</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13181-2023</t>
        </is>
      </c>
      <c r="B352" s="1" t="n">
        <v>45002.60659722222</v>
      </c>
      <c r="C352" s="1" t="n">
        <v>46035</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25996-2024</t>
        </is>
      </c>
      <c r="B353" s="1" t="n">
        <v>45467.89081018518</v>
      </c>
      <c r="C353" s="1" t="n">
        <v>46035</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16676-2025</t>
        </is>
      </c>
      <c r="B354" s="1" t="n">
        <v>45754.44658564815</v>
      </c>
      <c r="C354" s="1" t="n">
        <v>46035</v>
      </c>
      <c r="D354" t="inlineStr">
        <is>
          <t>ÖREBRO LÄN</t>
        </is>
      </c>
      <c r="E354" t="inlineStr">
        <is>
          <t>ÖREBRO</t>
        </is>
      </c>
      <c r="G354" t="n">
        <v>5.8</v>
      </c>
      <c r="H354" t="n">
        <v>0</v>
      </c>
      <c r="I354" t="n">
        <v>0</v>
      </c>
      <c r="J354" t="n">
        <v>0</v>
      </c>
      <c r="K354" t="n">
        <v>0</v>
      </c>
      <c r="L354" t="n">
        <v>0</v>
      </c>
      <c r="M354" t="n">
        <v>0</v>
      </c>
      <c r="N354" t="n">
        <v>0</v>
      </c>
      <c r="O354" t="n">
        <v>0</v>
      </c>
      <c r="P354" t="n">
        <v>0</v>
      </c>
      <c r="Q354" t="n">
        <v>0</v>
      </c>
      <c r="R354" s="2" t="inlineStr"/>
    </row>
    <row r="355" ht="15" customHeight="1">
      <c r="A355" t="inlineStr">
        <is>
          <t>A 35062-2025</t>
        </is>
      </c>
      <c r="B355" s="1" t="n">
        <v>45852</v>
      </c>
      <c r="C355" s="1" t="n">
        <v>46035</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23741-2022</t>
        </is>
      </c>
      <c r="B356" s="1" t="n">
        <v>44722</v>
      </c>
      <c r="C356" s="1" t="n">
        <v>46035</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8274-2025</t>
        </is>
      </c>
      <c r="B357" s="1" t="n">
        <v>45708</v>
      </c>
      <c r="C357" s="1" t="n">
        <v>46035</v>
      </c>
      <c r="D357" t="inlineStr">
        <is>
          <t>ÖREBRO LÄN</t>
        </is>
      </c>
      <c r="E357" t="inlineStr">
        <is>
          <t>ÖREBRO</t>
        </is>
      </c>
      <c r="G357" t="n">
        <v>5.8</v>
      </c>
      <c r="H357" t="n">
        <v>0</v>
      </c>
      <c r="I357" t="n">
        <v>0</v>
      </c>
      <c r="J357" t="n">
        <v>0</v>
      </c>
      <c r="K357" t="n">
        <v>0</v>
      </c>
      <c r="L357" t="n">
        <v>0</v>
      </c>
      <c r="M357" t="n">
        <v>0</v>
      </c>
      <c r="N357" t="n">
        <v>0</v>
      </c>
      <c r="O357" t="n">
        <v>0</v>
      </c>
      <c r="P357" t="n">
        <v>0</v>
      </c>
      <c r="Q357" t="n">
        <v>0</v>
      </c>
      <c r="R357" s="2" t="inlineStr"/>
    </row>
    <row r="358" ht="15" customHeight="1">
      <c r="A358" t="inlineStr">
        <is>
          <t>A 58620-2024</t>
        </is>
      </c>
      <c r="B358" s="1" t="n">
        <v>45635.56246527778</v>
      </c>
      <c r="C358" s="1" t="n">
        <v>46035</v>
      </c>
      <c r="D358" t="inlineStr">
        <is>
          <t>ÖREBRO LÄN</t>
        </is>
      </c>
      <c r="E358" t="inlineStr">
        <is>
          <t>ÖREBRO</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59937-2025</t>
        </is>
      </c>
      <c r="B359" s="1" t="n">
        <v>45993.41934027777</v>
      </c>
      <c r="C359" s="1" t="n">
        <v>46035</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60717-2025</t>
        </is>
      </c>
      <c r="B360" s="1" t="n">
        <v>45996.63673611111</v>
      </c>
      <c r="C360" s="1" t="n">
        <v>46035</v>
      </c>
      <c r="D360" t="inlineStr">
        <is>
          <t>ÖREBRO LÄN</t>
        </is>
      </c>
      <c r="E360" t="inlineStr">
        <is>
          <t>ÖREBRO</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60553-2025</t>
        </is>
      </c>
      <c r="B361" s="1" t="n">
        <v>45995.72620370371</v>
      </c>
      <c r="C361" s="1" t="n">
        <v>46035</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60466-2025</t>
        </is>
      </c>
      <c r="B362" s="1" t="n">
        <v>45995.55927083334</v>
      </c>
      <c r="C362" s="1" t="n">
        <v>46035</v>
      </c>
      <c r="D362" t="inlineStr">
        <is>
          <t>ÖREBRO LÄN</t>
        </is>
      </c>
      <c r="E362" t="inlineStr">
        <is>
          <t>ÖREBRO</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7141-2025</t>
        </is>
      </c>
      <c r="B363" s="1" t="n">
        <v>45702</v>
      </c>
      <c r="C363" s="1" t="n">
        <v>46035</v>
      </c>
      <c r="D363" t="inlineStr">
        <is>
          <t>ÖREBRO LÄN</t>
        </is>
      </c>
      <c r="E363" t="inlineStr">
        <is>
          <t>ÖREBRO</t>
        </is>
      </c>
      <c r="G363" t="n">
        <v>2.9</v>
      </c>
      <c r="H363" t="n">
        <v>0</v>
      </c>
      <c r="I363" t="n">
        <v>0</v>
      </c>
      <c r="J363" t="n">
        <v>0</v>
      </c>
      <c r="K363" t="n">
        <v>0</v>
      </c>
      <c r="L363" t="n">
        <v>0</v>
      </c>
      <c r="M363" t="n">
        <v>0</v>
      </c>
      <c r="N363" t="n">
        <v>0</v>
      </c>
      <c r="O363" t="n">
        <v>0</v>
      </c>
      <c r="P363" t="n">
        <v>0</v>
      </c>
      <c r="Q363" t="n">
        <v>0</v>
      </c>
      <c r="R363" s="2" t="inlineStr"/>
    </row>
    <row r="364" ht="15" customHeight="1">
      <c r="A364" t="inlineStr">
        <is>
          <t>A 59024-2024</t>
        </is>
      </c>
      <c r="B364" s="1" t="n">
        <v>45636.68505787037</v>
      </c>
      <c r="C364" s="1" t="n">
        <v>46035</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28821-2025</t>
        </is>
      </c>
      <c r="B365" s="1" t="n">
        <v>45820</v>
      </c>
      <c r="C365" s="1" t="n">
        <v>46035</v>
      </c>
      <c r="D365" t="inlineStr">
        <is>
          <t>ÖREBRO LÄN</t>
        </is>
      </c>
      <c r="E365" t="inlineStr">
        <is>
          <t>ÖREBRO</t>
        </is>
      </c>
      <c r="G365" t="n">
        <v>12.6</v>
      </c>
      <c r="H365" t="n">
        <v>0</v>
      </c>
      <c r="I365" t="n">
        <v>0</v>
      </c>
      <c r="J365" t="n">
        <v>0</v>
      </c>
      <c r="K365" t="n">
        <v>0</v>
      </c>
      <c r="L365" t="n">
        <v>0</v>
      </c>
      <c r="M365" t="n">
        <v>0</v>
      </c>
      <c r="N365" t="n">
        <v>0</v>
      </c>
      <c r="O365" t="n">
        <v>0</v>
      </c>
      <c r="P365" t="n">
        <v>0</v>
      </c>
      <c r="Q365" t="n">
        <v>0</v>
      </c>
      <c r="R365" s="2" t="inlineStr"/>
    </row>
    <row r="366" ht="15" customHeight="1">
      <c r="A366" t="inlineStr">
        <is>
          <t>A 52135-2025</t>
        </is>
      </c>
      <c r="B366" s="1" t="n">
        <v>45952.84231481481</v>
      </c>
      <c r="C366" s="1" t="n">
        <v>46035</v>
      </c>
      <c r="D366" t="inlineStr">
        <is>
          <t>ÖREBRO LÄN</t>
        </is>
      </c>
      <c r="E366" t="inlineStr">
        <is>
          <t>ÖREBRO</t>
        </is>
      </c>
      <c r="G366" t="n">
        <v>4</v>
      </c>
      <c r="H366" t="n">
        <v>0</v>
      </c>
      <c r="I366" t="n">
        <v>0</v>
      </c>
      <c r="J366" t="n">
        <v>0</v>
      </c>
      <c r="K366" t="n">
        <v>0</v>
      </c>
      <c r="L366" t="n">
        <v>0</v>
      </c>
      <c r="M366" t="n">
        <v>0</v>
      </c>
      <c r="N366" t="n">
        <v>0</v>
      </c>
      <c r="O366" t="n">
        <v>0</v>
      </c>
      <c r="P366" t="n">
        <v>0</v>
      </c>
      <c r="Q366" t="n">
        <v>0</v>
      </c>
      <c r="R366" s="2" t="inlineStr"/>
    </row>
    <row r="367" ht="15" customHeight="1">
      <c r="A367" t="inlineStr">
        <is>
          <t>A 13657-2025</t>
        </is>
      </c>
      <c r="B367" s="1" t="n">
        <v>45736.7427662037</v>
      </c>
      <c r="C367" s="1" t="n">
        <v>46035</v>
      </c>
      <c r="D367" t="inlineStr">
        <is>
          <t>ÖREBRO LÄN</t>
        </is>
      </c>
      <c r="E367" t="inlineStr">
        <is>
          <t>ÖREBRO</t>
        </is>
      </c>
      <c r="G367" t="n">
        <v>3.8</v>
      </c>
      <c r="H367" t="n">
        <v>0</v>
      </c>
      <c r="I367" t="n">
        <v>0</v>
      </c>
      <c r="J367" t="n">
        <v>0</v>
      </c>
      <c r="K367" t="n">
        <v>0</v>
      </c>
      <c r="L367" t="n">
        <v>0</v>
      </c>
      <c r="M367" t="n">
        <v>0</v>
      </c>
      <c r="N367" t="n">
        <v>0</v>
      </c>
      <c r="O367" t="n">
        <v>0</v>
      </c>
      <c r="P367" t="n">
        <v>0</v>
      </c>
      <c r="Q367" t="n">
        <v>0</v>
      </c>
      <c r="R367" s="2" t="inlineStr"/>
    </row>
    <row r="368" ht="15" customHeight="1">
      <c r="A368" t="inlineStr">
        <is>
          <t>A 57867-2024</t>
        </is>
      </c>
      <c r="B368" s="1" t="n">
        <v>45631.43864583333</v>
      </c>
      <c r="C368" s="1" t="n">
        <v>46035</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35637-2025</t>
        </is>
      </c>
      <c r="B369" s="1" t="n">
        <v>45859.46859953704</v>
      </c>
      <c r="C369" s="1" t="n">
        <v>46035</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29138-2022</t>
        </is>
      </c>
      <c r="B370" s="1" t="n">
        <v>44750</v>
      </c>
      <c r="C370" s="1" t="n">
        <v>46035</v>
      </c>
      <c r="D370" t="inlineStr">
        <is>
          <t>ÖREBRO LÄN</t>
        </is>
      </c>
      <c r="E370" t="inlineStr">
        <is>
          <t>ÖREBRO</t>
        </is>
      </c>
      <c r="G370" t="n">
        <v>3.3</v>
      </c>
      <c r="H370" t="n">
        <v>0</v>
      </c>
      <c r="I370" t="n">
        <v>0</v>
      </c>
      <c r="J370" t="n">
        <v>0</v>
      </c>
      <c r="K370" t="n">
        <v>0</v>
      </c>
      <c r="L370" t="n">
        <v>0</v>
      </c>
      <c r="M370" t="n">
        <v>0</v>
      </c>
      <c r="N370" t="n">
        <v>0</v>
      </c>
      <c r="O370" t="n">
        <v>0</v>
      </c>
      <c r="P370" t="n">
        <v>0</v>
      </c>
      <c r="Q370" t="n">
        <v>0</v>
      </c>
      <c r="R370" s="2" t="inlineStr"/>
    </row>
    <row r="371" ht="15" customHeight="1">
      <c r="A371" t="inlineStr">
        <is>
          <t>A 29143-2022</t>
        </is>
      </c>
      <c r="B371" s="1" t="n">
        <v>44750</v>
      </c>
      <c r="C371" s="1" t="n">
        <v>46035</v>
      </c>
      <c r="D371" t="inlineStr">
        <is>
          <t>ÖREBRO LÄN</t>
        </is>
      </c>
      <c r="E371" t="inlineStr">
        <is>
          <t>ÖREBRO</t>
        </is>
      </c>
      <c r="G371" t="n">
        <v>5.6</v>
      </c>
      <c r="H371" t="n">
        <v>0</v>
      </c>
      <c r="I371" t="n">
        <v>0</v>
      </c>
      <c r="J371" t="n">
        <v>0</v>
      </c>
      <c r="K371" t="n">
        <v>0</v>
      </c>
      <c r="L371" t="n">
        <v>0</v>
      </c>
      <c r="M371" t="n">
        <v>0</v>
      </c>
      <c r="N371" t="n">
        <v>0</v>
      </c>
      <c r="O371" t="n">
        <v>0</v>
      </c>
      <c r="P371" t="n">
        <v>0</v>
      </c>
      <c r="Q371" t="n">
        <v>0</v>
      </c>
      <c r="R371" s="2" t="inlineStr"/>
    </row>
    <row r="372" ht="15" customHeight="1">
      <c r="A372" t="inlineStr">
        <is>
          <t>A 60718-2025</t>
        </is>
      </c>
      <c r="B372" s="1" t="n">
        <v>45996.6384375</v>
      </c>
      <c r="C372" s="1" t="n">
        <v>46035</v>
      </c>
      <c r="D372" t="inlineStr">
        <is>
          <t>ÖREBRO LÄN</t>
        </is>
      </c>
      <c r="E372" t="inlineStr">
        <is>
          <t>ÖREBRO</t>
        </is>
      </c>
      <c r="F372" t="inlineStr">
        <is>
          <t>Sveaskog</t>
        </is>
      </c>
      <c r="G372" t="n">
        <v>5.3</v>
      </c>
      <c r="H372" t="n">
        <v>0</v>
      </c>
      <c r="I372" t="n">
        <v>0</v>
      </c>
      <c r="J372" t="n">
        <v>0</v>
      </c>
      <c r="K372" t="n">
        <v>0</v>
      </c>
      <c r="L372" t="n">
        <v>0</v>
      </c>
      <c r="M372" t="n">
        <v>0</v>
      </c>
      <c r="N372" t="n">
        <v>0</v>
      </c>
      <c r="O372" t="n">
        <v>0</v>
      </c>
      <c r="P372" t="n">
        <v>0</v>
      </c>
      <c r="Q372" t="n">
        <v>0</v>
      </c>
      <c r="R372" s="2" t="inlineStr"/>
    </row>
    <row r="373" ht="15" customHeight="1">
      <c r="A373" t="inlineStr">
        <is>
          <t>A 21983-2021</t>
        </is>
      </c>
      <c r="B373" s="1" t="n">
        <v>44323</v>
      </c>
      <c r="C373" s="1" t="n">
        <v>46035</v>
      </c>
      <c r="D373" t="inlineStr">
        <is>
          <t>ÖREBRO LÄN</t>
        </is>
      </c>
      <c r="E373" t="inlineStr">
        <is>
          <t>ÖREBRO</t>
        </is>
      </c>
      <c r="F373" t="inlineStr">
        <is>
          <t>Övriga Aktiebolag</t>
        </is>
      </c>
      <c r="G373" t="n">
        <v>0.7</v>
      </c>
      <c r="H373" t="n">
        <v>0</v>
      </c>
      <c r="I373" t="n">
        <v>0</v>
      </c>
      <c r="J373" t="n">
        <v>0</v>
      </c>
      <c r="K373" t="n">
        <v>0</v>
      </c>
      <c r="L373" t="n">
        <v>0</v>
      </c>
      <c r="M373" t="n">
        <v>0</v>
      </c>
      <c r="N373" t="n">
        <v>0</v>
      </c>
      <c r="O373" t="n">
        <v>0</v>
      </c>
      <c r="P373" t="n">
        <v>0</v>
      </c>
      <c r="Q373" t="n">
        <v>0</v>
      </c>
      <c r="R373" s="2" t="inlineStr"/>
    </row>
    <row r="374" ht="15" customHeight="1">
      <c r="A374" t="inlineStr">
        <is>
          <t>A 35928-2025</t>
        </is>
      </c>
      <c r="B374" s="1" t="n">
        <v>45862</v>
      </c>
      <c r="C374" s="1" t="n">
        <v>46035</v>
      </c>
      <c r="D374" t="inlineStr">
        <is>
          <t>ÖREBRO LÄN</t>
        </is>
      </c>
      <c r="E374" t="inlineStr">
        <is>
          <t>ÖREBRO</t>
        </is>
      </c>
      <c r="G374" t="n">
        <v>4.4</v>
      </c>
      <c r="H374" t="n">
        <v>0</v>
      </c>
      <c r="I374" t="n">
        <v>0</v>
      </c>
      <c r="J374" t="n">
        <v>0</v>
      </c>
      <c r="K374" t="n">
        <v>0</v>
      </c>
      <c r="L374" t="n">
        <v>0</v>
      </c>
      <c r="M374" t="n">
        <v>0</v>
      </c>
      <c r="N374" t="n">
        <v>0</v>
      </c>
      <c r="O374" t="n">
        <v>0</v>
      </c>
      <c r="P374" t="n">
        <v>0</v>
      </c>
      <c r="Q374" t="n">
        <v>0</v>
      </c>
      <c r="R374" s="2" t="inlineStr"/>
    </row>
    <row r="375" ht="15" customHeight="1">
      <c r="A375" t="inlineStr">
        <is>
          <t>A 3120-2022</t>
        </is>
      </c>
      <c r="B375" s="1" t="n">
        <v>44582</v>
      </c>
      <c r="C375" s="1" t="n">
        <v>46035</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55453-2024</t>
        </is>
      </c>
      <c r="B376" s="1" t="n">
        <v>45622.42097222222</v>
      </c>
      <c r="C376" s="1" t="n">
        <v>46035</v>
      </c>
      <c r="D376" t="inlineStr">
        <is>
          <t>ÖREBRO LÄN</t>
        </is>
      </c>
      <c r="E376" t="inlineStr">
        <is>
          <t>ÖREBRO</t>
        </is>
      </c>
      <c r="G376" t="n">
        <v>8.5</v>
      </c>
      <c r="H376" t="n">
        <v>0</v>
      </c>
      <c r="I376" t="n">
        <v>0</v>
      </c>
      <c r="J376" t="n">
        <v>0</v>
      </c>
      <c r="K376" t="n">
        <v>0</v>
      </c>
      <c r="L376" t="n">
        <v>0</v>
      </c>
      <c r="M376" t="n">
        <v>0</v>
      </c>
      <c r="N376" t="n">
        <v>0</v>
      </c>
      <c r="O376" t="n">
        <v>0</v>
      </c>
      <c r="P376" t="n">
        <v>0</v>
      </c>
      <c r="Q376" t="n">
        <v>0</v>
      </c>
      <c r="R376" s="2" t="inlineStr"/>
    </row>
    <row r="377" ht="15" customHeight="1">
      <c r="A377" t="inlineStr">
        <is>
          <t>A 58606-2024</t>
        </is>
      </c>
      <c r="B377" s="1" t="n">
        <v>45635.54747685185</v>
      </c>
      <c r="C377" s="1" t="n">
        <v>46035</v>
      </c>
      <c r="D377" t="inlineStr">
        <is>
          <t>ÖREBRO LÄN</t>
        </is>
      </c>
      <c r="E377" t="inlineStr">
        <is>
          <t>ÖREBRO</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26101-2022</t>
        </is>
      </c>
      <c r="B378" s="1" t="n">
        <v>44734</v>
      </c>
      <c r="C378" s="1" t="n">
        <v>46035</v>
      </c>
      <c r="D378" t="inlineStr">
        <is>
          <t>ÖREBRO LÄN</t>
        </is>
      </c>
      <c r="E378" t="inlineStr">
        <is>
          <t>ÖREBRO</t>
        </is>
      </c>
      <c r="G378" t="n">
        <v>15.8</v>
      </c>
      <c r="H378" t="n">
        <v>0</v>
      </c>
      <c r="I378" t="n">
        <v>0</v>
      </c>
      <c r="J378" t="n">
        <v>0</v>
      </c>
      <c r="K378" t="n">
        <v>0</v>
      </c>
      <c r="L378" t="n">
        <v>0</v>
      </c>
      <c r="M378" t="n">
        <v>0</v>
      </c>
      <c r="N378" t="n">
        <v>0</v>
      </c>
      <c r="O378" t="n">
        <v>0</v>
      </c>
      <c r="P378" t="n">
        <v>0</v>
      </c>
      <c r="Q378" t="n">
        <v>0</v>
      </c>
      <c r="R378" s="2" t="inlineStr"/>
    </row>
    <row r="379" ht="15" customHeight="1">
      <c r="A379" t="inlineStr">
        <is>
          <t>A 60555-2025</t>
        </is>
      </c>
      <c r="B379" s="1" t="n">
        <v>45995.73722222223</v>
      </c>
      <c r="C379" s="1" t="n">
        <v>46035</v>
      </c>
      <c r="D379" t="inlineStr">
        <is>
          <t>ÖREBRO LÄN</t>
        </is>
      </c>
      <c r="E379" t="inlineStr">
        <is>
          <t>ÖREBRO</t>
        </is>
      </c>
      <c r="G379" t="n">
        <v>1.7</v>
      </c>
      <c r="H379" t="n">
        <v>0</v>
      </c>
      <c r="I379" t="n">
        <v>0</v>
      </c>
      <c r="J379" t="n">
        <v>0</v>
      </c>
      <c r="K379" t="n">
        <v>0</v>
      </c>
      <c r="L379" t="n">
        <v>0</v>
      </c>
      <c r="M379" t="n">
        <v>0</v>
      </c>
      <c r="N379" t="n">
        <v>0</v>
      </c>
      <c r="O379" t="n">
        <v>0</v>
      </c>
      <c r="P379" t="n">
        <v>0</v>
      </c>
      <c r="Q379" t="n">
        <v>0</v>
      </c>
      <c r="R379" s="2" t="inlineStr"/>
    </row>
    <row r="380" ht="15" customHeight="1">
      <c r="A380" t="inlineStr">
        <is>
          <t>A 32025-2024</t>
        </is>
      </c>
      <c r="B380" s="1" t="n">
        <v>45510.65754629629</v>
      </c>
      <c r="C380" s="1" t="n">
        <v>46035</v>
      </c>
      <c r="D380" t="inlineStr">
        <is>
          <t>ÖREBRO LÄN</t>
        </is>
      </c>
      <c r="E380" t="inlineStr">
        <is>
          <t>ÖREBRO</t>
        </is>
      </c>
      <c r="G380" t="n">
        <v>4</v>
      </c>
      <c r="H380" t="n">
        <v>0</v>
      </c>
      <c r="I380" t="n">
        <v>0</v>
      </c>
      <c r="J380" t="n">
        <v>0</v>
      </c>
      <c r="K380" t="n">
        <v>0</v>
      </c>
      <c r="L380" t="n">
        <v>0</v>
      </c>
      <c r="M380" t="n">
        <v>0</v>
      </c>
      <c r="N380" t="n">
        <v>0</v>
      </c>
      <c r="O380" t="n">
        <v>0</v>
      </c>
      <c r="P380" t="n">
        <v>0</v>
      </c>
      <c r="Q380" t="n">
        <v>0</v>
      </c>
      <c r="R380" s="2" t="inlineStr"/>
    </row>
    <row r="381" ht="15" customHeight="1">
      <c r="A381" t="inlineStr">
        <is>
          <t>A 58486-2024</t>
        </is>
      </c>
      <c r="B381" s="1" t="n">
        <v>45635</v>
      </c>
      <c r="C381" s="1" t="n">
        <v>46035</v>
      </c>
      <c r="D381" t="inlineStr">
        <is>
          <t>ÖREBRO LÄN</t>
        </is>
      </c>
      <c r="E381" t="inlineStr">
        <is>
          <t>ÖREBRO</t>
        </is>
      </c>
      <c r="G381" t="n">
        <v>1.7</v>
      </c>
      <c r="H381" t="n">
        <v>0</v>
      </c>
      <c r="I381" t="n">
        <v>0</v>
      </c>
      <c r="J381" t="n">
        <v>0</v>
      </c>
      <c r="K381" t="n">
        <v>0</v>
      </c>
      <c r="L381" t="n">
        <v>0</v>
      </c>
      <c r="M381" t="n">
        <v>0</v>
      </c>
      <c r="N381" t="n">
        <v>0</v>
      </c>
      <c r="O381" t="n">
        <v>0</v>
      </c>
      <c r="P381" t="n">
        <v>0</v>
      </c>
      <c r="Q381" t="n">
        <v>0</v>
      </c>
      <c r="R381" s="2" t="inlineStr"/>
    </row>
    <row r="382" ht="15" customHeight="1">
      <c r="A382" t="inlineStr">
        <is>
          <t>A 60720-2025</t>
        </is>
      </c>
      <c r="B382" s="1" t="n">
        <v>45996.64050925926</v>
      </c>
      <c r="C382" s="1" t="n">
        <v>46035</v>
      </c>
      <c r="D382" t="inlineStr">
        <is>
          <t>ÖREBRO LÄN</t>
        </is>
      </c>
      <c r="E382" t="inlineStr">
        <is>
          <t>ÖREBRO</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14053-2025</t>
        </is>
      </c>
      <c r="B383" s="1" t="n">
        <v>45739</v>
      </c>
      <c r="C383" s="1" t="n">
        <v>46035</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35345-2024</t>
        </is>
      </c>
      <c r="B384" s="1" t="n">
        <v>45530</v>
      </c>
      <c r="C384" s="1" t="n">
        <v>46035</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123-2025</t>
        </is>
      </c>
      <c r="B385" s="1" t="n">
        <v>45659.54851851852</v>
      </c>
      <c r="C385" s="1" t="n">
        <v>46035</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36448-2025</t>
        </is>
      </c>
      <c r="B386" s="1" t="n">
        <v>45869.41929398148</v>
      </c>
      <c r="C386" s="1" t="n">
        <v>46035</v>
      </c>
      <c r="D386" t="inlineStr">
        <is>
          <t>ÖREBRO LÄN</t>
        </is>
      </c>
      <c r="E386" t="inlineStr">
        <is>
          <t>ÖREBRO</t>
        </is>
      </c>
      <c r="F386" t="inlineStr">
        <is>
          <t>Övriga Aktiebolag</t>
        </is>
      </c>
      <c r="G386" t="n">
        <v>4.3</v>
      </c>
      <c r="H386" t="n">
        <v>0</v>
      </c>
      <c r="I386" t="n">
        <v>0</v>
      </c>
      <c r="J386" t="n">
        <v>0</v>
      </c>
      <c r="K386" t="n">
        <v>0</v>
      </c>
      <c r="L386" t="n">
        <v>0</v>
      </c>
      <c r="M386" t="n">
        <v>0</v>
      </c>
      <c r="N386" t="n">
        <v>0</v>
      </c>
      <c r="O386" t="n">
        <v>0</v>
      </c>
      <c r="P386" t="n">
        <v>0</v>
      </c>
      <c r="Q386" t="n">
        <v>0</v>
      </c>
      <c r="R386" s="2" t="inlineStr"/>
    </row>
    <row r="387" ht="15" customHeight="1">
      <c r="A387" t="inlineStr">
        <is>
          <t>A 30472-2022</t>
        </is>
      </c>
      <c r="B387" s="1" t="n">
        <v>44761.70467592592</v>
      </c>
      <c r="C387" s="1" t="n">
        <v>46035</v>
      </c>
      <c r="D387" t="inlineStr">
        <is>
          <t>ÖREBRO LÄN</t>
        </is>
      </c>
      <c r="E387" t="inlineStr">
        <is>
          <t>ÖREBRO</t>
        </is>
      </c>
      <c r="F387" t="inlineStr">
        <is>
          <t>Övriga Aktiebolag</t>
        </is>
      </c>
      <c r="G387" t="n">
        <v>5.6</v>
      </c>
      <c r="H387" t="n">
        <v>0</v>
      </c>
      <c r="I387" t="n">
        <v>0</v>
      </c>
      <c r="J387" t="n">
        <v>0</v>
      </c>
      <c r="K387" t="n">
        <v>0</v>
      </c>
      <c r="L387" t="n">
        <v>0</v>
      </c>
      <c r="M387" t="n">
        <v>0</v>
      </c>
      <c r="N387" t="n">
        <v>0</v>
      </c>
      <c r="O387" t="n">
        <v>0</v>
      </c>
      <c r="P387" t="n">
        <v>0</v>
      </c>
      <c r="Q387" t="n">
        <v>0</v>
      </c>
      <c r="R387" s="2" t="inlineStr"/>
    </row>
    <row r="388" ht="15" customHeight="1">
      <c r="A388" t="inlineStr">
        <is>
          <t>A 6869-2025</t>
        </is>
      </c>
      <c r="B388" s="1" t="n">
        <v>45700</v>
      </c>
      <c r="C388" s="1" t="n">
        <v>46035</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36447-2025</t>
        </is>
      </c>
      <c r="B389" s="1" t="n">
        <v>45869.41387731482</v>
      </c>
      <c r="C389" s="1" t="n">
        <v>46035</v>
      </c>
      <c r="D389" t="inlineStr">
        <is>
          <t>ÖREBRO LÄN</t>
        </is>
      </c>
      <c r="E389" t="inlineStr">
        <is>
          <t>ÖREBRO</t>
        </is>
      </c>
      <c r="F389" t="inlineStr">
        <is>
          <t>Övriga Aktiebolag</t>
        </is>
      </c>
      <c r="G389" t="n">
        <v>12.6</v>
      </c>
      <c r="H389" t="n">
        <v>0</v>
      </c>
      <c r="I389" t="n">
        <v>0</v>
      </c>
      <c r="J389" t="n">
        <v>0</v>
      </c>
      <c r="K389" t="n">
        <v>0</v>
      </c>
      <c r="L389" t="n">
        <v>0</v>
      </c>
      <c r="M389" t="n">
        <v>0</v>
      </c>
      <c r="N389" t="n">
        <v>0</v>
      </c>
      <c r="O389" t="n">
        <v>0</v>
      </c>
      <c r="P389" t="n">
        <v>0</v>
      </c>
      <c r="Q389" t="n">
        <v>0</v>
      </c>
      <c r="R389" s="2" t="inlineStr"/>
    </row>
    <row r="390" ht="15" customHeight="1">
      <c r="A390" t="inlineStr">
        <is>
          <t>A 57869-2024</t>
        </is>
      </c>
      <c r="B390" s="1" t="n">
        <v>45631.44207175926</v>
      </c>
      <c r="C390" s="1" t="n">
        <v>46035</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30743-2025</t>
        </is>
      </c>
      <c r="B391" s="1" t="n">
        <v>45831</v>
      </c>
      <c r="C391" s="1" t="n">
        <v>46035</v>
      </c>
      <c r="D391" t="inlineStr">
        <is>
          <t>ÖREBRO LÄN</t>
        </is>
      </c>
      <c r="E391" t="inlineStr">
        <is>
          <t>ÖREBRO</t>
        </is>
      </c>
      <c r="G391" t="n">
        <v>2.9</v>
      </c>
      <c r="H391" t="n">
        <v>0</v>
      </c>
      <c r="I391" t="n">
        <v>0</v>
      </c>
      <c r="J391" t="n">
        <v>0</v>
      </c>
      <c r="K391" t="n">
        <v>0</v>
      </c>
      <c r="L391" t="n">
        <v>0</v>
      </c>
      <c r="M391" t="n">
        <v>0</v>
      </c>
      <c r="N391" t="n">
        <v>0</v>
      </c>
      <c r="O391" t="n">
        <v>0</v>
      </c>
      <c r="P391" t="n">
        <v>0</v>
      </c>
      <c r="Q391" t="n">
        <v>0</v>
      </c>
      <c r="R391" s="2" t="inlineStr"/>
    </row>
    <row r="392" ht="15" customHeight="1">
      <c r="A392" t="inlineStr">
        <is>
          <t>A 60551-2025</t>
        </is>
      </c>
      <c r="B392" s="1" t="n">
        <v>45995</v>
      </c>
      <c r="C392" s="1" t="n">
        <v>46035</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37277-2022</t>
        </is>
      </c>
      <c r="B393" s="1" t="n">
        <v>44807.49150462963</v>
      </c>
      <c r="C393" s="1" t="n">
        <v>46035</v>
      </c>
      <c r="D393" t="inlineStr">
        <is>
          <t>ÖREBRO LÄN</t>
        </is>
      </c>
      <c r="E393" t="inlineStr">
        <is>
          <t>ÖREBRO</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27956-2023</t>
        </is>
      </c>
      <c r="B394" s="1" t="n">
        <v>45098</v>
      </c>
      <c r="C394" s="1" t="n">
        <v>46035</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51331-2023</t>
        </is>
      </c>
      <c r="B395" s="1" t="n">
        <v>45219</v>
      </c>
      <c r="C395" s="1" t="n">
        <v>46035</v>
      </c>
      <c r="D395" t="inlineStr">
        <is>
          <t>ÖREBRO LÄN</t>
        </is>
      </c>
      <c r="E395" t="inlineStr">
        <is>
          <t>ÖREBRO</t>
        </is>
      </c>
      <c r="F395" t="inlineStr">
        <is>
          <t>Kommuner</t>
        </is>
      </c>
      <c r="G395" t="n">
        <v>1.3</v>
      </c>
      <c r="H395" t="n">
        <v>0</v>
      </c>
      <c r="I395" t="n">
        <v>0</v>
      </c>
      <c r="J395" t="n">
        <v>0</v>
      </c>
      <c r="K395" t="n">
        <v>0</v>
      </c>
      <c r="L395" t="n">
        <v>0</v>
      </c>
      <c r="M395" t="n">
        <v>0</v>
      </c>
      <c r="N395" t="n">
        <v>0</v>
      </c>
      <c r="O395" t="n">
        <v>0</v>
      </c>
      <c r="P395" t="n">
        <v>0</v>
      </c>
      <c r="Q395" t="n">
        <v>0</v>
      </c>
      <c r="R395" s="2" t="inlineStr"/>
    </row>
    <row r="396" ht="15" customHeight="1">
      <c r="A396" t="inlineStr">
        <is>
          <t>A 40588-2021</t>
        </is>
      </c>
      <c r="B396" s="1" t="n">
        <v>44420</v>
      </c>
      <c r="C396" s="1" t="n">
        <v>46035</v>
      </c>
      <c r="D396" t="inlineStr">
        <is>
          <t>ÖREBRO LÄN</t>
        </is>
      </c>
      <c r="E396" t="inlineStr">
        <is>
          <t>ÖREBRO</t>
        </is>
      </c>
      <c r="G396" t="n">
        <v>1.1</v>
      </c>
      <c r="H396" t="n">
        <v>0</v>
      </c>
      <c r="I396" t="n">
        <v>0</v>
      </c>
      <c r="J396" t="n">
        <v>0</v>
      </c>
      <c r="K396" t="n">
        <v>0</v>
      </c>
      <c r="L396" t="n">
        <v>0</v>
      </c>
      <c r="M396" t="n">
        <v>0</v>
      </c>
      <c r="N396" t="n">
        <v>0</v>
      </c>
      <c r="O396" t="n">
        <v>0</v>
      </c>
      <c r="P396" t="n">
        <v>0</v>
      </c>
      <c r="Q396" t="n">
        <v>0</v>
      </c>
      <c r="R396" s="2" t="inlineStr"/>
    </row>
    <row r="397" ht="15" customHeight="1">
      <c r="A397" t="inlineStr">
        <is>
          <t>A 60840-2025</t>
        </is>
      </c>
      <c r="B397" s="1" t="n">
        <v>45999.48547453704</v>
      </c>
      <c r="C397" s="1" t="n">
        <v>46035</v>
      </c>
      <c r="D397" t="inlineStr">
        <is>
          <t>ÖREBRO LÄN</t>
        </is>
      </c>
      <c r="E397" t="inlineStr">
        <is>
          <t>ÖREBRO</t>
        </is>
      </c>
      <c r="G397" t="n">
        <v>3.5</v>
      </c>
      <c r="H397" t="n">
        <v>0</v>
      </c>
      <c r="I397" t="n">
        <v>0</v>
      </c>
      <c r="J397" t="n">
        <v>0</v>
      </c>
      <c r="K397" t="n">
        <v>0</v>
      </c>
      <c r="L397" t="n">
        <v>0</v>
      </c>
      <c r="M397" t="n">
        <v>0</v>
      </c>
      <c r="N397" t="n">
        <v>0</v>
      </c>
      <c r="O397" t="n">
        <v>0</v>
      </c>
      <c r="P397" t="n">
        <v>0</v>
      </c>
      <c r="Q397" t="n">
        <v>0</v>
      </c>
      <c r="R397" s="2" t="inlineStr"/>
    </row>
    <row r="398" ht="15" customHeight="1">
      <c r="A398" t="inlineStr">
        <is>
          <t>A 29554-2025</t>
        </is>
      </c>
      <c r="B398" s="1" t="n">
        <v>45825</v>
      </c>
      <c r="C398" s="1" t="n">
        <v>46035</v>
      </c>
      <c r="D398" t="inlineStr">
        <is>
          <t>ÖREBRO LÄN</t>
        </is>
      </c>
      <c r="E398" t="inlineStr">
        <is>
          <t>ÖREBRO</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40231-2022</t>
        </is>
      </c>
      <c r="B399" s="1" t="n">
        <v>44820</v>
      </c>
      <c r="C399" s="1" t="n">
        <v>46035</v>
      </c>
      <c r="D399" t="inlineStr">
        <is>
          <t>ÖREBRO LÄN</t>
        </is>
      </c>
      <c r="E399" t="inlineStr">
        <is>
          <t>ÖREBRO</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4284-2025</t>
        </is>
      </c>
      <c r="B400" s="1" t="n">
        <v>45685</v>
      </c>
      <c r="C400" s="1" t="n">
        <v>46035</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8331-2021</t>
        </is>
      </c>
      <c r="B401" s="1" t="n">
        <v>44244</v>
      </c>
      <c r="C401" s="1" t="n">
        <v>46035</v>
      </c>
      <c r="D401" t="inlineStr">
        <is>
          <t>ÖREBRO LÄN</t>
        </is>
      </c>
      <c r="E401" t="inlineStr">
        <is>
          <t>ÖREBRO</t>
        </is>
      </c>
      <c r="G401" t="n">
        <v>9.1</v>
      </c>
      <c r="H401" t="n">
        <v>0</v>
      </c>
      <c r="I401" t="n">
        <v>0</v>
      </c>
      <c r="J401" t="n">
        <v>0</v>
      </c>
      <c r="K401" t="n">
        <v>0</v>
      </c>
      <c r="L401" t="n">
        <v>0</v>
      </c>
      <c r="M401" t="n">
        <v>0</v>
      </c>
      <c r="N401" t="n">
        <v>0</v>
      </c>
      <c r="O401" t="n">
        <v>0</v>
      </c>
      <c r="P401" t="n">
        <v>0</v>
      </c>
      <c r="Q401" t="n">
        <v>0</v>
      </c>
      <c r="R401" s="2" t="inlineStr"/>
    </row>
    <row r="402" ht="15" customHeight="1">
      <c r="A402" t="inlineStr">
        <is>
          <t>A 8332-2021</t>
        </is>
      </c>
      <c r="B402" s="1" t="n">
        <v>44244</v>
      </c>
      <c r="C402" s="1" t="n">
        <v>46035</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25443-2021</t>
        </is>
      </c>
      <c r="B403" s="1" t="n">
        <v>44342</v>
      </c>
      <c r="C403" s="1" t="n">
        <v>46035</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52382-2025</t>
        </is>
      </c>
      <c r="B404" s="1" t="n">
        <v>45953.9559837963</v>
      </c>
      <c r="C404" s="1" t="n">
        <v>46035</v>
      </c>
      <c r="D404" t="inlineStr">
        <is>
          <t>ÖREBRO LÄN</t>
        </is>
      </c>
      <c r="E404" t="inlineStr">
        <is>
          <t>ÖREBRO</t>
        </is>
      </c>
      <c r="F404" t="inlineStr">
        <is>
          <t>Sveaskog</t>
        </is>
      </c>
      <c r="G404" t="n">
        <v>3.4</v>
      </c>
      <c r="H404" t="n">
        <v>0</v>
      </c>
      <c r="I404" t="n">
        <v>0</v>
      </c>
      <c r="J404" t="n">
        <v>0</v>
      </c>
      <c r="K404" t="n">
        <v>0</v>
      </c>
      <c r="L404" t="n">
        <v>0</v>
      </c>
      <c r="M404" t="n">
        <v>0</v>
      </c>
      <c r="N404" t="n">
        <v>0</v>
      </c>
      <c r="O404" t="n">
        <v>0</v>
      </c>
      <c r="P404" t="n">
        <v>0</v>
      </c>
      <c r="Q404" t="n">
        <v>0</v>
      </c>
      <c r="R404" s="2" t="inlineStr"/>
    </row>
    <row r="405" ht="15" customHeight="1">
      <c r="A405" t="inlineStr">
        <is>
          <t>A 42623-2022</t>
        </is>
      </c>
      <c r="B405" s="1" t="n">
        <v>44831</v>
      </c>
      <c r="C405" s="1" t="n">
        <v>46035</v>
      </c>
      <c r="D405" t="inlineStr">
        <is>
          <t>ÖREBRO LÄN</t>
        </is>
      </c>
      <c r="E405" t="inlineStr">
        <is>
          <t>ÖREBRO</t>
        </is>
      </c>
      <c r="G405" t="n">
        <v>3.6</v>
      </c>
      <c r="H405" t="n">
        <v>0</v>
      </c>
      <c r="I405" t="n">
        <v>0</v>
      </c>
      <c r="J405" t="n">
        <v>0</v>
      </c>
      <c r="K405" t="n">
        <v>0</v>
      </c>
      <c r="L405" t="n">
        <v>0</v>
      </c>
      <c r="M405" t="n">
        <v>0</v>
      </c>
      <c r="N405" t="n">
        <v>0</v>
      </c>
      <c r="O405" t="n">
        <v>0</v>
      </c>
      <c r="P405" t="n">
        <v>0</v>
      </c>
      <c r="Q405" t="n">
        <v>0</v>
      </c>
      <c r="R405" s="2" t="inlineStr"/>
    </row>
    <row r="406" ht="15" customHeight="1">
      <c r="A406" t="inlineStr">
        <is>
          <t>A 3763-2025</t>
        </is>
      </c>
      <c r="B406" s="1" t="n">
        <v>45681</v>
      </c>
      <c r="C406" s="1" t="n">
        <v>46035</v>
      </c>
      <c r="D406" t="inlineStr">
        <is>
          <t>ÖREBRO LÄN</t>
        </is>
      </c>
      <c r="E406" t="inlineStr">
        <is>
          <t>ÖREBRO</t>
        </is>
      </c>
      <c r="G406" t="n">
        <v>10.1</v>
      </c>
      <c r="H406" t="n">
        <v>0</v>
      </c>
      <c r="I406" t="n">
        <v>0</v>
      </c>
      <c r="J406" t="n">
        <v>0</v>
      </c>
      <c r="K406" t="n">
        <v>0</v>
      </c>
      <c r="L406" t="n">
        <v>0</v>
      </c>
      <c r="M406" t="n">
        <v>0</v>
      </c>
      <c r="N406" t="n">
        <v>0</v>
      </c>
      <c r="O406" t="n">
        <v>0</v>
      </c>
      <c r="P406" t="n">
        <v>0</v>
      </c>
      <c r="Q406" t="n">
        <v>0</v>
      </c>
      <c r="R406" s="2" t="inlineStr"/>
    </row>
    <row r="407" ht="15" customHeight="1">
      <c r="A407" t="inlineStr">
        <is>
          <t>A 53350-2025</t>
        </is>
      </c>
      <c r="B407" s="1" t="n">
        <v>45959.43827546296</v>
      </c>
      <c r="C407" s="1" t="n">
        <v>46035</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10829-2023</t>
        </is>
      </c>
      <c r="B408" s="1" t="n">
        <v>44990.88512731482</v>
      </c>
      <c r="C408" s="1" t="n">
        <v>46035</v>
      </c>
      <c r="D408" t="inlineStr">
        <is>
          <t>ÖREBRO LÄN</t>
        </is>
      </c>
      <c r="E408" t="inlineStr">
        <is>
          <t>ÖREBRO</t>
        </is>
      </c>
      <c r="G408" t="n">
        <v>4.4</v>
      </c>
      <c r="H408" t="n">
        <v>0</v>
      </c>
      <c r="I408" t="n">
        <v>0</v>
      </c>
      <c r="J408" t="n">
        <v>0</v>
      </c>
      <c r="K408" t="n">
        <v>0</v>
      </c>
      <c r="L408" t="n">
        <v>0</v>
      </c>
      <c r="M408" t="n">
        <v>0</v>
      </c>
      <c r="N408" t="n">
        <v>0</v>
      </c>
      <c r="O408" t="n">
        <v>0</v>
      </c>
      <c r="P408" t="n">
        <v>0</v>
      </c>
      <c r="Q408" t="n">
        <v>0</v>
      </c>
      <c r="R408" s="2" t="inlineStr"/>
    </row>
    <row r="409" ht="15" customHeight="1">
      <c r="A409" t="inlineStr">
        <is>
          <t>A 10831-2023</t>
        </is>
      </c>
      <c r="B409" s="1" t="n">
        <v>44990.90357638889</v>
      </c>
      <c r="C409" s="1" t="n">
        <v>46035</v>
      </c>
      <c r="D409" t="inlineStr">
        <is>
          <t>ÖREBRO LÄN</t>
        </is>
      </c>
      <c r="E409" t="inlineStr">
        <is>
          <t>ÖREBRO</t>
        </is>
      </c>
      <c r="G409" t="n">
        <v>1.9</v>
      </c>
      <c r="H409" t="n">
        <v>0</v>
      </c>
      <c r="I409" t="n">
        <v>0</v>
      </c>
      <c r="J409" t="n">
        <v>0</v>
      </c>
      <c r="K409" t="n">
        <v>0</v>
      </c>
      <c r="L409" t="n">
        <v>0</v>
      </c>
      <c r="M409" t="n">
        <v>0</v>
      </c>
      <c r="N409" t="n">
        <v>0</v>
      </c>
      <c r="O409" t="n">
        <v>0</v>
      </c>
      <c r="P409" t="n">
        <v>0</v>
      </c>
      <c r="Q409" t="n">
        <v>0</v>
      </c>
      <c r="R409" s="2" t="inlineStr"/>
    </row>
    <row r="410" ht="15" customHeight="1">
      <c r="A410" t="inlineStr">
        <is>
          <t>A 53715-2025</t>
        </is>
      </c>
      <c r="B410" s="1" t="n">
        <v>45960.61763888889</v>
      </c>
      <c r="C410" s="1" t="n">
        <v>46035</v>
      </c>
      <c r="D410" t="inlineStr">
        <is>
          <t>ÖREBRO LÄN</t>
        </is>
      </c>
      <c r="E410" t="inlineStr">
        <is>
          <t>ÖREBRO</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53719-2025</t>
        </is>
      </c>
      <c r="B411" s="1" t="n">
        <v>45960.62042824074</v>
      </c>
      <c r="C411" s="1" t="n">
        <v>46035</v>
      </c>
      <c r="D411" t="inlineStr">
        <is>
          <t>ÖREBRO LÄN</t>
        </is>
      </c>
      <c r="E411" t="inlineStr">
        <is>
          <t>ÖREBRO</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53343-2025</t>
        </is>
      </c>
      <c r="B412" s="1" t="n">
        <v>45959.42025462963</v>
      </c>
      <c r="C412" s="1" t="n">
        <v>46035</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16165-2023</t>
        </is>
      </c>
      <c r="B413" s="1" t="n">
        <v>45027</v>
      </c>
      <c r="C413" s="1" t="n">
        <v>46035</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61525-2025</t>
        </is>
      </c>
      <c r="B414" s="1" t="n">
        <v>46001</v>
      </c>
      <c r="C414" s="1" t="n">
        <v>46035</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57247-2022</t>
        </is>
      </c>
      <c r="B415" s="1" t="n">
        <v>44895.73065972222</v>
      </c>
      <c r="C415" s="1" t="n">
        <v>46035</v>
      </c>
      <c r="D415" t="inlineStr">
        <is>
          <t>ÖREBRO LÄN</t>
        </is>
      </c>
      <c r="E415" t="inlineStr">
        <is>
          <t>ÖREBRO</t>
        </is>
      </c>
      <c r="G415" t="n">
        <v>1.6</v>
      </c>
      <c r="H415" t="n">
        <v>0</v>
      </c>
      <c r="I415" t="n">
        <v>0</v>
      </c>
      <c r="J415" t="n">
        <v>0</v>
      </c>
      <c r="K415" t="n">
        <v>0</v>
      </c>
      <c r="L415" t="n">
        <v>0</v>
      </c>
      <c r="M415" t="n">
        <v>0</v>
      </c>
      <c r="N415" t="n">
        <v>0</v>
      </c>
      <c r="O415" t="n">
        <v>0</v>
      </c>
      <c r="P415" t="n">
        <v>0</v>
      </c>
      <c r="Q415" t="n">
        <v>0</v>
      </c>
      <c r="R415" s="2" t="inlineStr"/>
    </row>
    <row r="416" ht="15" customHeight="1">
      <c r="A416" t="inlineStr">
        <is>
          <t>A 53437-2025</t>
        </is>
      </c>
      <c r="B416" s="1" t="n">
        <v>45959.63440972222</v>
      </c>
      <c r="C416" s="1" t="n">
        <v>46035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53342-2025</t>
        </is>
      </c>
      <c r="B417" s="1" t="n">
        <v>45959.41769675926</v>
      </c>
      <c r="C417" s="1" t="n">
        <v>46035</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53443-2025</t>
        </is>
      </c>
      <c r="B418" s="1" t="n">
        <v>45959.6444675926</v>
      </c>
      <c r="C418" s="1" t="n">
        <v>46035</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46035</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38057-2025</t>
        </is>
      </c>
      <c r="B420" s="1" t="n">
        <v>45882.42570601852</v>
      </c>
      <c r="C420" s="1" t="n">
        <v>46035</v>
      </c>
      <c r="D420" t="inlineStr">
        <is>
          <t>ÖREBRO LÄN</t>
        </is>
      </c>
      <c r="E420" t="inlineStr">
        <is>
          <t>ÖREBRO</t>
        </is>
      </c>
      <c r="G420" t="n">
        <v>3</v>
      </c>
      <c r="H420" t="n">
        <v>0</v>
      </c>
      <c r="I420" t="n">
        <v>0</v>
      </c>
      <c r="J420" t="n">
        <v>0</v>
      </c>
      <c r="K420" t="n">
        <v>0</v>
      </c>
      <c r="L420" t="n">
        <v>0</v>
      </c>
      <c r="M420" t="n">
        <v>0</v>
      </c>
      <c r="N420" t="n">
        <v>0</v>
      </c>
      <c r="O420" t="n">
        <v>0</v>
      </c>
      <c r="P420" t="n">
        <v>0</v>
      </c>
      <c r="Q420" t="n">
        <v>0</v>
      </c>
      <c r="R420" s="2" t="inlineStr"/>
    </row>
    <row r="421" ht="15" customHeight="1">
      <c r="A421" t="inlineStr">
        <is>
          <t>A 30374-2023</t>
        </is>
      </c>
      <c r="B421" s="1" t="n">
        <v>45111</v>
      </c>
      <c r="C421" s="1" t="n">
        <v>46035</v>
      </c>
      <c r="D421" t="inlineStr">
        <is>
          <t>ÖREBRO LÄN</t>
        </is>
      </c>
      <c r="E421" t="inlineStr">
        <is>
          <t>ÖREBRO</t>
        </is>
      </c>
      <c r="F421" t="inlineStr">
        <is>
          <t>Övriga Aktiebolag</t>
        </is>
      </c>
      <c r="G421" t="n">
        <v>2.3</v>
      </c>
      <c r="H421" t="n">
        <v>0</v>
      </c>
      <c r="I421" t="n">
        <v>0</v>
      </c>
      <c r="J421" t="n">
        <v>0</v>
      </c>
      <c r="K421" t="n">
        <v>0</v>
      </c>
      <c r="L421" t="n">
        <v>0</v>
      </c>
      <c r="M421" t="n">
        <v>0</v>
      </c>
      <c r="N421" t="n">
        <v>0</v>
      </c>
      <c r="O421" t="n">
        <v>0</v>
      </c>
      <c r="P421" t="n">
        <v>0</v>
      </c>
      <c r="Q421" t="n">
        <v>0</v>
      </c>
      <c r="R421" s="2" t="inlineStr"/>
    </row>
    <row r="422" ht="15" customHeight="1">
      <c r="A422" t="inlineStr">
        <is>
          <t>A 61930-2025</t>
        </is>
      </c>
      <c r="B422" s="1" t="n">
        <v>46003</v>
      </c>
      <c r="C422" s="1" t="n">
        <v>46035</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54678-2023</t>
        </is>
      </c>
      <c r="B423" s="1" t="n">
        <v>45235</v>
      </c>
      <c r="C423" s="1" t="n">
        <v>46035</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54205-2025</t>
        </is>
      </c>
      <c r="B424" s="1" t="n">
        <v>45964.58512731481</v>
      </c>
      <c r="C424" s="1" t="n">
        <v>46035</v>
      </c>
      <c r="D424" t="inlineStr">
        <is>
          <t>ÖREBRO LÄN</t>
        </is>
      </c>
      <c r="E424" t="inlineStr">
        <is>
          <t>ÖREBRO</t>
        </is>
      </c>
      <c r="G424" t="n">
        <v>24.3</v>
      </c>
      <c r="H424" t="n">
        <v>0</v>
      </c>
      <c r="I424" t="n">
        <v>0</v>
      </c>
      <c r="J424" t="n">
        <v>0</v>
      </c>
      <c r="K424" t="n">
        <v>0</v>
      </c>
      <c r="L424" t="n">
        <v>0</v>
      </c>
      <c r="M424" t="n">
        <v>0</v>
      </c>
      <c r="N424" t="n">
        <v>0</v>
      </c>
      <c r="O424" t="n">
        <v>0</v>
      </c>
      <c r="P424" t="n">
        <v>0</v>
      </c>
      <c r="Q424" t="n">
        <v>0</v>
      </c>
      <c r="R424" s="2" t="inlineStr"/>
    </row>
    <row r="425" ht="15" customHeight="1">
      <c r="A425" t="inlineStr">
        <is>
          <t>A 54485-2025</t>
        </is>
      </c>
      <c r="B425" s="1" t="n">
        <v>45965.59295138889</v>
      </c>
      <c r="C425" s="1" t="n">
        <v>46035</v>
      </c>
      <c r="D425" t="inlineStr">
        <is>
          <t>ÖREBRO LÄN</t>
        </is>
      </c>
      <c r="E425" t="inlineStr">
        <is>
          <t>ÖREBRO</t>
        </is>
      </c>
      <c r="F425" t="inlineStr">
        <is>
          <t>Allmännings- och besparingsskogar</t>
        </is>
      </c>
      <c r="G425" t="n">
        <v>1.7</v>
      </c>
      <c r="H425" t="n">
        <v>0</v>
      </c>
      <c r="I425" t="n">
        <v>0</v>
      </c>
      <c r="J425" t="n">
        <v>0</v>
      </c>
      <c r="K425" t="n">
        <v>0</v>
      </c>
      <c r="L425" t="n">
        <v>0</v>
      </c>
      <c r="M425" t="n">
        <v>0</v>
      </c>
      <c r="N425" t="n">
        <v>0</v>
      </c>
      <c r="O425" t="n">
        <v>0</v>
      </c>
      <c r="P425" t="n">
        <v>0</v>
      </c>
      <c r="Q425" t="n">
        <v>0</v>
      </c>
      <c r="R425" s="2" t="inlineStr"/>
    </row>
    <row r="426" ht="15" customHeight="1">
      <c r="A426" t="inlineStr">
        <is>
          <t>A 58219-2024</t>
        </is>
      </c>
      <c r="B426" s="1" t="n">
        <v>45632</v>
      </c>
      <c r="C426" s="1" t="n">
        <v>46035</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62683-2025</t>
        </is>
      </c>
      <c r="B427" s="1" t="n">
        <v>46008.45796296297</v>
      </c>
      <c r="C427" s="1" t="n">
        <v>46035</v>
      </c>
      <c r="D427" t="inlineStr">
        <is>
          <t>ÖREBRO LÄN</t>
        </is>
      </c>
      <c r="E427" t="inlineStr">
        <is>
          <t>ÖREBRO</t>
        </is>
      </c>
      <c r="G427" t="n">
        <v>5.1</v>
      </c>
      <c r="H427" t="n">
        <v>0</v>
      </c>
      <c r="I427" t="n">
        <v>0</v>
      </c>
      <c r="J427" t="n">
        <v>0</v>
      </c>
      <c r="K427" t="n">
        <v>0</v>
      </c>
      <c r="L427" t="n">
        <v>0</v>
      </c>
      <c r="M427" t="n">
        <v>0</v>
      </c>
      <c r="N427" t="n">
        <v>0</v>
      </c>
      <c r="O427" t="n">
        <v>0</v>
      </c>
      <c r="P427" t="n">
        <v>0</v>
      </c>
      <c r="Q427" t="n">
        <v>0</v>
      </c>
      <c r="R427" s="2" t="inlineStr"/>
    </row>
    <row r="428" ht="15" customHeight="1">
      <c r="A428" t="inlineStr">
        <is>
          <t>A 42518-2021</t>
        </is>
      </c>
      <c r="B428" s="1" t="n">
        <v>44427.81496527778</v>
      </c>
      <c r="C428" s="1" t="n">
        <v>46035</v>
      </c>
      <c r="D428" t="inlineStr">
        <is>
          <t>ÖREBRO LÄN</t>
        </is>
      </c>
      <c r="E428" t="inlineStr">
        <is>
          <t>ÖREBRO</t>
        </is>
      </c>
      <c r="G428" t="n">
        <v>4.5</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46035</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27112-2023</t>
        </is>
      </c>
      <c r="B430" s="1" t="n">
        <v>45096</v>
      </c>
      <c r="C430" s="1" t="n">
        <v>46035</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14524-2025</t>
        </is>
      </c>
      <c r="B431" s="1" t="n">
        <v>45741.64815972222</v>
      </c>
      <c r="C431" s="1" t="n">
        <v>46035</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46834-2022</t>
        </is>
      </c>
      <c r="B432" s="1" t="n">
        <v>44851</v>
      </c>
      <c r="C432" s="1" t="n">
        <v>46035</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46035</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2152-2023</t>
        </is>
      </c>
      <c r="B434" s="1" t="n">
        <v>44941.55056712963</v>
      </c>
      <c r="C434" s="1" t="n">
        <v>46035</v>
      </c>
      <c r="D434" t="inlineStr">
        <is>
          <t>ÖREBRO LÄN</t>
        </is>
      </c>
      <c r="E434" t="inlineStr">
        <is>
          <t>ÖREBRO</t>
        </is>
      </c>
      <c r="G434" t="n">
        <v>8</v>
      </c>
      <c r="H434" t="n">
        <v>0</v>
      </c>
      <c r="I434" t="n">
        <v>0</v>
      </c>
      <c r="J434" t="n">
        <v>0</v>
      </c>
      <c r="K434" t="n">
        <v>0</v>
      </c>
      <c r="L434" t="n">
        <v>0</v>
      </c>
      <c r="M434" t="n">
        <v>0</v>
      </c>
      <c r="N434" t="n">
        <v>0</v>
      </c>
      <c r="O434" t="n">
        <v>0</v>
      </c>
      <c r="P434" t="n">
        <v>0</v>
      </c>
      <c r="Q434" t="n">
        <v>0</v>
      </c>
      <c r="R434" s="2" t="inlineStr"/>
    </row>
    <row r="435" ht="15" customHeight="1">
      <c r="A435" t="inlineStr">
        <is>
          <t>A 55745-2023</t>
        </is>
      </c>
      <c r="B435" s="1" t="n">
        <v>45239.44811342593</v>
      </c>
      <c r="C435" s="1" t="n">
        <v>46035</v>
      </c>
      <c r="D435" t="inlineStr">
        <is>
          <t>ÖREBRO LÄN</t>
        </is>
      </c>
      <c r="E435" t="inlineStr">
        <is>
          <t>ÖREBRO</t>
        </is>
      </c>
      <c r="G435" t="n">
        <v>13.3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46035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55003-2025</t>
        </is>
      </c>
      <c r="B437" s="1" t="n">
        <v>45967</v>
      </c>
      <c r="C437" s="1" t="n">
        <v>46035</v>
      </c>
      <c r="D437" t="inlineStr">
        <is>
          <t>ÖREBRO LÄN</t>
        </is>
      </c>
      <c r="E437" t="inlineStr">
        <is>
          <t>ÖREBRO</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71285-2021</t>
        </is>
      </c>
      <c r="B438" s="1" t="n">
        <v>44539.62236111111</v>
      </c>
      <c r="C438" s="1" t="n">
        <v>46035</v>
      </c>
      <c r="D438" t="inlineStr">
        <is>
          <t>ÖREBRO LÄN</t>
        </is>
      </c>
      <c r="E438" t="inlineStr">
        <is>
          <t>ÖREBRO</t>
        </is>
      </c>
      <c r="G438" t="n">
        <v>0.8</v>
      </c>
      <c r="H438" t="n">
        <v>0</v>
      </c>
      <c r="I438" t="n">
        <v>0</v>
      </c>
      <c r="J438" t="n">
        <v>0</v>
      </c>
      <c r="K438" t="n">
        <v>0</v>
      </c>
      <c r="L438" t="n">
        <v>0</v>
      </c>
      <c r="M438" t="n">
        <v>0</v>
      </c>
      <c r="N438" t="n">
        <v>0</v>
      </c>
      <c r="O438" t="n">
        <v>0</v>
      </c>
      <c r="P438" t="n">
        <v>0</v>
      </c>
      <c r="Q438" t="n">
        <v>0</v>
      </c>
      <c r="R438" s="2" t="inlineStr"/>
    </row>
    <row r="439" ht="15" customHeight="1">
      <c r="A439" t="inlineStr">
        <is>
          <t>A 60289-2023</t>
        </is>
      </c>
      <c r="B439" s="1" t="n">
        <v>45257</v>
      </c>
      <c r="C439" s="1" t="n">
        <v>46035</v>
      </c>
      <c r="D439" t="inlineStr">
        <is>
          <t>ÖREBRO LÄN</t>
        </is>
      </c>
      <c r="E439" t="inlineStr">
        <is>
          <t>ÖREBRO</t>
        </is>
      </c>
      <c r="G439" t="n">
        <v>10.9</v>
      </c>
      <c r="H439" t="n">
        <v>0</v>
      </c>
      <c r="I439" t="n">
        <v>0</v>
      </c>
      <c r="J439" t="n">
        <v>0</v>
      </c>
      <c r="K439" t="n">
        <v>0</v>
      </c>
      <c r="L439" t="n">
        <v>0</v>
      </c>
      <c r="M439" t="n">
        <v>0</v>
      </c>
      <c r="N439" t="n">
        <v>0</v>
      </c>
      <c r="O439" t="n">
        <v>0</v>
      </c>
      <c r="P439" t="n">
        <v>0</v>
      </c>
      <c r="Q439" t="n">
        <v>0</v>
      </c>
      <c r="R439" s="2" t="inlineStr"/>
    </row>
    <row r="440" ht="15" customHeight="1">
      <c r="A440" t="inlineStr">
        <is>
          <t>A 12099-2023</t>
        </is>
      </c>
      <c r="B440" s="1" t="n">
        <v>44998.37043981482</v>
      </c>
      <c r="C440" s="1" t="n">
        <v>46035</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63666-2025</t>
        </is>
      </c>
      <c r="B441" s="1" t="n">
        <v>46014.45650462963</v>
      </c>
      <c r="C441" s="1" t="n">
        <v>46035</v>
      </c>
      <c r="D441" t="inlineStr">
        <is>
          <t>ÖREBRO LÄN</t>
        </is>
      </c>
      <c r="E441" t="inlineStr">
        <is>
          <t>ÖREBRO</t>
        </is>
      </c>
      <c r="F441" t="inlineStr">
        <is>
          <t>Allmännings- och besparingsskogar</t>
        </is>
      </c>
      <c r="G441" t="n">
        <v>2.6</v>
      </c>
      <c r="H441" t="n">
        <v>0</v>
      </c>
      <c r="I441" t="n">
        <v>0</v>
      </c>
      <c r="J441" t="n">
        <v>0</v>
      </c>
      <c r="K441" t="n">
        <v>0</v>
      </c>
      <c r="L441" t="n">
        <v>0</v>
      </c>
      <c r="M441" t="n">
        <v>0</v>
      </c>
      <c r="N441" t="n">
        <v>0</v>
      </c>
      <c r="O441" t="n">
        <v>0</v>
      </c>
      <c r="P441" t="n">
        <v>0</v>
      </c>
      <c r="Q441" t="n">
        <v>0</v>
      </c>
      <c r="R441" s="2" t="inlineStr"/>
    </row>
    <row r="442" ht="15" customHeight="1">
      <c r="A442" t="inlineStr">
        <is>
          <t>A 55748-2025</t>
        </is>
      </c>
      <c r="B442" s="1" t="n">
        <v>45972.57893518519</v>
      </c>
      <c r="C442" s="1" t="n">
        <v>46035</v>
      </c>
      <c r="D442" t="inlineStr">
        <is>
          <t>ÖREBRO LÄN</t>
        </is>
      </c>
      <c r="E442" t="inlineStr">
        <is>
          <t>ÖREBRO</t>
        </is>
      </c>
      <c r="G442" t="n">
        <v>1.5</v>
      </c>
      <c r="H442" t="n">
        <v>0</v>
      </c>
      <c r="I442" t="n">
        <v>0</v>
      </c>
      <c r="J442" t="n">
        <v>0</v>
      </c>
      <c r="K442" t="n">
        <v>0</v>
      </c>
      <c r="L442" t="n">
        <v>0</v>
      </c>
      <c r="M442" t="n">
        <v>0</v>
      </c>
      <c r="N442" t="n">
        <v>0</v>
      </c>
      <c r="O442" t="n">
        <v>0</v>
      </c>
      <c r="P442" t="n">
        <v>0</v>
      </c>
      <c r="Q442" t="n">
        <v>0</v>
      </c>
      <c r="R442" s="2" t="inlineStr"/>
    </row>
    <row r="443" ht="15" customHeight="1">
      <c r="A443" t="inlineStr">
        <is>
          <t>A 55750-2025</t>
        </is>
      </c>
      <c r="B443" s="1" t="n">
        <v>45972.58171296296</v>
      </c>
      <c r="C443" s="1" t="n">
        <v>46035</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58277-2022</t>
        </is>
      </c>
      <c r="B444" s="1" t="n">
        <v>44901.48108796297</v>
      </c>
      <c r="C444" s="1" t="n">
        <v>46035</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31906-2023</t>
        </is>
      </c>
      <c r="B445" s="1" t="n">
        <v>45118.8353125</v>
      </c>
      <c r="C445" s="1" t="n">
        <v>46035</v>
      </c>
      <c r="D445" t="inlineStr">
        <is>
          <t>ÖREBRO LÄN</t>
        </is>
      </c>
      <c r="E445" t="inlineStr">
        <is>
          <t>ÖREBRO</t>
        </is>
      </c>
      <c r="G445" t="n">
        <v>9</v>
      </c>
      <c r="H445" t="n">
        <v>0</v>
      </c>
      <c r="I445" t="n">
        <v>0</v>
      </c>
      <c r="J445" t="n">
        <v>0</v>
      </c>
      <c r="K445" t="n">
        <v>0</v>
      </c>
      <c r="L445" t="n">
        <v>0</v>
      </c>
      <c r="M445" t="n">
        <v>0</v>
      </c>
      <c r="N445" t="n">
        <v>0</v>
      </c>
      <c r="O445" t="n">
        <v>0</v>
      </c>
      <c r="P445" t="n">
        <v>0</v>
      </c>
      <c r="Q445" t="n">
        <v>0</v>
      </c>
      <c r="R445" s="2" t="inlineStr"/>
    </row>
    <row r="446" ht="15" customHeight="1">
      <c r="A446" t="inlineStr">
        <is>
          <t>A 63657-2025</t>
        </is>
      </c>
      <c r="B446" s="1" t="n">
        <v>46014.44479166667</v>
      </c>
      <c r="C446" s="1" t="n">
        <v>46035</v>
      </c>
      <c r="D446" t="inlineStr">
        <is>
          <t>ÖREBRO LÄN</t>
        </is>
      </c>
      <c r="E446" t="inlineStr">
        <is>
          <t>ÖREBRO</t>
        </is>
      </c>
      <c r="F446" t="inlineStr">
        <is>
          <t>Allmännings- och besparingsskogar</t>
        </is>
      </c>
      <c r="G446" t="n">
        <v>3.9</v>
      </c>
      <c r="H446" t="n">
        <v>0</v>
      </c>
      <c r="I446" t="n">
        <v>0</v>
      </c>
      <c r="J446" t="n">
        <v>0</v>
      </c>
      <c r="K446" t="n">
        <v>0</v>
      </c>
      <c r="L446" t="n">
        <v>0</v>
      </c>
      <c r="M446" t="n">
        <v>0</v>
      </c>
      <c r="N446" t="n">
        <v>0</v>
      </c>
      <c r="O446" t="n">
        <v>0</v>
      </c>
      <c r="P446" t="n">
        <v>0</v>
      </c>
      <c r="Q446" t="n">
        <v>0</v>
      </c>
      <c r="R446" s="2" t="inlineStr"/>
    </row>
    <row r="447" ht="15" customHeight="1">
      <c r="A447" t="inlineStr">
        <is>
          <t>A 63662-2025</t>
        </is>
      </c>
      <c r="B447" s="1" t="n">
        <v>46014.45055555556</v>
      </c>
      <c r="C447" s="1" t="n">
        <v>46035</v>
      </c>
      <c r="D447" t="inlineStr">
        <is>
          <t>ÖREBRO LÄN</t>
        </is>
      </c>
      <c r="E447" t="inlineStr">
        <is>
          <t>ÖREBRO</t>
        </is>
      </c>
      <c r="F447" t="inlineStr">
        <is>
          <t>Allmännings- och besparingsskogar</t>
        </is>
      </c>
      <c r="G447" t="n">
        <v>3.2</v>
      </c>
      <c r="H447" t="n">
        <v>0</v>
      </c>
      <c r="I447" t="n">
        <v>0</v>
      </c>
      <c r="J447" t="n">
        <v>0</v>
      </c>
      <c r="K447" t="n">
        <v>0</v>
      </c>
      <c r="L447" t="n">
        <v>0</v>
      </c>
      <c r="M447" t="n">
        <v>0</v>
      </c>
      <c r="N447" t="n">
        <v>0</v>
      </c>
      <c r="O447" t="n">
        <v>0</v>
      </c>
      <c r="P447" t="n">
        <v>0</v>
      </c>
      <c r="Q447" t="n">
        <v>0</v>
      </c>
      <c r="R447" s="2" t="inlineStr"/>
    </row>
    <row r="448" ht="15" customHeight="1">
      <c r="A448" t="inlineStr">
        <is>
          <t>A 6387-2021</t>
        </is>
      </c>
      <c r="B448" s="1" t="n">
        <v>44235</v>
      </c>
      <c r="C448" s="1" t="n">
        <v>46035</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10937-2024</t>
        </is>
      </c>
      <c r="B449" s="1" t="n">
        <v>45370.44461805555</v>
      </c>
      <c r="C449" s="1" t="n">
        <v>46035</v>
      </c>
      <c r="D449" t="inlineStr">
        <is>
          <t>ÖREBRO LÄN</t>
        </is>
      </c>
      <c r="E449" t="inlineStr">
        <is>
          <t>ÖREBRO</t>
        </is>
      </c>
      <c r="G449" t="n">
        <v>4.3</v>
      </c>
      <c r="H449" t="n">
        <v>0</v>
      </c>
      <c r="I449" t="n">
        <v>0</v>
      </c>
      <c r="J449" t="n">
        <v>0</v>
      </c>
      <c r="K449" t="n">
        <v>0</v>
      </c>
      <c r="L449" t="n">
        <v>0</v>
      </c>
      <c r="M449" t="n">
        <v>0</v>
      </c>
      <c r="N449" t="n">
        <v>0</v>
      </c>
      <c r="O449" t="n">
        <v>0</v>
      </c>
      <c r="P449" t="n">
        <v>0</v>
      </c>
      <c r="Q449" t="n">
        <v>0</v>
      </c>
      <c r="R449" s="2" t="inlineStr"/>
    </row>
    <row r="450" ht="15" customHeight="1">
      <c r="A450" t="inlineStr">
        <is>
          <t>A 22079-2023</t>
        </is>
      </c>
      <c r="B450" s="1" t="n">
        <v>45069</v>
      </c>
      <c r="C450" s="1" t="n">
        <v>46035</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52447-2024</t>
        </is>
      </c>
      <c r="B451" s="1" t="n">
        <v>45609.49157407408</v>
      </c>
      <c r="C451" s="1" t="n">
        <v>46035</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55879-2025</t>
        </is>
      </c>
      <c r="B452" s="1" t="n">
        <v>45973.36508101852</v>
      </c>
      <c r="C452" s="1" t="n">
        <v>46035</v>
      </c>
      <c r="D452" t="inlineStr">
        <is>
          <t>ÖREBRO LÄN</t>
        </is>
      </c>
      <c r="E452" t="inlineStr">
        <is>
          <t>ÖREBRO</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3841-2023</t>
        </is>
      </c>
      <c r="B453" s="1" t="n">
        <v>44951</v>
      </c>
      <c r="C453" s="1" t="n">
        <v>46035</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55888-2025</t>
        </is>
      </c>
      <c r="B454" s="1" t="n">
        <v>45973.37163194444</v>
      </c>
      <c r="C454" s="1" t="n">
        <v>46035</v>
      </c>
      <c r="D454" t="inlineStr">
        <is>
          <t>ÖREBRO LÄN</t>
        </is>
      </c>
      <c r="E454" t="inlineStr">
        <is>
          <t>ÖREBRO</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38489-2023</t>
        </is>
      </c>
      <c r="B455" s="1" t="n">
        <v>45162</v>
      </c>
      <c r="C455" s="1" t="n">
        <v>46035</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70719-2021</t>
        </is>
      </c>
      <c r="B456" s="1" t="n">
        <v>44537</v>
      </c>
      <c r="C456" s="1" t="n">
        <v>46035</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38573-2023</t>
        </is>
      </c>
      <c r="B457" s="1" t="n">
        <v>45162.61837962963</v>
      </c>
      <c r="C457" s="1" t="n">
        <v>46035</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4757-2024</t>
        </is>
      </c>
      <c r="B458" s="1" t="n">
        <v>45328</v>
      </c>
      <c r="C458" s="1" t="n">
        <v>46035</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48140-2024</t>
        </is>
      </c>
      <c r="B459" s="1" t="n">
        <v>45589.66474537037</v>
      </c>
      <c r="C459" s="1" t="n">
        <v>46035</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2658-2023</t>
        </is>
      </c>
      <c r="B460" s="1" t="n">
        <v>44944</v>
      </c>
      <c r="C460" s="1" t="n">
        <v>46035</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11565-2023</t>
        </is>
      </c>
      <c r="B461" s="1" t="n">
        <v>44994</v>
      </c>
      <c r="C461" s="1" t="n">
        <v>46035</v>
      </c>
      <c r="D461" t="inlineStr">
        <is>
          <t>ÖREBRO LÄN</t>
        </is>
      </c>
      <c r="E461" t="inlineStr">
        <is>
          <t>ÖREBRO</t>
        </is>
      </c>
      <c r="G461" t="n">
        <v>4.7</v>
      </c>
      <c r="H461" t="n">
        <v>0</v>
      </c>
      <c r="I461" t="n">
        <v>0</v>
      </c>
      <c r="J461" t="n">
        <v>0</v>
      </c>
      <c r="K461" t="n">
        <v>0</v>
      </c>
      <c r="L461" t="n">
        <v>0</v>
      </c>
      <c r="M461" t="n">
        <v>0</v>
      </c>
      <c r="N461" t="n">
        <v>0</v>
      </c>
      <c r="O461" t="n">
        <v>0</v>
      </c>
      <c r="P461" t="n">
        <v>0</v>
      </c>
      <c r="Q461" t="n">
        <v>0</v>
      </c>
      <c r="R461" s="2" t="inlineStr"/>
    </row>
    <row r="462" ht="15" customHeight="1">
      <c r="A462" t="inlineStr">
        <is>
          <t>A 16736-2023</t>
        </is>
      </c>
      <c r="B462" s="1" t="n">
        <v>45030.72328703704</v>
      </c>
      <c r="C462" s="1" t="n">
        <v>46035</v>
      </c>
      <c r="D462" t="inlineStr">
        <is>
          <t>ÖREBRO LÄN</t>
        </is>
      </c>
      <c r="E462" t="inlineStr">
        <is>
          <t>ÖREBRO</t>
        </is>
      </c>
      <c r="G462" t="n">
        <v>4</v>
      </c>
      <c r="H462" t="n">
        <v>0</v>
      </c>
      <c r="I462" t="n">
        <v>0</v>
      </c>
      <c r="J462" t="n">
        <v>0</v>
      </c>
      <c r="K462" t="n">
        <v>0</v>
      </c>
      <c r="L462" t="n">
        <v>0</v>
      </c>
      <c r="M462" t="n">
        <v>0</v>
      </c>
      <c r="N462" t="n">
        <v>0</v>
      </c>
      <c r="O462" t="n">
        <v>0</v>
      </c>
      <c r="P462" t="n">
        <v>0</v>
      </c>
      <c r="Q462" t="n">
        <v>0</v>
      </c>
      <c r="R462" s="2" t="inlineStr"/>
    </row>
    <row r="463" ht="15" customHeight="1">
      <c r="A463" t="inlineStr">
        <is>
          <t>A 2630-2023</t>
        </is>
      </c>
      <c r="B463" s="1" t="n">
        <v>44944.39105324074</v>
      </c>
      <c r="C463" s="1" t="n">
        <v>46035</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64018-2025</t>
        </is>
      </c>
      <c r="B464" s="1" t="n">
        <v>46021.4546412037</v>
      </c>
      <c r="C464" s="1" t="n">
        <v>46035</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30015-2023</t>
        </is>
      </c>
      <c r="B465" s="1" t="n">
        <v>45109</v>
      </c>
      <c r="C465" s="1" t="n">
        <v>46035</v>
      </c>
      <c r="D465" t="inlineStr">
        <is>
          <t>ÖREBRO LÄN</t>
        </is>
      </c>
      <c r="E465" t="inlineStr">
        <is>
          <t>ÖREBRO</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37968-2024</t>
        </is>
      </c>
      <c r="B466" s="1" t="n">
        <v>45544</v>
      </c>
      <c r="C466" s="1" t="n">
        <v>46035</v>
      </c>
      <c r="D466" t="inlineStr">
        <is>
          <t>ÖREBRO LÄN</t>
        </is>
      </c>
      <c r="E466" t="inlineStr">
        <is>
          <t>ÖREBRO</t>
        </is>
      </c>
      <c r="G466" t="n">
        <v>2</v>
      </c>
      <c r="H466" t="n">
        <v>0</v>
      </c>
      <c r="I466" t="n">
        <v>0</v>
      </c>
      <c r="J466" t="n">
        <v>0</v>
      </c>
      <c r="K466" t="n">
        <v>0</v>
      </c>
      <c r="L466" t="n">
        <v>0</v>
      </c>
      <c r="M466" t="n">
        <v>0</v>
      </c>
      <c r="N466" t="n">
        <v>0</v>
      </c>
      <c r="O466" t="n">
        <v>0</v>
      </c>
      <c r="P466" t="n">
        <v>0</v>
      </c>
      <c r="Q466" t="n">
        <v>0</v>
      </c>
      <c r="R466" s="2" t="inlineStr"/>
    </row>
    <row r="467" ht="15" customHeight="1">
      <c r="A467" t="inlineStr">
        <is>
          <t>A 64019-2025</t>
        </is>
      </c>
      <c r="B467" s="1" t="n">
        <v>46021.45914351852</v>
      </c>
      <c r="C467" s="1" t="n">
        <v>46035</v>
      </c>
      <c r="D467" t="inlineStr">
        <is>
          <t>ÖREBRO LÄN</t>
        </is>
      </c>
      <c r="E467" t="inlineStr">
        <is>
          <t>ÖREBRO</t>
        </is>
      </c>
      <c r="G467" t="n">
        <v>2</v>
      </c>
      <c r="H467" t="n">
        <v>0</v>
      </c>
      <c r="I467" t="n">
        <v>0</v>
      </c>
      <c r="J467" t="n">
        <v>0</v>
      </c>
      <c r="K467" t="n">
        <v>0</v>
      </c>
      <c r="L467" t="n">
        <v>0</v>
      </c>
      <c r="M467" t="n">
        <v>0</v>
      </c>
      <c r="N467" t="n">
        <v>0</v>
      </c>
      <c r="O467" t="n">
        <v>0</v>
      </c>
      <c r="P467" t="n">
        <v>0</v>
      </c>
      <c r="Q467" t="n">
        <v>0</v>
      </c>
      <c r="R467" s="2" t="inlineStr"/>
    </row>
    <row r="468" ht="15" customHeight="1">
      <c r="A468" t="inlineStr">
        <is>
          <t>A 31326-2024</t>
        </is>
      </c>
      <c r="B468" s="1" t="n">
        <v>45504.5934375</v>
      </c>
      <c r="C468" s="1" t="n">
        <v>46035</v>
      </c>
      <c r="D468" t="inlineStr">
        <is>
          <t>ÖREBRO LÄN</t>
        </is>
      </c>
      <c r="E468" t="inlineStr">
        <is>
          <t>ÖREBRO</t>
        </is>
      </c>
      <c r="G468" t="n">
        <v>6.4</v>
      </c>
      <c r="H468" t="n">
        <v>0</v>
      </c>
      <c r="I468" t="n">
        <v>0</v>
      </c>
      <c r="J468" t="n">
        <v>0</v>
      </c>
      <c r="K468" t="n">
        <v>0</v>
      </c>
      <c r="L468" t="n">
        <v>0</v>
      </c>
      <c r="M468" t="n">
        <v>0</v>
      </c>
      <c r="N468" t="n">
        <v>0</v>
      </c>
      <c r="O468" t="n">
        <v>0</v>
      </c>
      <c r="P468" t="n">
        <v>0</v>
      </c>
      <c r="Q468" t="n">
        <v>0</v>
      </c>
      <c r="R468" s="2" t="inlineStr"/>
    </row>
    <row r="469" ht="15" customHeight="1">
      <c r="A469" t="inlineStr">
        <is>
          <t>A 57537-2025</t>
        </is>
      </c>
      <c r="B469" s="1" t="n">
        <v>45980.6446875</v>
      </c>
      <c r="C469" s="1" t="n">
        <v>46035</v>
      </c>
      <c r="D469" t="inlineStr">
        <is>
          <t>ÖREBRO LÄN</t>
        </is>
      </c>
      <c r="E469" t="inlineStr">
        <is>
          <t>ÖREBRO</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58587-2025</t>
        </is>
      </c>
      <c r="B470" s="1" t="n">
        <v>45986.40208333333</v>
      </c>
      <c r="C470" s="1" t="n">
        <v>46035</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22045-2024</t>
        </is>
      </c>
      <c r="B471" s="1" t="n">
        <v>45443.61171296296</v>
      </c>
      <c r="C471" s="1" t="n">
        <v>46035</v>
      </c>
      <c r="D471" t="inlineStr">
        <is>
          <t>ÖREBRO LÄN</t>
        </is>
      </c>
      <c r="E471" t="inlineStr">
        <is>
          <t>ÖREBRO</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58684-2023</t>
        </is>
      </c>
      <c r="B472" s="1" t="n">
        <v>45251</v>
      </c>
      <c r="C472" s="1" t="n">
        <v>46035</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58230-2025</t>
        </is>
      </c>
      <c r="B473" s="1" t="n">
        <v>45985.38037037037</v>
      </c>
      <c r="C473" s="1" t="n">
        <v>46035</v>
      </c>
      <c r="D473" t="inlineStr">
        <is>
          <t>ÖREBRO LÄN</t>
        </is>
      </c>
      <c r="E473" t="inlineStr">
        <is>
          <t>ÖREBRO</t>
        </is>
      </c>
      <c r="F473" t="inlineStr">
        <is>
          <t>Övriga Aktiebolag</t>
        </is>
      </c>
      <c r="G473" t="n">
        <v>1.4</v>
      </c>
      <c r="H473" t="n">
        <v>0</v>
      </c>
      <c r="I473" t="n">
        <v>0</v>
      </c>
      <c r="J473" t="n">
        <v>0</v>
      </c>
      <c r="K473" t="n">
        <v>0</v>
      </c>
      <c r="L473" t="n">
        <v>0</v>
      </c>
      <c r="M473" t="n">
        <v>0</v>
      </c>
      <c r="N473" t="n">
        <v>0</v>
      </c>
      <c r="O473" t="n">
        <v>0</v>
      </c>
      <c r="P473" t="n">
        <v>0</v>
      </c>
      <c r="Q473" t="n">
        <v>0</v>
      </c>
      <c r="R473" s="2" t="inlineStr"/>
    </row>
    <row r="474" ht="15" customHeight="1">
      <c r="A474" t="inlineStr">
        <is>
          <t>A 38898-2023</t>
        </is>
      </c>
      <c r="B474" s="1" t="n">
        <v>45163</v>
      </c>
      <c r="C474" s="1" t="n">
        <v>46035</v>
      </c>
      <c r="D474" t="inlineStr">
        <is>
          <t>ÖREBRO LÄN</t>
        </is>
      </c>
      <c r="E474" t="inlineStr">
        <is>
          <t>ÖREBRO</t>
        </is>
      </c>
      <c r="G474" t="n">
        <v>5.1</v>
      </c>
      <c r="H474" t="n">
        <v>0</v>
      </c>
      <c r="I474" t="n">
        <v>0</v>
      </c>
      <c r="J474" t="n">
        <v>0</v>
      </c>
      <c r="K474" t="n">
        <v>0</v>
      </c>
      <c r="L474" t="n">
        <v>0</v>
      </c>
      <c r="M474" t="n">
        <v>0</v>
      </c>
      <c r="N474" t="n">
        <v>0</v>
      </c>
      <c r="O474" t="n">
        <v>0</v>
      </c>
      <c r="P474" t="n">
        <v>0</v>
      </c>
      <c r="Q474" t="n">
        <v>0</v>
      </c>
      <c r="R474" s="2" t="inlineStr"/>
    </row>
    <row r="475" ht="15" customHeight="1">
      <c r="A475" t="inlineStr">
        <is>
          <t>A 13321-2024</t>
        </is>
      </c>
      <c r="B475" s="1" t="n">
        <v>45386.83142361111</v>
      </c>
      <c r="C475" s="1" t="n">
        <v>46035</v>
      </c>
      <c r="D475" t="inlineStr">
        <is>
          <t>ÖREBRO LÄN</t>
        </is>
      </c>
      <c r="E475" t="inlineStr">
        <is>
          <t>ÖREBRO</t>
        </is>
      </c>
      <c r="G475" t="n">
        <v>13.1</v>
      </c>
      <c r="H475" t="n">
        <v>0</v>
      </c>
      <c r="I475" t="n">
        <v>0</v>
      </c>
      <c r="J475" t="n">
        <v>0</v>
      </c>
      <c r="K475" t="n">
        <v>0</v>
      </c>
      <c r="L475" t="n">
        <v>0</v>
      </c>
      <c r="M475" t="n">
        <v>0</v>
      </c>
      <c r="N475" t="n">
        <v>0</v>
      </c>
      <c r="O475" t="n">
        <v>0</v>
      </c>
      <c r="P475" t="n">
        <v>0</v>
      </c>
      <c r="Q475" t="n">
        <v>0</v>
      </c>
      <c r="R475" s="2" t="inlineStr"/>
    </row>
    <row r="476" ht="15" customHeight="1">
      <c r="A476" t="inlineStr">
        <is>
          <t>A 38583-2023</t>
        </is>
      </c>
      <c r="B476" s="1" t="n">
        <v>45162.62861111111</v>
      </c>
      <c r="C476" s="1" t="n">
        <v>46035</v>
      </c>
      <c r="D476" t="inlineStr">
        <is>
          <t>ÖREBRO LÄN</t>
        </is>
      </c>
      <c r="E476" t="inlineStr">
        <is>
          <t>ÖREBRO</t>
        </is>
      </c>
      <c r="G476" t="n">
        <v>5.7</v>
      </c>
      <c r="H476" t="n">
        <v>0</v>
      </c>
      <c r="I476" t="n">
        <v>0</v>
      </c>
      <c r="J476" t="n">
        <v>0</v>
      </c>
      <c r="K476" t="n">
        <v>0</v>
      </c>
      <c r="L476" t="n">
        <v>0</v>
      </c>
      <c r="M476" t="n">
        <v>0</v>
      </c>
      <c r="N476" t="n">
        <v>0</v>
      </c>
      <c r="O476" t="n">
        <v>0</v>
      </c>
      <c r="P476" t="n">
        <v>0</v>
      </c>
      <c r="Q476" t="n">
        <v>0</v>
      </c>
      <c r="R476" s="2" t="inlineStr"/>
    </row>
    <row r="477" ht="15" customHeight="1">
      <c r="A477" t="inlineStr">
        <is>
          <t>A 14291-2023</t>
        </is>
      </c>
      <c r="B477" s="1" t="n">
        <v>45010</v>
      </c>
      <c r="C477" s="1" t="n">
        <v>46035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9314-2023</t>
        </is>
      </c>
      <c r="B478" s="1" t="n">
        <v>44980.67747685185</v>
      </c>
      <c r="C478" s="1" t="n">
        <v>46035</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33455-2023</t>
        </is>
      </c>
      <c r="B479" s="1" t="n">
        <v>45130.98962962963</v>
      </c>
      <c r="C479" s="1" t="n">
        <v>46035</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21306-2024</t>
        </is>
      </c>
      <c r="B480" s="1" t="n">
        <v>45440.67883101852</v>
      </c>
      <c r="C480" s="1" t="n">
        <v>46035</v>
      </c>
      <c r="D480" t="inlineStr">
        <is>
          <t>ÖREBRO LÄN</t>
        </is>
      </c>
      <c r="E480" t="inlineStr">
        <is>
          <t>ÖREBRO</t>
        </is>
      </c>
      <c r="F480" t="inlineStr">
        <is>
          <t>Övriga Aktiebolag</t>
        </is>
      </c>
      <c r="G480" t="n">
        <v>2</v>
      </c>
      <c r="H480" t="n">
        <v>0</v>
      </c>
      <c r="I480" t="n">
        <v>0</v>
      </c>
      <c r="J480" t="n">
        <v>0</v>
      </c>
      <c r="K480" t="n">
        <v>0</v>
      </c>
      <c r="L480" t="n">
        <v>0</v>
      </c>
      <c r="M480" t="n">
        <v>0</v>
      </c>
      <c r="N480" t="n">
        <v>0</v>
      </c>
      <c r="O480" t="n">
        <v>0</v>
      </c>
      <c r="P480" t="n">
        <v>0</v>
      </c>
      <c r="Q480" t="n">
        <v>0</v>
      </c>
      <c r="R480" s="2" t="inlineStr"/>
    </row>
    <row r="481" ht="15" customHeight="1">
      <c r="A481" t="inlineStr">
        <is>
          <t>A 59145-2025</t>
        </is>
      </c>
      <c r="B481" s="1" t="n">
        <v>45988.52015046297</v>
      </c>
      <c r="C481" s="1" t="n">
        <v>46035</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7634-2024</t>
        </is>
      </c>
      <c r="B482" s="1" t="n">
        <v>45348</v>
      </c>
      <c r="C482" s="1" t="n">
        <v>46035</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5324-2024</t>
        </is>
      </c>
      <c r="B483" s="1" t="n">
        <v>45331</v>
      </c>
      <c r="C483" s="1" t="n">
        <v>46035</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52401-2024</t>
        </is>
      </c>
      <c r="B484" s="1" t="n">
        <v>45609.44553240741</v>
      </c>
      <c r="C484" s="1" t="n">
        <v>46035</v>
      </c>
      <c r="D484" t="inlineStr">
        <is>
          <t>ÖREBRO LÄN</t>
        </is>
      </c>
      <c r="E484" t="inlineStr">
        <is>
          <t>ÖREBRO</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58835-2025</t>
        </is>
      </c>
      <c r="B485" s="1" t="n">
        <v>45987.35519675926</v>
      </c>
      <c r="C485" s="1" t="n">
        <v>46035</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14963-2025</t>
        </is>
      </c>
      <c r="B486" s="1" t="n">
        <v>45743.58699074074</v>
      </c>
      <c r="C486" s="1" t="n">
        <v>46035</v>
      </c>
      <c r="D486" t="inlineStr">
        <is>
          <t>ÖREBRO LÄN</t>
        </is>
      </c>
      <c r="E486" t="inlineStr">
        <is>
          <t>ÖREBRO</t>
        </is>
      </c>
      <c r="G486" t="n">
        <v>9.1</v>
      </c>
      <c r="H486" t="n">
        <v>0</v>
      </c>
      <c r="I486" t="n">
        <v>0</v>
      </c>
      <c r="J486" t="n">
        <v>0</v>
      </c>
      <c r="K486" t="n">
        <v>0</v>
      </c>
      <c r="L486" t="n">
        <v>0</v>
      </c>
      <c r="M486" t="n">
        <v>0</v>
      </c>
      <c r="N486" t="n">
        <v>0</v>
      </c>
      <c r="O486" t="n">
        <v>0</v>
      </c>
      <c r="P486" t="n">
        <v>0</v>
      </c>
      <c r="Q486" t="n">
        <v>0</v>
      </c>
      <c r="R486" s="2" t="inlineStr"/>
    </row>
    <row r="487" ht="15" customHeight="1">
      <c r="A487" t="inlineStr">
        <is>
          <t>A 55357-2024</t>
        </is>
      </c>
      <c r="B487" s="1" t="n">
        <v>45621.81126157408</v>
      </c>
      <c r="C487" s="1" t="n">
        <v>46035</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38422-2023</t>
        </is>
      </c>
      <c r="B488" s="1" t="n">
        <v>45162.36422453704</v>
      </c>
      <c r="C488" s="1" t="n">
        <v>46035</v>
      </c>
      <c r="D488" t="inlineStr">
        <is>
          <t>ÖREBRO LÄN</t>
        </is>
      </c>
      <c r="E488" t="inlineStr">
        <is>
          <t>ÖREBRO</t>
        </is>
      </c>
      <c r="G488" t="n">
        <v>8</v>
      </c>
      <c r="H488" t="n">
        <v>0</v>
      </c>
      <c r="I488" t="n">
        <v>0</v>
      </c>
      <c r="J488" t="n">
        <v>0</v>
      </c>
      <c r="K488" t="n">
        <v>0</v>
      </c>
      <c r="L488" t="n">
        <v>0</v>
      </c>
      <c r="M488" t="n">
        <v>0</v>
      </c>
      <c r="N488" t="n">
        <v>0</v>
      </c>
      <c r="O488" t="n">
        <v>0</v>
      </c>
      <c r="P488" t="n">
        <v>0</v>
      </c>
      <c r="Q488" t="n">
        <v>0</v>
      </c>
      <c r="R488" s="2" t="inlineStr"/>
    </row>
    <row r="489" ht="15" customHeight="1">
      <c r="A489" t="inlineStr">
        <is>
          <t>A 46518-2023</t>
        </is>
      </c>
      <c r="B489" s="1" t="n">
        <v>45197.72777777778</v>
      </c>
      <c r="C489" s="1" t="n">
        <v>46035</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59312-2025</t>
        </is>
      </c>
      <c r="B490" s="1" t="n">
        <v>45989.30467592592</v>
      </c>
      <c r="C490" s="1" t="n">
        <v>46035</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59313-2025</t>
        </is>
      </c>
      <c r="B491" s="1" t="n">
        <v>45989.30920138889</v>
      </c>
      <c r="C491" s="1" t="n">
        <v>46035</v>
      </c>
      <c r="D491" t="inlineStr">
        <is>
          <t>ÖREBRO LÄN</t>
        </is>
      </c>
      <c r="E491" t="inlineStr">
        <is>
          <t>ÖREBRO</t>
        </is>
      </c>
      <c r="G491" t="n">
        <v>1.6</v>
      </c>
      <c r="H491" t="n">
        <v>0</v>
      </c>
      <c r="I491" t="n">
        <v>0</v>
      </c>
      <c r="J491" t="n">
        <v>0</v>
      </c>
      <c r="K491" t="n">
        <v>0</v>
      </c>
      <c r="L491" t="n">
        <v>0</v>
      </c>
      <c r="M491" t="n">
        <v>0</v>
      </c>
      <c r="N491" t="n">
        <v>0</v>
      </c>
      <c r="O491" t="n">
        <v>0</v>
      </c>
      <c r="P491" t="n">
        <v>0</v>
      </c>
      <c r="Q491" t="n">
        <v>0</v>
      </c>
      <c r="R491" s="2" t="inlineStr"/>
    </row>
    <row r="492" ht="15" customHeight="1">
      <c r="A492" t="inlineStr">
        <is>
          <t>A 59856-2025</t>
        </is>
      </c>
      <c r="B492" s="1" t="n">
        <v>45992.74891203704</v>
      </c>
      <c r="C492" s="1" t="n">
        <v>46035</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1153-2026</t>
        </is>
      </c>
      <c r="B493" s="1" t="n">
        <v>46031.30899305556</v>
      </c>
      <c r="C493" s="1" t="n">
        <v>46035</v>
      </c>
      <c r="D493" t="inlineStr">
        <is>
          <t>ÖREBRO LÄN</t>
        </is>
      </c>
      <c r="E493" t="inlineStr">
        <is>
          <t>ÖREBRO</t>
        </is>
      </c>
      <c r="G493" t="n">
        <v>3.3</v>
      </c>
      <c r="H493" t="n">
        <v>0</v>
      </c>
      <c r="I493" t="n">
        <v>0</v>
      </c>
      <c r="J493" t="n">
        <v>0</v>
      </c>
      <c r="K493" t="n">
        <v>0</v>
      </c>
      <c r="L493" t="n">
        <v>0</v>
      </c>
      <c r="M493" t="n">
        <v>0</v>
      </c>
      <c r="N493" t="n">
        <v>0</v>
      </c>
      <c r="O493" t="n">
        <v>0</v>
      </c>
      <c r="P493" t="n">
        <v>0</v>
      </c>
      <c r="Q493" t="n">
        <v>0</v>
      </c>
      <c r="R493" s="2" t="inlineStr"/>
    </row>
    <row r="494" ht="15" customHeight="1">
      <c r="A494" t="inlineStr">
        <is>
          <t>A 41703-2024</t>
        </is>
      </c>
      <c r="B494" s="1" t="n">
        <v>45560</v>
      </c>
      <c r="C494" s="1" t="n">
        <v>46035</v>
      </c>
      <c r="D494" t="inlineStr">
        <is>
          <t>ÖREBRO LÄN</t>
        </is>
      </c>
      <c r="E494" t="inlineStr">
        <is>
          <t>ÖREBRO</t>
        </is>
      </c>
      <c r="G494" t="n">
        <v>6.4</v>
      </c>
      <c r="H494" t="n">
        <v>0</v>
      </c>
      <c r="I494" t="n">
        <v>0</v>
      </c>
      <c r="J494" t="n">
        <v>0</v>
      </c>
      <c r="K494" t="n">
        <v>0</v>
      </c>
      <c r="L494" t="n">
        <v>0</v>
      </c>
      <c r="M494" t="n">
        <v>0</v>
      </c>
      <c r="N494" t="n">
        <v>0</v>
      </c>
      <c r="O494" t="n">
        <v>0</v>
      </c>
      <c r="P494" t="n">
        <v>0</v>
      </c>
      <c r="Q494" t="n">
        <v>0</v>
      </c>
      <c r="R494" s="2" t="inlineStr"/>
    </row>
    <row r="495" ht="15" customHeight="1">
      <c r="A495" t="inlineStr">
        <is>
          <t>A 19763-2024</t>
        </is>
      </c>
      <c r="B495" s="1" t="n">
        <v>45432</v>
      </c>
      <c r="C495" s="1" t="n">
        <v>46035</v>
      </c>
      <c r="D495" t="inlineStr">
        <is>
          <t>ÖREBRO LÄN</t>
        </is>
      </c>
      <c r="E495" t="inlineStr">
        <is>
          <t>ÖREBRO</t>
        </is>
      </c>
      <c r="G495" t="n">
        <v>1.9</v>
      </c>
      <c r="H495" t="n">
        <v>0</v>
      </c>
      <c r="I495" t="n">
        <v>0</v>
      </c>
      <c r="J495" t="n">
        <v>0</v>
      </c>
      <c r="K495" t="n">
        <v>0</v>
      </c>
      <c r="L495" t="n">
        <v>0</v>
      </c>
      <c r="M495" t="n">
        <v>0</v>
      </c>
      <c r="N495" t="n">
        <v>0</v>
      </c>
      <c r="O495" t="n">
        <v>0</v>
      </c>
      <c r="P495" t="n">
        <v>0</v>
      </c>
      <c r="Q495" t="n">
        <v>0</v>
      </c>
      <c r="R495" s="2" t="inlineStr"/>
    </row>
    <row r="496" ht="15" customHeight="1">
      <c r="A496" t="inlineStr">
        <is>
          <t>A 31247-2023</t>
        </is>
      </c>
      <c r="B496" s="1" t="n">
        <v>45114</v>
      </c>
      <c r="C496" s="1" t="n">
        <v>46035</v>
      </c>
      <c r="D496" t="inlineStr">
        <is>
          <t>ÖREBRO LÄN</t>
        </is>
      </c>
      <c r="E496" t="inlineStr">
        <is>
          <t>ÖREBRO</t>
        </is>
      </c>
      <c r="F496" t="inlineStr">
        <is>
          <t>Allmännings- och besparingsskogar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59515-2025</t>
        </is>
      </c>
      <c r="B497" s="1" t="n">
        <v>45989.65238425926</v>
      </c>
      <c r="C497" s="1" t="n">
        <v>46035</v>
      </c>
      <c r="D497" t="inlineStr">
        <is>
          <t>ÖREBRO LÄN</t>
        </is>
      </c>
      <c r="E497" t="inlineStr">
        <is>
          <t>ÖREBRO</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36635-2023</t>
        </is>
      </c>
      <c r="B498" s="1" t="n">
        <v>45153</v>
      </c>
      <c r="C498" s="1" t="n">
        <v>46035</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54149-2024</t>
        </is>
      </c>
      <c r="B499" s="1" t="n">
        <v>45616</v>
      </c>
      <c r="C499" s="1" t="n">
        <v>46035</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49797-2024</t>
        </is>
      </c>
      <c r="B500" s="1" t="n">
        <v>45597.37265046296</v>
      </c>
      <c r="C500" s="1" t="n">
        <v>46035</v>
      </c>
      <c r="D500" t="inlineStr">
        <is>
          <t>ÖREBRO LÄN</t>
        </is>
      </c>
      <c r="E500" t="inlineStr">
        <is>
          <t>ÖREBRO</t>
        </is>
      </c>
      <c r="G500" t="n">
        <v>11.6</v>
      </c>
      <c r="H500" t="n">
        <v>0</v>
      </c>
      <c r="I500" t="n">
        <v>0</v>
      </c>
      <c r="J500" t="n">
        <v>0</v>
      </c>
      <c r="K500" t="n">
        <v>0</v>
      </c>
      <c r="L500" t="n">
        <v>0</v>
      </c>
      <c r="M500" t="n">
        <v>0</v>
      </c>
      <c r="N500" t="n">
        <v>0</v>
      </c>
      <c r="O500" t="n">
        <v>0</v>
      </c>
      <c r="P500" t="n">
        <v>0</v>
      </c>
      <c r="Q500" t="n">
        <v>0</v>
      </c>
      <c r="R500" s="2" t="inlineStr"/>
    </row>
    <row r="501" ht="15" customHeight="1">
      <c r="A501" t="inlineStr">
        <is>
          <t>A 32086-2023</t>
        </is>
      </c>
      <c r="B501" s="1" t="n">
        <v>45119.59789351852</v>
      </c>
      <c r="C501" s="1" t="n">
        <v>46035</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13856-2022</t>
        </is>
      </c>
      <c r="B502" s="1" t="n">
        <v>44649.6965162037</v>
      </c>
      <c r="C502" s="1" t="n">
        <v>46035</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23863-2023</t>
        </is>
      </c>
      <c r="B503" s="1" t="n">
        <v>45078.48994212963</v>
      </c>
      <c r="C503" s="1" t="n">
        <v>46035</v>
      </c>
      <c r="D503" t="inlineStr">
        <is>
          <t>ÖREBRO LÄN</t>
        </is>
      </c>
      <c r="E503" t="inlineStr">
        <is>
          <t>ÖREBRO</t>
        </is>
      </c>
      <c r="F503" t="inlineStr">
        <is>
          <t>Övriga Aktiebolag</t>
        </is>
      </c>
      <c r="G503" t="n">
        <v>5.9</v>
      </c>
      <c r="H503" t="n">
        <v>0</v>
      </c>
      <c r="I503" t="n">
        <v>0</v>
      </c>
      <c r="J503" t="n">
        <v>0</v>
      </c>
      <c r="K503" t="n">
        <v>0</v>
      </c>
      <c r="L503" t="n">
        <v>0</v>
      </c>
      <c r="M503" t="n">
        <v>0</v>
      </c>
      <c r="N503" t="n">
        <v>0</v>
      </c>
      <c r="O503" t="n">
        <v>0</v>
      </c>
      <c r="P503" t="n">
        <v>0</v>
      </c>
      <c r="Q503" t="n">
        <v>0</v>
      </c>
      <c r="R503" s="2" t="inlineStr"/>
    </row>
    <row r="504" ht="15" customHeight="1">
      <c r="A504" t="inlineStr">
        <is>
          <t>A 39130-2023</t>
        </is>
      </c>
      <c r="B504" s="1" t="n">
        <v>45165</v>
      </c>
      <c r="C504" s="1" t="n">
        <v>46035</v>
      </c>
      <c r="D504" t="inlineStr">
        <is>
          <t>ÖREBRO LÄN</t>
        </is>
      </c>
      <c r="E504" t="inlineStr">
        <is>
          <t>ÖREBRO</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13599-2025</t>
        </is>
      </c>
      <c r="B505" s="1" t="n">
        <v>45736.60597222222</v>
      </c>
      <c r="C505" s="1" t="n">
        <v>46035</v>
      </c>
      <c r="D505" t="inlineStr">
        <is>
          <t>ÖREBRO LÄN</t>
        </is>
      </c>
      <c r="E505" t="inlineStr">
        <is>
          <t>ÖREBRO</t>
        </is>
      </c>
      <c r="G505" t="n">
        <v>1.9</v>
      </c>
      <c r="H505" t="n">
        <v>0</v>
      </c>
      <c r="I505" t="n">
        <v>0</v>
      </c>
      <c r="J505" t="n">
        <v>0</v>
      </c>
      <c r="K505" t="n">
        <v>0</v>
      </c>
      <c r="L505" t="n">
        <v>0</v>
      </c>
      <c r="M505" t="n">
        <v>0</v>
      </c>
      <c r="N505" t="n">
        <v>0</v>
      </c>
      <c r="O505" t="n">
        <v>0</v>
      </c>
      <c r="P505" t="n">
        <v>0</v>
      </c>
      <c r="Q505" t="n">
        <v>0</v>
      </c>
      <c r="R505" s="2" t="inlineStr"/>
    </row>
    <row r="506" ht="15" customHeight="1">
      <c r="A506" t="inlineStr">
        <is>
          <t>A 50375-2024</t>
        </is>
      </c>
      <c r="B506" s="1" t="n">
        <v>45601.29311342593</v>
      </c>
      <c r="C506" s="1" t="n">
        <v>46035</v>
      </c>
      <c r="D506" t="inlineStr">
        <is>
          <t>ÖREBRO LÄN</t>
        </is>
      </c>
      <c r="E506" t="inlineStr">
        <is>
          <t>ÖREBRO</t>
        </is>
      </c>
      <c r="G506" t="n">
        <v>5</v>
      </c>
      <c r="H506" t="n">
        <v>0</v>
      </c>
      <c r="I506" t="n">
        <v>0</v>
      </c>
      <c r="J506" t="n">
        <v>0</v>
      </c>
      <c r="K506" t="n">
        <v>0</v>
      </c>
      <c r="L506" t="n">
        <v>0</v>
      </c>
      <c r="M506" t="n">
        <v>0</v>
      </c>
      <c r="N506" t="n">
        <v>0</v>
      </c>
      <c r="O506" t="n">
        <v>0</v>
      </c>
      <c r="P506" t="n">
        <v>0</v>
      </c>
      <c r="Q506" t="n">
        <v>0</v>
      </c>
      <c r="R506" s="2" t="inlineStr"/>
    </row>
    <row r="507" ht="15" customHeight="1">
      <c r="A507" t="inlineStr">
        <is>
          <t>A 52391-2024</t>
        </is>
      </c>
      <c r="B507" s="1" t="n">
        <v>45609.43180555556</v>
      </c>
      <c r="C507" s="1" t="n">
        <v>46035</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58532-2024</t>
        </is>
      </c>
      <c r="B508" s="1" t="n">
        <v>45635.44899305556</v>
      </c>
      <c r="C508" s="1" t="n">
        <v>46035</v>
      </c>
      <c r="D508" t="inlineStr">
        <is>
          <t>ÖREBRO LÄN</t>
        </is>
      </c>
      <c r="E508" t="inlineStr">
        <is>
          <t>ÖREBRO</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20150-2024</t>
        </is>
      </c>
      <c r="B509" s="1" t="n">
        <v>45434.57969907407</v>
      </c>
      <c r="C509" s="1" t="n">
        <v>46035</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58208-2024</t>
        </is>
      </c>
      <c r="B510" s="1" t="n">
        <v>45632</v>
      </c>
      <c r="C510" s="1" t="n">
        <v>46035</v>
      </c>
      <c r="D510" t="inlineStr">
        <is>
          <t>ÖREBRO LÄN</t>
        </is>
      </c>
      <c r="E510" t="inlineStr">
        <is>
          <t>ÖREBRO</t>
        </is>
      </c>
      <c r="G510" t="n">
        <v>3.1</v>
      </c>
      <c r="H510" t="n">
        <v>0</v>
      </c>
      <c r="I510" t="n">
        <v>0</v>
      </c>
      <c r="J510" t="n">
        <v>0</v>
      </c>
      <c r="K510" t="n">
        <v>0</v>
      </c>
      <c r="L510" t="n">
        <v>0</v>
      </c>
      <c r="M510" t="n">
        <v>0</v>
      </c>
      <c r="N510" t="n">
        <v>0</v>
      </c>
      <c r="O510" t="n">
        <v>0</v>
      </c>
      <c r="P510" t="n">
        <v>0</v>
      </c>
      <c r="Q510" t="n">
        <v>0</v>
      </c>
      <c r="R510" s="2" t="inlineStr"/>
    </row>
    <row r="511" ht="15" customHeight="1">
      <c r="A511" t="inlineStr">
        <is>
          <t>A 19388-2024</t>
        </is>
      </c>
      <c r="B511" s="1" t="n">
        <v>45429.37775462963</v>
      </c>
      <c r="C511" s="1" t="n">
        <v>46035</v>
      </c>
      <c r="D511" t="inlineStr">
        <is>
          <t>ÖREBRO LÄN</t>
        </is>
      </c>
      <c r="E511" t="inlineStr">
        <is>
          <t>ÖREBRO</t>
        </is>
      </c>
      <c r="G511" t="n">
        <v>4.3</v>
      </c>
      <c r="H511" t="n">
        <v>0</v>
      </c>
      <c r="I511" t="n">
        <v>0</v>
      </c>
      <c r="J511" t="n">
        <v>0</v>
      </c>
      <c r="K511" t="n">
        <v>0</v>
      </c>
      <c r="L511" t="n">
        <v>0</v>
      </c>
      <c r="M511" t="n">
        <v>0</v>
      </c>
      <c r="N511" t="n">
        <v>0</v>
      </c>
      <c r="O511" t="n">
        <v>0</v>
      </c>
      <c r="P511" t="n">
        <v>0</v>
      </c>
      <c r="Q511" t="n">
        <v>0</v>
      </c>
      <c r="R511" s="2" t="inlineStr"/>
    </row>
    <row r="512" ht="15" customHeight="1">
      <c r="A512" t="inlineStr">
        <is>
          <t>A 7506-2025</t>
        </is>
      </c>
      <c r="B512" s="1" t="n">
        <v>45705</v>
      </c>
      <c r="C512" s="1" t="n">
        <v>46035</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4344-2025</t>
        </is>
      </c>
      <c r="B513" s="1" t="n">
        <v>45685</v>
      </c>
      <c r="C513" s="1" t="n">
        <v>46035</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46035</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16958-2022</t>
        </is>
      </c>
      <c r="B515" s="1" t="n">
        <v>44676.50481481481</v>
      </c>
      <c r="C515" s="1" t="n">
        <v>46035</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55472-2023</t>
        </is>
      </c>
      <c r="B516" s="1" t="n">
        <v>45238</v>
      </c>
      <c r="C516" s="1" t="n">
        <v>46035</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54925-2023</t>
        </is>
      </c>
      <c r="B517" s="1" t="n">
        <v>45229</v>
      </c>
      <c r="C517" s="1" t="n">
        <v>46035</v>
      </c>
      <c r="D517" t="inlineStr">
        <is>
          <t>ÖREBRO LÄN</t>
        </is>
      </c>
      <c r="E517" t="inlineStr">
        <is>
          <t>ÖREBRO</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8568-2021</t>
        </is>
      </c>
      <c r="B518" s="1" t="n">
        <v>44245</v>
      </c>
      <c r="C518" s="1" t="n">
        <v>46035</v>
      </c>
      <c r="D518" t="inlineStr">
        <is>
          <t>ÖREBRO LÄN</t>
        </is>
      </c>
      <c r="E518" t="inlineStr">
        <is>
          <t>ÖREBRO</t>
        </is>
      </c>
      <c r="G518" t="n">
        <v>4.8</v>
      </c>
      <c r="H518" t="n">
        <v>0</v>
      </c>
      <c r="I518" t="n">
        <v>0</v>
      </c>
      <c r="J518" t="n">
        <v>0</v>
      </c>
      <c r="K518" t="n">
        <v>0</v>
      </c>
      <c r="L518" t="n">
        <v>0</v>
      </c>
      <c r="M518" t="n">
        <v>0</v>
      </c>
      <c r="N518" t="n">
        <v>0</v>
      </c>
      <c r="O518" t="n">
        <v>0</v>
      </c>
      <c r="P518" t="n">
        <v>0</v>
      </c>
      <c r="Q518" t="n">
        <v>0</v>
      </c>
      <c r="R518" s="2" t="inlineStr"/>
    </row>
    <row r="519" ht="15" customHeight="1">
      <c r="A519" t="inlineStr">
        <is>
          <t>A 16961-2022</t>
        </is>
      </c>
      <c r="B519" s="1" t="n">
        <v>44676</v>
      </c>
      <c r="C519" s="1" t="n">
        <v>46035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15424-2022</t>
        </is>
      </c>
      <c r="B520" s="1" t="n">
        <v>44659</v>
      </c>
      <c r="C520" s="1" t="n">
        <v>46035</v>
      </c>
      <c r="D520" t="inlineStr">
        <is>
          <t>ÖREBRO LÄN</t>
        </is>
      </c>
      <c r="E520" t="inlineStr">
        <is>
          <t>ÖREBRO</t>
        </is>
      </c>
      <c r="G520" t="n">
        <v>2.2</v>
      </c>
      <c r="H520" t="n">
        <v>0</v>
      </c>
      <c r="I520" t="n">
        <v>0</v>
      </c>
      <c r="J520" t="n">
        <v>0</v>
      </c>
      <c r="K520" t="n">
        <v>0</v>
      </c>
      <c r="L520" t="n">
        <v>0</v>
      </c>
      <c r="M520" t="n">
        <v>0</v>
      </c>
      <c r="N520" t="n">
        <v>0</v>
      </c>
      <c r="O520" t="n">
        <v>0</v>
      </c>
      <c r="P520" t="n">
        <v>0</v>
      </c>
      <c r="Q520" t="n">
        <v>0</v>
      </c>
      <c r="R520" s="2" t="inlineStr"/>
    </row>
    <row r="521" ht="15" customHeight="1">
      <c r="A521" t="inlineStr">
        <is>
          <t>A 13700-2024</t>
        </is>
      </c>
      <c r="B521" s="1" t="n">
        <v>45390.59277777778</v>
      </c>
      <c r="C521" s="1" t="n">
        <v>46035</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3659-2025</t>
        </is>
      </c>
      <c r="B522" s="1" t="n">
        <v>45681</v>
      </c>
      <c r="C522" s="1" t="n">
        <v>46035</v>
      </c>
      <c r="D522" t="inlineStr">
        <is>
          <t>ÖREBRO LÄN</t>
        </is>
      </c>
      <c r="E522" t="inlineStr">
        <is>
          <t>ÖREBRO</t>
        </is>
      </c>
      <c r="G522" t="n">
        <v>15.8</v>
      </c>
      <c r="H522" t="n">
        <v>0</v>
      </c>
      <c r="I522" t="n">
        <v>0</v>
      </c>
      <c r="J522" t="n">
        <v>0</v>
      </c>
      <c r="K522" t="n">
        <v>0</v>
      </c>
      <c r="L522" t="n">
        <v>0</v>
      </c>
      <c r="M522" t="n">
        <v>0</v>
      </c>
      <c r="N522" t="n">
        <v>0</v>
      </c>
      <c r="O522" t="n">
        <v>0</v>
      </c>
      <c r="P522" t="n">
        <v>0</v>
      </c>
      <c r="Q522" t="n">
        <v>0</v>
      </c>
      <c r="R522" s="2" t="inlineStr"/>
    </row>
    <row r="523" ht="15" customHeight="1">
      <c r="A523" t="inlineStr">
        <is>
          <t>A 1014-2024</t>
        </is>
      </c>
      <c r="B523" s="1" t="n">
        <v>45301</v>
      </c>
      <c r="C523" s="1" t="n">
        <v>46035</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8374-2021</t>
        </is>
      </c>
      <c r="B524" s="1" t="n">
        <v>44244</v>
      </c>
      <c r="C524" s="1" t="n">
        <v>46035</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767-2024</t>
        </is>
      </c>
      <c r="B525" s="1" t="n">
        <v>45300.51892361111</v>
      </c>
      <c r="C525" s="1" t="n">
        <v>46035</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44511-2023</t>
        </is>
      </c>
      <c r="B526" s="1" t="n">
        <v>45189</v>
      </c>
      <c r="C526" s="1" t="n">
        <v>46035</v>
      </c>
      <c r="D526" t="inlineStr">
        <is>
          <t>ÖREBRO LÄN</t>
        </is>
      </c>
      <c r="E526" t="inlineStr">
        <is>
          <t>ÖREBRO</t>
        </is>
      </c>
      <c r="F526" t="inlineStr">
        <is>
          <t>Allmännings- och besparingsskogar</t>
        </is>
      </c>
      <c r="G526" t="n">
        <v>2.7</v>
      </c>
      <c r="H526" t="n">
        <v>0</v>
      </c>
      <c r="I526" t="n">
        <v>0</v>
      </c>
      <c r="J526" t="n">
        <v>0</v>
      </c>
      <c r="K526" t="n">
        <v>0</v>
      </c>
      <c r="L526" t="n">
        <v>0</v>
      </c>
      <c r="M526" t="n">
        <v>0</v>
      </c>
      <c r="N526" t="n">
        <v>0</v>
      </c>
      <c r="O526" t="n">
        <v>0</v>
      </c>
      <c r="P526" t="n">
        <v>0</v>
      </c>
      <c r="Q526" t="n">
        <v>0</v>
      </c>
      <c r="R526" s="2" t="inlineStr"/>
    </row>
    <row r="527" ht="15" customHeight="1">
      <c r="A527" t="inlineStr">
        <is>
          <t>A 53234-2023</t>
        </is>
      </c>
      <c r="B527" s="1" t="n">
        <v>45229</v>
      </c>
      <c r="C527" s="1" t="n">
        <v>46035</v>
      </c>
      <c r="D527" t="inlineStr">
        <is>
          <t>ÖREBRO LÄN</t>
        </is>
      </c>
      <c r="E527" t="inlineStr">
        <is>
          <t>ÖREBRO</t>
        </is>
      </c>
      <c r="G527" t="n">
        <v>1.8</v>
      </c>
      <c r="H527" t="n">
        <v>0</v>
      </c>
      <c r="I527" t="n">
        <v>0</v>
      </c>
      <c r="J527" t="n">
        <v>0</v>
      </c>
      <c r="K527" t="n">
        <v>0</v>
      </c>
      <c r="L527" t="n">
        <v>0</v>
      </c>
      <c r="M527" t="n">
        <v>0</v>
      </c>
      <c r="N527" t="n">
        <v>0</v>
      </c>
      <c r="O527" t="n">
        <v>0</v>
      </c>
      <c r="P527" t="n">
        <v>0</v>
      </c>
      <c r="Q527" t="n">
        <v>0</v>
      </c>
      <c r="R527" s="2" t="inlineStr"/>
    </row>
    <row r="528" ht="15" customHeight="1">
      <c r="A528" t="inlineStr">
        <is>
          <t>A 8512-2025</t>
        </is>
      </c>
      <c r="B528" s="1" t="n">
        <v>45709.54873842592</v>
      </c>
      <c r="C528" s="1" t="n">
        <v>46035</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28054-2022</t>
        </is>
      </c>
      <c r="B529" s="1" t="n">
        <v>44746.41938657407</v>
      </c>
      <c r="C529" s="1" t="n">
        <v>46035</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1647-2024</t>
        </is>
      </c>
      <c r="B530" s="1" t="n">
        <v>45306</v>
      </c>
      <c r="C530" s="1" t="n">
        <v>46035</v>
      </c>
      <c r="D530" t="inlineStr">
        <is>
          <t>ÖREBRO LÄN</t>
        </is>
      </c>
      <c r="E530" t="inlineStr">
        <is>
          <t>ÖREBRO</t>
        </is>
      </c>
      <c r="G530" t="n">
        <v>1.3</v>
      </c>
      <c r="H530" t="n">
        <v>0</v>
      </c>
      <c r="I530" t="n">
        <v>0</v>
      </c>
      <c r="J530" t="n">
        <v>0</v>
      </c>
      <c r="K530" t="n">
        <v>0</v>
      </c>
      <c r="L530" t="n">
        <v>0</v>
      </c>
      <c r="M530" t="n">
        <v>0</v>
      </c>
      <c r="N530" t="n">
        <v>0</v>
      </c>
      <c r="O530" t="n">
        <v>0</v>
      </c>
      <c r="P530" t="n">
        <v>0</v>
      </c>
      <c r="Q530" t="n">
        <v>0</v>
      </c>
      <c r="R530" s="2" t="inlineStr"/>
    </row>
    <row r="531" ht="15" customHeight="1">
      <c r="A531" t="inlineStr">
        <is>
          <t>A 57485-2023</t>
        </is>
      </c>
      <c r="B531" s="1" t="n">
        <v>45246</v>
      </c>
      <c r="C531" s="1" t="n">
        <v>46035</v>
      </c>
      <c r="D531" t="inlineStr">
        <is>
          <t>ÖREBRO LÄN</t>
        </is>
      </c>
      <c r="E531" t="inlineStr">
        <is>
          <t>ÖREBRO</t>
        </is>
      </c>
      <c r="G531" t="n">
        <v>0.9</v>
      </c>
      <c r="H531" t="n">
        <v>0</v>
      </c>
      <c r="I531" t="n">
        <v>0</v>
      </c>
      <c r="J531" t="n">
        <v>0</v>
      </c>
      <c r="K531" t="n">
        <v>0</v>
      </c>
      <c r="L531" t="n">
        <v>0</v>
      </c>
      <c r="M531" t="n">
        <v>0</v>
      </c>
      <c r="N531" t="n">
        <v>0</v>
      </c>
      <c r="O531" t="n">
        <v>0</v>
      </c>
      <c r="P531" t="n">
        <v>0</v>
      </c>
      <c r="Q531" t="n">
        <v>0</v>
      </c>
      <c r="R531" s="2" t="inlineStr"/>
    </row>
    <row r="532" ht="15" customHeight="1">
      <c r="A532" t="inlineStr">
        <is>
          <t>A 58032-2023</t>
        </is>
      </c>
      <c r="B532" s="1" t="n">
        <v>45247</v>
      </c>
      <c r="C532" s="1" t="n">
        <v>46035</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58035-2023</t>
        </is>
      </c>
      <c r="B533" s="1" t="n">
        <v>45247</v>
      </c>
      <c r="C533" s="1" t="n">
        <v>46035</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35829-2024</t>
        </is>
      </c>
      <c r="B534" s="1" t="n">
        <v>45532</v>
      </c>
      <c r="C534" s="1" t="n">
        <v>46035</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35833-2024</t>
        </is>
      </c>
      <c r="B535" s="1" t="n">
        <v>45532.68699074074</v>
      </c>
      <c r="C535" s="1" t="n">
        <v>46035</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14717-2024</t>
        </is>
      </c>
      <c r="B536" s="1" t="n">
        <v>45397.55104166667</v>
      </c>
      <c r="C536" s="1" t="n">
        <v>46035</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5133-2024</t>
        </is>
      </c>
      <c r="B537" s="1" t="n">
        <v>45330</v>
      </c>
      <c r="C537" s="1" t="n">
        <v>46035</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14432-2023</t>
        </is>
      </c>
      <c r="B538" s="1" t="n">
        <v>45012</v>
      </c>
      <c r="C538" s="1" t="n">
        <v>46035</v>
      </c>
      <c r="D538" t="inlineStr">
        <is>
          <t>ÖREBRO LÄN</t>
        </is>
      </c>
      <c r="E538" t="inlineStr">
        <is>
          <t>ÖREBRO</t>
        </is>
      </c>
      <c r="G538" t="n">
        <v>3.3</v>
      </c>
      <c r="H538" t="n">
        <v>0</v>
      </c>
      <c r="I538" t="n">
        <v>0</v>
      </c>
      <c r="J538" t="n">
        <v>0</v>
      </c>
      <c r="K538" t="n">
        <v>0</v>
      </c>
      <c r="L538" t="n">
        <v>0</v>
      </c>
      <c r="M538" t="n">
        <v>0</v>
      </c>
      <c r="N538" t="n">
        <v>0</v>
      </c>
      <c r="O538" t="n">
        <v>0</v>
      </c>
      <c r="P538" t="n">
        <v>0</v>
      </c>
      <c r="Q538" t="n">
        <v>0</v>
      </c>
      <c r="R538" s="2" t="inlineStr"/>
    </row>
    <row r="539" ht="15" customHeight="1">
      <c r="A539" t="inlineStr">
        <is>
          <t>A 10339-2023</t>
        </is>
      </c>
      <c r="B539" s="1" t="n">
        <v>44987</v>
      </c>
      <c r="C539" s="1" t="n">
        <v>46035</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190-2024</t>
        </is>
      </c>
      <c r="B540" s="1" t="n">
        <v>45294.61858796296</v>
      </c>
      <c r="C540" s="1" t="n">
        <v>46035</v>
      </c>
      <c r="D540" t="inlineStr">
        <is>
          <t>ÖREBRO LÄN</t>
        </is>
      </c>
      <c r="E540" t="inlineStr">
        <is>
          <t>ÖREBRO</t>
        </is>
      </c>
      <c r="G540" t="n">
        <v>2.4</v>
      </c>
      <c r="H540" t="n">
        <v>0</v>
      </c>
      <c r="I540" t="n">
        <v>0</v>
      </c>
      <c r="J540" t="n">
        <v>0</v>
      </c>
      <c r="K540" t="n">
        <v>0</v>
      </c>
      <c r="L540" t="n">
        <v>0</v>
      </c>
      <c r="M540" t="n">
        <v>0</v>
      </c>
      <c r="N540" t="n">
        <v>0</v>
      </c>
      <c r="O540" t="n">
        <v>0</v>
      </c>
      <c r="P540" t="n">
        <v>0</v>
      </c>
      <c r="Q540" t="n">
        <v>0</v>
      </c>
      <c r="R540" s="2" t="inlineStr"/>
    </row>
    <row r="541" ht="15" customHeight="1">
      <c r="A541" t="inlineStr">
        <is>
          <t>A 62497-2023</t>
        </is>
      </c>
      <c r="B541" s="1" t="n">
        <v>45268.59935185185</v>
      </c>
      <c r="C541" s="1" t="n">
        <v>46035</v>
      </c>
      <c r="D541" t="inlineStr">
        <is>
          <t>ÖREBRO LÄN</t>
        </is>
      </c>
      <c r="E541" t="inlineStr">
        <is>
          <t>ÖREBRO</t>
        </is>
      </c>
      <c r="F541" t="inlineStr">
        <is>
          <t>Övriga Aktiebolag</t>
        </is>
      </c>
      <c r="G541" t="n">
        <v>3.2</v>
      </c>
      <c r="H541" t="n">
        <v>0</v>
      </c>
      <c r="I541" t="n">
        <v>0</v>
      </c>
      <c r="J541" t="n">
        <v>0</v>
      </c>
      <c r="K541" t="n">
        <v>0</v>
      </c>
      <c r="L541" t="n">
        <v>0</v>
      </c>
      <c r="M541" t="n">
        <v>0</v>
      </c>
      <c r="N541" t="n">
        <v>0</v>
      </c>
      <c r="O541" t="n">
        <v>0</v>
      </c>
      <c r="P541" t="n">
        <v>0</v>
      </c>
      <c r="Q541" t="n">
        <v>0</v>
      </c>
      <c r="R541" s="2" t="inlineStr"/>
    </row>
    <row r="542" ht="15" customHeight="1">
      <c r="A542" t="inlineStr">
        <is>
          <t>A 43399-2022</t>
        </is>
      </c>
      <c r="B542" s="1" t="n">
        <v>44834</v>
      </c>
      <c r="C542" s="1" t="n">
        <v>46035</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63142-2023</t>
        </is>
      </c>
      <c r="B543" s="1" t="n">
        <v>45273</v>
      </c>
      <c r="C543" s="1" t="n">
        <v>46035</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37021-2024</t>
        </is>
      </c>
      <c r="B544" s="1" t="n">
        <v>45539.38146990741</v>
      </c>
      <c r="C544" s="1" t="n">
        <v>46035</v>
      </c>
      <c r="D544" t="inlineStr">
        <is>
          <t>ÖREBRO LÄN</t>
        </is>
      </c>
      <c r="E544" t="inlineStr">
        <is>
          <t>ÖREBRO</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23573-2023</t>
        </is>
      </c>
      <c r="B545" s="1" t="n">
        <v>45077.41672453703</v>
      </c>
      <c r="C545" s="1" t="n">
        <v>46035</v>
      </c>
      <c r="D545" t="inlineStr">
        <is>
          <t>ÖREBRO LÄN</t>
        </is>
      </c>
      <c r="E545" t="inlineStr">
        <is>
          <t>ÖREBRO</t>
        </is>
      </c>
      <c r="G545" t="n">
        <v>2.9</v>
      </c>
      <c r="H545" t="n">
        <v>0</v>
      </c>
      <c r="I545" t="n">
        <v>0</v>
      </c>
      <c r="J545" t="n">
        <v>0</v>
      </c>
      <c r="K545" t="n">
        <v>0</v>
      </c>
      <c r="L545" t="n">
        <v>0</v>
      </c>
      <c r="M545" t="n">
        <v>0</v>
      </c>
      <c r="N545" t="n">
        <v>0</v>
      </c>
      <c r="O545" t="n">
        <v>0</v>
      </c>
      <c r="P545" t="n">
        <v>0</v>
      </c>
      <c r="Q545" t="n">
        <v>0</v>
      </c>
      <c r="R545" s="2" t="inlineStr"/>
    </row>
    <row r="546" ht="15" customHeight="1">
      <c r="A546" t="inlineStr">
        <is>
          <t>A 13762-2023</t>
        </is>
      </c>
      <c r="B546" s="1" t="n">
        <v>45007.43729166667</v>
      </c>
      <c r="C546" s="1" t="n">
        <v>46035</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46035</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1492-2022</t>
        </is>
      </c>
      <c r="B548" s="1" t="n">
        <v>44573</v>
      </c>
      <c r="C548" s="1" t="n">
        <v>46035</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59026-2024</t>
        </is>
      </c>
      <c r="B549" s="1" t="n">
        <v>45636.6875</v>
      </c>
      <c r="C549" s="1" t="n">
        <v>46035</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52623-2024</t>
        </is>
      </c>
      <c r="B550" s="1" t="n">
        <v>45609</v>
      </c>
      <c r="C550" s="1" t="n">
        <v>46035</v>
      </c>
      <c r="D550" t="inlineStr">
        <is>
          <t>ÖREBRO LÄN</t>
        </is>
      </c>
      <c r="E550" t="inlineStr">
        <is>
          <t>ÖREBRO</t>
        </is>
      </c>
      <c r="F550" t="inlineStr">
        <is>
          <t>Kommuner</t>
        </is>
      </c>
      <c r="G550" t="n">
        <v>1.7</v>
      </c>
      <c r="H550" t="n">
        <v>0</v>
      </c>
      <c r="I550" t="n">
        <v>0</v>
      </c>
      <c r="J550" t="n">
        <v>0</v>
      </c>
      <c r="K550" t="n">
        <v>0</v>
      </c>
      <c r="L550" t="n">
        <v>0</v>
      </c>
      <c r="M550" t="n">
        <v>0</v>
      </c>
      <c r="N550" t="n">
        <v>0</v>
      </c>
      <c r="O550" t="n">
        <v>0</v>
      </c>
      <c r="P550" t="n">
        <v>0</v>
      </c>
      <c r="Q550" t="n">
        <v>0</v>
      </c>
      <c r="R550" s="2" t="inlineStr"/>
    </row>
    <row r="551" ht="15" customHeight="1">
      <c r="A551" t="inlineStr">
        <is>
          <t>A 62511-2023</t>
        </is>
      </c>
      <c r="B551" s="1" t="n">
        <v>45268.61855324074</v>
      </c>
      <c r="C551" s="1" t="n">
        <v>46035</v>
      </c>
      <c r="D551" t="inlineStr">
        <is>
          <t>ÖREBRO LÄN</t>
        </is>
      </c>
      <c r="E551" t="inlineStr">
        <is>
          <t>ÖREBRO</t>
        </is>
      </c>
      <c r="F551" t="inlineStr">
        <is>
          <t>Övriga Aktiebolag</t>
        </is>
      </c>
      <c r="G551" t="n">
        <v>3.6</v>
      </c>
      <c r="H551" t="n">
        <v>0</v>
      </c>
      <c r="I551" t="n">
        <v>0</v>
      </c>
      <c r="J551" t="n">
        <v>0</v>
      </c>
      <c r="K551" t="n">
        <v>0</v>
      </c>
      <c r="L551" t="n">
        <v>0</v>
      </c>
      <c r="M551" t="n">
        <v>0</v>
      </c>
      <c r="N551" t="n">
        <v>0</v>
      </c>
      <c r="O551" t="n">
        <v>0</v>
      </c>
      <c r="P551" t="n">
        <v>0</v>
      </c>
      <c r="Q551" t="n">
        <v>0</v>
      </c>
      <c r="R551" s="2" t="inlineStr"/>
    </row>
    <row r="552" ht="15" customHeight="1">
      <c r="A552" t="inlineStr">
        <is>
          <t>A 40522-2024</t>
        </is>
      </c>
      <c r="B552" s="1" t="n">
        <v>45555.59717592593</v>
      </c>
      <c r="C552" s="1" t="n">
        <v>46035</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33577-2023</t>
        </is>
      </c>
      <c r="B553" s="1" t="n">
        <v>45131</v>
      </c>
      <c r="C553" s="1" t="n">
        <v>46035</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18360-2024</t>
        </is>
      </c>
      <c r="B554" s="1" t="n">
        <v>45422</v>
      </c>
      <c r="C554" s="1" t="n">
        <v>46035</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7611-2024</t>
        </is>
      </c>
      <c r="B555" s="1" t="n">
        <v>45348.58864583333</v>
      </c>
      <c r="C555" s="1" t="n">
        <v>46035</v>
      </c>
      <c r="D555" t="inlineStr">
        <is>
          <t>ÖREBRO LÄN</t>
        </is>
      </c>
      <c r="E555" t="inlineStr">
        <is>
          <t>ÖREBRO</t>
        </is>
      </c>
      <c r="G555" t="n">
        <v>4.2</v>
      </c>
      <c r="H555" t="n">
        <v>0</v>
      </c>
      <c r="I555" t="n">
        <v>0</v>
      </c>
      <c r="J555" t="n">
        <v>0</v>
      </c>
      <c r="K555" t="n">
        <v>0</v>
      </c>
      <c r="L555" t="n">
        <v>0</v>
      </c>
      <c r="M555" t="n">
        <v>0</v>
      </c>
      <c r="N555" t="n">
        <v>0</v>
      </c>
      <c r="O555" t="n">
        <v>0</v>
      </c>
      <c r="P555" t="n">
        <v>0</v>
      </c>
      <c r="Q555" t="n">
        <v>0</v>
      </c>
      <c r="R555" s="2" t="inlineStr"/>
    </row>
    <row r="556" ht="15" customHeight="1">
      <c r="A556" t="inlineStr">
        <is>
          <t>A 13347-2023</t>
        </is>
      </c>
      <c r="B556" s="1" t="n">
        <v>45004</v>
      </c>
      <c r="C556" s="1" t="n">
        <v>46035</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187-2024</t>
        </is>
      </c>
      <c r="B557" s="1" t="n">
        <v>45294</v>
      </c>
      <c r="C557" s="1" t="n">
        <v>46035</v>
      </c>
      <c r="D557" t="inlineStr">
        <is>
          <t>ÖREBRO LÄN</t>
        </is>
      </c>
      <c r="E557" t="inlineStr">
        <is>
          <t>ÖREBRO</t>
        </is>
      </c>
      <c r="G557" t="n">
        <v>5.9</v>
      </c>
      <c r="H557" t="n">
        <v>0</v>
      </c>
      <c r="I557" t="n">
        <v>0</v>
      </c>
      <c r="J557" t="n">
        <v>0</v>
      </c>
      <c r="K557" t="n">
        <v>0</v>
      </c>
      <c r="L557" t="n">
        <v>0</v>
      </c>
      <c r="M557" t="n">
        <v>0</v>
      </c>
      <c r="N557" t="n">
        <v>0</v>
      </c>
      <c r="O557" t="n">
        <v>0</v>
      </c>
      <c r="P557" t="n">
        <v>0</v>
      </c>
      <c r="Q557" t="n">
        <v>0</v>
      </c>
      <c r="R557" s="2" t="inlineStr"/>
    </row>
    <row r="558" ht="15" customHeight="1">
      <c r="A558" t="inlineStr">
        <is>
          <t>A 10832-2023</t>
        </is>
      </c>
      <c r="B558" s="1" t="n">
        <v>44990.91711805556</v>
      </c>
      <c r="C558" s="1" t="n">
        <v>46035</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2596-2022</t>
        </is>
      </c>
      <c r="B559" s="1" t="n">
        <v>44580</v>
      </c>
      <c r="C559" s="1" t="n">
        <v>46035</v>
      </c>
      <c r="D559" t="inlineStr">
        <is>
          <t>ÖREBRO LÄN</t>
        </is>
      </c>
      <c r="E559" t="inlineStr">
        <is>
          <t>ÖREBRO</t>
        </is>
      </c>
      <c r="G559" t="n">
        <v>4.3</v>
      </c>
      <c r="H559" t="n">
        <v>0</v>
      </c>
      <c r="I559" t="n">
        <v>0</v>
      </c>
      <c r="J559" t="n">
        <v>0</v>
      </c>
      <c r="K559" t="n">
        <v>0</v>
      </c>
      <c r="L559" t="n">
        <v>0</v>
      </c>
      <c r="M559" t="n">
        <v>0</v>
      </c>
      <c r="N559" t="n">
        <v>0</v>
      </c>
      <c r="O559" t="n">
        <v>0</v>
      </c>
      <c r="P559" t="n">
        <v>0</v>
      </c>
      <c r="Q559" t="n">
        <v>0</v>
      </c>
      <c r="R559" s="2" t="inlineStr"/>
    </row>
    <row r="560" ht="15" customHeight="1">
      <c r="A560" t="inlineStr">
        <is>
          <t>A 5338-2024</t>
        </is>
      </c>
      <c r="B560" s="1" t="n">
        <v>45331</v>
      </c>
      <c r="C560" s="1" t="n">
        <v>46035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14487-2023</t>
        </is>
      </c>
      <c r="B561" s="1" t="n">
        <v>45012</v>
      </c>
      <c r="C561" s="1" t="n">
        <v>46035</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8565-2021</t>
        </is>
      </c>
      <c r="B562" s="1" t="n">
        <v>44245</v>
      </c>
      <c r="C562" s="1" t="n">
        <v>46035</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4970-2022</t>
        </is>
      </c>
      <c r="B563" s="1" t="n">
        <v>44593.51175925926</v>
      </c>
      <c r="C563" s="1" t="n">
        <v>46035</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18047-2023</t>
        </is>
      </c>
      <c r="B564" s="1" t="n">
        <v>45040</v>
      </c>
      <c r="C564" s="1" t="n">
        <v>46035</v>
      </c>
      <c r="D564" t="inlineStr">
        <is>
          <t>ÖREBRO LÄN</t>
        </is>
      </c>
      <c r="E564" t="inlineStr">
        <is>
          <t>ÖREBRO</t>
        </is>
      </c>
      <c r="G564" t="n">
        <v>3.9</v>
      </c>
      <c r="H564" t="n">
        <v>0</v>
      </c>
      <c r="I564" t="n">
        <v>0</v>
      </c>
      <c r="J564" t="n">
        <v>0</v>
      </c>
      <c r="K564" t="n">
        <v>0</v>
      </c>
      <c r="L564" t="n">
        <v>0</v>
      </c>
      <c r="M564" t="n">
        <v>0</v>
      </c>
      <c r="N564" t="n">
        <v>0</v>
      </c>
      <c r="O564" t="n">
        <v>0</v>
      </c>
      <c r="P564" t="n">
        <v>0</v>
      </c>
      <c r="Q564" t="n">
        <v>0</v>
      </c>
      <c r="R564" s="2" t="inlineStr"/>
    </row>
    <row r="565" ht="15" customHeight="1">
      <c r="A565" t="inlineStr">
        <is>
          <t>A 3789-2023</t>
        </is>
      </c>
      <c r="B565" s="1" t="n">
        <v>44951</v>
      </c>
      <c r="C565" s="1" t="n">
        <v>46035</v>
      </c>
      <c r="D565" t="inlineStr">
        <is>
          <t>ÖREBRO LÄN</t>
        </is>
      </c>
      <c r="E565" t="inlineStr">
        <is>
          <t>ÖREBRO</t>
        </is>
      </c>
      <c r="G565" t="n">
        <v>7.5</v>
      </c>
      <c r="H565" t="n">
        <v>0</v>
      </c>
      <c r="I565" t="n">
        <v>0</v>
      </c>
      <c r="J565" t="n">
        <v>0</v>
      </c>
      <c r="K565" t="n">
        <v>0</v>
      </c>
      <c r="L565" t="n">
        <v>0</v>
      </c>
      <c r="M565" t="n">
        <v>0</v>
      </c>
      <c r="N565" t="n">
        <v>0</v>
      </c>
      <c r="O565" t="n">
        <v>0</v>
      </c>
      <c r="P565" t="n">
        <v>0</v>
      </c>
      <c r="Q565" t="n">
        <v>0</v>
      </c>
      <c r="R565" s="2" t="inlineStr"/>
    </row>
    <row r="566" ht="15" customHeight="1">
      <c r="A566" t="inlineStr">
        <is>
          <t>A 5026-2022</t>
        </is>
      </c>
      <c r="B566" s="1" t="n">
        <v>44593.63974537037</v>
      </c>
      <c r="C566" s="1" t="n">
        <v>46035</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54917-2023</t>
        </is>
      </c>
      <c r="B567" s="1" t="n">
        <v>45229</v>
      </c>
      <c r="C567" s="1" t="n">
        <v>46035</v>
      </c>
      <c r="D567" t="inlineStr">
        <is>
          <t>ÖREBRO LÄN</t>
        </is>
      </c>
      <c r="E567" t="inlineStr">
        <is>
          <t>ÖREBRO</t>
        </is>
      </c>
      <c r="G567" t="n">
        <v>3.1</v>
      </c>
      <c r="H567" t="n">
        <v>0</v>
      </c>
      <c r="I567" t="n">
        <v>0</v>
      </c>
      <c r="J567" t="n">
        <v>0</v>
      </c>
      <c r="K567" t="n">
        <v>0</v>
      </c>
      <c r="L567" t="n">
        <v>0</v>
      </c>
      <c r="M567" t="n">
        <v>0</v>
      </c>
      <c r="N567" t="n">
        <v>0</v>
      </c>
      <c r="O567" t="n">
        <v>0</v>
      </c>
      <c r="P567" t="n">
        <v>0</v>
      </c>
      <c r="Q567" t="n">
        <v>0</v>
      </c>
      <c r="R567" s="2" t="inlineStr"/>
    </row>
    <row r="568" ht="15" customHeight="1">
      <c r="A568" t="inlineStr">
        <is>
          <t>A 72329-2021</t>
        </is>
      </c>
      <c r="B568" s="1" t="n">
        <v>44545.46072916667</v>
      </c>
      <c r="C568" s="1" t="n">
        <v>46035</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43803-2023</t>
        </is>
      </c>
      <c r="B569" s="1" t="n">
        <v>45187</v>
      </c>
      <c r="C569" s="1" t="n">
        <v>46035</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15789-2023</t>
        </is>
      </c>
      <c r="B570" s="1" t="n">
        <v>45021.71539351852</v>
      </c>
      <c r="C570" s="1" t="n">
        <v>46035</v>
      </c>
      <c r="D570" t="inlineStr">
        <is>
          <t>ÖREBRO LÄN</t>
        </is>
      </c>
      <c r="E570" t="inlineStr">
        <is>
          <t>ÖREBRO</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58539-2024</t>
        </is>
      </c>
      <c r="B571" s="1" t="n">
        <v>45635.45157407408</v>
      </c>
      <c r="C571" s="1" t="n">
        <v>46035</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59757-2023</t>
        </is>
      </c>
      <c r="B572" s="1" t="n">
        <v>45257.40833333333</v>
      </c>
      <c r="C572" s="1" t="n">
        <v>46035</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17869-2024</t>
        </is>
      </c>
      <c r="B573" s="1" t="n">
        <v>45419</v>
      </c>
      <c r="C573" s="1" t="n">
        <v>46035</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71272-2021</t>
        </is>
      </c>
      <c r="B574" s="1" t="n">
        <v>44539.61571759259</v>
      </c>
      <c r="C574" s="1" t="n">
        <v>46035</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4557-2023</t>
        </is>
      </c>
      <c r="B575" s="1" t="n">
        <v>44956.6655787037</v>
      </c>
      <c r="C575" s="1" t="n">
        <v>46035</v>
      </c>
      <c r="D575" t="inlineStr">
        <is>
          <t>ÖREBRO LÄN</t>
        </is>
      </c>
      <c r="E575" t="inlineStr">
        <is>
          <t>ÖREBRO</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46035</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17465-2023</t>
        </is>
      </c>
      <c r="B577" s="1" t="n">
        <v>45036</v>
      </c>
      <c r="C577" s="1" t="n">
        <v>46035</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6213-2021</t>
        </is>
      </c>
      <c r="B578" s="1" t="n">
        <v>44232</v>
      </c>
      <c r="C578" s="1" t="n">
        <v>46035</v>
      </c>
      <c r="D578" t="inlineStr">
        <is>
          <t>ÖREBRO LÄN</t>
        </is>
      </c>
      <c r="E578" t="inlineStr">
        <is>
          <t>ÖREBRO</t>
        </is>
      </c>
      <c r="G578" t="n">
        <v>4</v>
      </c>
      <c r="H578" t="n">
        <v>0</v>
      </c>
      <c r="I578" t="n">
        <v>0</v>
      </c>
      <c r="J578" t="n">
        <v>0</v>
      </c>
      <c r="K578" t="n">
        <v>0</v>
      </c>
      <c r="L578" t="n">
        <v>0</v>
      </c>
      <c r="M578" t="n">
        <v>0</v>
      </c>
      <c r="N578" t="n">
        <v>0</v>
      </c>
      <c r="O578" t="n">
        <v>0</v>
      </c>
      <c r="P578" t="n">
        <v>0</v>
      </c>
      <c r="Q578" t="n">
        <v>0</v>
      </c>
      <c r="R578" s="2" t="inlineStr"/>
    </row>
    <row r="579" ht="15" customHeight="1">
      <c r="A579" t="inlineStr">
        <is>
          <t>A 52016-2024</t>
        </is>
      </c>
      <c r="B579" s="1" t="n">
        <v>45607.81917824074</v>
      </c>
      <c r="C579" s="1" t="n">
        <v>46035</v>
      </c>
      <c r="D579" t="inlineStr">
        <is>
          <t>ÖREBRO LÄN</t>
        </is>
      </c>
      <c r="E579" t="inlineStr">
        <is>
          <t>ÖREBRO</t>
        </is>
      </c>
      <c r="G579" t="n">
        <v>1.9</v>
      </c>
      <c r="H579" t="n">
        <v>0</v>
      </c>
      <c r="I579" t="n">
        <v>0</v>
      </c>
      <c r="J579" t="n">
        <v>0</v>
      </c>
      <c r="K579" t="n">
        <v>0</v>
      </c>
      <c r="L579" t="n">
        <v>0</v>
      </c>
      <c r="M579" t="n">
        <v>0</v>
      </c>
      <c r="N579" t="n">
        <v>0</v>
      </c>
      <c r="O579" t="n">
        <v>0</v>
      </c>
      <c r="P579" t="n">
        <v>0</v>
      </c>
      <c r="Q579" t="n">
        <v>0</v>
      </c>
      <c r="R579" s="2" t="inlineStr"/>
    </row>
    <row r="580" ht="15" customHeight="1">
      <c r="A580" t="inlineStr">
        <is>
          <t>A 52477-2024</t>
        </is>
      </c>
      <c r="B580" s="1" t="n">
        <v>45609</v>
      </c>
      <c r="C580" s="1" t="n">
        <v>46035</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53558-2023</t>
        </is>
      </c>
      <c r="B581" s="1" t="n">
        <v>45230.47266203703</v>
      </c>
      <c r="C581" s="1" t="n">
        <v>46035</v>
      </c>
      <c r="D581" t="inlineStr">
        <is>
          <t>ÖREBRO LÄN</t>
        </is>
      </c>
      <c r="E581" t="inlineStr">
        <is>
          <t>ÖREBRO</t>
        </is>
      </c>
      <c r="F581" t="inlineStr">
        <is>
          <t>Övriga Aktiebolag</t>
        </is>
      </c>
      <c r="G581" t="n">
        <v>4.7</v>
      </c>
      <c r="H581" t="n">
        <v>0</v>
      </c>
      <c r="I581" t="n">
        <v>0</v>
      </c>
      <c r="J581" t="n">
        <v>0</v>
      </c>
      <c r="K581" t="n">
        <v>0</v>
      </c>
      <c r="L581" t="n">
        <v>0</v>
      </c>
      <c r="M581" t="n">
        <v>0</v>
      </c>
      <c r="N581" t="n">
        <v>0</v>
      </c>
      <c r="O581" t="n">
        <v>0</v>
      </c>
      <c r="P581" t="n">
        <v>0</v>
      </c>
      <c r="Q581" t="n">
        <v>0</v>
      </c>
      <c r="R581" s="2" t="inlineStr"/>
    </row>
    <row r="582" ht="15" customHeight="1">
      <c r="A582" t="inlineStr">
        <is>
          <t>A 35843-2022</t>
        </is>
      </c>
      <c r="B582" s="1" t="n">
        <v>44802</v>
      </c>
      <c r="C582" s="1" t="n">
        <v>46035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51373-2023</t>
        </is>
      </c>
      <c r="B583" s="1" t="n">
        <v>45213</v>
      </c>
      <c r="C583" s="1" t="n">
        <v>46035</v>
      </c>
      <c r="D583" t="inlineStr">
        <is>
          <t>ÖREBRO LÄN</t>
        </is>
      </c>
      <c r="E583" t="inlineStr">
        <is>
          <t>ÖREBRO</t>
        </is>
      </c>
      <c r="G583" t="n">
        <v>5.9</v>
      </c>
      <c r="H583" t="n">
        <v>0</v>
      </c>
      <c r="I583" t="n">
        <v>0</v>
      </c>
      <c r="J583" t="n">
        <v>0</v>
      </c>
      <c r="K583" t="n">
        <v>0</v>
      </c>
      <c r="L583" t="n">
        <v>0</v>
      </c>
      <c r="M583" t="n">
        <v>0</v>
      </c>
      <c r="N583" t="n">
        <v>0</v>
      </c>
      <c r="O583" t="n">
        <v>0</v>
      </c>
      <c r="P583" t="n">
        <v>0</v>
      </c>
      <c r="Q583" t="n">
        <v>0</v>
      </c>
      <c r="R583" s="2" t="inlineStr"/>
    </row>
    <row r="584" ht="15" customHeight="1">
      <c r="A584" t="inlineStr">
        <is>
          <t>A 1257-2022</t>
        </is>
      </c>
      <c r="B584" s="1" t="n">
        <v>44572</v>
      </c>
      <c r="C584" s="1" t="n">
        <v>46035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40656-2023</t>
        </is>
      </c>
      <c r="B585" s="1" t="n">
        <v>45170</v>
      </c>
      <c r="C585" s="1" t="n">
        <v>46035</v>
      </c>
      <c r="D585" t="inlineStr">
        <is>
          <t>ÖREBRO LÄN</t>
        </is>
      </c>
      <c r="E585" t="inlineStr">
        <is>
          <t>ÖREBRO</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22677-2022</t>
        </is>
      </c>
      <c r="B586" s="1" t="n">
        <v>44714</v>
      </c>
      <c r="C586" s="1" t="n">
        <v>46035</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71288-2021</t>
        </is>
      </c>
      <c r="B587" s="1" t="n">
        <v>44539.62481481482</v>
      </c>
      <c r="C587" s="1" t="n">
        <v>46035</v>
      </c>
      <c r="D587" t="inlineStr">
        <is>
          <t>ÖREBRO LÄN</t>
        </is>
      </c>
      <c r="E587" t="inlineStr">
        <is>
          <t>ÖREBRO</t>
        </is>
      </c>
      <c r="G587" t="n">
        <v>3.9</v>
      </c>
      <c r="H587" t="n">
        <v>0</v>
      </c>
      <c r="I587" t="n">
        <v>0</v>
      </c>
      <c r="J587" t="n">
        <v>0</v>
      </c>
      <c r="K587" t="n">
        <v>0</v>
      </c>
      <c r="L587" t="n">
        <v>0</v>
      </c>
      <c r="M587" t="n">
        <v>0</v>
      </c>
      <c r="N587" t="n">
        <v>0</v>
      </c>
      <c r="O587" t="n">
        <v>0</v>
      </c>
      <c r="P587" t="n">
        <v>0</v>
      </c>
      <c r="Q587" t="n">
        <v>0</v>
      </c>
      <c r="R587" s="2" t="inlineStr"/>
    </row>
    <row r="588" ht="15" customHeight="1">
      <c r="A588" t="inlineStr">
        <is>
          <t>A 10830-2023</t>
        </is>
      </c>
      <c r="B588" s="1" t="n">
        <v>44990.89752314815</v>
      </c>
      <c r="C588" s="1" t="n">
        <v>46035</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7692-2023</t>
        </is>
      </c>
      <c r="B589" s="1" t="n">
        <v>44972.7762962963</v>
      </c>
      <c r="C589" s="1" t="n">
        <v>46035</v>
      </c>
      <c r="D589" t="inlineStr">
        <is>
          <t>ÖREBRO LÄN</t>
        </is>
      </c>
      <c r="E589" t="inlineStr">
        <is>
          <t>ÖREBRO</t>
        </is>
      </c>
      <c r="G589" t="n">
        <v>1.5</v>
      </c>
      <c r="H589" t="n">
        <v>0</v>
      </c>
      <c r="I589" t="n">
        <v>0</v>
      </c>
      <c r="J589" t="n">
        <v>0</v>
      </c>
      <c r="K589" t="n">
        <v>0</v>
      </c>
      <c r="L589" t="n">
        <v>0</v>
      </c>
      <c r="M589" t="n">
        <v>0</v>
      </c>
      <c r="N589" t="n">
        <v>0</v>
      </c>
      <c r="O589" t="n">
        <v>0</v>
      </c>
      <c r="P589" t="n">
        <v>0</v>
      </c>
      <c r="Q589" t="n">
        <v>0</v>
      </c>
      <c r="R589" s="2" t="inlineStr"/>
    </row>
    <row r="590" ht="15" customHeight="1">
      <c r="A590" t="inlineStr">
        <is>
          <t>A 31240-2023</t>
        </is>
      </c>
      <c r="B590" s="1" t="n">
        <v>45114</v>
      </c>
      <c r="C590" s="1" t="n">
        <v>46035</v>
      </c>
      <c r="D590" t="inlineStr">
        <is>
          <t>ÖREBRO LÄN</t>
        </is>
      </c>
      <c r="E590" t="inlineStr">
        <is>
          <t>ÖREBRO</t>
        </is>
      </c>
      <c r="F590" t="inlineStr">
        <is>
          <t>Allmännings- och besparingsskogar</t>
        </is>
      </c>
      <c r="G590" t="n">
        <v>6.2</v>
      </c>
      <c r="H590" t="n">
        <v>0</v>
      </c>
      <c r="I590" t="n">
        <v>0</v>
      </c>
      <c r="J590" t="n">
        <v>0</v>
      </c>
      <c r="K590" t="n">
        <v>0</v>
      </c>
      <c r="L590" t="n">
        <v>0</v>
      </c>
      <c r="M590" t="n">
        <v>0</v>
      </c>
      <c r="N590" t="n">
        <v>0</v>
      </c>
      <c r="O590" t="n">
        <v>0</v>
      </c>
      <c r="P590" t="n">
        <v>0</v>
      </c>
      <c r="Q590" t="n">
        <v>0</v>
      </c>
      <c r="R590" s="2" t="inlineStr"/>
    </row>
    <row r="591" ht="15" customHeight="1">
      <c r="A591" t="inlineStr">
        <is>
          <t>A 50026-2024</t>
        </is>
      </c>
      <c r="B591" s="1" t="n">
        <v>45599.60541666667</v>
      </c>
      <c r="C591" s="1" t="n">
        <v>46035</v>
      </c>
      <c r="D591" t="inlineStr">
        <is>
          <t>ÖREBRO LÄN</t>
        </is>
      </c>
      <c r="E591" t="inlineStr">
        <is>
          <t>ÖREBRO</t>
        </is>
      </c>
      <c r="G591" t="n">
        <v>2.2</v>
      </c>
      <c r="H591" t="n">
        <v>0</v>
      </c>
      <c r="I591" t="n">
        <v>0</v>
      </c>
      <c r="J591" t="n">
        <v>0</v>
      </c>
      <c r="K591" t="n">
        <v>0</v>
      </c>
      <c r="L591" t="n">
        <v>0</v>
      </c>
      <c r="M591" t="n">
        <v>0</v>
      </c>
      <c r="N591" t="n">
        <v>0</v>
      </c>
      <c r="O591" t="n">
        <v>0</v>
      </c>
      <c r="P591" t="n">
        <v>0</v>
      </c>
      <c r="Q591" t="n">
        <v>0</v>
      </c>
      <c r="R591" s="2" t="inlineStr"/>
    </row>
    <row r="592" ht="15" customHeight="1">
      <c r="A592" t="inlineStr">
        <is>
          <t>A 18449-2023</t>
        </is>
      </c>
      <c r="B592" s="1" t="n">
        <v>45042.5203125</v>
      </c>
      <c r="C592" s="1" t="n">
        <v>46035</v>
      </c>
      <c r="D592" t="inlineStr">
        <is>
          <t>ÖREBRO LÄN</t>
        </is>
      </c>
      <c r="E592" t="inlineStr">
        <is>
          <t>ÖREBRO</t>
        </is>
      </c>
      <c r="G592" t="n">
        <v>1.5</v>
      </c>
      <c r="H592" t="n">
        <v>0</v>
      </c>
      <c r="I592" t="n">
        <v>0</v>
      </c>
      <c r="J592" t="n">
        <v>0</v>
      </c>
      <c r="K592" t="n">
        <v>0</v>
      </c>
      <c r="L592" t="n">
        <v>0</v>
      </c>
      <c r="M592" t="n">
        <v>0</v>
      </c>
      <c r="N592" t="n">
        <v>0</v>
      </c>
      <c r="O592" t="n">
        <v>0</v>
      </c>
      <c r="P592" t="n">
        <v>0</v>
      </c>
      <c r="Q592" t="n">
        <v>0</v>
      </c>
      <c r="R592" s="2" t="inlineStr"/>
    </row>
    <row r="593" ht="15" customHeight="1">
      <c r="A593" t="inlineStr">
        <is>
          <t>A 16936-2023</t>
        </is>
      </c>
      <c r="B593" s="1" t="n">
        <v>45033.63005787037</v>
      </c>
      <c r="C593" s="1" t="n">
        <v>46035</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58145-2024</t>
        </is>
      </c>
      <c r="B594" s="1" t="n">
        <v>45632.43230324074</v>
      </c>
      <c r="C594" s="1" t="n">
        <v>46035</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64730-2023</t>
        </is>
      </c>
      <c r="B595" s="1" t="n">
        <v>45281</v>
      </c>
      <c r="C595" s="1" t="n">
        <v>46035</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44284-2022</t>
        </is>
      </c>
      <c r="B596" s="1" t="n">
        <v>44839.59194444444</v>
      </c>
      <c r="C596" s="1" t="n">
        <v>46035</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14544-2023</t>
        </is>
      </c>
      <c r="B597" s="1" t="n">
        <v>45013</v>
      </c>
      <c r="C597" s="1" t="n">
        <v>46035</v>
      </c>
      <c r="D597" t="inlineStr">
        <is>
          <t>ÖREBRO LÄN</t>
        </is>
      </c>
      <c r="E597" t="inlineStr">
        <is>
          <t>ÖREBRO</t>
        </is>
      </c>
      <c r="G597" t="n">
        <v>0.5</v>
      </c>
      <c r="H597" t="n">
        <v>0</v>
      </c>
      <c r="I597" t="n">
        <v>0</v>
      </c>
      <c r="J597" t="n">
        <v>0</v>
      </c>
      <c r="K597" t="n">
        <v>0</v>
      </c>
      <c r="L597" t="n">
        <v>0</v>
      </c>
      <c r="M597" t="n">
        <v>0</v>
      </c>
      <c r="N597" t="n">
        <v>0</v>
      </c>
      <c r="O597" t="n">
        <v>0</v>
      </c>
      <c r="P597" t="n">
        <v>0</v>
      </c>
      <c r="Q597" t="n">
        <v>0</v>
      </c>
      <c r="R597" s="2" t="inlineStr"/>
    </row>
    <row r="598" ht="15" customHeight="1">
      <c r="A598" t="inlineStr">
        <is>
          <t>A 15682-2023</t>
        </is>
      </c>
      <c r="B598" s="1" t="n">
        <v>45021</v>
      </c>
      <c r="C598" s="1" t="n">
        <v>46035</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4416-2023</t>
        </is>
      </c>
      <c r="B599" s="1" t="n">
        <v>44956</v>
      </c>
      <c r="C599" s="1" t="n">
        <v>46035</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49062-2023</t>
        </is>
      </c>
      <c r="B600" s="1" t="n">
        <v>45210.35119212963</v>
      </c>
      <c r="C600" s="1" t="n">
        <v>46035</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32321-2023</t>
        </is>
      </c>
      <c r="B601" s="1" t="n">
        <v>45120</v>
      </c>
      <c r="C601" s="1" t="n">
        <v>46035</v>
      </c>
      <c r="D601" t="inlineStr">
        <is>
          <t>ÖREBRO LÄN</t>
        </is>
      </c>
      <c r="E601" t="inlineStr">
        <is>
          <t>ÖREBRO</t>
        </is>
      </c>
      <c r="G601" t="n">
        <v>3.4</v>
      </c>
      <c r="H601" t="n">
        <v>0</v>
      </c>
      <c r="I601" t="n">
        <v>0</v>
      </c>
      <c r="J601" t="n">
        <v>0</v>
      </c>
      <c r="K601" t="n">
        <v>0</v>
      </c>
      <c r="L601" t="n">
        <v>0</v>
      </c>
      <c r="M601" t="n">
        <v>0</v>
      </c>
      <c r="N601" t="n">
        <v>0</v>
      </c>
      <c r="O601" t="n">
        <v>0</v>
      </c>
      <c r="P601" t="n">
        <v>0</v>
      </c>
      <c r="Q601" t="n">
        <v>0</v>
      </c>
      <c r="R601" s="2" t="inlineStr"/>
    </row>
    <row r="602" ht="15" customHeight="1">
      <c r="A602" t="inlineStr">
        <is>
          <t>A 2095-2025</t>
        </is>
      </c>
      <c r="B602" s="1" t="n">
        <v>45672</v>
      </c>
      <c r="C602" s="1" t="n">
        <v>46035</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row r="603" ht="15" customHeight="1">
      <c r="A603" t="inlineStr">
        <is>
          <t>A 71275-2021</t>
        </is>
      </c>
      <c r="B603" s="1" t="n">
        <v>44539</v>
      </c>
      <c r="C603" s="1" t="n">
        <v>46035</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58608-2024</t>
        </is>
      </c>
      <c r="B604" s="1" t="n">
        <v>45635.55185185185</v>
      </c>
      <c r="C604" s="1" t="n">
        <v>46035</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46035</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2069-2025</t>
        </is>
      </c>
      <c r="B606" s="1" t="n">
        <v>45672.56614583333</v>
      </c>
      <c r="C606" s="1" t="n">
        <v>46035</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852-2025</t>
        </is>
      </c>
      <c r="B607" s="1" t="n">
        <v>45665.60148148148</v>
      </c>
      <c r="C607" s="1" t="n">
        <v>46035</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50398-2022</t>
        </is>
      </c>
      <c r="B608" s="1" t="n">
        <v>44861</v>
      </c>
      <c r="C608" s="1" t="n">
        <v>46035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52441-2024</t>
        </is>
      </c>
      <c r="B609" s="1" t="n">
        <v>45609.48451388889</v>
      </c>
      <c r="C609" s="1" t="n">
        <v>46035</v>
      </c>
      <c r="D609" t="inlineStr">
        <is>
          <t>ÖREBRO LÄN</t>
        </is>
      </c>
      <c r="E609" t="inlineStr">
        <is>
          <t>ÖREBRO</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52499-2024</t>
        </is>
      </c>
      <c r="B610" s="1" t="n">
        <v>45609.58422453704</v>
      </c>
      <c r="C610" s="1" t="n">
        <v>46035</v>
      </c>
      <c r="D610" t="inlineStr">
        <is>
          <t>ÖREBRO LÄN</t>
        </is>
      </c>
      <c r="E610" t="inlineStr">
        <is>
          <t>ÖREBRO</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8008-2024</t>
        </is>
      </c>
      <c r="B611" s="1" t="n">
        <v>45350.6794212963</v>
      </c>
      <c r="C611" s="1" t="n">
        <v>46035</v>
      </c>
      <c r="D611" t="inlineStr">
        <is>
          <t>ÖREBRO LÄN</t>
        </is>
      </c>
      <c r="E611" t="inlineStr">
        <is>
          <t>ÖREBRO</t>
        </is>
      </c>
      <c r="G611" t="n">
        <v>0.6</v>
      </c>
      <c r="H611" t="n">
        <v>0</v>
      </c>
      <c r="I611" t="n">
        <v>0</v>
      </c>
      <c r="J611" t="n">
        <v>0</v>
      </c>
      <c r="K611" t="n">
        <v>0</v>
      </c>
      <c r="L611" t="n">
        <v>0</v>
      </c>
      <c r="M611" t="n">
        <v>0</v>
      </c>
      <c r="N611" t="n">
        <v>0</v>
      </c>
      <c r="O611" t="n">
        <v>0</v>
      </c>
      <c r="P611" t="n">
        <v>0</v>
      </c>
      <c r="Q611" t="n">
        <v>0</v>
      </c>
      <c r="R611" s="2" t="inlineStr"/>
    </row>
    <row r="612" ht="15" customHeight="1">
      <c r="A612" t="inlineStr">
        <is>
          <t>A 18181-2024</t>
        </is>
      </c>
      <c r="B612" s="1" t="n">
        <v>45420.64561342593</v>
      </c>
      <c r="C612" s="1" t="n">
        <v>46035</v>
      </c>
      <c r="D612" t="inlineStr">
        <is>
          <t>ÖREBRO LÄN</t>
        </is>
      </c>
      <c r="E612" t="inlineStr">
        <is>
          <t>ÖREBRO</t>
        </is>
      </c>
      <c r="G612" t="n">
        <v>7.6</v>
      </c>
      <c r="H612" t="n">
        <v>0</v>
      </c>
      <c r="I612" t="n">
        <v>0</v>
      </c>
      <c r="J612" t="n">
        <v>0</v>
      </c>
      <c r="K612" t="n">
        <v>0</v>
      </c>
      <c r="L612" t="n">
        <v>0</v>
      </c>
      <c r="M612" t="n">
        <v>0</v>
      </c>
      <c r="N612" t="n">
        <v>0</v>
      </c>
      <c r="O612" t="n">
        <v>0</v>
      </c>
      <c r="P612" t="n">
        <v>0</v>
      </c>
      <c r="Q612" t="n">
        <v>0</v>
      </c>
      <c r="R612" s="2" t="inlineStr"/>
    </row>
    <row r="613" ht="15" customHeight="1">
      <c r="A613" t="inlineStr">
        <is>
          <t>A 38415-2023</t>
        </is>
      </c>
      <c r="B613" s="1" t="n">
        <v>45162.35502314815</v>
      </c>
      <c r="C613" s="1" t="n">
        <v>46035</v>
      </c>
      <c r="D613" t="inlineStr">
        <is>
          <t>ÖREBRO LÄN</t>
        </is>
      </c>
      <c r="E613" t="inlineStr">
        <is>
          <t>ÖREBRO</t>
        </is>
      </c>
      <c r="G613" t="n">
        <v>2.6</v>
      </c>
      <c r="H613" t="n">
        <v>0</v>
      </c>
      <c r="I613" t="n">
        <v>0</v>
      </c>
      <c r="J613" t="n">
        <v>0</v>
      </c>
      <c r="K613" t="n">
        <v>0</v>
      </c>
      <c r="L613" t="n">
        <v>0</v>
      </c>
      <c r="M613" t="n">
        <v>0</v>
      </c>
      <c r="N613" t="n">
        <v>0</v>
      </c>
      <c r="O613" t="n">
        <v>0</v>
      </c>
      <c r="P613" t="n">
        <v>0</v>
      </c>
      <c r="Q613" t="n">
        <v>0</v>
      </c>
      <c r="R613" s="2" t="inlineStr"/>
    </row>
    <row r="614" ht="15" customHeight="1">
      <c r="A614" t="inlineStr">
        <is>
          <t>A 16374-2022</t>
        </is>
      </c>
      <c r="B614" s="1" t="n">
        <v>44671</v>
      </c>
      <c r="C614" s="1" t="n">
        <v>46035</v>
      </c>
      <c r="D614" t="inlineStr">
        <is>
          <t>ÖREBRO LÄN</t>
        </is>
      </c>
      <c r="E614" t="inlineStr">
        <is>
          <t>ÖREBRO</t>
        </is>
      </c>
      <c r="F614" t="inlineStr">
        <is>
          <t>Övriga Aktiebolag</t>
        </is>
      </c>
      <c r="G614" t="n">
        <v>30.3</v>
      </c>
      <c r="H614" t="n">
        <v>0</v>
      </c>
      <c r="I614" t="n">
        <v>0</v>
      </c>
      <c r="J614" t="n">
        <v>0</v>
      </c>
      <c r="K614" t="n">
        <v>0</v>
      </c>
      <c r="L614" t="n">
        <v>0</v>
      </c>
      <c r="M614" t="n">
        <v>0</v>
      </c>
      <c r="N614" t="n">
        <v>0</v>
      </c>
      <c r="O614" t="n">
        <v>0</v>
      </c>
      <c r="P614" t="n">
        <v>0</v>
      </c>
      <c r="Q614" t="n">
        <v>0</v>
      </c>
      <c r="R614" s="2" t="inlineStr"/>
    </row>
    <row r="615" ht="15" customHeight="1">
      <c r="A615" t="inlineStr">
        <is>
          <t>A 9704-2023</t>
        </is>
      </c>
      <c r="B615" s="1" t="n">
        <v>44984</v>
      </c>
      <c r="C615" s="1" t="n">
        <v>46035</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19180-2025</t>
        </is>
      </c>
      <c r="B616" s="1" t="n">
        <v>45769.40133101852</v>
      </c>
      <c r="C616" s="1" t="n">
        <v>46035</v>
      </c>
      <c r="D616" t="inlineStr">
        <is>
          <t>ÖREBRO LÄN</t>
        </is>
      </c>
      <c r="E616" t="inlineStr">
        <is>
          <t>ÖREBRO</t>
        </is>
      </c>
      <c r="G616" t="n">
        <v>1.1</v>
      </c>
      <c r="H616" t="n">
        <v>0</v>
      </c>
      <c r="I616" t="n">
        <v>0</v>
      </c>
      <c r="J616" t="n">
        <v>0</v>
      </c>
      <c r="K616" t="n">
        <v>0</v>
      </c>
      <c r="L616" t="n">
        <v>0</v>
      </c>
      <c r="M616" t="n">
        <v>0</v>
      </c>
      <c r="N616" t="n">
        <v>0</v>
      </c>
      <c r="O616" t="n">
        <v>0</v>
      </c>
      <c r="P616" t="n">
        <v>0</v>
      </c>
      <c r="Q616" t="n">
        <v>0</v>
      </c>
      <c r="R616" s="2" t="inlineStr"/>
    </row>
    <row r="617" ht="15" customHeight="1">
      <c r="A617" t="inlineStr">
        <is>
          <t>A 46052-2024</t>
        </is>
      </c>
      <c r="B617" s="1" t="n">
        <v>45580.89116898148</v>
      </c>
      <c r="C617" s="1" t="n">
        <v>46035</v>
      </c>
      <c r="D617" t="inlineStr">
        <is>
          <t>ÖREBRO LÄN</t>
        </is>
      </c>
      <c r="E617" t="inlineStr">
        <is>
          <t>ÖREBRO</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58527-2024</t>
        </is>
      </c>
      <c r="B618" s="1" t="n">
        <v>45635.44388888889</v>
      </c>
      <c r="C618" s="1" t="n">
        <v>46035</v>
      </c>
      <c r="D618" t="inlineStr">
        <is>
          <t>ÖREBRO LÄN</t>
        </is>
      </c>
      <c r="E618" t="inlineStr">
        <is>
          <t>ÖREBRO</t>
        </is>
      </c>
      <c r="F618" t="inlineStr">
        <is>
          <t>Sveaskog</t>
        </is>
      </c>
      <c r="G618" t="n">
        <v>6.4</v>
      </c>
      <c r="H618" t="n">
        <v>0</v>
      </c>
      <c r="I618" t="n">
        <v>0</v>
      </c>
      <c r="J618" t="n">
        <v>0</v>
      </c>
      <c r="K618" t="n">
        <v>0</v>
      </c>
      <c r="L618" t="n">
        <v>0</v>
      </c>
      <c r="M618" t="n">
        <v>0</v>
      </c>
      <c r="N618" t="n">
        <v>0</v>
      </c>
      <c r="O618" t="n">
        <v>0</v>
      </c>
      <c r="P618" t="n">
        <v>0</v>
      </c>
      <c r="Q618" t="n">
        <v>0</v>
      </c>
      <c r="R618" s="2" t="inlineStr"/>
    </row>
    <row r="619" ht="15" customHeight="1">
      <c r="A619" t="inlineStr">
        <is>
          <t>A 37022-2024</t>
        </is>
      </c>
      <c r="B619" s="1" t="n">
        <v>45539.3822337963</v>
      </c>
      <c r="C619" s="1" t="n">
        <v>46035</v>
      </c>
      <c r="D619" t="inlineStr">
        <is>
          <t>ÖREBRO LÄN</t>
        </is>
      </c>
      <c r="E619" t="inlineStr">
        <is>
          <t>ÖREBRO</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37024-2024</t>
        </is>
      </c>
      <c r="B620" s="1" t="n">
        <v>45539.38329861111</v>
      </c>
      <c r="C620" s="1" t="n">
        <v>46035</v>
      </c>
      <c r="D620" t="inlineStr">
        <is>
          <t>ÖREBRO LÄN</t>
        </is>
      </c>
      <c r="E620" t="inlineStr">
        <is>
          <t>ÖREBRO</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38075-2022</t>
        </is>
      </c>
      <c r="B621" s="1" t="n">
        <v>44811</v>
      </c>
      <c r="C621" s="1" t="n">
        <v>46035</v>
      </c>
      <c r="D621" t="inlineStr">
        <is>
          <t>ÖREBRO LÄN</t>
        </is>
      </c>
      <c r="E621" t="inlineStr">
        <is>
          <t>ÖREBRO</t>
        </is>
      </c>
      <c r="G621" t="n">
        <v>0.2</v>
      </c>
      <c r="H621" t="n">
        <v>0</v>
      </c>
      <c r="I621" t="n">
        <v>0</v>
      </c>
      <c r="J621" t="n">
        <v>0</v>
      </c>
      <c r="K621" t="n">
        <v>0</v>
      </c>
      <c r="L621" t="n">
        <v>0</v>
      </c>
      <c r="M621" t="n">
        <v>0</v>
      </c>
      <c r="N621" t="n">
        <v>0</v>
      </c>
      <c r="O621" t="n">
        <v>0</v>
      </c>
      <c r="P621" t="n">
        <v>0</v>
      </c>
      <c r="Q621" t="n">
        <v>0</v>
      </c>
      <c r="R621" s="2" t="inlineStr"/>
    </row>
    <row r="622" ht="15" customHeight="1">
      <c r="A622" t="inlineStr">
        <is>
          <t>A 11382-2023</t>
        </is>
      </c>
      <c r="B622" s="1" t="n">
        <v>44993.45635416666</v>
      </c>
      <c r="C622" s="1" t="n">
        <v>46035</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20121-2024</t>
        </is>
      </c>
      <c r="B623" s="1" t="n">
        <v>45434</v>
      </c>
      <c r="C623" s="1" t="n">
        <v>46035</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26117-2021</t>
        </is>
      </c>
      <c r="B624" s="1" t="n">
        <v>44345</v>
      </c>
      <c r="C624" s="1" t="n">
        <v>46035</v>
      </c>
      <c r="D624" t="inlineStr">
        <is>
          <t>ÖREBRO LÄN</t>
        </is>
      </c>
      <c r="E624" t="inlineStr">
        <is>
          <t>ÖREBRO</t>
        </is>
      </c>
      <c r="G624" t="n">
        <v>8.1</v>
      </c>
      <c r="H624" t="n">
        <v>0</v>
      </c>
      <c r="I624" t="n">
        <v>0</v>
      </c>
      <c r="J624" t="n">
        <v>0</v>
      </c>
      <c r="K624" t="n">
        <v>0</v>
      </c>
      <c r="L624" t="n">
        <v>0</v>
      </c>
      <c r="M624" t="n">
        <v>0</v>
      </c>
      <c r="N624" t="n">
        <v>0</v>
      </c>
      <c r="O624" t="n">
        <v>0</v>
      </c>
      <c r="P624" t="n">
        <v>0</v>
      </c>
      <c r="Q624" t="n">
        <v>0</v>
      </c>
      <c r="R624" s="2" t="inlineStr"/>
    </row>
    <row r="625" ht="15" customHeight="1">
      <c r="A625" t="inlineStr">
        <is>
          <t>A 55943-2024</t>
        </is>
      </c>
      <c r="B625" s="1" t="n">
        <v>45623.61278935185</v>
      </c>
      <c r="C625" s="1" t="n">
        <v>46035</v>
      </c>
      <c r="D625" t="inlineStr">
        <is>
          <t>ÖREBRO LÄN</t>
        </is>
      </c>
      <c r="E625" t="inlineStr">
        <is>
          <t>ÖREBRO</t>
        </is>
      </c>
      <c r="G625" t="n">
        <v>4.8</v>
      </c>
      <c r="H625" t="n">
        <v>0</v>
      </c>
      <c r="I625" t="n">
        <v>0</v>
      </c>
      <c r="J625" t="n">
        <v>0</v>
      </c>
      <c r="K625" t="n">
        <v>0</v>
      </c>
      <c r="L625" t="n">
        <v>0</v>
      </c>
      <c r="M625" t="n">
        <v>0</v>
      </c>
      <c r="N625" t="n">
        <v>0</v>
      </c>
      <c r="O625" t="n">
        <v>0</v>
      </c>
      <c r="P625" t="n">
        <v>0</v>
      </c>
      <c r="Q625" t="n">
        <v>0</v>
      </c>
      <c r="R625" s="2" t="inlineStr"/>
    </row>
    <row r="626" ht="15" customHeight="1">
      <c r="A626" t="inlineStr">
        <is>
          <t>A 1013-2024</t>
        </is>
      </c>
      <c r="B626" s="1" t="n">
        <v>45301</v>
      </c>
      <c r="C626" s="1" t="n">
        <v>46035</v>
      </c>
      <c r="D626" t="inlineStr">
        <is>
          <t>ÖREBRO LÄN</t>
        </is>
      </c>
      <c r="E626" t="inlineStr">
        <is>
          <t>ÖREBRO</t>
        </is>
      </c>
      <c r="G626" t="n">
        <v>2.6</v>
      </c>
      <c r="H626" t="n">
        <v>0</v>
      </c>
      <c r="I626" t="n">
        <v>0</v>
      </c>
      <c r="J626" t="n">
        <v>0</v>
      </c>
      <c r="K626" t="n">
        <v>0</v>
      </c>
      <c r="L626" t="n">
        <v>0</v>
      </c>
      <c r="M626" t="n">
        <v>0</v>
      </c>
      <c r="N626" t="n">
        <v>0</v>
      </c>
      <c r="O626" t="n">
        <v>0</v>
      </c>
      <c r="P626" t="n">
        <v>0</v>
      </c>
      <c r="Q626" t="n">
        <v>0</v>
      </c>
      <c r="R626" s="2" t="inlineStr"/>
    </row>
    <row r="627" ht="15" customHeight="1">
      <c r="A627" t="inlineStr">
        <is>
          <t>A 13623-2024</t>
        </is>
      </c>
      <c r="B627" s="1" t="n">
        <v>45390.38626157407</v>
      </c>
      <c r="C627" s="1" t="n">
        <v>46035</v>
      </c>
      <c r="D627" t="inlineStr">
        <is>
          <t>ÖREBRO LÄN</t>
        </is>
      </c>
      <c r="E627" t="inlineStr">
        <is>
          <t>ÖREBRO</t>
        </is>
      </c>
      <c r="G627" t="n">
        <v>1.1</v>
      </c>
      <c r="H627" t="n">
        <v>0</v>
      </c>
      <c r="I627" t="n">
        <v>0</v>
      </c>
      <c r="J627" t="n">
        <v>0</v>
      </c>
      <c r="K627" t="n">
        <v>0</v>
      </c>
      <c r="L627" t="n">
        <v>0</v>
      </c>
      <c r="M627" t="n">
        <v>0</v>
      </c>
      <c r="N627" t="n">
        <v>0</v>
      </c>
      <c r="O627" t="n">
        <v>0</v>
      </c>
      <c r="P627" t="n">
        <v>0</v>
      </c>
      <c r="Q627" t="n">
        <v>0</v>
      </c>
      <c r="R627" s="2" t="inlineStr"/>
    </row>
    <row r="628" ht="15" customHeight="1">
      <c r="A628" t="inlineStr">
        <is>
          <t>A 5330-2024</t>
        </is>
      </c>
      <c r="B628" s="1" t="n">
        <v>45331.4187962963</v>
      </c>
      <c r="C628" s="1" t="n">
        <v>46035</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6794-2025</t>
        </is>
      </c>
      <c r="B629" s="1" t="n">
        <v>45700.66429398148</v>
      </c>
      <c r="C629" s="1" t="n">
        <v>46035</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3-2024</t>
        </is>
      </c>
      <c r="B630" s="1" t="n">
        <v>45292</v>
      </c>
      <c r="C630" s="1" t="n">
        <v>46035</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5619-2023</t>
        </is>
      </c>
      <c r="B631" s="1" t="n">
        <v>44958</v>
      </c>
      <c r="C631" s="1" t="n">
        <v>46035</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5578-2024</t>
        </is>
      </c>
      <c r="B632" s="1" t="n">
        <v>45334.49104166667</v>
      </c>
      <c r="C632" s="1" t="n">
        <v>46035</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37786-2024</t>
        </is>
      </c>
      <c r="B633" s="1" t="n">
        <v>45542.82987268519</v>
      </c>
      <c r="C633" s="1" t="n">
        <v>46035</v>
      </c>
      <c r="D633" t="inlineStr">
        <is>
          <t>ÖREBRO LÄN</t>
        </is>
      </c>
      <c r="E633" t="inlineStr">
        <is>
          <t>ÖREBRO</t>
        </is>
      </c>
      <c r="G633" t="n">
        <v>3.1</v>
      </c>
      <c r="H633" t="n">
        <v>0</v>
      </c>
      <c r="I633" t="n">
        <v>0</v>
      </c>
      <c r="J633" t="n">
        <v>0</v>
      </c>
      <c r="K633" t="n">
        <v>0</v>
      </c>
      <c r="L633" t="n">
        <v>0</v>
      </c>
      <c r="M633" t="n">
        <v>0</v>
      </c>
      <c r="N633" t="n">
        <v>0</v>
      </c>
      <c r="O633" t="n">
        <v>0</v>
      </c>
      <c r="P633" t="n">
        <v>0</v>
      </c>
      <c r="Q633" t="n">
        <v>0</v>
      </c>
      <c r="R633" s="2" t="inlineStr"/>
    </row>
    <row r="634" ht="15" customHeight="1">
      <c r="A634" t="inlineStr">
        <is>
          <t>A 58615-2024</t>
        </is>
      </c>
      <c r="B634" s="1" t="n">
        <v>45635.5587037037</v>
      </c>
      <c r="C634" s="1" t="n">
        <v>46035</v>
      </c>
      <c r="D634" t="inlineStr">
        <is>
          <t>ÖREBRO LÄN</t>
        </is>
      </c>
      <c r="E634" t="inlineStr">
        <is>
          <t>ÖREBRO</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45517-2023</t>
        </is>
      </c>
      <c r="B635" s="1" t="n">
        <v>45194.49594907407</v>
      </c>
      <c r="C635" s="1" t="n">
        <v>46035</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3652-2022</t>
        </is>
      </c>
      <c r="B636" s="1" t="n">
        <v>44586.46921296296</v>
      </c>
      <c r="C636" s="1" t="n">
        <v>46035</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25407-2021</t>
        </is>
      </c>
      <c r="B637" s="1" t="n">
        <v>44342</v>
      </c>
      <c r="C637" s="1" t="n">
        <v>46035</v>
      </c>
      <c r="D637" t="inlineStr">
        <is>
          <t>ÖREBRO LÄN</t>
        </is>
      </c>
      <c r="E637" t="inlineStr">
        <is>
          <t>ÖREBRO</t>
        </is>
      </c>
      <c r="F637" t="inlineStr">
        <is>
          <t>Kommuner</t>
        </is>
      </c>
      <c r="G637" t="n">
        <v>7.2</v>
      </c>
      <c r="H637" t="n">
        <v>0</v>
      </c>
      <c r="I637" t="n">
        <v>0</v>
      </c>
      <c r="J637" t="n">
        <v>0</v>
      </c>
      <c r="K637" t="n">
        <v>0</v>
      </c>
      <c r="L637" t="n">
        <v>0</v>
      </c>
      <c r="M637" t="n">
        <v>0</v>
      </c>
      <c r="N637" t="n">
        <v>0</v>
      </c>
      <c r="O637" t="n">
        <v>0</v>
      </c>
      <c r="P637" t="n">
        <v>0</v>
      </c>
      <c r="Q637" t="n">
        <v>0</v>
      </c>
      <c r="R637" s="2" t="inlineStr"/>
    </row>
    <row r="638" ht="15" customHeight="1">
      <c r="A638" t="inlineStr">
        <is>
          <t>A 12245-2023</t>
        </is>
      </c>
      <c r="B638" s="1" t="n">
        <v>44998.64402777778</v>
      </c>
      <c r="C638" s="1" t="n">
        <v>46035</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7134-2025</t>
        </is>
      </c>
      <c r="B639" s="1" t="n">
        <v>45702</v>
      </c>
      <c r="C639" s="1" t="n">
        <v>46035</v>
      </c>
      <c r="D639" t="inlineStr">
        <is>
          <t>ÖREBRO LÄN</t>
        </is>
      </c>
      <c r="E639" t="inlineStr">
        <is>
          <t>ÖREBRO</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60506-2024</t>
        </is>
      </c>
      <c r="B640" s="1" t="n">
        <v>45643.66630787037</v>
      </c>
      <c r="C640" s="1" t="n">
        <v>46035</v>
      </c>
      <c r="D640" t="inlineStr">
        <is>
          <t>ÖREBRO LÄN</t>
        </is>
      </c>
      <c r="E640" t="inlineStr">
        <is>
          <t>ÖREBRO</t>
        </is>
      </c>
      <c r="G640" t="n">
        <v>5.8</v>
      </c>
      <c r="H640" t="n">
        <v>0</v>
      </c>
      <c r="I640" t="n">
        <v>0</v>
      </c>
      <c r="J640" t="n">
        <v>0</v>
      </c>
      <c r="K640" t="n">
        <v>0</v>
      </c>
      <c r="L640" t="n">
        <v>0</v>
      </c>
      <c r="M640" t="n">
        <v>0</v>
      </c>
      <c r="N640" t="n">
        <v>0</v>
      </c>
      <c r="O640" t="n">
        <v>0</v>
      </c>
      <c r="P640" t="n">
        <v>0</v>
      </c>
      <c r="Q640" t="n">
        <v>0</v>
      </c>
      <c r="R640" s="2" t="inlineStr"/>
    </row>
    <row r="641" ht="15" customHeight="1">
      <c r="A641" t="inlineStr">
        <is>
          <t>A 29978-2024</t>
        </is>
      </c>
      <c r="B641" s="1" t="n">
        <v>45488.48340277778</v>
      </c>
      <c r="C641" s="1" t="n">
        <v>46035</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30903-2024</t>
        </is>
      </c>
      <c r="B642" s="1" t="n">
        <v>45498.49946759259</v>
      </c>
      <c r="C642" s="1" t="n">
        <v>46035</v>
      </c>
      <c r="D642" t="inlineStr">
        <is>
          <t>ÖREBRO LÄN</t>
        </is>
      </c>
      <c r="E642" t="inlineStr">
        <is>
          <t>ÖREBRO</t>
        </is>
      </c>
      <c r="G642" t="n">
        <v>1.1</v>
      </c>
      <c r="H642" t="n">
        <v>0</v>
      </c>
      <c r="I642" t="n">
        <v>0</v>
      </c>
      <c r="J642" t="n">
        <v>0</v>
      </c>
      <c r="K642" t="n">
        <v>0</v>
      </c>
      <c r="L642" t="n">
        <v>0</v>
      </c>
      <c r="M642" t="n">
        <v>0</v>
      </c>
      <c r="N642" t="n">
        <v>0</v>
      </c>
      <c r="O642" t="n">
        <v>0</v>
      </c>
      <c r="P642" t="n">
        <v>0</v>
      </c>
      <c r="Q642" t="n">
        <v>0</v>
      </c>
      <c r="R642" s="2" t="inlineStr"/>
    </row>
    <row r="643" ht="15" customHeight="1">
      <c r="A643" t="inlineStr">
        <is>
          <t>A 58611-2024</t>
        </is>
      </c>
      <c r="B643" s="1" t="n">
        <v>45635.55555555555</v>
      </c>
      <c r="C643" s="1" t="n">
        <v>46035</v>
      </c>
      <c r="D643" t="inlineStr">
        <is>
          <t>ÖREBRO LÄN</t>
        </is>
      </c>
      <c r="E643" t="inlineStr">
        <is>
          <t>ÖREBRO</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20146-2024</t>
        </is>
      </c>
      <c r="B644" s="1" t="n">
        <v>45434.57641203704</v>
      </c>
      <c r="C644" s="1" t="n">
        <v>46035</v>
      </c>
      <c r="D644" t="inlineStr">
        <is>
          <t>ÖREBRO LÄN</t>
        </is>
      </c>
      <c r="E644" t="inlineStr">
        <is>
          <t>ÖREBRO</t>
        </is>
      </c>
      <c r="G644" t="n">
        <v>0.5</v>
      </c>
      <c r="H644" t="n">
        <v>0</v>
      </c>
      <c r="I644" t="n">
        <v>0</v>
      </c>
      <c r="J644" t="n">
        <v>0</v>
      </c>
      <c r="K644" t="n">
        <v>0</v>
      </c>
      <c r="L644" t="n">
        <v>0</v>
      </c>
      <c r="M644" t="n">
        <v>0</v>
      </c>
      <c r="N644" t="n">
        <v>0</v>
      </c>
      <c r="O644" t="n">
        <v>0</v>
      </c>
      <c r="P644" t="n">
        <v>0</v>
      </c>
      <c r="Q644" t="n">
        <v>0</v>
      </c>
      <c r="R644" s="2" t="inlineStr"/>
    </row>
    <row r="645" ht="15" customHeight="1">
      <c r="A645" t="inlineStr">
        <is>
          <t>A 53143-2023</t>
        </is>
      </c>
      <c r="B645" s="1" t="n">
        <v>45229</v>
      </c>
      <c r="C645" s="1" t="n">
        <v>46035</v>
      </c>
      <c r="D645" t="inlineStr">
        <is>
          <t>ÖREBRO LÄN</t>
        </is>
      </c>
      <c r="E645" t="inlineStr">
        <is>
          <t>ÖREBRO</t>
        </is>
      </c>
      <c r="G645" t="n">
        <v>3.3</v>
      </c>
      <c r="H645" t="n">
        <v>0</v>
      </c>
      <c r="I645" t="n">
        <v>0</v>
      </c>
      <c r="J645" t="n">
        <v>0</v>
      </c>
      <c r="K645" t="n">
        <v>0</v>
      </c>
      <c r="L645" t="n">
        <v>0</v>
      </c>
      <c r="M645" t="n">
        <v>0</v>
      </c>
      <c r="N645" t="n">
        <v>0</v>
      </c>
      <c r="O645" t="n">
        <v>0</v>
      </c>
      <c r="P645" t="n">
        <v>0</v>
      </c>
      <c r="Q645" t="n">
        <v>0</v>
      </c>
      <c r="R645" s="2" t="inlineStr"/>
    </row>
    <row r="646">
      <c r="A646" t="inlineStr">
        <is>
          <t>A 8656-2025</t>
        </is>
      </c>
      <c r="B646" s="1" t="n">
        <v>45712.38268518518</v>
      </c>
      <c r="C646" s="1" t="n">
        <v>46035</v>
      </c>
      <c r="D646" t="inlineStr">
        <is>
          <t>ÖREBRO LÄN</t>
        </is>
      </c>
      <c r="E646" t="inlineStr">
        <is>
          <t>ÖREBRO</t>
        </is>
      </c>
      <c r="G646" t="n">
        <v>2.7</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2026-01-13T10:51:27Z</dcterms:created>
  <dcterms:modified xmlns:dcterms="http://purl.org/dc/terms/" xmlns:xsi="http://www.w3.org/2001/XMLSchema-instance" xsi:type="dcterms:W3CDTF">2026-01-13T10:51:27Z</dcterms:modified>
</cp:coreProperties>
</file>