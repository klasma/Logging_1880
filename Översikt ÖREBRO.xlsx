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46059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46059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46059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46059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46059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46059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15758-2023</t>
        </is>
      </c>
      <c r="B8" s="1" t="n">
        <v>45021</v>
      </c>
      <c r="C8" s="1" t="n">
        <v>46059</v>
      </c>
      <c r="D8" t="inlineStr">
        <is>
          <t>ÖREBRO LÄN</t>
        </is>
      </c>
      <c r="E8" t="inlineStr">
        <is>
          <t>ÖREBRO</t>
        </is>
      </c>
      <c r="G8" t="n">
        <v>2.6</v>
      </c>
      <c r="H8" t="n">
        <v>2</v>
      </c>
      <c r="I8" t="n">
        <v>2</v>
      </c>
      <c r="J8" t="n">
        <v>3</v>
      </c>
      <c r="K8" t="n">
        <v>1</v>
      </c>
      <c r="L8" t="n">
        <v>0</v>
      </c>
      <c r="M8" t="n">
        <v>0</v>
      </c>
      <c r="N8" t="n">
        <v>0</v>
      </c>
      <c r="O8" t="n">
        <v>4</v>
      </c>
      <c r="P8" t="n">
        <v>1</v>
      </c>
      <c r="Q8" t="n">
        <v>6</v>
      </c>
      <c r="R8" s="2" t="inlineStr">
        <is>
          <t>Knärot
Orange taggsvamp
Spillkråka
Ullticka
Grönpyrola
Gullgröppa</t>
        </is>
      </c>
      <c r="S8">
        <f>HYPERLINK("https://klasma.github.io/Logging_1880/artfynd/A 15758-2023 artfynd.xlsx", "A 15758-2023")</f>
        <v/>
      </c>
      <c r="T8">
        <f>HYPERLINK("https://klasma.github.io/Logging_1880/kartor/A 15758-2023 karta.png", "A 15758-2023")</f>
        <v/>
      </c>
      <c r="U8">
        <f>HYPERLINK("https://klasma.github.io/Logging_1880/knärot/A 15758-2023 karta knärot.png", "A 15758-2023")</f>
        <v/>
      </c>
      <c r="V8">
        <f>HYPERLINK("https://klasma.github.io/Logging_1880/klagomål/A 15758-2023 FSC-klagomål.docx", "A 15758-2023")</f>
        <v/>
      </c>
      <c r="W8">
        <f>HYPERLINK("https://klasma.github.io/Logging_1880/klagomålsmail/A 15758-2023 FSC-klagomål mail.docx", "A 15758-2023")</f>
        <v/>
      </c>
      <c r="X8">
        <f>HYPERLINK("https://klasma.github.io/Logging_1880/tillsyn/A 15758-2023 tillsynsbegäran.docx", "A 15758-2023")</f>
        <v/>
      </c>
      <c r="Y8">
        <f>HYPERLINK("https://klasma.github.io/Logging_1880/tillsynsmail/A 15758-2023 tillsynsbegäran mail.docx", "A 15758-2023")</f>
        <v/>
      </c>
      <c r="Z8">
        <f>HYPERLINK("https://klasma.github.io/Logging_1880/fåglar/A 15758-2023 prioriterade fågelarter.docx", "A 15758-2023")</f>
        <v/>
      </c>
    </row>
    <row r="9" ht="15" customHeight="1">
      <c r="A9" t="inlineStr">
        <is>
          <t>A 59520-2025</t>
        </is>
      </c>
      <c r="B9" s="1" t="n">
        <v>45989</v>
      </c>
      <c r="C9" s="1" t="n">
        <v>46059</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46059</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46059</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3025-2026</t>
        </is>
      </c>
      <c r="B12" s="1" t="n">
        <v>46038.67769675926</v>
      </c>
      <c r="C12" s="1" t="n">
        <v>46059</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46059</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46059</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12974-2022</t>
        </is>
      </c>
      <c r="B15" s="1" t="n">
        <v>44643.38490740741</v>
      </c>
      <c r="C15" s="1" t="n">
        <v>46059</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46059</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46059</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46059</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46059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46059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46059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46059</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46059</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59519-2025</t>
        </is>
      </c>
      <c r="B24" s="1" t="n">
        <v>45989</v>
      </c>
      <c r="C24" s="1" t="n">
        <v>46059</v>
      </c>
      <c r="D24" t="inlineStr">
        <is>
          <t>ÖREBRO LÄN</t>
        </is>
      </c>
      <c r="E24" t="inlineStr">
        <is>
          <t>ÖREBRO</t>
        </is>
      </c>
      <c r="F24" t="inlineStr">
        <is>
          <t>Sveaskog</t>
        </is>
      </c>
      <c r="G24" t="n">
        <v>2.5</v>
      </c>
      <c r="H24" t="n">
        <v>3</v>
      </c>
      <c r="I24" t="n">
        <v>0</v>
      </c>
      <c r="J24" t="n">
        <v>0</v>
      </c>
      <c r="K24" t="n">
        <v>0</v>
      </c>
      <c r="L24" t="n">
        <v>0</v>
      </c>
      <c r="M24" t="n">
        <v>0</v>
      </c>
      <c r="N24" t="n">
        <v>0</v>
      </c>
      <c r="O24" t="n">
        <v>0</v>
      </c>
      <c r="P24" t="n">
        <v>0</v>
      </c>
      <c r="Q24" t="n">
        <v>3</v>
      </c>
      <c r="R24" s="2" t="inlineStr">
        <is>
          <t>Hasselmus
Nattviol
Blåsippa</t>
        </is>
      </c>
      <c r="S24">
        <f>HYPERLINK("https://klasma.github.io/Logging_1880/artfynd/A 59519-2025 artfynd.xlsx", "A 59519-2025")</f>
        <v/>
      </c>
      <c r="T24">
        <f>HYPERLINK("https://klasma.github.io/Logging_1880/kartor/A 59519-2025 karta.png", "A 59519-2025")</f>
        <v/>
      </c>
      <c r="V24">
        <f>HYPERLINK("https://klasma.github.io/Logging_1880/klagomål/A 59519-2025 FSC-klagomål.docx", "A 59519-2025")</f>
        <v/>
      </c>
      <c r="W24">
        <f>HYPERLINK("https://klasma.github.io/Logging_1880/klagomålsmail/A 59519-2025 FSC-klagomål mail.docx", "A 59519-2025")</f>
        <v/>
      </c>
      <c r="X24">
        <f>HYPERLINK("https://klasma.github.io/Logging_1880/tillsyn/A 59519-2025 tillsynsbegäran.docx", "A 59519-2025")</f>
        <v/>
      </c>
      <c r="Y24">
        <f>HYPERLINK("https://klasma.github.io/Logging_1880/tillsynsmail/A 59519-2025 tillsynsbegäran mail.docx", "A 59519-2025")</f>
        <v/>
      </c>
    </row>
    <row r="25" ht="15" customHeight="1">
      <c r="A25" t="inlineStr">
        <is>
          <t>A 59517-2025</t>
        </is>
      </c>
      <c r="B25" s="1" t="n">
        <v>45989.65462962963</v>
      </c>
      <c r="C25" s="1" t="n">
        <v>46059</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575-2024</t>
        </is>
      </c>
      <c r="B26" s="1" t="n">
        <v>45299</v>
      </c>
      <c r="C26" s="1" t="n">
        <v>46059</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50096-2023</t>
        </is>
      </c>
      <c r="B27" s="1" t="n">
        <v>45215</v>
      </c>
      <c r="C27" s="1" t="n">
        <v>46059</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46059</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46059</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46059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46059</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46059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46059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46059</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46059</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60557-2025</t>
        </is>
      </c>
      <c r="B36" s="1" t="n">
        <v>45995.74444444444</v>
      </c>
      <c r="C36" s="1" t="n">
        <v>46059</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2998-2026</t>
        </is>
      </c>
      <c r="B37" s="1" t="n">
        <v>46038.64835648148</v>
      </c>
      <c r="C37" s="1" t="n">
        <v>46059</v>
      </c>
      <c r="D37" t="inlineStr">
        <is>
          <t>ÖREBRO LÄN</t>
        </is>
      </c>
      <c r="E37" t="inlineStr">
        <is>
          <t>ÖREBRO</t>
        </is>
      </c>
      <c r="F37" t="inlineStr">
        <is>
          <t>Övriga Aktiebolag</t>
        </is>
      </c>
      <c r="G37" t="n">
        <v>6.4</v>
      </c>
      <c r="H37" t="n">
        <v>2</v>
      </c>
      <c r="I37" t="n">
        <v>0</v>
      </c>
      <c r="J37" t="n">
        <v>1</v>
      </c>
      <c r="K37" t="n">
        <v>0</v>
      </c>
      <c r="L37" t="n">
        <v>0</v>
      </c>
      <c r="M37" t="n">
        <v>0</v>
      </c>
      <c r="N37" t="n">
        <v>0</v>
      </c>
      <c r="O37" t="n">
        <v>1</v>
      </c>
      <c r="P37" t="n">
        <v>0</v>
      </c>
      <c r="Q37" t="n">
        <v>2</v>
      </c>
      <c r="R37" s="2" t="inlineStr">
        <is>
          <t>Grönsångare
Kungsfågel</t>
        </is>
      </c>
      <c r="S37">
        <f>HYPERLINK("https://klasma.github.io/Logging_1880/artfynd/A 2998-2026 artfynd.xlsx", "A 2998-2026")</f>
        <v/>
      </c>
      <c r="T37">
        <f>HYPERLINK("https://klasma.github.io/Logging_1880/kartor/A 2998-2026 karta.png", "A 2998-2026")</f>
        <v/>
      </c>
      <c r="V37">
        <f>HYPERLINK("https://klasma.github.io/Logging_1880/klagomål/A 2998-2026 FSC-klagomål.docx", "A 2998-2026")</f>
        <v/>
      </c>
      <c r="W37">
        <f>HYPERLINK("https://klasma.github.io/Logging_1880/klagomålsmail/A 2998-2026 FSC-klagomål mail.docx", "A 2998-2026")</f>
        <v/>
      </c>
      <c r="X37">
        <f>HYPERLINK("https://klasma.github.io/Logging_1880/tillsyn/A 2998-2026 tillsynsbegäran.docx", "A 2998-2026")</f>
        <v/>
      </c>
      <c r="Y37">
        <f>HYPERLINK("https://klasma.github.io/Logging_1880/tillsynsmail/A 2998-2026 tillsynsbegäran mail.docx", "A 2998-2026")</f>
        <v/>
      </c>
      <c r="Z37">
        <f>HYPERLINK("https://klasma.github.io/Logging_1880/fåglar/A 2998-2026 prioriterade fågelarter.docx", "A 2998-2026")</f>
        <v/>
      </c>
    </row>
    <row r="38" ht="15" customHeight="1">
      <c r="A38" t="inlineStr">
        <is>
          <t>A 13395-2024</t>
        </is>
      </c>
      <c r="B38" s="1" t="n">
        <v>45387.42296296296</v>
      </c>
      <c r="C38" s="1" t="n">
        <v>46059</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51550-2025</t>
        </is>
      </c>
      <c r="B39" s="1" t="n">
        <v>45950.83359953704</v>
      </c>
      <c r="C39" s="1" t="n">
        <v>46059</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8267-2021</t>
        </is>
      </c>
      <c r="B40" s="1" t="n">
        <v>44244</v>
      </c>
      <c r="C40" s="1" t="n">
        <v>46059</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37019-2024</t>
        </is>
      </c>
      <c r="B41" s="1" t="n">
        <v>45539.37905092593</v>
      </c>
      <c r="C41" s="1" t="n">
        <v>46059</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46059</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46059</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46059</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30409-2025</t>
        </is>
      </c>
      <c r="B45" s="1" t="n">
        <v>45827.59738425926</v>
      </c>
      <c r="C45" s="1" t="n">
        <v>46059</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46059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46059</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46059</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23998-2025</t>
        </is>
      </c>
      <c r="B49" s="1" t="n">
        <v>45796.42209490741</v>
      </c>
      <c r="C49" s="1" t="n">
        <v>46059</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22604-2024</t>
        </is>
      </c>
      <c r="B50" s="1" t="n">
        <v>45447</v>
      </c>
      <c r="C50" s="1" t="n">
        <v>46059</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43332-2022</t>
        </is>
      </c>
      <c r="B51" s="1" t="n">
        <v>44834</v>
      </c>
      <c r="C51" s="1" t="n">
        <v>46059</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58838-2025</t>
        </is>
      </c>
      <c r="B52" s="1" t="n">
        <v>45987.35973379629</v>
      </c>
      <c r="C52" s="1" t="n">
        <v>46059</v>
      </c>
      <c r="D52" t="inlineStr">
        <is>
          <t>ÖREBRO LÄN</t>
        </is>
      </c>
      <c r="E52" t="inlineStr">
        <is>
          <t>ÖREBRO</t>
        </is>
      </c>
      <c r="G52" t="n">
        <v>1.7</v>
      </c>
      <c r="H52" t="n">
        <v>0</v>
      </c>
      <c r="I52" t="n">
        <v>1</v>
      </c>
      <c r="J52" t="n">
        <v>0</v>
      </c>
      <c r="K52" t="n">
        <v>0</v>
      </c>
      <c r="L52" t="n">
        <v>0</v>
      </c>
      <c r="M52" t="n">
        <v>0</v>
      </c>
      <c r="N52" t="n">
        <v>0</v>
      </c>
      <c r="O52" t="n">
        <v>0</v>
      </c>
      <c r="P52" t="n">
        <v>0</v>
      </c>
      <c r="Q52" t="n">
        <v>1</v>
      </c>
      <c r="R52" s="2" t="inlineStr">
        <is>
          <t>Grönpyrola</t>
        </is>
      </c>
      <c r="S52">
        <f>HYPERLINK("https://klasma.github.io/Logging_1880/artfynd/A 58838-2025 artfynd.xlsx", "A 58838-2025")</f>
        <v/>
      </c>
      <c r="T52">
        <f>HYPERLINK("https://klasma.github.io/Logging_1880/kartor/A 58838-2025 karta.png", "A 58838-2025")</f>
        <v/>
      </c>
      <c r="V52">
        <f>HYPERLINK("https://klasma.github.io/Logging_1880/klagomål/A 58838-2025 FSC-klagomål.docx", "A 58838-2025")</f>
        <v/>
      </c>
      <c r="W52">
        <f>HYPERLINK("https://klasma.github.io/Logging_1880/klagomålsmail/A 58838-2025 FSC-klagomål mail.docx", "A 58838-2025")</f>
        <v/>
      </c>
      <c r="X52">
        <f>HYPERLINK("https://klasma.github.io/Logging_1880/tillsyn/A 58838-2025 tillsynsbegäran.docx", "A 58838-2025")</f>
        <v/>
      </c>
      <c r="Y52">
        <f>HYPERLINK("https://klasma.github.io/Logging_1880/tillsynsmail/A 58838-2025 tillsynsbegäran mail.docx", "A 58838-2025")</f>
        <v/>
      </c>
    </row>
    <row r="53" ht="15" customHeight="1">
      <c r="A53" t="inlineStr">
        <is>
          <t>A 44744-2024</t>
        </is>
      </c>
      <c r="B53" s="1" t="n">
        <v>45574.59789351852</v>
      </c>
      <c r="C53" s="1" t="n">
        <v>46059</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3006-2026</t>
        </is>
      </c>
      <c r="B54" s="1" t="n">
        <v>46038.65719907408</v>
      </c>
      <c r="C54" s="1" t="n">
        <v>46059</v>
      </c>
      <c r="D54" t="inlineStr">
        <is>
          <t>ÖREBRO LÄN</t>
        </is>
      </c>
      <c r="E54" t="inlineStr">
        <is>
          <t>ÖREBRO</t>
        </is>
      </c>
      <c r="F54" t="inlineStr">
        <is>
          <t>Övriga Aktiebolag</t>
        </is>
      </c>
      <c r="G54" t="n">
        <v>1</v>
      </c>
      <c r="H54" t="n">
        <v>1</v>
      </c>
      <c r="I54" t="n">
        <v>0</v>
      </c>
      <c r="J54" t="n">
        <v>1</v>
      </c>
      <c r="K54" t="n">
        <v>0</v>
      </c>
      <c r="L54" t="n">
        <v>0</v>
      </c>
      <c r="M54" t="n">
        <v>0</v>
      </c>
      <c r="N54" t="n">
        <v>0</v>
      </c>
      <c r="O54" t="n">
        <v>1</v>
      </c>
      <c r="P54" t="n">
        <v>0</v>
      </c>
      <c r="Q54" t="n">
        <v>1</v>
      </c>
      <c r="R54" s="2" t="inlineStr">
        <is>
          <t>Gulsparv</t>
        </is>
      </c>
      <c r="S54">
        <f>HYPERLINK("https://klasma.github.io/Logging_1880/artfynd/A 3006-2026 artfynd.xlsx", "A 3006-2026")</f>
        <v/>
      </c>
      <c r="T54">
        <f>HYPERLINK("https://klasma.github.io/Logging_1880/kartor/A 3006-2026 karta.png", "A 3006-2026")</f>
        <v/>
      </c>
      <c r="V54">
        <f>HYPERLINK("https://klasma.github.io/Logging_1880/klagomål/A 3006-2026 FSC-klagomål.docx", "A 3006-2026")</f>
        <v/>
      </c>
      <c r="W54">
        <f>HYPERLINK("https://klasma.github.io/Logging_1880/klagomålsmail/A 3006-2026 FSC-klagomål mail.docx", "A 3006-2026")</f>
        <v/>
      </c>
      <c r="X54">
        <f>HYPERLINK("https://klasma.github.io/Logging_1880/tillsyn/A 3006-2026 tillsynsbegäran.docx", "A 3006-2026")</f>
        <v/>
      </c>
      <c r="Y54">
        <f>HYPERLINK("https://klasma.github.io/Logging_1880/tillsynsmail/A 3006-2026 tillsynsbegäran mail.docx", "A 3006-2026")</f>
        <v/>
      </c>
      <c r="Z54">
        <f>HYPERLINK("https://klasma.github.io/Logging_1880/fåglar/A 3006-2026 prioriterade fågelarter.docx", "A 3006-2026")</f>
        <v/>
      </c>
    </row>
    <row r="55" ht="15" customHeight="1">
      <c r="A55" t="inlineStr">
        <is>
          <t>A 11501-2025</t>
        </is>
      </c>
      <c r="B55" s="1" t="n">
        <v>45726</v>
      </c>
      <c r="C55" s="1" t="n">
        <v>46059</v>
      </c>
      <c r="D55" t="inlineStr">
        <is>
          <t>ÖREBRO LÄN</t>
        </is>
      </c>
      <c r="E55" t="inlineStr">
        <is>
          <t>ÖREBRO</t>
        </is>
      </c>
      <c r="G55" t="n">
        <v>0.8</v>
      </c>
      <c r="H55" t="n">
        <v>1</v>
      </c>
      <c r="I55" t="n">
        <v>0</v>
      </c>
      <c r="J55" t="n">
        <v>0</v>
      </c>
      <c r="K55" t="n">
        <v>0</v>
      </c>
      <c r="L55" t="n">
        <v>0</v>
      </c>
      <c r="M55" t="n">
        <v>0</v>
      </c>
      <c r="N55" t="n">
        <v>0</v>
      </c>
      <c r="O55" t="n">
        <v>0</v>
      </c>
      <c r="P55" t="n">
        <v>0</v>
      </c>
      <c r="Q55" t="n">
        <v>1</v>
      </c>
      <c r="R55" s="2" t="inlineStr">
        <is>
          <t>Kopparödla</t>
        </is>
      </c>
      <c r="S55">
        <f>HYPERLINK("https://klasma.github.io/Logging_1880/artfynd/A 11501-2025 artfynd.xlsx", "A 11501-2025")</f>
        <v/>
      </c>
      <c r="T55">
        <f>HYPERLINK("https://klasma.github.io/Logging_1880/kartor/A 11501-2025 karta.png", "A 11501-2025")</f>
        <v/>
      </c>
      <c r="V55">
        <f>HYPERLINK("https://klasma.github.io/Logging_1880/klagomål/A 11501-2025 FSC-klagomål.docx", "A 11501-2025")</f>
        <v/>
      </c>
      <c r="W55">
        <f>HYPERLINK("https://klasma.github.io/Logging_1880/klagomålsmail/A 11501-2025 FSC-klagomål mail.docx", "A 11501-2025")</f>
        <v/>
      </c>
      <c r="X55">
        <f>HYPERLINK("https://klasma.github.io/Logging_1880/tillsyn/A 11501-2025 tillsynsbegäran.docx", "A 11501-2025")</f>
        <v/>
      </c>
      <c r="Y55">
        <f>HYPERLINK("https://klasma.github.io/Logging_1880/tillsynsmail/A 11501-2025 tillsynsbegäran mail.docx", "A 11501-2025")</f>
        <v/>
      </c>
    </row>
    <row r="56" ht="15" customHeight="1">
      <c r="A56" t="inlineStr">
        <is>
          <t>A 59516-2025</t>
        </is>
      </c>
      <c r="B56" s="1" t="n">
        <v>45989.65396990741</v>
      </c>
      <c r="C56" s="1" t="n">
        <v>46059</v>
      </c>
      <c r="D56" t="inlineStr">
        <is>
          <t>ÖREBRO LÄN</t>
        </is>
      </c>
      <c r="E56" t="inlineStr">
        <is>
          <t>ÖREBRO</t>
        </is>
      </c>
      <c r="F56" t="inlineStr">
        <is>
          <t>Sveaskog</t>
        </is>
      </c>
      <c r="G56" t="n">
        <v>1.9</v>
      </c>
      <c r="H56" t="n">
        <v>0</v>
      </c>
      <c r="I56" t="n">
        <v>1</v>
      </c>
      <c r="J56" t="n">
        <v>0</v>
      </c>
      <c r="K56" t="n">
        <v>0</v>
      </c>
      <c r="L56" t="n">
        <v>0</v>
      </c>
      <c r="M56" t="n">
        <v>0</v>
      </c>
      <c r="N56" t="n">
        <v>0</v>
      </c>
      <c r="O56" t="n">
        <v>0</v>
      </c>
      <c r="P56" t="n">
        <v>0</v>
      </c>
      <c r="Q56" t="n">
        <v>1</v>
      </c>
      <c r="R56" s="2" t="inlineStr">
        <is>
          <t>Tibast</t>
        </is>
      </c>
      <c r="S56">
        <f>HYPERLINK("https://klasma.github.io/Logging_1880/artfynd/A 59516-2025 artfynd.xlsx", "A 59516-2025")</f>
        <v/>
      </c>
      <c r="T56">
        <f>HYPERLINK("https://klasma.github.io/Logging_1880/kartor/A 59516-2025 karta.png", "A 59516-2025")</f>
        <v/>
      </c>
      <c r="V56">
        <f>HYPERLINK("https://klasma.github.io/Logging_1880/klagomål/A 59516-2025 FSC-klagomål.docx", "A 59516-2025")</f>
        <v/>
      </c>
      <c r="W56">
        <f>HYPERLINK("https://klasma.github.io/Logging_1880/klagomålsmail/A 59516-2025 FSC-klagomål mail.docx", "A 59516-2025")</f>
        <v/>
      </c>
      <c r="X56">
        <f>HYPERLINK("https://klasma.github.io/Logging_1880/tillsyn/A 59516-2025 tillsynsbegäran.docx", "A 59516-2025")</f>
        <v/>
      </c>
      <c r="Y56">
        <f>HYPERLINK("https://klasma.github.io/Logging_1880/tillsynsmail/A 59516-2025 tillsynsbegäran mail.docx", "A 59516-2025")</f>
        <v/>
      </c>
    </row>
    <row r="57" ht="15" customHeight="1">
      <c r="A57" t="inlineStr">
        <is>
          <t>A 50499-2025</t>
        </is>
      </c>
      <c r="B57" s="1" t="n">
        <v>45945.41712962963</v>
      </c>
      <c r="C57" s="1" t="n">
        <v>46059</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63199-2025</t>
        </is>
      </c>
      <c r="B58" s="1" t="n">
        <v>46010.46091435185</v>
      </c>
      <c r="C58" s="1" t="n">
        <v>46059</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63196-2025</t>
        </is>
      </c>
      <c r="B59" s="1" t="n">
        <v>46010.45872685185</v>
      </c>
      <c r="C59" s="1" t="n">
        <v>46059</v>
      </c>
      <c r="D59" t="inlineStr">
        <is>
          <t>ÖREBRO LÄN</t>
        </is>
      </c>
      <c r="E59" t="inlineStr">
        <is>
          <t>ÖREBRO</t>
        </is>
      </c>
      <c r="F59" t="inlineStr">
        <is>
          <t>Sveaskog</t>
        </is>
      </c>
      <c r="G59" t="n">
        <v>1.4</v>
      </c>
      <c r="H59" t="n">
        <v>0</v>
      </c>
      <c r="I59" t="n">
        <v>1</v>
      </c>
      <c r="J59" t="n">
        <v>0</v>
      </c>
      <c r="K59" t="n">
        <v>0</v>
      </c>
      <c r="L59" t="n">
        <v>0</v>
      </c>
      <c r="M59" t="n">
        <v>0</v>
      </c>
      <c r="N59" t="n">
        <v>0</v>
      </c>
      <c r="O59" t="n">
        <v>0</v>
      </c>
      <c r="P59" t="n">
        <v>0</v>
      </c>
      <c r="Q59" t="n">
        <v>1</v>
      </c>
      <c r="R59" s="2" t="inlineStr">
        <is>
          <t>Tibast</t>
        </is>
      </c>
      <c r="S59">
        <f>HYPERLINK("https://klasma.github.io/Logging_1880/artfynd/A 63196-2025 artfynd.xlsx", "A 63196-2025")</f>
        <v/>
      </c>
      <c r="T59">
        <f>HYPERLINK("https://klasma.github.io/Logging_1880/kartor/A 63196-2025 karta.png", "A 63196-2025")</f>
        <v/>
      </c>
      <c r="V59">
        <f>HYPERLINK("https://klasma.github.io/Logging_1880/klagomål/A 63196-2025 FSC-klagomål.docx", "A 63196-2025")</f>
        <v/>
      </c>
      <c r="W59">
        <f>HYPERLINK("https://klasma.github.io/Logging_1880/klagomålsmail/A 63196-2025 FSC-klagomål mail.docx", "A 63196-2025")</f>
        <v/>
      </c>
      <c r="X59">
        <f>HYPERLINK("https://klasma.github.io/Logging_1880/tillsyn/A 63196-2025 tillsynsbegäran.docx", "A 63196-2025")</f>
        <v/>
      </c>
      <c r="Y59">
        <f>HYPERLINK("https://klasma.github.io/Logging_1880/tillsynsmail/A 63196-2025 tillsynsbegäran mail.docx", "A 63196-2025")</f>
        <v/>
      </c>
    </row>
    <row r="60" ht="15" customHeight="1">
      <c r="A60" t="inlineStr">
        <is>
          <t>A 30725-2023</t>
        </is>
      </c>
      <c r="B60" s="1" t="n">
        <v>45112.61451388889</v>
      </c>
      <c r="C60" s="1" t="n">
        <v>46059</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5097-2023</t>
        </is>
      </c>
      <c r="B61" s="1" t="n">
        <v>44958</v>
      </c>
      <c r="C61" s="1" t="n">
        <v>46059</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46059</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46059</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26890-2022</t>
        </is>
      </c>
      <c r="B64" s="1" t="n">
        <v>44740</v>
      </c>
      <c r="C64" s="1" t="n">
        <v>46059</v>
      </c>
      <c r="D64" t="inlineStr">
        <is>
          <t>ÖREBRO LÄN</t>
        </is>
      </c>
      <c r="E64" t="inlineStr">
        <is>
          <t>ÖREBRO</t>
        </is>
      </c>
      <c r="G64" t="n">
        <v>4.2</v>
      </c>
      <c r="H64" t="n">
        <v>1</v>
      </c>
      <c r="I64" t="n">
        <v>0</v>
      </c>
      <c r="J64" t="n">
        <v>0</v>
      </c>
      <c r="K64" t="n">
        <v>1</v>
      </c>
      <c r="L64" t="n">
        <v>0</v>
      </c>
      <c r="M64" t="n">
        <v>0</v>
      </c>
      <c r="N64" t="n">
        <v>0</v>
      </c>
      <c r="O64" t="n">
        <v>1</v>
      </c>
      <c r="P64" t="n">
        <v>1</v>
      </c>
      <c r="Q64" t="n">
        <v>1</v>
      </c>
      <c r="R64" s="2" t="inlineStr">
        <is>
          <t>Hällebräcka</t>
        </is>
      </c>
      <c r="S64">
        <f>HYPERLINK("https://klasma.github.io/Logging_1880/artfynd/A 26890-2022 artfynd.xlsx", "A 26890-2022")</f>
        <v/>
      </c>
      <c r="T64">
        <f>HYPERLINK("https://klasma.github.io/Logging_1880/kartor/A 26890-2022 karta.png", "A 26890-2022")</f>
        <v/>
      </c>
      <c r="V64">
        <f>HYPERLINK("https://klasma.github.io/Logging_1880/klagomål/A 26890-2022 FSC-klagomål.docx", "A 26890-2022")</f>
        <v/>
      </c>
      <c r="W64">
        <f>HYPERLINK("https://klasma.github.io/Logging_1880/klagomålsmail/A 26890-2022 FSC-klagomål mail.docx", "A 26890-2022")</f>
        <v/>
      </c>
      <c r="X64">
        <f>HYPERLINK("https://klasma.github.io/Logging_1880/tillsyn/A 26890-2022 tillsynsbegäran.docx", "A 26890-2022")</f>
        <v/>
      </c>
      <c r="Y64">
        <f>HYPERLINK("https://klasma.github.io/Logging_1880/tillsynsmail/A 26890-2022 tillsynsbegäran mail.docx", "A 26890-2022")</f>
        <v/>
      </c>
    </row>
    <row r="65" ht="15" customHeight="1">
      <c r="A65" t="inlineStr">
        <is>
          <t>A 57920-2024</t>
        </is>
      </c>
      <c r="B65" s="1" t="n">
        <v>45631.50894675926</v>
      </c>
      <c r="C65" s="1" t="n">
        <v>46059</v>
      </c>
      <c r="D65" t="inlineStr">
        <is>
          <t>ÖREBRO LÄN</t>
        </is>
      </c>
      <c r="E65" t="inlineStr">
        <is>
          <t>ÖREBRO</t>
        </is>
      </c>
      <c r="G65" t="n">
        <v>2.3</v>
      </c>
      <c r="H65" t="n">
        <v>1</v>
      </c>
      <c r="I65" t="n">
        <v>0</v>
      </c>
      <c r="J65" t="n">
        <v>0</v>
      </c>
      <c r="K65" t="n">
        <v>0</v>
      </c>
      <c r="L65" t="n">
        <v>0</v>
      </c>
      <c r="M65" t="n">
        <v>0</v>
      </c>
      <c r="N65" t="n">
        <v>0</v>
      </c>
      <c r="O65" t="n">
        <v>0</v>
      </c>
      <c r="P65" t="n">
        <v>0</v>
      </c>
      <c r="Q65" t="n">
        <v>1</v>
      </c>
      <c r="R65" s="2" t="inlineStr">
        <is>
          <t>Kungsfågel</t>
        </is>
      </c>
      <c r="S65">
        <f>HYPERLINK("https://klasma.github.io/Logging_1880/artfynd/A 57920-2024 artfynd.xlsx", "A 57920-2024")</f>
        <v/>
      </c>
      <c r="T65">
        <f>HYPERLINK("https://klasma.github.io/Logging_1880/kartor/A 57920-2024 karta.png", "A 57920-2024")</f>
        <v/>
      </c>
      <c r="V65">
        <f>HYPERLINK("https://klasma.github.io/Logging_1880/klagomål/A 57920-2024 FSC-klagomål.docx", "A 57920-2024")</f>
        <v/>
      </c>
      <c r="W65">
        <f>HYPERLINK("https://klasma.github.io/Logging_1880/klagomålsmail/A 57920-2024 FSC-klagomål mail.docx", "A 57920-2024")</f>
        <v/>
      </c>
      <c r="X65">
        <f>HYPERLINK("https://klasma.github.io/Logging_1880/tillsyn/A 57920-2024 tillsynsbegäran.docx", "A 57920-2024")</f>
        <v/>
      </c>
      <c r="Y65">
        <f>HYPERLINK("https://klasma.github.io/Logging_1880/tillsynsmail/A 57920-2024 tillsynsbegäran mail.docx", "A 57920-2024")</f>
        <v/>
      </c>
      <c r="Z65">
        <f>HYPERLINK("https://klasma.github.io/Logging_1880/fåglar/A 57920-2024 prioriterade fågelarter.docx", "A 57920-2024")</f>
        <v/>
      </c>
    </row>
    <row r="66" ht="15" customHeight="1">
      <c r="A66" t="inlineStr">
        <is>
          <t>A 2077-2023</t>
        </is>
      </c>
      <c r="B66" s="1" t="n">
        <v>44939</v>
      </c>
      <c r="C66" s="1" t="n">
        <v>46059</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44389-2021</t>
        </is>
      </c>
      <c r="B67" s="1" t="n">
        <v>44435</v>
      </c>
      <c r="C67" s="1" t="n">
        <v>46059</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31695-2024</t>
        </is>
      </c>
      <c r="B68" s="1" t="n">
        <v>45508</v>
      </c>
      <c r="C68" s="1" t="n">
        <v>46059</v>
      </c>
      <c r="D68" t="inlineStr">
        <is>
          <t>ÖREBRO LÄN</t>
        </is>
      </c>
      <c r="E68" t="inlineStr">
        <is>
          <t>ÖREBRO</t>
        </is>
      </c>
      <c r="G68" t="n">
        <v>1.3</v>
      </c>
      <c r="H68" t="n">
        <v>1</v>
      </c>
      <c r="I68" t="n">
        <v>1</v>
      </c>
      <c r="J68" t="n">
        <v>0</v>
      </c>
      <c r="K68" t="n">
        <v>0</v>
      </c>
      <c r="L68" t="n">
        <v>0</v>
      </c>
      <c r="M68" t="n">
        <v>0</v>
      </c>
      <c r="N68" t="n">
        <v>0</v>
      </c>
      <c r="O68" t="n">
        <v>0</v>
      </c>
      <c r="P68" t="n">
        <v>0</v>
      </c>
      <c r="Q68" t="n">
        <v>1</v>
      </c>
      <c r="R68" s="2" t="inlineStr">
        <is>
          <t>Skogsknipprot</t>
        </is>
      </c>
      <c r="S68">
        <f>HYPERLINK("https://klasma.github.io/Logging_1880/artfynd/A 31695-2024 artfynd.xlsx", "A 31695-2024")</f>
        <v/>
      </c>
      <c r="T68">
        <f>HYPERLINK("https://klasma.github.io/Logging_1880/kartor/A 31695-2024 karta.png", "A 31695-2024")</f>
        <v/>
      </c>
      <c r="V68">
        <f>HYPERLINK("https://klasma.github.io/Logging_1880/klagomål/A 31695-2024 FSC-klagomål.docx", "A 31695-2024")</f>
        <v/>
      </c>
      <c r="W68">
        <f>HYPERLINK("https://klasma.github.io/Logging_1880/klagomålsmail/A 31695-2024 FSC-klagomål mail.docx", "A 31695-2024")</f>
        <v/>
      </c>
      <c r="X68">
        <f>HYPERLINK("https://klasma.github.io/Logging_1880/tillsyn/A 31695-2024 tillsynsbegäran.docx", "A 31695-2024")</f>
        <v/>
      </c>
      <c r="Y68">
        <f>HYPERLINK("https://klasma.github.io/Logging_1880/tillsynsmail/A 31695-2024 tillsynsbegäran mail.docx", "A 31695-2024")</f>
        <v/>
      </c>
    </row>
    <row r="69" ht="15" customHeight="1">
      <c r="A69" t="inlineStr">
        <is>
          <t>A 42636-2023</t>
        </is>
      </c>
      <c r="B69" s="1" t="n">
        <v>45181.49559027778</v>
      </c>
      <c r="C69" s="1" t="n">
        <v>46059</v>
      </c>
      <c r="D69" t="inlineStr">
        <is>
          <t>ÖREBRO LÄN</t>
        </is>
      </c>
      <c r="E69" t="inlineStr">
        <is>
          <t>ÖREBRO</t>
        </is>
      </c>
      <c r="G69" t="n">
        <v>1.7</v>
      </c>
      <c r="H69" t="n">
        <v>0</v>
      </c>
      <c r="I69" t="n">
        <v>0</v>
      </c>
      <c r="J69" t="n">
        <v>1</v>
      </c>
      <c r="K69" t="n">
        <v>0</v>
      </c>
      <c r="L69" t="n">
        <v>0</v>
      </c>
      <c r="M69" t="n">
        <v>0</v>
      </c>
      <c r="N69" t="n">
        <v>0</v>
      </c>
      <c r="O69" t="n">
        <v>1</v>
      </c>
      <c r="P69" t="n">
        <v>0</v>
      </c>
      <c r="Q69" t="n">
        <v>1</v>
      </c>
      <c r="R69" s="2" t="inlineStr">
        <is>
          <t>Igelkott</t>
        </is>
      </c>
      <c r="S69">
        <f>HYPERLINK("https://klasma.github.io/Logging_1880/artfynd/A 42636-2023 artfynd.xlsx", "A 42636-2023")</f>
        <v/>
      </c>
      <c r="T69">
        <f>HYPERLINK("https://klasma.github.io/Logging_1880/kartor/A 42636-2023 karta.png", "A 42636-2023")</f>
        <v/>
      </c>
      <c r="V69">
        <f>HYPERLINK("https://klasma.github.io/Logging_1880/klagomål/A 42636-2023 FSC-klagomål.docx", "A 42636-2023")</f>
        <v/>
      </c>
      <c r="W69">
        <f>HYPERLINK("https://klasma.github.io/Logging_1880/klagomålsmail/A 42636-2023 FSC-klagomål mail.docx", "A 42636-2023")</f>
        <v/>
      </c>
      <c r="X69">
        <f>HYPERLINK("https://klasma.github.io/Logging_1880/tillsyn/A 42636-2023 tillsynsbegäran.docx", "A 42636-2023")</f>
        <v/>
      </c>
      <c r="Y69">
        <f>HYPERLINK("https://klasma.github.io/Logging_1880/tillsynsmail/A 42636-2023 tillsynsbegäran mail.docx", "A 42636-2023")</f>
        <v/>
      </c>
    </row>
    <row r="70" ht="15" customHeight="1">
      <c r="A70" t="inlineStr">
        <is>
          <t>A 55904-2024</t>
        </is>
      </c>
      <c r="B70" s="1" t="n">
        <v>45623.58190972222</v>
      </c>
      <c r="C70" s="1" t="n">
        <v>46059</v>
      </c>
      <c r="D70" t="inlineStr">
        <is>
          <t>ÖREBRO LÄN</t>
        </is>
      </c>
      <c r="E70" t="inlineStr">
        <is>
          <t>ÖREBRO</t>
        </is>
      </c>
      <c r="G70" t="n">
        <v>1.2</v>
      </c>
      <c r="H70" t="n">
        <v>1</v>
      </c>
      <c r="I70" t="n">
        <v>0</v>
      </c>
      <c r="J70" t="n">
        <v>0</v>
      </c>
      <c r="K70" t="n">
        <v>0</v>
      </c>
      <c r="L70" t="n">
        <v>0</v>
      </c>
      <c r="M70" t="n">
        <v>0</v>
      </c>
      <c r="N70" t="n">
        <v>0</v>
      </c>
      <c r="O70" t="n">
        <v>0</v>
      </c>
      <c r="P70" t="n">
        <v>0</v>
      </c>
      <c r="Q70" t="n">
        <v>1</v>
      </c>
      <c r="R70" s="2" t="inlineStr">
        <is>
          <t>Trana</t>
        </is>
      </c>
      <c r="S70">
        <f>HYPERLINK("https://klasma.github.io/Logging_1880/artfynd/A 55904-2024 artfynd.xlsx", "A 55904-2024")</f>
        <v/>
      </c>
      <c r="T70">
        <f>HYPERLINK("https://klasma.github.io/Logging_1880/kartor/A 55904-2024 karta.png", "A 55904-2024")</f>
        <v/>
      </c>
      <c r="V70">
        <f>HYPERLINK("https://klasma.github.io/Logging_1880/klagomål/A 55904-2024 FSC-klagomål.docx", "A 55904-2024")</f>
        <v/>
      </c>
      <c r="W70">
        <f>HYPERLINK("https://klasma.github.io/Logging_1880/klagomålsmail/A 55904-2024 FSC-klagomål mail.docx", "A 55904-2024")</f>
        <v/>
      </c>
      <c r="X70">
        <f>HYPERLINK("https://klasma.github.io/Logging_1880/tillsyn/A 55904-2024 tillsynsbegäran.docx", "A 55904-2024")</f>
        <v/>
      </c>
      <c r="Y70">
        <f>HYPERLINK("https://klasma.github.io/Logging_1880/tillsynsmail/A 55904-2024 tillsynsbegäran mail.docx", "A 55904-2024")</f>
        <v/>
      </c>
      <c r="Z70">
        <f>HYPERLINK("https://klasma.github.io/Logging_1880/fåglar/A 55904-2024 prioriterade fågelarter.docx", "A 55904-2024")</f>
        <v/>
      </c>
    </row>
    <row r="71" ht="15" customHeight="1">
      <c r="A71" t="inlineStr">
        <is>
          <t>A 15621-2021</t>
        </is>
      </c>
      <c r="B71" s="1" t="n">
        <v>44285</v>
      </c>
      <c r="C71" s="1" t="n">
        <v>46059</v>
      </c>
      <c r="D71" t="inlineStr">
        <is>
          <t>ÖREBRO LÄN</t>
        </is>
      </c>
      <c r="E71" t="inlineStr">
        <is>
          <t>ÖREBRO</t>
        </is>
      </c>
      <c r="G71" t="n">
        <v>2.8</v>
      </c>
      <c r="H71" t="n">
        <v>1</v>
      </c>
      <c r="I71" t="n">
        <v>0</v>
      </c>
      <c r="J71" t="n">
        <v>0</v>
      </c>
      <c r="K71" t="n">
        <v>0</v>
      </c>
      <c r="L71" t="n">
        <v>0</v>
      </c>
      <c r="M71" t="n">
        <v>0</v>
      </c>
      <c r="N71" t="n">
        <v>0</v>
      </c>
      <c r="O71" t="n">
        <v>0</v>
      </c>
      <c r="P71" t="n">
        <v>0</v>
      </c>
      <c r="Q71" t="n">
        <v>1</v>
      </c>
      <c r="R71" s="2" t="inlineStr">
        <is>
          <t>Fläcknycklar</t>
        </is>
      </c>
      <c r="S71">
        <f>HYPERLINK("https://klasma.github.io/Logging_1880/artfynd/A 15621-2021 artfynd.xlsx", "A 15621-2021")</f>
        <v/>
      </c>
      <c r="T71">
        <f>HYPERLINK("https://klasma.github.io/Logging_1880/kartor/A 15621-2021 karta.png", "A 15621-2021")</f>
        <v/>
      </c>
      <c r="V71">
        <f>HYPERLINK("https://klasma.github.io/Logging_1880/klagomål/A 15621-2021 FSC-klagomål.docx", "A 15621-2021")</f>
        <v/>
      </c>
      <c r="W71">
        <f>HYPERLINK("https://klasma.github.io/Logging_1880/klagomålsmail/A 15621-2021 FSC-klagomål mail.docx", "A 15621-2021")</f>
        <v/>
      </c>
      <c r="X71">
        <f>HYPERLINK("https://klasma.github.io/Logging_1880/tillsyn/A 15621-2021 tillsynsbegäran.docx", "A 15621-2021")</f>
        <v/>
      </c>
      <c r="Y71">
        <f>HYPERLINK("https://klasma.github.io/Logging_1880/tillsynsmail/A 15621-2021 tillsynsbegäran mail.docx", "A 15621-2021")</f>
        <v/>
      </c>
    </row>
    <row r="72" ht="15" customHeight="1">
      <c r="A72" t="inlineStr">
        <is>
          <t>A 28936-2025</t>
        </is>
      </c>
      <c r="B72" s="1" t="n">
        <v>45820.69287037037</v>
      </c>
      <c r="C72" s="1" t="n">
        <v>46059</v>
      </c>
      <c r="D72" t="inlineStr">
        <is>
          <t>ÖREBRO LÄN</t>
        </is>
      </c>
      <c r="E72" t="inlineStr">
        <is>
          <t>ÖREBRO</t>
        </is>
      </c>
      <c r="G72" t="n">
        <v>0.9</v>
      </c>
      <c r="H72" t="n">
        <v>1</v>
      </c>
      <c r="I72" t="n">
        <v>0</v>
      </c>
      <c r="J72" t="n">
        <v>0</v>
      </c>
      <c r="K72" t="n">
        <v>0</v>
      </c>
      <c r="L72" t="n">
        <v>0</v>
      </c>
      <c r="M72" t="n">
        <v>0</v>
      </c>
      <c r="N72" t="n">
        <v>0</v>
      </c>
      <c r="O72" t="n">
        <v>0</v>
      </c>
      <c r="P72" t="n">
        <v>0</v>
      </c>
      <c r="Q72" t="n">
        <v>1</v>
      </c>
      <c r="R72" s="2" t="inlineStr">
        <is>
          <t>Kungsfågel</t>
        </is>
      </c>
      <c r="S72">
        <f>HYPERLINK("https://klasma.github.io/Logging_1880/artfynd/A 28936-2025 artfynd.xlsx", "A 28936-2025")</f>
        <v/>
      </c>
      <c r="T72">
        <f>HYPERLINK("https://klasma.github.io/Logging_1880/kartor/A 28936-2025 karta.png", "A 28936-2025")</f>
        <v/>
      </c>
      <c r="V72">
        <f>HYPERLINK("https://klasma.github.io/Logging_1880/klagomål/A 28936-2025 FSC-klagomål.docx", "A 28936-2025")</f>
        <v/>
      </c>
      <c r="W72">
        <f>HYPERLINK("https://klasma.github.io/Logging_1880/klagomålsmail/A 28936-2025 FSC-klagomål mail.docx", "A 28936-2025")</f>
        <v/>
      </c>
      <c r="X72">
        <f>HYPERLINK("https://klasma.github.io/Logging_1880/tillsyn/A 28936-2025 tillsynsbegäran.docx", "A 28936-2025")</f>
        <v/>
      </c>
      <c r="Y72">
        <f>HYPERLINK("https://klasma.github.io/Logging_1880/tillsynsmail/A 28936-2025 tillsynsbegäran mail.docx", "A 28936-2025")</f>
        <v/>
      </c>
      <c r="Z72">
        <f>HYPERLINK("https://klasma.github.io/Logging_1880/fåglar/A 28936-2025 prioriterade fågelarter.docx", "A 28936-2025")</f>
        <v/>
      </c>
    </row>
    <row r="73" ht="15" customHeight="1">
      <c r="A73" t="inlineStr">
        <is>
          <t>A 32226-2025</t>
        </is>
      </c>
      <c r="B73" s="1" t="n">
        <v>45835.59478009259</v>
      </c>
      <c r="C73" s="1" t="n">
        <v>46059</v>
      </c>
      <c r="D73" t="inlineStr">
        <is>
          <t>ÖREBRO LÄN</t>
        </is>
      </c>
      <c r="E73" t="inlineStr">
        <is>
          <t>ÖREBRO</t>
        </is>
      </c>
      <c r="G73" t="n">
        <v>1.2</v>
      </c>
      <c r="H73" t="n">
        <v>0</v>
      </c>
      <c r="I73" t="n">
        <v>0</v>
      </c>
      <c r="J73" t="n">
        <v>1</v>
      </c>
      <c r="K73" t="n">
        <v>0</v>
      </c>
      <c r="L73" t="n">
        <v>0</v>
      </c>
      <c r="M73" t="n">
        <v>0</v>
      </c>
      <c r="N73" t="n">
        <v>0</v>
      </c>
      <c r="O73" t="n">
        <v>1</v>
      </c>
      <c r="P73" t="n">
        <v>0</v>
      </c>
      <c r="Q73" t="n">
        <v>1</v>
      </c>
      <c r="R73" s="2" t="inlineStr">
        <is>
          <t>Dofttaggsvamp</t>
        </is>
      </c>
      <c r="S73">
        <f>HYPERLINK("https://klasma.github.io/Logging_1880/artfynd/A 32226-2025 artfynd.xlsx", "A 32226-2025")</f>
        <v/>
      </c>
      <c r="T73">
        <f>HYPERLINK("https://klasma.github.io/Logging_1880/kartor/A 32226-2025 karta.png", "A 32226-2025")</f>
        <v/>
      </c>
      <c r="V73">
        <f>HYPERLINK("https://klasma.github.io/Logging_1880/klagomål/A 32226-2025 FSC-klagomål.docx", "A 32226-2025")</f>
        <v/>
      </c>
      <c r="W73">
        <f>HYPERLINK("https://klasma.github.io/Logging_1880/klagomålsmail/A 32226-2025 FSC-klagomål mail.docx", "A 32226-2025")</f>
        <v/>
      </c>
      <c r="X73">
        <f>HYPERLINK("https://klasma.github.io/Logging_1880/tillsyn/A 32226-2025 tillsynsbegäran.docx", "A 32226-2025")</f>
        <v/>
      </c>
      <c r="Y73">
        <f>HYPERLINK("https://klasma.github.io/Logging_1880/tillsynsmail/A 32226-2025 tillsynsbegäran mail.docx", "A 32226-2025")</f>
        <v/>
      </c>
    </row>
    <row r="74" ht="15" customHeight="1">
      <c r="A74" t="inlineStr">
        <is>
          <t>A 32204-2025</t>
        </is>
      </c>
      <c r="B74" s="1" t="n">
        <v>45835.58074074074</v>
      </c>
      <c r="C74" s="1" t="n">
        <v>46059</v>
      </c>
      <c r="D74" t="inlineStr">
        <is>
          <t>ÖREBRO LÄN</t>
        </is>
      </c>
      <c r="E74" t="inlineStr">
        <is>
          <t>ÖREBRO</t>
        </is>
      </c>
      <c r="G74" t="n">
        <v>3.4</v>
      </c>
      <c r="H74" t="n">
        <v>1</v>
      </c>
      <c r="I74" t="n">
        <v>0</v>
      </c>
      <c r="J74" t="n">
        <v>0</v>
      </c>
      <c r="K74" t="n">
        <v>0</v>
      </c>
      <c r="L74" t="n">
        <v>0</v>
      </c>
      <c r="M74" t="n">
        <v>0</v>
      </c>
      <c r="N74" t="n">
        <v>0</v>
      </c>
      <c r="O74" t="n">
        <v>0</v>
      </c>
      <c r="P74" t="n">
        <v>0</v>
      </c>
      <c r="Q74" t="n">
        <v>1</v>
      </c>
      <c r="R74" s="2" t="inlineStr">
        <is>
          <t>Tjäder</t>
        </is>
      </c>
      <c r="S74">
        <f>HYPERLINK("https://klasma.github.io/Logging_1880/artfynd/A 32204-2025 artfynd.xlsx", "A 32204-2025")</f>
        <v/>
      </c>
      <c r="T74">
        <f>HYPERLINK("https://klasma.github.io/Logging_1880/kartor/A 32204-2025 karta.png", "A 32204-2025")</f>
        <v/>
      </c>
      <c r="V74">
        <f>HYPERLINK("https://klasma.github.io/Logging_1880/klagomål/A 32204-2025 FSC-klagomål.docx", "A 32204-2025")</f>
        <v/>
      </c>
      <c r="W74">
        <f>HYPERLINK("https://klasma.github.io/Logging_1880/klagomålsmail/A 32204-2025 FSC-klagomål mail.docx", "A 32204-2025")</f>
        <v/>
      </c>
      <c r="X74">
        <f>HYPERLINK("https://klasma.github.io/Logging_1880/tillsyn/A 32204-2025 tillsynsbegäran.docx", "A 32204-2025")</f>
        <v/>
      </c>
      <c r="Y74">
        <f>HYPERLINK("https://klasma.github.io/Logging_1880/tillsynsmail/A 32204-2025 tillsynsbegäran mail.docx", "A 32204-2025")</f>
        <v/>
      </c>
      <c r="Z74">
        <f>HYPERLINK("https://klasma.github.io/Logging_1880/fåglar/A 32204-2025 prioriterade fågelarter.docx", "A 32204-2025")</f>
        <v/>
      </c>
    </row>
    <row r="75" ht="15" customHeight="1">
      <c r="A75" t="inlineStr">
        <is>
          <t>A 9406-2021</t>
        </is>
      </c>
      <c r="B75" s="1" t="n">
        <v>44251</v>
      </c>
      <c r="C75" s="1" t="n">
        <v>46059</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46059</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46059</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46059</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46059</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13760-2021</t>
        </is>
      </c>
      <c r="B80" s="1" t="n">
        <v>44274</v>
      </c>
      <c r="C80" s="1" t="n">
        <v>46059</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46059</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46059</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46059</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46059</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46059</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46059</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46059</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46059</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46059</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46059</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46059</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46059</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46059</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46059</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46059</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46059</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46059</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46059</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46059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46059</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46059</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46059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46059</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46059</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46059</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46059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46059</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46059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46059</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46059</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46059</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46059</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46059</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46059</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46059</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46059</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46059</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46059</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46059</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46059</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46059</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46059</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46059</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29490-2022</t>
        </is>
      </c>
      <c r="B124" s="1" t="n">
        <v>44753</v>
      </c>
      <c r="C124" s="1" t="n">
        <v>46059</v>
      </c>
      <c r="D124" t="inlineStr">
        <is>
          <t>ÖREBRO LÄN</t>
        </is>
      </c>
      <c r="E124" t="inlineStr">
        <is>
          <t>ÖREBRO</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37395-2021</t>
        </is>
      </c>
      <c r="B125" s="1" t="n">
        <v>44398</v>
      </c>
      <c r="C125" s="1" t="n">
        <v>46059</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46059</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46059</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46059</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46059</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46059</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46059</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46059</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46059</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46059</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46059</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46059</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46059</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46059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9362-2022</t>
        </is>
      </c>
      <c r="B139" s="1" t="n">
        <v>44616.59946759259</v>
      </c>
      <c r="C139" s="1" t="n">
        <v>46059</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46059</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46059</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19468-2021</t>
        </is>
      </c>
      <c r="B142" s="1" t="n">
        <v>44311</v>
      </c>
      <c r="C142" s="1" t="n">
        <v>46059</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46059</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32025-2024</t>
        </is>
      </c>
      <c r="B144" s="1" t="n">
        <v>45510.65754629629</v>
      </c>
      <c r="C144" s="1" t="n">
        <v>46059</v>
      </c>
      <c r="D144" t="inlineStr">
        <is>
          <t>ÖREBRO LÄN</t>
        </is>
      </c>
      <c r="E144" t="inlineStr">
        <is>
          <t>ÖREBRO</t>
        </is>
      </c>
      <c r="G144" t="n">
        <v>4</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46059</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10829-2023</t>
        </is>
      </c>
      <c r="B146" s="1" t="n">
        <v>44990.88512731482</v>
      </c>
      <c r="C146" s="1" t="n">
        <v>46059</v>
      </c>
      <c r="D146" t="inlineStr">
        <is>
          <t>ÖREBRO LÄN</t>
        </is>
      </c>
      <c r="E146" t="inlineStr">
        <is>
          <t>ÖREBRO</t>
        </is>
      </c>
      <c r="G146" t="n">
        <v>4.4</v>
      </c>
      <c r="H146" t="n">
        <v>0</v>
      </c>
      <c r="I146" t="n">
        <v>0</v>
      </c>
      <c r="J146" t="n">
        <v>0</v>
      </c>
      <c r="K146" t="n">
        <v>0</v>
      </c>
      <c r="L146" t="n">
        <v>0</v>
      </c>
      <c r="M146" t="n">
        <v>0</v>
      </c>
      <c r="N146" t="n">
        <v>0</v>
      </c>
      <c r="O146" t="n">
        <v>0</v>
      </c>
      <c r="P146" t="n">
        <v>0</v>
      </c>
      <c r="Q146" t="n">
        <v>0</v>
      </c>
      <c r="R146" s="2" t="inlineStr"/>
    </row>
    <row r="147" ht="15" customHeight="1">
      <c r="A147" t="inlineStr">
        <is>
          <t>A 10831-2023</t>
        </is>
      </c>
      <c r="B147" s="1" t="n">
        <v>44990.90357638889</v>
      </c>
      <c r="C147" s="1" t="n">
        <v>46059</v>
      </c>
      <c r="D147" t="inlineStr">
        <is>
          <t>ÖREBRO LÄN</t>
        </is>
      </c>
      <c r="E147" t="inlineStr">
        <is>
          <t>ÖREBRO</t>
        </is>
      </c>
      <c r="G147" t="n">
        <v>1.9</v>
      </c>
      <c r="H147" t="n">
        <v>0</v>
      </c>
      <c r="I147" t="n">
        <v>0</v>
      </c>
      <c r="J147" t="n">
        <v>0</v>
      </c>
      <c r="K147" t="n">
        <v>0</v>
      </c>
      <c r="L147" t="n">
        <v>0</v>
      </c>
      <c r="M147" t="n">
        <v>0</v>
      </c>
      <c r="N147" t="n">
        <v>0</v>
      </c>
      <c r="O147" t="n">
        <v>0</v>
      </c>
      <c r="P147" t="n">
        <v>0</v>
      </c>
      <c r="Q147" t="n">
        <v>0</v>
      </c>
      <c r="R147" s="2" t="inlineStr"/>
    </row>
    <row r="148" ht="15" customHeight="1">
      <c r="A148" t="inlineStr">
        <is>
          <t>A 51268-2022</t>
        </is>
      </c>
      <c r="B148" s="1" t="n">
        <v>44868</v>
      </c>
      <c r="C148" s="1" t="n">
        <v>46059</v>
      </c>
      <c r="D148" t="inlineStr">
        <is>
          <t>ÖREBRO LÄN</t>
        </is>
      </c>
      <c r="E148" t="inlineStr">
        <is>
          <t>ÖREBRO</t>
        </is>
      </c>
      <c r="G148" t="n">
        <v>3.8</v>
      </c>
      <c r="H148" t="n">
        <v>0</v>
      </c>
      <c r="I148" t="n">
        <v>0</v>
      </c>
      <c r="J148" t="n">
        <v>0</v>
      </c>
      <c r="K148" t="n">
        <v>0</v>
      </c>
      <c r="L148" t="n">
        <v>0</v>
      </c>
      <c r="M148" t="n">
        <v>0</v>
      </c>
      <c r="N148" t="n">
        <v>0</v>
      </c>
      <c r="O148" t="n">
        <v>0</v>
      </c>
      <c r="P148" t="n">
        <v>0</v>
      </c>
      <c r="Q148" t="n">
        <v>0</v>
      </c>
      <c r="R148" s="2" t="inlineStr"/>
    </row>
    <row r="149" ht="15" customHeight="1">
      <c r="A149" t="inlineStr">
        <is>
          <t>A 16165-2023</t>
        </is>
      </c>
      <c r="B149" s="1" t="n">
        <v>45027</v>
      </c>
      <c r="C149" s="1" t="n">
        <v>46059</v>
      </c>
      <c r="D149" t="inlineStr">
        <is>
          <t>ÖREBRO LÄN</t>
        </is>
      </c>
      <c r="E149" t="inlineStr">
        <is>
          <t>ÖREBRO</t>
        </is>
      </c>
      <c r="G149" t="n">
        <v>11</v>
      </c>
      <c r="H149" t="n">
        <v>0</v>
      </c>
      <c r="I149" t="n">
        <v>0</v>
      </c>
      <c r="J149" t="n">
        <v>0</v>
      </c>
      <c r="K149" t="n">
        <v>0</v>
      </c>
      <c r="L149" t="n">
        <v>0</v>
      </c>
      <c r="M149" t="n">
        <v>0</v>
      </c>
      <c r="N149" t="n">
        <v>0</v>
      </c>
      <c r="O149" t="n">
        <v>0</v>
      </c>
      <c r="P149" t="n">
        <v>0</v>
      </c>
      <c r="Q149" t="n">
        <v>0</v>
      </c>
      <c r="R149" s="2" t="inlineStr"/>
    </row>
    <row r="150" ht="15" customHeight="1">
      <c r="A150" t="inlineStr">
        <is>
          <t>A 36448-2025</t>
        </is>
      </c>
      <c r="B150" s="1" t="n">
        <v>45869.41929398148</v>
      </c>
      <c r="C150" s="1" t="n">
        <v>46059</v>
      </c>
      <c r="D150" t="inlineStr">
        <is>
          <t>ÖREBRO LÄN</t>
        </is>
      </c>
      <c r="E150" t="inlineStr">
        <is>
          <t>ÖREBRO</t>
        </is>
      </c>
      <c r="F150" t="inlineStr">
        <is>
          <t>Övriga Aktiebolag</t>
        </is>
      </c>
      <c r="G150" t="n">
        <v>4.3</v>
      </c>
      <c r="H150" t="n">
        <v>0</v>
      </c>
      <c r="I150" t="n">
        <v>0</v>
      </c>
      <c r="J150" t="n">
        <v>0</v>
      </c>
      <c r="K150" t="n">
        <v>0</v>
      </c>
      <c r="L150" t="n">
        <v>0</v>
      </c>
      <c r="M150" t="n">
        <v>0</v>
      </c>
      <c r="N150" t="n">
        <v>0</v>
      </c>
      <c r="O150" t="n">
        <v>0</v>
      </c>
      <c r="P150" t="n">
        <v>0</v>
      </c>
      <c r="Q150" t="n">
        <v>0</v>
      </c>
      <c r="R150" s="2" t="inlineStr"/>
    </row>
    <row r="151" ht="15" customHeight="1">
      <c r="A151" t="inlineStr">
        <is>
          <t>A 36447-2025</t>
        </is>
      </c>
      <c r="B151" s="1" t="n">
        <v>45869.41387731482</v>
      </c>
      <c r="C151" s="1" t="n">
        <v>46059</v>
      </c>
      <c r="D151" t="inlineStr">
        <is>
          <t>ÖREBRO LÄN</t>
        </is>
      </c>
      <c r="E151" t="inlineStr">
        <is>
          <t>ÖREBRO</t>
        </is>
      </c>
      <c r="F151" t="inlineStr">
        <is>
          <t>Övriga Aktiebolag</t>
        </is>
      </c>
      <c r="G151" t="n">
        <v>12.6</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46059</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57247-2022</t>
        </is>
      </c>
      <c r="B153" s="1" t="n">
        <v>44895.73065972222</v>
      </c>
      <c r="C153" s="1" t="n">
        <v>46059</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46059</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46059</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46059</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46059</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29554-2025</t>
        </is>
      </c>
      <c r="B158" s="1" t="n">
        <v>45825</v>
      </c>
      <c r="C158" s="1" t="n">
        <v>46059</v>
      </c>
      <c r="D158" t="inlineStr">
        <is>
          <t>ÖREBRO LÄN</t>
        </is>
      </c>
      <c r="E158" t="inlineStr">
        <is>
          <t>ÖREBRO</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5401-2022</t>
        </is>
      </c>
      <c r="B159" s="1" t="n">
        <v>44595</v>
      </c>
      <c r="C159" s="1" t="n">
        <v>46059</v>
      </c>
      <c r="D159" t="inlineStr">
        <is>
          <t>ÖREBRO LÄN</t>
        </is>
      </c>
      <c r="E159" t="inlineStr">
        <is>
          <t>ÖREBRO</t>
        </is>
      </c>
      <c r="G159" t="n">
        <v>2.3</v>
      </c>
      <c r="H159" t="n">
        <v>0</v>
      </c>
      <c r="I159" t="n">
        <v>0</v>
      </c>
      <c r="J159" t="n">
        <v>0</v>
      </c>
      <c r="K159" t="n">
        <v>0</v>
      </c>
      <c r="L159" t="n">
        <v>0</v>
      </c>
      <c r="M159" t="n">
        <v>0</v>
      </c>
      <c r="N159" t="n">
        <v>0</v>
      </c>
      <c r="O159" t="n">
        <v>0</v>
      </c>
      <c r="P159" t="n">
        <v>0</v>
      </c>
      <c r="Q159" t="n">
        <v>0</v>
      </c>
      <c r="R159" s="2" t="inlineStr"/>
    </row>
    <row r="160" ht="15" customHeight="1">
      <c r="A160" t="inlineStr">
        <is>
          <t>A 41678-2024</t>
        </is>
      </c>
      <c r="B160" s="1" t="n">
        <v>45560</v>
      </c>
      <c r="C160" s="1" t="n">
        <v>46059</v>
      </c>
      <c r="D160" t="inlineStr">
        <is>
          <t>ÖREBRO LÄN</t>
        </is>
      </c>
      <c r="E160" t="inlineStr">
        <is>
          <t>ÖREBRO</t>
        </is>
      </c>
      <c r="G160" t="n">
        <v>11.3</v>
      </c>
      <c r="H160" t="n">
        <v>0</v>
      </c>
      <c r="I160" t="n">
        <v>0</v>
      </c>
      <c r="J160" t="n">
        <v>0</v>
      </c>
      <c r="K160" t="n">
        <v>0</v>
      </c>
      <c r="L160" t="n">
        <v>0</v>
      </c>
      <c r="M160" t="n">
        <v>0</v>
      </c>
      <c r="N160" t="n">
        <v>0</v>
      </c>
      <c r="O160" t="n">
        <v>0</v>
      </c>
      <c r="P160" t="n">
        <v>0</v>
      </c>
      <c r="Q160" t="n">
        <v>0</v>
      </c>
      <c r="R160" s="2" t="inlineStr"/>
    </row>
    <row r="161" ht="15" customHeight="1">
      <c r="A161" t="inlineStr">
        <is>
          <t>A 18550-2025</t>
        </is>
      </c>
      <c r="B161" s="1" t="n">
        <v>45763.43422453704</v>
      </c>
      <c r="C161" s="1" t="n">
        <v>46059</v>
      </c>
      <c r="D161" t="inlineStr">
        <is>
          <t>ÖREBRO LÄN</t>
        </is>
      </c>
      <c r="E161" t="inlineStr">
        <is>
          <t>ÖREBRO</t>
        </is>
      </c>
      <c r="G161" t="n">
        <v>11.5</v>
      </c>
      <c r="H161" t="n">
        <v>0</v>
      </c>
      <c r="I161" t="n">
        <v>0</v>
      </c>
      <c r="J161" t="n">
        <v>0</v>
      </c>
      <c r="K161" t="n">
        <v>0</v>
      </c>
      <c r="L161" t="n">
        <v>0</v>
      </c>
      <c r="M161" t="n">
        <v>0</v>
      </c>
      <c r="N161" t="n">
        <v>0</v>
      </c>
      <c r="O161" t="n">
        <v>0</v>
      </c>
      <c r="P161" t="n">
        <v>0</v>
      </c>
      <c r="Q161" t="n">
        <v>0</v>
      </c>
      <c r="R161" s="2" t="inlineStr"/>
    </row>
    <row r="162" ht="15" customHeight="1">
      <c r="A162" t="inlineStr">
        <is>
          <t>A 39003-2025</t>
        </is>
      </c>
      <c r="B162" s="1" t="n">
        <v>45888.34467592592</v>
      </c>
      <c r="C162" s="1" t="n">
        <v>46059</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15422-2022</t>
        </is>
      </c>
      <c r="B163" s="1" t="n">
        <v>44659.63753472222</v>
      </c>
      <c r="C163" s="1" t="n">
        <v>46059</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13418-2024</t>
        </is>
      </c>
      <c r="B164" s="1" t="n">
        <v>45387.46482638889</v>
      </c>
      <c r="C164" s="1" t="n">
        <v>46059</v>
      </c>
      <c r="D164" t="inlineStr">
        <is>
          <t>ÖREBRO LÄN</t>
        </is>
      </c>
      <c r="E164" t="inlineStr">
        <is>
          <t>ÖREBRO</t>
        </is>
      </c>
      <c r="G164" t="n">
        <v>4.2</v>
      </c>
      <c r="H164" t="n">
        <v>0</v>
      </c>
      <c r="I164" t="n">
        <v>0</v>
      </c>
      <c r="J164" t="n">
        <v>0</v>
      </c>
      <c r="K164" t="n">
        <v>0</v>
      </c>
      <c r="L164" t="n">
        <v>0</v>
      </c>
      <c r="M164" t="n">
        <v>0</v>
      </c>
      <c r="N164" t="n">
        <v>0</v>
      </c>
      <c r="O164" t="n">
        <v>0</v>
      </c>
      <c r="P164" t="n">
        <v>0</v>
      </c>
      <c r="Q164" t="n">
        <v>0</v>
      </c>
      <c r="R164" s="2" t="inlineStr"/>
    </row>
    <row r="165" ht="15" customHeight="1">
      <c r="A165" t="inlineStr">
        <is>
          <t>A 46323-2024</t>
        </is>
      </c>
      <c r="B165" s="1" t="n">
        <v>45581.84538194445</v>
      </c>
      <c r="C165" s="1" t="n">
        <v>46059</v>
      </c>
      <c r="D165" t="inlineStr">
        <is>
          <t>ÖREBRO LÄN</t>
        </is>
      </c>
      <c r="E165" t="inlineStr">
        <is>
          <t>ÖREBRO</t>
        </is>
      </c>
      <c r="F165" t="inlineStr">
        <is>
          <t>Övriga Aktiebolag</t>
        </is>
      </c>
      <c r="G165" t="n">
        <v>1.4</v>
      </c>
      <c r="H165" t="n">
        <v>0</v>
      </c>
      <c r="I165" t="n">
        <v>0</v>
      </c>
      <c r="J165" t="n">
        <v>0</v>
      </c>
      <c r="K165" t="n">
        <v>0</v>
      </c>
      <c r="L165" t="n">
        <v>0</v>
      </c>
      <c r="M165" t="n">
        <v>0</v>
      </c>
      <c r="N165" t="n">
        <v>0</v>
      </c>
      <c r="O165" t="n">
        <v>0</v>
      </c>
      <c r="P165" t="n">
        <v>0</v>
      </c>
      <c r="Q165" t="n">
        <v>0</v>
      </c>
      <c r="R165" s="2" t="inlineStr"/>
    </row>
    <row r="166" ht="15" customHeight="1">
      <c r="A166" t="inlineStr">
        <is>
          <t>A 19978-2025</t>
        </is>
      </c>
      <c r="B166" s="1" t="n">
        <v>45771.7062037037</v>
      </c>
      <c r="C166" s="1" t="n">
        <v>46059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46757-2021</t>
        </is>
      </c>
      <c r="B167" s="1" t="n">
        <v>44445</v>
      </c>
      <c r="C167" s="1" t="n">
        <v>46059</v>
      </c>
      <c r="D167" t="inlineStr">
        <is>
          <t>ÖREBRO LÄN</t>
        </is>
      </c>
      <c r="E167" t="inlineStr">
        <is>
          <t>ÖREBRO</t>
        </is>
      </c>
      <c r="G167" t="n">
        <v>5.6</v>
      </c>
      <c r="H167" t="n">
        <v>0</v>
      </c>
      <c r="I167" t="n">
        <v>0</v>
      </c>
      <c r="J167" t="n">
        <v>0</v>
      </c>
      <c r="K167" t="n">
        <v>0</v>
      </c>
      <c r="L167" t="n">
        <v>0</v>
      </c>
      <c r="M167" t="n">
        <v>0</v>
      </c>
      <c r="N167" t="n">
        <v>0</v>
      </c>
      <c r="O167" t="n">
        <v>0</v>
      </c>
      <c r="P167" t="n">
        <v>0</v>
      </c>
      <c r="Q167" t="n">
        <v>0</v>
      </c>
      <c r="R167" s="2" t="inlineStr"/>
    </row>
    <row r="168" ht="15" customHeight="1">
      <c r="A168" t="inlineStr">
        <is>
          <t>A 30374-2023</t>
        </is>
      </c>
      <c r="B168" s="1" t="n">
        <v>45111</v>
      </c>
      <c r="C168" s="1" t="n">
        <v>46059</v>
      </c>
      <c r="D168" t="inlineStr">
        <is>
          <t>ÖREBRO LÄN</t>
        </is>
      </c>
      <c r="E168" t="inlineStr">
        <is>
          <t>ÖREBRO</t>
        </is>
      </c>
      <c r="F168" t="inlineStr">
        <is>
          <t>Övriga Aktiebolag</t>
        </is>
      </c>
      <c r="G168" t="n">
        <v>2.3</v>
      </c>
      <c r="H168" t="n">
        <v>0</v>
      </c>
      <c r="I168" t="n">
        <v>0</v>
      </c>
      <c r="J168" t="n">
        <v>0</v>
      </c>
      <c r="K168" t="n">
        <v>0</v>
      </c>
      <c r="L168" t="n">
        <v>0</v>
      </c>
      <c r="M168" t="n">
        <v>0</v>
      </c>
      <c r="N168" t="n">
        <v>0</v>
      </c>
      <c r="O168" t="n">
        <v>0</v>
      </c>
      <c r="P168" t="n">
        <v>0</v>
      </c>
      <c r="Q168" t="n">
        <v>0</v>
      </c>
      <c r="R168" s="2" t="inlineStr"/>
    </row>
    <row r="169" ht="15" customHeight="1">
      <c r="A169" t="inlineStr">
        <is>
          <t>A 39446-2025</t>
        </is>
      </c>
      <c r="B169" s="1" t="n">
        <v>45889.70388888889</v>
      </c>
      <c r="C169" s="1" t="n">
        <v>46059</v>
      </c>
      <c r="D169" t="inlineStr">
        <is>
          <t>ÖREBRO LÄN</t>
        </is>
      </c>
      <c r="E169" t="inlineStr">
        <is>
          <t>ÖREBRO</t>
        </is>
      </c>
      <c r="F169" t="inlineStr">
        <is>
          <t>Kyrkan</t>
        </is>
      </c>
      <c r="G169" t="n">
        <v>3.2</v>
      </c>
      <c r="H169" t="n">
        <v>0</v>
      </c>
      <c r="I169" t="n">
        <v>0</v>
      </c>
      <c r="J169" t="n">
        <v>0</v>
      </c>
      <c r="K169" t="n">
        <v>0</v>
      </c>
      <c r="L169" t="n">
        <v>0</v>
      </c>
      <c r="M169" t="n">
        <v>0</v>
      </c>
      <c r="N169" t="n">
        <v>0</v>
      </c>
      <c r="O169" t="n">
        <v>0</v>
      </c>
      <c r="P169" t="n">
        <v>0</v>
      </c>
      <c r="Q169" t="n">
        <v>0</v>
      </c>
      <c r="R169" s="2" t="inlineStr"/>
    </row>
    <row r="170" ht="15" customHeight="1">
      <c r="A170" t="inlineStr">
        <is>
          <t>A 54678-2023</t>
        </is>
      </c>
      <c r="B170" s="1" t="n">
        <v>45235</v>
      </c>
      <c r="C170" s="1" t="n">
        <v>46059</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39479-2025</t>
        </is>
      </c>
      <c r="B171" s="1" t="n">
        <v>45890.34752314815</v>
      </c>
      <c r="C171" s="1" t="n">
        <v>46059</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19831-2021</t>
        </is>
      </c>
      <c r="B172" s="1" t="n">
        <v>44313</v>
      </c>
      <c r="C172" s="1" t="n">
        <v>46059</v>
      </c>
      <c r="D172" t="inlineStr">
        <is>
          <t>ÖREBRO LÄN</t>
        </is>
      </c>
      <c r="E172" t="inlineStr">
        <is>
          <t>ÖREBRO</t>
        </is>
      </c>
      <c r="G172" t="n">
        <v>3.2</v>
      </c>
      <c r="H172" t="n">
        <v>0</v>
      </c>
      <c r="I172" t="n">
        <v>0</v>
      </c>
      <c r="J172" t="n">
        <v>0</v>
      </c>
      <c r="K172" t="n">
        <v>0</v>
      </c>
      <c r="L172" t="n">
        <v>0</v>
      </c>
      <c r="M172" t="n">
        <v>0</v>
      </c>
      <c r="N172" t="n">
        <v>0</v>
      </c>
      <c r="O172" t="n">
        <v>0</v>
      </c>
      <c r="P172" t="n">
        <v>0</v>
      </c>
      <c r="Q172" t="n">
        <v>0</v>
      </c>
      <c r="R172" s="2" t="inlineStr"/>
    </row>
    <row r="173" ht="15" customHeight="1">
      <c r="A173" t="inlineStr">
        <is>
          <t>A 58219-2024</t>
        </is>
      </c>
      <c r="B173" s="1" t="n">
        <v>45632</v>
      </c>
      <c r="C173" s="1" t="n">
        <v>46059</v>
      </c>
      <c r="D173" t="inlineStr">
        <is>
          <t>ÖREBRO LÄN</t>
        </is>
      </c>
      <c r="E173" t="inlineStr">
        <is>
          <t>ÖREBRO</t>
        </is>
      </c>
      <c r="G173" t="n">
        <v>1.1</v>
      </c>
      <c r="H173" t="n">
        <v>0</v>
      </c>
      <c r="I173" t="n">
        <v>0</v>
      </c>
      <c r="J173" t="n">
        <v>0</v>
      </c>
      <c r="K173" t="n">
        <v>0</v>
      </c>
      <c r="L173" t="n">
        <v>0</v>
      </c>
      <c r="M173" t="n">
        <v>0</v>
      </c>
      <c r="N173" t="n">
        <v>0</v>
      </c>
      <c r="O173" t="n">
        <v>0</v>
      </c>
      <c r="P173" t="n">
        <v>0</v>
      </c>
      <c r="Q173" t="n">
        <v>0</v>
      </c>
      <c r="R173" s="2" t="inlineStr"/>
    </row>
    <row r="174" ht="15" customHeight="1">
      <c r="A174" t="inlineStr">
        <is>
          <t>A 5357-2024</t>
        </is>
      </c>
      <c r="B174" s="1" t="n">
        <v>45331</v>
      </c>
      <c r="C174" s="1" t="n">
        <v>46059</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42518-2021</t>
        </is>
      </c>
      <c r="B175" s="1" t="n">
        <v>44427.81496527778</v>
      </c>
      <c r="C175" s="1" t="n">
        <v>46059</v>
      </c>
      <c r="D175" t="inlineStr">
        <is>
          <t>ÖREBRO LÄN</t>
        </is>
      </c>
      <c r="E175" t="inlineStr">
        <is>
          <t>ÖREBRO</t>
        </is>
      </c>
      <c r="G175" t="n">
        <v>4.5</v>
      </c>
      <c r="H175" t="n">
        <v>0</v>
      </c>
      <c r="I175" t="n">
        <v>0</v>
      </c>
      <c r="J175" t="n">
        <v>0</v>
      </c>
      <c r="K175" t="n">
        <v>0</v>
      </c>
      <c r="L175" t="n">
        <v>0</v>
      </c>
      <c r="M175" t="n">
        <v>0</v>
      </c>
      <c r="N175" t="n">
        <v>0</v>
      </c>
      <c r="O175" t="n">
        <v>0</v>
      </c>
      <c r="P175" t="n">
        <v>0</v>
      </c>
      <c r="Q175" t="n">
        <v>0</v>
      </c>
      <c r="R175" s="2" t="inlineStr"/>
    </row>
    <row r="176" ht="15" customHeight="1">
      <c r="A176" t="inlineStr">
        <is>
          <t>A 14545-2023</t>
        </is>
      </c>
      <c r="B176" s="1" t="n">
        <v>45013.34895833334</v>
      </c>
      <c r="C176" s="1" t="n">
        <v>46059</v>
      </c>
      <c r="D176" t="inlineStr">
        <is>
          <t>ÖREBRO LÄN</t>
        </is>
      </c>
      <c r="E176" t="inlineStr">
        <is>
          <t>ÖREBRO</t>
        </is>
      </c>
      <c r="G176" t="n">
        <v>2.5</v>
      </c>
      <c r="H176" t="n">
        <v>0</v>
      </c>
      <c r="I176" t="n">
        <v>0</v>
      </c>
      <c r="J176" t="n">
        <v>0</v>
      </c>
      <c r="K176" t="n">
        <v>0</v>
      </c>
      <c r="L176" t="n">
        <v>0</v>
      </c>
      <c r="M176" t="n">
        <v>0</v>
      </c>
      <c r="N176" t="n">
        <v>0</v>
      </c>
      <c r="O176" t="n">
        <v>0</v>
      </c>
      <c r="P176" t="n">
        <v>0</v>
      </c>
      <c r="Q176" t="n">
        <v>0</v>
      </c>
      <c r="R176" s="2" t="inlineStr"/>
    </row>
    <row r="177" ht="15" customHeight="1">
      <c r="A177" t="inlineStr">
        <is>
          <t>A 15354-2024</t>
        </is>
      </c>
      <c r="B177" s="1" t="n">
        <v>45400.85319444445</v>
      </c>
      <c r="C177" s="1" t="n">
        <v>46059</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11067-2025</t>
        </is>
      </c>
      <c r="B178" s="1" t="n">
        <v>45723</v>
      </c>
      <c r="C178" s="1" t="n">
        <v>46059</v>
      </c>
      <c r="D178" t="inlineStr">
        <is>
          <t>ÖREBRO LÄN</t>
        </is>
      </c>
      <c r="E178" t="inlineStr">
        <is>
          <t>ÖREBRO</t>
        </is>
      </c>
      <c r="G178" t="n">
        <v>3.1</v>
      </c>
      <c r="H178" t="n">
        <v>0</v>
      </c>
      <c r="I178" t="n">
        <v>0</v>
      </c>
      <c r="J178" t="n">
        <v>0</v>
      </c>
      <c r="K178" t="n">
        <v>0</v>
      </c>
      <c r="L178" t="n">
        <v>0</v>
      </c>
      <c r="M178" t="n">
        <v>0</v>
      </c>
      <c r="N178" t="n">
        <v>0</v>
      </c>
      <c r="O178" t="n">
        <v>0</v>
      </c>
      <c r="P178" t="n">
        <v>0</v>
      </c>
      <c r="Q178" t="n">
        <v>0</v>
      </c>
      <c r="R178" s="2" t="inlineStr"/>
    </row>
    <row r="179" ht="15" customHeight="1">
      <c r="A179" t="inlineStr">
        <is>
          <t>A 27112-2023</t>
        </is>
      </c>
      <c r="B179" s="1" t="n">
        <v>45096</v>
      </c>
      <c r="C179" s="1" t="n">
        <v>46059</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14524-2025</t>
        </is>
      </c>
      <c r="B180" s="1" t="n">
        <v>45741.64815972222</v>
      </c>
      <c r="C180" s="1" t="n">
        <v>46059</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9585-2025</t>
        </is>
      </c>
      <c r="B181" s="1" t="n">
        <v>45715.63409722222</v>
      </c>
      <c r="C181" s="1" t="n">
        <v>46059</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46834-2022</t>
        </is>
      </c>
      <c r="B182" s="1" t="n">
        <v>44851</v>
      </c>
      <c r="C182" s="1" t="n">
        <v>46059</v>
      </c>
      <c r="D182" t="inlineStr">
        <is>
          <t>ÖREBRO LÄN</t>
        </is>
      </c>
      <c r="E182" t="inlineStr">
        <is>
          <t>ÖREBRO</t>
        </is>
      </c>
      <c r="G182" t="n">
        <v>1.6</v>
      </c>
      <c r="H182" t="n">
        <v>0</v>
      </c>
      <c r="I182" t="n">
        <v>0</v>
      </c>
      <c r="J182" t="n">
        <v>0</v>
      </c>
      <c r="K182" t="n">
        <v>0</v>
      </c>
      <c r="L182" t="n">
        <v>0</v>
      </c>
      <c r="M182" t="n">
        <v>0</v>
      </c>
      <c r="N182" t="n">
        <v>0</v>
      </c>
      <c r="O182" t="n">
        <v>0</v>
      </c>
      <c r="P182" t="n">
        <v>0</v>
      </c>
      <c r="Q182" t="n">
        <v>0</v>
      </c>
      <c r="R182" s="2" t="inlineStr"/>
    </row>
    <row r="183" ht="15" customHeight="1">
      <c r="A183" t="inlineStr">
        <is>
          <t>A 57638-2022</t>
        </is>
      </c>
      <c r="B183" s="1" t="n">
        <v>44897</v>
      </c>
      <c r="C183" s="1" t="n">
        <v>46059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6879-2024</t>
        </is>
      </c>
      <c r="B184" s="1" t="n">
        <v>45342.85280092592</v>
      </c>
      <c r="C184" s="1" t="n">
        <v>46059</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2152-2023</t>
        </is>
      </c>
      <c r="B185" s="1" t="n">
        <v>44941.55056712963</v>
      </c>
      <c r="C185" s="1" t="n">
        <v>46059</v>
      </c>
      <c r="D185" t="inlineStr">
        <is>
          <t>ÖREBRO LÄN</t>
        </is>
      </c>
      <c r="E185" t="inlineStr">
        <is>
          <t>ÖREBRO</t>
        </is>
      </c>
      <c r="G185" t="n">
        <v>8</v>
      </c>
      <c r="H185" t="n">
        <v>0</v>
      </c>
      <c r="I185" t="n">
        <v>0</v>
      </c>
      <c r="J185" t="n">
        <v>0</v>
      </c>
      <c r="K185" t="n">
        <v>0</v>
      </c>
      <c r="L185" t="n">
        <v>0</v>
      </c>
      <c r="M185" t="n">
        <v>0</v>
      </c>
      <c r="N185" t="n">
        <v>0</v>
      </c>
      <c r="O185" t="n">
        <v>0</v>
      </c>
      <c r="P185" t="n">
        <v>0</v>
      </c>
      <c r="Q185" t="n">
        <v>0</v>
      </c>
      <c r="R185" s="2" t="inlineStr"/>
    </row>
    <row r="186" ht="15" customHeight="1">
      <c r="A186" t="inlineStr">
        <is>
          <t>A 681-2024</t>
        </is>
      </c>
      <c r="B186" s="1" t="n">
        <v>45300</v>
      </c>
      <c r="C186" s="1" t="n">
        <v>46059</v>
      </c>
      <c r="D186" t="inlineStr">
        <is>
          <t>ÖREBRO LÄN</t>
        </is>
      </c>
      <c r="E186" t="inlineStr">
        <is>
          <t>ÖREBRO</t>
        </is>
      </c>
      <c r="G186" t="n">
        <v>3.3</v>
      </c>
      <c r="H186" t="n">
        <v>0</v>
      </c>
      <c r="I186" t="n">
        <v>0</v>
      </c>
      <c r="J186" t="n">
        <v>0</v>
      </c>
      <c r="K186" t="n">
        <v>0</v>
      </c>
      <c r="L186" t="n">
        <v>0</v>
      </c>
      <c r="M186" t="n">
        <v>0</v>
      </c>
      <c r="N186" t="n">
        <v>0</v>
      </c>
      <c r="O186" t="n">
        <v>0</v>
      </c>
      <c r="P186" t="n">
        <v>0</v>
      </c>
      <c r="Q186" t="n">
        <v>0</v>
      </c>
      <c r="R186" s="2" t="inlineStr"/>
    </row>
    <row r="187" ht="15" customHeight="1">
      <c r="A187" t="inlineStr">
        <is>
          <t>A 55745-2023</t>
        </is>
      </c>
      <c r="B187" s="1" t="n">
        <v>45239.44811342593</v>
      </c>
      <c r="C187" s="1" t="n">
        <v>46059</v>
      </c>
      <c r="D187" t="inlineStr">
        <is>
          <t>ÖREBRO LÄN</t>
        </is>
      </c>
      <c r="E187" t="inlineStr">
        <is>
          <t>ÖREBRO</t>
        </is>
      </c>
      <c r="G187" t="n">
        <v>13.3</v>
      </c>
      <c r="H187" t="n">
        <v>0</v>
      </c>
      <c r="I187" t="n">
        <v>0</v>
      </c>
      <c r="J187" t="n">
        <v>0</v>
      </c>
      <c r="K187" t="n">
        <v>0</v>
      </c>
      <c r="L187" t="n">
        <v>0</v>
      </c>
      <c r="M187" t="n">
        <v>0</v>
      </c>
      <c r="N187" t="n">
        <v>0</v>
      </c>
      <c r="O187" t="n">
        <v>0</v>
      </c>
      <c r="P187" t="n">
        <v>0</v>
      </c>
      <c r="Q187" t="n">
        <v>0</v>
      </c>
      <c r="R187" s="2" t="inlineStr"/>
    </row>
    <row r="188" ht="15" customHeight="1">
      <c r="A188" t="inlineStr">
        <is>
          <t>A 48644-2024</t>
        </is>
      </c>
      <c r="B188" s="1" t="n">
        <v>45593.47466435185</v>
      </c>
      <c r="C188" s="1" t="n">
        <v>46059</v>
      </c>
      <c r="D188" t="inlineStr">
        <is>
          <t>ÖREBRO LÄN</t>
        </is>
      </c>
      <c r="E188" t="inlineStr">
        <is>
          <t>ÖREBRO</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13169-2024</t>
        </is>
      </c>
      <c r="B189" s="1" t="n">
        <v>45386.40489583334</v>
      </c>
      <c r="C189" s="1" t="n">
        <v>46059</v>
      </c>
      <c r="D189" t="inlineStr">
        <is>
          <t>ÖREBRO LÄN</t>
        </is>
      </c>
      <c r="E189" t="inlineStr">
        <is>
          <t>ÖREBRO</t>
        </is>
      </c>
      <c r="G189" t="n">
        <v>4.3</v>
      </c>
      <c r="H189" t="n">
        <v>0</v>
      </c>
      <c r="I189" t="n">
        <v>0</v>
      </c>
      <c r="J189" t="n">
        <v>0</v>
      </c>
      <c r="K189" t="n">
        <v>0</v>
      </c>
      <c r="L189" t="n">
        <v>0</v>
      </c>
      <c r="M189" t="n">
        <v>0</v>
      </c>
      <c r="N189" t="n">
        <v>0</v>
      </c>
      <c r="O189" t="n">
        <v>0</v>
      </c>
      <c r="P189" t="n">
        <v>0</v>
      </c>
      <c r="Q189" t="n">
        <v>0</v>
      </c>
      <c r="R189" s="2" t="inlineStr"/>
    </row>
    <row r="190" ht="15" customHeight="1">
      <c r="A190" t="inlineStr">
        <is>
          <t>A 71285-2021</t>
        </is>
      </c>
      <c r="B190" s="1" t="n">
        <v>44539.62236111111</v>
      </c>
      <c r="C190" s="1" t="n">
        <v>46059</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5125-2024</t>
        </is>
      </c>
      <c r="B191" s="1" t="n">
        <v>45330</v>
      </c>
      <c r="C191" s="1" t="n">
        <v>46059</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14234-2024</t>
        </is>
      </c>
      <c r="B192" s="1" t="n">
        <v>45393.46980324074</v>
      </c>
      <c r="C192" s="1" t="n">
        <v>46059</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38057-2025</t>
        </is>
      </c>
      <c r="B193" s="1" t="n">
        <v>45882.42570601852</v>
      </c>
      <c r="C193" s="1" t="n">
        <v>46059</v>
      </c>
      <c r="D193" t="inlineStr">
        <is>
          <t>ÖREBRO LÄN</t>
        </is>
      </c>
      <c r="E193" t="inlineStr">
        <is>
          <t>ÖREBRO</t>
        </is>
      </c>
      <c r="G193" t="n">
        <v>3</v>
      </c>
      <c r="H193" t="n">
        <v>0</v>
      </c>
      <c r="I193" t="n">
        <v>0</v>
      </c>
      <c r="J193" t="n">
        <v>0</v>
      </c>
      <c r="K193" t="n">
        <v>0</v>
      </c>
      <c r="L193" t="n">
        <v>0</v>
      </c>
      <c r="M193" t="n">
        <v>0</v>
      </c>
      <c r="N193" t="n">
        <v>0</v>
      </c>
      <c r="O193" t="n">
        <v>0</v>
      </c>
      <c r="P193" t="n">
        <v>0</v>
      </c>
      <c r="Q193" t="n">
        <v>0</v>
      </c>
      <c r="R193" s="2" t="inlineStr"/>
    </row>
    <row r="194" ht="15" customHeight="1">
      <c r="A194" t="inlineStr">
        <is>
          <t>A 52256-2023</t>
        </is>
      </c>
      <c r="B194" s="1" t="n">
        <v>45224.51471064815</v>
      </c>
      <c r="C194" s="1" t="n">
        <v>46059</v>
      </c>
      <c r="D194" t="inlineStr">
        <is>
          <t>ÖREBRO LÄN</t>
        </is>
      </c>
      <c r="E194" t="inlineStr">
        <is>
          <t>ÖREBRO</t>
        </is>
      </c>
      <c r="G194" t="n">
        <v>2.8</v>
      </c>
      <c r="H194" t="n">
        <v>0</v>
      </c>
      <c r="I194" t="n">
        <v>0</v>
      </c>
      <c r="J194" t="n">
        <v>0</v>
      </c>
      <c r="K194" t="n">
        <v>0</v>
      </c>
      <c r="L194" t="n">
        <v>0</v>
      </c>
      <c r="M194" t="n">
        <v>0</v>
      </c>
      <c r="N194" t="n">
        <v>0</v>
      </c>
      <c r="O194" t="n">
        <v>0</v>
      </c>
      <c r="P194" t="n">
        <v>0</v>
      </c>
      <c r="Q194" t="n">
        <v>0</v>
      </c>
      <c r="R194" s="2" t="inlineStr"/>
    </row>
    <row r="195" ht="15" customHeight="1">
      <c r="A195" t="inlineStr">
        <is>
          <t>A 60289-2023</t>
        </is>
      </c>
      <c r="B195" s="1" t="n">
        <v>45257</v>
      </c>
      <c r="C195" s="1" t="n">
        <v>46059</v>
      </c>
      <c r="D195" t="inlineStr">
        <is>
          <t>ÖREBRO LÄN</t>
        </is>
      </c>
      <c r="E195" t="inlineStr">
        <is>
          <t>ÖREBRO</t>
        </is>
      </c>
      <c r="G195" t="n">
        <v>10.9</v>
      </c>
      <c r="H195" t="n">
        <v>0</v>
      </c>
      <c r="I195" t="n">
        <v>0</v>
      </c>
      <c r="J195" t="n">
        <v>0</v>
      </c>
      <c r="K195" t="n">
        <v>0</v>
      </c>
      <c r="L195" t="n">
        <v>0</v>
      </c>
      <c r="M195" t="n">
        <v>0</v>
      </c>
      <c r="N195" t="n">
        <v>0</v>
      </c>
      <c r="O195" t="n">
        <v>0</v>
      </c>
      <c r="P195" t="n">
        <v>0</v>
      </c>
      <c r="Q195" t="n">
        <v>0</v>
      </c>
      <c r="R195" s="2" t="inlineStr"/>
    </row>
    <row r="196" ht="15" customHeight="1">
      <c r="A196" t="inlineStr">
        <is>
          <t>A 40330-2025</t>
        </is>
      </c>
      <c r="B196" s="1" t="n">
        <v>45895.4531712963</v>
      </c>
      <c r="C196" s="1" t="n">
        <v>46059</v>
      </c>
      <c r="D196" t="inlineStr">
        <is>
          <t>ÖREBRO LÄN</t>
        </is>
      </c>
      <c r="E196" t="inlineStr">
        <is>
          <t>ÖREBRO</t>
        </is>
      </c>
      <c r="G196" t="n">
        <v>0.9</v>
      </c>
      <c r="H196" t="n">
        <v>0</v>
      </c>
      <c r="I196" t="n">
        <v>0</v>
      </c>
      <c r="J196" t="n">
        <v>0</v>
      </c>
      <c r="K196" t="n">
        <v>0</v>
      </c>
      <c r="L196" t="n">
        <v>0</v>
      </c>
      <c r="M196" t="n">
        <v>0</v>
      </c>
      <c r="N196" t="n">
        <v>0</v>
      </c>
      <c r="O196" t="n">
        <v>0</v>
      </c>
      <c r="P196" t="n">
        <v>0</v>
      </c>
      <c r="Q196" t="n">
        <v>0</v>
      </c>
      <c r="R196" s="2" t="inlineStr"/>
    </row>
    <row r="197" ht="15" customHeight="1">
      <c r="A197" t="inlineStr">
        <is>
          <t>A 12099-2023</t>
        </is>
      </c>
      <c r="B197" s="1" t="n">
        <v>44998.37043981482</v>
      </c>
      <c r="C197" s="1" t="n">
        <v>46059</v>
      </c>
      <c r="D197" t="inlineStr">
        <is>
          <t>ÖREBRO LÄN</t>
        </is>
      </c>
      <c r="E197" t="inlineStr">
        <is>
          <t>ÖREBRO</t>
        </is>
      </c>
      <c r="G197" t="n">
        <v>0.9</v>
      </c>
      <c r="H197" t="n">
        <v>0</v>
      </c>
      <c r="I197" t="n">
        <v>0</v>
      </c>
      <c r="J197" t="n">
        <v>0</v>
      </c>
      <c r="K197" t="n">
        <v>0</v>
      </c>
      <c r="L197" t="n">
        <v>0</v>
      </c>
      <c r="M197" t="n">
        <v>0</v>
      </c>
      <c r="N197" t="n">
        <v>0</v>
      </c>
      <c r="O197" t="n">
        <v>0</v>
      </c>
      <c r="P197" t="n">
        <v>0</v>
      </c>
      <c r="Q197" t="n">
        <v>0</v>
      </c>
      <c r="R197" s="2" t="inlineStr"/>
    </row>
    <row r="198" ht="15" customHeight="1">
      <c r="A198" t="inlineStr">
        <is>
          <t>A 40332-2025</t>
        </is>
      </c>
      <c r="B198" s="1" t="n">
        <v>45895.46060185185</v>
      </c>
      <c r="C198" s="1" t="n">
        <v>46059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55593-2022</t>
        </is>
      </c>
      <c r="B199" s="1" t="n">
        <v>44888</v>
      </c>
      <c r="C199" s="1" t="n">
        <v>46059</v>
      </c>
      <c r="D199" t="inlineStr">
        <is>
          <t>ÖREBRO LÄN</t>
        </is>
      </c>
      <c r="E199" t="inlineStr">
        <is>
          <t>ÖREBRO</t>
        </is>
      </c>
      <c r="G199" t="n">
        <v>3.6</v>
      </c>
      <c r="H199" t="n">
        <v>0</v>
      </c>
      <c r="I199" t="n">
        <v>0</v>
      </c>
      <c r="J199" t="n">
        <v>0</v>
      </c>
      <c r="K199" t="n">
        <v>0</v>
      </c>
      <c r="L199" t="n">
        <v>0</v>
      </c>
      <c r="M199" t="n">
        <v>0</v>
      </c>
      <c r="N199" t="n">
        <v>0</v>
      </c>
      <c r="O199" t="n">
        <v>0</v>
      </c>
      <c r="P199" t="n">
        <v>0</v>
      </c>
      <c r="Q199" t="n">
        <v>0</v>
      </c>
      <c r="R199" s="2" t="inlineStr"/>
    </row>
    <row r="200" ht="15" customHeight="1">
      <c r="A200" t="inlineStr">
        <is>
          <t>A 50446-2023</t>
        </is>
      </c>
      <c r="B200" s="1" t="n">
        <v>45216</v>
      </c>
      <c r="C200" s="1" t="n">
        <v>46059</v>
      </c>
      <c r="D200" t="inlineStr">
        <is>
          <t>ÖREBRO LÄN</t>
        </is>
      </c>
      <c r="E200" t="inlineStr">
        <is>
          <t>ÖREBRO</t>
        </is>
      </c>
      <c r="F200" t="inlineStr">
        <is>
          <t>Övriga Aktiebolag</t>
        </is>
      </c>
      <c r="G200" t="n">
        <v>2.8</v>
      </c>
      <c r="H200" t="n">
        <v>0</v>
      </c>
      <c r="I200" t="n">
        <v>0</v>
      </c>
      <c r="J200" t="n">
        <v>0</v>
      </c>
      <c r="K200" t="n">
        <v>0</v>
      </c>
      <c r="L200" t="n">
        <v>0</v>
      </c>
      <c r="M200" t="n">
        <v>0</v>
      </c>
      <c r="N200" t="n">
        <v>0</v>
      </c>
      <c r="O200" t="n">
        <v>0</v>
      </c>
      <c r="P200" t="n">
        <v>0</v>
      </c>
      <c r="Q200" t="n">
        <v>0</v>
      </c>
      <c r="R200" s="2" t="inlineStr"/>
    </row>
    <row r="201" ht="15" customHeight="1">
      <c r="A201" t="inlineStr">
        <is>
          <t>A 50450-2023</t>
        </is>
      </c>
      <c r="B201" s="1" t="n">
        <v>45216.73533564815</v>
      </c>
      <c r="C201" s="1" t="n">
        <v>46059</v>
      </c>
      <c r="D201" t="inlineStr">
        <is>
          <t>ÖREBRO LÄN</t>
        </is>
      </c>
      <c r="E201" t="inlineStr">
        <is>
          <t>ÖREBRO</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43612-2022</t>
        </is>
      </c>
      <c r="B202" s="1" t="n">
        <v>44837</v>
      </c>
      <c r="C202" s="1" t="n">
        <v>46059</v>
      </c>
      <c r="D202" t="inlineStr">
        <is>
          <t>ÖREBRO LÄN</t>
        </is>
      </c>
      <c r="E202" t="inlineStr">
        <is>
          <t>ÖREBRO</t>
        </is>
      </c>
      <c r="G202" t="n">
        <v>0.6</v>
      </c>
      <c r="H202" t="n">
        <v>0</v>
      </c>
      <c r="I202" t="n">
        <v>0</v>
      </c>
      <c r="J202" t="n">
        <v>0</v>
      </c>
      <c r="K202" t="n">
        <v>0</v>
      </c>
      <c r="L202" t="n">
        <v>0</v>
      </c>
      <c r="M202" t="n">
        <v>0</v>
      </c>
      <c r="N202" t="n">
        <v>0</v>
      </c>
      <c r="O202" t="n">
        <v>0</v>
      </c>
      <c r="P202" t="n">
        <v>0</v>
      </c>
      <c r="Q202" t="n">
        <v>0</v>
      </c>
      <c r="R202" s="2" t="inlineStr"/>
    </row>
    <row r="203" ht="15" customHeight="1">
      <c r="A203" t="inlineStr">
        <is>
          <t>A 58277-2022</t>
        </is>
      </c>
      <c r="B203" s="1" t="n">
        <v>44901.48108796297</v>
      </c>
      <c r="C203" s="1" t="n">
        <v>46059</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64018-2025</t>
        </is>
      </c>
      <c r="B204" s="1" t="n">
        <v>46021.4546412037</v>
      </c>
      <c r="C204" s="1" t="n">
        <v>46059</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31906-2023</t>
        </is>
      </c>
      <c r="B205" s="1" t="n">
        <v>45118.8353125</v>
      </c>
      <c r="C205" s="1" t="n">
        <v>46059</v>
      </c>
      <c r="D205" t="inlineStr">
        <is>
          <t>ÖREBRO LÄN</t>
        </is>
      </c>
      <c r="E205" t="inlineStr">
        <is>
          <t>ÖREBRO</t>
        </is>
      </c>
      <c r="G205" t="n">
        <v>9</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46059</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64019-2025</t>
        </is>
      </c>
      <c r="B207" s="1" t="n">
        <v>46021.45914351852</v>
      </c>
      <c r="C207" s="1" t="n">
        <v>46059</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57537-2025</t>
        </is>
      </c>
      <c r="B208" s="1" t="n">
        <v>45980.6446875</v>
      </c>
      <c r="C208" s="1" t="n">
        <v>46059</v>
      </c>
      <c r="D208" t="inlineStr">
        <is>
          <t>ÖREBRO LÄN</t>
        </is>
      </c>
      <c r="E208" t="inlineStr">
        <is>
          <t>ÖREBRO</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34874-2022</t>
        </is>
      </c>
      <c r="B209" s="1" t="n">
        <v>44796</v>
      </c>
      <c r="C209" s="1" t="n">
        <v>46059</v>
      </c>
      <c r="D209" t="inlineStr">
        <is>
          <t>ÖREBRO LÄN</t>
        </is>
      </c>
      <c r="E209" t="inlineStr">
        <is>
          <t>ÖREBRO</t>
        </is>
      </c>
      <c r="F209" t="inlineStr">
        <is>
          <t>Övriga Aktiebolag</t>
        </is>
      </c>
      <c r="G209" t="n">
        <v>2.3</v>
      </c>
      <c r="H209" t="n">
        <v>0</v>
      </c>
      <c r="I209" t="n">
        <v>0</v>
      </c>
      <c r="J209" t="n">
        <v>0</v>
      </c>
      <c r="K209" t="n">
        <v>0</v>
      </c>
      <c r="L209" t="n">
        <v>0</v>
      </c>
      <c r="M209" t="n">
        <v>0</v>
      </c>
      <c r="N209" t="n">
        <v>0</v>
      </c>
      <c r="O209" t="n">
        <v>0</v>
      </c>
      <c r="P209" t="n">
        <v>0</v>
      </c>
      <c r="Q209" t="n">
        <v>0</v>
      </c>
      <c r="R209" s="2" t="inlineStr"/>
    </row>
    <row r="210" ht="15" customHeight="1">
      <c r="A210" t="inlineStr">
        <is>
          <t>A 61593-2023</t>
        </is>
      </c>
      <c r="B210" s="1" t="n">
        <v>45265</v>
      </c>
      <c r="C210" s="1" t="n">
        <v>46059</v>
      </c>
      <c r="D210" t="inlineStr">
        <is>
          <t>ÖREBRO LÄN</t>
        </is>
      </c>
      <c r="E210" t="inlineStr">
        <is>
          <t>ÖREBRO</t>
        </is>
      </c>
      <c r="G210" t="n">
        <v>2.5</v>
      </c>
      <c r="H210" t="n">
        <v>0</v>
      </c>
      <c r="I210" t="n">
        <v>0</v>
      </c>
      <c r="J210" t="n">
        <v>0</v>
      </c>
      <c r="K210" t="n">
        <v>0</v>
      </c>
      <c r="L210" t="n">
        <v>0</v>
      </c>
      <c r="M210" t="n">
        <v>0</v>
      </c>
      <c r="N210" t="n">
        <v>0</v>
      </c>
      <c r="O210" t="n">
        <v>0</v>
      </c>
      <c r="P210" t="n">
        <v>0</v>
      </c>
      <c r="Q210" t="n">
        <v>0</v>
      </c>
      <c r="R210" s="2" t="inlineStr"/>
    </row>
    <row r="211" ht="15" customHeight="1">
      <c r="A211" t="inlineStr">
        <is>
          <t>A 41669-2025</t>
        </is>
      </c>
      <c r="B211" s="1" t="n">
        <v>45902.36149305556</v>
      </c>
      <c r="C211" s="1" t="n">
        <v>46059</v>
      </c>
      <c r="D211" t="inlineStr">
        <is>
          <t>ÖREBRO LÄN</t>
        </is>
      </c>
      <c r="E211" t="inlineStr">
        <is>
          <t>ÖREBRO</t>
        </is>
      </c>
      <c r="G211" t="n">
        <v>2.8</v>
      </c>
      <c r="H211" t="n">
        <v>0</v>
      </c>
      <c r="I211" t="n">
        <v>0</v>
      </c>
      <c r="J211" t="n">
        <v>0</v>
      </c>
      <c r="K211" t="n">
        <v>0</v>
      </c>
      <c r="L211" t="n">
        <v>0</v>
      </c>
      <c r="M211" t="n">
        <v>0</v>
      </c>
      <c r="N211" t="n">
        <v>0</v>
      </c>
      <c r="O211" t="n">
        <v>0</v>
      </c>
      <c r="P211" t="n">
        <v>0</v>
      </c>
      <c r="Q211" t="n">
        <v>0</v>
      </c>
      <c r="R211" s="2" t="inlineStr"/>
    </row>
    <row r="212" ht="15" customHeight="1">
      <c r="A212" t="inlineStr">
        <is>
          <t>A 41412-2025</t>
        </is>
      </c>
      <c r="B212" s="1" t="n">
        <v>45901.3549537037</v>
      </c>
      <c r="C212" s="1" t="n">
        <v>46059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38842-2022</t>
        </is>
      </c>
      <c r="B213" s="1" t="n">
        <v>44814</v>
      </c>
      <c r="C213" s="1" t="n">
        <v>46059</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58587-2025</t>
        </is>
      </c>
      <c r="B214" s="1" t="n">
        <v>45986.40208333333</v>
      </c>
      <c r="C214" s="1" t="n">
        <v>46059</v>
      </c>
      <c r="D214" t="inlineStr">
        <is>
          <t>ÖREBRO LÄN</t>
        </is>
      </c>
      <c r="E214" t="inlineStr">
        <is>
          <t>ÖREBRO</t>
        </is>
      </c>
      <c r="G214" t="n">
        <v>1.6</v>
      </c>
      <c r="H214" t="n">
        <v>0</v>
      </c>
      <c r="I214" t="n">
        <v>0</v>
      </c>
      <c r="J214" t="n">
        <v>0</v>
      </c>
      <c r="K214" t="n">
        <v>0</v>
      </c>
      <c r="L214" t="n">
        <v>0</v>
      </c>
      <c r="M214" t="n">
        <v>0</v>
      </c>
      <c r="N214" t="n">
        <v>0</v>
      </c>
      <c r="O214" t="n">
        <v>0</v>
      </c>
      <c r="P214" t="n">
        <v>0</v>
      </c>
      <c r="Q214" t="n">
        <v>0</v>
      </c>
      <c r="R214" s="2" t="inlineStr"/>
    </row>
    <row r="215" ht="15" customHeight="1">
      <c r="A215" t="inlineStr">
        <is>
          <t>A 40597-2021</t>
        </is>
      </c>
      <c r="B215" s="1" t="n">
        <v>44420</v>
      </c>
      <c r="C215" s="1" t="n">
        <v>46059</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58230-2025</t>
        </is>
      </c>
      <c r="B216" s="1" t="n">
        <v>45985.38037037037</v>
      </c>
      <c r="C216" s="1" t="n">
        <v>46059</v>
      </c>
      <c r="D216" t="inlineStr">
        <is>
          <t>ÖREBRO LÄN</t>
        </is>
      </c>
      <c r="E216" t="inlineStr">
        <is>
          <t>ÖREBRO</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8575-2021</t>
        </is>
      </c>
      <c r="B217" s="1" t="n">
        <v>44245</v>
      </c>
      <c r="C217" s="1" t="n">
        <v>46059</v>
      </c>
      <c r="D217" t="inlineStr">
        <is>
          <t>ÖREBRO LÄN</t>
        </is>
      </c>
      <c r="E217" t="inlineStr">
        <is>
          <t>ÖREBRO</t>
        </is>
      </c>
      <c r="G217" t="n">
        <v>3.4</v>
      </c>
      <c r="H217" t="n">
        <v>0</v>
      </c>
      <c r="I217" t="n">
        <v>0</v>
      </c>
      <c r="J217" t="n">
        <v>0</v>
      </c>
      <c r="K217" t="n">
        <v>0</v>
      </c>
      <c r="L217" t="n">
        <v>0</v>
      </c>
      <c r="M217" t="n">
        <v>0</v>
      </c>
      <c r="N217" t="n">
        <v>0</v>
      </c>
      <c r="O217" t="n">
        <v>0</v>
      </c>
      <c r="P217" t="n">
        <v>0</v>
      </c>
      <c r="Q217" t="n">
        <v>0</v>
      </c>
      <c r="R217" s="2" t="inlineStr"/>
    </row>
    <row r="218" ht="15" customHeight="1">
      <c r="A218" t="inlineStr">
        <is>
          <t>A 26338-2021</t>
        </is>
      </c>
      <c r="B218" s="1" t="n">
        <v>44347</v>
      </c>
      <c r="C218" s="1" t="n">
        <v>46059</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71266-2021</t>
        </is>
      </c>
      <c r="B219" s="1" t="n">
        <v>44539</v>
      </c>
      <c r="C219" s="1" t="n">
        <v>46059</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71267-2021</t>
        </is>
      </c>
      <c r="B220" s="1" t="n">
        <v>44539</v>
      </c>
      <c r="C220" s="1" t="n">
        <v>46059</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71280-2021</t>
        </is>
      </c>
      <c r="B221" s="1" t="n">
        <v>44539</v>
      </c>
      <c r="C221" s="1" t="n">
        <v>46059</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59145-2025</t>
        </is>
      </c>
      <c r="B222" s="1" t="n">
        <v>45988.52015046297</v>
      </c>
      <c r="C222" s="1" t="n">
        <v>46059</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6387-2021</t>
        </is>
      </c>
      <c r="B223" s="1" t="n">
        <v>44235</v>
      </c>
      <c r="C223" s="1" t="n">
        <v>46059</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58835-2025</t>
        </is>
      </c>
      <c r="B224" s="1" t="n">
        <v>45987.35519675926</v>
      </c>
      <c r="C224" s="1" t="n">
        <v>46059</v>
      </c>
      <c r="D224" t="inlineStr">
        <is>
          <t>ÖREBRO LÄN</t>
        </is>
      </c>
      <c r="E224" t="inlineStr">
        <is>
          <t>ÖREBRO</t>
        </is>
      </c>
      <c r="G224" t="n">
        <v>2.1</v>
      </c>
      <c r="H224" t="n">
        <v>0</v>
      </c>
      <c r="I224" t="n">
        <v>0</v>
      </c>
      <c r="J224" t="n">
        <v>0</v>
      </c>
      <c r="K224" t="n">
        <v>0</v>
      </c>
      <c r="L224" t="n">
        <v>0</v>
      </c>
      <c r="M224" t="n">
        <v>0</v>
      </c>
      <c r="N224" t="n">
        <v>0</v>
      </c>
      <c r="O224" t="n">
        <v>0</v>
      </c>
      <c r="P224" t="n">
        <v>0</v>
      </c>
      <c r="Q224" t="n">
        <v>0</v>
      </c>
      <c r="R224" s="2" t="inlineStr"/>
    </row>
    <row r="225" ht="15" customHeight="1">
      <c r="A225" t="inlineStr">
        <is>
          <t>A 48581-2024</t>
        </is>
      </c>
      <c r="B225" s="1" t="n">
        <v>45593.41642361111</v>
      </c>
      <c r="C225" s="1" t="n">
        <v>46059</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59312-2025</t>
        </is>
      </c>
      <c r="B226" s="1" t="n">
        <v>45989.30467592592</v>
      </c>
      <c r="C226" s="1" t="n">
        <v>46059</v>
      </c>
      <c r="D226" t="inlineStr">
        <is>
          <t>ÖREBRO LÄN</t>
        </is>
      </c>
      <c r="E226" t="inlineStr">
        <is>
          <t>ÖREBRO</t>
        </is>
      </c>
      <c r="G226" t="n">
        <v>1.4</v>
      </c>
      <c r="H226" t="n">
        <v>0</v>
      </c>
      <c r="I226" t="n">
        <v>0</v>
      </c>
      <c r="J226" t="n">
        <v>0</v>
      </c>
      <c r="K226" t="n">
        <v>0</v>
      </c>
      <c r="L226" t="n">
        <v>0</v>
      </c>
      <c r="M226" t="n">
        <v>0</v>
      </c>
      <c r="N226" t="n">
        <v>0</v>
      </c>
      <c r="O226" t="n">
        <v>0</v>
      </c>
      <c r="P226" t="n">
        <v>0</v>
      </c>
      <c r="Q226" t="n">
        <v>0</v>
      </c>
      <c r="R226" s="2" t="inlineStr"/>
    </row>
    <row r="227" ht="15" customHeight="1">
      <c r="A227" t="inlineStr">
        <is>
          <t>A 47047-2022</t>
        </is>
      </c>
      <c r="B227" s="1" t="n">
        <v>44852.39063657408</v>
      </c>
      <c r="C227" s="1" t="n">
        <v>46059</v>
      </c>
      <c r="D227" t="inlineStr">
        <is>
          <t>ÖREBRO LÄN</t>
        </is>
      </c>
      <c r="E227" t="inlineStr">
        <is>
          <t>ÖREBRO</t>
        </is>
      </c>
      <c r="G227" t="n">
        <v>1.6</v>
      </c>
      <c r="H227" t="n">
        <v>0</v>
      </c>
      <c r="I227" t="n">
        <v>0</v>
      </c>
      <c r="J227" t="n">
        <v>0</v>
      </c>
      <c r="K227" t="n">
        <v>0</v>
      </c>
      <c r="L227" t="n">
        <v>0</v>
      </c>
      <c r="M227" t="n">
        <v>0</v>
      </c>
      <c r="N227" t="n">
        <v>0</v>
      </c>
      <c r="O227" t="n">
        <v>0</v>
      </c>
      <c r="P227" t="n">
        <v>0</v>
      </c>
      <c r="Q227" t="n">
        <v>0</v>
      </c>
      <c r="R227" s="2" t="inlineStr"/>
    </row>
    <row r="228" ht="15" customHeight="1">
      <c r="A228" t="inlineStr">
        <is>
          <t>A 59313-2025</t>
        </is>
      </c>
      <c r="B228" s="1" t="n">
        <v>45989.30920138889</v>
      </c>
      <c r="C228" s="1" t="n">
        <v>46059</v>
      </c>
      <c r="D228" t="inlineStr">
        <is>
          <t>ÖREBRO LÄN</t>
        </is>
      </c>
      <c r="E228" t="inlineStr">
        <is>
          <t>ÖREBRO</t>
        </is>
      </c>
      <c r="G228" t="n">
        <v>1.6</v>
      </c>
      <c r="H228" t="n">
        <v>0</v>
      </c>
      <c r="I228" t="n">
        <v>0</v>
      </c>
      <c r="J228" t="n">
        <v>0</v>
      </c>
      <c r="K228" t="n">
        <v>0</v>
      </c>
      <c r="L228" t="n">
        <v>0</v>
      </c>
      <c r="M228" t="n">
        <v>0</v>
      </c>
      <c r="N228" t="n">
        <v>0</v>
      </c>
      <c r="O228" t="n">
        <v>0</v>
      </c>
      <c r="P228" t="n">
        <v>0</v>
      </c>
      <c r="Q228" t="n">
        <v>0</v>
      </c>
      <c r="R228" s="2" t="inlineStr"/>
    </row>
    <row r="229" ht="15" customHeight="1">
      <c r="A229" t="inlineStr">
        <is>
          <t>A 59856-2025</t>
        </is>
      </c>
      <c r="B229" s="1" t="n">
        <v>45992.74891203704</v>
      </c>
      <c r="C229" s="1" t="n">
        <v>46059</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1153-2026</t>
        </is>
      </c>
      <c r="B230" s="1" t="n">
        <v>46031.30899305556</v>
      </c>
      <c r="C230" s="1" t="n">
        <v>46059</v>
      </c>
      <c r="D230" t="inlineStr">
        <is>
          <t>ÖREBRO LÄN</t>
        </is>
      </c>
      <c r="E230" t="inlineStr">
        <is>
          <t>ÖREBRO</t>
        </is>
      </c>
      <c r="G230" t="n">
        <v>3.3</v>
      </c>
      <c r="H230" t="n">
        <v>0</v>
      </c>
      <c r="I230" t="n">
        <v>0</v>
      </c>
      <c r="J230" t="n">
        <v>0</v>
      </c>
      <c r="K230" t="n">
        <v>0</v>
      </c>
      <c r="L230" t="n">
        <v>0</v>
      </c>
      <c r="M230" t="n">
        <v>0</v>
      </c>
      <c r="N230" t="n">
        <v>0</v>
      </c>
      <c r="O230" t="n">
        <v>0</v>
      </c>
      <c r="P230" t="n">
        <v>0</v>
      </c>
      <c r="Q230" t="n">
        <v>0</v>
      </c>
      <c r="R230" s="2" t="inlineStr"/>
    </row>
    <row r="231" ht="15" customHeight="1">
      <c r="A231" t="inlineStr">
        <is>
          <t>A 21036-2024</t>
        </is>
      </c>
      <c r="B231" s="1" t="n">
        <v>45439.65954861111</v>
      </c>
      <c r="C231" s="1" t="n">
        <v>46059</v>
      </c>
      <c r="D231" t="inlineStr">
        <is>
          <t>ÖREBRO LÄN</t>
        </is>
      </c>
      <c r="E231" t="inlineStr">
        <is>
          <t>ÖREBRO</t>
        </is>
      </c>
      <c r="F231" t="inlineStr">
        <is>
          <t>Övriga Aktiebolag</t>
        </is>
      </c>
      <c r="G231" t="n">
        <v>5.7</v>
      </c>
      <c r="H231" t="n">
        <v>0</v>
      </c>
      <c r="I231" t="n">
        <v>0</v>
      </c>
      <c r="J231" t="n">
        <v>0</v>
      </c>
      <c r="K231" t="n">
        <v>0</v>
      </c>
      <c r="L231" t="n">
        <v>0</v>
      </c>
      <c r="M231" t="n">
        <v>0</v>
      </c>
      <c r="N231" t="n">
        <v>0</v>
      </c>
      <c r="O231" t="n">
        <v>0</v>
      </c>
      <c r="P231" t="n">
        <v>0</v>
      </c>
      <c r="Q231" t="n">
        <v>0</v>
      </c>
      <c r="R231" s="2" t="inlineStr"/>
    </row>
    <row r="232" ht="15" customHeight="1">
      <c r="A232" t="inlineStr">
        <is>
          <t>A 44875-2025</t>
        </is>
      </c>
      <c r="B232" s="1" t="n">
        <v>45918.47043981482</v>
      </c>
      <c r="C232" s="1" t="n">
        <v>46059</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59857-2025</t>
        </is>
      </c>
      <c r="B233" s="1" t="n">
        <v>45992.75820601852</v>
      </c>
      <c r="C233" s="1" t="n">
        <v>46059</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59858-2025</t>
        </is>
      </c>
      <c r="B234" s="1" t="n">
        <v>45992.76758101852</v>
      </c>
      <c r="C234" s="1" t="n">
        <v>46059</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59859-2025</t>
        </is>
      </c>
      <c r="B235" s="1" t="n">
        <v>45992.7803125</v>
      </c>
      <c r="C235" s="1" t="n">
        <v>46059</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44960-2025</t>
        </is>
      </c>
      <c r="B236" s="1" t="n">
        <v>45918.61577546296</v>
      </c>
      <c r="C236" s="1" t="n">
        <v>46059</v>
      </c>
      <c r="D236" t="inlineStr">
        <is>
          <t>ÖREBRO LÄN</t>
        </is>
      </c>
      <c r="E236" t="inlineStr">
        <is>
          <t>ÖREBRO</t>
        </is>
      </c>
      <c r="G236" t="n">
        <v>1.5</v>
      </c>
      <c r="H236" t="n">
        <v>0</v>
      </c>
      <c r="I236" t="n">
        <v>0</v>
      </c>
      <c r="J236" t="n">
        <v>0</v>
      </c>
      <c r="K236" t="n">
        <v>0</v>
      </c>
      <c r="L236" t="n">
        <v>0</v>
      </c>
      <c r="M236" t="n">
        <v>0</v>
      </c>
      <c r="N236" t="n">
        <v>0</v>
      </c>
      <c r="O236" t="n">
        <v>0</v>
      </c>
      <c r="P236" t="n">
        <v>0</v>
      </c>
      <c r="Q236" t="n">
        <v>0</v>
      </c>
      <c r="R236" s="2" t="inlineStr"/>
    </row>
    <row r="237" ht="15" customHeight="1">
      <c r="A237" t="inlineStr">
        <is>
          <t>A 10937-2024</t>
        </is>
      </c>
      <c r="B237" s="1" t="n">
        <v>45370.44461805555</v>
      </c>
      <c r="C237" s="1" t="n">
        <v>46059</v>
      </c>
      <c r="D237" t="inlineStr">
        <is>
          <t>ÖREBRO LÄN</t>
        </is>
      </c>
      <c r="E237" t="inlineStr">
        <is>
          <t>ÖREBRO</t>
        </is>
      </c>
      <c r="G237" t="n">
        <v>4.3</v>
      </c>
      <c r="H237" t="n">
        <v>0</v>
      </c>
      <c r="I237" t="n">
        <v>0</v>
      </c>
      <c r="J237" t="n">
        <v>0</v>
      </c>
      <c r="K237" t="n">
        <v>0</v>
      </c>
      <c r="L237" t="n">
        <v>0</v>
      </c>
      <c r="M237" t="n">
        <v>0</v>
      </c>
      <c r="N237" t="n">
        <v>0</v>
      </c>
      <c r="O237" t="n">
        <v>0</v>
      </c>
      <c r="P237" t="n">
        <v>0</v>
      </c>
      <c r="Q237" t="n">
        <v>0</v>
      </c>
      <c r="R237" s="2" t="inlineStr"/>
    </row>
    <row r="238" ht="15" customHeight="1">
      <c r="A238" t="inlineStr">
        <is>
          <t>A 16739-2023</t>
        </is>
      </c>
      <c r="B238" s="1" t="n">
        <v>45030.72627314815</v>
      </c>
      <c r="C238" s="1" t="n">
        <v>46059</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59937-2025</t>
        </is>
      </c>
      <c r="B239" s="1" t="n">
        <v>45993.41934027777</v>
      </c>
      <c r="C239" s="1" t="n">
        <v>46059</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22079-2023</t>
        </is>
      </c>
      <c r="B240" s="1" t="n">
        <v>45069</v>
      </c>
      <c r="C240" s="1" t="n">
        <v>46059</v>
      </c>
      <c r="D240" t="inlineStr">
        <is>
          <t>ÖREBRO LÄN</t>
        </is>
      </c>
      <c r="E240" t="inlineStr">
        <is>
          <t>ÖREBRO</t>
        </is>
      </c>
      <c r="G240" t="n">
        <v>1.3</v>
      </c>
      <c r="H240" t="n">
        <v>0</v>
      </c>
      <c r="I240" t="n">
        <v>0</v>
      </c>
      <c r="J240" t="n">
        <v>0</v>
      </c>
      <c r="K240" t="n">
        <v>0</v>
      </c>
      <c r="L240" t="n">
        <v>0</v>
      </c>
      <c r="M240" t="n">
        <v>0</v>
      </c>
      <c r="N240" t="n">
        <v>0</v>
      </c>
      <c r="O240" t="n">
        <v>0</v>
      </c>
      <c r="P240" t="n">
        <v>0</v>
      </c>
      <c r="Q240" t="n">
        <v>0</v>
      </c>
      <c r="R240" s="2" t="inlineStr"/>
    </row>
    <row r="241" ht="15" customHeight="1">
      <c r="A241" t="inlineStr">
        <is>
          <t>A 2771-2023</t>
        </is>
      </c>
      <c r="B241" s="1" t="n">
        <v>44944.64704861111</v>
      </c>
      <c r="C241" s="1" t="n">
        <v>46059</v>
      </c>
      <c r="D241" t="inlineStr">
        <is>
          <t>ÖREBRO LÄN</t>
        </is>
      </c>
      <c r="E241" t="inlineStr">
        <is>
          <t>ÖREBRO</t>
        </is>
      </c>
      <c r="G241" t="n">
        <v>15.4</v>
      </c>
      <c r="H241" t="n">
        <v>0</v>
      </c>
      <c r="I241" t="n">
        <v>0</v>
      </c>
      <c r="J241" t="n">
        <v>0</v>
      </c>
      <c r="K241" t="n">
        <v>0</v>
      </c>
      <c r="L241" t="n">
        <v>0</v>
      </c>
      <c r="M241" t="n">
        <v>0</v>
      </c>
      <c r="N241" t="n">
        <v>0</v>
      </c>
      <c r="O241" t="n">
        <v>0</v>
      </c>
      <c r="P241" t="n">
        <v>0</v>
      </c>
      <c r="Q241" t="n">
        <v>0</v>
      </c>
      <c r="R241" s="2" t="inlineStr"/>
    </row>
    <row r="242" ht="15" customHeight="1">
      <c r="A242" t="inlineStr">
        <is>
          <t>A 59938-2025</t>
        </is>
      </c>
      <c r="B242" s="1" t="n">
        <v>45993.42108796296</v>
      </c>
      <c r="C242" s="1" t="n">
        <v>46059</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59860-2025</t>
        </is>
      </c>
      <c r="B243" s="1" t="n">
        <v>45992.78351851852</v>
      </c>
      <c r="C243" s="1" t="n">
        <v>46059</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52447-2024</t>
        </is>
      </c>
      <c r="B244" s="1" t="n">
        <v>45609.49157407408</v>
      </c>
      <c r="C244" s="1" t="n">
        <v>46059</v>
      </c>
      <c r="D244" t="inlineStr">
        <is>
          <t>ÖREBRO LÄN</t>
        </is>
      </c>
      <c r="E244" t="inlineStr">
        <is>
          <t>ÖREBRO</t>
        </is>
      </c>
      <c r="G244" t="n">
        <v>1.4</v>
      </c>
      <c r="H244" t="n">
        <v>0</v>
      </c>
      <c r="I244" t="n">
        <v>0</v>
      </c>
      <c r="J244" t="n">
        <v>0</v>
      </c>
      <c r="K244" t="n">
        <v>0</v>
      </c>
      <c r="L244" t="n">
        <v>0</v>
      </c>
      <c r="M244" t="n">
        <v>0</v>
      </c>
      <c r="N244" t="n">
        <v>0</v>
      </c>
      <c r="O244" t="n">
        <v>0</v>
      </c>
      <c r="P244" t="n">
        <v>0</v>
      </c>
      <c r="Q244" t="n">
        <v>0</v>
      </c>
      <c r="R244" s="2" t="inlineStr"/>
    </row>
    <row r="245" ht="15" customHeight="1">
      <c r="A245" t="inlineStr">
        <is>
          <t>A 2162-2026</t>
        </is>
      </c>
      <c r="B245" s="1" t="n">
        <v>46036.43479166667</v>
      </c>
      <c r="C245" s="1" t="n">
        <v>46059</v>
      </c>
      <c r="D245" t="inlineStr">
        <is>
          <t>ÖREBRO LÄN</t>
        </is>
      </c>
      <c r="E245" t="inlineStr">
        <is>
          <t>ÖREBRO</t>
        </is>
      </c>
      <c r="G245" t="n">
        <v>0.5</v>
      </c>
      <c r="H245" t="n">
        <v>0</v>
      </c>
      <c r="I245" t="n">
        <v>0</v>
      </c>
      <c r="J245" t="n">
        <v>0</v>
      </c>
      <c r="K245" t="n">
        <v>0</v>
      </c>
      <c r="L245" t="n">
        <v>0</v>
      </c>
      <c r="M245" t="n">
        <v>0</v>
      </c>
      <c r="N245" t="n">
        <v>0</v>
      </c>
      <c r="O245" t="n">
        <v>0</v>
      </c>
      <c r="P245" t="n">
        <v>0</v>
      </c>
      <c r="Q245" t="n">
        <v>0</v>
      </c>
      <c r="R245" s="2" t="inlineStr"/>
    </row>
    <row r="246" ht="15" customHeight="1">
      <c r="A246" t="inlineStr">
        <is>
          <t>A 3031-2026</t>
        </is>
      </c>
      <c r="B246" s="1" t="n">
        <v>46038.71271990741</v>
      </c>
      <c r="C246" s="1" t="n">
        <v>46059</v>
      </c>
      <c r="D246" t="inlineStr">
        <is>
          <t>ÖREBRO LÄN</t>
        </is>
      </c>
      <c r="E246" t="inlineStr">
        <is>
          <t>ÖREBRO</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3033-2026</t>
        </is>
      </c>
      <c r="B247" s="1" t="n">
        <v>46038.71920138889</v>
      </c>
      <c r="C247" s="1" t="n">
        <v>46059</v>
      </c>
      <c r="D247" t="inlineStr">
        <is>
          <t>ÖREBRO LÄN</t>
        </is>
      </c>
      <c r="E247" t="inlineStr">
        <is>
          <t>ÖREBRO</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12017-2024</t>
        </is>
      </c>
      <c r="B248" s="1" t="n">
        <v>45377</v>
      </c>
      <c r="C248" s="1" t="n">
        <v>46059</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56077-2022</t>
        </is>
      </c>
      <c r="B249" s="1" t="n">
        <v>44889.60872685185</v>
      </c>
      <c r="C249" s="1" t="n">
        <v>46059</v>
      </c>
      <c r="D249" t="inlineStr">
        <is>
          <t>ÖREBRO LÄN</t>
        </is>
      </c>
      <c r="E249" t="inlineStr">
        <is>
          <t>ÖREBRO</t>
        </is>
      </c>
      <c r="F249" t="inlineStr">
        <is>
          <t>Övriga Aktiebolag</t>
        </is>
      </c>
      <c r="G249" t="n">
        <v>2.5</v>
      </c>
      <c r="H249" t="n">
        <v>0</v>
      </c>
      <c r="I249" t="n">
        <v>0</v>
      </c>
      <c r="J249" t="n">
        <v>0</v>
      </c>
      <c r="K249" t="n">
        <v>0</v>
      </c>
      <c r="L249" t="n">
        <v>0</v>
      </c>
      <c r="M249" t="n">
        <v>0</v>
      </c>
      <c r="N249" t="n">
        <v>0</v>
      </c>
      <c r="O249" t="n">
        <v>0</v>
      </c>
      <c r="P249" t="n">
        <v>0</v>
      </c>
      <c r="Q249" t="n">
        <v>0</v>
      </c>
      <c r="R249" s="2" t="inlineStr"/>
    </row>
    <row r="250" ht="15" customHeight="1">
      <c r="A250" t="inlineStr">
        <is>
          <t>A 60717-2025</t>
        </is>
      </c>
      <c r="B250" s="1" t="n">
        <v>45996.63673611111</v>
      </c>
      <c r="C250" s="1" t="n">
        <v>46059</v>
      </c>
      <c r="D250" t="inlineStr">
        <is>
          <t>ÖREBRO LÄN</t>
        </is>
      </c>
      <c r="E250" t="inlineStr">
        <is>
          <t>ÖREBRO</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60718-2025</t>
        </is>
      </c>
      <c r="B251" s="1" t="n">
        <v>45996.6384375</v>
      </c>
      <c r="C251" s="1" t="n">
        <v>46059</v>
      </c>
      <c r="D251" t="inlineStr">
        <is>
          <t>ÖREBRO LÄN</t>
        </is>
      </c>
      <c r="E251" t="inlineStr">
        <is>
          <t>ÖREBRO</t>
        </is>
      </c>
      <c r="F251" t="inlineStr">
        <is>
          <t>Sveaskog</t>
        </is>
      </c>
      <c r="G251" t="n">
        <v>5.3</v>
      </c>
      <c r="H251" t="n">
        <v>0</v>
      </c>
      <c r="I251" t="n">
        <v>0</v>
      </c>
      <c r="J251" t="n">
        <v>0</v>
      </c>
      <c r="K251" t="n">
        <v>0</v>
      </c>
      <c r="L251" t="n">
        <v>0</v>
      </c>
      <c r="M251" t="n">
        <v>0</v>
      </c>
      <c r="N251" t="n">
        <v>0</v>
      </c>
      <c r="O251" t="n">
        <v>0</v>
      </c>
      <c r="P251" t="n">
        <v>0</v>
      </c>
      <c r="Q251" t="n">
        <v>0</v>
      </c>
      <c r="R251" s="2" t="inlineStr"/>
    </row>
    <row r="252" ht="15" customHeight="1">
      <c r="A252" t="inlineStr">
        <is>
          <t>A 60721-2025</t>
        </is>
      </c>
      <c r="B252" s="1" t="n">
        <v>45996</v>
      </c>
      <c r="C252" s="1" t="n">
        <v>46059</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9609-2023</t>
        </is>
      </c>
      <c r="B253" s="1" t="n">
        <v>44983.93344907407</v>
      </c>
      <c r="C253" s="1" t="n">
        <v>46059</v>
      </c>
      <c r="D253" t="inlineStr">
        <is>
          <t>ÖREBRO LÄN</t>
        </is>
      </c>
      <c r="E253" t="inlineStr">
        <is>
          <t>ÖREBRO</t>
        </is>
      </c>
      <c r="G253" t="n">
        <v>2</v>
      </c>
      <c r="H253" t="n">
        <v>0</v>
      </c>
      <c r="I253" t="n">
        <v>0</v>
      </c>
      <c r="J253" t="n">
        <v>0</v>
      </c>
      <c r="K253" t="n">
        <v>0</v>
      </c>
      <c r="L253" t="n">
        <v>0</v>
      </c>
      <c r="M253" t="n">
        <v>0</v>
      </c>
      <c r="N253" t="n">
        <v>0</v>
      </c>
      <c r="O253" t="n">
        <v>0</v>
      </c>
      <c r="P253" t="n">
        <v>0</v>
      </c>
      <c r="Q253" t="n">
        <v>0</v>
      </c>
      <c r="R253" s="2" t="inlineStr"/>
    </row>
    <row r="254" ht="15" customHeight="1">
      <c r="A254" t="inlineStr">
        <is>
          <t>A 3042-2026</t>
        </is>
      </c>
      <c r="B254" s="1" t="n">
        <v>46038.73467592592</v>
      </c>
      <c r="C254" s="1" t="n">
        <v>46059</v>
      </c>
      <c r="D254" t="inlineStr">
        <is>
          <t>ÖREBRO LÄN</t>
        </is>
      </c>
      <c r="E254" t="inlineStr">
        <is>
          <t>ÖREBRO</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70707-2021</t>
        </is>
      </c>
      <c r="B255" s="1" t="n">
        <v>44537</v>
      </c>
      <c r="C255" s="1" t="n">
        <v>46059</v>
      </c>
      <c r="D255" t="inlineStr">
        <is>
          <t>ÖREBRO LÄN</t>
        </is>
      </c>
      <c r="E255" t="inlineStr">
        <is>
          <t>ÖREBRO</t>
        </is>
      </c>
      <c r="G255" t="n">
        <v>13.2</v>
      </c>
      <c r="H255" t="n">
        <v>0</v>
      </c>
      <c r="I255" t="n">
        <v>0</v>
      </c>
      <c r="J255" t="n">
        <v>0</v>
      </c>
      <c r="K255" t="n">
        <v>0</v>
      </c>
      <c r="L255" t="n">
        <v>0</v>
      </c>
      <c r="M255" t="n">
        <v>0</v>
      </c>
      <c r="N255" t="n">
        <v>0</v>
      </c>
      <c r="O255" t="n">
        <v>0</v>
      </c>
      <c r="P255" t="n">
        <v>0</v>
      </c>
      <c r="Q255" t="n">
        <v>0</v>
      </c>
      <c r="R255" s="2" t="inlineStr"/>
    </row>
    <row r="256" ht="15" customHeight="1">
      <c r="A256" t="inlineStr">
        <is>
          <t>A 57243-2022</t>
        </is>
      </c>
      <c r="B256" s="1" t="n">
        <v>44895.71835648148</v>
      </c>
      <c r="C256" s="1" t="n">
        <v>46059</v>
      </c>
      <c r="D256" t="inlineStr">
        <is>
          <t>ÖREBRO LÄN</t>
        </is>
      </c>
      <c r="E256" t="inlineStr">
        <is>
          <t>ÖREBRO</t>
        </is>
      </c>
      <c r="G256" t="n">
        <v>6</v>
      </c>
      <c r="H256" t="n">
        <v>0</v>
      </c>
      <c r="I256" t="n">
        <v>0</v>
      </c>
      <c r="J256" t="n">
        <v>0</v>
      </c>
      <c r="K256" t="n">
        <v>0</v>
      </c>
      <c r="L256" t="n">
        <v>0</v>
      </c>
      <c r="M256" t="n">
        <v>0</v>
      </c>
      <c r="N256" t="n">
        <v>0</v>
      </c>
      <c r="O256" t="n">
        <v>0</v>
      </c>
      <c r="P256" t="n">
        <v>0</v>
      </c>
      <c r="Q256" t="n">
        <v>0</v>
      </c>
      <c r="R256" s="2" t="inlineStr"/>
    </row>
    <row r="257" ht="15" customHeight="1">
      <c r="A257" t="inlineStr">
        <is>
          <t>A 60466-2025</t>
        </is>
      </c>
      <c r="B257" s="1" t="n">
        <v>45995.55927083334</v>
      </c>
      <c r="C257" s="1" t="n">
        <v>46059</v>
      </c>
      <c r="D257" t="inlineStr">
        <is>
          <t>ÖREBRO LÄN</t>
        </is>
      </c>
      <c r="E257" t="inlineStr">
        <is>
          <t>ÖREBRO</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60555-2025</t>
        </is>
      </c>
      <c r="B258" s="1" t="n">
        <v>45995.73722222223</v>
      </c>
      <c r="C258" s="1" t="n">
        <v>46059</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58621-2024</t>
        </is>
      </c>
      <c r="B259" s="1" t="n">
        <v>45635.56321759259</v>
      </c>
      <c r="C259" s="1" t="n">
        <v>46059</v>
      </c>
      <c r="D259" t="inlineStr">
        <is>
          <t>ÖREBRO LÄN</t>
        </is>
      </c>
      <c r="E259" t="inlineStr">
        <is>
          <t>ÖREBRO</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58216-2024</t>
        </is>
      </c>
      <c r="B260" s="1" t="n">
        <v>45632</v>
      </c>
      <c r="C260" s="1" t="n">
        <v>46059</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60551-2025</t>
        </is>
      </c>
      <c r="B261" s="1" t="n">
        <v>45995</v>
      </c>
      <c r="C261" s="1" t="n">
        <v>46059</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60553-2025</t>
        </is>
      </c>
      <c r="B262" s="1" t="n">
        <v>45995.72620370371</v>
      </c>
      <c r="C262" s="1" t="n">
        <v>46059</v>
      </c>
      <c r="D262" t="inlineStr">
        <is>
          <t>ÖREBRO LÄN</t>
        </is>
      </c>
      <c r="E262" t="inlineStr">
        <is>
          <t>ÖREBRO</t>
        </is>
      </c>
      <c r="G262" t="n">
        <v>3.3</v>
      </c>
      <c r="H262" t="n">
        <v>0</v>
      </c>
      <c r="I262" t="n">
        <v>0</v>
      </c>
      <c r="J262" t="n">
        <v>0</v>
      </c>
      <c r="K262" t="n">
        <v>0</v>
      </c>
      <c r="L262" t="n">
        <v>0</v>
      </c>
      <c r="M262" t="n">
        <v>0</v>
      </c>
      <c r="N262" t="n">
        <v>0</v>
      </c>
      <c r="O262" t="n">
        <v>0</v>
      </c>
      <c r="P262" t="n">
        <v>0</v>
      </c>
      <c r="Q262" t="n">
        <v>0</v>
      </c>
      <c r="R262" s="2" t="inlineStr"/>
    </row>
    <row r="263" ht="15" customHeight="1">
      <c r="A263" t="inlineStr">
        <is>
          <t>A 3841-2023</t>
        </is>
      </c>
      <c r="B263" s="1" t="n">
        <v>44951</v>
      </c>
      <c r="C263" s="1" t="n">
        <v>46059</v>
      </c>
      <c r="D263" t="inlineStr">
        <is>
          <t>ÖREBRO LÄN</t>
        </is>
      </c>
      <c r="E263" t="inlineStr">
        <is>
          <t>ÖREBRO</t>
        </is>
      </c>
      <c r="G263" t="n">
        <v>4.3</v>
      </c>
      <c r="H263" t="n">
        <v>0</v>
      </c>
      <c r="I263" t="n">
        <v>0</v>
      </c>
      <c r="J263" t="n">
        <v>0</v>
      </c>
      <c r="K263" t="n">
        <v>0</v>
      </c>
      <c r="L263" t="n">
        <v>0</v>
      </c>
      <c r="M263" t="n">
        <v>0</v>
      </c>
      <c r="N263" t="n">
        <v>0</v>
      </c>
      <c r="O263" t="n">
        <v>0</v>
      </c>
      <c r="P263" t="n">
        <v>0</v>
      </c>
      <c r="Q263" t="n">
        <v>0</v>
      </c>
      <c r="R263" s="2" t="inlineStr"/>
    </row>
    <row r="264" ht="15" customHeight="1">
      <c r="A264" t="inlineStr">
        <is>
          <t>A 60720-2025</t>
        </is>
      </c>
      <c r="B264" s="1" t="n">
        <v>45996.64050925926</v>
      </c>
      <c r="C264" s="1" t="n">
        <v>46059</v>
      </c>
      <c r="D264" t="inlineStr">
        <is>
          <t>ÖREBRO LÄN</t>
        </is>
      </c>
      <c r="E264" t="inlineStr">
        <is>
          <t>ÖREBRO</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2970-2026</t>
        </is>
      </c>
      <c r="B265" s="1" t="n">
        <v>46038.6202662037</v>
      </c>
      <c r="C265" s="1" t="n">
        <v>46059</v>
      </c>
      <c r="D265" t="inlineStr">
        <is>
          <t>ÖREBRO LÄN</t>
        </is>
      </c>
      <c r="E265" t="inlineStr">
        <is>
          <t>ÖREBRO</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37012-2024</t>
        </is>
      </c>
      <c r="B266" s="1" t="n">
        <v>45539</v>
      </c>
      <c r="C266" s="1" t="n">
        <v>46059</v>
      </c>
      <c r="D266" t="inlineStr">
        <is>
          <t>ÖREBRO LÄN</t>
        </is>
      </c>
      <c r="E266" t="inlineStr">
        <is>
          <t>ÖREBRO</t>
        </is>
      </c>
      <c r="G266" t="n">
        <v>4.1</v>
      </c>
      <c r="H266" t="n">
        <v>0</v>
      </c>
      <c r="I266" t="n">
        <v>0</v>
      </c>
      <c r="J266" t="n">
        <v>0</v>
      </c>
      <c r="K266" t="n">
        <v>0</v>
      </c>
      <c r="L266" t="n">
        <v>0</v>
      </c>
      <c r="M266" t="n">
        <v>0</v>
      </c>
      <c r="N266" t="n">
        <v>0</v>
      </c>
      <c r="O266" t="n">
        <v>0</v>
      </c>
      <c r="P266" t="n">
        <v>0</v>
      </c>
      <c r="Q266" t="n">
        <v>0</v>
      </c>
      <c r="R266" s="2" t="inlineStr"/>
    </row>
    <row r="267" ht="15" customHeight="1">
      <c r="A267" t="inlineStr">
        <is>
          <t>A 37020-2024</t>
        </is>
      </c>
      <c r="B267" s="1" t="n">
        <v>45539.38059027777</v>
      </c>
      <c r="C267" s="1" t="n">
        <v>46059</v>
      </c>
      <c r="D267" t="inlineStr">
        <is>
          <t>ÖREBRO LÄN</t>
        </is>
      </c>
      <c r="E267" t="inlineStr">
        <is>
          <t>ÖREBRO</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55353-2024</t>
        </is>
      </c>
      <c r="B268" s="1" t="n">
        <v>45621.79526620371</v>
      </c>
      <c r="C268" s="1" t="n">
        <v>46059</v>
      </c>
      <c r="D268" t="inlineStr">
        <is>
          <t>ÖREBRO LÄN</t>
        </is>
      </c>
      <c r="E268" t="inlineStr">
        <is>
          <t>ÖREBRO</t>
        </is>
      </c>
      <c r="G268" t="n">
        <v>0.5</v>
      </c>
      <c r="H268" t="n">
        <v>0</v>
      </c>
      <c r="I268" t="n">
        <v>0</v>
      </c>
      <c r="J268" t="n">
        <v>0</v>
      </c>
      <c r="K268" t="n">
        <v>0</v>
      </c>
      <c r="L268" t="n">
        <v>0</v>
      </c>
      <c r="M268" t="n">
        <v>0</v>
      </c>
      <c r="N268" t="n">
        <v>0</v>
      </c>
      <c r="O268" t="n">
        <v>0</v>
      </c>
      <c r="P268" t="n">
        <v>0</v>
      </c>
      <c r="Q268" t="n">
        <v>0</v>
      </c>
      <c r="R268" s="2" t="inlineStr"/>
    </row>
    <row r="269" ht="15" customHeight="1">
      <c r="A269" t="inlineStr">
        <is>
          <t>A 3111-2026</t>
        </is>
      </c>
      <c r="B269" s="1" t="n">
        <v>46041.36004629629</v>
      </c>
      <c r="C269" s="1" t="n">
        <v>46059</v>
      </c>
      <c r="D269" t="inlineStr">
        <is>
          <t>ÖREBRO LÄN</t>
        </is>
      </c>
      <c r="E269" t="inlineStr">
        <is>
          <t>ÖREBRO</t>
        </is>
      </c>
      <c r="F269" t="inlineStr">
        <is>
          <t>Övriga Aktiebolag</t>
        </is>
      </c>
      <c r="G269" t="n">
        <v>8.6</v>
      </c>
      <c r="H269" t="n">
        <v>0</v>
      </c>
      <c r="I269" t="n">
        <v>0</v>
      </c>
      <c r="J269" t="n">
        <v>0</v>
      </c>
      <c r="K269" t="n">
        <v>0</v>
      </c>
      <c r="L269" t="n">
        <v>0</v>
      </c>
      <c r="M269" t="n">
        <v>0</v>
      </c>
      <c r="N269" t="n">
        <v>0</v>
      </c>
      <c r="O269" t="n">
        <v>0</v>
      </c>
      <c r="P269" t="n">
        <v>0</v>
      </c>
      <c r="Q269" t="n">
        <v>0</v>
      </c>
      <c r="R269" s="2" t="inlineStr"/>
    </row>
    <row r="270" ht="15" customHeight="1">
      <c r="A270" t="inlineStr">
        <is>
          <t>A 3252-2026</t>
        </is>
      </c>
      <c r="B270" s="1" t="n">
        <v>46041.58626157408</v>
      </c>
      <c r="C270" s="1" t="n">
        <v>46059</v>
      </c>
      <c r="D270" t="inlineStr">
        <is>
          <t>ÖREBRO LÄN</t>
        </is>
      </c>
      <c r="E270" t="inlineStr">
        <is>
          <t>ÖREBRO</t>
        </is>
      </c>
      <c r="F270" t="inlineStr">
        <is>
          <t>Övriga Aktiebolag</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60840-2025</t>
        </is>
      </c>
      <c r="B271" s="1" t="n">
        <v>45999.48547453704</v>
      </c>
      <c r="C271" s="1" t="n">
        <v>46059</v>
      </c>
      <c r="D271" t="inlineStr">
        <is>
          <t>ÖREBRO LÄN</t>
        </is>
      </c>
      <c r="E271" t="inlineStr">
        <is>
          <t>ÖREBRO</t>
        </is>
      </c>
      <c r="G271" t="n">
        <v>3.5</v>
      </c>
      <c r="H271" t="n">
        <v>0</v>
      </c>
      <c r="I271" t="n">
        <v>0</v>
      </c>
      <c r="J271" t="n">
        <v>0</v>
      </c>
      <c r="K271" t="n">
        <v>0</v>
      </c>
      <c r="L271" t="n">
        <v>0</v>
      </c>
      <c r="M271" t="n">
        <v>0</v>
      </c>
      <c r="N271" t="n">
        <v>0</v>
      </c>
      <c r="O271" t="n">
        <v>0</v>
      </c>
      <c r="P271" t="n">
        <v>0</v>
      </c>
      <c r="Q271" t="n">
        <v>0</v>
      </c>
      <c r="R271" s="2" t="inlineStr"/>
    </row>
    <row r="272" ht="15" customHeight="1">
      <c r="A272" t="inlineStr">
        <is>
          <t>A 541-2025</t>
        </is>
      </c>
      <c r="B272" s="1" t="n">
        <v>45664.52034722222</v>
      </c>
      <c r="C272" s="1" t="n">
        <v>46059</v>
      </c>
      <c r="D272" t="inlineStr">
        <is>
          <t>ÖREBRO LÄN</t>
        </is>
      </c>
      <c r="E272" t="inlineStr">
        <is>
          <t>ÖREBRO</t>
        </is>
      </c>
      <c r="G272" t="n">
        <v>2.2</v>
      </c>
      <c r="H272" t="n">
        <v>0</v>
      </c>
      <c r="I272" t="n">
        <v>0</v>
      </c>
      <c r="J272" t="n">
        <v>0</v>
      </c>
      <c r="K272" t="n">
        <v>0</v>
      </c>
      <c r="L272" t="n">
        <v>0</v>
      </c>
      <c r="M272" t="n">
        <v>0</v>
      </c>
      <c r="N272" t="n">
        <v>0</v>
      </c>
      <c r="O272" t="n">
        <v>0</v>
      </c>
      <c r="P272" t="n">
        <v>0</v>
      </c>
      <c r="Q272" t="n">
        <v>0</v>
      </c>
      <c r="R272" s="2" t="inlineStr"/>
    </row>
    <row r="273" ht="15" customHeight="1">
      <c r="A273" t="inlineStr">
        <is>
          <t>A 19553-2023</t>
        </is>
      </c>
      <c r="B273" s="1" t="n">
        <v>45050</v>
      </c>
      <c r="C273" s="1" t="n">
        <v>46059</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37025-2024</t>
        </is>
      </c>
      <c r="B274" s="1" t="n">
        <v>45539.3840162037</v>
      </c>
      <c r="C274" s="1" t="n">
        <v>46059</v>
      </c>
      <c r="D274" t="inlineStr">
        <is>
          <t>ÖREBRO LÄN</t>
        </is>
      </c>
      <c r="E274" t="inlineStr">
        <is>
          <t>ÖREBRO</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37027-2024</t>
        </is>
      </c>
      <c r="B275" s="1" t="n">
        <v>45539.38487268519</v>
      </c>
      <c r="C275" s="1" t="n">
        <v>46059</v>
      </c>
      <c r="D275" t="inlineStr">
        <is>
          <t>ÖREBRO LÄN</t>
        </is>
      </c>
      <c r="E275" t="inlineStr">
        <is>
          <t>ÖREBRO</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3944-2026</t>
        </is>
      </c>
      <c r="B276" s="1" t="n">
        <v>46043.93358796297</v>
      </c>
      <c r="C276" s="1" t="n">
        <v>46059</v>
      </c>
      <c r="D276" t="inlineStr">
        <is>
          <t>ÖREBRO LÄN</t>
        </is>
      </c>
      <c r="E276" t="inlineStr">
        <is>
          <t>ÖREBRO</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61525-2025</t>
        </is>
      </c>
      <c r="B277" s="1" t="n">
        <v>46001</v>
      </c>
      <c r="C277" s="1" t="n">
        <v>46059</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23594-2023</t>
        </is>
      </c>
      <c r="B278" s="1" t="n">
        <v>45077</v>
      </c>
      <c r="C278" s="1" t="n">
        <v>46059</v>
      </c>
      <c r="D278" t="inlineStr">
        <is>
          <t>ÖREBRO LÄN</t>
        </is>
      </c>
      <c r="E278" t="inlineStr">
        <is>
          <t>ÖREBRO</t>
        </is>
      </c>
      <c r="G278" t="n">
        <v>9.9</v>
      </c>
      <c r="H278" t="n">
        <v>0</v>
      </c>
      <c r="I278" t="n">
        <v>0</v>
      </c>
      <c r="J278" t="n">
        <v>0</v>
      </c>
      <c r="K278" t="n">
        <v>0</v>
      </c>
      <c r="L278" t="n">
        <v>0</v>
      </c>
      <c r="M278" t="n">
        <v>0</v>
      </c>
      <c r="N278" t="n">
        <v>0</v>
      </c>
      <c r="O278" t="n">
        <v>0</v>
      </c>
      <c r="P278" t="n">
        <v>0</v>
      </c>
      <c r="Q278" t="n">
        <v>0</v>
      </c>
      <c r="R278" s="2" t="inlineStr"/>
    </row>
    <row r="279" ht="15" customHeight="1">
      <c r="A279" t="inlineStr">
        <is>
          <t>A 8022-2022</t>
        </is>
      </c>
      <c r="B279" s="1" t="n">
        <v>44609</v>
      </c>
      <c r="C279" s="1" t="n">
        <v>46059</v>
      </c>
      <c r="D279" t="inlineStr">
        <is>
          <t>ÖREBRO LÄN</t>
        </is>
      </c>
      <c r="E279" t="inlineStr">
        <is>
          <t>ÖREBRO</t>
        </is>
      </c>
      <c r="G279" t="n">
        <v>5.6</v>
      </c>
      <c r="H279" t="n">
        <v>0</v>
      </c>
      <c r="I279" t="n">
        <v>0</v>
      </c>
      <c r="J279" t="n">
        <v>0</v>
      </c>
      <c r="K279" t="n">
        <v>0</v>
      </c>
      <c r="L279" t="n">
        <v>0</v>
      </c>
      <c r="M279" t="n">
        <v>0</v>
      </c>
      <c r="N279" t="n">
        <v>0</v>
      </c>
      <c r="O279" t="n">
        <v>0</v>
      </c>
      <c r="P279" t="n">
        <v>0</v>
      </c>
      <c r="Q279" t="n">
        <v>0</v>
      </c>
      <c r="R279" s="2" t="inlineStr"/>
    </row>
    <row r="280" ht="15" customHeight="1">
      <c r="A280" t="inlineStr">
        <is>
          <t>A 47193-2023</t>
        </is>
      </c>
      <c r="B280" s="1" t="n">
        <v>45202.3074537037</v>
      </c>
      <c r="C280" s="1" t="n">
        <v>46059</v>
      </c>
      <c r="D280" t="inlineStr">
        <is>
          <t>ÖREBRO LÄN</t>
        </is>
      </c>
      <c r="E280" t="inlineStr">
        <is>
          <t>ÖREBRO</t>
        </is>
      </c>
      <c r="G280" t="n">
        <v>2.4</v>
      </c>
      <c r="H280" t="n">
        <v>0</v>
      </c>
      <c r="I280" t="n">
        <v>0</v>
      </c>
      <c r="J280" t="n">
        <v>0</v>
      </c>
      <c r="K280" t="n">
        <v>0</v>
      </c>
      <c r="L280" t="n">
        <v>0</v>
      </c>
      <c r="M280" t="n">
        <v>0</v>
      </c>
      <c r="N280" t="n">
        <v>0</v>
      </c>
      <c r="O280" t="n">
        <v>0</v>
      </c>
      <c r="P280" t="n">
        <v>0</v>
      </c>
      <c r="Q280" t="n">
        <v>0</v>
      </c>
      <c r="R280" s="2" t="inlineStr"/>
    </row>
    <row r="281" ht="15" customHeight="1">
      <c r="A281" t="inlineStr">
        <is>
          <t>A 58598-2022</t>
        </is>
      </c>
      <c r="B281" s="1" t="n">
        <v>44902</v>
      </c>
      <c r="C281" s="1" t="n">
        <v>46059</v>
      </c>
      <c r="D281" t="inlineStr">
        <is>
          <t>ÖREBRO LÄN</t>
        </is>
      </c>
      <c r="E281" t="inlineStr">
        <is>
          <t>ÖREBRO</t>
        </is>
      </c>
      <c r="G281" t="n">
        <v>0.4</v>
      </c>
      <c r="H281" t="n">
        <v>0</v>
      </c>
      <c r="I281" t="n">
        <v>0</v>
      </c>
      <c r="J281" t="n">
        <v>0</v>
      </c>
      <c r="K281" t="n">
        <v>0</v>
      </c>
      <c r="L281" t="n">
        <v>0</v>
      </c>
      <c r="M281" t="n">
        <v>0</v>
      </c>
      <c r="N281" t="n">
        <v>0</v>
      </c>
      <c r="O281" t="n">
        <v>0</v>
      </c>
      <c r="P281" t="n">
        <v>0</v>
      </c>
      <c r="Q281" t="n">
        <v>0</v>
      </c>
      <c r="R281" s="2" t="inlineStr"/>
    </row>
    <row r="282" ht="15" customHeight="1">
      <c r="A282" t="inlineStr">
        <is>
          <t>A 11663-2024</t>
        </is>
      </c>
      <c r="B282" s="1" t="n">
        <v>45373</v>
      </c>
      <c r="C282" s="1" t="n">
        <v>46059</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71206-2021</t>
        </is>
      </c>
      <c r="B283" s="1" t="n">
        <v>44539</v>
      </c>
      <c r="C283" s="1" t="n">
        <v>46059</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48454-2025</t>
        </is>
      </c>
      <c r="B284" s="1" t="n">
        <v>45935.80164351852</v>
      </c>
      <c r="C284" s="1" t="n">
        <v>46059</v>
      </c>
      <c r="D284" t="inlineStr">
        <is>
          <t>ÖREBRO LÄN</t>
        </is>
      </c>
      <c r="E284" t="inlineStr">
        <is>
          <t>ÖREBRO</t>
        </is>
      </c>
      <c r="F284" t="inlineStr">
        <is>
          <t>Övriga Aktiebolag</t>
        </is>
      </c>
      <c r="G284" t="n">
        <v>18.1</v>
      </c>
      <c r="H284" t="n">
        <v>0</v>
      </c>
      <c r="I284" t="n">
        <v>0</v>
      </c>
      <c r="J284" t="n">
        <v>0</v>
      </c>
      <c r="K284" t="n">
        <v>0</v>
      </c>
      <c r="L284" t="n">
        <v>0</v>
      </c>
      <c r="M284" t="n">
        <v>0</v>
      </c>
      <c r="N284" t="n">
        <v>0</v>
      </c>
      <c r="O284" t="n">
        <v>0</v>
      </c>
      <c r="P284" t="n">
        <v>0</v>
      </c>
      <c r="Q284" t="n">
        <v>0</v>
      </c>
      <c r="R284" s="2" t="inlineStr"/>
    </row>
    <row r="285" ht="15" customHeight="1">
      <c r="A285" t="inlineStr">
        <is>
          <t>A 16739-2022</t>
        </is>
      </c>
      <c r="B285" s="1" t="n">
        <v>44673</v>
      </c>
      <c r="C285" s="1" t="n">
        <v>46059</v>
      </c>
      <c r="D285" t="inlineStr">
        <is>
          <t>ÖREBRO LÄN</t>
        </is>
      </c>
      <c r="E285" t="inlineStr">
        <is>
          <t>ÖREBRO</t>
        </is>
      </c>
      <c r="G285" t="n">
        <v>4.7</v>
      </c>
      <c r="H285" t="n">
        <v>0</v>
      </c>
      <c r="I285" t="n">
        <v>0</v>
      </c>
      <c r="J285" t="n">
        <v>0</v>
      </c>
      <c r="K285" t="n">
        <v>0</v>
      </c>
      <c r="L285" t="n">
        <v>0</v>
      </c>
      <c r="M285" t="n">
        <v>0</v>
      </c>
      <c r="N285" t="n">
        <v>0</v>
      </c>
      <c r="O285" t="n">
        <v>0</v>
      </c>
      <c r="P285" t="n">
        <v>0</v>
      </c>
      <c r="Q285" t="n">
        <v>0</v>
      </c>
      <c r="R285" s="2" t="inlineStr"/>
    </row>
    <row r="286" ht="15" customHeight="1">
      <c r="A286" t="inlineStr">
        <is>
          <t>A 38489-2023</t>
        </is>
      </c>
      <c r="B286" s="1" t="n">
        <v>45162</v>
      </c>
      <c r="C286" s="1" t="n">
        <v>46059</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70719-2021</t>
        </is>
      </c>
      <c r="B287" s="1" t="n">
        <v>44537</v>
      </c>
      <c r="C287" s="1" t="n">
        <v>46059</v>
      </c>
      <c r="D287" t="inlineStr">
        <is>
          <t>ÖREBRO LÄN</t>
        </is>
      </c>
      <c r="E287" t="inlineStr">
        <is>
          <t>ÖREBRO</t>
        </is>
      </c>
      <c r="G287" t="n">
        <v>4.3</v>
      </c>
      <c r="H287" t="n">
        <v>0</v>
      </c>
      <c r="I287" t="n">
        <v>0</v>
      </c>
      <c r="J287" t="n">
        <v>0</v>
      </c>
      <c r="K287" t="n">
        <v>0</v>
      </c>
      <c r="L287" t="n">
        <v>0</v>
      </c>
      <c r="M287" t="n">
        <v>0</v>
      </c>
      <c r="N287" t="n">
        <v>0</v>
      </c>
      <c r="O287" t="n">
        <v>0</v>
      </c>
      <c r="P287" t="n">
        <v>0</v>
      </c>
      <c r="Q287" t="n">
        <v>0</v>
      </c>
      <c r="R287" s="2" t="inlineStr"/>
    </row>
    <row r="288" ht="15" customHeight="1">
      <c r="A288" t="inlineStr">
        <is>
          <t>A 9379-2024</t>
        </is>
      </c>
      <c r="B288" s="1" t="n">
        <v>45359.37298611111</v>
      </c>
      <c r="C288" s="1" t="n">
        <v>46059</v>
      </c>
      <c r="D288" t="inlineStr">
        <is>
          <t>ÖREBRO LÄN</t>
        </is>
      </c>
      <c r="E288" t="inlineStr">
        <is>
          <t>ÖREBRO</t>
        </is>
      </c>
      <c r="G288" t="n">
        <v>2.4</v>
      </c>
      <c r="H288" t="n">
        <v>0</v>
      </c>
      <c r="I288" t="n">
        <v>0</v>
      </c>
      <c r="J288" t="n">
        <v>0</v>
      </c>
      <c r="K288" t="n">
        <v>0</v>
      </c>
      <c r="L288" t="n">
        <v>0</v>
      </c>
      <c r="M288" t="n">
        <v>0</v>
      </c>
      <c r="N288" t="n">
        <v>0</v>
      </c>
      <c r="O288" t="n">
        <v>0</v>
      </c>
      <c r="P288" t="n">
        <v>0</v>
      </c>
      <c r="Q288" t="n">
        <v>0</v>
      </c>
      <c r="R288" s="2" t="inlineStr"/>
    </row>
    <row r="289" ht="15" customHeight="1">
      <c r="A289" t="inlineStr">
        <is>
          <t>A 38573-2023</t>
        </is>
      </c>
      <c r="B289" s="1" t="n">
        <v>45162.61837962963</v>
      </c>
      <c r="C289" s="1" t="n">
        <v>46059</v>
      </c>
      <c r="D289" t="inlineStr">
        <is>
          <t>ÖREBRO LÄN</t>
        </is>
      </c>
      <c r="E289" t="inlineStr">
        <is>
          <t>ÖREBRO</t>
        </is>
      </c>
      <c r="G289" t="n">
        <v>2.2</v>
      </c>
      <c r="H289" t="n">
        <v>0</v>
      </c>
      <c r="I289" t="n">
        <v>0</v>
      </c>
      <c r="J289" t="n">
        <v>0</v>
      </c>
      <c r="K289" t="n">
        <v>0</v>
      </c>
      <c r="L289" t="n">
        <v>0</v>
      </c>
      <c r="M289" t="n">
        <v>0</v>
      </c>
      <c r="N289" t="n">
        <v>0</v>
      </c>
      <c r="O289" t="n">
        <v>0</v>
      </c>
      <c r="P289" t="n">
        <v>0</v>
      </c>
      <c r="Q289" t="n">
        <v>0</v>
      </c>
      <c r="R289" s="2" t="inlineStr"/>
    </row>
    <row r="290" ht="15" customHeight="1">
      <c r="A290" t="inlineStr">
        <is>
          <t>A 5398-2022</t>
        </is>
      </c>
      <c r="B290" s="1" t="n">
        <v>44595.3353587963</v>
      </c>
      <c r="C290" s="1" t="n">
        <v>46059</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4757-2024</t>
        </is>
      </c>
      <c r="B291" s="1" t="n">
        <v>45328</v>
      </c>
      <c r="C291" s="1" t="n">
        <v>46059</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61930-2025</t>
        </is>
      </c>
      <c r="B292" s="1" t="n">
        <v>46003</v>
      </c>
      <c r="C292" s="1" t="n">
        <v>46059</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41995-2024</t>
        </is>
      </c>
      <c r="B293" s="1" t="n">
        <v>45561.6475462963</v>
      </c>
      <c r="C293" s="1" t="n">
        <v>46059</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16737-2023</t>
        </is>
      </c>
      <c r="B294" s="1" t="n">
        <v>45030.72472222222</v>
      </c>
      <c r="C294" s="1" t="n">
        <v>46059</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59515-2025</t>
        </is>
      </c>
      <c r="B295" s="1" t="n">
        <v>45989.65238425926</v>
      </c>
      <c r="C295" s="1" t="n">
        <v>46059</v>
      </c>
      <c r="D295" t="inlineStr">
        <is>
          <t>ÖREBRO LÄN</t>
        </is>
      </c>
      <c r="E295" t="inlineStr">
        <is>
          <t>ÖREBRO</t>
        </is>
      </c>
      <c r="F295" t="inlineStr">
        <is>
          <t>Sveaskog</t>
        </is>
      </c>
      <c r="G295" t="n">
        <v>0.5</v>
      </c>
      <c r="H295" t="n">
        <v>0</v>
      </c>
      <c r="I295" t="n">
        <v>0</v>
      </c>
      <c r="J295" t="n">
        <v>0</v>
      </c>
      <c r="K295" t="n">
        <v>0</v>
      </c>
      <c r="L295" t="n">
        <v>0</v>
      </c>
      <c r="M295" t="n">
        <v>0</v>
      </c>
      <c r="N295" t="n">
        <v>0</v>
      </c>
      <c r="O295" t="n">
        <v>0</v>
      </c>
      <c r="P295" t="n">
        <v>0</v>
      </c>
      <c r="Q295" t="n">
        <v>0</v>
      </c>
      <c r="R295" s="2" t="inlineStr"/>
    </row>
    <row r="296" ht="15" customHeight="1">
      <c r="A296" t="inlineStr">
        <is>
          <t>A 15866-2022</t>
        </is>
      </c>
      <c r="B296" s="1" t="n">
        <v>44664</v>
      </c>
      <c r="C296" s="1" t="n">
        <v>46059</v>
      </c>
      <c r="D296" t="inlineStr">
        <is>
          <t>ÖREBRO LÄN</t>
        </is>
      </c>
      <c r="E296" t="inlineStr">
        <is>
          <t>ÖREBRO</t>
        </is>
      </c>
      <c r="G296" t="n">
        <v>4</v>
      </c>
      <c r="H296" t="n">
        <v>0</v>
      </c>
      <c r="I296" t="n">
        <v>0</v>
      </c>
      <c r="J296" t="n">
        <v>0</v>
      </c>
      <c r="K296" t="n">
        <v>0</v>
      </c>
      <c r="L296" t="n">
        <v>0</v>
      </c>
      <c r="M296" t="n">
        <v>0</v>
      </c>
      <c r="N296" t="n">
        <v>0</v>
      </c>
      <c r="O296" t="n">
        <v>0</v>
      </c>
      <c r="P296" t="n">
        <v>0</v>
      </c>
      <c r="Q296" t="n">
        <v>0</v>
      </c>
      <c r="R296" s="2" t="inlineStr"/>
    </row>
    <row r="297" ht="15" customHeight="1">
      <c r="A297" t="inlineStr">
        <is>
          <t>A 2318-2023</t>
        </is>
      </c>
      <c r="B297" s="1" t="n">
        <v>44942</v>
      </c>
      <c r="C297" s="1" t="n">
        <v>46059</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50311-2025</t>
        </is>
      </c>
      <c r="B298" s="1" t="n">
        <v>45944</v>
      </c>
      <c r="C298" s="1" t="n">
        <v>46059</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62683-2025</t>
        </is>
      </c>
      <c r="B299" s="1" t="n">
        <v>46008.45796296297</v>
      </c>
      <c r="C299" s="1" t="n">
        <v>46059</v>
      </c>
      <c r="D299" t="inlineStr">
        <is>
          <t>ÖREBRO LÄN</t>
        </is>
      </c>
      <c r="E299" t="inlineStr">
        <is>
          <t>ÖREBRO</t>
        </is>
      </c>
      <c r="G299" t="n">
        <v>5.1</v>
      </c>
      <c r="H299" t="n">
        <v>0</v>
      </c>
      <c r="I299" t="n">
        <v>0</v>
      </c>
      <c r="J299" t="n">
        <v>0</v>
      </c>
      <c r="K299" t="n">
        <v>0</v>
      </c>
      <c r="L299" t="n">
        <v>0</v>
      </c>
      <c r="M299" t="n">
        <v>0</v>
      </c>
      <c r="N299" t="n">
        <v>0</v>
      </c>
      <c r="O299" t="n">
        <v>0</v>
      </c>
      <c r="P299" t="n">
        <v>0</v>
      </c>
      <c r="Q299" t="n">
        <v>0</v>
      </c>
      <c r="R299" s="2" t="inlineStr"/>
    </row>
    <row r="300" ht="15" customHeight="1">
      <c r="A300" t="inlineStr">
        <is>
          <t>A 5764-2022</t>
        </is>
      </c>
      <c r="B300" s="1" t="n">
        <v>44596</v>
      </c>
      <c r="C300" s="1" t="n">
        <v>46059</v>
      </c>
      <c r="D300" t="inlineStr">
        <is>
          <t>ÖREBRO LÄN</t>
        </is>
      </c>
      <c r="E300" t="inlineStr">
        <is>
          <t>ÖREBRO</t>
        </is>
      </c>
      <c r="G300" t="n">
        <v>3.5</v>
      </c>
      <c r="H300" t="n">
        <v>0</v>
      </c>
      <c r="I300" t="n">
        <v>0</v>
      </c>
      <c r="J300" t="n">
        <v>0</v>
      </c>
      <c r="K300" t="n">
        <v>0</v>
      </c>
      <c r="L300" t="n">
        <v>0</v>
      </c>
      <c r="M300" t="n">
        <v>0</v>
      </c>
      <c r="N300" t="n">
        <v>0</v>
      </c>
      <c r="O300" t="n">
        <v>0</v>
      </c>
      <c r="P300" t="n">
        <v>0</v>
      </c>
      <c r="Q300" t="n">
        <v>0</v>
      </c>
      <c r="R300" s="2" t="inlineStr"/>
    </row>
    <row r="301" ht="15" customHeight="1">
      <c r="A301" t="inlineStr">
        <is>
          <t>A 45027-2024</t>
        </is>
      </c>
      <c r="B301" s="1" t="n">
        <v>45575</v>
      </c>
      <c r="C301" s="1" t="n">
        <v>46059</v>
      </c>
      <c r="D301" t="inlineStr">
        <is>
          <t>ÖREBRO LÄN</t>
        </is>
      </c>
      <c r="E301" t="inlineStr">
        <is>
          <t>ÖREBRO</t>
        </is>
      </c>
      <c r="G301" t="n">
        <v>6.3</v>
      </c>
      <c r="H301" t="n">
        <v>0</v>
      </c>
      <c r="I301" t="n">
        <v>0</v>
      </c>
      <c r="J301" t="n">
        <v>0</v>
      </c>
      <c r="K301" t="n">
        <v>0</v>
      </c>
      <c r="L301" t="n">
        <v>0</v>
      </c>
      <c r="M301" t="n">
        <v>0</v>
      </c>
      <c r="N301" t="n">
        <v>0</v>
      </c>
      <c r="O301" t="n">
        <v>0</v>
      </c>
      <c r="P301" t="n">
        <v>0</v>
      </c>
      <c r="Q301" t="n">
        <v>0</v>
      </c>
      <c r="R301" s="2" t="inlineStr"/>
    </row>
    <row r="302" ht="15" customHeight="1">
      <c r="A302" t="inlineStr">
        <is>
          <t>A 40051-2024</t>
        </is>
      </c>
      <c r="B302" s="1" t="n">
        <v>45553</v>
      </c>
      <c r="C302" s="1" t="n">
        <v>46059</v>
      </c>
      <c r="D302" t="inlineStr">
        <is>
          <t>ÖREBRO LÄN</t>
        </is>
      </c>
      <c r="E302" t="inlineStr">
        <is>
          <t>ÖREBRO</t>
        </is>
      </c>
      <c r="G302" t="n">
        <v>3.5</v>
      </c>
      <c r="H302" t="n">
        <v>0</v>
      </c>
      <c r="I302" t="n">
        <v>0</v>
      </c>
      <c r="J302" t="n">
        <v>0</v>
      </c>
      <c r="K302" t="n">
        <v>0</v>
      </c>
      <c r="L302" t="n">
        <v>0</v>
      </c>
      <c r="M302" t="n">
        <v>0</v>
      </c>
      <c r="N302" t="n">
        <v>0</v>
      </c>
      <c r="O302" t="n">
        <v>0</v>
      </c>
      <c r="P302" t="n">
        <v>0</v>
      </c>
      <c r="Q302" t="n">
        <v>0</v>
      </c>
      <c r="R302" s="2" t="inlineStr"/>
    </row>
    <row r="303" ht="15" customHeight="1">
      <c r="A303" t="inlineStr">
        <is>
          <t>A 41543-2024</t>
        </is>
      </c>
      <c r="B303" s="1" t="n">
        <v>45560</v>
      </c>
      <c r="C303" s="1" t="n">
        <v>46059</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10799-2024</t>
        </is>
      </c>
      <c r="B304" s="1" t="n">
        <v>45369</v>
      </c>
      <c r="C304" s="1" t="n">
        <v>46059</v>
      </c>
      <c r="D304" t="inlineStr">
        <is>
          <t>ÖREBRO LÄN</t>
        </is>
      </c>
      <c r="E304" t="inlineStr">
        <is>
          <t>ÖREBRO</t>
        </is>
      </c>
      <c r="G304" t="n">
        <v>5.8</v>
      </c>
      <c r="H304" t="n">
        <v>0</v>
      </c>
      <c r="I304" t="n">
        <v>0</v>
      </c>
      <c r="J304" t="n">
        <v>0</v>
      </c>
      <c r="K304" t="n">
        <v>0</v>
      </c>
      <c r="L304" t="n">
        <v>0</v>
      </c>
      <c r="M304" t="n">
        <v>0</v>
      </c>
      <c r="N304" t="n">
        <v>0</v>
      </c>
      <c r="O304" t="n">
        <v>0</v>
      </c>
      <c r="P304" t="n">
        <v>0</v>
      </c>
      <c r="Q304" t="n">
        <v>0</v>
      </c>
      <c r="R304" s="2" t="inlineStr"/>
    </row>
    <row r="305" ht="15" customHeight="1">
      <c r="A305" t="inlineStr">
        <is>
          <t>A 48140-2024</t>
        </is>
      </c>
      <c r="B305" s="1" t="n">
        <v>45589.66474537037</v>
      </c>
      <c r="C305" s="1" t="n">
        <v>46059</v>
      </c>
      <c r="D305" t="inlineStr">
        <is>
          <t>ÖREBRO LÄN</t>
        </is>
      </c>
      <c r="E305" t="inlineStr">
        <is>
          <t>ÖREBRO</t>
        </is>
      </c>
      <c r="G305" t="n">
        <v>2.4</v>
      </c>
      <c r="H305" t="n">
        <v>0</v>
      </c>
      <c r="I305" t="n">
        <v>0</v>
      </c>
      <c r="J305" t="n">
        <v>0</v>
      </c>
      <c r="K305" t="n">
        <v>0</v>
      </c>
      <c r="L305" t="n">
        <v>0</v>
      </c>
      <c r="M305" t="n">
        <v>0</v>
      </c>
      <c r="N305" t="n">
        <v>0</v>
      </c>
      <c r="O305" t="n">
        <v>0</v>
      </c>
      <c r="P305" t="n">
        <v>0</v>
      </c>
      <c r="Q305" t="n">
        <v>0</v>
      </c>
      <c r="R305" s="2" t="inlineStr"/>
    </row>
    <row r="306" ht="15" customHeight="1">
      <c r="A306" t="inlineStr">
        <is>
          <t>A 16694-2025</t>
        </is>
      </c>
      <c r="B306" s="1" t="n">
        <v>45754.46480324074</v>
      </c>
      <c r="C306" s="1" t="n">
        <v>46059</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51249-2025</t>
        </is>
      </c>
      <c r="B307" s="1" t="n">
        <v>45948.45704861111</v>
      </c>
      <c r="C307" s="1" t="n">
        <v>46059</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49465-2024</t>
        </is>
      </c>
      <c r="B308" s="1" t="n">
        <v>45596</v>
      </c>
      <c r="C308" s="1" t="n">
        <v>46059</v>
      </c>
      <c r="D308" t="inlineStr">
        <is>
          <t>ÖREBRO LÄN</t>
        </is>
      </c>
      <c r="E308" t="inlineStr">
        <is>
          <t>ÖREBRO</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2658-2023</t>
        </is>
      </c>
      <c r="B309" s="1" t="n">
        <v>44944</v>
      </c>
      <c r="C309" s="1" t="n">
        <v>46059</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11565-2023</t>
        </is>
      </c>
      <c r="B310" s="1" t="n">
        <v>44994</v>
      </c>
      <c r="C310" s="1" t="n">
        <v>46059</v>
      </c>
      <c r="D310" t="inlineStr">
        <is>
          <t>ÖREBRO LÄN</t>
        </is>
      </c>
      <c r="E310" t="inlineStr">
        <is>
          <t>ÖREBRO</t>
        </is>
      </c>
      <c r="G310" t="n">
        <v>4.7</v>
      </c>
      <c r="H310" t="n">
        <v>0</v>
      </c>
      <c r="I310" t="n">
        <v>0</v>
      </c>
      <c r="J310" t="n">
        <v>0</v>
      </c>
      <c r="K310" t="n">
        <v>0</v>
      </c>
      <c r="L310" t="n">
        <v>0</v>
      </c>
      <c r="M310" t="n">
        <v>0</v>
      </c>
      <c r="N310" t="n">
        <v>0</v>
      </c>
      <c r="O310" t="n">
        <v>0</v>
      </c>
      <c r="P310" t="n">
        <v>0</v>
      </c>
      <c r="Q310" t="n">
        <v>0</v>
      </c>
      <c r="R310" s="2" t="inlineStr"/>
    </row>
    <row r="311" ht="15" customHeight="1">
      <c r="A311" t="inlineStr">
        <is>
          <t>A 51248-2025</t>
        </is>
      </c>
      <c r="B311" s="1" t="n">
        <v>45948.450625</v>
      </c>
      <c r="C311" s="1" t="n">
        <v>46059</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16736-2023</t>
        </is>
      </c>
      <c r="B312" s="1" t="n">
        <v>45030.72328703704</v>
      </c>
      <c r="C312" s="1" t="n">
        <v>46059</v>
      </c>
      <c r="D312" t="inlineStr">
        <is>
          <t>ÖREBRO LÄN</t>
        </is>
      </c>
      <c r="E312" t="inlineStr">
        <is>
          <t>ÖREBRO</t>
        </is>
      </c>
      <c r="G312" t="n">
        <v>4</v>
      </c>
      <c r="H312" t="n">
        <v>0</v>
      </c>
      <c r="I312" t="n">
        <v>0</v>
      </c>
      <c r="J312" t="n">
        <v>0</v>
      </c>
      <c r="K312" t="n">
        <v>0</v>
      </c>
      <c r="L312" t="n">
        <v>0</v>
      </c>
      <c r="M312" t="n">
        <v>0</v>
      </c>
      <c r="N312" t="n">
        <v>0</v>
      </c>
      <c r="O312" t="n">
        <v>0</v>
      </c>
      <c r="P312" t="n">
        <v>0</v>
      </c>
      <c r="Q312" t="n">
        <v>0</v>
      </c>
      <c r="R312" s="2" t="inlineStr"/>
    </row>
    <row r="313" ht="15" customHeight="1">
      <c r="A313" t="inlineStr">
        <is>
          <t>A 2630-2023</t>
        </is>
      </c>
      <c r="B313" s="1" t="n">
        <v>44944.39105324074</v>
      </c>
      <c r="C313" s="1" t="n">
        <v>46059</v>
      </c>
      <c r="D313" t="inlineStr">
        <is>
          <t>ÖREBRO LÄN</t>
        </is>
      </c>
      <c r="E313" t="inlineStr">
        <is>
          <t>ÖREBRO</t>
        </is>
      </c>
      <c r="G313" t="n">
        <v>6.1</v>
      </c>
      <c r="H313" t="n">
        <v>0</v>
      </c>
      <c r="I313" t="n">
        <v>0</v>
      </c>
      <c r="J313" t="n">
        <v>0</v>
      </c>
      <c r="K313" t="n">
        <v>0</v>
      </c>
      <c r="L313" t="n">
        <v>0</v>
      </c>
      <c r="M313" t="n">
        <v>0</v>
      </c>
      <c r="N313" t="n">
        <v>0</v>
      </c>
      <c r="O313" t="n">
        <v>0</v>
      </c>
      <c r="P313" t="n">
        <v>0</v>
      </c>
      <c r="Q313" t="n">
        <v>0</v>
      </c>
      <c r="R313" s="2" t="inlineStr"/>
    </row>
    <row r="314" ht="15" customHeight="1">
      <c r="A314" t="inlineStr">
        <is>
          <t>A 55003-2025</t>
        </is>
      </c>
      <c r="B314" s="1" t="n">
        <v>45967</v>
      </c>
      <c r="C314" s="1" t="n">
        <v>46059</v>
      </c>
      <c r="D314" t="inlineStr">
        <is>
          <t>ÖREBRO LÄN</t>
        </is>
      </c>
      <c r="E314" t="inlineStr">
        <is>
          <t>ÖREBRO</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51925-2025</t>
        </is>
      </c>
      <c r="B315" s="1" t="n">
        <v>45952.49476851852</v>
      </c>
      <c r="C315" s="1" t="n">
        <v>46059</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59121-2024</t>
        </is>
      </c>
      <c r="B316" s="1" t="n">
        <v>45637.37755787037</v>
      </c>
      <c r="C316" s="1" t="n">
        <v>46059</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49215-2023</t>
        </is>
      </c>
      <c r="B317" s="1" t="n">
        <v>45210.61050925926</v>
      </c>
      <c r="C317" s="1" t="n">
        <v>46059</v>
      </c>
      <c r="D317" t="inlineStr">
        <is>
          <t>ÖREBRO LÄN</t>
        </is>
      </c>
      <c r="E317" t="inlineStr">
        <is>
          <t>ÖREBRO</t>
        </is>
      </c>
      <c r="F317" t="inlineStr">
        <is>
          <t>Övriga Aktiebolag</t>
        </is>
      </c>
      <c r="G317" t="n">
        <v>4.2</v>
      </c>
      <c r="H317" t="n">
        <v>0</v>
      </c>
      <c r="I317" t="n">
        <v>0</v>
      </c>
      <c r="J317" t="n">
        <v>0</v>
      </c>
      <c r="K317" t="n">
        <v>0</v>
      </c>
      <c r="L317" t="n">
        <v>0</v>
      </c>
      <c r="M317" t="n">
        <v>0</v>
      </c>
      <c r="N317" t="n">
        <v>0</v>
      </c>
      <c r="O317" t="n">
        <v>0</v>
      </c>
      <c r="P317" t="n">
        <v>0</v>
      </c>
      <c r="Q317" t="n">
        <v>0</v>
      </c>
      <c r="R317" s="2" t="inlineStr"/>
    </row>
    <row r="318" ht="15" customHeight="1">
      <c r="A318" t="inlineStr">
        <is>
          <t>A 51923-2025</t>
        </is>
      </c>
      <c r="B318" s="1" t="n">
        <v>45952.49300925926</v>
      </c>
      <c r="C318" s="1" t="n">
        <v>46059</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51937-2025</t>
        </is>
      </c>
      <c r="B319" s="1" t="n">
        <v>45952.51270833334</v>
      </c>
      <c r="C319" s="1" t="n">
        <v>46059</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17983-2025</t>
        </is>
      </c>
      <c r="B320" s="1" t="n">
        <v>45761.38829861111</v>
      </c>
      <c r="C320" s="1" t="n">
        <v>46059</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52135-2025</t>
        </is>
      </c>
      <c r="B321" s="1" t="n">
        <v>45952.84231481481</v>
      </c>
      <c r="C321" s="1" t="n">
        <v>46059</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16258-2022</t>
        </is>
      </c>
      <c r="B322" s="1" t="n">
        <v>44670</v>
      </c>
      <c r="C322" s="1" t="n">
        <v>46059</v>
      </c>
      <c r="D322" t="inlineStr">
        <is>
          <t>ÖREBRO LÄN</t>
        </is>
      </c>
      <c r="E322" t="inlineStr">
        <is>
          <t>ÖREBRO</t>
        </is>
      </c>
      <c r="G322" t="n">
        <v>0.6</v>
      </c>
      <c r="H322" t="n">
        <v>0</v>
      </c>
      <c r="I322" t="n">
        <v>0</v>
      </c>
      <c r="J322" t="n">
        <v>0</v>
      </c>
      <c r="K322" t="n">
        <v>0</v>
      </c>
      <c r="L322" t="n">
        <v>0</v>
      </c>
      <c r="M322" t="n">
        <v>0</v>
      </c>
      <c r="N322" t="n">
        <v>0</v>
      </c>
      <c r="O322" t="n">
        <v>0</v>
      </c>
      <c r="P322" t="n">
        <v>0</v>
      </c>
      <c r="Q322" t="n">
        <v>0</v>
      </c>
      <c r="R322" s="2" t="inlineStr"/>
    </row>
    <row r="323" ht="15" customHeight="1">
      <c r="A323" t="inlineStr">
        <is>
          <t>A 8571-2021</t>
        </is>
      </c>
      <c r="B323" s="1" t="n">
        <v>44245</v>
      </c>
      <c r="C323" s="1" t="n">
        <v>46059</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30743-2025</t>
        </is>
      </c>
      <c r="B324" s="1" t="n">
        <v>45831</v>
      </c>
      <c r="C324" s="1" t="n">
        <v>46059</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55692-2023</t>
        </is>
      </c>
      <c r="B325" s="1" t="n">
        <v>45239</v>
      </c>
      <c r="C325" s="1" t="n">
        <v>46059</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52382-2025</t>
        </is>
      </c>
      <c r="B326" s="1" t="n">
        <v>45953.9559837963</v>
      </c>
      <c r="C326" s="1" t="n">
        <v>46059</v>
      </c>
      <c r="D326" t="inlineStr">
        <is>
          <t>ÖREBRO LÄN</t>
        </is>
      </c>
      <c r="E326" t="inlineStr">
        <is>
          <t>ÖREBRO</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14715-2024</t>
        </is>
      </c>
      <c r="B327" s="1" t="n">
        <v>45397.5500462963</v>
      </c>
      <c r="C327" s="1" t="n">
        <v>46059</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6220-2026</t>
        </is>
      </c>
      <c r="B328" s="1" t="n">
        <v>46055.43789351852</v>
      </c>
      <c r="C328" s="1" t="n">
        <v>46059</v>
      </c>
      <c r="D328" t="inlineStr">
        <is>
          <t>ÖREBRO LÄN</t>
        </is>
      </c>
      <c r="E328" t="inlineStr">
        <is>
          <t>ÖREBRO</t>
        </is>
      </c>
      <c r="G328" t="n">
        <v>2.1</v>
      </c>
      <c r="H328" t="n">
        <v>0</v>
      </c>
      <c r="I328" t="n">
        <v>0</v>
      </c>
      <c r="J328" t="n">
        <v>0</v>
      </c>
      <c r="K328" t="n">
        <v>0</v>
      </c>
      <c r="L328" t="n">
        <v>0</v>
      </c>
      <c r="M328" t="n">
        <v>0</v>
      </c>
      <c r="N328" t="n">
        <v>0</v>
      </c>
      <c r="O328" t="n">
        <v>0</v>
      </c>
      <c r="P328" t="n">
        <v>0</v>
      </c>
      <c r="Q328" t="n">
        <v>0</v>
      </c>
      <c r="R328" s="2" t="inlineStr"/>
    </row>
    <row r="329" ht="15" customHeight="1">
      <c r="A329" t="inlineStr">
        <is>
          <t>A 12682-2023</t>
        </is>
      </c>
      <c r="B329" s="1" t="n">
        <v>45000.6115625</v>
      </c>
      <c r="C329" s="1" t="n">
        <v>46059</v>
      </c>
      <c r="D329" t="inlineStr">
        <is>
          <t>ÖREBRO LÄN</t>
        </is>
      </c>
      <c r="E329" t="inlineStr">
        <is>
          <t>ÖREBRO</t>
        </is>
      </c>
      <c r="F329" t="inlineStr">
        <is>
          <t>Övriga Aktiebolag</t>
        </is>
      </c>
      <c r="G329" t="n">
        <v>4.4</v>
      </c>
      <c r="H329" t="n">
        <v>0</v>
      </c>
      <c r="I329" t="n">
        <v>0</v>
      </c>
      <c r="J329" t="n">
        <v>0</v>
      </c>
      <c r="K329" t="n">
        <v>0</v>
      </c>
      <c r="L329" t="n">
        <v>0</v>
      </c>
      <c r="M329" t="n">
        <v>0</v>
      </c>
      <c r="N329" t="n">
        <v>0</v>
      </c>
      <c r="O329" t="n">
        <v>0</v>
      </c>
      <c r="P329" t="n">
        <v>0</v>
      </c>
      <c r="Q329" t="n">
        <v>0</v>
      </c>
      <c r="R329" s="2" t="inlineStr"/>
    </row>
    <row r="330" ht="15" customHeight="1">
      <c r="A330" t="inlineStr">
        <is>
          <t>A 63657-2025</t>
        </is>
      </c>
      <c r="B330" s="1" t="n">
        <v>46014.44479166667</v>
      </c>
      <c r="C330" s="1" t="n">
        <v>46059</v>
      </c>
      <c r="D330" t="inlineStr">
        <is>
          <t>ÖREBRO LÄN</t>
        </is>
      </c>
      <c r="E330" t="inlineStr">
        <is>
          <t>ÖREBRO</t>
        </is>
      </c>
      <c r="F330" t="inlineStr">
        <is>
          <t>Allmännings- och besparingsskogar</t>
        </is>
      </c>
      <c r="G330" t="n">
        <v>3.9</v>
      </c>
      <c r="H330" t="n">
        <v>0</v>
      </c>
      <c r="I330" t="n">
        <v>0</v>
      </c>
      <c r="J330" t="n">
        <v>0</v>
      </c>
      <c r="K330" t="n">
        <v>0</v>
      </c>
      <c r="L330" t="n">
        <v>0</v>
      </c>
      <c r="M330" t="n">
        <v>0</v>
      </c>
      <c r="N330" t="n">
        <v>0</v>
      </c>
      <c r="O330" t="n">
        <v>0</v>
      </c>
      <c r="P330" t="n">
        <v>0</v>
      </c>
      <c r="Q330" t="n">
        <v>0</v>
      </c>
      <c r="R330" s="2" t="inlineStr"/>
    </row>
    <row r="331" ht="15" customHeight="1">
      <c r="A331" t="inlineStr">
        <is>
          <t>A 13592-2023</t>
        </is>
      </c>
      <c r="B331" s="1" t="n">
        <v>45006.56870370371</v>
      </c>
      <c r="C331" s="1" t="n">
        <v>46059</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53350-2025</t>
        </is>
      </c>
      <c r="B332" s="1" t="n">
        <v>45959.43827546296</v>
      </c>
      <c r="C332" s="1" t="n">
        <v>46059</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10368-2021</t>
        </is>
      </c>
      <c r="B333" s="1" t="n">
        <v>44257</v>
      </c>
      <c r="C333" s="1" t="n">
        <v>46059</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53715-2025</t>
        </is>
      </c>
      <c r="B334" s="1" t="n">
        <v>45960.61763888889</v>
      </c>
      <c r="C334" s="1" t="n">
        <v>46059</v>
      </c>
      <c r="D334" t="inlineStr">
        <is>
          <t>ÖREBRO LÄN</t>
        </is>
      </c>
      <c r="E334" t="inlineStr">
        <is>
          <t>ÖREBRO</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53719-2025</t>
        </is>
      </c>
      <c r="B335" s="1" t="n">
        <v>45960.62042824074</v>
      </c>
      <c r="C335" s="1" t="n">
        <v>46059</v>
      </c>
      <c r="D335" t="inlineStr">
        <is>
          <t>ÖREBRO LÄN</t>
        </is>
      </c>
      <c r="E335" t="inlineStr">
        <is>
          <t>ÖREBRO</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53343-2025</t>
        </is>
      </c>
      <c r="B336" s="1" t="n">
        <v>45959.42025462963</v>
      </c>
      <c r="C336" s="1" t="n">
        <v>46059</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53437-2025</t>
        </is>
      </c>
      <c r="B337" s="1" t="n">
        <v>45959.63440972222</v>
      </c>
      <c r="C337" s="1" t="n">
        <v>46059</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53342-2025</t>
        </is>
      </c>
      <c r="B338" s="1" t="n">
        <v>45959.41769675926</v>
      </c>
      <c r="C338" s="1" t="n">
        <v>46059</v>
      </c>
      <c r="D338" t="inlineStr">
        <is>
          <t>ÖREBRO LÄN</t>
        </is>
      </c>
      <c r="E338" t="inlineStr">
        <is>
          <t>ÖREBRO</t>
        </is>
      </c>
      <c r="G338" t="n">
        <v>4.1</v>
      </c>
      <c r="H338" t="n">
        <v>0</v>
      </c>
      <c r="I338" t="n">
        <v>0</v>
      </c>
      <c r="J338" t="n">
        <v>0</v>
      </c>
      <c r="K338" t="n">
        <v>0</v>
      </c>
      <c r="L338" t="n">
        <v>0</v>
      </c>
      <c r="M338" t="n">
        <v>0</v>
      </c>
      <c r="N338" t="n">
        <v>0</v>
      </c>
      <c r="O338" t="n">
        <v>0</v>
      </c>
      <c r="P338" t="n">
        <v>0</v>
      </c>
      <c r="Q338" t="n">
        <v>0</v>
      </c>
      <c r="R338" s="2" t="inlineStr"/>
    </row>
    <row r="339" ht="15" customHeight="1">
      <c r="A339" t="inlineStr">
        <is>
          <t>A 53443-2025</t>
        </is>
      </c>
      <c r="B339" s="1" t="n">
        <v>45959.6444675926</v>
      </c>
      <c r="C339" s="1" t="n">
        <v>46059</v>
      </c>
      <c r="D339" t="inlineStr">
        <is>
          <t>ÖREBRO LÄN</t>
        </is>
      </c>
      <c r="E339" t="inlineStr">
        <is>
          <t>ÖREBRO</t>
        </is>
      </c>
      <c r="G339" t="n">
        <v>2.8</v>
      </c>
      <c r="H339" t="n">
        <v>0</v>
      </c>
      <c r="I339" t="n">
        <v>0</v>
      </c>
      <c r="J339" t="n">
        <v>0</v>
      </c>
      <c r="K339" t="n">
        <v>0</v>
      </c>
      <c r="L339" t="n">
        <v>0</v>
      </c>
      <c r="M339" t="n">
        <v>0</v>
      </c>
      <c r="N339" t="n">
        <v>0</v>
      </c>
      <c r="O339" t="n">
        <v>0</v>
      </c>
      <c r="P339" t="n">
        <v>0</v>
      </c>
      <c r="Q339" t="n">
        <v>0</v>
      </c>
      <c r="R339" s="2" t="inlineStr"/>
    </row>
    <row r="340" ht="15" customHeight="1">
      <c r="A340" t="inlineStr">
        <is>
          <t>A 59736-2023</t>
        </is>
      </c>
      <c r="B340" s="1" t="n">
        <v>45257.374375</v>
      </c>
      <c r="C340" s="1" t="n">
        <v>46059</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30015-2023</t>
        </is>
      </c>
      <c r="B341" s="1" t="n">
        <v>45109</v>
      </c>
      <c r="C341" s="1" t="n">
        <v>46059</v>
      </c>
      <c r="D341" t="inlineStr">
        <is>
          <t>ÖREBRO LÄN</t>
        </is>
      </c>
      <c r="E341" t="inlineStr">
        <is>
          <t>ÖREBRO</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63666-2025</t>
        </is>
      </c>
      <c r="B342" s="1" t="n">
        <v>46014.45650462963</v>
      </c>
      <c r="C342" s="1" t="n">
        <v>46059</v>
      </c>
      <c r="D342" t="inlineStr">
        <is>
          <t>ÖREBRO LÄN</t>
        </is>
      </c>
      <c r="E342" t="inlineStr">
        <is>
          <t>ÖREBRO</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55355-2024</t>
        </is>
      </c>
      <c r="B343" s="1" t="n">
        <v>45621.80475694445</v>
      </c>
      <c r="C343" s="1" t="n">
        <v>46059</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49029-2024</t>
        </is>
      </c>
      <c r="B344" s="1" t="n">
        <v>45594</v>
      </c>
      <c r="C344" s="1" t="n">
        <v>46059</v>
      </c>
      <c r="D344" t="inlineStr">
        <is>
          <t>ÖREBRO LÄN</t>
        </is>
      </c>
      <c r="E344" t="inlineStr">
        <is>
          <t>ÖREBRO</t>
        </is>
      </c>
      <c r="G344" t="n">
        <v>3.7</v>
      </c>
      <c r="H344" t="n">
        <v>0</v>
      </c>
      <c r="I344" t="n">
        <v>0</v>
      </c>
      <c r="J344" t="n">
        <v>0</v>
      </c>
      <c r="K344" t="n">
        <v>0</v>
      </c>
      <c r="L344" t="n">
        <v>0</v>
      </c>
      <c r="M344" t="n">
        <v>0</v>
      </c>
      <c r="N344" t="n">
        <v>0</v>
      </c>
      <c r="O344" t="n">
        <v>0</v>
      </c>
      <c r="P344" t="n">
        <v>0</v>
      </c>
      <c r="Q344" t="n">
        <v>0</v>
      </c>
      <c r="R344" s="2" t="inlineStr"/>
    </row>
    <row r="345" ht="15" customHeight="1">
      <c r="A345" t="inlineStr">
        <is>
          <t>A 7220-2026</t>
        </is>
      </c>
      <c r="B345" s="1" t="n">
        <v>46058.56126157408</v>
      </c>
      <c r="C345" s="1" t="n">
        <v>46059</v>
      </c>
      <c r="D345" t="inlineStr">
        <is>
          <t>ÖREBRO LÄN</t>
        </is>
      </c>
      <c r="E345" t="inlineStr">
        <is>
          <t>ÖREBRO</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7227-2026</t>
        </is>
      </c>
      <c r="B346" s="1" t="n">
        <v>46058.56858796296</v>
      </c>
      <c r="C346" s="1" t="n">
        <v>46059</v>
      </c>
      <c r="D346" t="inlineStr">
        <is>
          <t>ÖREBRO LÄN</t>
        </is>
      </c>
      <c r="E346" t="inlineStr">
        <is>
          <t>ÖREBRO</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20115-2024</t>
        </is>
      </c>
      <c r="B347" s="1" t="n">
        <v>45434</v>
      </c>
      <c r="C347" s="1" t="n">
        <v>46059</v>
      </c>
      <c r="D347" t="inlineStr">
        <is>
          <t>ÖREBRO LÄN</t>
        </is>
      </c>
      <c r="E347" t="inlineStr">
        <is>
          <t>ÖREBRO</t>
        </is>
      </c>
      <c r="G347" t="n">
        <v>1.7</v>
      </c>
      <c r="H347" t="n">
        <v>0</v>
      </c>
      <c r="I347" t="n">
        <v>0</v>
      </c>
      <c r="J347" t="n">
        <v>0</v>
      </c>
      <c r="K347" t="n">
        <v>0</v>
      </c>
      <c r="L347" t="n">
        <v>0</v>
      </c>
      <c r="M347" t="n">
        <v>0</v>
      </c>
      <c r="N347" t="n">
        <v>0</v>
      </c>
      <c r="O347" t="n">
        <v>0</v>
      </c>
      <c r="P347" t="n">
        <v>0</v>
      </c>
      <c r="Q347" t="n">
        <v>0</v>
      </c>
      <c r="R347" s="2" t="inlineStr"/>
    </row>
    <row r="348" ht="15" customHeight="1">
      <c r="A348" t="inlineStr">
        <is>
          <t>A 37968-2024</t>
        </is>
      </c>
      <c r="B348" s="1" t="n">
        <v>45544</v>
      </c>
      <c r="C348" s="1" t="n">
        <v>46059</v>
      </c>
      <c r="D348" t="inlineStr">
        <is>
          <t>ÖREBRO LÄN</t>
        </is>
      </c>
      <c r="E348" t="inlineStr">
        <is>
          <t>ÖREBRO</t>
        </is>
      </c>
      <c r="G348" t="n">
        <v>2</v>
      </c>
      <c r="H348" t="n">
        <v>0</v>
      </c>
      <c r="I348" t="n">
        <v>0</v>
      </c>
      <c r="J348" t="n">
        <v>0</v>
      </c>
      <c r="K348" t="n">
        <v>0</v>
      </c>
      <c r="L348" t="n">
        <v>0</v>
      </c>
      <c r="M348" t="n">
        <v>0</v>
      </c>
      <c r="N348" t="n">
        <v>0</v>
      </c>
      <c r="O348" t="n">
        <v>0</v>
      </c>
      <c r="P348" t="n">
        <v>0</v>
      </c>
      <c r="Q348" t="n">
        <v>0</v>
      </c>
      <c r="R348" s="2" t="inlineStr"/>
    </row>
    <row r="349" ht="15" customHeight="1">
      <c r="A349" t="inlineStr">
        <is>
          <t>A 55875-2024</t>
        </is>
      </c>
      <c r="B349" s="1" t="n">
        <v>45623.55375</v>
      </c>
      <c r="C349" s="1" t="n">
        <v>46059</v>
      </c>
      <c r="D349" t="inlineStr">
        <is>
          <t>ÖREBRO LÄN</t>
        </is>
      </c>
      <c r="E349" t="inlineStr">
        <is>
          <t>ÖREBRO</t>
        </is>
      </c>
      <c r="G349" t="n">
        <v>3.5</v>
      </c>
      <c r="H349" t="n">
        <v>0</v>
      </c>
      <c r="I349" t="n">
        <v>0</v>
      </c>
      <c r="J349" t="n">
        <v>0</v>
      </c>
      <c r="K349" t="n">
        <v>0</v>
      </c>
      <c r="L349" t="n">
        <v>0</v>
      </c>
      <c r="M349" t="n">
        <v>0</v>
      </c>
      <c r="N349" t="n">
        <v>0</v>
      </c>
      <c r="O349" t="n">
        <v>0</v>
      </c>
      <c r="P349" t="n">
        <v>0</v>
      </c>
      <c r="Q349" t="n">
        <v>0</v>
      </c>
      <c r="R349" s="2" t="inlineStr"/>
    </row>
    <row r="350" ht="15" customHeight="1">
      <c r="A350" t="inlineStr">
        <is>
          <t>A 54205-2025</t>
        </is>
      </c>
      <c r="B350" s="1" t="n">
        <v>45964.58512731481</v>
      </c>
      <c r="C350" s="1" t="n">
        <v>46059</v>
      </c>
      <c r="D350" t="inlineStr">
        <is>
          <t>ÖREBRO LÄN</t>
        </is>
      </c>
      <c r="E350" t="inlineStr">
        <is>
          <t>ÖREBRO</t>
        </is>
      </c>
      <c r="G350" t="n">
        <v>24.3</v>
      </c>
      <c r="H350" t="n">
        <v>0</v>
      </c>
      <c r="I350" t="n">
        <v>0</v>
      </c>
      <c r="J350" t="n">
        <v>0</v>
      </c>
      <c r="K350" t="n">
        <v>0</v>
      </c>
      <c r="L350" t="n">
        <v>0</v>
      </c>
      <c r="M350" t="n">
        <v>0</v>
      </c>
      <c r="N350" t="n">
        <v>0</v>
      </c>
      <c r="O350" t="n">
        <v>0</v>
      </c>
      <c r="P350" t="n">
        <v>0</v>
      </c>
      <c r="Q350" t="n">
        <v>0</v>
      </c>
      <c r="R350" s="2" t="inlineStr"/>
    </row>
    <row r="351" ht="15" customHeight="1">
      <c r="A351" t="inlineStr">
        <is>
          <t>A 63662-2025</t>
        </is>
      </c>
      <c r="B351" s="1" t="n">
        <v>46014.45055555556</v>
      </c>
      <c r="C351" s="1" t="n">
        <v>46059</v>
      </c>
      <c r="D351" t="inlineStr">
        <is>
          <t>ÖREBRO LÄN</t>
        </is>
      </c>
      <c r="E351" t="inlineStr">
        <is>
          <t>ÖREBRO</t>
        </is>
      </c>
      <c r="F351" t="inlineStr">
        <is>
          <t>Allmännings- och besparingsskogar</t>
        </is>
      </c>
      <c r="G351" t="n">
        <v>3.2</v>
      </c>
      <c r="H351" t="n">
        <v>0</v>
      </c>
      <c r="I351" t="n">
        <v>0</v>
      </c>
      <c r="J351" t="n">
        <v>0</v>
      </c>
      <c r="K351" t="n">
        <v>0</v>
      </c>
      <c r="L351" t="n">
        <v>0</v>
      </c>
      <c r="M351" t="n">
        <v>0</v>
      </c>
      <c r="N351" t="n">
        <v>0</v>
      </c>
      <c r="O351" t="n">
        <v>0</v>
      </c>
      <c r="P351" t="n">
        <v>0</v>
      </c>
      <c r="Q351" t="n">
        <v>0</v>
      </c>
      <c r="R351" s="2" t="inlineStr"/>
    </row>
    <row r="352" ht="15" customHeight="1">
      <c r="A352" t="inlineStr">
        <is>
          <t>A 7275-2026</t>
        </is>
      </c>
      <c r="B352" s="1" t="n">
        <v>46058.6259375</v>
      </c>
      <c r="C352" s="1" t="n">
        <v>46059</v>
      </c>
      <c r="D352" t="inlineStr">
        <is>
          <t>ÖREBRO LÄN</t>
        </is>
      </c>
      <c r="E352" t="inlineStr">
        <is>
          <t>ÖREBRO</t>
        </is>
      </c>
      <c r="F352" t="inlineStr">
        <is>
          <t>Övriga Aktiebolag</t>
        </is>
      </c>
      <c r="G352" t="n">
        <v>5.2</v>
      </c>
      <c r="H352" t="n">
        <v>0</v>
      </c>
      <c r="I352" t="n">
        <v>0</v>
      </c>
      <c r="J352" t="n">
        <v>0</v>
      </c>
      <c r="K352" t="n">
        <v>0</v>
      </c>
      <c r="L352" t="n">
        <v>0</v>
      </c>
      <c r="M352" t="n">
        <v>0</v>
      </c>
      <c r="N352" t="n">
        <v>0</v>
      </c>
      <c r="O352" t="n">
        <v>0</v>
      </c>
      <c r="P352" t="n">
        <v>0</v>
      </c>
      <c r="Q352" t="n">
        <v>0</v>
      </c>
      <c r="R352" s="2" t="inlineStr"/>
    </row>
    <row r="353" ht="15" customHeight="1">
      <c r="A353" t="inlineStr">
        <is>
          <t>A 23710-2022</t>
        </is>
      </c>
      <c r="B353" s="1" t="n">
        <v>44722</v>
      </c>
      <c r="C353" s="1" t="n">
        <v>46059</v>
      </c>
      <c r="D353" t="inlineStr">
        <is>
          <t>ÖREBRO LÄN</t>
        </is>
      </c>
      <c r="E353" t="inlineStr">
        <is>
          <t>ÖREBRO</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10470-2025</t>
        </is>
      </c>
      <c r="B354" s="1" t="n">
        <v>45720</v>
      </c>
      <c r="C354" s="1" t="n">
        <v>46059</v>
      </c>
      <c r="D354" t="inlineStr">
        <is>
          <t>ÖREBRO LÄN</t>
        </is>
      </c>
      <c r="E354" t="inlineStr">
        <is>
          <t>ÖREBRO</t>
        </is>
      </c>
      <c r="G354" t="n">
        <v>11.5</v>
      </c>
      <c r="H354" t="n">
        <v>0</v>
      </c>
      <c r="I354" t="n">
        <v>0</v>
      </c>
      <c r="J354" t="n">
        <v>0</v>
      </c>
      <c r="K354" t="n">
        <v>0</v>
      </c>
      <c r="L354" t="n">
        <v>0</v>
      </c>
      <c r="M354" t="n">
        <v>0</v>
      </c>
      <c r="N354" t="n">
        <v>0</v>
      </c>
      <c r="O354" t="n">
        <v>0</v>
      </c>
      <c r="P354" t="n">
        <v>0</v>
      </c>
      <c r="Q354" t="n">
        <v>0</v>
      </c>
      <c r="R354" s="2" t="inlineStr"/>
    </row>
    <row r="355" ht="15" customHeight="1">
      <c r="A355" t="inlineStr">
        <is>
          <t>A 46056-2024</t>
        </is>
      </c>
      <c r="B355" s="1" t="n">
        <v>45580.91502314815</v>
      </c>
      <c r="C355" s="1" t="n">
        <v>46059</v>
      </c>
      <c r="D355" t="inlineStr">
        <is>
          <t>ÖREBRO LÄN</t>
        </is>
      </c>
      <c r="E355" t="inlineStr">
        <is>
          <t>ÖREBRO</t>
        </is>
      </c>
      <c r="F355" t="inlineStr">
        <is>
          <t>Övriga Aktiebolag</t>
        </is>
      </c>
      <c r="G355" t="n">
        <v>4.5</v>
      </c>
      <c r="H355" t="n">
        <v>0</v>
      </c>
      <c r="I355" t="n">
        <v>0</v>
      </c>
      <c r="J355" t="n">
        <v>0</v>
      </c>
      <c r="K355" t="n">
        <v>0</v>
      </c>
      <c r="L355" t="n">
        <v>0</v>
      </c>
      <c r="M355" t="n">
        <v>0</v>
      </c>
      <c r="N355" t="n">
        <v>0</v>
      </c>
      <c r="O355" t="n">
        <v>0</v>
      </c>
      <c r="P355" t="n">
        <v>0</v>
      </c>
      <c r="Q355" t="n">
        <v>0</v>
      </c>
      <c r="R355" s="2" t="inlineStr"/>
    </row>
    <row r="356" ht="15" customHeight="1">
      <c r="A356" t="inlineStr">
        <is>
          <t>A 13355-2023</t>
        </is>
      </c>
      <c r="B356" s="1" t="n">
        <v>45004</v>
      </c>
      <c r="C356" s="1" t="n">
        <v>46059</v>
      </c>
      <c r="D356" t="inlineStr">
        <is>
          <t>ÖREBRO LÄN</t>
        </is>
      </c>
      <c r="E356" t="inlineStr">
        <is>
          <t>ÖREBRO</t>
        </is>
      </c>
      <c r="G356" t="n">
        <v>2.3</v>
      </c>
      <c r="H356" t="n">
        <v>0</v>
      </c>
      <c r="I356" t="n">
        <v>0</v>
      </c>
      <c r="J356" t="n">
        <v>0</v>
      </c>
      <c r="K356" t="n">
        <v>0</v>
      </c>
      <c r="L356" t="n">
        <v>0</v>
      </c>
      <c r="M356" t="n">
        <v>0</v>
      </c>
      <c r="N356" t="n">
        <v>0</v>
      </c>
      <c r="O356" t="n">
        <v>0</v>
      </c>
      <c r="P356" t="n">
        <v>0</v>
      </c>
      <c r="Q356" t="n">
        <v>0</v>
      </c>
      <c r="R356" s="2" t="inlineStr"/>
    </row>
    <row r="357" ht="15" customHeight="1">
      <c r="A357" t="inlineStr">
        <is>
          <t>A 31326-2024</t>
        </is>
      </c>
      <c r="B357" s="1" t="n">
        <v>45504.5934375</v>
      </c>
      <c r="C357" s="1" t="n">
        <v>46059</v>
      </c>
      <c r="D357" t="inlineStr">
        <is>
          <t>ÖREBRO LÄN</t>
        </is>
      </c>
      <c r="E357" t="inlineStr">
        <is>
          <t>ÖREBRO</t>
        </is>
      </c>
      <c r="G357" t="n">
        <v>6.4</v>
      </c>
      <c r="H357" t="n">
        <v>0</v>
      </c>
      <c r="I357" t="n">
        <v>0</v>
      </c>
      <c r="J357" t="n">
        <v>0</v>
      </c>
      <c r="K357" t="n">
        <v>0</v>
      </c>
      <c r="L357" t="n">
        <v>0</v>
      </c>
      <c r="M357" t="n">
        <v>0</v>
      </c>
      <c r="N357" t="n">
        <v>0</v>
      </c>
      <c r="O357" t="n">
        <v>0</v>
      </c>
      <c r="P357" t="n">
        <v>0</v>
      </c>
      <c r="Q357" t="n">
        <v>0</v>
      </c>
      <c r="R357" s="2" t="inlineStr"/>
    </row>
    <row r="358" ht="15" customHeight="1">
      <c r="A358" t="inlineStr">
        <is>
          <t>A 54485-2025</t>
        </is>
      </c>
      <c r="B358" s="1" t="n">
        <v>45965.59295138889</v>
      </c>
      <c r="C358" s="1" t="n">
        <v>46059</v>
      </c>
      <c r="D358" t="inlineStr">
        <is>
          <t>ÖREBRO LÄN</t>
        </is>
      </c>
      <c r="E358" t="inlineStr">
        <is>
          <t>ÖREBRO</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6522-2023</t>
        </is>
      </c>
      <c r="B359" s="1" t="n">
        <v>44966</v>
      </c>
      <c r="C359" s="1" t="n">
        <v>46059</v>
      </c>
      <c r="D359" t="inlineStr">
        <is>
          <t>ÖREBRO LÄN</t>
        </is>
      </c>
      <c r="E359" t="inlineStr">
        <is>
          <t>ÖREBRO</t>
        </is>
      </c>
      <c r="G359" t="n">
        <v>4.4</v>
      </c>
      <c r="H359" t="n">
        <v>0</v>
      </c>
      <c r="I359" t="n">
        <v>0</v>
      </c>
      <c r="J359" t="n">
        <v>0</v>
      </c>
      <c r="K359" t="n">
        <v>0</v>
      </c>
      <c r="L359" t="n">
        <v>0</v>
      </c>
      <c r="M359" t="n">
        <v>0</v>
      </c>
      <c r="N359" t="n">
        <v>0</v>
      </c>
      <c r="O359" t="n">
        <v>0</v>
      </c>
      <c r="P359" t="n">
        <v>0</v>
      </c>
      <c r="Q359" t="n">
        <v>0</v>
      </c>
      <c r="R359" s="2" t="inlineStr"/>
    </row>
    <row r="360" ht="15" customHeight="1">
      <c r="A360" t="inlineStr">
        <is>
          <t>A 56040-2024</t>
        </is>
      </c>
      <c r="B360" s="1" t="n">
        <v>45624.3344212963</v>
      </c>
      <c r="C360" s="1" t="n">
        <v>46059</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52444-2024</t>
        </is>
      </c>
      <c r="B361" s="1" t="n">
        <v>45609.48894675926</v>
      </c>
      <c r="C361" s="1" t="n">
        <v>46059</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60128-2023</t>
        </is>
      </c>
      <c r="B362" s="1" t="n">
        <v>45258</v>
      </c>
      <c r="C362" s="1" t="n">
        <v>46059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16140-2023</t>
        </is>
      </c>
      <c r="B363" s="1" t="n">
        <v>45027.6433912037</v>
      </c>
      <c r="C363" s="1" t="n">
        <v>46059</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6752-2022</t>
        </is>
      </c>
      <c r="B364" s="1" t="n">
        <v>44602.48082175926</v>
      </c>
      <c r="C364" s="1" t="n">
        <v>46059</v>
      </c>
      <c r="D364" t="inlineStr">
        <is>
          <t>ÖREBRO LÄN</t>
        </is>
      </c>
      <c r="E364" t="inlineStr">
        <is>
          <t>ÖREBRO</t>
        </is>
      </c>
      <c r="G364" t="n">
        <v>3.1</v>
      </c>
      <c r="H364" t="n">
        <v>0</v>
      </c>
      <c r="I364" t="n">
        <v>0</v>
      </c>
      <c r="J364" t="n">
        <v>0</v>
      </c>
      <c r="K364" t="n">
        <v>0</v>
      </c>
      <c r="L364" t="n">
        <v>0</v>
      </c>
      <c r="M364" t="n">
        <v>0</v>
      </c>
      <c r="N364" t="n">
        <v>0</v>
      </c>
      <c r="O364" t="n">
        <v>0</v>
      </c>
      <c r="P364" t="n">
        <v>0</v>
      </c>
      <c r="Q364" t="n">
        <v>0</v>
      </c>
      <c r="R364" s="2" t="inlineStr"/>
    </row>
    <row r="365" ht="15" customHeight="1">
      <c r="A365" t="inlineStr">
        <is>
          <t>A 55748-2025</t>
        </is>
      </c>
      <c r="B365" s="1" t="n">
        <v>45972.57893518519</v>
      </c>
      <c r="C365" s="1" t="n">
        <v>46059</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46059</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34056-2023</t>
        </is>
      </c>
      <c r="B367" s="1" t="n">
        <v>45135</v>
      </c>
      <c r="C367" s="1" t="n">
        <v>46059</v>
      </c>
      <c r="D367" t="inlineStr">
        <is>
          <t>ÖREBRO LÄN</t>
        </is>
      </c>
      <c r="E367" t="inlineStr">
        <is>
          <t>ÖREBRO</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33457-2023</t>
        </is>
      </c>
      <c r="B368" s="1" t="n">
        <v>45131</v>
      </c>
      <c r="C368" s="1" t="n">
        <v>46059</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45237-2023</t>
        </is>
      </c>
      <c r="B369" s="1" t="n">
        <v>45191</v>
      </c>
      <c r="C369" s="1" t="n">
        <v>46059</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51180-2023</t>
        </is>
      </c>
      <c r="B370" s="1" t="n">
        <v>45219</v>
      </c>
      <c r="C370" s="1" t="n">
        <v>46059</v>
      </c>
      <c r="D370" t="inlineStr">
        <is>
          <t>ÖREBRO LÄN</t>
        </is>
      </c>
      <c r="E370" t="inlineStr">
        <is>
          <t>ÖREBRO</t>
        </is>
      </c>
      <c r="G370" t="n">
        <v>6.5</v>
      </c>
      <c r="H370" t="n">
        <v>0</v>
      </c>
      <c r="I370" t="n">
        <v>0</v>
      </c>
      <c r="J370" t="n">
        <v>0</v>
      </c>
      <c r="K370" t="n">
        <v>0</v>
      </c>
      <c r="L370" t="n">
        <v>0</v>
      </c>
      <c r="M370" t="n">
        <v>0</v>
      </c>
      <c r="N370" t="n">
        <v>0</v>
      </c>
      <c r="O370" t="n">
        <v>0</v>
      </c>
      <c r="P370" t="n">
        <v>0</v>
      </c>
      <c r="Q370" t="n">
        <v>0</v>
      </c>
      <c r="R370" s="2" t="inlineStr"/>
    </row>
    <row r="371" ht="15" customHeight="1">
      <c r="A371" t="inlineStr">
        <is>
          <t>A 60028-2024</t>
        </is>
      </c>
      <c r="B371" s="1" t="n">
        <v>45642</v>
      </c>
      <c r="C371" s="1" t="n">
        <v>46059</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33294-2023</t>
        </is>
      </c>
      <c r="B372" s="1" t="n">
        <v>45127</v>
      </c>
      <c r="C372" s="1" t="n">
        <v>46059</v>
      </c>
      <c r="D372" t="inlineStr">
        <is>
          <t>ÖREBRO LÄN</t>
        </is>
      </c>
      <c r="E372" t="inlineStr">
        <is>
          <t>ÖREBRO</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13857-2022</t>
        </is>
      </c>
      <c r="B373" s="1" t="n">
        <v>44649</v>
      </c>
      <c r="C373" s="1" t="n">
        <v>46059</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61078-2024</t>
        </is>
      </c>
      <c r="B374" s="1" t="n">
        <v>45645.51034722223</v>
      </c>
      <c r="C374" s="1" t="n">
        <v>46059</v>
      </c>
      <c r="D374" t="inlineStr">
        <is>
          <t>ÖREBRO LÄN</t>
        </is>
      </c>
      <c r="E374" t="inlineStr">
        <is>
          <t>ÖREBRO</t>
        </is>
      </c>
      <c r="G374" t="n">
        <v>4.1</v>
      </c>
      <c r="H374" t="n">
        <v>0</v>
      </c>
      <c r="I374" t="n">
        <v>0</v>
      </c>
      <c r="J374" t="n">
        <v>0</v>
      </c>
      <c r="K374" t="n">
        <v>0</v>
      </c>
      <c r="L374" t="n">
        <v>0</v>
      </c>
      <c r="M374" t="n">
        <v>0</v>
      </c>
      <c r="N374" t="n">
        <v>0</v>
      </c>
      <c r="O374" t="n">
        <v>0</v>
      </c>
      <c r="P374" t="n">
        <v>0</v>
      </c>
      <c r="Q374" t="n">
        <v>0</v>
      </c>
      <c r="R374" s="2" t="inlineStr"/>
    </row>
    <row r="375" ht="15" customHeight="1">
      <c r="A375" t="inlineStr">
        <is>
          <t>A 55879-2025</t>
        </is>
      </c>
      <c r="B375" s="1" t="n">
        <v>45973.36508101852</v>
      </c>
      <c r="C375" s="1" t="n">
        <v>46059</v>
      </c>
      <c r="D375" t="inlineStr">
        <is>
          <t>ÖREBRO LÄN</t>
        </is>
      </c>
      <c r="E375" t="inlineStr">
        <is>
          <t>ÖREBRO</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44271.42121527778</v>
      </c>
      <c r="C376" s="1" t="n">
        <v>46059</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13158-2024</t>
        </is>
      </c>
      <c r="B377" s="1" t="n">
        <v>45386.38728009259</v>
      </c>
      <c r="C377" s="1" t="n">
        <v>46059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55888-2025</t>
        </is>
      </c>
      <c r="B378" s="1" t="n">
        <v>45973.37163194444</v>
      </c>
      <c r="C378" s="1" t="n">
        <v>46059</v>
      </c>
      <c r="D378" t="inlineStr">
        <is>
          <t>ÖREBRO LÄN</t>
        </is>
      </c>
      <c r="E378" t="inlineStr">
        <is>
          <t>ÖREBRO</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13181-2023</t>
        </is>
      </c>
      <c r="B379" s="1" t="n">
        <v>45002.60659722222</v>
      </c>
      <c r="C379" s="1" t="n">
        <v>46059</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25996-2024</t>
        </is>
      </c>
      <c r="B380" s="1" t="n">
        <v>45467.89081018518</v>
      </c>
      <c r="C380" s="1" t="n">
        <v>46059</v>
      </c>
      <c r="D380" t="inlineStr">
        <is>
          <t>ÖREBRO LÄN</t>
        </is>
      </c>
      <c r="E380" t="inlineStr">
        <is>
          <t>ÖREBRO</t>
        </is>
      </c>
      <c r="G380" t="n">
        <v>4.7</v>
      </c>
      <c r="H380" t="n">
        <v>0</v>
      </c>
      <c r="I380" t="n">
        <v>0</v>
      </c>
      <c r="J380" t="n">
        <v>0</v>
      </c>
      <c r="K380" t="n">
        <v>0</v>
      </c>
      <c r="L380" t="n">
        <v>0</v>
      </c>
      <c r="M380" t="n">
        <v>0</v>
      </c>
      <c r="N380" t="n">
        <v>0</v>
      </c>
      <c r="O380" t="n">
        <v>0</v>
      </c>
      <c r="P380" t="n">
        <v>0</v>
      </c>
      <c r="Q380" t="n">
        <v>0</v>
      </c>
      <c r="R380" s="2" t="inlineStr"/>
    </row>
    <row r="381" ht="15" customHeight="1">
      <c r="A381" t="inlineStr">
        <is>
          <t>A 16676-2025</t>
        </is>
      </c>
      <c r="B381" s="1" t="n">
        <v>45754.44658564815</v>
      </c>
      <c r="C381" s="1" t="n">
        <v>46059</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23741-2022</t>
        </is>
      </c>
      <c r="B382" s="1" t="n">
        <v>44722</v>
      </c>
      <c r="C382" s="1" t="n">
        <v>46059</v>
      </c>
      <c r="D382" t="inlineStr">
        <is>
          <t>ÖREBRO LÄN</t>
        </is>
      </c>
      <c r="E382" t="inlineStr">
        <is>
          <t>ÖREBRO</t>
        </is>
      </c>
      <c r="G382" t="n">
        <v>1.3</v>
      </c>
      <c r="H382" t="n">
        <v>0</v>
      </c>
      <c r="I382" t="n">
        <v>0</v>
      </c>
      <c r="J382" t="n">
        <v>0</v>
      </c>
      <c r="K382" t="n">
        <v>0</v>
      </c>
      <c r="L382" t="n">
        <v>0</v>
      </c>
      <c r="M382" t="n">
        <v>0</v>
      </c>
      <c r="N382" t="n">
        <v>0</v>
      </c>
      <c r="O382" t="n">
        <v>0</v>
      </c>
      <c r="P382" t="n">
        <v>0</v>
      </c>
      <c r="Q382" t="n">
        <v>0</v>
      </c>
      <c r="R382" s="2" t="inlineStr"/>
    </row>
    <row r="383" ht="15" customHeight="1">
      <c r="A383" t="inlineStr">
        <is>
          <t>A 8274-2025</t>
        </is>
      </c>
      <c r="B383" s="1" t="n">
        <v>45708</v>
      </c>
      <c r="C383" s="1" t="n">
        <v>46059</v>
      </c>
      <c r="D383" t="inlineStr">
        <is>
          <t>ÖREBRO LÄN</t>
        </is>
      </c>
      <c r="E383" t="inlineStr">
        <is>
          <t>ÖREBRO</t>
        </is>
      </c>
      <c r="G383" t="n">
        <v>5.8</v>
      </c>
      <c r="H383" t="n">
        <v>0</v>
      </c>
      <c r="I383" t="n">
        <v>0</v>
      </c>
      <c r="J383" t="n">
        <v>0</v>
      </c>
      <c r="K383" t="n">
        <v>0</v>
      </c>
      <c r="L383" t="n">
        <v>0</v>
      </c>
      <c r="M383" t="n">
        <v>0</v>
      </c>
      <c r="N383" t="n">
        <v>0</v>
      </c>
      <c r="O383" t="n">
        <v>0</v>
      </c>
      <c r="P383" t="n">
        <v>0</v>
      </c>
      <c r="Q383" t="n">
        <v>0</v>
      </c>
      <c r="R383" s="2" t="inlineStr"/>
    </row>
    <row r="384" ht="15" customHeight="1">
      <c r="A384" t="inlineStr">
        <is>
          <t>A 58620-2024</t>
        </is>
      </c>
      <c r="B384" s="1" t="n">
        <v>45635.56246527778</v>
      </c>
      <c r="C384" s="1" t="n">
        <v>46059</v>
      </c>
      <c r="D384" t="inlineStr">
        <is>
          <t>ÖREBRO LÄN</t>
        </is>
      </c>
      <c r="E384" t="inlineStr">
        <is>
          <t>ÖREBRO</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22045-2024</t>
        </is>
      </c>
      <c r="B385" s="1" t="n">
        <v>45443.61171296296</v>
      </c>
      <c r="C385" s="1" t="n">
        <v>46059</v>
      </c>
      <c r="D385" t="inlineStr">
        <is>
          <t>ÖREBRO LÄN</t>
        </is>
      </c>
      <c r="E385" t="inlineStr">
        <is>
          <t>ÖREBRO</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7141-2025</t>
        </is>
      </c>
      <c r="B386" s="1" t="n">
        <v>45702</v>
      </c>
      <c r="C386" s="1" t="n">
        <v>46059</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58684-2023</t>
        </is>
      </c>
      <c r="B387" s="1" t="n">
        <v>45251</v>
      </c>
      <c r="C387" s="1" t="n">
        <v>46059</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59024-2024</t>
        </is>
      </c>
      <c r="B388" s="1" t="n">
        <v>45636.68505787037</v>
      </c>
      <c r="C388" s="1" t="n">
        <v>46059</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38898-2023</t>
        </is>
      </c>
      <c r="B389" s="1" t="n">
        <v>45163</v>
      </c>
      <c r="C389" s="1" t="n">
        <v>46059</v>
      </c>
      <c r="D389" t="inlineStr">
        <is>
          <t>ÖREBRO LÄN</t>
        </is>
      </c>
      <c r="E389" t="inlineStr">
        <is>
          <t>ÖREBRO</t>
        </is>
      </c>
      <c r="G389" t="n">
        <v>5.1</v>
      </c>
      <c r="H389" t="n">
        <v>0</v>
      </c>
      <c r="I389" t="n">
        <v>0</v>
      </c>
      <c r="J389" t="n">
        <v>0</v>
      </c>
      <c r="K389" t="n">
        <v>0</v>
      </c>
      <c r="L389" t="n">
        <v>0</v>
      </c>
      <c r="M389" t="n">
        <v>0</v>
      </c>
      <c r="N389" t="n">
        <v>0</v>
      </c>
      <c r="O389" t="n">
        <v>0</v>
      </c>
      <c r="P389" t="n">
        <v>0</v>
      </c>
      <c r="Q389" t="n">
        <v>0</v>
      </c>
      <c r="R389" s="2" t="inlineStr"/>
    </row>
    <row r="390" ht="15" customHeight="1">
      <c r="A390" t="inlineStr">
        <is>
          <t>A 13657-2025</t>
        </is>
      </c>
      <c r="B390" s="1" t="n">
        <v>45736.7427662037</v>
      </c>
      <c r="C390" s="1" t="n">
        <v>46059</v>
      </c>
      <c r="D390" t="inlineStr">
        <is>
          <t>ÖREBRO LÄN</t>
        </is>
      </c>
      <c r="E390" t="inlineStr">
        <is>
          <t>ÖREBRO</t>
        </is>
      </c>
      <c r="G390" t="n">
        <v>3.8</v>
      </c>
      <c r="H390" t="n">
        <v>0</v>
      </c>
      <c r="I390" t="n">
        <v>0</v>
      </c>
      <c r="J390" t="n">
        <v>0</v>
      </c>
      <c r="K390" t="n">
        <v>0</v>
      </c>
      <c r="L390" t="n">
        <v>0</v>
      </c>
      <c r="M390" t="n">
        <v>0</v>
      </c>
      <c r="N390" t="n">
        <v>0</v>
      </c>
      <c r="O390" t="n">
        <v>0</v>
      </c>
      <c r="P390" t="n">
        <v>0</v>
      </c>
      <c r="Q390" t="n">
        <v>0</v>
      </c>
      <c r="R390" s="2" t="inlineStr"/>
    </row>
    <row r="391" ht="15" customHeight="1">
      <c r="A391" t="inlineStr">
        <is>
          <t>A 57867-2024</t>
        </is>
      </c>
      <c r="B391" s="1" t="n">
        <v>45631.43864583333</v>
      </c>
      <c r="C391" s="1" t="n">
        <v>46059</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46059</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46059</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13321-2024</t>
        </is>
      </c>
      <c r="B394" s="1" t="n">
        <v>45386.83142361111</v>
      </c>
      <c r="C394" s="1" t="n">
        <v>46059</v>
      </c>
      <c r="D394" t="inlineStr">
        <is>
          <t>ÖREBRO LÄN</t>
        </is>
      </c>
      <c r="E394" t="inlineStr">
        <is>
          <t>ÖREBRO</t>
        </is>
      </c>
      <c r="G394" t="n">
        <v>13.1</v>
      </c>
      <c r="H394" t="n">
        <v>0</v>
      </c>
      <c r="I394" t="n">
        <v>0</v>
      </c>
      <c r="J394" t="n">
        <v>0</v>
      </c>
      <c r="K394" t="n">
        <v>0</v>
      </c>
      <c r="L394" t="n">
        <v>0</v>
      </c>
      <c r="M394" t="n">
        <v>0</v>
      </c>
      <c r="N394" t="n">
        <v>0</v>
      </c>
      <c r="O394" t="n">
        <v>0</v>
      </c>
      <c r="P394" t="n">
        <v>0</v>
      </c>
      <c r="Q394" t="n">
        <v>0</v>
      </c>
      <c r="R394" s="2" t="inlineStr"/>
    </row>
    <row r="395" ht="15" customHeight="1">
      <c r="A395" t="inlineStr">
        <is>
          <t>A 21983-2021</t>
        </is>
      </c>
      <c r="B395" s="1" t="n">
        <v>44323</v>
      </c>
      <c r="C395" s="1" t="n">
        <v>46059</v>
      </c>
      <c r="D395" t="inlineStr">
        <is>
          <t>ÖREBRO LÄN</t>
        </is>
      </c>
      <c r="E395" t="inlineStr">
        <is>
          <t>ÖREBRO</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38583-2023</t>
        </is>
      </c>
      <c r="B396" s="1" t="n">
        <v>45162.62861111111</v>
      </c>
      <c r="C396" s="1" t="n">
        <v>46059</v>
      </c>
      <c r="D396" t="inlineStr">
        <is>
          <t>ÖREBRO LÄN</t>
        </is>
      </c>
      <c r="E396" t="inlineStr">
        <is>
          <t>ÖREBRO</t>
        </is>
      </c>
      <c r="G396" t="n">
        <v>5.7</v>
      </c>
      <c r="H396" t="n">
        <v>0</v>
      </c>
      <c r="I396" t="n">
        <v>0</v>
      </c>
      <c r="J396" t="n">
        <v>0</v>
      </c>
      <c r="K396" t="n">
        <v>0</v>
      </c>
      <c r="L396" t="n">
        <v>0</v>
      </c>
      <c r="M396" t="n">
        <v>0</v>
      </c>
      <c r="N396" t="n">
        <v>0</v>
      </c>
      <c r="O396" t="n">
        <v>0</v>
      </c>
      <c r="P396" t="n">
        <v>0</v>
      </c>
      <c r="Q396" t="n">
        <v>0</v>
      </c>
      <c r="R396" s="2" t="inlineStr"/>
    </row>
    <row r="397" ht="15" customHeight="1">
      <c r="A397" t="inlineStr">
        <is>
          <t>A 3120-2022</t>
        </is>
      </c>
      <c r="B397" s="1" t="n">
        <v>44582</v>
      </c>
      <c r="C397" s="1" t="n">
        <v>46059</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14291-2023</t>
        </is>
      </c>
      <c r="B398" s="1" t="n">
        <v>45010</v>
      </c>
      <c r="C398" s="1" t="n">
        <v>46059</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58606-2024</t>
        </is>
      </c>
      <c r="B399" s="1" t="n">
        <v>45635.54747685185</v>
      </c>
      <c r="C399" s="1" t="n">
        <v>46059</v>
      </c>
      <c r="D399" t="inlineStr">
        <is>
          <t>ÖREBRO LÄN</t>
        </is>
      </c>
      <c r="E399" t="inlineStr">
        <is>
          <t>ÖREBRO</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26101-2022</t>
        </is>
      </c>
      <c r="B400" s="1" t="n">
        <v>44734</v>
      </c>
      <c r="C400" s="1" t="n">
        <v>46059</v>
      </c>
      <c r="D400" t="inlineStr">
        <is>
          <t>ÖREBRO LÄN</t>
        </is>
      </c>
      <c r="E400" t="inlineStr">
        <is>
          <t>ÖREBRO</t>
        </is>
      </c>
      <c r="G400" t="n">
        <v>15.8</v>
      </c>
      <c r="H400" t="n">
        <v>0</v>
      </c>
      <c r="I400" t="n">
        <v>0</v>
      </c>
      <c r="J400" t="n">
        <v>0</v>
      </c>
      <c r="K400" t="n">
        <v>0</v>
      </c>
      <c r="L400" t="n">
        <v>0</v>
      </c>
      <c r="M400" t="n">
        <v>0</v>
      </c>
      <c r="N400" t="n">
        <v>0</v>
      </c>
      <c r="O400" t="n">
        <v>0</v>
      </c>
      <c r="P400" t="n">
        <v>0</v>
      </c>
      <c r="Q400" t="n">
        <v>0</v>
      </c>
      <c r="R400" s="2" t="inlineStr"/>
    </row>
    <row r="401" ht="15" customHeight="1">
      <c r="A401" t="inlineStr">
        <is>
          <t>A 9314-2023</t>
        </is>
      </c>
      <c r="B401" s="1" t="n">
        <v>44980.67747685185</v>
      </c>
      <c r="C401" s="1" t="n">
        <v>46059</v>
      </c>
      <c r="D401" t="inlineStr">
        <is>
          <t>ÖREBRO LÄN</t>
        </is>
      </c>
      <c r="E401" t="inlineStr">
        <is>
          <t>ÖREBRO</t>
        </is>
      </c>
      <c r="G401" t="n">
        <v>0.8</v>
      </c>
      <c r="H401" t="n">
        <v>0</v>
      </c>
      <c r="I401" t="n">
        <v>0</v>
      </c>
      <c r="J401" t="n">
        <v>0</v>
      </c>
      <c r="K401" t="n">
        <v>0</v>
      </c>
      <c r="L401" t="n">
        <v>0</v>
      </c>
      <c r="M401" t="n">
        <v>0</v>
      </c>
      <c r="N401" t="n">
        <v>0</v>
      </c>
      <c r="O401" t="n">
        <v>0</v>
      </c>
      <c r="P401" t="n">
        <v>0</v>
      </c>
      <c r="Q401" t="n">
        <v>0</v>
      </c>
      <c r="R401" s="2" t="inlineStr"/>
    </row>
    <row r="402" ht="15" customHeight="1">
      <c r="A402" t="inlineStr">
        <is>
          <t>A 33455-2023</t>
        </is>
      </c>
      <c r="B402" s="1" t="n">
        <v>45130.98962962963</v>
      </c>
      <c r="C402" s="1" t="n">
        <v>46059</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21306-2024</t>
        </is>
      </c>
      <c r="B403" s="1" t="n">
        <v>45440.67883101852</v>
      </c>
      <c r="C403" s="1" t="n">
        <v>46059</v>
      </c>
      <c r="D403" t="inlineStr">
        <is>
          <t>ÖREBRO LÄN</t>
        </is>
      </c>
      <c r="E403" t="inlineStr">
        <is>
          <t>ÖREBRO</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58486-2024</t>
        </is>
      </c>
      <c r="B404" s="1" t="n">
        <v>45635</v>
      </c>
      <c r="C404" s="1" t="n">
        <v>46059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14053-2025</t>
        </is>
      </c>
      <c r="B405" s="1" t="n">
        <v>45739</v>
      </c>
      <c r="C405" s="1" t="n">
        <v>46059</v>
      </c>
      <c r="D405" t="inlineStr">
        <is>
          <t>ÖREBRO LÄN</t>
        </is>
      </c>
      <c r="E405" t="inlineStr">
        <is>
          <t>ÖREBRO</t>
        </is>
      </c>
      <c r="G405" t="n">
        <v>3.5</v>
      </c>
      <c r="H405" t="n">
        <v>0</v>
      </c>
      <c r="I405" t="n">
        <v>0</v>
      </c>
      <c r="J405" t="n">
        <v>0</v>
      </c>
      <c r="K405" t="n">
        <v>0</v>
      </c>
      <c r="L405" t="n">
        <v>0</v>
      </c>
      <c r="M405" t="n">
        <v>0</v>
      </c>
      <c r="N405" t="n">
        <v>0</v>
      </c>
      <c r="O405" t="n">
        <v>0</v>
      </c>
      <c r="P405" t="n">
        <v>0</v>
      </c>
      <c r="Q405" t="n">
        <v>0</v>
      </c>
      <c r="R405" s="2" t="inlineStr"/>
    </row>
    <row r="406" ht="15" customHeight="1">
      <c r="A406" t="inlineStr">
        <is>
          <t>A 7634-2024</t>
        </is>
      </c>
      <c r="B406" s="1" t="n">
        <v>45348</v>
      </c>
      <c r="C406" s="1" t="n">
        <v>46059</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35345-2024</t>
        </is>
      </c>
      <c r="B407" s="1" t="n">
        <v>45530</v>
      </c>
      <c r="C407" s="1" t="n">
        <v>46059</v>
      </c>
      <c r="D407" t="inlineStr">
        <is>
          <t>ÖREBRO LÄN</t>
        </is>
      </c>
      <c r="E407" t="inlineStr">
        <is>
          <t>ÖREBRO</t>
        </is>
      </c>
      <c r="G407" t="n">
        <v>0.9</v>
      </c>
      <c r="H407" t="n">
        <v>0</v>
      </c>
      <c r="I407" t="n">
        <v>0</v>
      </c>
      <c r="J407" t="n">
        <v>0</v>
      </c>
      <c r="K407" t="n">
        <v>0</v>
      </c>
      <c r="L407" t="n">
        <v>0</v>
      </c>
      <c r="M407" t="n">
        <v>0</v>
      </c>
      <c r="N407" t="n">
        <v>0</v>
      </c>
      <c r="O407" t="n">
        <v>0</v>
      </c>
      <c r="P407" t="n">
        <v>0</v>
      </c>
      <c r="Q407" t="n">
        <v>0</v>
      </c>
      <c r="R407" s="2" t="inlineStr"/>
    </row>
    <row r="408" ht="15" customHeight="1">
      <c r="A408" t="inlineStr">
        <is>
          <t>A 5324-2024</t>
        </is>
      </c>
      <c r="B408" s="1" t="n">
        <v>45331</v>
      </c>
      <c r="C408" s="1" t="n">
        <v>46059</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52401-2024</t>
        </is>
      </c>
      <c r="B409" s="1" t="n">
        <v>45609.44553240741</v>
      </c>
      <c r="C409" s="1" t="n">
        <v>46059</v>
      </c>
      <c r="D409" t="inlineStr">
        <is>
          <t>ÖREBRO LÄN</t>
        </is>
      </c>
      <c r="E409" t="inlineStr">
        <is>
          <t>ÖREBRO</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123-2025</t>
        </is>
      </c>
      <c r="B410" s="1" t="n">
        <v>45659.54851851852</v>
      </c>
      <c r="C410" s="1" t="n">
        <v>46059</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30472-2022</t>
        </is>
      </c>
      <c r="B411" s="1" t="n">
        <v>44761.70467592592</v>
      </c>
      <c r="C411" s="1" t="n">
        <v>46059</v>
      </c>
      <c r="D411" t="inlineStr">
        <is>
          <t>ÖREBRO LÄN</t>
        </is>
      </c>
      <c r="E411" t="inlineStr">
        <is>
          <t>ÖREBRO</t>
        </is>
      </c>
      <c r="F411" t="inlineStr">
        <is>
          <t>Övriga Aktiebolag</t>
        </is>
      </c>
      <c r="G411" t="n">
        <v>5.6</v>
      </c>
      <c r="H411" t="n">
        <v>0</v>
      </c>
      <c r="I411" t="n">
        <v>0</v>
      </c>
      <c r="J411" t="n">
        <v>0</v>
      </c>
      <c r="K411" t="n">
        <v>0</v>
      </c>
      <c r="L411" t="n">
        <v>0</v>
      </c>
      <c r="M411" t="n">
        <v>0</v>
      </c>
      <c r="N411" t="n">
        <v>0</v>
      </c>
      <c r="O411" t="n">
        <v>0</v>
      </c>
      <c r="P411" t="n">
        <v>0</v>
      </c>
      <c r="Q411" t="n">
        <v>0</v>
      </c>
      <c r="R411" s="2" t="inlineStr"/>
    </row>
    <row r="412" ht="15" customHeight="1">
      <c r="A412" t="inlineStr">
        <is>
          <t>A 6869-2025</t>
        </is>
      </c>
      <c r="B412" s="1" t="n">
        <v>45700</v>
      </c>
      <c r="C412" s="1" t="n">
        <v>46059</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57869-2024</t>
        </is>
      </c>
      <c r="B413" s="1" t="n">
        <v>45631.44207175926</v>
      </c>
      <c r="C413" s="1" t="n">
        <v>46059</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14963-2025</t>
        </is>
      </c>
      <c r="B414" s="1" t="n">
        <v>45743.58699074074</v>
      </c>
      <c r="C414" s="1" t="n">
        <v>46059</v>
      </c>
      <c r="D414" t="inlineStr">
        <is>
          <t>ÖREBRO LÄN</t>
        </is>
      </c>
      <c r="E414" t="inlineStr">
        <is>
          <t>ÖREBRO</t>
        </is>
      </c>
      <c r="G414" t="n">
        <v>9.1</v>
      </c>
      <c r="H414" t="n">
        <v>0</v>
      </c>
      <c r="I414" t="n">
        <v>0</v>
      </c>
      <c r="J414" t="n">
        <v>0</v>
      </c>
      <c r="K414" t="n">
        <v>0</v>
      </c>
      <c r="L414" t="n">
        <v>0</v>
      </c>
      <c r="M414" t="n">
        <v>0</v>
      </c>
      <c r="N414" t="n">
        <v>0</v>
      </c>
      <c r="O414" t="n">
        <v>0</v>
      </c>
      <c r="P414" t="n">
        <v>0</v>
      </c>
      <c r="Q414" t="n">
        <v>0</v>
      </c>
      <c r="R414" s="2" t="inlineStr"/>
    </row>
    <row r="415" ht="15" customHeight="1">
      <c r="A415" t="inlineStr">
        <is>
          <t>A 55357-2024</t>
        </is>
      </c>
      <c r="B415" s="1" t="n">
        <v>45621.81126157408</v>
      </c>
      <c r="C415" s="1" t="n">
        <v>46059</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37277-2022</t>
        </is>
      </c>
      <c r="B416" s="1" t="n">
        <v>44807.49150462963</v>
      </c>
      <c r="C416" s="1" t="n">
        <v>46059</v>
      </c>
      <c r="D416" t="inlineStr">
        <is>
          <t>ÖREBRO LÄN</t>
        </is>
      </c>
      <c r="E416" t="inlineStr">
        <is>
          <t>ÖREBRO</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38422-2023</t>
        </is>
      </c>
      <c r="B417" s="1" t="n">
        <v>45162.36422453704</v>
      </c>
      <c r="C417" s="1" t="n">
        <v>46059</v>
      </c>
      <c r="D417" t="inlineStr">
        <is>
          <t>ÖREBRO LÄN</t>
        </is>
      </c>
      <c r="E417" t="inlineStr">
        <is>
          <t>ÖREBRO</t>
        </is>
      </c>
      <c r="G417" t="n">
        <v>8</v>
      </c>
      <c r="H417" t="n">
        <v>0</v>
      </c>
      <c r="I417" t="n">
        <v>0</v>
      </c>
      <c r="J417" t="n">
        <v>0</v>
      </c>
      <c r="K417" t="n">
        <v>0</v>
      </c>
      <c r="L417" t="n">
        <v>0</v>
      </c>
      <c r="M417" t="n">
        <v>0</v>
      </c>
      <c r="N417" t="n">
        <v>0</v>
      </c>
      <c r="O417" t="n">
        <v>0</v>
      </c>
      <c r="P417" t="n">
        <v>0</v>
      </c>
      <c r="Q417" t="n">
        <v>0</v>
      </c>
      <c r="R417" s="2" t="inlineStr"/>
    </row>
    <row r="418" ht="15" customHeight="1">
      <c r="A418" t="inlineStr">
        <is>
          <t>A 27956-2023</t>
        </is>
      </c>
      <c r="B418" s="1" t="n">
        <v>45098</v>
      </c>
      <c r="C418" s="1" t="n">
        <v>46059</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46518-2023</t>
        </is>
      </c>
      <c r="B419" s="1" t="n">
        <v>45197.72777777778</v>
      </c>
      <c r="C419" s="1" t="n">
        <v>46059</v>
      </c>
      <c r="D419" t="inlineStr">
        <is>
          <t>ÖREBRO LÄN</t>
        </is>
      </c>
      <c r="E419" t="inlineStr">
        <is>
          <t>ÖREBRO</t>
        </is>
      </c>
      <c r="G419" t="n">
        <v>2.2</v>
      </c>
      <c r="H419" t="n">
        <v>0</v>
      </c>
      <c r="I419" t="n">
        <v>0</v>
      </c>
      <c r="J419" t="n">
        <v>0</v>
      </c>
      <c r="K419" t="n">
        <v>0</v>
      </c>
      <c r="L419" t="n">
        <v>0</v>
      </c>
      <c r="M419" t="n">
        <v>0</v>
      </c>
      <c r="N419" t="n">
        <v>0</v>
      </c>
      <c r="O419" t="n">
        <v>0</v>
      </c>
      <c r="P419" t="n">
        <v>0</v>
      </c>
      <c r="Q419" t="n">
        <v>0</v>
      </c>
      <c r="R419" s="2" t="inlineStr"/>
    </row>
    <row r="420" ht="15" customHeight="1">
      <c r="A420" t="inlineStr">
        <is>
          <t>A 41703-2024</t>
        </is>
      </c>
      <c r="B420" s="1" t="n">
        <v>45560</v>
      </c>
      <c r="C420" s="1" t="n">
        <v>46059</v>
      </c>
      <c r="D420" t="inlineStr">
        <is>
          <t>ÖREBRO LÄN</t>
        </is>
      </c>
      <c r="E420" t="inlineStr">
        <is>
          <t>ÖREBRO</t>
        </is>
      </c>
      <c r="G420" t="n">
        <v>6.4</v>
      </c>
      <c r="H420" t="n">
        <v>0</v>
      </c>
      <c r="I420" t="n">
        <v>0</v>
      </c>
      <c r="J420" t="n">
        <v>0</v>
      </c>
      <c r="K420" t="n">
        <v>0</v>
      </c>
      <c r="L420" t="n">
        <v>0</v>
      </c>
      <c r="M420" t="n">
        <v>0</v>
      </c>
      <c r="N420" t="n">
        <v>0</v>
      </c>
      <c r="O420" t="n">
        <v>0</v>
      </c>
      <c r="P420" t="n">
        <v>0</v>
      </c>
      <c r="Q420" t="n">
        <v>0</v>
      </c>
      <c r="R420" s="2" t="inlineStr"/>
    </row>
    <row r="421" ht="15" customHeight="1">
      <c r="A421" t="inlineStr">
        <is>
          <t>A 51331-2023</t>
        </is>
      </c>
      <c r="B421" s="1" t="n">
        <v>45219</v>
      </c>
      <c r="C421" s="1" t="n">
        <v>46059</v>
      </c>
      <c r="D421" t="inlineStr">
        <is>
          <t>ÖREBRO LÄN</t>
        </is>
      </c>
      <c r="E421" t="inlineStr">
        <is>
          <t>ÖREBRO</t>
        </is>
      </c>
      <c r="F421" t="inlineStr">
        <is>
          <t>Kommuner</t>
        </is>
      </c>
      <c r="G421" t="n">
        <v>1.3</v>
      </c>
      <c r="H421" t="n">
        <v>0</v>
      </c>
      <c r="I421" t="n">
        <v>0</v>
      </c>
      <c r="J421" t="n">
        <v>0</v>
      </c>
      <c r="K421" t="n">
        <v>0</v>
      </c>
      <c r="L421" t="n">
        <v>0</v>
      </c>
      <c r="M421" t="n">
        <v>0</v>
      </c>
      <c r="N421" t="n">
        <v>0</v>
      </c>
      <c r="O421" t="n">
        <v>0</v>
      </c>
      <c r="P421" t="n">
        <v>0</v>
      </c>
      <c r="Q421" t="n">
        <v>0</v>
      </c>
      <c r="R421" s="2" t="inlineStr"/>
    </row>
    <row r="422" ht="15" customHeight="1">
      <c r="A422" t="inlineStr">
        <is>
          <t>A 19763-2024</t>
        </is>
      </c>
      <c r="B422" s="1" t="n">
        <v>45432</v>
      </c>
      <c r="C422" s="1" t="n">
        <v>46059</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40588-2021</t>
        </is>
      </c>
      <c r="B423" s="1" t="n">
        <v>44420</v>
      </c>
      <c r="C423" s="1" t="n">
        <v>46059</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31247-2023</t>
        </is>
      </c>
      <c r="B424" s="1" t="n">
        <v>45114</v>
      </c>
      <c r="C424" s="1" t="n">
        <v>46059</v>
      </c>
      <c r="D424" t="inlineStr">
        <is>
          <t>ÖREBRO LÄN</t>
        </is>
      </c>
      <c r="E424" t="inlineStr">
        <is>
          <t>ÖREBRO</t>
        </is>
      </c>
      <c r="F424" t="inlineStr">
        <is>
          <t>Allmännings- och besparingsskogar</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36635-2023</t>
        </is>
      </c>
      <c r="B425" s="1" t="n">
        <v>45153</v>
      </c>
      <c r="C425" s="1" t="n">
        <v>46059</v>
      </c>
      <c r="D425" t="inlineStr">
        <is>
          <t>ÖREBRO LÄN</t>
        </is>
      </c>
      <c r="E425" t="inlineStr">
        <is>
          <t>ÖREBRO</t>
        </is>
      </c>
      <c r="G425" t="n">
        <v>1.9</v>
      </c>
      <c r="H425" t="n">
        <v>0</v>
      </c>
      <c r="I425" t="n">
        <v>0</v>
      </c>
      <c r="J425" t="n">
        <v>0</v>
      </c>
      <c r="K425" t="n">
        <v>0</v>
      </c>
      <c r="L425" t="n">
        <v>0</v>
      </c>
      <c r="M425" t="n">
        <v>0</v>
      </c>
      <c r="N425" t="n">
        <v>0</v>
      </c>
      <c r="O425" t="n">
        <v>0</v>
      </c>
      <c r="P425" t="n">
        <v>0</v>
      </c>
      <c r="Q425" t="n">
        <v>0</v>
      </c>
      <c r="R425" s="2" t="inlineStr"/>
    </row>
    <row r="426" ht="15" customHeight="1">
      <c r="A426" t="inlineStr">
        <is>
          <t>A 54149-2024</t>
        </is>
      </c>
      <c r="B426" s="1" t="n">
        <v>45616</v>
      </c>
      <c r="C426" s="1" t="n">
        <v>46059</v>
      </c>
      <c r="D426" t="inlineStr">
        <is>
          <t>ÖREBRO LÄN</t>
        </is>
      </c>
      <c r="E426" t="inlineStr">
        <is>
          <t>ÖREBRO</t>
        </is>
      </c>
      <c r="G426" t="n">
        <v>2.7</v>
      </c>
      <c r="H426" t="n">
        <v>0</v>
      </c>
      <c r="I426" t="n">
        <v>0</v>
      </c>
      <c r="J426" t="n">
        <v>0</v>
      </c>
      <c r="K426" t="n">
        <v>0</v>
      </c>
      <c r="L426" t="n">
        <v>0</v>
      </c>
      <c r="M426" t="n">
        <v>0</v>
      </c>
      <c r="N426" t="n">
        <v>0</v>
      </c>
      <c r="O426" t="n">
        <v>0</v>
      </c>
      <c r="P426" t="n">
        <v>0</v>
      </c>
      <c r="Q426" t="n">
        <v>0</v>
      </c>
      <c r="R426" s="2" t="inlineStr"/>
    </row>
    <row r="427" ht="15" customHeight="1">
      <c r="A427" t="inlineStr">
        <is>
          <t>A 40231-2022</t>
        </is>
      </c>
      <c r="B427" s="1" t="n">
        <v>44820</v>
      </c>
      <c r="C427" s="1" t="n">
        <v>46059</v>
      </c>
      <c r="D427" t="inlineStr">
        <is>
          <t>ÖREBRO LÄN</t>
        </is>
      </c>
      <c r="E427" t="inlineStr">
        <is>
          <t>ÖREBRO</t>
        </is>
      </c>
      <c r="F427" t="inlineStr">
        <is>
          <t>Allmännings- och besparingsskogar</t>
        </is>
      </c>
      <c r="G427" t="n">
        <v>2.2</v>
      </c>
      <c r="H427" t="n">
        <v>0</v>
      </c>
      <c r="I427" t="n">
        <v>0</v>
      </c>
      <c r="J427" t="n">
        <v>0</v>
      </c>
      <c r="K427" t="n">
        <v>0</v>
      </c>
      <c r="L427" t="n">
        <v>0</v>
      </c>
      <c r="M427" t="n">
        <v>0</v>
      </c>
      <c r="N427" t="n">
        <v>0</v>
      </c>
      <c r="O427" t="n">
        <v>0</v>
      </c>
      <c r="P427" t="n">
        <v>0</v>
      </c>
      <c r="Q427" t="n">
        <v>0</v>
      </c>
      <c r="R427" s="2" t="inlineStr"/>
    </row>
    <row r="428" ht="15" customHeight="1">
      <c r="A428" t="inlineStr">
        <is>
          <t>A 4284-2025</t>
        </is>
      </c>
      <c r="B428" s="1" t="n">
        <v>45685</v>
      </c>
      <c r="C428" s="1" t="n">
        <v>46059</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8331-2021</t>
        </is>
      </c>
      <c r="B429" s="1" t="n">
        <v>44244</v>
      </c>
      <c r="C429" s="1" t="n">
        <v>46059</v>
      </c>
      <c r="D429" t="inlineStr">
        <is>
          <t>ÖREBRO LÄN</t>
        </is>
      </c>
      <c r="E429" t="inlineStr">
        <is>
          <t>ÖREBRO</t>
        </is>
      </c>
      <c r="G429" t="n">
        <v>9.1</v>
      </c>
      <c r="H429" t="n">
        <v>0</v>
      </c>
      <c r="I429" t="n">
        <v>0</v>
      </c>
      <c r="J429" t="n">
        <v>0</v>
      </c>
      <c r="K429" t="n">
        <v>0</v>
      </c>
      <c r="L429" t="n">
        <v>0</v>
      </c>
      <c r="M429" t="n">
        <v>0</v>
      </c>
      <c r="N429" t="n">
        <v>0</v>
      </c>
      <c r="O429" t="n">
        <v>0</v>
      </c>
      <c r="P429" t="n">
        <v>0</v>
      </c>
      <c r="Q429" t="n">
        <v>0</v>
      </c>
      <c r="R429" s="2" t="inlineStr"/>
    </row>
    <row r="430" ht="15" customHeight="1">
      <c r="A430" t="inlineStr">
        <is>
          <t>A 8332-2021</t>
        </is>
      </c>
      <c r="B430" s="1" t="n">
        <v>44244</v>
      </c>
      <c r="C430" s="1" t="n">
        <v>46059</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25443-2021</t>
        </is>
      </c>
      <c r="B431" s="1" t="n">
        <v>44342</v>
      </c>
      <c r="C431" s="1" t="n">
        <v>46059</v>
      </c>
      <c r="D431" t="inlineStr">
        <is>
          <t>ÖREBRO LÄN</t>
        </is>
      </c>
      <c r="E431" t="inlineStr">
        <is>
          <t>ÖREBRO</t>
        </is>
      </c>
      <c r="G431" t="n">
        <v>1</v>
      </c>
      <c r="H431" t="n">
        <v>0</v>
      </c>
      <c r="I431" t="n">
        <v>0</v>
      </c>
      <c r="J431" t="n">
        <v>0</v>
      </c>
      <c r="K431" t="n">
        <v>0</v>
      </c>
      <c r="L431" t="n">
        <v>0</v>
      </c>
      <c r="M431" t="n">
        <v>0</v>
      </c>
      <c r="N431" t="n">
        <v>0</v>
      </c>
      <c r="O431" t="n">
        <v>0</v>
      </c>
      <c r="P431" t="n">
        <v>0</v>
      </c>
      <c r="Q431" t="n">
        <v>0</v>
      </c>
      <c r="R431" s="2" t="inlineStr"/>
    </row>
    <row r="432" ht="15" customHeight="1">
      <c r="A432" t="inlineStr">
        <is>
          <t>A 49797-2024</t>
        </is>
      </c>
      <c r="B432" s="1" t="n">
        <v>45597.37265046296</v>
      </c>
      <c r="C432" s="1" t="n">
        <v>46059</v>
      </c>
      <c r="D432" t="inlineStr">
        <is>
          <t>ÖREBRO LÄN</t>
        </is>
      </c>
      <c r="E432" t="inlineStr">
        <is>
          <t>ÖREBRO</t>
        </is>
      </c>
      <c r="G432" t="n">
        <v>11.6</v>
      </c>
      <c r="H432" t="n">
        <v>0</v>
      </c>
      <c r="I432" t="n">
        <v>0</v>
      </c>
      <c r="J432" t="n">
        <v>0</v>
      </c>
      <c r="K432" t="n">
        <v>0</v>
      </c>
      <c r="L432" t="n">
        <v>0</v>
      </c>
      <c r="M432" t="n">
        <v>0</v>
      </c>
      <c r="N432" t="n">
        <v>0</v>
      </c>
      <c r="O432" t="n">
        <v>0</v>
      </c>
      <c r="P432" t="n">
        <v>0</v>
      </c>
      <c r="Q432" t="n">
        <v>0</v>
      </c>
      <c r="R432" s="2" t="inlineStr"/>
    </row>
    <row r="433" ht="15" customHeight="1">
      <c r="A433" t="inlineStr">
        <is>
          <t>A 42623-2022</t>
        </is>
      </c>
      <c r="B433" s="1" t="n">
        <v>44831</v>
      </c>
      <c r="C433" s="1" t="n">
        <v>46059</v>
      </c>
      <c r="D433" t="inlineStr">
        <is>
          <t>ÖREBRO LÄN</t>
        </is>
      </c>
      <c r="E433" t="inlineStr">
        <is>
          <t>ÖREBRO</t>
        </is>
      </c>
      <c r="G433" t="n">
        <v>3.6</v>
      </c>
      <c r="H433" t="n">
        <v>0</v>
      </c>
      <c r="I433" t="n">
        <v>0</v>
      </c>
      <c r="J433" t="n">
        <v>0</v>
      </c>
      <c r="K433" t="n">
        <v>0</v>
      </c>
      <c r="L433" t="n">
        <v>0</v>
      </c>
      <c r="M433" t="n">
        <v>0</v>
      </c>
      <c r="N433" t="n">
        <v>0</v>
      </c>
      <c r="O433" t="n">
        <v>0</v>
      </c>
      <c r="P433" t="n">
        <v>0</v>
      </c>
      <c r="Q433" t="n">
        <v>0</v>
      </c>
      <c r="R433" s="2" t="inlineStr"/>
    </row>
    <row r="434" ht="15" customHeight="1">
      <c r="A434" t="inlineStr">
        <is>
          <t>A 32086-2023</t>
        </is>
      </c>
      <c r="B434" s="1" t="n">
        <v>45119.59789351852</v>
      </c>
      <c r="C434" s="1" t="n">
        <v>46059</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13856-2022</t>
        </is>
      </c>
      <c r="B435" s="1" t="n">
        <v>44649.6965162037</v>
      </c>
      <c r="C435" s="1" t="n">
        <v>46059</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23863-2023</t>
        </is>
      </c>
      <c r="B436" s="1" t="n">
        <v>45078.48994212963</v>
      </c>
      <c r="C436" s="1" t="n">
        <v>46059</v>
      </c>
      <c r="D436" t="inlineStr">
        <is>
          <t>ÖREBRO LÄN</t>
        </is>
      </c>
      <c r="E436" t="inlineStr">
        <is>
          <t>ÖREBRO</t>
        </is>
      </c>
      <c r="F436" t="inlineStr">
        <is>
          <t>Övriga Aktiebolag</t>
        </is>
      </c>
      <c r="G436" t="n">
        <v>5.9</v>
      </c>
      <c r="H436" t="n">
        <v>0</v>
      </c>
      <c r="I436" t="n">
        <v>0</v>
      </c>
      <c r="J436" t="n">
        <v>0</v>
      </c>
      <c r="K436" t="n">
        <v>0</v>
      </c>
      <c r="L436" t="n">
        <v>0</v>
      </c>
      <c r="M436" t="n">
        <v>0</v>
      </c>
      <c r="N436" t="n">
        <v>0</v>
      </c>
      <c r="O436" t="n">
        <v>0</v>
      </c>
      <c r="P436" t="n">
        <v>0</v>
      </c>
      <c r="Q436" t="n">
        <v>0</v>
      </c>
      <c r="R436" s="2" t="inlineStr"/>
    </row>
    <row r="437" ht="15" customHeight="1">
      <c r="A437" t="inlineStr">
        <is>
          <t>A 39130-2023</t>
        </is>
      </c>
      <c r="B437" s="1" t="n">
        <v>45165</v>
      </c>
      <c r="C437" s="1" t="n">
        <v>46059</v>
      </c>
      <c r="D437" t="inlineStr">
        <is>
          <t>ÖREBRO LÄN</t>
        </is>
      </c>
      <c r="E437" t="inlineStr">
        <is>
          <t>ÖREBRO</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3763-2025</t>
        </is>
      </c>
      <c r="B438" s="1" t="n">
        <v>45681</v>
      </c>
      <c r="C438" s="1" t="n">
        <v>46059</v>
      </c>
      <c r="D438" t="inlineStr">
        <is>
          <t>ÖREBRO LÄN</t>
        </is>
      </c>
      <c r="E438" t="inlineStr">
        <is>
          <t>ÖREBRO</t>
        </is>
      </c>
      <c r="G438" t="n">
        <v>10.1</v>
      </c>
      <c r="H438" t="n">
        <v>0</v>
      </c>
      <c r="I438" t="n">
        <v>0</v>
      </c>
      <c r="J438" t="n">
        <v>0</v>
      </c>
      <c r="K438" t="n">
        <v>0</v>
      </c>
      <c r="L438" t="n">
        <v>0</v>
      </c>
      <c r="M438" t="n">
        <v>0</v>
      </c>
      <c r="N438" t="n">
        <v>0</v>
      </c>
      <c r="O438" t="n">
        <v>0</v>
      </c>
      <c r="P438" t="n">
        <v>0</v>
      </c>
      <c r="Q438" t="n">
        <v>0</v>
      </c>
      <c r="R438" s="2" t="inlineStr"/>
    </row>
    <row r="439" ht="15" customHeight="1">
      <c r="A439" t="inlineStr">
        <is>
          <t>A 13599-2025</t>
        </is>
      </c>
      <c r="B439" s="1" t="n">
        <v>45736.60597222222</v>
      </c>
      <c r="C439" s="1" t="n">
        <v>46059</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50375-2024</t>
        </is>
      </c>
      <c r="B440" s="1" t="n">
        <v>45601.29311342593</v>
      </c>
      <c r="C440" s="1" t="n">
        <v>46059</v>
      </c>
      <c r="D440" t="inlineStr">
        <is>
          <t>ÖREBRO LÄN</t>
        </is>
      </c>
      <c r="E440" t="inlineStr">
        <is>
          <t>ÖREBRO</t>
        </is>
      </c>
      <c r="G440" t="n">
        <v>5</v>
      </c>
      <c r="H440" t="n">
        <v>0</v>
      </c>
      <c r="I440" t="n">
        <v>0</v>
      </c>
      <c r="J440" t="n">
        <v>0</v>
      </c>
      <c r="K440" t="n">
        <v>0</v>
      </c>
      <c r="L440" t="n">
        <v>0</v>
      </c>
      <c r="M440" t="n">
        <v>0</v>
      </c>
      <c r="N440" t="n">
        <v>0</v>
      </c>
      <c r="O440" t="n">
        <v>0</v>
      </c>
      <c r="P440" t="n">
        <v>0</v>
      </c>
      <c r="Q440" t="n">
        <v>0</v>
      </c>
      <c r="R440" s="2" t="inlineStr"/>
    </row>
    <row r="441" ht="15" customHeight="1">
      <c r="A441" t="inlineStr">
        <is>
          <t>A 52391-2024</t>
        </is>
      </c>
      <c r="B441" s="1" t="n">
        <v>45609.43180555556</v>
      </c>
      <c r="C441" s="1" t="n">
        <v>46059</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58532-2024</t>
        </is>
      </c>
      <c r="B442" s="1" t="n">
        <v>45635.44899305556</v>
      </c>
      <c r="C442" s="1" t="n">
        <v>46059</v>
      </c>
      <c r="D442" t="inlineStr">
        <is>
          <t>ÖREBRO LÄN</t>
        </is>
      </c>
      <c r="E442" t="inlineStr">
        <is>
          <t>ÖREBRO</t>
        </is>
      </c>
      <c r="F442" t="inlineStr">
        <is>
          <t>Sveaskog</t>
        </is>
      </c>
      <c r="G442" t="n">
        <v>5.2</v>
      </c>
      <c r="H442" t="n">
        <v>0</v>
      </c>
      <c r="I442" t="n">
        <v>0</v>
      </c>
      <c r="J442" t="n">
        <v>0</v>
      </c>
      <c r="K442" t="n">
        <v>0</v>
      </c>
      <c r="L442" t="n">
        <v>0</v>
      </c>
      <c r="M442" t="n">
        <v>0</v>
      </c>
      <c r="N442" t="n">
        <v>0</v>
      </c>
      <c r="O442" t="n">
        <v>0</v>
      </c>
      <c r="P442" t="n">
        <v>0</v>
      </c>
      <c r="Q442" t="n">
        <v>0</v>
      </c>
      <c r="R442" s="2" t="inlineStr"/>
    </row>
    <row r="443" ht="15" customHeight="1">
      <c r="A443" t="inlineStr">
        <is>
          <t>A 20150-2024</t>
        </is>
      </c>
      <c r="B443" s="1" t="n">
        <v>45434.57969907407</v>
      </c>
      <c r="C443" s="1" t="n">
        <v>46059</v>
      </c>
      <c r="D443" t="inlineStr">
        <is>
          <t>ÖREBRO LÄN</t>
        </is>
      </c>
      <c r="E443" t="inlineStr">
        <is>
          <t>ÖREBRO</t>
        </is>
      </c>
      <c r="G443" t="n">
        <v>0.5</v>
      </c>
      <c r="H443" t="n">
        <v>0</v>
      </c>
      <c r="I443" t="n">
        <v>0</v>
      </c>
      <c r="J443" t="n">
        <v>0</v>
      </c>
      <c r="K443" t="n">
        <v>0</v>
      </c>
      <c r="L443" t="n">
        <v>0</v>
      </c>
      <c r="M443" t="n">
        <v>0</v>
      </c>
      <c r="N443" t="n">
        <v>0</v>
      </c>
      <c r="O443" t="n">
        <v>0</v>
      </c>
      <c r="P443" t="n">
        <v>0</v>
      </c>
      <c r="Q443" t="n">
        <v>0</v>
      </c>
      <c r="R443" s="2" t="inlineStr"/>
    </row>
    <row r="444" ht="15" customHeight="1">
      <c r="A444" t="inlineStr">
        <is>
          <t>A 58208-2024</t>
        </is>
      </c>
      <c r="B444" s="1" t="n">
        <v>45632</v>
      </c>
      <c r="C444" s="1" t="n">
        <v>46059</v>
      </c>
      <c r="D444" t="inlineStr">
        <is>
          <t>ÖREBRO LÄN</t>
        </is>
      </c>
      <c r="E444" t="inlineStr">
        <is>
          <t>ÖREBRO</t>
        </is>
      </c>
      <c r="G444" t="n">
        <v>3.1</v>
      </c>
      <c r="H444" t="n">
        <v>0</v>
      </c>
      <c r="I444" t="n">
        <v>0</v>
      </c>
      <c r="J444" t="n">
        <v>0</v>
      </c>
      <c r="K444" t="n">
        <v>0</v>
      </c>
      <c r="L444" t="n">
        <v>0</v>
      </c>
      <c r="M444" t="n">
        <v>0</v>
      </c>
      <c r="N444" t="n">
        <v>0</v>
      </c>
      <c r="O444" t="n">
        <v>0</v>
      </c>
      <c r="P444" t="n">
        <v>0</v>
      </c>
      <c r="Q444" t="n">
        <v>0</v>
      </c>
      <c r="R444" s="2" t="inlineStr"/>
    </row>
    <row r="445" ht="15" customHeight="1">
      <c r="A445" t="inlineStr">
        <is>
          <t>A 19388-2024</t>
        </is>
      </c>
      <c r="B445" s="1" t="n">
        <v>45429.37775462963</v>
      </c>
      <c r="C445" s="1" t="n">
        <v>46059</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7506-2025</t>
        </is>
      </c>
      <c r="B446" s="1" t="n">
        <v>45705</v>
      </c>
      <c r="C446" s="1" t="n">
        <v>46059</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4344-2025</t>
        </is>
      </c>
      <c r="B447" s="1" t="n">
        <v>45685</v>
      </c>
      <c r="C447" s="1" t="n">
        <v>46059</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16300-2022</t>
        </is>
      </c>
      <c r="B448" s="1" t="n">
        <v>44670</v>
      </c>
      <c r="C448" s="1" t="n">
        <v>46059</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16958-2022</t>
        </is>
      </c>
      <c r="B449" s="1" t="n">
        <v>44676.50481481481</v>
      </c>
      <c r="C449" s="1" t="n">
        <v>46059</v>
      </c>
      <c r="D449" t="inlineStr">
        <is>
          <t>ÖREBRO LÄN</t>
        </is>
      </c>
      <c r="E449" t="inlineStr">
        <is>
          <t>ÖREBRO</t>
        </is>
      </c>
      <c r="G449" t="n">
        <v>3.1</v>
      </c>
      <c r="H449" t="n">
        <v>0</v>
      </c>
      <c r="I449" t="n">
        <v>0</v>
      </c>
      <c r="J449" t="n">
        <v>0</v>
      </c>
      <c r="K449" t="n">
        <v>0</v>
      </c>
      <c r="L449" t="n">
        <v>0</v>
      </c>
      <c r="M449" t="n">
        <v>0</v>
      </c>
      <c r="N449" t="n">
        <v>0</v>
      </c>
      <c r="O449" t="n">
        <v>0</v>
      </c>
      <c r="P449" t="n">
        <v>0</v>
      </c>
      <c r="Q449" t="n">
        <v>0</v>
      </c>
      <c r="R449" s="2" t="inlineStr"/>
    </row>
    <row r="450" ht="15" customHeight="1">
      <c r="A450" t="inlineStr">
        <is>
          <t>A 55472-2023</t>
        </is>
      </c>
      <c r="B450" s="1" t="n">
        <v>45238</v>
      </c>
      <c r="C450" s="1" t="n">
        <v>46059</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54925-2023</t>
        </is>
      </c>
      <c r="B451" s="1" t="n">
        <v>45229</v>
      </c>
      <c r="C451" s="1" t="n">
        <v>46059</v>
      </c>
      <c r="D451" t="inlineStr">
        <is>
          <t>ÖREBRO LÄN</t>
        </is>
      </c>
      <c r="E451" t="inlineStr">
        <is>
          <t>ÖREBRO</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8568-2021</t>
        </is>
      </c>
      <c r="B452" s="1" t="n">
        <v>44245</v>
      </c>
      <c r="C452" s="1" t="n">
        <v>46059</v>
      </c>
      <c r="D452" t="inlineStr">
        <is>
          <t>ÖREBRO LÄN</t>
        </is>
      </c>
      <c r="E452" t="inlineStr">
        <is>
          <t>ÖREBRO</t>
        </is>
      </c>
      <c r="G452" t="n">
        <v>4.8</v>
      </c>
      <c r="H452" t="n">
        <v>0</v>
      </c>
      <c r="I452" t="n">
        <v>0</v>
      </c>
      <c r="J452" t="n">
        <v>0</v>
      </c>
      <c r="K452" t="n">
        <v>0</v>
      </c>
      <c r="L452" t="n">
        <v>0</v>
      </c>
      <c r="M452" t="n">
        <v>0</v>
      </c>
      <c r="N452" t="n">
        <v>0</v>
      </c>
      <c r="O452" t="n">
        <v>0</v>
      </c>
      <c r="P452" t="n">
        <v>0</v>
      </c>
      <c r="Q452" t="n">
        <v>0</v>
      </c>
      <c r="R452" s="2" t="inlineStr"/>
    </row>
    <row r="453" ht="15" customHeight="1">
      <c r="A453" t="inlineStr">
        <is>
          <t>A 16961-2022</t>
        </is>
      </c>
      <c r="B453" s="1" t="n">
        <v>44676</v>
      </c>
      <c r="C453" s="1" t="n">
        <v>46059</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15424-2022</t>
        </is>
      </c>
      <c r="B454" s="1" t="n">
        <v>44659</v>
      </c>
      <c r="C454" s="1" t="n">
        <v>46059</v>
      </c>
      <c r="D454" t="inlineStr">
        <is>
          <t>ÖREBRO LÄN</t>
        </is>
      </c>
      <c r="E454" t="inlineStr">
        <is>
          <t>ÖREBRO</t>
        </is>
      </c>
      <c r="G454" t="n">
        <v>2.2</v>
      </c>
      <c r="H454" t="n">
        <v>0</v>
      </c>
      <c r="I454" t="n">
        <v>0</v>
      </c>
      <c r="J454" t="n">
        <v>0</v>
      </c>
      <c r="K454" t="n">
        <v>0</v>
      </c>
      <c r="L454" t="n">
        <v>0</v>
      </c>
      <c r="M454" t="n">
        <v>0</v>
      </c>
      <c r="N454" t="n">
        <v>0</v>
      </c>
      <c r="O454" t="n">
        <v>0</v>
      </c>
      <c r="P454" t="n">
        <v>0</v>
      </c>
      <c r="Q454" t="n">
        <v>0</v>
      </c>
      <c r="R454" s="2" t="inlineStr"/>
    </row>
    <row r="455" ht="15" customHeight="1">
      <c r="A455" t="inlineStr">
        <is>
          <t>A 13700-2024</t>
        </is>
      </c>
      <c r="B455" s="1" t="n">
        <v>45390.59277777778</v>
      </c>
      <c r="C455" s="1" t="n">
        <v>46059</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3659-2025</t>
        </is>
      </c>
      <c r="B456" s="1" t="n">
        <v>45681</v>
      </c>
      <c r="C456" s="1" t="n">
        <v>46059</v>
      </c>
      <c r="D456" t="inlineStr">
        <is>
          <t>ÖREBRO LÄN</t>
        </is>
      </c>
      <c r="E456" t="inlineStr">
        <is>
          <t>ÖREBRO</t>
        </is>
      </c>
      <c r="G456" t="n">
        <v>15.8</v>
      </c>
      <c r="H456" t="n">
        <v>0</v>
      </c>
      <c r="I456" t="n">
        <v>0</v>
      </c>
      <c r="J456" t="n">
        <v>0</v>
      </c>
      <c r="K456" t="n">
        <v>0</v>
      </c>
      <c r="L456" t="n">
        <v>0</v>
      </c>
      <c r="M456" t="n">
        <v>0</v>
      </c>
      <c r="N456" t="n">
        <v>0</v>
      </c>
      <c r="O456" t="n">
        <v>0</v>
      </c>
      <c r="P456" t="n">
        <v>0</v>
      </c>
      <c r="Q456" t="n">
        <v>0</v>
      </c>
      <c r="R456" s="2" t="inlineStr"/>
    </row>
    <row r="457" ht="15" customHeight="1">
      <c r="A457" t="inlineStr">
        <is>
          <t>A 1014-2024</t>
        </is>
      </c>
      <c r="B457" s="1" t="n">
        <v>45301</v>
      </c>
      <c r="C457" s="1" t="n">
        <v>46059</v>
      </c>
      <c r="D457" t="inlineStr">
        <is>
          <t>ÖREBRO LÄN</t>
        </is>
      </c>
      <c r="E457" t="inlineStr">
        <is>
          <t>ÖREBRO</t>
        </is>
      </c>
      <c r="G457" t="n">
        <v>1.4</v>
      </c>
      <c r="H457" t="n">
        <v>0</v>
      </c>
      <c r="I457" t="n">
        <v>0</v>
      </c>
      <c r="J457" t="n">
        <v>0</v>
      </c>
      <c r="K457" t="n">
        <v>0</v>
      </c>
      <c r="L457" t="n">
        <v>0</v>
      </c>
      <c r="M457" t="n">
        <v>0</v>
      </c>
      <c r="N457" t="n">
        <v>0</v>
      </c>
      <c r="O457" t="n">
        <v>0</v>
      </c>
      <c r="P457" t="n">
        <v>0</v>
      </c>
      <c r="Q457" t="n">
        <v>0</v>
      </c>
      <c r="R457" s="2" t="inlineStr"/>
    </row>
    <row r="458" ht="15" customHeight="1">
      <c r="A458" t="inlineStr">
        <is>
          <t>A 8374-2021</t>
        </is>
      </c>
      <c r="B458" s="1" t="n">
        <v>44244</v>
      </c>
      <c r="C458" s="1" t="n">
        <v>46059</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767-2024</t>
        </is>
      </c>
      <c r="B459" s="1" t="n">
        <v>45300.51892361111</v>
      </c>
      <c r="C459" s="1" t="n">
        <v>46059</v>
      </c>
      <c r="D459" t="inlineStr">
        <is>
          <t>ÖREBRO LÄN</t>
        </is>
      </c>
      <c r="E459" t="inlineStr">
        <is>
          <t>ÖREBRO</t>
        </is>
      </c>
      <c r="G459" t="n">
        <v>2</v>
      </c>
      <c r="H459" t="n">
        <v>0</v>
      </c>
      <c r="I459" t="n">
        <v>0</v>
      </c>
      <c r="J459" t="n">
        <v>0</v>
      </c>
      <c r="K459" t="n">
        <v>0</v>
      </c>
      <c r="L459" t="n">
        <v>0</v>
      </c>
      <c r="M459" t="n">
        <v>0</v>
      </c>
      <c r="N459" t="n">
        <v>0</v>
      </c>
      <c r="O459" t="n">
        <v>0</v>
      </c>
      <c r="P459" t="n">
        <v>0</v>
      </c>
      <c r="Q459" t="n">
        <v>0</v>
      </c>
      <c r="R459" s="2" t="inlineStr"/>
    </row>
    <row r="460" ht="15" customHeight="1">
      <c r="A460" t="inlineStr">
        <is>
          <t>A 44511-2023</t>
        </is>
      </c>
      <c r="B460" s="1" t="n">
        <v>45189</v>
      </c>
      <c r="C460" s="1" t="n">
        <v>46059</v>
      </c>
      <c r="D460" t="inlineStr">
        <is>
          <t>ÖREBRO LÄN</t>
        </is>
      </c>
      <c r="E460" t="inlineStr">
        <is>
          <t>ÖREBRO</t>
        </is>
      </c>
      <c r="F460" t="inlineStr">
        <is>
          <t>Allmännings- och besparingsskogar</t>
        </is>
      </c>
      <c r="G460" t="n">
        <v>2.7</v>
      </c>
      <c r="H460" t="n">
        <v>0</v>
      </c>
      <c r="I460" t="n">
        <v>0</v>
      </c>
      <c r="J460" t="n">
        <v>0</v>
      </c>
      <c r="K460" t="n">
        <v>0</v>
      </c>
      <c r="L460" t="n">
        <v>0</v>
      </c>
      <c r="M460" t="n">
        <v>0</v>
      </c>
      <c r="N460" t="n">
        <v>0</v>
      </c>
      <c r="O460" t="n">
        <v>0</v>
      </c>
      <c r="P460" t="n">
        <v>0</v>
      </c>
      <c r="Q460" t="n">
        <v>0</v>
      </c>
      <c r="R460" s="2" t="inlineStr"/>
    </row>
    <row r="461" ht="15" customHeight="1">
      <c r="A461" t="inlineStr">
        <is>
          <t>A 53234-2023</t>
        </is>
      </c>
      <c r="B461" s="1" t="n">
        <v>45229</v>
      </c>
      <c r="C461" s="1" t="n">
        <v>46059</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8512-2025</t>
        </is>
      </c>
      <c r="B462" s="1" t="n">
        <v>45709.54873842592</v>
      </c>
      <c r="C462" s="1" t="n">
        <v>46059</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28054-2022</t>
        </is>
      </c>
      <c r="B463" s="1" t="n">
        <v>44746.41938657407</v>
      </c>
      <c r="C463" s="1" t="n">
        <v>46059</v>
      </c>
      <c r="D463" t="inlineStr">
        <is>
          <t>ÖREBRO LÄN</t>
        </is>
      </c>
      <c r="E463" t="inlineStr">
        <is>
          <t>ÖREBRO</t>
        </is>
      </c>
      <c r="G463" t="n">
        <v>1.2</v>
      </c>
      <c r="H463" t="n">
        <v>0</v>
      </c>
      <c r="I463" t="n">
        <v>0</v>
      </c>
      <c r="J463" t="n">
        <v>0</v>
      </c>
      <c r="K463" t="n">
        <v>0</v>
      </c>
      <c r="L463" t="n">
        <v>0</v>
      </c>
      <c r="M463" t="n">
        <v>0</v>
      </c>
      <c r="N463" t="n">
        <v>0</v>
      </c>
      <c r="O463" t="n">
        <v>0</v>
      </c>
      <c r="P463" t="n">
        <v>0</v>
      </c>
      <c r="Q463" t="n">
        <v>0</v>
      </c>
      <c r="R463" s="2" t="inlineStr"/>
    </row>
    <row r="464" ht="15" customHeight="1">
      <c r="A464" t="inlineStr">
        <is>
          <t>A 1647-2024</t>
        </is>
      </c>
      <c r="B464" s="1" t="n">
        <v>45306</v>
      </c>
      <c r="C464" s="1" t="n">
        <v>46059</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57485-2023</t>
        </is>
      </c>
      <c r="B465" s="1" t="n">
        <v>45246</v>
      </c>
      <c r="C465" s="1" t="n">
        <v>46059</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58032-2023</t>
        </is>
      </c>
      <c r="B466" s="1" t="n">
        <v>45247</v>
      </c>
      <c r="C466" s="1" t="n">
        <v>46059</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58035-2023</t>
        </is>
      </c>
      <c r="B467" s="1" t="n">
        <v>45247</v>
      </c>
      <c r="C467" s="1" t="n">
        <v>46059</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35829-2024</t>
        </is>
      </c>
      <c r="B468" s="1" t="n">
        <v>45532</v>
      </c>
      <c r="C468" s="1" t="n">
        <v>46059</v>
      </c>
      <c r="D468" t="inlineStr">
        <is>
          <t>ÖREBRO LÄN</t>
        </is>
      </c>
      <c r="E468" t="inlineStr">
        <is>
          <t>ÖREBRO</t>
        </is>
      </c>
      <c r="G468" t="n">
        <v>4.6</v>
      </c>
      <c r="H468" t="n">
        <v>0</v>
      </c>
      <c r="I468" t="n">
        <v>0</v>
      </c>
      <c r="J468" t="n">
        <v>0</v>
      </c>
      <c r="K468" t="n">
        <v>0</v>
      </c>
      <c r="L468" t="n">
        <v>0</v>
      </c>
      <c r="M468" t="n">
        <v>0</v>
      </c>
      <c r="N468" t="n">
        <v>0</v>
      </c>
      <c r="O468" t="n">
        <v>0</v>
      </c>
      <c r="P468" t="n">
        <v>0</v>
      </c>
      <c r="Q468" t="n">
        <v>0</v>
      </c>
      <c r="R468" s="2" t="inlineStr"/>
    </row>
    <row r="469" ht="15" customHeight="1">
      <c r="A469" t="inlineStr">
        <is>
          <t>A 35833-2024</t>
        </is>
      </c>
      <c r="B469" s="1" t="n">
        <v>45532.68699074074</v>
      </c>
      <c r="C469" s="1" t="n">
        <v>46059</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14717-2024</t>
        </is>
      </c>
      <c r="B470" s="1" t="n">
        <v>45397.55104166667</v>
      </c>
      <c r="C470" s="1" t="n">
        <v>46059</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5133-2024</t>
        </is>
      </c>
      <c r="B471" s="1" t="n">
        <v>45330</v>
      </c>
      <c r="C471" s="1" t="n">
        <v>46059</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14432-2023</t>
        </is>
      </c>
      <c r="B472" s="1" t="n">
        <v>45012</v>
      </c>
      <c r="C472" s="1" t="n">
        <v>46059</v>
      </c>
      <c r="D472" t="inlineStr">
        <is>
          <t>ÖREBRO LÄN</t>
        </is>
      </c>
      <c r="E472" t="inlineStr">
        <is>
          <t>ÖREBRO</t>
        </is>
      </c>
      <c r="G472" t="n">
        <v>3.3</v>
      </c>
      <c r="H472" t="n">
        <v>0</v>
      </c>
      <c r="I472" t="n">
        <v>0</v>
      </c>
      <c r="J472" t="n">
        <v>0</v>
      </c>
      <c r="K472" t="n">
        <v>0</v>
      </c>
      <c r="L472" t="n">
        <v>0</v>
      </c>
      <c r="M472" t="n">
        <v>0</v>
      </c>
      <c r="N472" t="n">
        <v>0</v>
      </c>
      <c r="O472" t="n">
        <v>0</v>
      </c>
      <c r="P472" t="n">
        <v>0</v>
      </c>
      <c r="Q472" t="n">
        <v>0</v>
      </c>
      <c r="R472" s="2" t="inlineStr"/>
    </row>
    <row r="473" ht="15" customHeight="1">
      <c r="A473" t="inlineStr">
        <is>
          <t>A 10339-2023</t>
        </is>
      </c>
      <c r="B473" s="1" t="n">
        <v>44987</v>
      </c>
      <c r="C473" s="1" t="n">
        <v>46059</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190-2024</t>
        </is>
      </c>
      <c r="B474" s="1" t="n">
        <v>45294.61858796296</v>
      </c>
      <c r="C474" s="1" t="n">
        <v>46059</v>
      </c>
      <c r="D474" t="inlineStr">
        <is>
          <t>ÖREBRO LÄN</t>
        </is>
      </c>
      <c r="E474" t="inlineStr">
        <is>
          <t>ÖREBRO</t>
        </is>
      </c>
      <c r="G474" t="n">
        <v>2.4</v>
      </c>
      <c r="H474" t="n">
        <v>0</v>
      </c>
      <c r="I474" t="n">
        <v>0</v>
      </c>
      <c r="J474" t="n">
        <v>0</v>
      </c>
      <c r="K474" t="n">
        <v>0</v>
      </c>
      <c r="L474" t="n">
        <v>0</v>
      </c>
      <c r="M474" t="n">
        <v>0</v>
      </c>
      <c r="N474" t="n">
        <v>0</v>
      </c>
      <c r="O474" t="n">
        <v>0</v>
      </c>
      <c r="P474" t="n">
        <v>0</v>
      </c>
      <c r="Q474" t="n">
        <v>0</v>
      </c>
      <c r="R474" s="2" t="inlineStr"/>
    </row>
    <row r="475" ht="15" customHeight="1">
      <c r="A475" t="inlineStr">
        <is>
          <t>A 62497-2023</t>
        </is>
      </c>
      <c r="B475" s="1" t="n">
        <v>45268.59935185185</v>
      </c>
      <c r="C475" s="1" t="n">
        <v>46059</v>
      </c>
      <c r="D475" t="inlineStr">
        <is>
          <t>ÖREBRO LÄN</t>
        </is>
      </c>
      <c r="E475" t="inlineStr">
        <is>
          <t>ÖREBRO</t>
        </is>
      </c>
      <c r="F475" t="inlineStr">
        <is>
          <t>Övriga Aktiebolag</t>
        </is>
      </c>
      <c r="G475" t="n">
        <v>3.2</v>
      </c>
      <c r="H475" t="n">
        <v>0</v>
      </c>
      <c r="I475" t="n">
        <v>0</v>
      </c>
      <c r="J475" t="n">
        <v>0</v>
      </c>
      <c r="K475" t="n">
        <v>0</v>
      </c>
      <c r="L475" t="n">
        <v>0</v>
      </c>
      <c r="M475" t="n">
        <v>0</v>
      </c>
      <c r="N475" t="n">
        <v>0</v>
      </c>
      <c r="O475" t="n">
        <v>0</v>
      </c>
      <c r="P475" t="n">
        <v>0</v>
      </c>
      <c r="Q475" t="n">
        <v>0</v>
      </c>
      <c r="R475" s="2" t="inlineStr"/>
    </row>
    <row r="476" ht="15" customHeight="1">
      <c r="A476" t="inlineStr">
        <is>
          <t>A 43399-2022</t>
        </is>
      </c>
      <c r="B476" s="1" t="n">
        <v>44834</v>
      </c>
      <c r="C476" s="1" t="n">
        <v>46059</v>
      </c>
      <c r="D476" t="inlineStr">
        <is>
          <t>ÖREBRO LÄN</t>
        </is>
      </c>
      <c r="E476" t="inlineStr">
        <is>
          <t>ÖREBRO</t>
        </is>
      </c>
      <c r="G476" t="n">
        <v>1.3</v>
      </c>
      <c r="H476" t="n">
        <v>0</v>
      </c>
      <c r="I476" t="n">
        <v>0</v>
      </c>
      <c r="J476" t="n">
        <v>0</v>
      </c>
      <c r="K476" t="n">
        <v>0</v>
      </c>
      <c r="L476" t="n">
        <v>0</v>
      </c>
      <c r="M476" t="n">
        <v>0</v>
      </c>
      <c r="N476" t="n">
        <v>0</v>
      </c>
      <c r="O476" t="n">
        <v>0</v>
      </c>
      <c r="P476" t="n">
        <v>0</v>
      </c>
      <c r="Q476" t="n">
        <v>0</v>
      </c>
      <c r="R476" s="2" t="inlineStr"/>
    </row>
    <row r="477" ht="15" customHeight="1">
      <c r="A477" t="inlineStr">
        <is>
          <t>A 63142-2023</t>
        </is>
      </c>
      <c r="B477" s="1" t="n">
        <v>45273</v>
      </c>
      <c r="C477" s="1" t="n">
        <v>46059</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37021-2024</t>
        </is>
      </c>
      <c r="B478" s="1" t="n">
        <v>45539.38146990741</v>
      </c>
      <c r="C478" s="1" t="n">
        <v>46059</v>
      </c>
      <c r="D478" t="inlineStr">
        <is>
          <t>ÖREBRO LÄN</t>
        </is>
      </c>
      <c r="E478" t="inlineStr">
        <is>
          <t>ÖREBRO</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23573-2023</t>
        </is>
      </c>
      <c r="B479" s="1" t="n">
        <v>45077.41672453703</v>
      </c>
      <c r="C479" s="1" t="n">
        <v>46059</v>
      </c>
      <c r="D479" t="inlineStr">
        <is>
          <t>ÖREBRO LÄN</t>
        </is>
      </c>
      <c r="E479" t="inlineStr">
        <is>
          <t>ÖREBRO</t>
        </is>
      </c>
      <c r="G479" t="n">
        <v>2.9</v>
      </c>
      <c r="H479" t="n">
        <v>0</v>
      </c>
      <c r="I479" t="n">
        <v>0</v>
      </c>
      <c r="J479" t="n">
        <v>0</v>
      </c>
      <c r="K479" t="n">
        <v>0</v>
      </c>
      <c r="L479" t="n">
        <v>0</v>
      </c>
      <c r="M479" t="n">
        <v>0</v>
      </c>
      <c r="N479" t="n">
        <v>0</v>
      </c>
      <c r="O479" t="n">
        <v>0</v>
      </c>
      <c r="P479" t="n">
        <v>0</v>
      </c>
      <c r="Q479" t="n">
        <v>0</v>
      </c>
      <c r="R479" s="2" t="inlineStr"/>
    </row>
    <row r="480" ht="15" customHeight="1">
      <c r="A480" t="inlineStr">
        <is>
          <t>A 13762-2023</t>
        </is>
      </c>
      <c r="B480" s="1" t="n">
        <v>45007.43729166667</v>
      </c>
      <c r="C480" s="1" t="n">
        <v>46059</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5129-2024</t>
        </is>
      </c>
      <c r="B481" s="1" t="n">
        <v>45330</v>
      </c>
      <c r="C481" s="1" t="n">
        <v>46059</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1492-2022</t>
        </is>
      </c>
      <c r="B482" s="1" t="n">
        <v>44573</v>
      </c>
      <c r="C482" s="1" t="n">
        <v>46059</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59026-2024</t>
        </is>
      </c>
      <c r="B483" s="1" t="n">
        <v>45636.6875</v>
      </c>
      <c r="C483" s="1" t="n">
        <v>46059</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52623-2024</t>
        </is>
      </c>
      <c r="B484" s="1" t="n">
        <v>45609</v>
      </c>
      <c r="C484" s="1" t="n">
        <v>46059</v>
      </c>
      <c r="D484" t="inlineStr">
        <is>
          <t>ÖREBRO LÄN</t>
        </is>
      </c>
      <c r="E484" t="inlineStr">
        <is>
          <t>ÖREBRO</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62511-2023</t>
        </is>
      </c>
      <c r="B485" s="1" t="n">
        <v>45268.61855324074</v>
      </c>
      <c r="C485" s="1" t="n">
        <v>46059</v>
      </c>
      <c r="D485" t="inlineStr">
        <is>
          <t>ÖREBRO LÄN</t>
        </is>
      </c>
      <c r="E485" t="inlineStr">
        <is>
          <t>ÖREBRO</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40522-2024</t>
        </is>
      </c>
      <c r="B486" s="1" t="n">
        <v>45555.59717592593</v>
      </c>
      <c r="C486" s="1" t="n">
        <v>46059</v>
      </c>
      <c r="D486" t="inlineStr">
        <is>
          <t>ÖREBRO LÄN</t>
        </is>
      </c>
      <c r="E486" t="inlineStr">
        <is>
          <t>ÖREBRO</t>
        </is>
      </c>
      <c r="G486" t="n">
        <v>5.1</v>
      </c>
      <c r="H486" t="n">
        <v>0</v>
      </c>
      <c r="I486" t="n">
        <v>0</v>
      </c>
      <c r="J486" t="n">
        <v>0</v>
      </c>
      <c r="K486" t="n">
        <v>0</v>
      </c>
      <c r="L486" t="n">
        <v>0</v>
      </c>
      <c r="M486" t="n">
        <v>0</v>
      </c>
      <c r="N486" t="n">
        <v>0</v>
      </c>
      <c r="O486" t="n">
        <v>0</v>
      </c>
      <c r="P486" t="n">
        <v>0</v>
      </c>
      <c r="Q486" t="n">
        <v>0</v>
      </c>
      <c r="R486" s="2" t="inlineStr"/>
    </row>
    <row r="487" ht="15" customHeight="1">
      <c r="A487" t="inlineStr">
        <is>
          <t>A 33577-2023</t>
        </is>
      </c>
      <c r="B487" s="1" t="n">
        <v>45131</v>
      </c>
      <c r="C487" s="1" t="n">
        <v>46059</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18360-2024</t>
        </is>
      </c>
      <c r="B488" s="1" t="n">
        <v>45422</v>
      </c>
      <c r="C488" s="1" t="n">
        <v>46059</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7611-2024</t>
        </is>
      </c>
      <c r="B489" s="1" t="n">
        <v>45348.58864583333</v>
      </c>
      <c r="C489" s="1" t="n">
        <v>46059</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13347-2023</t>
        </is>
      </c>
      <c r="B490" s="1" t="n">
        <v>45004</v>
      </c>
      <c r="C490" s="1" t="n">
        <v>46059</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187-2024</t>
        </is>
      </c>
      <c r="B491" s="1" t="n">
        <v>45294</v>
      </c>
      <c r="C491" s="1" t="n">
        <v>46059</v>
      </c>
      <c r="D491" t="inlineStr">
        <is>
          <t>ÖREBRO LÄN</t>
        </is>
      </c>
      <c r="E491" t="inlineStr">
        <is>
          <t>ÖREBRO</t>
        </is>
      </c>
      <c r="G491" t="n">
        <v>5.9</v>
      </c>
      <c r="H491" t="n">
        <v>0</v>
      </c>
      <c r="I491" t="n">
        <v>0</v>
      </c>
      <c r="J491" t="n">
        <v>0</v>
      </c>
      <c r="K491" t="n">
        <v>0</v>
      </c>
      <c r="L491" t="n">
        <v>0</v>
      </c>
      <c r="M491" t="n">
        <v>0</v>
      </c>
      <c r="N491" t="n">
        <v>0</v>
      </c>
      <c r="O491" t="n">
        <v>0</v>
      </c>
      <c r="P491" t="n">
        <v>0</v>
      </c>
      <c r="Q491" t="n">
        <v>0</v>
      </c>
      <c r="R491" s="2" t="inlineStr"/>
    </row>
    <row r="492" ht="15" customHeight="1">
      <c r="A492" t="inlineStr">
        <is>
          <t>A 10832-2023</t>
        </is>
      </c>
      <c r="B492" s="1" t="n">
        <v>44990.91711805556</v>
      </c>
      <c r="C492" s="1" t="n">
        <v>46059</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2596-2022</t>
        </is>
      </c>
      <c r="B493" s="1" t="n">
        <v>44580</v>
      </c>
      <c r="C493" s="1" t="n">
        <v>46059</v>
      </c>
      <c r="D493" t="inlineStr">
        <is>
          <t>ÖREBRO LÄN</t>
        </is>
      </c>
      <c r="E493" t="inlineStr">
        <is>
          <t>ÖREBRO</t>
        </is>
      </c>
      <c r="G493" t="n">
        <v>4.3</v>
      </c>
      <c r="H493" t="n">
        <v>0</v>
      </c>
      <c r="I493" t="n">
        <v>0</v>
      </c>
      <c r="J493" t="n">
        <v>0</v>
      </c>
      <c r="K493" t="n">
        <v>0</v>
      </c>
      <c r="L493" t="n">
        <v>0</v>
      </c>
      <c r="M493" t="n">
        <v>0</v>
      </c>
      <c r="N493" t="n">
        <v>0</v>
      </c>
      <c r="O493" t="n">
        <v>0</v>
      </c>
      <c r="P493" t="n">
        <v>0</v>
      </c>
      <c r="Q493" t="n">
        <v>0</v>
      </c>
      <c r="R493" s="2" t="inlineStr"/>
    </row>
    <row r="494" ht="15" customHeight="1">
      <c r="A494" t="inlineStr">
        <is>
          <t>A 5338-2024</t>
        </is>
      </c>
      <c r="B494" s="1" t="n">
        <v>45331</v>
      </c>
      <c r="C494" s="1" t="n">
        <v>46059</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14487-2023</t>
        </is>
      </c>
      <c r="B495" s="1" t="n">
        <v>45012</v>
      </c>
      <c r="C495" s="1" t="n">
        <v>46059</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8565-2021</t>
        </is>
      </c>
      <c r="B496" s="1" t="n">
        <v>44245</v>
      </c>
      <c r="C496" s="1" t="n">
        <v>46059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4970-2022</t>
        </is>
      </c>
      <c r="B497" s="1" t="n">
        <v>44593.51175925926</v>
      </c>
      <c r="C497" s="1" t="n">
        <v>46059</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18047-2023</t>
        </is>
      </c>
      <c r="B498" s="1" t="n">
        <v>45040</v>
      </c>
      <c r="C498" s="1" t="n">
        <v>46059</v>
      </c>
      <c r="D498" t="inlineStr">
        <is>
          <t>ÖREBRO LÄN</t>
        </is>
      </c>
      <c r="E498" t="inlineStr">
        <is>
          <t>ÖREBRO</t>
        </is>
      </c>
      <c r="G498" t="n">
        <v>3.9</v>
      </c>
      <c r="H498" t="n">
        <v>0</v>
      </c>
      <c r="I498" t="n">
        <v>0</v>
      </c>
      <c r="J498" t="n">
        <v>0</v>
      </c>
      <c r="K498" t="n">
        <v>0</v>
      </c>
      <c r="L498" t="n">
        <v>0</v>
      </c>
      <c r="M498" t="n">
        <v>0</v>
      </c>
      <c r="N498" t="n">
        <v>0</v>
      </c>
      <c r="O498" t="n">
        <v>0</v>
      </c>
      <c r="P498" t="n">
        <v>0</v>
      </c>
      <c r="Q498" t="n">
        <v>0</v>
      </c>
      <c r="R498" s="2" t="inlineStr"/>
    </row>
    <row r="499" ht="15" customHeight="1">
      <c r="A499" t="inlineStr">
        <is>
          <t>A 3789-2023</t>
        </is>
      </c>
      <c r="B499" s="1" t="n">
        <v>44951</v>
      </c>
      <c r="C499" s="1" t="n">
        <v>46059</v>
      </c>
      <c r="D499" t="inlineStr">
        <is>
          <t>ÖREBRO LÄN</t>
        </is>
      </c>
      <c r="E499" t="inlineStr">
        <is>
          <t>ÖREBRO</t>
        </is>
      </c>
      <c r="G499" t="n">
        <v>7.5</v>
      </c>
      <c r="H499" t="n">
        <v>0</v>
      </c>
      <c r="I499" t="n">
        <v>0</v>
      </c>
      <c r="J499" t="n">
        <v>0</v>
      </c>
      <c r="K499" t="n">
        <v>0</v>
      </c>
      <c r="L499" t="n">
        <v>0</v>
      </c>
      <c r="M499" t="n">
        <v>0</v>
      </c>
      <c r="N499" t="n">
        <v>0</v>
      </c>
      <c r="O499" t="n">
        <v>0</v>
      </c>
      <c r="P499" t="n">
        <v>0</v>
      </c>
      <c r="Q499" t="n">
        <v>0</v>
      </c>
      <c r="R499" s="2" t="inlineStr"/>
    </row>
    <row r="500" ht="15" customHeight="1">
      <c r="A500" t="inlineStr">
        <is>
          <t>A 5026-2022</t>
        </is>
      </c>
      <c r="B500" s="1" t="n">
        <v>44593.63974537037</v>
      </c>
      <c r="C500" s="1" t="n">
        <v>46059</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54917-2023</t>
        </is>
      </c>
      <c r="B501" s="1" t="n">
        <v>45229</v>
      </c>
      <c r="C501" s="1" t="n">
        <v>46059</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72329-2021</t>
        </is>
      </c>
      <c r="B502" s="1" t="n">
        <v>44545.46072916667</v>
      </c>
      <c r="C502" s="1" t="n">
        <v>46059</v>
      </c>
      <c r="D502" t="inlineStr">
        <is>
          <t>ÖREBRO LÄN</t>
        </is>
      </c>
      <c r="E502" t="inlineStr">
        <is>
          <t>ÖREBRO</t>
        </is>
      </c>
      <c r="G502" t="n">
        <v>0.5</v>
      </c>
      <c r="H502" t="n">
        <v>0</v>
      </c>
      <c r="I502" t="n">
        <v>0</v>
      </c>
      <c r="J502" t="n">
        <v>0</v>
      </c>
      <c r="K502" t="n">
        <v>0</v>
      </c>
      <c r="L502" t="n">
        <v>0</v>
      </c>
      <c r="M502" t="n">
        <v>0</v>
      </c>
      <c r="N502" t="n">
        <v>0</v>
      </c>
      <c r="O502" t="n">
        <v>0</v>
      </c>
      <c r="P502" t="n">
        <v>0</v>
      </c>
      <c r="Q502" t="n">
        <v>0</v>
      </c>
      <c r="R502" s="2" t="inlineStr"/>
    </row>
    <row r="503" ht="15" customHeight="1">
      <c r="A503" t="inlineStr">
        <is>
          <t>A 43803-2023</t>
        </is>
      </c>
      <c r="B503" s="1" t="n">
        <v>45187</v>
      </c>
      <c r="C503" s="1" t="n">
        <v>46059</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15789-2023</t>
        </is>
      </c>
      <c r="B504" s="1" t="n">
        <v>45021.71539351852</v>
      </c>
      <c r="C504" s="1" t="n">
        <v>46059</v>
      </c>
      <c r="D504" t="inlineStr">
        <is>
          <t>ÖREBRO LÄN</t>
        </is>
      </c>
      <c r="E504" t="inlineStr">
        <is>
          <t>ÖREBRO</t>
        </is>
      </c>
      <c r="F504" t="inlineStr">
        <is>
          <t>Övriga Aktiebolag</t>
        </is>
      </c>
      <c r="G504" t="n">
        <v>3.7</v>
      </c>
      <c r="H504" t="n">
        <v>0</v>
      </c>
      <c r="I504" t="n">
        <v>0</v>
      </c>
      <c r="J504" t="n">
        <v>0</v>
      </c>
      <c r="K504" t="n">
        <v>0</v>
      </c>
      <c r="L504" t="n">
        <v>0</v>
      </c>
      <c r="M504" t="n">
        <v>0</v>
      </c>
      <c r="N504" t="n">
        <v>0</v>
      </c>
      <c r="O504" t="n">
        <v>0</v>
      </c>
      <c r="P504" t="n">
        <v>0</v>
      </c>
      <c r="Q504" t="n">
        <v>0</v>
      </c>
      <c r="R504" s="2" t="inlineStr"/>
    </row>
    <row r="505" ht="15" customHeight="1">
      <c r="A505" t="inlineStr">
        <is>
          <t>A 58539-2024</t>
        </is>
      </c>
      <c r="B505" s="1" t="n">
        <v>45635.45157407408</v>
      </c>
      <c r="C505" s="1" t="n">
        <v>46059</v>
      </c>
      <c r="D505" t="inlineStr">
        <is>
          <t>ÖREBRO LÄN</t>
        </is>
      </c>
      <c r="E505" t="inlineStr">
        <is>
          <t>ÖREBRO</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59757-2023</t>
        </is>
      </c>
      <c r="B506" s="1" t="n">
        <v>45257.40833333333</v>
      </c>
      <c r="C506" s="1" t="n">
        <v>46059</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17869-2024</t>
        </is>
      </c>
      <c r="B507" s="1" t="n">
        <v>45419</v>
      </c>
      <c r="C507" s="1" t="n">
        <v>46059</v>
      </c>
      <c r="D507" t="inlineStr">
        <is>
          <t>ÖREBRO LÄN</t>
        </is>
      </c>
      <c r="E507" t="inlineStr">
        <is>
          <t>ÖREBRO</t>
        </is>
      </c>
      <c r="G507" t="n">
        <v>3.7</v>
      </c>
      <c r="H507" t="n">
        <v>0</v>
      </c>
      <c r="I507" t="n">
        <v>0</v>
      </c>
      <c r="J507" t="n">
        <v>0</v>
      </c>
      <c r="K507" t="n">
        <v>0</v>
      </c>
      <c r="L507" t="n">
        <v>0</v>
      </c>
      <c r="M507" t="n">
        <v>0</v>
      </c>
      <c r="N507" t="n">
        <v>0</v>
      </c>
      <c r="O507" t="n">
        <v>0</v>
      </c>
      <c r="P507" t="n">
        <v>0</v>
      </c>
      <c r="Q507" t="n">
        <v>0</v>
      </c>
      <c r="R507" s="2" t="inlineStr"/>
    </row>
    <row r="508" ht="15" customHeight="1">
      <c r="A508" t="inlineStr">
        <is>
          <t>A 71272-2021</t>
        </is>
      </c>
      <c r="B508" s="1" t="n">
        <v>44539.61571759259</v>
      </c>
      <c r="C508" s="1" t="n">
        <v>46059</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4557-2023</t>
        </is>
      </c>
      <c r="B509" s="1" t="n">
        <v>44956.6655787037</v>
      </c>
      <c r="C509" s="1" t="n">
        <v>46059</v>
      </c>
      <c r="D509" t="inlineStr">
        <is>
          <t>ÖREBRO LÄN</t>
        </is>
      </c>
      <c r="E509" t="inlineStr">
        <is>
          <t>ÖREBRO</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60100-2022</t>
        </is>
      </c>
      <c r="B510" s="1" t="n">
        <v>44902</v>
      </c>
      <c r="C510" s="1" t="n">
        <v>46059</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17465-2023</t>
        </is>
      </c>
      <c r="B511" s="1" t="n">
        <v>45036</v>
      </c>
      <c r="C511" s="1" t="n">
        <v>46059</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52016-2024</t>
        </is>
      </c>
      <c r="B512" s="1" t="n">
        <v>45607.81917824074</v>
      </c>
      <c r="C512" s="1" t="n">
        <v>46059</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52477-2024</t>
        </is>
      </c>
      <c r="B513" s="1" t="n">
        <v>45609</v>
      </c>
      <c r="C513" s="1" t="n">
        <v>46059</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53558-2023</t>
        </is>
      </c>
      <c r="B514" s="1" t="n">
        <v>45230.47266203703</v>
      </c>
      <c r="C514" s="1" t="n">
        <v>46059</v>
      </c>
      <c r="D514" t="inlineStr">
        <is>
          <t>ÖREBRO LÄN</t>
        </is>
      </c>
      <c r="E514" t="inlineStr">
        <is>
          <t>ÖREBRO</t>
        </is>
      </c>
      <c r="F514" t="inlineStr">
        <is>
          <t>Övriga Aktiebolag</t>
        </is>
      </c>
      <c r="G514" t="n">
        <v>4.7</v>
      </c>
      <c r="H514" t="n">
        <v>0</v>
      </c>
      <c r="I514" t="n">
        <v>0</v>
      </c>
      <c r="J514" t="n">
        <v>0</v>
      </c>
      <c r="K514" t="n">
        <v>0</v>
      </c>
      <c r="L514" t="n">
        <v>0</v>
      </c>
      <c r="M514" t="n">
        <v>0</v>
      </c>
      <c r="N514" t="n">
        <v>0</v>
      </c>
      <c r="O514" t="n">
        <v>0</v>
      </c>
      <c r="P514" t="n">
        <v>0</v>
      </c>
      <c r="Q514" t="n">
        <v>0</v>
      </c>
      <c r="R514" s="2" t="inlineStr"/>
    </row>
    <row r="515" ht="15" customHeight="1">
      <c r="A515" t="inlineStr">
        <is>
          <t>A 35843-2022</t>
        </is>
      </c>
      <c r="B515" s="1" t="n">
        <v>44802</v>
      </c>
      <c r="C515" s="1" t="n">
        <v>46059</v>
      </c>
      <c r="D515" t="inlineStr">
        <is>
          <t>ÖREBRO LÄN</t>
        </is>
      </c>
      <c r="E515" t="inlineStr">
        <is>
          <t>ÖREBRO</t>
        </is>
      </c>
      <c r="G515" t="n">
        <v>2.4</v>
      </c>
      <c r="H515" t="n">
        <v>0</v>
      </c>
      <c r="I515" t="n">
        <v>0</v>
      </c>
      <c r="J515" t="n">
        <v>0</v>
      </c>
      <c r="K515" t="n">
        <v>0</v>
      </c>
      <c r="L515" t="n">
        <v>0</v>
      </c>
      <c r="M515" t="n">
        <v>0</v>
      </c>
      <c r="N515" t="n">
        <v>0</v>
      </c>
      <c r="O515" t="n">
        <v>0</v>
      </c>
      <c r="P515" t="n">
        <v>0</v>
      </c>
      <c r="Q515" t="n">
        <v>0</v>
      </c>
      <c r="R515" s="2" t="inlineStr"/>
    </row>
    <row r="516" ht="15" customHeight="1">
      <c r="A516" t="inlineStr">
        <is>
          <t>A 51373-2023</t>
        </is>
      </c>
      <c r="B516" s="1" t="n">
        <v>45213</v>
      </c>
      <c r="C516" s="1" t="n">
        <v>46059</v>
      </c>
      <c r="D516" t="inlineStr">
        <is>
          <t>ÖREBRO LÄN</t>
        </is>
      </c>
      <c r="E516" t="inlineStr">
        <is>
          <t>ÖREBRO</t>
        </is>
      </c>
      <c r="G516" t="n">
        <v>5.9</v>
      </c>
      <c r="H516" t="n">
        <v>0</v>
      </c>
      <c r="I516" t="n">
        <v>0</v>
      </c>
      <c r="J516" t="n">
        <v>0</v>
      </c>
      <c r="K516" t="n">
        <v>0</v>
      </c>
      <c r="L516" t="n">
        <v>0</v>
      </c>
      <c r="M516" t="n">
        <v>0</v>
      </c>
      <c r="N516" t="n">
        <v>0</v>
      </c>
      <c r="O516" t="n">
        <v>0</v>
      </c>
      <c r="P516" t="n">
        <v>0</v>
      </c>
      <c r="Q516" t="n">
        <v>0</v>
      </c>
      <c r="R516" s="2" t="inlineStr"/>
    </row>
    <row r="517" ht="15" customHeight="1">
      <c r="A517" t="inlineStr">
        <is>
          <t>A 1257-2022</t>
        </is>
      </c>
      <c r="B517" s="1" t="n">
        <v>44572</v>
      </c>
      <c r="C517" s="1" t="n">
        <v>46059</v>
      </c>
      <c r="D517" t="inlineStr">
        <is>
          <t>ÖREBRO LÄN</t>
        </is>
      </c>
      <c r="E517" t="inlineStr">
        <is>
          <t>ÖREBRO</t>
        </is>
      </c>
      <c r="G517" t="n">
        <v>1.4</v>
      </c>
      <c r="H517" t="n">
        <v>0</v>
      </c>
      <c r="I517" t="n">
        <v>0</v>
      </c>
      <c r="J517" t="n">
        <v>0</v>
      </c>
      <c r="K517" t="n">
        <v>0</v>
      </c>
      <c r="L517" t="n">
        <v>0</v>
      </c>
      <c r="M517" t="n">
        <v>0</v>
      </c>
      <c r="N517" t="n">
        <v>0</v>
      </c>
      <c r="O517" t="n">
        <v>0</v>
      </c>
      <c r="P517" t="n">
        <v>0</v>
      </c>
      <c r="Q517" t="n">
        <v>0</v>
      </c>
      <c r="R517" s="2" t="inlineStr"/>
    </row>
    <row r="518" ht="15" customHeight="1">
      <c r="A518" t="inlineStr">
        <is>
          <t>A 40656-2023</t>
        </is>
      </c>
      <c r="B518" s="1" t="n">
        <v>45170</v>
      </c>
      <c r="C518" s="1" t="n">
        <v>46059</v>
      </c>
      <c r="D518" t="inlineStr">
        <is>
          <t>ÖREBRO LÄN</t>
        </is>
      </c>
      <c r="E518" t="inlineStr">
        <is>
          <t>ÖREBRO</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46059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71288-2021</t>
        </is>
      </c>
      <c r="B520" s="1" t="n">
        <v>44539.62481481482</v>
      </c>
      <c r="C520" s="1" t="n">
        <v>46059</v>
      </c>
      <c r="D520" t="inlineStr">
        <is>
          <t>ÖREBRO LÄN</t>
        </is>
      </c>
      <c r="E520" t="inlineStr">
        <is>
          <t>ÖREBRO</t>
        </is>
      </c>
      <c r="G520" t="n">
        <v>3.9</v>
      </c>
      <c r="H520" t="n">
        <v>0</v>
      </c>
      <c r="I520" t="n">
        <v>0</v>
      </c>
      <c r="J520" t="n">
        <v>0</v>
      </c>
      <c r="K520" t="n">
        <v>0</v>
      </c>
      <c r="L520" t="n">
        <v>0</v>
      </c>
      <c r="M520" t="n">
        <v>0</v>
      </c>
      <c r="N520" t="n">
        <v>0</v>
      </c>
      <c r="O520" t="n">
        <v>0</v>
      </c>
      <c r="P520" t="n">
        <v>0</v>
      </c>
      <c r="Q520" t="n">
        <v>0</v>
      </c>
      <c r="R520" s="2" t="inlineStr"/>
    </row>
    <row r="521" ht="15" customHeight="1">
      <c r="A521" t="inlineStr">
        <is>
          <t>A 10830-2023</t>
        </is>
      </c>
      <c r="B521" s="1" t="n">
        <v>44990.89752314815</v>
      </c>
      <c r="C521" s="1" t="n">
        <v>46059</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7692-2023</t>
        </is>
      </c>
      <c r="B522" s="1" t="n">
        <v>44972.7762962963</v>
      </c>
      <c r="C522" s="1" t="n">
        <v>46059</v>
      </c>
      <c r="D522" t="inlineStr">
        <is>
          <t>ÖREBRO LÄN</t>
        </is>
      </c>
      <c r="E522" t="inlineStr">
        <is>
          <t>ÖREBRO</t>
        </is>
      </c>
      <c r="G522" t="n">
        <v>1.5</v>
      </c>
      <c r="H522" t="n">
        <v>0</v>
      </c>
      <c r="I522" t="n">
        <v>0</v>
      </c>
      <c r="J522" t="n">
        <v>0</v>
      </c>
      <c r="K522" t="n">
        <v>0</v>
      </c>
      <c r="L522" t="n">
        <v>0</v>
      </c>
      <c r="M522" t="n">
        <v>0</v>
      </c>
      <c r="N522" t="n">
        <v>0</v>
      </c>
      <c r="O522" t="n">
        <v>0</v>
      </c>
      <c r="P522" t="n">
        <v>0</v>
      </c>
      <c r="Q522" t="n">
        <v>0</v>
      </c>
      <c r="R522" s="2" t="inlineStr"/>
    </row>
    <row r="523" ht="15" customHeight="1">
      <c r="A523" t="inlineStr">
        <is>
          <t>A 31240-2023</t>
        </is>
      </c>
      <c r="B523" s="1" t="n">
        <v>45114</v>
      </c>
      <c r="C523" s="1" t="n">
        <v>46059</v>
      </c>
      <c r="D523" t="inlineStr">
        <is>
          <t>ÖREBRO LÄN</t>
        </is>
      </c>
      <c r="E523" t="inlineStr">
        <is>
          <t>ÖREBRO</t>
        </is>
      </c>
      <c r="F523" t="inlineStr">
        <is>
          <t>Allmännings- och besparingsskogar</t>
        </is>
      </c>
      <c r="G523" t="n">
        <v>6.2</v>
      </c>
      <c r="H523" t="n">
        <v>0</v>
      </c>
      <c r="I523" t="n">
        <v>0</v>
      </c>
      <c r="J523" t="n">
        <v>0</v>
      </c>
      <c r="K523" t="n">
        <v>0</v>
      </c>
      <c r="L523" t="n">
        <v>0</v>
      </c>
      <c r="M523" t="n">
        <v>0</v>
      </c>
      <c r="N523" t="n">
        <v>0</v>
      </c>
      <c r="O523" t="n">
        <v>0</v>
      </c>
      <c r="P523" t="n">
        <v>0</v>
      </c>
      <c r="Q523" t="n">
        <v>0</v>
      </c>
      <c r="R523" s="2" t="inlineStr"/>
    </row>
    <row r="524" ht="15" customHeight="1">
      <c r="A524" t="inlineStr">
        <is>
          <t>A 50026-2024</t>
        </is>
      </c>
      <c r="B524" s="1" t="n">
        <v>45599.60541666667</v>
      </c>
      <c r="C524" s="1" t="n">
        <v>46059</v>
      </c>
      <c r="D524" t="inlineStr">
        <is>
          <t>ÖREBRO LÄN</t>
        </is>
      </c>
      <c r="E524" t="inlineStr">
        <is>
          <t>ÖREBRO</t>
        </is>
      </c>
      <c r="G524" t="n">
        <v>2.2</v>
      </c>
      <c r="H524" t="n">
        <v>0</v>
      </c>
      <c r="I524" t="n">
        <v>0</v>
      </c>
      <c r="J524" t="n">
        <v>0</v>
      </c>
      <c r="K524" t="n">
        <v>0</v>
      </c>
      <c r="L524" t="n">
        <v>0</v>
      </c>
      <c r="M524" t="n">
        <v>0</v>
      </c>
      <c r="N524" t="n">
        <v>0</v>
      </c>
      <c r="O524" t="n">
        <v>0</v>
      </c>
      <c r="P524" t="n">
        <v>0</v>
      </c>
      <c r="Q524" t="n">
        <v>0</v>
      </c>
      <c r="R524" s="2" t="inlineStr"/>
    </row>
    <row r="525" ht="15" customHeight="1">
      <c r="A525" t="inlineStr">
        <is>
          <t>A 18449-2023</t>
        </is>
      </c>
      <c r="B525" s="1" t="n">
        <v>45042.5203125</v>
      </c>
      <c r="C525" s="1" t="n">
        <v>46059</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16936-2023</t>
        </is>
      </c>
      <c r="B526" s="1" t="n">
        <v>45033.63005787037</v>
      </c>
      <c r="C526" s="1" t="n">
        <v>46059</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58145-2024</t>
        </is>
      </c>
      <c r="B527" s="1" t="n">
        <v>45632.43230324074</v>
      </c>
      <c r="C527" s="1" t="n">
        <v>46059</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64730-2023</t>
        </is>
      </c>
      <c r="B528" s="1" t="n">
        <v>45281</v>
      </c>
      <c r="C528" s="1" t="n">
        <v>46059</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44284-2022</t>
        </is>
      </c>
      <c r="B529" s="1" t="n">
        <v>44839.59194444444</v>
      </c>
      <c r="C529" s="1" t="n">
        <v>46059</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14544-2023</t>
        </is>
      </c>
      <c r="B530" s="1" t="n">
        <v>45013</v>
      </c>
      <c r="C530" s="1" t="n">
        <v>46059</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15682-2023</t>
        </is>
      </c>
      <c r="B531" s="1" t="n">
        <v>45021</v>
      </c>
      <c r="C531" s="1" t="n">
        <v>46059</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4416-2023</t>
        </is>
      </c>
      <c r="B532" s="1" t="n">
        <v>44956</v>
      </c>
      <c r="C532" s="1" t="n">
        <v>46059</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49062-2023</t>
        </is>
      </c>
      <c r="B533" s="1" t="n">
        <v>45210.35119212963</v>
      </c>
      <c r="C533" s="1" t="n">
        <v>46059</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32321-2023</t>
        </is>
      </c>
      <c r="B534" s="1" t="n">
        <v>45120</v>
      </c>
      <c r="C534" s="1" t="n">
        <v>46059</v>
      </c>
      <c r="D534" t="inlineStr">
        <is>
          <t>ÖREBRO LÄN</t>
        </is>
      </c>
      <c r="E534" t="inlineStr">
        <is>
          <t>ÖREBRO</t>
        </is>
      </c>
      <c r="G534" t="n">
        <v>3.4</v>
      </c>
      <c r="H534" t="n">
        <v>0</v>
      </c>
      <c r="I534" t="n">
        <v>0</v>
      </c>
      <c r="J534" t="n">
        <v>0</v>
      </c>
      <c r="K534" t="n">
        <v>0</v>
      </c>
      <c r="L534" t="n">
        <v>0</v>
      </c>
      <c r="M534" t="n">
        <v>0</v>
      </c>
      <c r="N534" t="n">
        <v>0</v>
      </c>
      <c r="O534" t="n">
        <v>0</v>
      </c>
      <c r="P534" t="n">
        <v>0</v>
      </c>
      <c r="Q534" t="n">
        <v>0</v>
      </c>
      <c r="R534" s="2" t="inlineStr"/>
    </row>
    <row r="535" ht="15" customHeight="1">
      <c r="A535" t="inlineStr">
        <is>
          <t>A 2095-2025</t>
        </is>
      </c>
      <c r="B535" s="1" t="n">
        <v>45672</v>
      </c>
      <c r="C535" s="1" t="n">
        <v>46059</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71275-2021</t>
        </is>
      </c>
      <c r="B536" s="1" t="n">
        <v>44539</v>
      </c>
      <c r="C536" s="1" t="n">
        <v>46059</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58608-2024</t>
        </is>
      </c>
      <c r="B537" s="1" t="n">
        <v>45635.55185185185</v>
      </c>
      <c r="C537" s="1" t="n">
        <v>46059</v>
      </c>
      <c r="D537" t="inlineStr">
        <is>
          <t>ÖREBRO LÄN</t>
        </is>
      </c>
      <c r="E537" t="inlineStr">
        <is>
          <t>ÖREBRO</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2153-2023</t>
        </is>
      </c>
      <c r="B538" s="1" t="n">
        <v>44941</v>
      </c>
      <c r="C538" s="1" t="n">
        <v>46059</v>
      </c>
      <c r="D538" t="inlineStr">
        <is>
          <t>ÖREBRO LÄN</t>
        </is>
      </c>
      <c r="E538" t="inlineStr">
        <is>
          <t>ÖREBRO</t>
        </is>
      </c>
      <c r="G538" t="n">
        <v>6.3</v>
      </c>
      <c r="H538" t="n">
        <v>0</v>
      </c>
      <c r="I538" t="n">
        <v>0</v>
      </c>
      <c r="J538" t="n">
        <v>0</v>
      </c>
      <c r="K538" t="n">
        <v>0</v>
      </c>
      <c r="L538" t="n">
        <v>0</v>
      </c>
      <c r="M538" t="n">
        <v>0</v>
      </c>
      <c r="N538" t="n">
        <v>0</v>
      </c>
      <c r="O538" t="n">
        <v>0</v>
      </c>
      <c r="P538" t="n">
        <v>0</v>
      </c>
      <c r="Q538" t="n">
        <v>0</v>
      </c>
      <c r="R538" s="2" t="inlineStr"/>
    </row>
    <row r="539" ht="15" customHeight="1">
      <c r="A539" t="inlineStr">
        <is>
          <t>A 2069-2025</t>
        </is>
      </c>
      <c r="B539" s="1" t="n">
        <v>45672.56614583333</v>
      </c>
      <c r="C539" s="1" t="n">
        <v>46059</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852-2025</t>
        </is>
      </c>
      <c r="B540" s="1" t="n">
        <v>45665.60148148148</v>
      </c>
      <c r="C540" s="1" t="n">
        <v>46059</v>
      </c>
      <c r="D540" t="inlineStr">
        <is>
          <t>ÖREBRO LÄN</t>
        </is>
      </c>
      <c r="E540" t="inlineStr">
        <is>
          <t>ÖREBRO</t>
        </is>
      </c>
      <c r="G540" t="n">
        <v>2.9</v>
      </c>
      <c r="H540" t="n">
        <v>0</v>
      </c>
      <c r="I540" t="n">
        <v>0</v>
      </c>
      <c r="J540" t="n">
        <v>0</v>
      </c>
      <c r="K540" t="n">
        <v>0</v>
      </c>
      <c r="L540" t="n">
        <v>0</v>
      </c>
      <c r="M540" t="n">
        <v>0</v>
      </c>
      <c r="N540" t="n">
        <v>0</v>
      </c>
      <c r="O540" t="n">
        <v>0</v>
      </c>
      <c r="P540" t="n">
        <v>0</v>
      </c>
      <c r="Q540" t="n">
        <v>0</v>
      </c>
      <c r="R540" s="2" t="inlineStr"/>
    </row>
    <row r="541" ht="15" customHeight="1">
      <c r="A541" t="inlineStr">
        <is>
          <t>A 50398-2022</t>
        </is>
      </c>
      <c r="B541" s="1" t="n">
        <v>44861</v>
      </c>
      <c r="C541" s="1" t="n">
        <v>46059</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52441-2024</t>
        </is>
      </c>
      <c r="B542" s="1" t="n">
        <v>45609.48451388889</v>
      </c>
      <c r="C542" s="1" t="n">
        <v>46059</v>
      </c>
      <c r="D542" t="inlineStr">
        <is>
          <t>ÖREBRO LÄN</t>
        </is>
      </c>
      <c r="E542" t="inlineStr">
        <is>
          <t>ÖREBRO</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52499-2024</t>
        </is>
      </c>
      <c r="B543" s="1" t="n">
        <v>45609.58422453704</v>
      </c>
      <c r="C543" s="1" t="n">
        <v>46059</v>
      </c>
      <c r="D543" t="inlineStr">
        <is>
          <t>ÖREBRO LÄN</t>
        </is>
      </c>
      <c r="E543" t="inlineStr">
        <is>
          <t>ÖREBRO</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8008-2024</t>
        </is>
      </c>
      <c r="B544" s="1" t="n">
        <v>45350.6794212963</v>
      </c>
      <c r="C544" s="1" t="n">
        <v>46059</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18181-2024</t>
        </is>
      </c>
      <c r="B545" s="1" t="n">
        <v>45420.64561342593</v>
      </c>
      <c r="C545" s="1" t="n">
        <v>46059</v>
      </c>
      <c r="D545" t="inlineStr">
        <is>
          <t>ÖREBRO LÄN</t>
        </is>
      </c>
      <c r="E545" t="inlineStr">
        <is>
          <t>ÖREBRO</t>
        </is>
      </c>
      <c r="G545" t="n">
        <v>7.6</v>
      </c>
      <c r="H545" t="n">
        <v>0</v>
      </c>
      <c r="I545" t="n">
        <v>0</v>
      </c>
      <c r="J545" t="n">
        <v>0</v>
      </c>
      <c r="K545" t="n">
        <v>0</v>
      </c>
      <c r="L545" t="n">
        <v>0</v>
      </c>
      <c r="M545" t="n">
        <v>0</v>
      </c>
      <c r="N545" t="n">
        <v>0</v>
      </c>
      <c r="O545" t="n">
        <v>0</v>
      </c>
      <c r="P545" t="n">
        <v>0</v>
      </c>
      <c r="Q545" t="n">
        <v>0</v>
      </c>
      <c r="R545" s="2" t="inlineStr"/>
    </row>
    <row r="546" ht="15" customHeight="1">
      <c r="A546" t="inlineStr">
        <is>
          <t>A 38415-2023</t>
        </is>
      </c>
      <c r="B546" s="1" t="n">
        <v>45162.35502314815</v>
      </c>
      <c r="C546" s="1" t="n">
        <v>46059</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16374-2022</t>
        </is>
      </c>
      <c r="B547" s="1" t="n">
        <v>44671</v>
      </c>
      <c r="C547" s="1" t="n">
        <v>46059</v>
      </c>
      <c r="D547" t="inlineStr">
        <is>
          <t>ÖREBRO LÄN</t>
        </is>
      </c>
      <c r="E547" t="inlineStr">
        <is>
          <t>ÖREBRO</t>
        </is>
      </c>
      <c r="F547" t="inlineStr">
        <is>
          <t>Övriga Aktiebolag</t>
        </is>
      </c>
      <c r="G547" t="n">
        <v>30.3</v>
      </c>
      <c r="H547" t="n">
        <v>0</v>
      </c>
      <c r="I547" t="n">
        <v>0</v>
      </c>
      <c r="J547" t="n">
        <v>0</v>
      </c>
      <c r="K547" t="n">
        <v>0</v>
      </c>
      <c r="L547" t="n">
        <v>0</v>
      </c>
      <c r="M547" t="n">
        <v>0</v>
      </c>
      <c r="N547" t="n">
        <v>0</v>
      </c>
      <c r="O547" t="n">
        <v>0</v>
      </c>
      <c r="P547" t="n">
        <v>0</v>
      </c>
      <c r="Q547" t="n">
        <v>0</v>
      </c>
      <c r="R547" s="2" t="inlineStr"/>
    </row>
    <row r="548" ht="15" customHeight="1">
      <c r="A548" t="inlineStr">
        <is>
          <t>A 9704-2023</t>
        </is>
      </c>
      <c r="B548" s="1" t="n">
        <v>44984</v>
      </c>
      <c r="C548" s="1" t="n">
        <v>46059</v>
      </c>
      <c r="D548" t="inlineStr">
        <is>
          <t>ÖREBRO LÄN</t>
        </is>
      </c>
      <c r="E548" t="inlineStr">
        <is>
          <t>ÖREBRO</t>
        </is>
      </c>
      <c r="G548" t="n">
        <v>1</v>
      </c>
      <c r="H548" t="n">
        <v>0</v>
      </c>
      <c r="I548" t="n">
        <v>0</v>
      </c>
      <c r="J548" t="n">
        <v>0</v>
      </c>
      <c r="K548" t="n">
        <v>0</v>
      </c>
      <c r="L548" t="n">
        <v>0</v>
      </c>
      <c r="M548" t="n">
        <v>0</v>
      </c>
      <c r="N548" t="n">
        <v>0</v>
      </c>
      <c r="O548" t="n">
        <v>0</v>
      </c>
      <c r="P548" t="n">
        <v>0</v>
      </c>
      <c r="Q548" t="n">
        <v>0</v>
      </c>
      <c r="R548" s="2" t="inlineStr"/>
    </row>
    <row r="549" ht="15" customHeight="1">
      <c r="A549" t="inlineStr">
        <is>
          <t>A 19180-2025</t>
        </is>
      </c>
      <c r="B549" s="1" t="n">
        <v>45769.40133101852</v>
      </c>
      <c r="C549" s="1" t="n">
        <v>46059</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46052-2024</t>
        </is>
      </c>
      <c r="B550" s="1" t="n">
        <v>45580.89116898148</v>
      </c>
      <c r="C550" s="1" t="n">
        <v>46059</v>
      </c>
      <c r="D550" t="inlineStr">
        <is>
          <t>ÖREBRO LÄN</t>
        </is>
      </c>
      <c r="E550" t="inlineStr">
        <is>
          <t>ÖREBRO</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58527-2024</t>
        </is>
      </c>
      <c r="B551" s="1" t="n">
        <v>45635.44388888889</v>
      </c>
      <c r="C551" s="1" t="n">
        <v>46059</v>
      </c>
      <c r="D551" t="inlineStr">
        <is>
          <t>ÖREBRO LÄN</t>
        </is>
      </c>
      <c r="E551" t="inlineStr">
        <is>
          <t>ÖREBRO</t>
        </is>
      </c>
      <c r="F551" t="inlineStr">
        <is>
          <t>Sveaskog</t>
        </is>
      </c>
      <c r="G551" t="n">
        <v>6.4</v>
      </c>
      <c r="H551" t="n">
        <v>0</v>
      </c>
      <c r="I551" t="n">
        <v>0</v>
      </c>
      <c r="J551" t="n">
        <v>0</v>
      </c>
      <c r="K551" t="n">
        <v>0</v>
      </c>
      <c r="L551" t="n">
        <v>0</v>
      </c>
      <c r="M551" t="n">
        <v>0</v>
      </c>
      <c r="N551" t="n">
        <v>0</v>
      </c>
      <c r="O551" t="n">
        <v>0</v>
      </c>
      <c r="P551" t="n">
        <v>0</v>
      </c>
      <c r="Q551" t="n">
        <v>0</v>
      </c>
      <c r="R551" s="2" t="inlineStr"/>
    </row>
    <row r="552" ht="15" customHeight="1">
      <c r="A552" t="inlineStr">
        <is>
          <t>A 37022-2024</t>
        </is>
      </c>
      <c r="B552" s="1" t="n">
        <v>45539.3822337963</v>
      </c>
      <c r="C552" s="1" t="n">
        <v>46059</v>
      </c>
      <c r="D552" t="inlineStr">
        <is>
          <t>ÖREBRO LÄN</t>
        </is>
      </c>
      <c r="E552" t="inlineStr">
        <is>
          <t>ÖREBRO</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37024-2024</t>
        </is>
      </c>
      <c r="B553" s="1" t="n">
        <v>45539.38329861111</v>
      </c>
      <c r="C553" s="1" t="n">
        <v>46059</v>
      </c>
      <c r="D553" t="inlineStr">
        <is>
          <t>ÖREBRO LÄN</t>
        </is>
      </c>
      <c r="E553" t="inlineStr">
        <is>
          <t>ÖREBRO</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38075-2022</t>
        </is>
      </c>
      <c r="B554" s="1" t="n">
        <v>44811</v>
      </c>
      <c r="C554" s="1" t="n">
        <v>46059</v>
      </c>
      <c r="D554" t="inlineStr">
        <is>
          <t>ÖREBRO LÄN</t>
        </is>
      </c>
      <c r="E554" t="inlineStr">
        <is>
          <t>ÖREBRO</t>
        </is>
      </c>
      <c r="G554" t="n">
        <v>0.2</v>
      </c>
      <c r="H554" t="n">
        <v>0</v>
      </c>
      <c r="I554" t="n">
        <v>0</v>
      </c>
      <c r="J554" t="n">
        <v>0</v>
      </c>
      <c r="K554" t="n">
        <v>0</v>
      </c>
      <c r="L554" t="n">
        <v>0</v>
      </c>
      <c r="M554" t="n">
        <v>0</v>
      </c>
      <c r="N554" t="n">
        <v>0</v>
      </c>
      <c r="O554" t="n">
        <v>0</v>
      </c>
      <c r="P554" t="n">
        <v>0</v>
      </c>
      <c r="Q554" t="n">
        <v>0</v>
      </c>
      <c r="R554" s="2" t="inlineStr"/>
    </row>
    <row r="555" ht="15" customHeight="1">
      <c r="A555" t="inlineStr">
        <is>
          <t>A 11382-2023</t>
        </is>
      </c>
      <c r="B555" s="1" t="n">
        <v>44993.45635416666</v>
      </c>
      <c r="C555" s="1" t="n">
        <v>46059</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20121-2024</t>
        </is>
      </c>
      <c r="B556" s="1" t="n">
        <v>45434</v>
      </c>
      <c r="C556" s="1" t="n">
        <v>46059</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26117-2021</t>
        </is>
      </c>
      <c r="B557" s="1" t="n">
        <v>44345</v>
      </c>
      <c r="C557" s="1" t="n">
        <v>46059</v>
      </c>
      <c r="D557" t="inlineStr">
        <is>
          <t>ÖREBRO LÄN</t>
        </is>
      </c>
      <c r="E557" t="inlineStr">
        <is>
          <t>ÖREBRO</t>
        </is>
      </c>
      <c r="G557" t="n">
        <v>8.1</v>
      </c>
      <c r="H557" t="n">
        <v>0</v>
      </c>
      <c r="I557" t="n">
        <v>0</v>
      </c>
      <c r="J557" t="n">
        <v>0</v>
      </c>
      <c r="K557" t="n">
        <v>0</v>
      </c>
      <c r="L557" t="n">
        <v>0</v>
      </c>
      <c r="M557" t="n">
        <v>0</v>
      </c>
      <c r="N557" t="n">
        <v>0</v>
      </c>
      <c r="O557" t="n">
        <v>0</v>
      </c>
      <c r="P557" t="n">
        <v>0</v>
      </c>
      <c r="Q557" t="n">
        <v>0</v>
      </c>
      <c r="R557" s="2" t="inlineStr"/>
    </row>
    <row r="558" ht="15" customHeight="1">
      <c r="A558" t="inlineStr">
        <is>
          <t>A 55943-2024</t>
        </is>
      </c>
      <c r="B558" s="1" t="n">
        <v>45623.61278935185</v>
      </c>
      <c r="C558" s="1" t="n">
        <v>46059</v>
      </c>
      <c r="D558" t="inlineStr">
        <is>
          <t>ÖREBRO LÄN</t>
        </is>
      </c>
      <c r="E558" t="inlineStr">
        <is>
          <t>ÖREBRO</t>
        </is>
      </c>
      <c r="G558" t="n">
        <v>4.8</v>
      </c>
      <c r="H558" t="n">
        <v>0</v>
      </c>
      <c r="I558" t="n">
        <v>0</v>
      </c>
      <c r="J558" t="n">
        <v>0</v>
      </c>
      <c r="K558" t="n">
        <v>0</v>
      </c>
      <c r="L558" t="n">
        <v>0</v>
      </c>
      <c r="M558" t="n">
        <v>0</v>
      </c>
      <c r="N558" t="n">
        <v>0</v>
      </c>
      <c r="O558" t="n">
        <v>0</v>
      </c>
      <c r="P558" t="n">
        <v>0</v>
      </c>
      <c r="Q558" t="n">
        <v>0</v>
      </c>
      <c r="R558" s="2" t="inlineStr"/>
    </row>
    <row r="559" ht="15" customHeight="1">
      <c r="A559" t="inlineStr">
        <is>
          <t>A 1013-2024</t>
        </is>
      </c>
      <c r="B559" s="1" t="n">
        <v>45301</v>
      </c>
      <c r="C559" s="1" t="n">
        <v>46059</v>
      </c>
      <c r="D559" t="inlineStr">
        <is>
          <t>ÖREBRO LÄN</t>
        </is>
      </c>
      <c r="E559" t="inlineStr">
        <is>
          <t>ÖREBRO</t>
        </is>
      </c>
      <c r="G559" t="n">
        <v>2.6</v>
      </c>
      <c r="H559" t="n">
        <v>0</v>
      </c>
      <c r="I559" t="n">
        <v>0</v>
      </c>
      <c r="J559" t="n">
        <v>0</v>
      </c>
      <c r="K559" t="n">
        <v>0</v>
      </c>
      <c r="L559" t="n">
        <v>0</v>
      </c>
      <c r="M559" t="n">
        <v>0</v>
      </c>
      <c r="N559" t="n">
        <v>0</v>
      </c>
      <c r="O559" t="n">
        <v>0</v>
      </c>
      <c r="P559" t="n">
        <v>0</v>
      </c>
      <c r="Q559" t="n">
        <v>0</v>
      </c>
      <c r="R559" s="2" t="inlineStr"/>
    </row>
    <row r="560" ht="15" customHeight="1">
      <c r="A560" t="inlineStr">
        <is>
          <t>A 13623-2024</t>
        </is>
      </c>
      <c r="B560" s="1" t="n">
        <v>45390.38626157407</v>
      </c>
      <c r="C560" s="1" t="n">
        <v>46059</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5330-2024</t>
        </is>
      </c>
      <c r="B561" s="1" t="n">
        <v>45331.4187962963</v>
      </c>
      <c r="C561" s="1" t="n">
        <v>46059</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6794-2025</t>
        </is>
      </c>
      <c r="B562" s="1" t="n">
        <v>45700.66429398148</v>
      </c>
      <c r="C562" s="1" t="n">
        <v>46059</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3-2024</t>
        </is>
      </c>
      <c r="B563" s="1" t="n">
        <v>45292</v>
      </c>
      <c r="C563" s="1" t="n">
        <v>46059</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5619-2023</t>
        </is>
      </c>
      <c r="B564" s="1" t="n">
        <v>44958</v>
      </c>
      <c r="C564" s="1" t="n">
        <v>46059</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5578-2024</t>
        </is>
      </c>
      <c r="B565" s="1" t="n">
        <v>45334.49104166667</v>
      </c>
      <c r="C565" s="1" t="n">
        <v>46059</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37786-2024</t>
        </is>
      </c>
      <c r="B566" s="1" t="n">
        <v>45542.82987268519</v>
      </c>
      <c r="C566" s="1" t="n">
        <v>46059</v>
      </c>
      <c r="D566" t="inlineStr">
        <is>
          <t>ÖREBRO LÄN</t>
        </is>
      </c>
      <c r="E566" t="inlineStr">
        <is>
          <t>ÖREBRO</t>
        </is>
      </c>
      <c r="G566" t="n">
        <v>3.1</v>
      </c>
      <c r="H566" t="n">
        <v>0</v>
      </c>
      <c r="I566" t="n">
        <v>0</v>
      </c>
      <c r="J566" t="n">
        <v>0</v>
      </c>
      <c r="K566" t="n">
        <v>0</v>
      </c>
      <c r="L566" t="n">
        <v>0</v>
      </c>
      <c r="M566" t="n">
        <v>0</v>
      </c>
      <c r="N566" t="n">
        <v>0</v>
      </c>
      <c r="O566" t="n">
        <v>0</v>
      </c>
      <c r="P566" t="n">
        <v>0</v>
      </c>
      <c r="Q566" t="n">
        <v>0</v>
      </c>
      <c r="R566" s="2" t="inlineStr"/>
    </row>
    <row r="567" ht="15" customHeight="1">
      <c r="A567" t="inlineStr">
        <is>
          <t>A 58615-2024</t>
        </is>
      </c>
      <c r="B567" s="1" t="n">
        <v>45635.5587037037</v>
      </c>
      <c r="C567" s="1" t="n">
        <v>46059</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45517-2023</t>
        </is>
      </c>
      <c r="B568" s="1" t="n">
        <v>45194.49594907407</v>
      </c>
      <c r="C568" s="1" t="n">
        <v>46059</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3652-2022</t>
        </is>
      </c>
      <c r="B569" s="1" t="n">
        <v>44586.46921296296</v>
      </c>
      <c r="C569" s="1" t="n">
        <v>46059</v>
      </c>
      <c r="D569" t="inlineStr">
        <is>
          <t>ÖREBRO LÄN</t>
        </is>
      </c>
      <c r="E569" t="inlineStr">
        <is>
          <t>ÖREBRO</t>
        </is>
      </c>
      <c r="G569" t="n">
        <v>1.6</v>
      </c>
      <c r="H569" t="n">
        <v>0</v>
      </c>
      <c r="I569" t="n">
        <v>0</v>
      </c>
      <c r="J569" t="n">
        <v>0</v>
      </c>
      <c r="K569" t="n">
        <v>0</v>
      </c>
      <c r="L569" t="n">
        <v>0</v>
      </c>
      <c r="M569" t="n">
        <v>0</v>
      </c>
      <c r="N569" t="n">
        <v>0</v>
      </c>
      <c r="O569" t="n">
        <v>0</v>
      </c>
      <c r="P569" t="n">
        <v>0</v>
      </c>
      <c r="Q569" t="n">
        <v>0</v>
      </c>
      <c r="R569" s="2" t="inlineStr"/>
    </row>
    <row r="570" ht="15" customHeight="1">
      <c r="A570" t="inlineStr">
        <is>
          <t>A 25407-2021</t>
        </is>
      </c>
      <c r="B570" s="1" t="n">
        <v>44342</v>
      </c>
      <c r="C570" s="1" t="n">
        <v>46059</v>
      </c>
      <c r="D570" t="inlineStr">
        <is>
          <t>ÖREBRO LÄN</t>
        </is>
      </c>
      <c r="E570" t="inlineStr">
        <is>
          <t>ÖREBRO</t>
        </is>
      </c>
      <c r="F570" t="inlineStr">
        <is>
          <t>Kommuner</t>
        </is>
      </c>
      <c r="G570" t="n">
        <v>7.2</v>
      </c>
      <c r="H570" t="n">
        <v>0</v>
      </c>
      <c r="I570" t="n">
        <v>0</v>
      </c>
      <c r="J570" t="n">
        <v>0</v>
      </c>
      <c r="K570" t="n">
        <v>0</v>
      </c>
      <c r="L570" t="n">
        <v>0</v>
      </c>
      <c r="M570" t="n">
        <v>0</v>
      </c>
      <c r="N570" t="n">
        <v>0</v>
      </c>
      <c r="O570" t="n">
        <v>0</v>
      </c>
      <c r="P570" t="n">
        <v>0</v>
      </c>
      <c r="Q570" t="n">
        <v>0</v>
      </c>
      <c r="R570" s="2" t="inlineStr"/>
    </row>
    <row r="571" ht="15" customHeight="1">
      <c r="A571" t="inlineStr">
        <is>
          <t>A 12245-2023</t>
        </is>
      </c>
      <c r="B571" s="1" t="n">
        <v>44998.64402777778</v>
      </c>
      <c r="C571" s="1" t="n">
        <v>46059</v>
      </c>
      <c r="D571" t="inlineStr">
        <is>
          <t>ÖREBRO LÄN</t>
        </is>
      </c>
      <c r="E571" t="inlineStr">
        <is>
          <t>ÖREBRO</t>
        </is>
      </c>
      <c r="G571" t="n">
        <v>1.2</v>
      </c>
      <c r="H571" t="n">
        <v>0</v>
      </c>
      <c r="I571" t="n">
        <v>0</v>
      </c>
      <c r="J571" t="n">
        <v>0</v>
      </c>
      <c r="K571" t="n">
        <v>0</v>
      </c>
      <c r="L571" t="n">
        <v>0</v>
      </c>
      <c r="M571" t="n">
        <v>0</v>
      </c>
      <c r="N571" t="n">
        <v>0</v>
      </c>
      <c r="O571" t="n">
        <v>0</v>
      </c>
      <c r="P571" t="n">
        <v>0</v>
      </c>
      <c r="Q571" t="n">
        <v>0</v>
      </c>
      <c r="R571" s="2" t="inlineStr"/>
    </row>
    <row r="572" ht="15" customHeight="1">
      <c r="A572" t="inlineStr">
        <is>
          <t>A 7134-2025</t>
        </is>
      </c>
      <c r="B572" s="1" t="n">
        <v>45702</v>
      </c>
      <c r="C572" s="1" t="n">
        <v>46059</v>
      </c>
      <c r="D572" t="inlineStr">
        <is>
          <t>ÖREBRO LÄN</t>
        </is>
      </c>
      <c r="E572" t="inlineStr">
        <is>
          <t>ÖREBRO</t>
        </is>
      </c>
      <c r="F572" t="inlineStr">
        <is>
          <t>Övriga Aktiebolag</t>
        </is>
      </c>
      <c r="G572" t="n">
        <v>2.1</v>
      </c>
      <c r="H572" t="n">
        <v>0</v>
      </c>
      <c r="I572" t="n">
        <v>0</v>
      </c>
      <c r="J572" t="n">
        <v>0</v>
      </c>
      <c r="K572" t="n">
        <v>0</v>
      </c>
      <c r="L572" t="n">
        <v>0</v>
      </c>
      <c r="M572" t="n">
        <v>0</v>
      </c>
      <c r="N572" t="n">
        <v>0</v>
      </c>
      <c r="O572" t="n">
        <v>0</v>
      </c>
      <c r="P572" t="n">
        <v>0</v>
      </c>
      <c r="Q572" t="n">
        <v>0</v>
      </c>
      <c r="R572" s="2" t="inlineStr"/>
    </row>
    <row r="573" ht="15" customHeight="1">
      <c r="A573" t="inlineStr">
        <is>
          <t>A 60506-2024</t>
        </is>
      </c>
      <c r="B573" s="1" t="n">
        <v>45643.66630787037</v>
      </c>
      <c r="C573" s="1" t="n">
        <v>46059</v>
      </c>
      <c r="D573" t="inlineStr">
        <is>
          <t>ÖREBRO LÄN</t>
        </is>
      </c>
      <c r="E573" t="inlineStr">
        <is>
          <t>ÖREBRO</t>
        </is>
      </c>
      <c r="G573" t="n">
        <v>5.8</v>
      </c>
      <c r="H573" t="n">
        <v>0</v>
      </c>
      <c r="I573" t="n">
        <v>0</v>
      </c>
      <c r="J573" t="n">
        <v>0</v>
      </c>
      <c r="K573" t="n">
        <v>0</v>
      </c>
      <c r="L573" t="n">
        <v>0</v>
      </c>
      <c r="M573" t="n">
        <v>0</v>
      </c>
      <c r="N573" t="n">
        <v>0</v>
      </c>
      <c r="O573" t="n">
        <v>0</v>
      </c>
      <c r="P573" t="n">
        <v>0</v>
      </c>
      <c r="Q573" t="n">
        <v>0</v>
      </c>
      <c r="R573" s="2" t="inlineStr"/>
    </row>
    <row r="574" ht="15" customHeight="1">
      <c r="A574" t="inlineStr">
        <is>
          <t>A 29978-2024</t>
        </is>
      </c>
      <c r="B574" s="1" t="n">
        <v>45488.48340277778</v>
      </c>
      <c r="C574" s="1" t="n">
        <v>46059</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30903-2024</t>
        </is>
      </c>
      <c r="B575" s="1" t="n">
        <v>45498.49946759259</v>
      </c>
      <c r="C575" s="1" t="n">
        <v>46059</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58611-2024</t>
        </is>
      </c>
      <c r="B576" s="1" t="n">
        <v>45635.55555555555</v>
      </c>
      <c r="C576" s="1" t="n">
        <v>46059</v>
      </c>
      <c r="D576" t="inlineStr">
        <is>
          <t>ÖREBRO LÄN</t>
        </is>
      </c>
      <c r="E576" t="inlineStr">
        <is>
          <t>ÖREBRO</t>
        </is>
      </c>
      <c r="F576" t="inlineStr">
        <is>
          <t>Sveaskog</t>
        </is>
      </c>
      <c r="G576" t="n">
        <v>0.3</v>
      </c>
      <c r="H576" t="n">
        <v>0</v>
      </c>
      <c r="I576" t="n">
        <v>0</v>
      </c>
      <c r="J576" t="n">
        <v>0</v>
      </c>
      <c r="K576" t="n">
        <v>0</v>
      </c>
      <c r="L576" t="n">
        <v>0</v>
      </c>
      <c r="M576" t="n">
        <v>0</v>
      </c>
      <c r="N576" t="n">
        <v>0</v>
      </c>
      <c r="O576" t="n">
        <v>0</v>
      </c>
      <c r="P576" t="n">
        <v>0</v>
      </c>
      <c r="Q576" t="n">
        <v>0</v>
      </c>
      <c r="R576" s="2" t="inlineStr"/>
    </row>
    <row r="577" ht="15" customHeight="1">
      <c r="A577" t="inlineStr">
        <is>
          <t>A 20146-2024</t>
        </is>
      </c>
      <c r="B577" s="1" t="n">
        <v>45434.57641203704</v>
      </c>
      <c r="C577" s="1" t="n">
        <v>46059</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53143-2023</t>
        </is>
      </c>
      <c r="B578" s="1" t="n">
        <v>45229</v>
      </c>
      <c r="C578" s="1" t="n">
        <v>46059</v>
      </c>
      <c r="D578" t="inlineStr">
        <is>
          <t>ÖREBRO LÄN</t>
        </is>
      </c>
      <c r="E578" t="inlineStr">
        <is>
          <t>ÖREBRO</t>
        </is>
      </c>
      <c r="G578" t="n">
        <v>3.3</v>
      </c>
      <c r="H578" t="n">
        <v>0</v>
      </c>
      <c r="I578" t="n">
        <v>0</v>
      </c>
      <c r="J578" t="n">
        <v>0</v>
      </c>
      <c r="K578" t="n">
        <v>0</v>
      </c>
      <c r="L578" t="n">
        <v>0</v>
      </c>
      <c r="M578" t="n">
        <v>0</v>
      </c>
      <c r="N578" t="n">
        <v>0</v>
      </c>
      <c r="O578" t="n">
        <v>0</v>
      </c>
      <c r="P578" t="n">
        <v>0</v>
      </c>
      <c r="Q578" t="n">
        <v>0</v>
      </c>
      <c r="R578" s="2" t="inlineStr"/>
    </row>
    <row r="579" ht="15" customHeight="1">
      <c r="A579" t="inlineStr">
        <is>
          <t>A 8656-2025</t>
        </is>
      </c>
      <c r="B579" s="1" t="n">
        <v>45712.38268518518</v>
      </c>
      <c r="C579" s="1" t="n">
        <v>46059</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5762-2025</t>
        </is>
      </c>
      <c r="B580" s="1" t="n">
        <v>45694.57181712963</v>
      </c>
      <c r="C580" s="1" t="n">
        <v>46059</v>
      </c>
      <c r="D580" t="inlineStr">
        <is>
          <t>ÖREBRO LÄN</t>
        </is>
      </c>
      <c r="E580" t="inlineStr">
        <is>
          <t>ÖREBRO</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62794-2021</t>
        </is>
      </c>
      <c r="B581" s="1" t="n">
        <v>44504</v>
      </c>
      <c r="C581" s="1" t="n">
        <v>46059</v>
      </c>
      <c r="D581" t="inlineStr">
        <is>
          <t>ÖREBRO LÄN</t>
        </is>
      </c>
      <c r="E581" t="inlineStr">
        <is>
          <t>ÖREBRO</t>
        </is>
      </c>
      <c r="G581" t="n">
        <v>3.3</v>
      </c>
      <c r="H581" t="n">
        <v>0</v>
      </c>
      <c r="I581" t="n">
        <v>0</v>
      </c>
      <c r="J581" t="n">
        <v>0</v>
      </c>
      <c r="K581" t="n">
        <v>0</v>
      </c>
      <c r="L581" t="n">
        <v>0</v>
      </c>
      <c r="M581" t="n">
        <v>0</v>
      </c>
      <c r="N581" t="n">
        <v>0</v>
      </c>
      <c r="O581" t="n">
        <v>0</v>
      </c>
      <c r="P581" t="n">
        <v>0</v>
      </c>
      <c r="Q581" t="n">
        <v>0</v>
      </c>
      <c r="R581" s="2" t="inlineStr"/>
    </row>
    <row r="582" ht="15" customHeight="1">
      <c r="A582" t="inlineStr">
        <is>
          <t>A 52612-2024</t>
        </is>
      </c>
      <c r="B582" s="1" t="n">
        <v>45609</v>
      </c>
      <c r="C582" s="1" t="n">
        <v>46059</v>
      </c>
      <c r="D582" t="inlineStr">
        <is>
          <t>ÖREBRO LÄN</t>
        </is>
      </c>
      <c r="E582" t="inlineStr">
        <is>
          <t>ÖREBRO</t>
        </is>
      </c>
      <c r="F582" t="inlineStr">
        <is>
          <t>Kommuner</t>
        </is>
      </c>
      <c r="G582" t="n">
        <v>5.5</v>
      </c>
      <c r="H582" t="n">
        <v>0</v>
      </c>
      <c r="I582" t="n">
        <v>0</v>
      </c>
      <c r="J582" t="n">
        <v>0</v>
      </c>
      <c r="K582" t="n">
        <v>0</v>
      </c>
      <c r="L582" t="n">
        <v>0</v>
      </c>
      <c r="M582" t="n">
        <v>0</v>
      </c>
      <c r="N582" t="n">
        <v>0</v>
      </c>
      <c r="O582" t="n">
        <v>0</v>
      </c>
      <c r="P582" t="n">
        <v>0</v>
      </c>
      <c r="Q582" t="n">
        <v>0</v>
      </c>
      <c r="R582" s="2" t="inlineStr"/>
    </row>
    <row r="583" ht="15" customHeight="1">
      <c r="A583" t="inlineStr">
        <is>
          <t>A 5795-2024</t>
        </is>
      </c>
      <c r="B583" s="1" t="n">
        <v>45335.4531712963</v>
      </c>
      <c r="C583" s="1" t="n">
        <v>46059</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37771-2024</t>
        </is>
      </c>
      <c r="B584" s="1" t="n">
        <v>45542.31359953704</v>
      </c>
      <c r="C584" s="1" t="n">
        <v>46059</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15652-2025</t>
        </is>
      </c>
      <c r="B585" s="1" t="n">
        <v>45748</v>
      </c>
      <c r="C585" s="1" t="n">
        <v>46059</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2076-2025</t>
        </is>
      </c>
      <c r="B586" s="1" t="n">
        <v>45672</v>
      </c>
      <c r="C586" s="1" t="n">
        <v>46059</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14960-2025</t>
        </is>
      </c>
      <c r="B587" s="1" t="n">
        <v>45743.5853125</v>
      </c>
      <c r="C587" s="1" t="n">
        <v>46059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60022-2024</t>
        </is>
      </c>
      <c r="B588" s="1" t="n">
        <v>45642</v>
      </c>
      <c r="C588" s="1" t="n">
        <v>46059</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21097-2025</t>
        </is>
      </c>
      <c r="B589" s="1" t="n">
        <v>45777.63863425926</v>
      </c>
      <c r="C589" s="1" t="n">
        <v>46059</v>
      </c>
      <c r="D589" t="inlineStr">
        <is>
          <t>ÖREBRO LÄN</t>
        </is>
      </c>
      <c r="E589" t="inlineStr">
        <is>
          <t>ÖREBRO</t>
        </is>
      </c>
      <c r="G589" t="n">
        <v>2.1</v>
      </c>
      <c r="H589" t="n">
        <v>0</v>
      </c>
      <c r="I589" t="n">
        <v>0</v>
      </c>
      <c r="J589" t="n">
        <v>0</v>
      </c>
      <c r="K589" t="n">
        <v>0</v>
      </c>
      <c r="L589" t="n">
        <v>0</v>
      </c>
      <c r="M589" t="n">
        <v>0</v>
      </c>
      <c r="N589" t="n">
        <v>0</v>
      </c>
      <c r="O589" t="n">
        <v>0</v>
      </c>
      <c r="P589" t="n">
        <v>0</v>
      </c>
      <c r="Q589" t="n">
        <v>0</v>
      </c>
      <c r="R589" s="2" t="inlineStr"/>
    </row>
    <row r="590" ht="15" customHeight="1">
      <c r="A590" t="inlineStr">
        <is>
          <t>A 35819-2024</t>
        </is>
      </c>
      <c r="B590" s="1" t="n">
        <v>45532</v>
      </c>
      <c r="C590" s="1" t="n">
        <v>46059</v>
      </c>
      <c r="D590" t="inlineStr">
        <is>
          <t>ÖREBRO LÄN</t>
        </is>
      </c>
      <c r="E590" t="inlineStr">
        <is>
          <t>ÖREBRO</t>
        </is>
      </c>
      <c r="G590" t="n">
        <v>6.4</v>
      </c>
      <c r="H590" t="n">
        <v>0</v>
      </c>
      <c r="I590" t="n">
        <v>0</v>
      </c>
      <c r="J590" t="n">
        <v>0</v>
      </c>
      <c r="K590" t="n">
        <v>0</v>
      </c>
      <c r="L590" t="n">
        <v>0</v>
      </c>
      <c r="M590" t="n">
        <v>0</v>
      </c>
      <c r="N590" t="n">
        <v>0</v>
      </c>
      <c r="O590" t="n">
        <v>0</v>
      </c>
      <c r="P590" t="n">
        <v>0</v>
      </c>
      <c r="Q590" t="n">
        <v>0</v>
      </c>
      <c r="R590" s="2" t="inlineStr"/>
    </row>
    <row r="591" ht="15" customHeight="1">
      <c r="A591" t="inlineStr">
        <is>
          <t>A 32076-2023</t>
        </is>
      </c>
      <c r="B591" s="1" t="n">
        <v>45119.58324074074</v>
      </c>
      <c r="C591" s="1" t="n">
        <v>46059</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764-2024</t>
        </is>
      </c>
      <c r="B592" s="1" t="n">
        <v>45300.51512731481</v>
      </c>
      <c r="C592" s="1" t="n">
        <v>46059</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58644-2023</t>
        </is>
      </c>
      <c r="B593" s="1" t="n">
        <v>45251.58716435185</v>
      </c>
      <c r="C593" s="1" t="n">
        <v>46059</v>
      </c>
      <c r="D593" t="inlineStr">
        <is>
          <t>ÖREBRO LÄN</t>
        </is>
      </c>
      <c r="E593" t="inlineStr">
        <is>
          <t>ÖREBRO</t>
        </is>
      </c>
      <c r="F593" t="inlineStr">
        <is>
          <t>Övriga Aktiebolag</t>
        </is>
      </c>
      <c r="G593" t="n">
        <v>1.9</v>
      </c>
      <c r="H593" t="n">
        <v>0</v>
      </c>
      <c r="I593" t="n">
        <v>0</v>
      </c>
      <c r="J593" t="n">
        <v>0</v>
      </c>
      <c r="K593" t="n">
        <v>0</v>
      </c>
      <c r="L593" t="n">
        <v>0</v>
      </c>
      <c r="M593" t="n">
        <v>0</v>
      </c>
      <c r="N593" t="n">
        <v>0</v>
      </c>
      <c r="O593" t="n">
        <v>0</v>
      </c>
      <c r="P593" t="n">
        <v>0</v>
      </c>
      <c r="Q593" t="n">
        <v>0</v>
      </c>
      <c r="R593" s="2" t="inlineStr"/>
    </row>
    <row r="594" ht="15" customHeight="1">
      <c r="A594" t="inlineStr">
        <is>
          <t>A 21338-2025</t>
        </is>
      </c>
      <c r="B594" s="1" t="n">
        <v>45780</v>
      </c>
      <c r="C594" s="1" t="n">
        <v>46059</v>
      </c>
      <c r="D594" t="inlineStr">
        <is>
          <t>ÖREBRO LÄN</t>
        </is>
      </c>
      <c r="E594" t="inlineStr">
        <is>
          <t>ÖREBRO</t>
        </is>
      </c>
      <c r="G594" t="n">
        <v>3.2</v>
      </c>
      <c r="H594" t="n">
        <v>0</v>
      </c>
      <c r="I594" t="n">
        <v>0</v>
      </c>
      <c r="J594" t="n">
        <v>0</v>
      </c>
      <c r="K594" t="n">
        <v>0</v>
      </c>
      <c r="L594" t="n">
        <v>0</v>
      </c>
      <c r="M594" t="n">
        <v>0</v>
      </c>
      <c r="N594" t="n">
        <v>0</v>
      </c>
      <c r="O594" t="n">
        <v>0</v>
      </c>
      <c r="P594" t="n">
        <v>0</v>
      </c>
      <c r="Q594" t="n">
        <v>0</v>
      </c>
      <c r="R594" s="2" t="inlineStr"/>
    </row>
    <row r="595" ht="15" customHeight="1">
      <c r="A595" t="inlineStr">
        <is>
          <t>A 22755-2025</t>
        </is>
      </c>
      <c r="B595" s="1" t="n">
        <v>45789.61872685186</v>
      </c>
      <c r="C595" s="1" t="n">
        <v>46059</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44199-2024</t>
        </is>
      </c>
      <c r="B596" s="1" t="n">
        <v>45573</v>
      </c>
      <c r="C596" s="1" t="n">
        <v>46059</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34336-2024</t>
        </is>
      </c>
      <c r="B597" s="1" t="n">
        <v>45524.94774305556</v>
      </c>
      <c r="C597" s="1" t="n">
        <v>46059</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26443-2024</t>
        </is>
      </c>
      <c r="B598" s="1" t="n">
        <v>45469.49901620371</v>
      </c>
      <c r="C598" s="1" t="n">
        <v>46059</v>
      </c>
      <c r="D598" t="inlineStr">
        <is>
          <t>ÖREBRO LÄN</t>
        </is>
      </c>
      <c r="E598" t="inlineStr">
        <is>
          <t>ÖREBRO</t>
        </is>
      </c>
      <c r="G598" t="n">
        <v>5.7</v>
      </c>
      <c r="H598" t="n">
        <v>0</v>
      </c>
      <c r="I598" t="n">
        <v>0</v>
      </c>
      <c r="J598" t="n">
        <v>0</v>
      </c>
      <c r="K598" t="n">
        <v>0</v>
      </c>
      <c r="L598" t="n">
        <v>0</v>
      </c>
      <c r="M598" t="n">
        <v>0</v>
      </c>
      <c r="N598" t="n">
        <v>0</v>
      </c>
      <c r="O598" t="n">
        <v>0</v>
      </c>
      <c r="P598" t="n">
        <v>0</v>
      </c>
      <c r="Q598" t="n">
        <v>0</v>
      </c>
      <c r="R598" s="2" t="inlineStr"/>
    </row>
    <row r="599" ht="15" customHeight="1">
      <c r="A599" t="inlineStr">
        <is>
          <t>A 35477-2024</t>
        </is>
      </c>
      <c r="B599" s="1" t="n">
        <v>45531</v>
      </c>
      <c r="C599" s="1" t="n">
        <v>46059</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22719-2025</t>
        </is>
      </c>
      <c r="B600" s="1" t="n">
        <v>45789</v>
      </c>
      <c r="C600" s="1" t="n">
        <v>46059</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30316-2024</t>
        </is>
      </c>
      <c r="B601" s="1" t="n">
        <v>45490</v>
      </c>
      <c r="C601" s="1" t="n">
        <v>46059</v>
      </c>
      <c r="D601" t="inlineStr">
        <is>
          <t>ÖREBRO LÄN</t>
        </is>
      </c>
      <c r="E601" t="inlineStr">
        <is>
          <t>ÖREBRO</t>
        </is>
      </c>
      <c r="G601" t="n">
        <v>5.5</v>
      </c>
      <c r="H601" t="n">
        <v>0</v>
      </c>
      <c r="I601" t="n">
        <v>0</v>
      </c>
      <c r="J601" t="n">
        <v>0</v>
      </c>
      <c r="K601" t="n">
        <v>0</v>
      </c>
      <c r="L601" t="n">
        <v>0</v>
      </c>
      <c r="M601" t="n">
        <v>0</v>
      </c>
      <c r="N601" t="n">
        <v>0</v>
      </c>
      <c r="O601" t="n">
        <v>0</v>
      </c>
      <c r="P601" t="n">
        <v>0</v>
      </c>
      <c r="Q601" t="n">
        <v>0</v>
      </c>
      <c r="R601" s="2" t="inlineStr"/>
    </row>
    <row r="602" ht="15" customHeight="1">
      <c r="A602" t="inlineStr">
        <is>
          <t>A 38790-2024</t>
        </is>
      </c>
      <c r="B602" s="1" t="n">
        <v>45547.48450231482</v>
      </c>
      <c r="C602" s="1" t="n">
        <v>46059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61279-2024</t>
        </is>
      </c>
      <c r="B603" s="1" t="n">
        <v>45645</v>
      </c>
      <c r="C603" s="1" t="n">
        <v>46059</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71269-2021</t>
        </is>
      </c>
      <c r="B604" s="1" t="n">
        <v>44539</v>
      </c>
      <c r="C604" s="1" t="n">
        <v>46059</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15555-2025</t>
        </is>
      </c>
      <c r="B605" s="1" t="n">
        <v>45747.67768518518</v>
      </c>
      <c r="C605" s="1" t="n">
        <v>46059</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5136-2024</t>
        </is>
      </c>
      <c r="B606" s="1" t="n">
        <v>45330</v>
      </c>
      <c r="C606" s="1" t="n">
        <v>46059</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4380-2025</t>
        </is>
      </c>
      <c r="B607" s="1" t="n">
        <v>45686.3959375</v>
      </c>
      <c r="C607" s="1" t="n">
        <v>46059</v>
      </c>
      <c r="D607" t="inlineStr">
        <is>
          <t>ÖREBRO LÄN</t>
        </is>
      </c>
      <c r="E607" t="inlineStr">
        <is>
          <t>ÖREBRO</t>
        </is>
      </c>
      <c r="G607" t="n">
        <v>3.2</v>
      </c>
      <c r="H607" t="n">
        <v>0</v>
      </c>
      <c r="I607" t="n">
        <v>0</v>
      </c>
      <c r="J607" t="n">
        <v>0</v>
      </c>
      <c r="K607" t="n">
        <v>0</v>
      </c>
      <c r="L607" t="n">
        <v>0</v>
      </c>
      <c r="M607" t="n">
        <v>0</v>
      </c>
      <c r="N607" t="n">
        <v>0</v>
      </c>
      <c r="O607" t="n">
        <v>0</v>
      </c>
      <c r="P607" t="n">
        <v>0</v>
      </c>
      <c r="Q607" t="n">
        <v>0</v>
      </c>
      <c r="R607" s="2" t="inlineStr"/>
    </row>
    <row r="608" ht="15" customHeight="1">
      <c r="A608" t="inlineStr">
        <is>
          <t>A 34358-2022</t>
        </is>
      </c>
      <c r="B608" s="1" t="n">
        <v>44792.45494212963</v>
      </c>
      <c r="C608" s="1" t="n">
        <v>46059</v>
      </c>
      <c r="D608" t="inlineStr">
        <is>
          <t>ÖREBRO LÄN</t>
        </is>
      </c>
      <c r="E608" t="inlineStr">
        <is>
          <t>ÖREBRO</t>
        </is>
      </c>
      <c r="F608" t="inlineStr">
        <is>
          <t>Övriga Aktiebolag</t>
        </is>
      </c>
      <c r="G608" t="n">
        <v>3.4</v>
      </c>
      <c r="H608" t="n">
        <v>0</v>
      </c>
      <c r="I608" t="n">
        <v>0</v>
      </c>
      <c r="J608" t="n">
        <v>0</v>
      </c>
      <c r="K608" t="n">
        <v>0</v>
      </c>
      <c r="L608" t="n">
        <v>0</v>
      </c>
      <c r="M608" t="n">
        <v>0</v>
      </c>
      <c r="N608" t="n">
        <v>0</v>
      </c>
      <c r="O608" t="n">
        <v>0</v>
      </c>
      <c r="P608" t="n">
        <v>0</v>
      </c>
      <c r="Q608" t="n">
        <v>0</v>
      </c>
      <c r="R608" s="2" t="inlineStr"/>
    </row>
    <row r="609" ht="15" customHeight="1">
      <c r="A609" t="inlineStr">
        <is>
          <t>A 15695-2024</t>
        </is>
      </c>
      <c r="B609" s="1" t="n">
        <v>45404.45487268519</v>
      </c>
      <c r="C609" s="1" t="n">
        <v>46059</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5406-2025</t>
        </is>
      </c>
      <c r="B610" s="1" t="n">
        <v>45692.64821759259</v>
      </c>
      <c r="C610" s="1" t="n">
        <v>46059</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22348-2024</t>
        </is>
      </c>
      <c r="B611" s="1" t="n">
        <v>45446.61256944444</v>
      </c>
      <c r="C611" s="1" t="n">
        <v>46059</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52018-2024</t>
        </is>
      </c>
      <c r="B612" s="1" t="n">
        <v>45607.82974537037</v>
      </c>
      <c r="C612" s="1" t="n">
        <v>46059</v>
      </c>
      <c r="D612" t="inlineStr">
        <is>
          <t>ÖREBRO LÄN</t>
        </is>
      </c>
      <c r="E612" t="inlineStr">
        <is>
          <t>ÖREBRO</t>
        </is>
      </c>
      <c r="G612" t="n">
        <v>4.3</v>
      </c>
      <c r="H612" t="n">
        <v>0</v>
      </c>
      <c r="I612" t="n">
        <v>0</v>
      </c>
      <c r="J612" t="n">
        <v>0</v>
      </c>
      <c r="K612" t="n">
        <v>0</v>
      </c>
      <c r="L612" t="n">
        <v>0</v>
      </c>
      <c r="M612" t="n">
        <v>0</v>
      </c>
      <c r="N612" t="n">
        <v>0</v>
      </c>
      <c r="O612" t="n">
        <v>0</v>
      </c>
      <c r="P612" t="n">
        <v>0</v>
      </c>
      <c r="Q612" t="n">
        <v>0</v>
      </c>
      <c r="R612" s="2" t="inlineStr"/>
    </row>
    <row r="613" ht="15" customHeight="1">
      <c r="A613" t="inlineStr">
        <is>
          <t>A 30089-2024</t>
        </is>
      </c>
      <c r="B613" s="1" t="n">
        <v>45485</v>
      </c>
      <c r="C613" s="1" t="n">
        <v>46059</v>
      </c>
      <c r="D613" t="inlineStr">
        <is>
          <t>ÖREBRO LÄN</t>
        </is>
      </c>
      <c r="E613" t="inlineStr">
        <is>
          <t>ÖREBRO</t>
        </is>
      </c>
      <c r="G613" t="n">
        <v>2.2</v>
      </c>
      <c r="H613" t="n">
        <v>0</v>
      </c>
      <c r="I613" t="n">
        <v>0</v>
      </c>
      <c r="J613" t="n">
        <v>0</v>
      </c>
      <c r="K613" t="n">
        <v>0</v>
      </c>
      <c r="L613" t="n">
        <v>0</v>
      </c>
      <c r="M613" t="n">
        <v>0</v>
      </c>
      <c r="N613" t="n">
        <v>0</v>
      </c>
      <c r="O613" t="n">
        <v>0</v>
      </c>
      <c r="P613" t="n">
        <v>0</v>
      </c>
      <c r="Q613" t="n">
        <v>0</v>
      </c>
      <c r="R613" s="2" t="inlineStr"/>
    </row>
    <row r="614" ht="15" customHeight="1">
      <c r="A614" t="inlineStr">
        <is>
          <t>A 71295-2021</t>
        </is>
      </c>
      <c r="B614" s="1" t="n">
        <v>44539.63009259259</v>
      </c>
      <c r="C614" s="1" t="n">
        <v>46059</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46030-2024</t>
        </is>
      </c>
      <c r="B615" s="1" t="n">
        <v>45580.70377314815</v>
      </c>
      <c r="C615" s="1" t="n">
        <v>46059</v>
      </c>
      <c r="D615" t="inlineStr">
        <is>
          <t>ÖREBRO LÄN</t>
        </is>
      </c>
      <c r="E615" t="inlineStr">
        <is>
          <t>ÖREBRO</t>
        </is>
      </c>
      <c r="G615" t="n">
        <v>3.9</v>
      </c>
      <c r="H615" t="n">
        <v>0</v>
      </c>
      <c r="I615" t="n">
        <v>0</v>
      </c>
      <c r="J615" t="n">
        <v>0</v>
      </c>
      <c r="K615" t="n">
        <v>0</v>
      </c>
      <c r="L615" t="n">
        <v>0</v>
      </c>
      <c r="M615" t="n">
        <v>0</v>
      </c>
      <c r="N615" t="n">
        <v>0</v>
      </c>
      <c r="O615" t="n">
        <v>0</v>
      </c>
      <c r="P615" t="n">
        <v>0</v>
      </c>
      <c r="Q615" t="n">
        <v>0</v>
      </c>
      <c r="R615" s="2" t="inlineStr"/>
    </row>
    <row r="616" ht="15" customHeight="1">
      <c r="A616" t="inlineStr">
        <is>
          <t>A 5643-2025</t>
        </is>
      </c>
      <c r="B616" s="1" t="n">
        <v>45693</v>
      </c>
      <c r="C616" s="1" t="n">
        <v>46059</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11516-2024</t>
        </is>
      </c>
      <c r="B617" s="1" t="n">
        <v>45372</v>
      </c>
      <c r="C617" s="1" t="n">
        <v>46059</v>
      </c>
      <c r="D617" t="inlineStr">
        <is>
          <t>ÖREBRO LÄN</t>
        </is>
      </c>
      <c r="E617" t="inlineStr">
        <is>
          <t>ÖREBRO</t>
        </is>
      </c>
      <c r="G617" t="n">
        <v>10.7</v>
      </c>
      <c r="H617" t="n">
        <v>0</v>
      </c>
      <c r="I617" t="n">
        <v>0</v>
      </c>
      <c r="J617" t="n">
        <v>0</v>
      </c>
      <c r="K617" t="n">
        <v>0</v>
      </c>
      <c r="L617" t="n">
        <v>0</v>
      </c>
      <c r="M617" t="n">
        <v>0</v>
      </c>
      <c r="N617" t="n">
        <v>0</v>
      </c>
      <c r="O617" t="n">
        <v>0</v>
      </c>
      <c r="P617" t="n">
        <v>0</v>
      </c>
      <c r="Q617" t="n">
        <v>0</v>
      </c>
      <c r="R617" s="2" t="inlineStr"/>
    </row>
    <row r="618" ht="15" customHeight="1">
      <c r="A618" t="inlineStr">
        <is>
          <t>A 5342-2024</t>
        </is>
      </c>
      <c r="B618" s="1" t="n">
        <v>45331.44145833333</v>
      </c>
      <c r="C618" s="1" t="n">
        <v>46059</v>
      </c>
      <c r="D618" t="inlineStr">
        <is>
          <t>ÖREBRO LÄN</t>
        </is>
      </c>
      <c r="E618" t="inlineStr">
        <is>
          <t>ÖREBRO</t>
        </is>
      </c>
      <c r="G618" t="n">
        <v>2.5</v>
      </c>
      <c r="H618" t="n">
        <v>0</v>
      </c>
      <c r="I618" t="n">
        <v>0</v>
      </c>
      <c r="J618" t="n">
        <v>0</v>
      </c>
      <c r="K618" t="n">
        <v>0</v>
      </c>
      <c r="L618" t="n">
        <v>0</v>
      </c>
      <c r="M618" t="n">
        <v>0</v>
      </c>
      <c r="N618" t="n">
        <v>0</v>
      </c>
      <c r="O618" t="n">
        <v>0</v>
      </c>
      <c r="P618" t="n">
        <v>0</v>
      </c>
      <c r="Q618" t="n">
        <v>0</v>
      </c>
      <c r="R618" s="2" t="inlineStr"/>
    </row>
    <row r="619" ht="15" customHeight="1">
      <c r="A619" t="inlineStr">
        <is>
          <t>A 25578-2025</t>
        </is>
      </c>
      <c r="B619" s="1" t="n">
        <v>45803.47803240741</v>
      </c>
      <c r="C619" s="1" t="n">
        <v>46059</v>
      </c>
      <c r="D619" t="inlineStr">
        <is>
          <t>ÖREBRO LÄN</t>
        </is>
      </c>
      <c r="E619" t="inlineStr">
        <is>
          <t>ÖREBRO</t>
        </is>
      </c>
      <c r="G619" t="n">
        <v>0.9</v>
      </c>
      <c r="H619" t="n">
        <v>0</v>
      </c>
      <c r="I619" t="n">
        <v>0</v>
      </c>
      <c r="J619" t="n">
        <v>0</v>
      </c>
      <c r="K619" t="n">
        <v>0</v>
      </c>
      <c r="L619" t="n">
        <v>0</v>
      </c>
      <c r="M619" t="n">
        <v>0</v>
      </c>
      <c r="N619" t="n">
        <v>0</v>
      </c>
      <c r="O619" t="n">
        <v>0</v>
      </c>
      <c r="P619" t="n">
        <v>0</v>
      </c>
      <c r="Q619" t="n">
        <v>0</v>
      </c>
      <c r="R619" s="2" t="inlineStr"/>
    </row>
    <row r="620" ht="15" customHeight="1">
      <c r="A620" t="inlineStr">
        <is>
          <t>A 25519-2025</t>
        </is>
      </c>
      <c r="B620" s="1" t="n">
        <v>45803.38447916666</v>
      </c>
      <c r="C620" s="1" t="n">
        <v>46059</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27220-2025</t>
        </is>
      </c>
      <c r="B621" s="1" t="n">
        <v>45812.42293981482</v>
      </c>
      <c r="C621" s="1" t="n">
        <v>46059</v>
      </c>
      <c r="D621" t="inlineStr">
        <is>
          <t>ÖREBRO LÄN</t>
        </is>
      </c>
      <c r="E621" t="inlineStr">
        <is>
          <t>ÖREBRO</t>
        </is>
      </c>
      <c r="G621" t="n">
        <v>0.6</v>
      </c>
      <c r="H621" t="n">
        <v>0</v>
      </c>
      <c r="I621" t="n">
        <v>0</v>
      </c>
      <c r="J621" t="n">
        <v>0</v>
      </c>
      <c r="K621" t="n">
        <v>0</v>
      </c>
      <c r="L621" t="n">
        <v>0</v>
      </c>
      <c r="M621" t="n">
        <v>0</v>
      </c>
      <c r="N621" t="n">
        <v>0</v>
      </c>
      <c r="O621" t="n">
        <v>0</v>
      </c>
      <c r="P621" t="n">
        <v>0</v>
      </c>
      <c r="Q621" t="n">
        <v>0</v>
      </c>
      <c r="R621" s="2" t="inlineStr"/>
    </row>
    <row r="622" ht="15" customHeight="1">
      <c r="A622" t="inlineStr">
        <is>
          <t>A 27180-2025</t>
        </is>
      </c>
      <c r="B622" s="1" t="n">
        <v>45812.35736111111</v>
      </c>
      <c r="C622" s="1" t="n">
        <v>46059</v>
      </c>
      <c r="D622" t="inlineStr">
        <is>
          <t>ÖREBRO LÄN</t>
        </is>
      </c>
      <c r="E622" t="inlineStr">
        <is>
          <t>ÖREBRO</t>
        </is>
      </c>
      <c r="G622" t="n">
        <v>1.3</v>
      </c>
      <c r="H622" t="n">
        <v>0</v>
      </c>
      <c r="I622" t="n">
        <v>0</v>
      </c>
      <c r="J622" t="n">
        <v>0</v>
      </c>
      <c r="K622" t="n">
        <v>0</v>
      </c>
      <c r="L622" t="n">
        <v>0</v>
      </c>
      <c r="M622" t="n">
        <v>0</v>
      </c>
      <c r="N622" t="n">
        <v>0</v>
      </c>
      <c r="O622" t="n">
        <v>0</v>
      </c>
      <c r="P622" t="n">
        <v>0</v>
      </c>
      <c r="Q622" t="n">
        <v>0</v>
      </c>
      <c r="R622" s="2" t="inlineStr"/>
    </row>
    <row r="623" ht="15" customHeight="1">
      <c r="A623" t="inlineStr">
        <is>
          <t>A 27215-2025</t>
        </is>
      </c>
      <c r="B623" s="1" t="n">
        <v>45812.41869212963</v>
      </c>
      <c r="C623" s="1" t="n">
        <v>46059</v>
      </c>
      <c r="D623" t="inlineStr">
        <is>
          <t>ÖREBRO LÄN</t>
        </is>
      </c>
      <c r="E623" t="inlineStr">
        <is>
          <t>ÖREBRO</t>
        </is>
      </c>
      <c r="G623" t="n">
        <v>1.2</v>
      </c>
      <c r="H623" t="n">
        <v>0</v>
      </c>
      <c r="I623" t="n">
        <v>0</v>
      </c>
      <c r="J623" t="n">
        <v>0</v>
      </c>
      <c r="K623" t="n">
        <v>0</v>
      </c>
      <c r="L623" t="n">
        <v>0</v>
      </c>
      <c r="M623" t="n">
        <v>0</v>
      </c>
      <c r="N623" t="n">
        <v>0</v>
      </c>
      <c r="O623" t="n">
        <v>0</v>
      </c>
      <c r="P623" t="n">
        <v>0</v>
      </c>
      <c r="Q623" t="n">
        <v>0</v>
      </c>
      <c r="R623" s="2" t="inlineStr"/>
    </row>
    <row r="624" ht="15" customHeight="1">
      <c r="A624" t="inlineStr">
        <is>
          <t>A 27225-2025</t>
        </is>
      </c>
      <c r="B624" s="1" t="n">
        <v>45812.42856481481</v>
      </c>
      <c r="C624" s="1" t="n">
        <v>46059</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28120-2025</t>
        </is>
      </c>
      <c r="B625" s="1" t="n">
        <v>45818.30459490741</v>
      </c>
      <c r="C625" s="1" t="n">
        <v>46059</v>
      </c>
      <c r="D625" t="inlineStr">
        <is>
          <t>ÖREBRO LÄN</t>
        </is>
      </c>
      <c r="E625" t="inlineStr">
        <is>
          <t>ÖREBRO</t>
        </is>
      </c>
      <c r="G625" t="n">
        <v>1.5</v>
      </c>
      <c r="H625" t="n">
        <v>0</v>
      </c>
      <c r="I625" t="n">
        <v>0</v>
      </c>
      <c r="J625" t="n">
        <v>0</v>
      </c>
      <c r="K625" t="n">
        <v>0</v>
      </c>
      <c r="L625" t="n">
        <v>0</v>
      </c>
      <c r="M625" t="n">
        <v>0</v>
      </c>
      <c r="N625" t="n">
        <v>0</v>
      </c>
      <c r="O625" t="n">
        <v>0</v>
      </c>
      <c r="P625" t="n">
        <v>0</v>
      </c>
      <c r="Q625" t="n">
        <v>0</v>
      </c>
      <c r="R625" s="2" t="inlineStr"/>
    </row>
    <row r="626" ht="15" customHeight="1">
      <c r="A626" t="inlineStr">
        <is>
          <t>A 28938-2025</t>
        </is>
      </c>
      <c r="B626" s="1" t="n">
        <v>45820.70626157407</v>
      </c>
      <c r="C626" s="1" t="n">
        <v>46059</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28920-2025</t>
        </is>
      </c>
      <c r="B627" s="1" t="n">
        <v>45820.66532407407</v>
      </c>
      <c r="C627" s="1" t="n">
        <v>46059</v>
      </c>
      <c r="D627" t="inlineStr">
        <is>
          <t>ÖREBRO LÄN</t>
        </is>
      </c>
      <c r="E627" t="inlineStr">
        <is>
          <t>ÖREBRO</t>
        </is>
      </c>
      <c r="G627" t="n">
        <v>3</v>
      </c>
      <c r="H627" t="n">
        <v>0</v>
      </c>
      <c r="I627" t="n">
        <v>0</v>
      </c>
      <c r="J627" t="n">
        <v>0</v>
      </c>
      <c r="K627" t="n">
        <v>0</v>
      </c>
      <c r="L627" t="n">
        <v>0</v>
      </c>
      <c r="M627" t="n">
        <v>0</v>
      </c>
      <c r="N627" t="n">
        <v>0</v>
      </c>
      <c r="O627" t="n">
        <v>0</v>
      </c>
      <c r="P627" t="n">
        <v>0</v>
      </c>
      <c r="Q627" t="n">
        <v>0</v>
      </c>
      <c r="R627" s="2" t="inlineStr"/>
    </row>
    <row r="628" ht="15" customHeight="1">
      <c r="A628" t="inlineStr">
        <is>
          <t>A 29286-2025</t>
        </is>
      </c>
      <c r="B628" s="1" t="n">
        <v>45824.43502314815</v>
      </c>
      <c r="C628" s="1" t="n">
        <v>46059</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29339-2025</t>
        </is>
      </c>
      <c r="B629" s="1" t="n">
        <v>45824.5044212963</v>
      </c>
      <c r="C629" s="1" t="n">
        <v>46059</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60059-2023</t>
        </is>
      </c>
      <c r="B630" s="1" t="n">
        <v>45258.38157407408</v>
      </c>
      <c r="C630" s="1" t="n">
        <v>46059</v>
      </c>
      <c r="D630" t="inlineStr">
        <is>
          <t>ÖREBRO LÄN</t>
        </is>
      </c>
      <c r="E630" t="inlineStr">
        <is>
          <t>ÖREBRO</t>
        </is>
      </c>
      <c r="G630" t="n">
        <v>4</v>
      </c>
      <c r="H630" t="n">
        <v>0</v>
      </c>
      <c r="I630" t="n">
        <v>0</v>
      </c>
      <c r="J630" t="n">
        <v>0</v>
      </c>
      <c r="K630" t="n">
        <v>0</v>
      </c>
      <c r="L630" t="n">
        <v>0</v>
      </c>
      <c r="M630" t="n">
        <v>0</v>
      </c>
      <c r="N630" t="n">
        <v>0</v>
      </c>
      <c r="O630" t="n">
        <v>0</v>
      </c>
      <c r="P630" t="n">
        <v>0</v>
      </c>
      <c r="Q630" t="n">
        <v>0</v>
      </c>
      <c r="R630" s="2" t="inlineStr"/>
    </row>
    <row r="631" ht="15" customHeight="1">
      <c r="A631" t="inlineStr">
        <is>
          <t>A 26858-2024</t>
        </is>
      </c>
      <c r="B631" s="1" t="n">
        <v>45470</v>
      </c>
      <c r="C631" s="1" t="n">
        <v>46059</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29701-2025</t>
        </is>
      </c>
      <c r="B632" s="1" t="n">
        <v>45825.55261574074</v>
      </c>
      <c r="C632" s="1" t="n">
        <v>46059</v>
      </c>
      <c r="D632" t="inlineStr">
        <is>
          <t>ÖREBRO LÄN</t>
        </is>
      </c>
      <c r="E632" t="inlineStr">
        <is>
          <t>ÖREBRO</t>
        </is>
      </c>
      <c r="G632" t="n">
        <v>5.8</v>
      </c>
      <c r="H632" t="n">
        <v>0</v>
      </c>
      <c r="I632" t="n">
        <v>0</v>
      </c>
      <c r="J632" t="n">
        <v>0</v>
      </c>
      <c r="K632" t="n">
        <v>0</v>
      </c>
      <c r="L632" t="n">
        <v>0</v>
      </c>
      <c r="M632" t="n">
        <v>0</v>
      </c>
      <c r="N632" t="n">
        <v>0</v>
      </c>
      <c r="O632" t="n">
        <v>0</v>
      </c>
      <c r="P632" t="n">
        <v>0</v>
      </c>
      <c r="Q632" t="n">
        <v>0</v>
      </c>
      <c r="R632" s="2" t="inlineStr"/>
    </row>
    <row r="633" ht="15" customHeight="1">
      <c r="A633" t="inlineStr">
        <is>
          <t>A 30550-2025</t>
        </is>
      </c>
      <c r="B633" s="1" t="n">
        <v>45831.38224537037</v>
      </c>
      <c r="C633" s="1" t="n">
        <v>46059</v>
      </c>
      <c r="D633" t="inlineStr">
        <is>
          <t>ÖREBRO LÄN</t>
        </is>
      </c>
      <c r="E633" t="inlineStr">
        <is>
          <t>ÖREBRO</t>
        </is>
      </c>
      <c r="G633" t="n">
        <v>1.8</v>
      </c>
      <c r="H633" t="n">
        <v>0</v>
      </c>
      <c r="I633" t="n">
        <v>0</v>
      </c>
      <c r="J633" t="n">
        <v>0</v>
      </c>
      <c r="K633" t="n">
        <v>0</v>
      </c>
      <c r="L633" t="n">
        <v>0</v>
      </c>
      <c r="M633" t="n">
        <v>0</v>
      </c>
      <c r="N633" t="n">
        <v>0</v>
      </c>
      <c r="O633" t="n">
        <v>0</v>
      </c>
      <c r="P633" t="n">
        <v>0</v>
      </c>
      <c r="Q633" t="n">
        <v>0</v>
      </c>
      <c r="R633" s="2" t="inlineStr"/>
    </row>
    <row r="634" ht="15" customHeight="1">
      <c r="A634" t="inlineStr">
        <is>
          <t>A 30731-2025</t>
        </is>
      </c>
      <c r="B634" s="1" t="n">
        <v>45831.57280092593</v>
      </c>
      <c r="C634" s="1" t="n">
        <v>46059</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30951-2025</t>
        </is>
      </c>
      <c r="B635" s="1" t="n">
        <v>45832.43225694444</v>
      </c>
      <c r="C635" s="1" t="n">
        <v>46059</v>
      </c>
      <c r="D635" t="inlineStr">
        <is>
          <t>ÖREBRO LÄN</t>
        </is>
      </c>
      <c r="E635" t="inlineStr">
        <is>
          <t>ÖREBRO</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31066-2025</t>
        </is>
      </c>
      <c r="B636" s="1" t="n">
        <v>45832</v>
      </c>
      <c r="C636" s="1" t="n">
        <v>46059</v>
      </c>
      <c r="D636" t="inlineStr">
        <is>
          <t>ÖREBRO LÄN</t>
        </is>
      </c>
      <c r="E636" t="inlineStr">
        <is>
          <t>ÖREBRO</t>
        </is>
      </c>
      <c r="G636" t="n">
        <v>11.1</v>
      </c>
      <c r="H636" t="n">
        <v>0</v>
      </c>
      <c r="I636" t="n">
        <v>0</v>
      </c>
      <c r="J636" t="n">
        <v>0</v>
      </c>
      <c r="K636" t="n">
        <v>0</v>
      </c>
      <c r="L636" t="n">
        <v>0</v>
      </c>
      <c r="M636" t="n">
        <v>0</v>
      </c>
      <c r="N636" t="n">
        <v>0</v>
      </c>
      <c r="O636" t="n">
        <v>0</v>
      </c>
      <c r="P636" t="n">
        <v>0</v>
      </c>
      <c r="Q636" t="n">
        <v>0</v>
      </c>
      <c r="R636" s="2" t="inlineStr"/>
    </row>
    <row r="637" ht="15" customHeight="1">
      <c r="A637" t="inlineStr">
        <is>
          <t>A 31233-2025</t>
        </is>
      </c>
      <c r="B637" s="1" t="n">
        <v>45832.83341435185</v>
      </c>
      <c r="C637" s="1" t="n">
        <v>46059</v>
      </c>
      <c r="D637" t="inlineStr">
        <is>
          <t>ÖREBRO LÄN</t>
        </is>
      </c>
      <c r="E637" t="inlineStr">
        <is>
          <t>ÖREBRO</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31232-2025</t>
        </is>
      </c>
      <c r="B638" s="1" t="n">
        <v>45832.8252199074</v>
      </c>
      <c r="C638" s="1" t="n">
        <v>46059</v>
      </c>
      <c r="D638" t="inlineStr">
        <is>
          <t>ÖREBRO LÄN</t>
        </is>
      </c>
      <c r="E638" t="inlineStr">
        <is>
          <t>ÖREBRO</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31237-2025</t>
        </is>
      </c>
      <c r="B639" s="1" t="n">
        <v>45832.84313657408</v>
      </c>
      <c r="C639" s="1" t="n">
        <v>46059</v>
      </c>
      <c r="D639" t="inlineStr">
        <is>
          <t>ÖREBRO LÄN</t>
        </is>
      </c>
      <c r="E639" t="inlineStr">
        <is>
          <t>ÖREBRO</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32218-2025</t>
        </is>
      </c>
      <c r="B640" s="1" t="n">
        <v>45835.58880787037</v>
      </c>
      <c r="C640" s="1" t="n">
        <v>46059</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32188-2025</t>
        </is>
      </c>
      <c r="B641" s="1" t="n">
        <v>45835.56965277778</v>
      </c>
      <c r="C641" s="1" t="n">
        <v>46059</v>
      </c>
      <c r="D641" t="inlineStr">
        <is>
          <t>ÖREBRO LÄN</t>
        </is>
      </c>
      <c r="E641" t="inlineStr">
        <is>
          <t>ÖREBRO</t>
        </is>
      </c>
      <c r="G641" t="n">
        <v>2.9</v>
      </c>
      <c r="H641" t="n">
        <v>0</v>
      </c>
      <c r="I641" t="n">
        <v>0</v>
      </c>
      <c r="J641" t="n">
        <v>0</v>
      </c>
      <c r="K641" t="n">
        <v>0</v>
      </c>
      <c r="L641" t="n">
        <v>0</v>
      </c>
      <c r="M641" t="n">
        <v>0</v>
      </c>
      <c r="N641" t="n">
        <v>0</v>
      </c>
      <c r="O641" t="n">
        <v>0</v>
      </c>
      <c r="P641" t="n">
        <v>0</v>
      </c>
      <c r="Q641" t="n">
        <v>0</v>
      </c>
      <c r="R641" s="2" t="inlineStr"/>
    </row>
    <row r="642" ht="15" customHeight="1">
      <c r="A642" t="inlineStr">
        <is>
          <t>A 32195-2025</t>
        </is>
      </c>
      <c r="B642" s="1" t="n">
        <v>45835.57407407407</v>
      </c>
      <c r="C642" s="1" t="n">
        <v>46059</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33191-2025</t>
        </is>
      </c>
      <c r="B643" s="1" t="n">
        <v>45840.6003587963</v>
      </c>
      <c r="C643" s="1" t="n">
        <v>46059</v>
      </c>
      <c r="D643" t="inlineStr">
        <is>
          <t>ÖREBRO LÄN</t>
        </is>
      </c>
      <c r="E643" t="inlineStr">
        <is>
          <t>ÖREBRO</t>
        </is>
      </c>
      <c r="G643" t="n">
        <v>2.6</v>
      </c>
      <c r="H643" t="n">
        <v>0</v>
      </c>
      <c r="I643" t="n">
        <v>0</v>
      </c>
      <c r="J643" t="n">
        <v>0</v>
      </c>
      <c r="K643" t="n">
        <v>0</v>
      </c>
      <c r="L643" t="n">
        <v>0</v>
      </c>
      <c r="M643" t="n">
        <v>0</v>
      </c>
      <c r="N643" t="n">
        <v>0</v>
      </c>
      <c r="O643" t="n">
        <v>0</v>
      </c>
      <c r="P643" t="n">
        <v>0</v>
      </c>
      <c r="Q643" t="n">
        <v>0</v>
      </c>
      <c r="R643" s="2" t="inlineStr"/>
    </row>
    <row r="644" ht="15" customHeight="1">
      <c r="A644" t="inlineStr">
        <is>
          <t>A 32426-2025</t>
        </is>
      </c>
      <c r="B644" s="1" t="n">
        <v>45838.36179398148</v>
      </c>
      <c r="C644" s="1" t="n">
        <v>46059</v>
      </c>
      <c r="D644" t="inlineStr">
        <is>
          <t>ÖREBRO LÄN</t>
        </is>
      </c>
      <c r="E644" t="inlineStr">
        <is>
          <t>ÖREBRO</t>
        </is>
      </c>
      <c r="G644" t="n">
        <v>1.1</v>
      </c>
      <c r="H644" t="n">
        <v>0</v>
      </c>
      <c r="I644" t="n">
        <v>0</v>
      </c>
      <c r="J644" t="n">
        <v>0</v>
      </c>
      <c r="K644" t="n">
        <v>0</v>
      </c>
      <c r="L644" t="n">
        <v>0</v>
      </c>
      <c r="M644" t="n">
        <v>0</v>
      </c>
      <c r="N644" t="n">
        <v>0</v>
      </c>
      <c r="O644" t="n">
        <v>0</v>
      </c>
      <c r="P644" t="n">
        <v>0</v>
      </c>
      <c r="Q644" t="n">
        <v>0</v>
      </c>
      <c r="R644" s="2" t="inlineStr"/>
    </row>
    <row r="645" ht="15" customHeight="1">
      <c r="A645" t="inlineStr">
        <is>
          <t>A 32904-2025</t>
        </is>
      </c>
      <c r="B645" s="1" t="n">
        <v>45839</v>
      </c>
      <c r="C645" s="1" t="n">
        <v>46059</v>
      </c>
      <c r="D645" t="inlineStr">
        <is>
          <t>ÖREBRO LÄN</t>
        </is>
      </c>
      <c r="E645" t="inlineStr">
        <is>
          <t>ÖREBRO</t>
        </is>
      </c>
      <c r="G645" t="n">
        <v>0.6</v>
      </c>
      <c r="H645" t="n">
        <v>0</v>
      </c>
      <c r="I645" t="n">
        <v>0</v>
      </c>
      <c r="J645" t="n">
        <v>0</v>
      </c>
      <c r="K645" t="n">
        <v>0</v>
      </c>
      <c r="L645" t="n">
        <v>0</v>
      </c>
      <c r="M645" t="n">
        <v>0</v>
      </c>
      <c r="N645" t="n">
        <v>0</v>
      </c>
      <c r="O645" t="n">
        <v>0</v>
      </c>
      <c r="P645" t="n">
        <v>0</v>
      </c>
      <c r="Q645" t="n">
        <v>0</v>
      </c>
      <c r="R645" s="2" t="inlineStr"/>
    </row>
    <row r="646" ht="15" customHeight="1">
      <c r="A646" t="inlineStr">
        <is>
          <t>A 48687-2024</t>
        </is>
      </c>
      <c r="B646" s="1" t="n">
        <v>45593.49899305555</v>
      </c>
      <c r="C646" s="1" t="n">
        <v>46059</v>
      </c>
      <c r="D646" t="inlineStr">
        <is>
          <t>ÖREBRO LÄN</t>
        </is>
      </c>
      <c r="E646" t="inlineStr">
        <is>
          <t>ÖREBRO</t>
        </is>
      </c>
      <c r="F646" t="inlineStr">
        <is>
          <t>Övriga Aktiebolag</t>
        </is>
      </c>
      <c r="G646" t="n">
        <v>3.8</v>
      </c>
      <c r="H646" t="n">
        <v>0</v>
      </c>
      <c r="I646" t="n">
        <v>0</v>
      </c>
      <c r="J646" t="n">
        <v>0</v>
      </c>
      <c r="K646" t="n">
        <v>0</v>
      </c>
      <c r="L646" t="n">
        <v>0</v>
      </c>
      <c r="M646" t="n">
        <v>0</v>
      </c>
      <c r="N646" t="n">
        <v>0</v>
      </c>
      <c r="O646" t="n">
        <v>0</v>
      </c>
      <c r="P646" t="n">
        <v>0</v>
      </c>
      <c r="Q646" t="n">
        <v>0</v>
      </c>
      <c r="R646" s="2" t="inlineStr"/>
    </row>
    <row r="647" ht="15" customHeight="1">
      <c r="A647" t="inlineStr">
        <is>
          <t>A 35062-2025</t>
        </is>
      </c>
      <c r="B647" s="1" t="n">
        <v>45852</v>
      </c>
      <c r="C647" s="1" t="n">
        <v>46059</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28821-2025</t>
        </is>
      </c>
      <c r="B648" s="1" t="n">
        <v>45820</v>
      </c>
      <c r="C648" s="1" t="n">
        <v>46059</v>
      </c>
      <c r="D648" t="inlineStr">
        <is>
          <t>ÖREBRO LÄN</t>
        </is>
      </c>
      <c r="E648" t="inlineStr">
        <is>
          <t>ÖREBRO</t>
        </is>
      </c>
      <c r="G648" t="n">
        <v>12.6</v>
      </c>
      <c r="H648" t="n">
        <v>0</v>
      </c>
      <c r="I648" t="n">
        <v>0</v>
      </c>
      <c r="J648" t="n">
        <v>0</v>
      </c>
      <c r="K648" t="n">
        <v>0</v>
      </c>
      <c r="L648" t="n">
        <v>0</v>
      </c>
      <c r="M648" t="n">
        <v>0</v>
      </c>
      <c r="N648" t="n">
        <v>0</v>
      </c>
      <c r="O648" t="n">
        <v>0</v>
      </c>
      <c r="P648" t="n">
        <v>0</v>
      </c>
      <c r="Q648" t="n">
        <v>0</v>
      </c>
      <c r="R648" s="2" t="inlineStr"/>
    </row>
    <row r="649" ht="15" customHeight="1">
      <c r="A649" t="inlineStr">
        <is>
          <t>A 35637-2025</t>
        </is>
      </c>
      <c r="B649" s="1" t="n">
        <v>45859.46859953704</v>
      </c>
      <c r="C649" s="1" t="n">
        <v>46059</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ht="15" customHeight="1">
      <c r="A650" t="inlineStr">
        <is>
          <t>A 35928-2025</t>
        </is>
      </c>
      <c r="B650" s="1" t="n">
        <v>45862</v>
      </c>
      <c r="C650" s="1" t="n">
        <v>46059</v>
      </c>
      <c r="D650" t="inlineStr">
        <is>
          <t>ÖREBRO LÄN</t>
        </is>
      </c>
      <c r="E650" t="inlineStr">
        <is>
          <t>ÖREBRO</t>
        </is>
      </c>
      <c r="G650" t="n">
        <v>4.4</v>
      </c>
      <c r="H650" t="n">
        <v>0</v>
      </c>
      <c r="I650" t="n">
        <v>0</v>
      </c>
      <c r="J650" t="n">
        <v>0</v>
      </c>
      <c r="K650" t="n">
        <v>0</v>
      </c>
      <c r="L650" t="n">
        <v>0</v>
      </c>
      <c r="M650" t="n">
        <v>0</v>
      </c>
      <c r="N650" t="n">
        <v>0</v>
      </c>
      <c r="O650" t="n">
        <v>0</v>
      </c>
      <c r="P650" t="n">
        <v>0</v>
      </c>
      <c r="Q650" t="n">
        <v>0</v>
      </c>
      <c r="R650" s="2" t="inlineStr"/>
    </row>
    <row r="651">
      <c r="A651" t="inlineStr">
        <is>
          <t>A 55453-2024</t>
        </is>
      </c>
      <c r="B651" s="1" t="n">
        <v>45622.42097222222</v>
      </c>
      <c r="C651" s="1" t="n">
        <v>46059</v>
      </c>
      <c r="D651" t="inlineStr">
        <is>
          <t>ÖREBRO LÄN</t>
        </is>
      </c>
      <c r="E651" t="inlineStr">
        <is>
          <t>ÖREBRO</t>
        </is>
      </c>
      <c r="G651" t="n">
        <v>8.5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2026-02-06T11:07:49Z</dcterms:created>
  <dcterms:modified xmlns:dcterms="http://purl.org/dc/terms/" xmlns:xsi="http://www.w3.org/2001/XMLSchema-instance" xsi:type="dcterms:W3CDTF">2026-02-06T11:07:49Z</dcterms:modified>
</cp:coreProperties>
</file>