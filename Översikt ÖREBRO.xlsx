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45967</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45967</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45967</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55197-2023</t>
        </is>
      </c>
      <c r="B8" s="1" t="n">
        <v>45237</v>
      </c>
      <c r="C8" s="1" t="n">
        <v>45967</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13166-2021</t>
        </is>
      </c>
      <c r="B9" s="1" t="n">
        <v>44272</v>
      </c>
      <c r="C9" s="1" t="n">
        <v>45967</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15758-2023</t>
        </is>
      </c>
      <c r="B10" s="1" t="n">
        <v>45021</v>
      </c>
      <c r="C10" s="1" t="n">
        <v>45967</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45967</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5354-2024</t>
        </is>
      </c>
      <c r="B12" s="1" t="n">
        <v>45331</v>
      </c>
      <c r="C12" s="1" t="n">
        <v>45967</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45967</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45967</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45967</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45967</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45967</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45967</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45967</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45967</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50096-2023</t>
        </is>
      </c>
      <c r="B21" s="1" t="n">
        <v>45215</v>
      </c>
      <c r="C21" s="1" t="n">
        <v>45967</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45967</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45967</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45967</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45967</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45967</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45967</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45967</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45967</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14956-2025</t>
        </is>
      </c>
      <c r="B30" s="1" t="n">
        <v>45743.58409722222</v>
      </c>
      <c r="C30" s="1" t="n">
        <v>45967</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8267-2021</t>
        </is>
      </c>
      <c r="B31" s="1" t="n">
        <v>44244</v>
      </c>
      <c r="C31" s="1" t="n">
        <v>45967</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37019-2024</t>
        </is>
      </c>
      <c r="B32" s="1" t="n">
        <v>45539.37905092593</v>
      </c>
      <c r="C32" s="1" t="n">
        <v>45967</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51550-2025</t>
        </is>
      </c>
      <c r="B33" s="1" t="n">
        <v>45950.83359953704</v>
      </c>
      <c r="C33" s="1" t="n">
        <v>45967</v>
      </c>
      <c r="D33" t="inlineStr">
        <is>
          <t>ÖREBRO LÄN</t>
        </is>
      </c>
      <c r="E33" t="inlineStr">
        <is>
          <t>ÖREBRO</t>
        </is>
      </c>
      <c r="F33" t="inlineStr">
        <is>
          <t>Övriga Aktiebolag</t>
        </is>
      </c>
      <c r="G33" t="n">
        <v>5.5</v>
      </c>
      <c r="H33" t="n">
        <v>0</v>
      </c>
      <c r="I33" t="n">
        <v>1</v>
      </c>
      <c r="J33" t="n">
        <v>1</v>
      </c>
      <c r="K33" t="n">
        <v>0</v>
      </c>
      <c r="L33" t="n">
        <v>0</v>
      </c>
      <c r="M33" t="n">
        <v>0</v>
      </c>
      <c r="N33" t="n">
        <v>0</v>
      </c>
      <c r="O33" t="n">
        <v>1</v>
      </c>
      <c r="P33" t="n">
        <v>0</v>
      </c>
      <c r="Q33" t="n">
        <v>2</v>
      </c>
      <c r="R33" s="2" t="inlineStr">
        <is>
          <t>Bryngökbi
Tibast</t>
        </is>
      </c>
      <c r="S33">
        <f>HYPERLINK("https://klasma.github.io/Logging_1880/artfynd/A 51550-2025 artfynd.xlsx", "A 51550-2025")</f>
        <v/>
      </c>
      <c r="T33">
        <f>HYPERLINK("https://klasma.github.io/Logging_1880/kartor/A 51550-2025 karta.png", "A 51550-2025")</f>
        <v/>
      </c>
      <c r="V33">
        <f>HYPERLINK("https://klasma.github.io/Logging_1880/klagomål/A 51550-2025 FSC-klagomål.docx", "A 51550-2025")</f>
        <v/>
      </c>
      <c r="W33">
        <f>HYPERLINK("https://klasma.github.io/Logging_1880/klagomålsmail/A 51550-2025 FSC-klagomål mail.docx", "A 51550-2025")</f>
        <v/>
      </c>
      <c r="X33">
        <f>HYPERLINK("https://klasma.github.io/Logging_1880/tillsyn/A 51550-2025 tillsynsbegäran.docx", "A 51550-2025")</f>
        <v/>
      </c>
      <c r="Y33">
        <f>HYPERLINK("https://klasma.github.io/Logging_1880/tillsynsmail/A 51550-2025 tillsynsbegäran mail.docx", "A 51550-2025")</f>
        <v/>
      </c>
    </row>
    <row r="34" ht="15" customHeight="1">
      <c r="A34" t="inlineStr">
        <is>
          <t>A 7608-2024</t>
        </is>
      </c>
      <c r="B34" s="1" t="n">
        <v>45348</v>
      </c>
      <c r="C34" s="1" t="n">
        <v>45967</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13395-2024</t>
        </is>
      </c>
      <c r="B35" s="1" t="n">
        <v>45387.42296296296</v>
      </c>
      <c r="C35" s="1" t="n">
        <v>45967</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30409-2025</t>
        </is>
      </c>
      <c r="B36" s="1" t="n">
        <v>45827.59738425926</v>
      </c>
      <c r="C36" s="1" t="n">
        <v>45967</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52400-2024</t>
        </is>
      </c>
      <c r="B37" s="1" t="n">
        <v>45609.44461805555</v>
      </c>
      <c r="C37" s="1" t="n">
        <v>45967</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45967</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45967</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45967</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30725-2023</t>
        </is>
      </c>
      <c r="B41" s="1" t="n">
        <v>45112.61451388889</v>
      </c>
      <c r="C41" s="1" t="n">
        <v>45967</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5097-2023</t>
        </is>
      </c>
      <c r="B42" s="1" t="n">
        <v>44958</v>
      </c>
      <c r="C42" s="1" t="n">
        <v>45967</v>
      </c>
      <c r="D42" t="inlineStr">
        <is>
          <t>ÖREBRO LÄN</t>
        </is>
      </c>
      <c r="E42" t="inlineStr">
        <is>
          <t>ÖREBRO</t>
        </is>
      </c>
      <c r="G42" t="n">
        <v>3.6</v>
      </c>
      <c r="H42" t="n">
        <v>1</v>
      </c>
      <c r="I42" t="n">
        <v>0</v>
      </c>
      <c r="J42" t="n">
        <v>0</v>
      </c>
      <c r="K42" t="n">
        <v>0</v>
      </c>
      <c r="L42" t="n">
        <v>0</v>
      </c>
      <c r="M42" t="n">
        <v>0</v>
      </c>
      <c r="N42" t="n">
        <v>0</v>
      </c>
      <c r="O42" t="n">
        <v>0</v>
      </c>
      <c r="P42" t="n">
        <v>0</v>
      </c>
      <c r="Q42" t="n">
        <v>1</v>
      </c>
      <c r="R42" s="2" t="inlineStr">
        <is>
          <t>Grönvit nattviol</t>
        </is>
      </c>
      <c r="S42">
        <f>HYPERLINK("https://klasma.github.io/Logging_1880/artfynd/A 5097-2023 artfynd.xlsx", "A 5097-2023")</f>
        <v/>
      </c>
      <c r="T42">
        <f>HYPERLINK("https://klasma.github.io/Logging_1880/kartor/A 5097-2023 karta.png", "A 5097-2023")</f>
        <v/>
      </c>
      <c r="V42">
        <f>HYPERLINK("https://klasma.github.io/Logging_1880/klagomål/A 5097-2023 FSC-klagomål.docx", "A 5097-2023")</f>
        <v/>
      </c>
      <c r="W42">
        <f>HYPERLINK("https://klasma.github.io/Logging_1880/klagomålsmail/A 5097-2023 FSC-klagomål mail.docx", "A 5097-2023")</f>
        <v/>
      </c>
      <c r="X42">
        <f>HYPERLINK("https://klasma.github.io/Logging_1880/tillsyn/A 5097-2023 tillsynsbegäran.docx", "A 5097-2023")</f>
        <v/>
      </c>
      <c r="Y42">
        <f>HYPERLINK("https://klasma.github.io/Logging_1880/tillsynsmail/A 5097-2023 tillsynsbegäran mail.docx", "A 5097-2023")</f>
        <v/>
      </c>
    </row>
    <row r="43" ht="15" customHeight="1">
      <c r="A43" t="inlineStr">
        <is>
          <t>A 20247-2023</t>
        </is>
      </c>
      <c r="B43" s="1" t="n">
        <v>45055</v>
      </c>
      <c r="C43" s="1" t="n">
        <v>45967</v>
      </c>
      <c r="D43" t="inlineStr">
        <is>
          <t>ÖREBRO LÄN</t>
        </is>
      </c>
      <c r="E43" t="inlineStr">
        <is>
          <t>ÖREBRO</t>
        </is>
      </c>
      <c r="G43" t="n">
        <v>3</v>
      </c>
      <c r="H43" t="n">
        <v>1</v>
      </c>
      <c r="I43" t="n">
        <v>0</v>
      </c>
      <c r="J43" t="n">
        <v>0</v>
      </c>
      <c r="K43" t="n">
        <v>0</v>
      </c>
      <c r="L43" t="n">
        <v>0</v>
      </c>
      <c r="M43" t="n">
        <v>0</v>
      </c>
      <c r="N43" t="n">
        <v>0</v>
      </c>
      <c r="O43" t="n">
        <v>0</v>
      </c>
      <c r="P43" t="n">
        <v>0</v>
      </c>
      <c r="Q43" t="n">
        <v>1</v>
      </c>
      <c r="R43" s="2" t="inlineStr">
        <is>
          <t>Större vattensalamander</t>
        </is>
      </c>
      <c r="S43">
        <f>HYPERLINK("https://klasma.github.io/Logging_1880/artfynd/A 20247-2023 artfynd.xlsx", "A 20247-2023")</f>
        <v/>
      </c>
      <c r="T43">
        <f>HYPERLINK("https://klasma.github.io/Logging_1880/kartor/A 20247-2023 karta.png", "A 20247-2023")</f>
        <v/>
      </c>
      <c r="V43">
        <f>HYPERLINK("https://klasma.github.io/Logging_1880/klagomål/A 20247-2023 FSC-klagomål.docx", "A 20247-2023")</f>
        <v/>
      </c>
      <c r="W43">
        <f>HYPERLINK("https://klasma.github.io/Logging_1880/klagomålsmail/A 20247-2023 FSC-klagomål mail.docx", "A 20247-2023")</f>
        <v/>
      </c>
      <c r="X43">
        <f>HYPERLINK("https://klasma.github.io/Logging_1880/tillsyn/A 20247-2023 tillsynsbegäran.docx", "A 20247-2023")</f>
        <v/>
      </c>
      <c r="Y43">
        <f>HYPERLINK("https://klasma.github.io/Logging_1880/tillsynsmail/A 20247-2023 tillsynsbegäran mail.docx", "A 20247-2023")</f>
        <v/>
      </c>
    </row>
    <row r="44" ht="15" customHeight="1">
      <c r="A44" t="inlineStr">
        <is>
          <t>A 11501-2025</t>
        </is>
      </c>
      <c r="B44" s="1" t="n">
        <v>45726</v>
      </c>
      <c r="C44" s="1" t="n">
        <v>45967</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43332-2022</t>
        </is>
      </c>
      <c r="B45" s="1" t="n">
        <v>44834</v>
      </c>
      <c r="C45" s="1" t="n">
        <v>45967</v>
      </c>
      <c r="D45" t="inlineStr">
        <is>
          <t>ÖREBRO LÄN</t>
        </is>
      </c>
      <c r="E45" t="inlineStr">
        <is>
          <t>ÖREBRO</t>
        </is>
      </c>
      <c r="G45" t="n">
        <v>2.3</v>
      </c>
      <c r="H45" t="n">
        <v>1</v>
      </c>
      <c r="I45" t="n">
        <v>0</v>
      </c>
      <c r="J45" t="n">
        <v>1</v>
      </c>
      <c r="K45" t="n">
        <v>0</v>
      </c>
      <c r="L45" t="n">
        <v>0</v>
      </c>
      <c r="M45" t="n">
        <v>0</v>
      </c>
      <c r="N45" t="n">
        <v>0</v>
      </c>
      <c r="O45" t="n">
        <v>1</v>
      </c>
      <c r="P45" t="n">
        <v>0</v>
      </c>
      <c r="Q45" t="n">
        <v>1</v>
      </c>
      <c r="R45" s="2" t="inlineStr">
        <is>
          <t>Spillkråka</t>
        </is>
      </c>
      <c r="S45">
        <f>HYPERLINK("https://klasma.github.io/Logging_1880/artfynd/A 43332-2022 artfynd.xlsx", "A 43332-2022")</f>
        <v/>
      </c>
      <c r="T45">
        <f>HYPERLINK("https://klasma.github.io/Logging_1880/kartor/A 43332-2022 karta.png", "A 43332-2022")</f>
        <v/>
      </c>
      <c r="V45">
        <f>HYPERLINK("https://klasma.github.io/Logging_1880/klagomål/A 43332-2022 FSC-klagomål.docx", "A 43332-2022")</f>
        <v/>
      </c>
      <c r="W45">
        <f>HYPERLINK("https://klasma.github.io/Logging_1880/klagomålsmail/A 43332-2022 FSC-klagomål mail.docx", "A 43332-2022")</f>
        <v/>
      </c>
      <c r="X45">
        <f>HYPERLINK("https://klasma.github.io/Logging_1880/tillsyn/A 43332-2022 tillsynsbegäran.docx", "A 43332-2022")</f>
        <v/>
      </c>
      <c r="Y45">
        <f>HYPERLINK("https://klasma.github.io/Logging_1880/tillsynsmail/A 43332-2022 tillsynsbegäran mail.docx", "A 43332-2022")</f>
        <v/>
      </c>
      <c r="Z45">
        <f>HYPERLINK("https://klasma.github.io/Logging_1880/fåglar/A 43332-2022 prioriterade fågelarter.docx", "A 43332-2022")</f>
        <v/>
      </c>
    </row>
    <row r="46" ht="15" customHeight="1">
      <c r="A46" t="inlineStr">
        <is>
          <t>A 58966-2020</t>
        </is>
      </c>
      <c r="B46" s="1" t="n">
        <v>44146</v>
      </c>
      <c r="C46" s="1" t="n">
        <v>45967</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44744-2024</t>
        </is>
      </c>
      <c r="B47" s="1" t="n">
        <v>45574.59789351852</v>
      </c>
      <c r="C47" s="1" t="n">
        <v>45967</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4014-2021</t>
        </is>
      </c>
      <c r="B48" s="1" t="n">
        <v>44218</v>
      </c>
      <c r="C48" s="1" t="n">
        <v>45967</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23998-2025</t>
        </is>
      </c>
      <c r="B49" s="1" t="n">
        <v>45796.42209490741</v>
      </c>
      <c r="C49" s="1" t="n">
        <v>45967</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26890-2022</t>
        </is>
      </c>
      <c r="B50" s="1" t="n">
        <v>44740</v>
      </c>
      <c r="C50" s="1" t="n">
        <v>45967</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32105-2023</t>
        </is>
      </c>
      <c r="B51" s="1" t="n">
        <v>45119</v>
      </c>
      <c r="C51" s="1" t="n">
        <v>45967</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57920-2024</t>
        </is>
      </c>
      <c r="B52" s="1" t="n">
        <v>45631.50894675926</v>
      </c>
      <c r="C52" s="1" t="n">
        <v>45967</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42636-2023</t>
        </is>
      </c>
      <c r="B53" s="1" t="n">
        <v>45181.49559027778</v>
      </c>
      <c r="C53" s="1" t="n">
        <v>45967</v>
      </c>
      <c r="D53" t="inlineStr">
        <is>
          <t>ÖREBRO LÄN</t>
        </is>
      </c>
      <c r="E53" t="inlineStr">
        <is>
          <t>ÖREBRO</t>
        </is>
      </c>
      <c r="G53" t="n">
        <v>1.7</v>
      </c>
      <c r="H53" t="n">
        <v>0</v>
      </c>
      <c r="I53" t="n">
        <v>0</v>
      </c>
      <c r="J53" t="n">
        <v>1</v>
      </c>
      <c r="K53" t="n">
        <v>0</v>
      </c>
      <c r="L53" t="n">
        <v>0</v>
      </c>
      <c r="M53" t="n">
        <v>0</v>
      </c>
      <c r="N53" t="n">
        <v>0</v>
      </c>
      <c r="O53" t="n">
        <v>1</v>
      </c>
      <c r="P53" t="n">
        <v>0</v>
      </c>
      <c r="Q53" t="n">
        <v>1</v>
      </c>
      <c r="R53" s="2" t="inlineStr">
        <is>
          <t>Igelkott</t>
        </is>
      </c>
      <c r="S53">
        <f>HYPERLINK("https://klasma.github.io/Logging_1880/artfynd/A 42636-2023 artfynd.xlsx", "A 42636-2023")</f>
        <v/>
      </c>
      <c r="T53">
        <f>HYPERLINK("https://klasma.github.io/Logging_1880/kartor/A 42636-2023 karta.png", "A 42636-2023")</f>
        <v/>
      </c>
      <c r="V53">
        <f>HYPERLINK("https://klasma.github.io/Logging_1880/klagomål/A 42636-2023 FSC-klagomål.docx", "A 42636-2023")</f>
        <v/>
      </c>
      <c r="W53">
        <f>HYPERLINK("https://klasma.github.io/Logging_1880/klagomålsmail/A 42636-2023 FSC-klagomål mail.docx", "A 42636-2023")</f>
        <v/>
      </c>
      <c r="X53">
        <f>HYPERLINK("https://klasma.github.io/Logging_1880/tillsyn/A 42636-2023 tillsynsbegäran.docx", "A 42636-2023")</f>
        <v/>
      </c>
      <c r="Y53">
        <f>HYPERLINK("https://klasma.github.io/Logging_1880/tillsynsmail/A 42636-2023 tillsynsbegäran mail.docx", "A 42636-2023")</f>
        <v/>
      </c>
    </row>
    <row r="54" ht="15" customHeight="1">
      <c r="A54" t="inlineStr">
        <is>
          <t>A 55904-2024</t>
        </is>
      </c>
      <c r="B54" s="1" t="n">
        <v>45623.58190972222</v>
      </c>
      <c r="C54" s="1" t="n">
        <v>45967</v>
      </c>
      <c r="D54" t="inlineStr">
        <is>
          <t>ÖREBRO LÄN</t>
        </is>
      </c>
      <c r="E54" t="inlineStr">
        <is>
          <t>ÖREBRO</t>
        </is>
      </c>
      <c r="G54" t="n">
        <v>1.2</v>
      </c>
      <c r="H54" t="n">
        <v>1</v>
      </c>
      <c r="I54" t="n">
        <v>0</v>
      </c>
      <c r="J54" t="n">
        <v>0</v>
      </c>
      <c r="K54" t="n">
        <v>0</v>
      </c>
      <c r="L54" t="n">
        <v>0</v>
      </c>
      <c r="M54" t="n">
        <v>0</v>
      </c>
      <c r="N54" t="n">
        <v>0</v>
      </c>
      <c r="O54" t="n">
        <v>0</v>
      </c>
      <c r="P54" t="n">
        <v>0</v>
      </c>
      <c r="Q54" t="n">
        <v>1</v>
      </c>
      <c r="R54" s="2" t="inlineStr">
        <is>
          <t>Trana</t>
        </is>
      </c>
      <c r="S54">
        <f>HYPERLINK("https://klasma.github.io/Logging_1880/artfynd/A 55904-2024 artfynd.xlsx", "A 55904-2024")</f>
        <v/>
      </c>
      <c r="T54">
        <f>HYPERLINK("https://klasma.github.io/Logging_1880/kartor/A 55904-2024 karta.png", "A 55904-2024")</f>
        <v/>
      </c>
      <c r="V54">
        <f>HYPERLINK("https://klasma.github.io/Logging_1880/klagomål/A 55904-2024 FSC-klagomål.docx", "A 55904-2024")</f>
        <v/>
      </c>
      <c r="W54">
        <f>HYPERLINK("https://klasma.github.io/Logging_1880/klagomålsmail/A 55904-2024 FSC-klagomål mail.docx", "A 55904-2024")</f>
        <v/>
      </c>
      <c r="X54">
        <f>HYPERLINK("https://klasma.github.io/Logging_1880/tillsyn/A 55904-2024 tillsynsbegäran.docx", "A 55904-2024")</f>
        <v/>
      </c>
      <c r="Y54">
        <f>HYPERLINK("https://klasma.github.io/Logging_1880/tillsynsmail/A 55904-2024 tillsynsbegäran mail.docx", "A 55904-2024")</f>
        <v/>
      </c>
      <c r="Z54">
        <f>HYPERLINK("https://klasma.github.io/Logging_1880/fåglar/A 55904-2024 prioriterade fågelarter.docx", "A 55904-2024")</f>
        <v/>
      </c>
    </row>
    <row r="55" ht="15" customHeight="1">
      <c r="A55" t="inlineStr">
        <is>
          <t>A 50499-2025</t>
        </is>
      </c>
      <c r="B55" s="1" t="n">
        <v>45945.41712962963</v>
      </c>
      <c r="C55" s="1" t="n">
        <v>45967</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20032-2023</t>
        </is>
      </c>
      <c r="B56" s="1" t="n">
        <v>45054</v>
      </c>
      <c r="C56" s="1" t="n">
        <v>45967</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15621-2021</t>
        </is>
      </c>
      <c r="B57" s="1" t="n">
        <v>44285</v>
      </c>
      <c r="C57" s="1" t="n">
        <v>45967</v>
      </c>
      <c r="D57" t="inlineStr">
        <is>
          <t>ÖREBRO LÄN</t>
        </is>
      </c>
      <c r="E57" t="inlineStr">
        <is>
          <t>ÖREBRO</t>
        </is>
      </c>
      <c r="G57" t="n">
        <v>2.8</v>
      </c>
      <c r="H57" t="n">
        <v>1</v>
      </c>
      <c r="I57" t="n">
        <v>0</v>
      </c>
      <c r="J57" t="n">
        <v>0</v>
      </c>
      <c r="K57" t="n">
        <v>0</v>
      </c>
      <c r="L57" t="n">
        <v>0</v>
      </c>
      <c r="M57" t="n">
        <v>0</v>
      </c>
      <c r="N57" t="n">
        <v>0</v>
      </c>
      <c r="O57" t="n">
        <v>0</v>
      </c>
      <c r="P57" t="n">
        <v>0</v>
      </c>
      <c r="Q57" t="n">
        <v>1</v>
      </c>
      <c r="R57" s="2" t="inlineStr">
        <is>
          <t>Fläcknycklar</t>
        </is>
      </c>
      <c r="S57">
        <f>HYPERLINK("https://klasma.github.io/Logging_1880/artfynd/A 15621-2021 artfynd.xlsx", "A 15621-2021")</f>
        <v/>
      </c>
      <c r="T57">
        <f>HYPERLINK("https://klasma.github.io/Logging_1880/kartor/A 15621-2021 karta.png", "A 15621-2021")</f>
        <v/>
      </c>
      <c r="V57">
        <f>HYPERLINK("https://klasma.github.io/Logging_1880/klagomål/A 15621-2021 FSC-klagomål.docx", "A 15621-2021")</f>
        <v/>
      </c>
      <c r="W57">
        <f>HYPERLINK("https://klasma.github.io/Logging_1880/klagomålsmail/A 15621-2021 FSC-klagomål mail.docx", "A 15621-2021")</f>
        <v/>
      </c>
      <c r="X57">
        <f>HYPERLINK("https://klasma.github.io/Logging_1880/tillsyn/A 15621-2021 tillsynsbegäran.docx", "A 15621-2021")</f>
        <v/>
      </c>
      <c r="Y57">
        <f>HYPERLINK("https://klasma.github.io/Logging_1880/tillsynsmail/A 15621-2021 tillsynsbegäran mail.docx", "A 15621-2021")</f>
        <v/>
      </c>
    </row>
    <row r="58" ht="15" customHeight="1">
      <c r="A58" t="inlineStr">
        <is>
          <t>A 2077-2023</t>
        </is>
      </c>
      <c r="B58" s="1" t="n">
        <v>44939</v>
      </c>
      <c r="C58" s="1" t="n">
        <v>45967</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45967</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22604-2024</t>
        </is>
      </c>
      <c r="B60" s="1" t="n">
        <v>45447</v>
      </c>
      <c r="C60" s="1" t="n">
        <v>45967</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31695-2024</t>
        </is>
      </c>
      <c r="B61" s="1" t="n">
        <v>45508</v>
      </c>
      <c r="C61" s="1" t="n">
        <v>45967</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28936-2025</t>
        </is>
      </c>
      <c r="B62" s="1" t="n">
        <v>45820.69287037037</v>
      </c>
      <c r="C62" s="1" t="n">
        <v>45967</v>
      </c>
      <c r="D62" t="inlineStr">
        <is>
          <t>ÖREBRO LÄN</t>
        </is>
      </c>
      <c r="E62" t="inlineStr">
        <is>
          <t>ÖREBRO</t>
        </is>
      </c>
      <c r="G62" t="n">
        <v>0.9</v>
      </c>
      <c r="H62" t="n">
        <v>1</v>
      </c>
      <c r="I62" t="n">
        <v>0</v>
      </c>
      <c r="J62" t="n">
        <v>0</v>
      </c>
      <c r="K62" t="n">
        <v>0</v>
      </c>
      <c r="L62" t="n">
        <v>0</v>
      </c>
      <c r="M62" t="n">
        <v>0</v>
      </c>
      <c r="N62" t="n">
        <v>0</v>
      </c>
      <c r="O62" t="n">
        <v>0</v>
      </c>
      <c r="P62" t="n">
        <v>0</v>
      </c>
      <c r="Q62" t="n">
        <v>1</v>
      </c>
      <c r="R62" s="2" t="inlineStr">
        <is>
          <t>Kungsfågel</t>
        </is>
      </c>
      <c r="S62">
        <f>HYPERLINK("https://klasma.github.io/Logging_1880/artfynd/A 28936-2025 artfynd.xlsx", "A 28936-2025")</f>
        <v/>
      </c>
      <c r="T62">
        <f>HYPERLINK("https://klasma.github.io/Logging_1880/kartor/A 28936-2025 karta.png", "A 28936-2025")</f>
        <v/>
      </c>
      <c r="V62">
        <f>HYPERLINK("https://klasma.github.io/Logging_1880/klagomål/A 28936-2025 FSC-klagomål.docx", "A 28936-2025")</f>
        <v/>
      </c>
      <c r="W62">
        <f>HYPERLINK("https://klasma.github.io/Logging_1880/klagomålsmail/A 28936-2025 FSC-klagomål mail.docx", "A 28936-2025")</f>
        <v/>
      </c>
      <c r="X62">
        <f>HYPERLINK("https://klasma.github.io/Logging_1880/tillsyn/A 28936-2025 tillsynsbegäran.docx", "A 28936-2025")</f>
        <v/>
      </c>
      <c r="Y62">
        <f>HYPERLINK("https://klasma.github.io/Logging_1880/tillsynsmail/A 28936-2025 tillsynsbegäran mail.docx", "A 28936-2025")</f>
        <v/>
      </c>
      <c r="Z62">
        <f>HYPERLINK("https://klasma.github.io/Logging_1880/fåglar/A 28936-2025 prioriterade fågelarter.docx", "A 28936-2025")</f>
        <v/>
      </c>
    </row>
    <row r="63" ht="15" customHeight="1">
      <c r="A63" t="inlineStr">
        <is>
          <t>A 32226-2025</t>
        </is>
      </c>
      <c r="B63" s="1" t="n">
        <v>45835.59478009259</v>
      </c>
      <c r="C63" s="1" t="n">
        <v>45967</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32204-2025</t>
        </is>
      </c>
      <c r="B64" s="1" t="n">
        <v>45835.58074074074</v>
      </c>
      <c r="C64" s="1" t="n">
        <v>45967</v>
      </c>
      <c r="D64" t="inlineStr">
        <is>
          <t>ÖREBRO LÄN</t>
        </is>
      </c>
      <c r="E64" t="inlineStr">
        <is>
          <t>ÖREBRO</t>
        </is>
      </c>
      <c r="G64" t="n">
        <v>3.4</v>
      </c>
      <c r="H64" t="n">
        <v>1</v>
      </c>
      <c r="I64" t="n">
        <v>0</v>
      </c>
      <c r="J64" t="n">
        <v>0</v>
      </c>
      <c r="K64" t="n">
        <v>0</v>
      </c>
      <c r="L64" t="n">
        <v>0</v>
      </c>
      <c r="M64" t="n">
        <v>0</v>
      </c>
      <c r="N64" t="n">
        <v>0</v>
      </c>
      <c r="O64" t="n">
        <v>0</v>
      </c>
      <c r="P64" t="n">
        <v>0</v>
      </c>
      <c r="Q64" t="n">
        <v>1</v>
      </c>
      <c r="R64" s="2" t="inlineStr">
        <is>
          <t>Tjäder</t>
        </is>
      </c>
      <c r="S64">
        <f>HYPERLINK("https://klasma.github.io/Logging_1880/artfynd/A 32204-2025 artfynd.xlsx", "A 32204-2025")</f>
        <v/>
      </c>
      <c r="T64">
        <f>HYPERLINK("https://klasma.github.io/Logging_1880/kartor/A 32204-2025 karta.png", "A 32204-2025")</f>
        <v/>
      </c>
      <c r="V64">
        <f>HYPERLINK("https://klasma.github.io/Logging_1880/klagomål/A 32204-2025 FSC-klagomål.docx", "A 32204-2025")</f>
        <v/>
      </c>
      <c r="W64">
        <f>HYPERLINK("https://klasma.github.io/Logging_1880/klagomålsmail/A 32204-2025 FSC-klagomål mail.docx", "A 32204-2025")</f>
        <v/>
      </c>
      <c r="X64">
        <f>HYPERLINK("https://klasma.github.io/Logging_1880/tillsyn/A 32204-2025 tillsynsbegäran.docx", "A 32204-2025")</f>
        <v/>
      </c>
      <c r="Y64">
        <f>HYPERLINK("https://klasma.github.io/Logging_1880/tillsynsmail/A 32204-2025 tillsynsbegäran mail.docx", "A 32204-2025")</f>
        <v/>
      </c>
      <c r="Z64">
        <f>HYPERLINK("https://klasma.github.io/Logging_1880/fåglar/A 32204-2025 prioriterade fågelarter.docx", "A 32204-2025")</f>
        <v/>
      </c>
    </row>
    <row r="65" ht="15" customHeight="1">
      <c r="A65" t="inlineStr">
        <is>
          <t>A 9406-2021</t>
        </is>
      </c>
      <c r="B65" s="1" t="n">
        <v>44251</v>
      </c>
      <c r="C65" s="1" t="n">
        <v>45967</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45967</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45967</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45967</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45967</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45967</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45967</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45967</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45967</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45967</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45967</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45967</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45967</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45967</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45967</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45967</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45967</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45967</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45967</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45967</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45967</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45967</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45967</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45967</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45967</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45967</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45967</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45967</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45967</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45967</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45967</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45967</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45967</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45967</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45967</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45967</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45967</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45967</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45967</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45967</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45967</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45967</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45967</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45967</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45967</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45967</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45967</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45967</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45967</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45967</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45967</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63247-2021</t>
        </is>
      </c>
      <c r="B116" s="1" t="n">
        <v>44505</v>
      </c>
      <c r="C116" s="1" t="n">
        <v>45967</v>
      </c>
      <c r="D116" t="inlineStr">
        <is>
          <t>ÖREBRO LÄN</t>
        </is>
      </c>
      <c r="E116" t="inlineStr">
        <is>
          <t>ÖREBRO</t>
        </is>
      </c>
      <c r="G116" t="n">
        <v>1.5</v>
      </c>
      <c r="H116" t="n">
        <v>0</v>
      </c>
      <c r="I116" t="n">
        <v>0</v>
      </c>
      <c r="J116" t="n">
        <v>0</v>
      </c>
      <c r="K116" t="n">
        <v>0</v>
      </c>
      <c r="L116" t="n">
        <v>0</v>
      </c>
      <c r="M116" t="n">
        <v>0</v>
      </c>
      <c r="N116" t="n">
        <v>0</v>
      </c>
      <c r="O116" t="n">
        <v>0</v>
      </c>
      <c r="P116" t="n">
        <v>0</v>
      </c>
      <c r="Q116" t="n">
        <v>0</v>
      </c>
      <c r="R116" s="2" t="inlineStr"/>
    </row>
    <row r="117" ht="15" customHeight="1">
      <c r="A117" t="inlineStr">
        <is>
          <t>A 3087-2021</t>
        </is>
      </c>
      <c r="B117" s="1" t="n">
        <v>44216</v>
      </c>
      <c r="C117" s="1" t="n">
        <v>45967</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45967</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32231-2022</t>
        </is>
      </c>
      <c r="B119" s="1" t="n">
        <v>44781</v>
      </c>
      <c r="C119" s="1" t="n">
        <v>45967</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32247-2022</t>
        </is>
      </c>
      <c r="B120" s="1" t="n">
        <v>44781</v>
      </c>
      <c r="C120" s="1" t="n">
        <v>45967</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45967</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41553-2022</t>
        </is>
      </c>
      <c r="B122" s="1" t="n">
        <v>44827.3940625</v>
      </c>
      <c r="C122" s="1" t="n">
        <v>45967</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14562-2022</t>
        </is>
      </c>
      <c r="B123" s="1" t="n">
        <v>44655</v>
      </c>
      <c r="C123" s="1" t="n">
        <v>45967</v>
      </c>
      <c r="D123" t="inlineStr">
        <is>
          <t>ÖREBRO LÄN</t>
        </is>
      </c>
      <c r="E123" t="inlineStr">
        <is>
          <t>ÖREBRO</t>
        </is>
      </c>
      <c r="G123" t="n">
        <v>3.6</v>
      </c>
      <c r="H123" t="n">
        <v>0</v>
      </c>
      <c r="I123" t="n">
        <v>0</v>
      </c>
      <c r="J123" t="n">
        <v>0</v>
      </c>
      <c r="K123" t="n">
        <v>0</v>
      </c>
      <c r="L123" t="n">
        <v>0</v>
      </c>
      <c r="M123" t="n">
        <v>0</v>
      </c>
      <c r="N123" t="n">
        <v>0</v>
      </c>
      <c r="O123" t="n">
        <v>0</v>
      </c>
      <c r="P123" t="n">
        <v>0</v>
      </c>
      <c r="Q123" t="n">
        <v>0</v>
      </c>
      <c r="R123" s="2" t="inlineStr"/>
    </row>
    <row r="124" ht="15" customHeight="1">
      <c r="A124" t="inlineStr">
        <is>
          <t>A 21567-2022</t>
        </is>
      </c>
      <c r="B124" s="1" t="n">
        <v>44706</v>
      </c>
      <c r="C124" s="1" t="n">
        <v>45967</v>
      </c>
      <c r="D124" t="inlineStr">
        <is>
          <t>ÖREBRO LÄN</t>
        </is>
      </c>
      <c r="E124" t="inlineStr">
        <is>
          <t>ÖREBRO</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45967</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6638-2022</t>
        </is>
      </c>
      <c r="B126" s="1" t="n">
        <v>44601</v>
      </c>
      <c r="C126" s="1" t="n">
        <v>45967</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58138-2021</t>
        </is>
      </c>
      <c r="B127" s="1" t="n">
        <v>44487</v>
      </c>
      <c r="C127" s="1" t="n">
        <v>45967</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33814-2021</t>
        </is>
      </c>
      <c r="B128" s="1" t="n">
        <v>44378</v>
      </c>
      <c r="C128" s="1" t="n">
        <v>45967</v>
      </c>
      <c r="D128" t="inlineStr">
        <is>
          <t>ÖREBRO LÄN</t>
        </is>
      </c>
      <c r="E128" t="inlineStr">
        <is>
          <t>ÖREBRO</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13631-2022</t>
        </is>
      </c>
      <c r="B129" s="1" t="n">
        <v>44648</v>
      </c>
      <c r="C129" s="1" t="n">
        <v>45967</v>
      </c>
      <c r="D129" t="inlineStr">
        <is>
          <t>ÖREBRO LÄN</t>
        </is>
      </c>
      <c r="E129" t="inlineStr">
        <is>
          <t>ÖREBRO</t>
        </is>
      </c>
      <c r="G129" t="n">
        <v>10.4</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45967</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45967</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45967</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45967</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45967</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45967</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45967</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45967</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26118-2021</t>
        </is>
      </c>
      <c r="B138" s="1" t="n">
        <v>44345</v>
      </c>
      <c r="C138" s="1" t="n">
        <v>45967</v>
      </c>
      <c r="D138" t="inlineStr">
        <is>
          <t>ÖREBRO LÄN</t>
        </is>
      </c>
      <c r="E138" t="inlineStr">
        <is>
          <t>ÖREBRO</t>
        </is>
      </c>
      <c r="G138" t="n">
        <v>2.2</v>
      </c>
      <c r="H138" t="n">
        <v>0</v>
      </c>
      <c r="I138" t="n">
        <v>0</v>
      </c>
      <c r="J138" t="n">
        <v>0</v>
      </c>
      <c r="K138" t="n">
        <v>0</v>
      </c>
      <c r="L138" t="n">
        <v>0</v>
      </c>
      <c r="M138" t="n">
        <v>0</v>
      </c>
      <c r="N138" t="n">
        <v>0</v>
      </c>
      <c r="O138" t="n">
        <v>0</v>
      </c>
      <c r="P138" t="n">
        <v>0</v>
      </c>
      <c r="Q138" t="n">
        <v>0</v>
      </c>
      <c r="R138" s="2" t="inlineStr"/>
    </row>
    <row r="139" ht="15" customHeight="1">
      <c r="A139" t="inlineStr">
        <is>
          <t>A 26119-2021</t>
        </is>
      </c>
      <c r="B139" s="1" t="n">
        <v>44345.33282407407</v>
      </c>
      <c r="C139" s="1" t="n">
        <v>45967</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45967</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16258-2022</t>
        </is>
      </c>
      <c r="B141" s="1" t="n">
        <v>44670</v>
      </c>
      <c r="C141" s="1" t="n">
        <v>45967</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7117-2021</t>
        </is>
      </c>
      <c r="B142" s="1" t="n">
        <v>44238</v>
      </c>
      <c r="C142" s="1" t="n">
        <v>45967</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45967</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48581-2024</t>
        </is>
      </c>
      <c r="B144" s="1" t="n">
        <v>45593.41642361111</v>
      </c>
      <c r="C144" s="1" t="n">
        <v>45967</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37968-2024</t>
        </is>
      </c>
      <c r="B145" s="1" t="n">
        <v>45544</v>
      </c>
      <c r="C145" s="1" t="n">
        <v>45967</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4766-2022</t>
        </is>
      </c>
      <c r="B146" s="1" t="n">
        <v>44592</v>
      </c>
      <c r="C146" s="1" t="n">
        <v>45967</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47047-2022</t>
        </is>
      </c>
      <c r="B147" s="1" t="n">
        <v>44852.39063657408</v>
      </c>
      <c r="C147" s="1" t="n">
        <v>45967</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45967</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31326-2024</t>
        </is>
      </c>
      <c r="B149" s="1" t="n">
        <v>45504.5934375</v>
      </c>
      <c r="C149" s="1" t="n">
        <v>45967</v>
      </c>
      <c r="D149" t="inlineStr">
        <is>
          <t>ÖREBRO LÄN</t>
        </is>
      </c>
      <c r="E149" t="inlineStr">
        <is>
          <t>ÖREBRO</t>
        </is>
      </c>
      <c r="G149" t="n">
        <v>6.4</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45967</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21036-2024</t>
        </is>
      </c>
      <c r="B151" s="1" t="n">
        <v>45439.65954861111</v>
      </c>
      <c r="C151" s="1" t="n">
        <v>45967</v>
      </c>
      <c r="D151" t="inlineStr">
        <is>
          <t>ÖREBRO LÄN</t>
        </is>
      </c>
      <c r="E151" t="inlineStr">
        <is>
          <t>ÖREBRO</t>
        </is>
      </c>
      <c r="F151" t="inlineStr">
        <is>
          <t>Övriga Aktiebolag</t>
        </is>
      </c>
      <c r="G151" t="n">
        <v>5.7</v>
      </c>
      <c r="H151" t="n">
        <v>0</v>
      </c>
      <c r="I151" t="n">
        <v>0</v>
      </c>
      <c r="J151" t="n">
        <v>0</v>
      </c>
      <c r="K151" t="n">
        <v>0</v>
      </c>
      <c r="L151" t="n">
        <v>0</v>
      </c>
      <c r="M151" t="n">
        <v>0</v>
      </c>
      <c r="N151" t="n">
        <v>0</v>
      </c>
      <c r="O151" t="n">
        <v>0</v>
      </c>
      <c r="P151" t="n">
        <v>0</v>
      </c>
      <c r="Q151" t="n">
        <v>0</v>
      </c>
      <c r="R151" s="2" t="inlineStr"/>
    </row>
    <row r="152" ht="15" customHeight="1">
      <c r="A152" t="inlineStr">
        <is>
          <t>A 5401-2022</t>
        </is>
      </c>
      <c r="B152" s="1" t="n">
        <v>44595</v>
      </c>
      <c r="C152" s="1" t="n">
        <v>45967</v>
      </c>
      <c r="D152" t="inlineStr">
        <is>
          <t>ÖREBRO LÄN</t>
        </is>
      </c>
      <c r="E152" t="inlineStr">
        <is>
          <t>ÖREBRO</t>
        </is>
      </c>
      <c r="G152" t="n">
        <v>2.3</v>
      </c>
      <c r="H152" t="n">
        <v>0</v>
      </c>
      <c r="I152" t="n">
        <v>0</v>
      </c>
      <c r="J152" t="n">
        <v>0</v>
      </c>
      <c r="K152" t="n">
        <v>0</v>
      </c>
      <c r="L152" t="n">
        <v>0</v>
      </c>
      <c r="M152" t="n">
        <v>0</v>
      </c>
      <c r="N152" t="n">
        <v>0</v>
      </c>
      <c r="O152" t="n">
        <v>0</v>
      </c>
      <c r="P152" t="n">
        <v>0</v>
      </c>
      <c r="Q152" t="n">
        <v>0</v>
      </c>
      <c r="R152" s="2" t="inlineStr"/>
    </row>
    <row r="153" ht="15" customHeight="1">
      <c r="A153" t="inlineStr">
        <is>
          <t>A 60311-2020</t>
        </is>
      </c>
      <c r="B153" s="1" t="n">
        <v>44151</v>
      </c>
      <c r="C153" s="1" t="n">
        <v>45967</v>
      </c>
      <c r="D153" t="inlineStr">
        <is>
          <t>ÖREBRO LÄN</t>
        </is>
      </c>
      <c r="E153" t="inlineStr">
        <is>
          <t>ÖREBRO</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69613-2020</t>
        </is>
      </c>
      <c r="B154" s="1" t="n">
        <v>44195</v>
      </c>
      <c r="C154" s="1" t="n">
        <v>45967</v>
      </c>
      <c r="D154" t="inlineStr">
        <is>
          <t>ÖREBRO LÄN</t>
        </is>
      </c>
      <c r="E154" t="inlineStr">
        <is>
          <t>ÖREBRO</t>
        </is>
      </c>
      <c r="G154" t="n">
        <v>4.7</v>
      </c>
      <c r="H154" t="n">
        <v>0</v>
      </c>
      <c r="I154" t="n">
        <v>0</v>
      </c>
      <c r="J154" t="n">
        <v>0</v>
      </c>
      <c r="K154" t="n">
        <v>0</v>
      </c>
      <c r="L154" t="n">
        <v>0</v>
      </c>
      <c r="M154" t="n">
        <v>0</v>
      </c>
      <c r="N154" t="n">
        <v>0</v>
      </c>
      <c r="O154" t="n">
        <v>0</v>
      </c>
      <c r="P154" t="n">
        <v>0</v>
      </c>
      <c r="Q154" t="n">
        <v>0</v>
      </c>
      <c r="R154" s="2" t="inlineStr"/>
    </row>
    <row r="155" ht="15" customHeight="1">
      <c r="A155" t="inlineStr">
        <is>
          <t>A 19468-2021</t>
        </is>
      </c>
      <c r="B155" s="1" t="n">
        <v>44311</v>
      </c>
      <c r="C155" s="1" t="n">
        <v>45967</v>
      </c>
      <c r="D155" t="inlineStr">
        <is>
          <t>ÖREBRO LÄN</t>
        </is>
      </c>
      <c r="E155" t="inlineStr">
        <is>
          <t>ÖREBRO</t>
        </is>
      </c>
      <c r="G155" t="n">
        <v>0.9</v>
      </c>
      <c r="H155" t="n">
        <v>0</v>
      </c>
      <c r="I155" t="n">
        <v>0</v>
      </c>
      <c r="J155" t="n">
        <v>0</v>
      </c>
      <c r="K155" t="n">
        <v>0</v>
      </c>
      <c r="L155" t="n">
        <v>0</v>
      </c>
      <c r="M155" t="n">
        <v>0</v>
      </c>
      <c r="N155" t="n">
        <v>0</v>
      </c>
      <c r="O155" t="n">
        <v>0</v>
      </c>
      <c r="P155" t="n">
        <v>0</v>
      </c>
      <c r="Q155" t="n">
        <v>0</v>
      </c>
      <c r="R155" s="2" t="inlineStr"/>
    </row>
    <row r="156" ht="15" customHeight="1">
      <c r="A156" t="inlineStr">
        <is>
          <t>A 19978-2025</t>
        </is>
      </c>
      <c r="B156" s="1" t="n">
        <v>45771.7062037037</v>
      </c>
      <c r="C156" s="1" t="n">
        <v>45967</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16739-2023</t>
        </is>
      </c>
      <c r="B157" s="1" t="n">
        <v>45030.72627314815</v>
      </c>
      <c r="C157" s="1" t="n">
        <v>45967</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2771-2023</t>
        </is>
      </c>
      <c r="B158" s="1" t="n">
        <v>44944.64704861111</v>
      </c>
      <c r="C158" s="1" t="n">
        <v>45967</v>
      </c>
      <c r="D158" t="inlineStr">
        <is>
          <t>ÖREBRO LÄN</t>
        </is>
      </c>
      <c r="E158" t="inlineStr">
        <is>
          <t>ÖREBRO</t>
        </is>
      </c>
      <c r="G158" t="n">
        <v>15.4</v>
      </c>
      <c r="H158" t="n">
        <v>0</v>
      </c>
      <c r="I158" t="n">
        <v>0</v>
      </c>
      <c r="J158" t="n">
        <v>0</v>
      </c>
      <c r="K158" t="n">
        <v>0</v>
      </c>
      <c r="L158" t="n">
        <v>0</v>
      </c>
      <c r="M158" t="n">
        <v>0</v>
      </c>
      <c r="N158" t="n">
        <v>0</v>
      </c>
      <c r="O158" t="n">
        <v>0</v>
      </c>
      <c r="P158" t="n">
        <v>0</v>
      </c>
      <c r="Q158" t="n">
        <v>0</v>
      </c>
      <c r="R158" s="2" t="inlineStr"/>
    </row>
    <row r="159" ht="15" customHeight="1">
      <c r="A159" t="inlineStr">
        <is>
          <t>A 19831-2021</t>
        </is>
      </c>
      <c r="B159" s="1" t="n">
        <v>44313</v>
      </c>
      <c r="C159" s="1" t="n">
        <v>45967</v>
      </c>
      <c r="D159" t="inlineStr">
        <is>
          <t>ÖREBRO LÄN</t>
        </is>
      </c>
      <c r="E159" t="inlineStr">
        <is>
          <t>ÖREBRO</t>
        </is>
      </c>
      <c r="G159" t="n">
        <v>3.2</v>
      </c>
      <c r="H159" t="n">
        <v>0</v>
      </c>
      <c r="I159" t="n">
        <v>0</v>
      </c>
      <c r="J159" t="n">
        <v>0</v>
      </c>
      <c r="K159" t="n">
        <v>0</v>
      </c>
      <c r="L159" t="n">
        <v>0</v>
      </c>
      <c r="M159" t="n">
        <v>0</v>
      </c>
      <c r="N159" t="n">
        <v>0</v>
      </c>
      <c r="O159" t="n">
        <v>0</v>
      </c>
      <c r="P159" t="n">
        <v>0</v>
      </c>
      <c r="Q159" t="n">
        <v>0</v>
      </c>
      <c r="R159" s="2" t="inlineStr"/>
    </row>
    <row r="160" ht="15" customHeight="1">
      <c r="A160" t="inlineStr">
        <is>
          <t>A 22045-2024</t>
        </is>
      </c>
      <c r="B160" s="1" t="n">
        <v>45443.61171296296</v>
      </c>
      <c r="C160" s="1" t="n">
        <v>45967</v>
      </c>
      <c r="D160" t="inlineStr">
        <is>
          <t>ÖREBRO LÄN</t>
        </is>
      </c>
      <c r="E160" t="inlineStr">
        <is>
          <t>ÖREBRO</t>
        </is>
      </c>
      <c r="F160" t="inlineStr">
        <is>
          <t>Övriga Aktiebolag</t>
        </is>
      </c>
      <c r="G160" t="n">
        <v>0.9</v>
      </c>
      <c r="H160" t="n">
        <v>0</v>
      </c>
      <c r="I160" t="n">
        <v>0</v>
      </c>
      <c r="J160" t="n">
        <v>0</v>
      </c>
      <c r="K160" t="n">
        <v>0</v>
      </c>
      <c r="L160" t="n">
        <v>0</v>
      </c>
      <c r="M160" t="n">
        <v>0</v>
      </c>
      <c r="N160" t="n">
        <v>0</v>
      </c>
      <c r="O160" t="n">
        <v>0</v>
      </c>
      <c r="P160" t="n">
        <v>0</v>
      </c>
      <c r="Q160" t="n">
        <v>0</v>
      </c>
      <c r="R160" s="2" t="inlineStr"/>
    </row>
    <row r="161" ht="15" customHeight="1">
      <c r="A161" t="inlineStr">
        <is>
          <t>A 5357-2024</t>
        </is>
      </c>
      <c r="B161" s="1" t="n">
        <v>45331</v>
      </c>
      <c r="C161" s="1" t="n">
        <v>45967</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15354-2024</t>
        </is>
      </c>
      <c r="B162" s="1" t="n">
        <v>45400.85319444445</v>
      </c>
      <c r="C162" s="1" t="n">
        <v>45967</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11067-2025</t>
        </is>
      </c>
      <c r="B163" s="1" t="n">
        <v>45723</v>
      </c>
      <c r="C163" s="1" t="n">
        <v>45967</v>
      </c>
      <c r="D163" t="inlineStr">
        <is>
          <t>ÖREBRO LÄN</t>
        </is>
      </c>
      <c r="E163" t="inlineStr">
        <is>
          <t>ÖREBRO</t>
        </is>
      </c>
      <c r="G163" t="n">
        <v>3.1</v>
      </c>
      <c r="H163" t="n">
        <v>0</v>
      </c>
      <c r="I163" t="n">
        <v>0</v>
      </c>
      <c r="J163" t="n">
        <v>0</v>
      </c>
      <c r="K163" t="n">
        <v>0</v>
      </c>
      <c r="L163" t="n">
        <v>0</v>
      </c>
      <c r="M163" t="n">
        <v>0</v>
      </c>
      <c r="N163" t="n">
        <v>0</v>
      </c>
      <c r="O163" t="n">
        <v>0</v>
      </c>
      <c r="P163" t="n">
        <v>0</v>
      </c>
      <c r="Q163" t="n">
        <v>0</v>
      </c>
      <c r="R163" s="2" t="inlineStr"/>
    </row>
    <row r="164" ht="15" customHeight="1">
      <c r="A164" t="inlineStr">
        <is>
          <t>A 9585-2025</t>
        </is>
      </c>
      <c r="B164" s="1" t="n">
        <v>45715.63409722222</v>
      </c>
      <c r="C164" s="1" t="n">
        <v>45967</v>
      </c>
      <c r="D164" t="inlineStr">
        <is>
          <t>ÖREBRO LÄN</t>
        </is>
      </c>
      <c r="E164" t="inlineStr">
        <is>
          <t>ÖREBRO</t>
        </is>
      </c>
      <c r="G164" t="n">
        <v>3.4</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45967</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12017-2024</t>
        </is>
      </c>
      <c r="B166" s="1" t="n">
        <v>45377</v>
      </c>
      <c r="C166" s="1" t="n">
        <v>45967</v>
      </c>
      <c r="D166" t="inlineStr">
        <is>
          <t>ÖREBRO LÄN</t>
        </is>
      </c>
      <c r="E166" t="inlineStr">
        <is>
          <t>ÖREBRO</t>
        </is>
      </c>
      <c r="G166" t="n">
        <v>1.8</v>
      </c>
      <c r="H166" t="n">
        <v>0</v>
      </c>
      <c r="I166" t="n">
        <v>0</v>
      </c>
      <c r="J166" t="n">
        <v>0</v>
      </c>
      <c r="K166" t="n">
        <v>0</v>
      </c>
      <c r="L166" t="n">
        <v>0</v>
      </c>
      <c r="M166" t="n">
        <v>0</v>
      </c>
      <c r="N166" t="n">
        <v>0</v>
      </c>
      <c r="O166" t="n">
        <v>0</v>
      </c>
      <c r="P166" t="n">
        <v>0</v>
      </c>
      <c r="Q166" t="n">
        <v>0</v>
      </c>
      <c r="R166" s="2" t="inlineStr"/>
    </row>
    <row r="167" ht="15" customHeight="1">
      <c r="A167" t="inlineStr">
        <is>
          <t>A 58684-2023</t>
        </is>
      </c>
      <c r="B167" s="1" t="n">
        <v>45251</v>
      </c>
      <c r="C167" s="1" t="n">
        <v>45967</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681-2024</t>
        </is>
      </c>
      <c r="B168" s="1" t="n">
        <v>45300</v>
      </c>
      <c r="C168" s="1" t="n">
        <v>45967</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56077-2022</t>
        </is>
      </c>
      <c r="B169" s="1" t="n">
        <v>44889.60872685185</v>
      </c>
      <c r="C169" s="1" t="n">
        <v>45967</v>
      </c>
      <c r="D169" t="inlineStr">
        <is>
          <t>ÖREBRO LÄN</t>
        </is>
      </c>
      <c r="E169" t="inlineStr">
        <is>
          <t>ÖREBRO</t>
        </is>
      </c>
      <c r="F169" t="inlineStr">
        <is>
          <t>Övriga Aktiebolag</t>
        </is>
      </c>
      <c r="G169" t="n">
        <v>2.5</v>
      </c>
      <c r="H169" t="n">
        <v>0</v>
      </c>
      <c r="I169" t="n">
        <v>0</v>
      </c>
      <c r="J169" t="n">
        <v>0</v>
      </c>
      <c r="K169" t="n">
        <v>0</v>
      </c>
      <c r="L169" t="n">
        <v>0</v>
      </c>
      <c r="M169" t="n">
        <v>0</v>
      </c>
      <c r="N169" t="n">
        <v>0</v>
      </c>
      <c r="O169" t="n">
        <v>0</v>
      </c>
      <c r="P169" t="n">
        <v>0</v>
      </c>
      <c r="Q169" t="n">
        <v>0</v>
      </c>
      <c r="R169" s="2" t="inlineStr"/>
    </row>
    <row r="170" ht="15" customHeight="1">
      <c r="A170" t="inlineStr">
        <is>
          <t>A 9609-2023</t>
        </is>
      </c>
      <c r="B170" s="1" t="n">
        <v>44983.93344907407</v>
      </c>
      <c r="C170" s="1" t="n">
        <v>45967</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38898-2023</t>
        </is>
      </c>
      <c r="B171" s="1" t="n">
        <v>45163</v>
      </c>
      <c r="C171" s="1" t="n">
        <v>45967</v>
      </c>
      <c r="D171" t="inlineStr">
        <is>
          <t>ÖREBRO LÄN</t>
        </is>
      </c>
      <c r="E171" t="inlineStr">
        <is>
          <t>ÖREBRO</t>
        </is>
      </c>
      <c r="G171" t="n">
        <v>5.1</v>
      </c>
      <c r="H171" t="n">
        <v>0</v>
      </c>
      <c r="I171" t="n">
        <v>0</v>
      </c>
      <c r="J171" t="n">
        <v>0</v>
      </c>
      <c r="K171" t="n">
        <v>0</v>
      </c>
      <c r="L171" t="n">
        <v>0</v>
      </c>
      <c r="M171" t="n">
        <v>0</v>
      </c>
      <c r="N171" t="n">
        <v>0</v>
      </c>
      <c r="O171" t="n">
        <v>0</v>
      </c>
      <c r="P171" t="n">
        <v>0</v>
      </c>
      <c r="Q171" t="n">
        <v>0</v>
      </c>
      <c r="R171" s="2" t="inlineStr"/>
    </row>
    <row r="172" ht="15" customHeight="1">
      <c r="A172" t="inlineStr">
        <is>
          <t>A 13169-2024</t>
        </is>
      </c>
      <c r="B172" s="1" t="n">
        <v>45386.40489583334</v>
      </c>
      <c r="C172" s="1" t="n">
        <v>45967</v>
      </c>
      <c r="D172" t="inlineStr">
        <is>
          <t>ÖREBRO LÄN</t>
        </is>
      </c>
      <c r="E172" t="inlineStr">
        <is>
          <t>ÖREBRO</t>
        </is>
      </c>
      <c r="G172" t="n">
        <v>4.3</v>
      </c>
      <c r="H172" t="n">
        <v>0</v>
      </c>
      <c r="I172" t="n">
        <v>0</v>
      </c>
      <c r="J172" t="n">
        <v>0</v>
      </c>
      <c r="K172" t="n">
        <v>0</v>
      </c>
      <c r="L172" t="n">
        <v>0</v>
      </c>
      <c r="M172" t="n">
        <v>0</v>
      </c>
      <c r="N172" t="n">
        <v>0</v>
      </c>
      <c r="O172" t="n">
        <v>0</v>
      </c>
      <c r="P172" t="n">
        <v>0</v>
      </c>
      <c r="Q172" t="n">
        <v>0</v>
      </c>
      <c r="R172" s="2" t="inlineStr"/>
    </row>
    <row r="173" ht="15" customHeight="1">
      <c r="A173" t="inlineStr">
        <is>
          <t>A 9362-2022</t>
        </is>
      </c>
      <c r="B173" s="1" t="n">
        <v>44616.59946759259</v>
      </c>
      <c r="C173" s="1" t="n">
        <v>45967</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70707-2021</t>
        </is>
      </c>
      <c r="B174" s="1" t="n">
        <v>44537</v>
      </c>
      <c r="C174" s="1" t="n">
        <v>45967</v>
      </c>
      <c r="D174" t="inlineStr">
        <is>
          <t>ÖREBRO LÄN</t>
        </is>
      </c>
      <c r="E174" t="inlineStr">
        <is>
          <t>ÖREBRO</t>
        </is>
      </c>
      <c r="G174" t="n">
        <v>13.2</v>
      </c>
      <c r="H174" t="n">
        <v>0</v>
      </c>
      <c r="I174" t="n">
        <v>0</v>
      </c>
      <c r="J174" t="n">
        <v>0</v>
      </c>
      <c r="K174" t="n">
        <v>0</v>
      </c>
      <c r="L174" t="n">
        <v>0</v>
      </c>
      <c r="M174" t="n">
        <v>0</v>
      </c>
      <c r="N174" t="n">
        <v>0</v>
      </c>
      <c r="O174" t="n">
        <v>0</v>
      </c>
      <c r="P174" t="n">
        <v>0</v>
      </c>
      <c r="Q174" t="n">
        <v>0</v>
      </c>
      <c r="R174" s="2" t="inlineStr"/>
    </row>
    <row r="175" ht="15" customHeight="1">
      <c r="A175" t="inlineStr">
        <is>
          <t>A 13321-2024</t>
        </is>
      </c>
      <c r="B175" s="1" t="n">
        <v>45386.83142361111</v>
      </c>
      <c r="C175" s="1" t="n">
        <v>45967</v>
      </c>
      <c r="D175" t="inlineStr">
        <is>
          <t>ÖREBRO LÄN</t>
        </is>
      </c>
      <c r="E175" t="inlineStr">
        <is>
          <t>ÖREBRO</t>
        </is>
      </c>
      <c r="G175" t="n">
        <v>13.1</v>
      </c>
      <c r="H175" t="n">
        <v>0</v>
      </c>
      <c r="I175" t="n">
        <v>0</v>
      </c>
      <c r="J175" t="n">
        <v>0</v>
      </c>
      <c r="K175" t="n">
        <v>0</v>
      </c>
      <c r="L175" t="n">
        <v>0</v>
      </c>
      <c r="M175" t="n">
        <v>0</v>
      </c>
      <c r="N175" t="n">
        <v>0</v>
      </c>
      <c r="O175" t="n">
        <v>0</v>
      </c>
      <c r="P175" t="n">
        <v>0</v>
      </c>
      <c r="Q175" t="n">
        <v>0</v>
      </c>
      <c r="R175" s="2" t="inlineStr"/>
    </row>
    <row r="176" ht="15" customHeight="1">
      <c r="A176" t="inlineStr">
        <is>
          <t>A 57243-2022</t>
        </is>
      </c>
      <c r="B176" s="1" t="n">
        <v>44895.71835648148</v>
      </c>
      <c r="C176" s="1" t="n">
        <v>45967</v>
      </c>
      <c r="D176" t="inlineStr">
        <is>
          <t>ÖREBRO LÄN</t>
        </is>
      </c>
      <c r="E176" t="inlineStr">
        <is>
          <t>ÖREBRO</t>
        </is>
      </c>
      <c r="G176" t="n">
        <v>6</v>
      </c>
      <c r="H176" t="n">
        <v>0</v>
      </c>
      <c r="I176" t="n">
        <v>0</v>
      </c>
      <c r="J176" t="n">
        <v>0</v>
      </c>
      <c r="K176" t="n">
        <v>0</v>
      </c>
      <c r="L176" t="n">
        <v>0</v>
      </c>
      <c r="M176" t="n">
        <v>0</v>
      </c>
      <c r="N176" t="n">
        <v>0</v>
      </c>
      <c r="O176" t="n">
        <v>0</v>
      </c>
      <c r="P176" t="n">
        <v>0</v>
      </c>
      <c r="Q176" t="n">
        <v>0</v>
      </c>
      <c r="R176" s="2" t="inlineStr"/>
    </row>
    <row r="177" ht="15" customHeight="1">
      <c r="A177" t="inlineStr">
        <is>
          <t>A 58621-2024</t>
        </is>
      </c>
      <c r="B177" s="1" t="n">
        <v>45635.56321759259</v>
      </c>
      <c r="C177" s="1" t="n">
        <v>45967</v>
      </c>
      <c r="D177" t="inlineStr">
        <is>
          <t>ÖREBRO LÄN</t>
        </is>
      </c>
      <c r="E177" t="inlineStr">
        <is>
          <t>ÖREBRO</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58216-2024</t>
        </is>
      </c>
      <c r="B178" s="1" t="n">
        <v>45632</v>
      </c>
      <c r="C178" s="1" t="n">
        <v>45967</v>
      </c>
      <c r="D178" t="inlineStr">
        <is>
          <t>ÖREBRO LÄN</t>
        </is>
      </c>
      <c r="E178" t="inlineStr">
        <is>
          <t>ÖREBRO</t>
        </is>
      </c>
      <c r="G178" t="n">
        <v>1.9</v>
      </c>
      <c r="H178" t="n">
        <v>0</v>
      </c>
      <c r="I178" t="n">
        <v>0</v>
      </c>
      <c r="J178" t="n">
        <v>0</v>
      </c>
      <c r="K178" t="n">
        <v>0</v>
      </c>
      <c r="L178" t="n">
        <v>0</v>
      </c>
      <c r="M178" t="n">
        <v>0</v>
      </c>
      <c r="N178" t="n">
        <v>0</v>
      </c>
      <c r="O178" t="n">
        <v>0</v>
      </c>
      <c r="P178" t="n">
        <v>0</v>
      </c>
      <c r="Q178" t="n">
        <v>0</v>
      </c>
      <c r="R178" s="2" t="inlineStr"/>
    </row>
    <row r="179" ht="15" customHeight="1">
      <c r="A179" t="inlineStr">
        <is>
          <t>A 38583-2023</t>
        </is>
      </c>
      <c r="B179" s="1" t="n">
        <v>45162.62861111111</v>
      </c>
      <c r="C179" s="1" t="n">
        <v>45967</v>
      </c>
      <c r="D179" t="inlineStr">
        <is>
          <t>ÖREBRO LÄN</t>
        </is>
      </c>
      <c r="E179" t="inlineStr">
        <is>
          <t>ÖREBRO</t>
        </is>
      </c>
      <c r="G179" t="n">
        <v>5.7</v>
      </c>
      <c r="H179" t="n">
        <v>0</v>
      </c>
      <c r="I179" t="n">
        <v>0</v>
      </c>
      <c r="J179" t="n">
        <v>0</v>
      </c>
      <c r="K179" t="n">
        <v>0</v>
      </c>
      <c r="L179" t="n">
        <v>0</v>
      </c>
      <c r="M179" t="n">
        <v>0</v>
      </c>
      <c r="N179" t="n">
        <v>0</v>
      </c>
      <c r="O179" t="n">
        <v>0</v>
      </c>
      <c r="P179" t="n">
        <v>0</v>
      </c>
      <c r="Q179" t="n">
        <v>0</v>
      </c>
      <c r="R179" s="2" t="inlineStr"/>
    </row>
    <row r="180" ht="15" customHeight="1">
      <c r="A180" t="inlineStr">
        <is>
          <t>A 14291-2023</t>
        </is>
      </c>
      <c r="B180" s="1" t="n">
        <v>45010</v>
      </c>
      <c r="C180" s="1" t="n">
        <v>45967</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5125-2024</t>
        </is>
      </c>
      <c r="B181" s="1" t="n">
        <v>45330</v>
      </c>
      <c r="C181" s="1" t="n">
        <v>45967</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14234-2024</t>
        </is>
      </c>
      <c r="B182" s="1" t="n">
        <v>45393.46980324074</v>
      </c>
      <c r="C182" s="1" t="n">
        <v>45967</v>
      </c>
      <c r="D182" t="inlineStr">
        <is>
          <t>ÖREBRO LÄN</t>
        </is>
      </c>
      <c r="E182" t="inlineStr">
        <is>
          <t>ÖREBRO</t>
        </is>
      </c>
      <c r="G182" t="n">
        <v>1.6</v>
      </c>
      <c r="H182" t="n">
        <v>0</v>
      </c>
      <c r="I182" t="n">
        <v>0</v>
      </c>
      <c r="J182" t="n">
        <v>0</v>
      </c>
      <c r="K182" t="n">
        <v>0</v>
      </c>
      <c r="L182" t="n">
        <v>0</v>
      </c>
      <c r="M182" t="n">
        <v>0</v>
      </c>
      <c r="N182" t="n">
        <v>0</v>
      </c>
      <c r="O182" t="n">
        <v>0</v>
      </c>
      <c r="P182" t="n">
        <v>0</v>
      </c>
      <c r="Q182" t="n">
        <v>0</v>
      </c>
      <c r="R182" s="2" t="inlineStr"/>
    </row>
    <row r="183" ht="15" customHeight="1">
      <c r="A183" t="inlineStr">
        <is>
          <t>A 52256-2023</t>
        </is>
      </c>
      <c r="B183" s="1" t="n">
        <v>45224.51471064815</v>
      </c>
      <c r="C183" s="1" t="n">
        <v>45967</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16261-2022</t>
        </is>
      </c>
      <c r="B184" s="1" t="n">
        <v>44670</v>
      </c>
      <c r="C184" s="1" t="n">
        <v>45967</v>
      </c>
      <c r="D184" t="inlineStr">
        <is>
          <t>ÖREBRO LÄN</t>
        </is>
      </c>
      <c r="E184" t="inlineStr">
        <is>
          <t>ÖREBRO</t>
        </is>
      </c>
      <c r="G184" t="n">
        <v>1.2</v>
      </c>
      <c r="H184" t="n">
        <v>0</v>
      </c>
      <c r="I184" t="n">
        <v>0</v>
      </c>
      <c r="J184" t="n">
        <v>0</v>
      </c>
      <c r="K184" t="n">
        <v>0</v>
      </c>
      <c r="L184" t="n">
        <v>0</v>
      </c>
      <c r="M184" t="n">
        <v>0</v>
      </c>
      <c r="N184" t="n">
        <v>0</v>
      </c>
      <c r="O184" t="n">
        <v>0</v>
      </c>
      <c r="P184" t="n">
        <v>0</v>
      </c>
      <c r="Q184" t="n">
        <v>0</v>
      </c>
      <c r="R184" s="2" t="inlineStr"/>
    </row>
    <row r="185" ht="15" customHeight="1">
      <c r="A185" t="inlineStr">
        <is>
          <t>A 9314-2023</t>
        </is>
      </c>
      <c r="B185" s="1" t="n">
        <v>44980.67747685185</v>
      </c>
      <c r="C185" s="1" t="n">
        <v>45967</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33455-2023</t>
        </is>
      </c>
      <c r="B186" s="1" t="n">
        <v>45130.98962962963</v>
      </c>
      <c r="C186" s="1" t="n">
        <v>45967</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44165-2022</t>
        </is>
      </c>
      <c r="B187" s="1" t="n">
        <v>44839</v>
      </c>
      <c r="C187" s="1" t="n">
        <v>45967</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21306-2024</t>
        </is>
      </c>
      <c r="B188" s="1" t="n">
        <v>45440.67883101852</v>
      </c>
      <c r="C188" s="1" t="n">
        <v>45967</v>
      </c>
      <c r="D188" t="inlineStr">
        <is>
          <t>ÖREBRO LÄN</t>
        </is>
      </c>
      <c r="E188" t="inlineStr">
        <is>
          <t>ÖREBRO</t>
        </is>
      </c>
      <c r="F188" t="inlineStr">
        <is>
          <t>Övriga Aktiebolag</t>
        </is>
      </c>
      <c r="G188" t="n">
        <v>2</v>
      </c>
      <c r="H188" t="n">
        <v>0</v>
      </c>
      <c r="I188" t="n">
        <v>0</v>
      </c>
      <c r="J188" t="n">
        <v>0</v>
      </c>
      <c r="K188" t="n">
        <v>0</v>
      </c>
      <c r="L188" t="n">
        <v>0</v>
      </c>
      <c r="M188" t="n">
        <v>0</v>
      </c>
      <c r="N188" t="n">
        <v>0</v>
      </c>
      <c r="O188" t="n">
        <v>0</v>
      </c>
      <c r="P188" t="n">
        <v>0</v>
      </c>
      <c r="Q188" t="n">
        <v>0</v>
      </c>
      <c r="R188" s="2" t="inlineStr"/>
    </row>
    <row r="189" ht="15" customHeight="1">
      <c r="A189" t="inlineStr">
        <is>
          <t>A 61232-2021</t>
        </is>
      </c>
      <c r="B189" s="1" t="n">
        <v>44498</v>
      </c>
      <c r="C189" s="1" t="n">
        <v>45967</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37012-2024</t>
        </is>
      </c>
      <c r="B190" s="1" t="n">
        <v>45539</v>
      </c>
      <c r="C190" s="1" t="n">
        <v>45967</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37020-2024</t>
        </is>
      </c>
      <c r="B191" s="1" t="n">
        <v>45539.38059027777</v>
      </c>
      <c r="C191" s="1" t="n">
        <v>45967</v>
      </c>
      <c r="D191" t="inlineStr">
        <is>
          <t>ÖREBRO LÄN</t>
        </is>
      </c>
      <c r="E191" t="inlineStr">
        <is>
          <t>ÖREBRO</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55353-2024</t>
        </is>
      </c>
      <c r="B192" s="1" t="n">
        <v>45621.79526620371</v>
      </c>
      <c r="C192" s="1" t="n">
        <v>45967</v>
      </c>
      <c r="D192" t="inlineStr">
        <is>
          <t>ÖREBRO LÄN</t>
        </is>
      </c>
      <c r="E192" t="inlineStr">
        <is>
          <t>ÖREBRO</t>
        </is>
      </c>
      <c r="G192" t="n">
        <v>0.5</v>
      </c>
      <c r="H192" t="n">
        <v>0</v>
      </c>
      <c r="I192" t="n">
        <v>0</v>
      </c>
      <c r="J192" t="n">
        <v>0</v>
      </c>
      <c r="K192" t="n">
        <v>0</v>
      </c>
      <c r="L192" t="n">
        <v>0</v>
      </c>
      <c r="M192" t="n">
        <v>0</v>
      </c>
      <c r="N192" t="n">
        <v>0</v>
      </c>
      <c r="O192" t="n">
        <v>0</v>
      </c>
      <c r="P192" t="n">
        <v>0</v>
      </c>
      <c r="Q192" t="n">
        <v>0</v>
      </c>
      <c r="R192" s="2" t="inlineStr"/>
    </row>
    <row r="193" ht="15" customHeight="1">
      <c r="A193" t="inlineStr">
        <is>
          <t>A 57498-2021</t>
        </is>
      </c>
      <c r="B193" s="1" t="n">
        <v>44483</v>
      </c>
      <c r="C193" s="1" t="n">
        <v>45967</v>
      </c>
      <c r="D193" t="inlineStr">
        <is>
          <t>ÖREBRO LÄN</t>
        </is>
      </c>
      <c r="E193" t="inlineStr">
        <is>
          <t>ÖREBRO</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51268-2022</t>
        </is>
      </c>
      <c r="B194" s="1" t="n">
        <v>44868</v>
      </c>
      <c r="C194" s="1" t="n">
        <v>45967</v>
      </c>
      <c r="D194" t="inlineStr">
        <is>
          <t>ÖREBRO LÄN</t>
        </is>
      </c>
      <c r="E194" t="inlineStr">
        <is>
          <t>ÖREBRO</t>
        </is>
      </c>
      <c r="G194" t="n">
        <v>3.8</v>
      </c>
      <c r="H194" t="n">
        <v>0</v>
      </c>
      <c r="I194" t="n">
        <v>0</v>
      </c>
      <c r="J194" t="n">
        <v>0</v>
      </c>
      <c r="K194" t="n">
        <v>0</v>
      </c>
      <c r="L194" t="n">
        <v>0</v>
      </c>
      <c r="M194" t="n">
        <v>0</v>
      </c>
      <c r="N194" t="n">
        <v>0</v>
      </c>
      <c r="O194" t="n">
        <v>0</v>
      </c>
      <c r="P194" t="n">
        <v>0</v>
      </c>
      <c r="Q194" t="n">
        <v>0</v>
      </c>
      <c r="R194" s="2" t="inlineStr"/>
    </row>
    <row r="195" ht="15" customHeight="1">
      <c r="A195" t="inlineStr">
        <is>
          <t>A 5762-2025</t>
        </is>
      </c>
      <c r="B195" s="1" t="n">
        <v>45694.57181712963</v>
      </c>
      <c r="C195" s="1" t="n">
        <v>45967</v>
      </c>
      <c r="D195" t="inlineStr">
        <is>
          <t>ÖREBRO LÄN</t>
        </is>
      </c>
      <c r="E195" t="inlineStr">
        <is>
          <t>ÖREBRO</t>
        </is>
      </c>
      <c r="F195" t="inlineStr">
        <is>
          <t>Övriga Aktiebolag</t>
        </is>
      </c>
      <c r="G195" t="n">
        <v>1.5</v>
      </c>
      <c r="H195" t="n">
        <v>0</v>
      </c>
      <c r="I195" t="n">
        <v>0</v>
      </c>
      <c r="J195" t="n">
        <v>0</v>
      </c>
      <c r="K195" t="n">
        <v>0</v>
      </c>
      <c r="L195" t="n">
        <v>0</v>
      </c>
      <c r="M195" t="n">
        <v>0</v>
      </c>
      <c r="N195" t="n">
        <v>0</v>
      </c>
      <c r="O195" t="n">
        <v>0</v>
      </c>
      <c r="P195" t="n">
        <v>0</v>
      </c>
      <c r="Q195" t="n">
        <v>0</v>
      </c>
      <c r="R195" s="2" t="inlineStr"/>
    </row>
    <row r="196" ht="15" customHeight="1">
      <c r="A196" t="inlineStr">
        <is>
          <t>A 7634-2024</t>
        </is>
      </c>
      <c r="B196" s="1" t="n">
        <v>45348</v>
      </c>
      <c r="C196" s="1" t="n">
        <v>45967</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5324-2024</t>
        </is>
      </c>
      <c r="B197" s="1" t="n">
        <v>45331</v>
      </c>
      <c r="C197" s="1" t="n">
        <v>45967</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52401-2024</t>
        </is>
      </c>
      <c r="B198" s="1" t="n">
        <v>45609.44553240741</v>
      </c>
      <c r="C198" s="1" t="n">
        <v>45967</v>
      </c>
      <c r="D198" t="inlineStr">
        <is>
          <t>ÖREBRO LÄN</t>
        </is>
      </c>
      <c r="E198" t="inlineStr">
        <is>
          <t>ÖREBRO</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541-2025</t>
        </is>
      </c>
      <c r="B199" s="1" t="n">
        <v>45664.52034722222</v>
      </c>
      <c r="C199" s="1" t="n">
        <v>45967</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55593-2022</t>
        </is>
      </c>
      <c r="B200" s="1" t="n">
        <v>44888</v>
      </c>
      <c r="C200" s="1" t="n">
        <v>45967</v>
      </c>
      <c r="D200" t="inlineStr">
        <is>
          <t>ÖREBRO LÄN</t>
        </is>
      </c>
      <c r="E200" t="inlineStr">
        <is>
          <t>ÖREBRO</t>
        </is>
      </c>
      <c r="G200" t="n">
        <v>3.6</v>
      </c>
      <c r="H200" t="n">
        <v>0</v>
      </c>
      <c r="I200" t="n">
        <v>0</v>
      </c>
      <c r="J200" t="n">
        <v>0</v>
      </c>
      <c r="K200" t="n">
        <v>0</v>
      </c>
      <c r="L200" t="n">
        <v>0</v>
      </c>
      <c r="M200" t="n">
        <v>0</v>
      </c>
      <c r="N200" t="n">
        <v>0</v>
      </c>
      <c r="O200" t="n">
        <v>0</v>
      </c>
      <c r="P200" t="n">
        <v>0</v>
      </c>
      <c r="Q200" t="n">
        <v>0</v>
      </c>
      <c r="R200" s="2" t="inlineStr"/>
    </row>
    <row r="201" ht="15" customHeight="1">
      <c r="A201" t="inlineStr">
        <is>
          <t>A 14963-2025</t>
        </is>
      </c>
      <c r="B201" s="1" t="n">
        <v>45743.58699074074</v>
      </c>
      <c r="C201" s="1" t="n">
        <v>45967</v>
      </c>
      <c r="D201" t="inlineStr">
        <is>
          <t>ÖREBRO LÄN</t>
        </is>
      </c>
      <c r="E201" t="inlineStr">
        <is>
          <t>ÖREBRO</t>
        </is>
      </c>
      <c r="G201" t="n">
        <v>9.1</v>
      </c>
      <c r="H201" t="n">
        <v>0</v>
      </c>
      <c r="I201" t="n">
        <v>0</v>
      </c>
      <c r="J201" t="n">
        <v>0</v>
      </c>
      <c r="K201" t="n">
        <v>0</v>
      </c>
      <c r="L201" t="n">
        <v>0</v>
      </c>
      <c r="M201" t="n">
        <v>0</v>
      </c>
      <c r="N201" t="n">
        <v>0</v>
      </c>
      <c r="O201" t="n">
        <v>0</v>
      </c>
      <c r="P201" t="n">
        <v>0</v>
      </c>
      <c r="Q201" t="n">
        <v>0</v>
      </c>
      <c r="R201" s="2" t="inlineStr"/>
    </row>
    <row r="202" ht="15" customHeight="1">
      <c r="A202" t="inlineStr">
        <is>
          <t>A 19553-2023</t>
        </is>
      </c>
      <c r="B202" s="1" t="n">
        <v>45050</v>
      </c>
      <c r="C202" s="1" t="n">
        <v>45967</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62794-2021</t>
        </is>
      </c>
      <c r="B203" s="1" t="n">
        <v>44504</v>
      </c>
      <c r="C203" s="1" t="n">
        <v>45967</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37025-2024</t>
        </is>
      </c>
      <c r="B204" s="1" t="n">
        <v>45539.3840162037</v>
      </c>
      <c r="C204" s="1" t="n">
        <v>45967</v>
      </c>
      <c r="D204" t="inlineStr">
        <is>
          <t>ÖREBRO LÄN</t>
        </is>
      </c>
      <c r="E204" t="inlineStr">
        <is>
          <t>ÖREBRO</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37027-2024</t>
        </is>
      </c>
      <c r="B205" s="1" t="n">
        <v>45539.38487268519</v>
      </c>
      <c r="C205" s="1" t="n">
        <v>45967</v>
      </c>
      <c r="D205" t="inlineStr">
        <is>
          <t>ÖREBRO LÄN</t>
        </is>
      </c>
      <c r="E205" t="inlineStr">
        <is>
          <t>ÖREBRO</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50446-2023</t>
        </is>
      </c>
      <c r="B206" s="1" t="n">
        <v>45216</v>
      </c>
      <c r="C206" s="1" t="n">
        <v>45967</v>
      </c>
      <c r="D206" t="inlineStr">
        <is>
          <t>ÖREBRO LÄN</t>
        </is>
      </c>
      <c r="E206" t="inlineStr">
        <is>
          <t>ÖREBRO</t>
        </is>
      </c>
      <c r="F206" t="inlineStr">
        <is>
          <t>Övriga Aktiebolag</t>
        </is>
      </c>
      <c r="G206" t="n">
        <v>2.8</v>
      </c>
      <c r="H206" t="n">
        <v>0</v>
      </c>
      <c r="I206" t="n">
        <v>0</v>
      </c>
      <c r="J206" t="n">
        <v>0</v>
      </c>
      <c r="K206" t="n">
        <v>0</v>
      </c>
      <c r="L206" t="n">
        <v>0</v>
      </c>
      <c r="M206" t="n">
        <v>0</v>
      </c>
      <c r="N206" t="n">
        <v>0</v>
      </c>
      <c r="O206" t="n">
        <v>0</v>
      </c>
      <c r="P206" t="n">
        <v>0</v>
      </c>
      <c r="Q206" t="n">
        <v>0</v>
      </c>
      <c r="R206" s="2" t="inlineStr"/>
    </row>
    <row r="207" ht="15" customHeight="1">
      <c r="A207" t="inlineStr">
        <is>
          <t>A 50450-2023</t>
        </is>
      </c>
      <c r="B207" s="1" t="n">
        <v>45216.73533564815</v>
      </c>
      <c r="C207" s="1" t="n">
        <v>45967</v>
      </c>
      <c r="D207" t="inlineStr">
        <is>
          <t>ÖREBRO LÄN</t>
        </is>
      </c>
      <c r="E207" t="inlineStr">
        <is>
          <t>ÖREBRO</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23594-2023</t>
        </is>
      </c>
      <c r="B208" s="1" t="n">
        <v>45077</v>
      </c>
      <c r="C208" s="1" t="n">
        <v>45967</v>
      </c>
      <c r="D208" t="inlineStr">
        <is>
          <t>ÖREBRO LÄN</t>
        </is>
      </c>
      <c r="E208" t="inlineStr">
        <is>
          <t>ÖREBRO</t>
        </is>
      </c>
      <c r="G208" t="n">
        <v>9.9</v>
      </c>
      <c r="H208" t="n">
        <v>0</v>
      </c>
      <c r="I208" t="n">
        <v>0</v>
      </c>
      <c r="J208" t="n">
        <v>0</v>
      </c>
      <c r="K208" t="n">
        <v>0</v>
      </c>
      <c r="L208" t="n">
        <v>0</v>
      </c>
      <c r="M208" t="n">
        <v>0</v>
      </c>
      <c r="N208" t="n">
        <v>0</v>
      </c>
      <c r="O208" t="n">
        <v>0</v>
      </c>
      <c r="P208" t="n">
        <v>0</v>
      </c>
      <c r="Q208" t="n">
        <v>0</v>
      </c>
      <c r="R208" s="2" t="inlineStr"/>
    </row>
    <row r="209" ht="15" customHeight="1">
      <c r="A209" t="inlineStr">
        <is>
          <t>A 43612-2022</t>
        </is>
      </c>
      <c r="B209" s="1" t="n">
        <v>44837</v>
      </c>
      <c r="C209" s="1" t="n">
        <v>45967</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52612-2024</t>
        </is>
      </c>
      <c r="B210" s="1" t="n">
        <v>45609</v>
      </c>
      <c r="C210" s="1" t="n">
        <v>45967</v>
      </c>
      <c r="D210" t="inlineStr">
        <is>
          <t>ÖREBRO LÄN</t>
        </is>
      </c>
      <c r="E210" t="inlineStr">
        <is>
          <t>ÖREBRO</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8022-2022</t>
        </is>
      </c>
      <c r="B211" s="1" t="n">
        <v>44609</v>
      </c>
      <c r="C211" s="1" t="n">
        <v>45967</v>
      </c>
      <c r="D211" t="inlineStr">
        <is>
          <t>ÖREBRO LÄN</t>
        </is>
      </c>
      <c r="E211" t="inlineStr">
        <is>
          <t>ÖREBRO</t>
        </is>
      </c>
      <c r="G211" t="n">
        <v>5.6</v>
      </c>
      <c r="H211" t="n">
        <v>0</v>
      </c>
      <c r="I211" t="n">
        <v>0</v>
      </c>
      <c r="J211" t="n">
        <v>0</v>
      </c>
      <c r="K211" t="n">
        <v>0</v>
      </c>
      <c r="L211" t="n">
        <v>0</v>
      </c>
      <c r="M211" t="n">
        <v>0</v>
      </c>
      <c r="N211" t="n">
        <v>0</v>
      </c>
      <c r="O211" t="n">
        <v>0</v>
      </c>
      <c r="P211" t="n">
        <v>0</v>
      </c>
      <c r="Q211" t="n">
        <v>0</v>
      </c>
      <c r="R211" s="2" t="inlineStr"/>
    </row>
    <row r="212" ht="15" customHeight="1">
      <c r="A212" t="inlineStr">
        <is>
          <t>A 47193-2023</t>
        </is>
      </c>
      <c r="B212" s="1" t="n">
        <v>45202.3074537037</v>
      </c>
      <c r="C212" s="1" t="n">
        <v>45967</v>
      </c>
      <c r="D212" t="inlineStr">
        <is>
          <t>ÖREBRO LÄN</t>
        </is>
      </c>
      <c r="E212" t="inlineStr">
        <is>
          <t>ÖREBRO</t>
        </is>
      </c>
      <c r="G212" t="n">
        <v>2.4</v>
      </c>
      <c r="H212" t="n">
        <v>0</v>
      </c>
      <c r="I212" t="n">
        <v>0</v>
      </c>
      <c r="J212" t="n">
        <v>0</v>
      </c>
      <c r="K212" t="n">
        <v>0</v>
      </c>
      <c r="L212" t="n">
        <v>0</v>
      </c>
      <c r="M212" t="n">
        <v>0</v>
      </c>
      <c r="N212" t="n">
        <v>0</v>
      </c>
      <c r="O212" t="n">
        <v>0</v>
      </c>
      <c r="P212" t="n">
        <v>0</v>
      </c>
      <c r="Q212" t="n">
        <v>0</v>
      </c>
      <c r="R212" s="2" t="inlineStr"/>
    </row>
    <row r="213" ht="15" customHeight="1">
      <c r="A213" t="inlineStr">
        <is>
          <t>A 55357-2024</t>
        </is>
      </c>
      <c r="B213" s="1" t="n">
        <v>45621.81126157408</v>
      </c>
      <c r="C213" s="1" t="n">
        <v>45967</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38422-2023</t>
        </is>
      </c>
      <c r="B214" s="1" t="n">
        <v>45162.36422453704</v>
      </c>
      <c r="C214" s="1" t="n">
        <v>45967</v>
      </c>
      <c r="D214" t="inlineStr">
        <is>
          <t>ÖREBRO LÄN</t>
        </is>
      </c>
      <c r="E214" t="inlineStr">
        <is>
          <t>ÖREBRO</t>
        </is>
      </c>
      <c r="G214" t="n">
        <v>8</v>
      </c>
      <c r="H214" t="n">
        <v>0</v>
      </c>
      <c r="I214" t="n">
        <v>0</v>
      </c>
      <c r="J214" t="n">
        <v>0</v>
      </c>
      <c r="K214" t="n">
        <v>0</v>
      </c>
      <c r="L214" t="n">
        <v>0</v>
      </c>
      <c r="M214" t="n">
        <v>0</v>
      </c>
      <c r="N214" t="n">
        <v>0</v>
      </c>
      <c r="O214" t="n">
        <v>0</v>
      </c>
      <c r="P214" t="n">
        <v>0</v>
      </c>
      <c r="Q214" t="n">
        <v>0</v>
      </c>
      <c r="R214" s="2" t="inlineStr"/>
    </row>
    <row r="215" ht="15" customHeight="1">
      <c r="A215" t="inlineStr">
        <is>
          <t>A 58598-2022</t>
        </is>
      </c>
      <c r="B215" s="1" t="n">
        <v>44902</v>
      </c>
      <c r="C215" s="1" t="n">
        <v>45967</v>
      </c>
      <c r="D215" t="inlineStr">
        <is>
          <t>ÖREBRO LÄN</t>
        </is>
      </c>
      <c r="E215" t="inlineStr">
        <is>
          <t>ÖREBRO</t>
        </is>
      </c>
      <c r="G215" t="n">
        <v>0.4</v>
      </c>
      <c r="H215" t="n">
        <v>0</v>
      </c>
      <c r="I215" t="n">
        <v>0</v>
      </c>
      <c r="J215" t="n">
        <v>0</v>
      </c>
      <c r="K215" t="n">
        <v>0</v>
      </c>
      <c r="L215" t="n">
        <v>0</v>
      </c>
      <c r="M215" t="n">
        <v>0</v>
      </c>
      <c r="N215" t="n">
        <v>0</v>
      </c>
      <c r="O215" t="n">
        <v>0</v>
      </c>
      <c r="P215" t="n">
        <v>0</v>
      </c>
      <c r="Q215" t="n">
        <v>0</v>
      </c>
      <c r="R215" s="2" t="inlineStr"/>
    </row>
    <row r="216" ht="15" customHeight="1">
      <c r="A216" t="inlineStr">
        <is>
          <t>A 46518-2023</t>
        </is>
      </c>
      <c r="B216" s="1" t="n">
        <v>45197.72777777778</v>
      </c>
      <c r="C216" s="1" t="n">
        <v>45967</v>
      </c>
      <c r="D216" t="inlineStr">
        <is>
          <t>ÖREBRO LÄN</t>
        </is>
      </c>
      <c r="E216" t="inlineStr">
        <is>
          <t>ÖREBRO</t>
        </is>
      </c>
      <c r="G216" t="n">
        <v>2.2</v>
      </c>
      <c r="H216" t="n">
        <v>0</v>
      </c>
      <c r="I216" t="n">
        <v>0</v>
      </c>
      <c r="J216" t="n">
        <v>0</v>
      </c>
      <c r="K216" t="n">
        <v>0</v>
      </c>
      <c r="L216" t="n">
        <v>0</v>
      </c>
      <c r="M216" t="n">
        <v>0</v>
      </c>
      <c r="N216" t="n">
        <v>0</v>
      </c>
      <c r="O216" t="n">
        <v>0</v>
      </c>
      <c r="P216" t="n">
        <v>0</v>
      </c>
      <c r="Q216" t="n">
        <v>0</v>
      </c>
      <c r="R216" s="2" t="inlineStr"/>
    </row>
    <row r="217" ht="15" customHeight="1">
      <c r="A217" t="inlineStr">
        <is>
          <t>A 42138-2024</t>
        </is>
      </c>
      <c r="B217" s="1" t="n">
        <v>45562.41854166667</v>
      </c>
      <c r="C217" s="1" t="n">
        <v>45967</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71206-2021</t>
        </is>
      </c>
      <c r="B218" s="1" t="n">
        <v>44539</v>
      </c>
      <c r="C218" s="1" t="n">
        <v>45967</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34874-2022</t>
        </is>
      </c>
      <c r="B219" s="1" t="n">
        <v>44796</v>
      </c>
      <c r="C219" s="1" t="n">
        <v>45967</v>
      </c>
      <c r="D219" t="inlineStr">
        <is>
          <t>ÖREBRO LÄN</t>
        </is>
      </c>
      <c r="E219" t="inlineStr">
        <is>
          <t>ÖREBRO</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16739-2022</t>
        </is>
      </c>
      <c r="B220" s="1" t="n">
        <v>44673</v>
      </c>
      <c r="C220" s="1" t="n">
        <v>45967</v>
      </c>
      <c r="D220" t="inlineStr">
        <is>
          <t>ÖREBRO LÄN</t>
        </is>
      </c>
      <c r="E220" t="inlineStr">
        <is>
          <t>ÖREBRO</t>
        </is>
      </c>
      <c r="G220" t="n">
        <v>4.7</v>
      </c>
      <c r="H220" t="n">
        <v>0</v>
      </c>
      <c r="I220" t="n">
        <v>0</v>
      </c>
      <c r="J220" t="n">
        <v>0</v>
      </c>
      <c r="K220" t="n">
        <v>0</v>
      </c>
      <c r="L220" t="n">
        <v>0</v>
      </c>
      <c r="M220" t="n">
        <v>0</v>
      </c>
      <c r="N220" t="n">
        <v>0</v>
      </c>
      <c r="O220" t="n">
        <v>0</v>
      </c>
      <c r="P220" t="n">
        <v>0</v>
      </c>
      <c r="Q220" t="n">
        <v>0</v>
      </c>
      <c r="R220" s="2" t="inlineStr"/>
    </row>
    <row r="221" ht="15" customHeight="1">
      <c r="A221" t="inlineStr">
        <is>
          <t>A 61593-2023</t>
        </is>
      </c>
      <c r="B221" s="1" t="n">
        <v>45265</v>
      </c>
      <c r="C221" s="1" t="n">
        <v>45967</v>
      </c>
      <c r="D221" t="inlineStr">
        <is>
          <t>ÖREBRO LÄN</t>
        </is>
      </c>
      <c r="E221" t="inlineStr">
        <is>
          <t>ÖREBRO</t>
        </is>
      </c>
      <c r="G221" t="n">
        <v>2.5</v>
      </c>
      <c r="H221" t="n">
        <v>0</v>
      </c>
      <c r="I221" t="n">
        <v>0</v>
      </c>
      <c r="J221" t="n">
        <v>0</v>
      </c>
      <c r="K221" t="n">
        <v>0</v>
      </c>
      <c r="L221" t="n">
        <v>0</v>
      </c>
      <c r="M221" t="n">
        <v>0</v>
      </c>
      <c r="N221" t="n">
        <v>0</v>
      </c>
      <c r="O221" t="n">
        <v>0</v>
      </c>
      <c r="P221" t="n">
        <v>0</v>
      </c>
      <c r="Q221" t="n">
        <v>0</v>
      </c>
      <c r="R221" s="2" t="inlineStr"/>
    </row>
    <row r="222" ht="15" customHeight="1">
      <c r="A222" t="inlineStr">
        <is>
          <t>A 41703-2024</t>
        </is>
      </c>
      <c r="B222" s="1" t="n">
        <v>45560</v>
      </c>
      <c r="C222" s="1" t="n">
        <v>45967</v>
      </c>
      <c r="D222" t="inlineStr">
        <is>
          <t>ÖREBRO LÄN</t>
        </is>
      </c>
      <c r="E222" t="inlineStr">
        <is>
          <t>ÖREBRO</t>
        </is>
      </c>
      <c r="G222" t="n">
        <v>6.4</v>
      </c>
      <c r="H222" t="n">
        <v>0</v>
      </c>
      <c r="I222" t="n">
        <v>0</v>
      </c>
      <c r="J222" t="n">
        <v>0</v>
      </c>
      <c r="K222" t="n">
        <v>0</v>
      </c>
      <c r="L222" t="n">
        <v>0</v>
      </c>
      <c r="M222" t="n">
        <v>0</v>
      </c>
      <c r="N222" t="n">
        <v>0</v>
      </c>
      <c r="O222" t="n">
        <v>0</v>
      </c>
      <c r="P222" t="n">
        <v>0</v>
      </c>
      <c r="Q222" t="n">
        <v>0</v>
      </c>
      <c r="R222" s="2" t="inlineStr"/>
    </row>
    <row r="223" ht="15" customHeight="1">
      <c r="A223" t="inlineStr">
        <is>
          <t>A 5795-2024</t>
        </is>
      </c>
      <c r="B223" s="1" t="n">
        <v>45335.4531712963</v>
      </c>
      <c r="C223" s="1" t="n">
        <v>45967</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19763-2024</t>
        </is>
      </c>
      <c r="B224" s="1" t="n">
        <v>45432</v>
      </c>
      <c r="C224" s="1" t="n">
        <v>45967</v>
      </c>
      <c r="D224" t="inlineStr">
        <is>
          <t>ÖREBRO LÄN</t>
        </is>
      </c>
      <c r="E224" t="inlineStr">
        <is>
          <t>ÖREBRO</t>
        </is>
      </c>
      <c r="G224" t="n">
        <v>1.9</v>
      </c>
      <c r="H224" t="n">
        <v>0</v>
      </c>
      <c r="I224" t="n">
        <v>0</v>
      </c>
      <c r="J224" t="n">
        <v>0</v>
      </c>
      <c r="K224" t="n">
        <v>0</v>
      </c>
      <c r="L224" t="n">
        <v>0</v>
      </c>
      <c r="M224" t="n">
        <v>0</v>
      </c>
      <c r="N224" t="n">
        <v>0</v>
      </c>
      <c r="O224" t="n">
        <v>0</v>
      </c>
      <c r="P224" t="n">
        <v>0</v>
      </c>
      <c r="Q224" t="n">
        <v>0</v>
      </c>
      <c r="R224" s="2" t="inlineStr"/>
    </row>
    <row r="225" ht="15" customHeight="1">
      <c r="A225" t="inlineStr">
        <is>
          <t>A 9379-2024</t>
        </is>
      </c>
      <c r="B225" s="1" t="n">
        <v>45359.37298611111</v>
      </c>
      <c r="C225" s="1" t="n">
        <v>45967</v>
      </c>
      <c r="D225" t="inlineStr">
        <is>
          <t>ÖREBRO LÄN</t>
        </is>
      </c>
      <c r="E225" t="inlineStr">
        <is>
          <t>ÖREBRO</t>
        </is>
      </c>
      <c r="G225" t="n">
        <v>2.4</v>
      </c>
      <c r="H225" t="n">
        <v>0</v>
      </c>
      <c r="I225" t="n">
        <v>0</v>
      </c>
      <c r="J225" t="n">
        <v>0</v>
      </c>
      <c r="K225" t="n">
        <v>0</v>
      </c>
      <c r="L225" t="n">
        <v>0</v>
      </c>
      <c r="M225" t="n">
        <v>0</v>
      </c>
      <c r="N225" t="n">
        <v>0</v>
      </c>
      <c r="O225" t="n">
        <v>0</v>
      </c>
      <c r="P225" t="n">
        <v>0</v>
      </c>
      <c r="Q225" t="n">
        <v>0</v>
      </c>
      <c r="R225" s="2" t="inlineStr"/>
    </row>
    <row r="226" ht="15" customHeight="1">
      <c r="A226" t="inlineStr">
        <is>
          <t>A 38842-2022</t>
        </is>
      </c>
      <c r="B226" s="1" t="n">
        <v>44814</v>
      </c>
      <c r="C226" s="1" t="n">
        <v>45967</v>
      </c>
      <c r="D226" t="inlineStr">
        <is>
          <t>ÖREBRO LÄN</t>
        </is>
      </c>
      <c r="E226" t="inlineStr">
        <is>
          <t>ÖREBRO</t>
        </is>
      </c>
      <c r="G226" t="n">
        <v>5</v>
      </c>
      <c r="H226" t="n">
        <v>0</v>
      </c>
      <c r="I226" t="n">
        <v>0</v>
      </c>
      <c r="J226" t="n">
        <v>0</v>
      </c>
      <c r="K226" t="n">
        <v>0</v>
      </c>
      <c r="L226" t="n">
        <v>0</v>
      </c>
      <c r="M226" t="n">
        <v>0</v>
      </c>
      <c r="N226" t="n">
        <v>0</v>
      </c>
      <c r="O226" t="n">
        <v>0</v>
      </c>
      <c r="P226" t="n">
        <v>0</v>
      </c>
      <c r="Q226" t="n">
        <v>0</v>
      </c>
      <c r="R226" s="2" t="inlineStr"/>
    </row>
    <row r="227" ht="15" customHeight="1">
      <c r="A227" t="inlineStr">
        <is>
          <t>A 5398-2022</t>
        </is>
      </c>
      <c r="B227" s="1" t="n">
        <v>44595.3353587963</v>
      </c>
      <c r="C227" s="1" t="n">
        <v>45967</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31247-2023</t>
        </is>
      </c>
      <c r="B228" s="1" t="n">
        <v>45114</v>
      </c>
      <c r="C228" s="1" t="n">
        <v>45967</v>
      </c>
      <c r="D228" t="inlineStr">
        <is>
          <t>ÖREBRO LÄN</t>
        </is>
      </c>
      <c r="E228" t="inlineStr">
        <is>
          <t>ÖREBRO</t>
        </is>
      </c>
      <c r="F228" t="inlineStr">
        <is>
          <t>Allmännings- och besparingsskogar</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36635-2023</t>
        </is>
      </c>
      <c r="B229" s="1" t="n">
        <v>45153</v>
      </c>
      <c r="C229" s="1" t="n">
        <v>45967</v>
      </c>
      <c r="D229" t="inlineStr">
        <is>
          <t>ÖREBRO LÄN</t>
        </is>
      </c>
      <c r="E229" t="inlineStr">
        <is>
          <t>ÖREBRO</t>
        </is>
      </c>
      <c r="G229" t="n">
        <v>1.9</v>
      </c>
      <c r="H229" t="n">
        <v>0</v>
      </c>
      <c r="I229" t="n">
        <v>0</v>
      </c>
      <c r="J229" t="n">
        <v>0</v>
      </c>
      <c r="K229" t="n">
        <v>0</v>
      </c>
      <c r="L229" t="n">
        <v>0</v>
      </c>
      <c r="M229" t="n">
        <v>0</v>
      </c>
      <c r="N229" t="n">
        <v>0</v>
      </c>
      <c r="O229" t="n">
        <v>0</v>
      </c>
      <c r="P229" t="n">
        <v>0</v>
      </c>
      <c r="Q229" t="n">
        <v>0</v>
      </c>
      <c r="R229" s="2" t="inlineStr"/>
    </row>
    <row r="230" ht="15" customHeight="1">
      <c r="A230" t="inlineStr">
        <is>
          <t>A 54149-2024</t>
        </is>
      </c>
      <c r="B230" s="1" t="n">
        <v>45616</v>
      </c>
      <c r="C230" s="1" t="n">
        <v>45967</v>
      </c>
      <c r="D230" t="inlineStr">
        <is>
          <t>ÖREBRO LÄN</t>
        </is>
      </c>
      <c r="E230" t="inlineStr">
        <is>
          <t>ÖREBRO</t>
        </is>
      </c>
      <c r="G230" t="n">
        <v>2.7</v>
      </c>
      <c r="H230" t="n">
        <v>0</v>
      </c>
      <c r="I230" t="n">
        <v>0</v>
      </c>
      <c r="J230" t="n">
        <v>0</v>
      </c>
      <c r="K230" t="n">
        <v>0</v>
      </c>
      <c r="L230" t="n">
        <v>0</v>
      </c>
      <c r="M230" t="n">
        <v>0</v>
      </c>
      <c r="N230" t="n">
        <v>0</v>
      </c>
      <c r="O230" t="n">
        <v>0</v>
      </c>
      <c r="P230" t="n">
        <v>0</v>
      </c>
      <c r="Q230" t="n">
        <v>0</v>
      </c>
      <c r="R230" s="2" t="inlineStr"/>
    </row>
    <row r="231" ht="15" customHeight="1">
      <c r="A231" t="inlineStr">
        <is>
          <t>A 40597-2021</t>
        </is>
      </c>
      <c r="B231" s="1" t="n">
        <v>44420</v>
      </c>
      <c r="C231" s="1" t="n">
        <v>45967</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41995-2024</t>
        </is>
      </c>
      <c r="B232" s="1" t="n">
        <v>45561.6475462963</v>
      </c>
      <c r="C232" s="1" t="n">
        <v>45967</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8575-2021</t>
        </is>
      </c>
      <c r="B233" s="1" t="n">
        <v>44245</v>
      </c>
      <c r="C233" s="1" t="n">
        <v>45967</v>
      </c>
      <c r="D233" t="inlineStr">
        <is>
          <t>ÖREBRO LÄN</t>
        </is>
      </c>
      <c r="E233" t="inlineStr">
        <is>
          <t>ÖREBRO</t>
        </is>
      </c>
      <c r="G233" t="n">
        <v>3.4</v>
      </c>
      <c r="H233" t="n">
        <v>0</v>
      </c>
      <c r="I233" t="n">
        <v>0</v>
      </c>
      <c r="J233" t="n">
        <v>0</v>
      </c>
      <c r="K233" t="n">
        <v>0</v>
      </c>
      <c r="L233" t="n">
        <v>0</v>
      </c>
      <c r="M233" t="n">
        <v>0</v>
      </c>
      <c r="N233" t="n">
        <v>0</v>
      </c>
      <c r="O233" t="n">
        <v>0</v>
      </c>
      <c r="P233" t="n">
        <v>0</v>
      </c>
      <c r="Q233" t="n">
        <v>0</v>
      </c>
      <c r="R233" s="2" t="inlineStr"/>
    </row>
    <row r="234" ht="15" customHeight="1">
      <c r="A234" t="inlineStr">
        <is>
          <t>A 26338-2021</t>
        </is>
      </c>
      <c r="B234" s="1" t="n">
        <v>44347</v>
      </c>
      <c r="C234" s="1" t="n">
        <v>45967</v>
      </c>
      <c r="D234" t="inlineStr">
        <is>
          <t>ÖREBRO LÄN</t>
        </is>
      </c>
      <c r="E234" t="inlineStr">
        <is>
          <t>ÖREBRO</t>
        </is>
      </c>
      <c r="G234" t="n">
        <v>0.5</v>
      </c>
      <c r="H234" t="n">
        <v>0</v>
      </c>
      <c r="I234" t="n">
        <v>0</v>
      </c>
      <c r="J234" t="n">
        <v>0</v>
      </c>
      <c r="K234" t="n">
        <v>0</v>
      </c>
      <c r="L234" t="n">
        <v>0</v>
      </c>
      <c r="M234" t="n">
        <v>0</v>
      </c>
      <c r="N234" t="n">
        <v>0</v>
      </c>
      <c r="O234" t="n">
        <v>0</v>
      </c>
      <c r="P234" t="n">
        <v>0</v>
      </c>
      <c r="Q234" t="n">
        <v>0</v>
      </c>
      <c r="R234" s="2" t="inlineStr"/>
    </row>
    <row r="235" ht="15" customHeight="1">
      <c r="A235" t="inlineStr">
        <is>
          <t>A 37771-2024</t>
        </is>
      </c>
      <c r="B235" s="1" t="n">
        <v>45542.31359953704</v>
      </c>
      <c r="C235" s="1" t="n">
        <v>45967</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49797-2024</t>
        </is>
      </c>
      <c r="B236" s="1" t="n">
        <v>45597.37265046296</v>
      </c>
      <c r="C236" s="1" t="n">
        <v>45967</v>
      </c>
      <c r="D236" t="inlineStr">
        <is>
          <t>ÖREBRO LÄN</t>
        </is>
      </c>
      <c r="E236" t="inlineStr">
        <is>
          <t>ÖREBRO</t>
        </is>
      </c>
      <c r="G236" t="n">
        <v>11.6</v>
      </c>
      <c r="H236" t="n">
        <v>0</v>
      </c>
      <c r="I236" t="n">
        <v>0</v>
      </c>
      <c r="J236" t="n">
        <v>0</v>
      </c>
      <c r="K236" t="n">
        <v>0</v>
      </c>
      <c r="L236" t="n">
        <v>0</v>
      </c>
      <c r="M236" t="n">
        <v>0</v>
      </c>
      <c r="N236" t="n">
        <v>0</v>
      </c>
      <c r="O236" t="n">
        <v>0</v>
      </c>
      <c r="P236" t="n">
        <v>0</v>
      </c>
      <c r="Q236" t="n">
        <v>0</v>
      </c>
      <c r="R236" s="2" t="inlineStr"/>
    </row>
    <row r="237" ht="15" customHeight="1">
      <c r="A237" t="inlineStr">
        <is>
          <t>A 16737-2023</t>
        </is>
      </c>
      <c r="B237" s="1" t="n">
        <v>45030.72472222222</v>
      </c>
      <c r="C237" s="1" t="n">
        <v>45967</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11663-2024</t>
        </is>
      </c>
      <c r="B238" s="1" t="n">
        <v>45373</v>
      </c>
      <c r="C238" s="1" t="n">
        <v>45967</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71266-2021</t>
        </is>
      </c>
      <c r="B239" s="1" t="n">
        <v>44539</v>
      </c>
      <c r="C239" s="1" t="n">
        <v>45967</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71267-2021</t>
        </is>
      </c>
      <c r="B240" s="1" t="n">
        <v>44539</v>
      </c>
      <c r="C240" s="1" t="n">
        <v>45967</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71280-2021</t>
        </is>
      </c>
      <c r="B241" s="1" t="n">
        <v>44539</v>
      </c>
      <c r="C241" s="1" t="n">
        <v>45967</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15866-2022</t>
        </is>
      </c>
      <c r="B242" s="1" t="n">
        <v>44664</v>
      </c>
      <c r="C242" s="1" t="n">
        <v>45967</v>
      </c>
      <c r="D242" t="inlineStr">
        <is>
          <t>ÖREBRO LÄN</t>
        </is>
      </c>
      <c r="E242" t="inlineStr">
        <is>
          <t>ÖREBRO</t>
        </is>
      </c>
      <c r="G242" t="n">
        <v>4</v>
      </c>
      <c r="H242" t="n">
        <v>0</v>
      </c>
      <c r="I242" t="n">
        <v>0</v>
      </c>
      <c r="J242" t="n">
        <v>0</v>
      </c>
      <c r="K242" t="n">
        <v>0</v>
      </c>
      <c r="L242" t="n">
        <v>0</v>
      </c>
      <c r="M242" t="n">
        <v>0</v>
      </c>
      <c r="N242" t="n">
        <v>0</v>
      </c>
      <c r="O242" t="n">
        <v>0</v>
      </c>
      <c r="P242" t="n">
        <v>0</v>
      </c>
      <c r="Q242" t="n">
        <v>0</v>
      </c>
      <c r="R242" s="2" t="inlineStr"/>
    </row>
    <row r="243" ht="15" customHeight="1">
      <c r="A243" t="inlineStr">
        <is>
          <t>A 2318-2023</t>
        </is>
      </c>
      <c r="B243" s="1" t="n">
        <v>44942</v>
      </c>
      <c r="C243" s="1" t="n">
        <v>45967</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15652-2025</t>
        </is>
      </c>
      <c r="B244" s="1" t="n">
        <v>45748</v>
      </c>
      <c r="C244" s="1" t="n">
        <v>45967</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5764-2022</t>
        </is>
      </c>
      <c r="B245" s="1" t="n">
        <v>44596</v>
      </c>
      <c r="C245" s="1" t="n">
        <v>45967</v>
      </c>
      <c r="D245" t="inlineStr">
        <is>
          <t>ÖREBRO LÄN</t>
        </is>
      </c>
      <c r="E245" t="inlineStr">
        <is>
          <t>ÖREBRO</t>
        </is>
      </c>
      <c r="G245" t="n">
        <v>3.5</v>
      </c>
      <c r="H245" t="n">
        <v>0</v>
      </c>
      <c r="I245" t="n">
        <v>0</v>
      </c>
      <c r="J245" t="n">
        <v>0</v>
      </c>
      <c r="K245" t="n">
        <v>0</v>
      </c>
      <c r="L245" t="n">
        <v>0</v>
      </c>
      <c r="M245" t="n">
        <v>0</v>
      </c>
      <c r="N245" t="n">
        <v>0</v>
      </c>
      <c r="O245" t="n">
        <v>0</v>
      </c>
      <c r="P245" t="n">
        <v>0</v>
      </c>
      <c r="Q245" t="n">
        <v>0</v>
      </c>
      <c r="R245" s="2" t="inlineStr"/>
    </row>
    <row r="246" ht="15" customHeight="1">
      <c r="A246" t="inlineStr">
        <is>
          <t>A 45027-2024</t>
        </is>
      </c>
      <c r="B246" s="1" t="n">
        <v>45575</v>
      </c>
      <c r="C246" s="1" t="n">
        <v>45967</v>
      </c>
      <c r="D246" t="inlineStr">
        <is>
          <t>ÖREBRO LÄN</t>
        </is>
      </c>
      <c r="E246" t="inlineStr">
        <is>
          <t>ÖREBRO</t>
        </is>
      </c>
      <c r="G246" t="n">
        <v>6.3</v>
      </c>
      <c r="H246" t="n">
        <v>0</v>
      </c>
      <c r="I246" t="n">
        <v>0</v>
      </c>
      <c r="J246" t="n">
        <v>0</v>
      </c>
      <c r="K246" t="n">
        <v>0</v>
      </c>
      <c r="L246" t="n">
        <v>0</v>
      </c>
      <c r="M246" t="n">
        <v>0</v>
      </c>
      <c r="N246" t="n">
        <v>0</v>
      </c>
      <c r="O246" t="n">
        <v>0</v>
      </c>
      <c r="P246" t="n">
        <v>0</v>
      </c>
      <c r="Q246" t="n">
        <v>0</v>
      </c>
      <c r="R246" s="2" t="inlineStr"/>
    </row>
    <row r="247" ht="15" customHeight="1">
      <c r="A247" t="inlineStr">
        <is>
          <t>A 32086-2023</t>
        </is>
      </c>
      <c r="B247" s="1" t="n">
        <v>45119.59789351852</v>
      </c>
      <c r="C247" s="1" t="n">
        <v>45967</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13856-2022</t>
        </is>
      </c>
      <c r="B248" s="1" t="n">
        <v>44649.6965162037</v>
      </c>
      <c r="C248" s="1" t="n">
        <v>45967</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23863-2023</t>
        </is>
      </c>
      <c r="B249" s="1" t="n">
        <v>45078.48994212963</v>
      </c>
      <c r="C249" s="1" t="n">
        <v>45967</v>
      </c>
      <c r="D249" t="inlineStr">
        <is>
          <t>ÖREBRO LÄN</t>
        </is>
      </c>
      <c r="E249" t="inlineStr">
        <is>
          <t>ÖREBRO</t>
        </is>
      </c>
      <c r="F249" t="inlineStr">
        <is>
          <t>Övriga Aktiebolag</t>
        </is>
      </c>
      <c r="G249" t="n">
        <v>5.9</v>
      </c>
      <c r="H249" t="n">
        <v>0</v>
      </c>
      <c r="I249" t="n">
        <v>0</v>
      </c>
      <c r="J249" t="n">
        <v>0</v>
      </c>
      <c r="K249" t="n">
        <v>0</v>
      </c>
      <c r="L249" t="n">
        <v>0</v>
      </c>
      <c r="M249" t="n">
        <v>0</v>
      </c>
      <c r="N249" t="n">
        <v>0</v>
      </c>
      <c r="O249" t="n">
        <v>0</v>
      </c>
      <c r="P249" t="n">
        <v>0</v>
      </c>
      <c r="Q249" t="n">
        <v>0</v>
      </c>
      <c r="R249" s="2" t="inlineStr"/>
    </row>
    <row r="250" ht="15" customHeight="1">
      <c r="A250" t="inlineStr">
        <is>
          <t>A 40051-2024</t>
        </is>
      </c>
      <c r="B250" s="1" t="n">
        <v>45553</v>
      </c>
      <c r="C250" s="1" t="n">
        <v>45967</v>
      </c>
      <c r="D250" t="inlineStr">
        <is>
          <t>ÖREBRO LÄN</t>
        </is>
      </c>
      <c r="E250" t="inlineStr">
        <is>
          <t>ÖREBRO</t>
        </is>
      </c>
      <c r="G250" t="n">
        <v>3.5</v>
      </c>
      <c r="H250" t="n">
        <v>0</v>
      </c>
      <c r="I250" t="n">
        <v>0</v>
      </c>
      <c r="J250" t="n">
        <v>0</v>
      </c>
      <c r="K250" t="n">
        <v>0</v>
      </c>
      <c r="L250" t="n">
        <v>0</v>
      </c>
      <c r="M250" t="n">
        <v>0</v>
      </c>
      <c r="N250" t="n">
        <v>0</v>
      </c>
      <c r="O250" t="n">
        <v>0</v>
      </c>
      <c r="P250" t="n">
        <v>0</v>
      </c>
      <c r="Q250" t="n">
        <v>0</v>
      </c>
      <c r="R250" s="2" t="inlineStr"/>
    </row>
    <row r="251" ht="15" customHeight="1">
      <c r="A251" t="inlineStr">
        <is>
          <t>A 39130-2023</t>
        </is>
      </c>
      <c r="B251" s="1" t="n">
        <v>45165</v>
      </c>
      <c r="C251" s="1" t="n">
        <v>45967</v>
      </c>
      <c r="D251" t="inlineStr">
        <is>
          <t>ÖREBRO LÄN</t>
        </is>
      </c>
      <c r="E251" t="inlineStr">
        <is>
          <t>ÖREBRO</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41543-2024</t>
        </is>
      </c>
      <c r="B252" s="1" t="n">
        <v>45560</v>
      </c>
      <c r="C252" s="1" t="n">
        <v>45967</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10799-2024</t>
        </is>
      </c>
      <c r="B253" s="1" t="n">
        <v>45369</v>
      </c>
      <c r="C253" s="1" t="n">
        <v>45967</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13599-2025</t>
        </is>
      </c>
      <c r="B254" s="1" t="n">
        <v>45736.60597222222</v>
      </c>
      <c r="C254" s="1" t="n">
        <v>45967</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16694-2025</t>
        </is>
      </c>
      <c r="B255" s="1" t="n">
        <v>45754.46480324074</v>
      </c>
      <c r="C255" s="1" t="n">
        <v>45967</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66799-2020</t>
        </is>
      </c>
      <c r="B256" s="1" t="n">
        <v>44179</v>
      </c>
      <c r="C256" s="1" t="n">
        <v>45967</v>
      </c>
      <c r="D256" t="inlineStr">
        <is>
          <t>ÖREBRO LÄN</t>
        </is>
      </c>
      <c r="E256" t="inlineStr">
        <is>
          <t>ÖREBRO</t>
        </is>
      </c>
      <c r="G256" t="n">
        <v>5.2</v>
      </c>
      <c r="H256" t="n">
        <v>0</v>
      </c>
      <c r="I256" t="n">
        <v>0</v>
      </c>
      <c r="J256" t="n">
        <v>0</v>
      </c>
      <c r="K256" t="n">
        <v>0</v>
      </c>
      <c r="L256" t="n">
        <v>0</v>
      </c>
      <c r="M256" t="n">
        <v>0</v>
      </c>
      <c r="N256" t="n">
        <v>0</v>
      </c>
      <c r="O256" t="n">
        <v>0</v>
      </c>
      <c r="P256" t="n">
        <v>0</v>
      </c>
      <c r="Q256" t="n">
        <v>0</v>
      </c>
      <c r="R256" s="2" t="inlineStr"/>
    </row>
    <row r="257" ht="15" customHeight="1">
      <c r="A257" t="inlineStr">
        <is>
          <t>A 49465-2024</t>
        </is>
      </c>
      <c r="B257" s="1" t="n">
        <v>45596</v>
      </c>
      <c r="C257" s="1" t="n">
        <v>45967</v>
      </c>
      <c r="D257" t="inlineStr">
        <is>
          <t>ÖREBRO LÄN</t>
        </is>
      </c>
      <c r="E257" t="inlineStr">
        <is>
          <t>ÖREBRO</t>
        </is>
      </c>
      <c r="F257" t="inlineStr">
        <is>
          <t>Övriga Aktiebolag</t>
        </is>
      </c>
      <c r="G257" t="n">
        <v>21</v>
      </c>
      <c r="H257" t="n">
        <v>0</v>
      </c>
      <c r="I257" t="n">
        <v>0</v>
      </c>
      <c r="J257" t="n">
        <v>0</v>
      </c>
      <c r="K257" t="n">
        <v>0</v>
      </c>
      <c r="L257" t="n">
        <v>0</v>
      </c>
      <c r="M257" t="n">
        <v>0</v>
      </c>
      <c r="N257" t="n">
        <v>0</v>
      </c>
      <c r="O257" t="n">
        <v>0</v>
      </c>
      <c r="P257" t="n">
        <v>0</v>
      </c>
      <c r="Q257" t="n">
        <v>0</v>
      </c>
      <c r="R257" s="2" t="inlineStr"/>
    </row>
    <row r="258" ht="15" customHeight="1">
      <c r="A258" t="inlineStr">
        <is>
          <t>A 38057-2025</t>
        </is>
      </c>
      <c r="B258" s="1" t="n">
        <v>45882.42570601852</v>
      </c>
      <c r="C258" s="1" t="n">
        <v>45967</v>
      </c>
      <c r="D258" t="inlineStr">
        <is>
          <t>ÖREBRO LÄN</t>
        </is>
      </c>
      <c r="E258" t="inlineStr">
        <is>
          <t>ÖREBRO</t>
        </is>
      </c>
      <c r="G258" t="n">
        <v>3</v>
      </c>
      <c r="H258" t="n">
        <v>0</v>
      </c>
      <c r="I258" t="n">
        <v>0</v>
      </c>
      <c r="J258" t="n">
        <v>0</v>
      </c>
      <c r="K258" t="n">
        <v>0</v>
      </c>
      <c r="L258" t="n">
        <v>0</v>
      </c>
      <c r="M258" t="n">
        <v>0</v>
      </c>
      <c r="N258" t="n">
        <v>0</v>
      </c>
      <c r="O258" t="n">
        <v>0</v>
      </c>
      <c r="P258" t="n">
        <v>0</v>
      </c>
      <c r="Q258" t="n">
        <v>0</v>
      </c>
      <c r="R258" s="2" t="inlineStr"/>
    </row>
    <row r="259" ht="15" customHeight="1">
      <c r="A259" t="inlineStr">
        <is>
          <t>A 59121-2024</t>
        </is>
      </c>
      <c r="B259" s="1" t="n">
        <v>45637.37755787037</v>
      </c>
      <c r="C259" s="1" t="n">
        <v>45967</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49215-2023</t>
        </is>
      </c>
      <c r="B260" s="1" t="n">
        <v>45210.61050925926</v>
      </c>
      <c r="C260" s="1" t="n">
        <v>45967</v>
      </c>
      <c r="D260" t="inlineStr">
        <is>
          <t>ÖREBRO LÄN</t>
        </is>
      </c>
      <c r="E260" t="inlineStr">
        <is>
          <t>ÖREBRO</t>
        </is>
      </c>
      <c r="F260" t="inlineStr">
        <is>
          <t>Övriga Aktiebolag</t>
        </is>
      </c>
      <c r="G260" t="n">
        <v>4.2</v>
      </c>
      <c r="H260" t="n">
        <v>0</v>
      </c>
      <c r="I260" t="n">
        <v>0</v>
      </c>
      <c r="J260" t="n">
        <v>0</v>
      </c>
      <c r="K260" t="n">
        <v>0</v>
      </c>
      <c r="L260" t="n">
        <v>0</v>
      </c>
      <c r="M260" t="n">
        <v>0</v>
      </c>
      <c r="N260" t="n">
        <v>0</v>
      </c>
      <c r="O260" t="n">
        <v>0</v>
      </c>
      <c r="P260" t="n">
        <v>0</v>
      </c>
      <c r="Q260" t="n">
        <v>0</v>
      </c>
      <c r="R260" s="2" t="inlineStr"/>
    </row>
    <row r="261" ht="15" customHeight="1">
      <c r="A261" t="inlineStr">
        <is>
          <t>A 50375-2024</t>
        </is>
      </c>
      <c r="B261" s="1" t="n">
        <v>45601.29311342593</v>
      </c>
      <c r="C261" s="1" t="n">
        <v>45967</v>
      </c>
      <c r="D261" t="inlineStr">
        <is>
          <t>ÖREBRO LÄN</t>
        </is>
      </c>
      <c r="E261" t="inlineStr">
        <is>
          <t>ÖREBRO</t>
        </is>
      </c>
      <c r="G261" t="n">
        <v>5</v>
      </c>
      <c r="H261" t="n">
        <v>0</v>
      </c>
      <c r="I261" t="n">
        <v>0</v>
      </c>
      <c r="J261" t="n">
        <v>0</v>
      </c>
      <c r="K261" t="n">
        <v>0</v>
      </c>
      <c r="L261" t="n">
        <v>0</v>
      </c>
      <c r="M261" t="n">
        <v>0</v>
      </c>
      <c r="N261" t="n">
        <v>0</v>
      </c>
      <c r="O261" t="n">
        <v>0</v>
      </c>
      <c r="P261" t="n">
        <v>0</v>
      </c>
      <c r="Q261" t="n">
        <v>0</v>
      </c>
      <c r="R261" s="2" t="inlineStr"/>
    </row>
    <row r="262" ht="15" customHeight="1">
      <c r="A262" t="inlineStr">
        <is>
          <t>A 52391-2024</t>
        </is>
      </c>
      <c r="B262" s="1" t="n">
        <v>45609.43180555556</v>
      </c>
      <c r="C262" s="1" t="n">
        <v>45967</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17983-2025</t>
        </is>
      </c>
      <c r="B263" s="1" t="n">
        <v>45761.38829861111</v>
      </c>
      <c r="C263" s="1" t="n">
        <v>45967</v>
      </c>
      <c r="D263" t="inlineStr">
        <is>
          <t>ÖREBRO LÄN</t>
        </is>
      </c>
      <c r="E263" t="inlineStr">
        <is>
          <t>ÖREBRO</t>
        </is>
      </c>
      <c r="G263" t="n">
        <v>0.8</v>
      </c>
      <c r="H263" t="n">
        <v>0</v>
      </c>
      <c r="I263" t="n">
        <v>0</v>
      </c>
      <c r="J263" t="n">
        <v>0</v>
      </c>
      <c r="K263" t="n">
        <v>0</v>
      </c>
      <c r="L263" t="n">
        <v>0</v>
      </c>
      <c r="M263" t="n">
        <v>0</v>
      </c>
      <c r="N263" t="n">
        <v>0</v>
      </c>
      <c r="O263" t="n">
        <v>0</v>
      </c>
      <c r="P263" t="n">
        <v>0</v>
      </c>
      <c r="Q263" t="n">
        <v>0</v>
      </c>
      <c r="R263" s="2" t="inlineStr"/>
    </row>
    <row r="264" ht="15" customHeight="1">
      <c r="A264" t="inlineStr">
        <is>
          <t>A 2076-2025</t>
        </is>
      </c>
      <c r="B264" s="1" t="n">
        <v>45672</v>
      </c>
      <c r="C264" s="1" t="n">
        <v>45967</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8571-2021</t>
        </is>
      </c>
      <c r="B265" s="1" t="n">
        <v>44245</v>
      </c>
      <c r="C265" s="1" t="n">
        <v>45967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55692-2023</t>
        </is>
      </c>
      <c r="B266" s="1" t="n">
        <v>45239</v>
      </c>
      <c r="C266" s="1" t="n">
        <v>45967</v>
      </c>
      <c r="D266" t="inlineStr">
        <is>
          <t>ÖREBRO LÄN</t>
        </is>
      </c>
      <c r="E266" t="inlineStr">
        <is>
          <t>ÖREBRO</t>
        </is>
      </c>
      <c r="F266" t="inlineStr">
        <is>
          <t>Övriga Aktiebolag</t>
        </is>
      </c>
      <c r="G266" t="n">
        <v>0.4</v>
      </c>
      <c r="H266" t="n">
        <v>0</v>
      </c>
      <c r="I266" t="n">
        <v>0</v>
      </c>
      <c r="J266" t="n">
        <v>0</v>
      </c>
      <c r="K266" t="n">
        <v>0</v>
      </c>
      <c r="L266" t="n">
        <v>0</v>
      </c>
      <c r="M266" t="n">
        <v>0</v>
      </c>
      <c r="N266" t="n">
        <v>0</v>
      </c>
      <c r="O266" t="n">
        <v>0</v>
      </c>
      <c r="P266" t="n">
        <v>0</v>
      </c>
      <c r="Q266" t="n">
        <v>0</v>
      </c>
      <c r="R266" s="2" t="inlineStr"/>
    </row>
    <row r="267" ht="15" customHeight="1">
      <c r="A267" t="inlineStr">
        <is>
          <t>A 14715-2024</t>
        </is>
      </c>
      <c r="B267" s="1" t="n">
        <v>45397.5500462963</v>
      </c>
      <c r="C267" s="1" t="n">
        <v>45967</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14960-2025</t>
        </is>
      </c>
      <c r="B268" s="1" t="n">
        <v>45743.5853125</v>
      </c>
      <c r="C268" s="1" t="n">
        <v>45967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58532-2024</t>
        </is>
      </c>
      <c r="B269" s="1" t="n">
        <v>45635.44899305556</v>
      </c>
      <c r="C269" s="1" t="n">
        <v>45967</v>
      </c>
      <c r="D269" t="inlineStr">
        <is>
          <t>ÖREBRO LÄN</t>
        </is>
      </c>
      <c r="E269" t="inlineStr">
        <is>
          <t>ÖREBRO</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12682-2023</t>
        </is>
      </c>
      <c r="B270" s="1" t="n">
        <v>45000.6115625</v>
      </c>
      <c r="C270" s="1" t="n">
        <v>45967</v>
      </c>
      <c r="D270" t="inlineStr">
        <is>
          <t>ÖREBRO LÄN</t>
        </is>
      </c>
      <c r="E270" t="inlineStr">
        <is>
          <t>ÖREBRO</t>
        </is>
      </c>
      <c r="F270" t="inlineStr">
        <is>
          <t>Övriga Aktiebolag</t>
        </is>
      </c>
      <c r="G270" t="n">
        <v>4.4</v>
      </c>
      <c r="H270" t="n">
        <v>0</v>
      </c>
      <c r="I270" t="n">
        <v>0</v>
      </c>
      <c r="J270" t="n">
        <v>0</v>
      </c>
      <c r="K270" t="n">
        <v>0</v>
      </c>
      <c r="L270" t="n">
        <v>0</v>
      </c>
      <c r="M270" t="n">
        <v>0</v>
      </c>
      <c r="N270" t="n">
        <v>0</v>
      </c>
      <c r="O270" t="n">
        <v>0</v>
      </c>
      <c r="P270" t="n">
        <v>0</v>
      </c>
      <c r="Q270" t="n">
        <v>0</v>
      </c>
      <c r="R270" s="2" t="inlineStr"/>
    </row>
    <row r="271" ht="15" customHeight="1">
      <c r="A271" t="inlineStr">
        <is>
          <t>A 13592-2023</t>
        </is>
      </c>
      <c r="B271" s="1" t="n">
        <v>45006.56870370371</v>
      </c>
      <c r="C271" s="1" t="n">
        <v>45967</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10368-2021</t>
        </is>
      </c>
      <c r="B272" s="1" t="n">
        <v>44257</v>
      </c>
      <c r="C272" s="1" t="n">
        <v>45967</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20150-2024</t>
        </is>
      </c>
      <c r="B273" s="1" t="n">
        <v>45434.57969907407</v>
      </c>
      <c r="C273" s="1" t="n">
        <v>45967</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60022-2024</t>
        </is>
      </c>
      <c r="B274" s="1" t="n">
        <v>45642</v>
      </c>
      <c r="C274" s="1" t="n">
        <v>45967</v>
      </c>
      <c r="D274" t="inlineStr">
        <is>
          <t>ÖREBRO LÄN</t>
        </is>
      </c>
      <c r="E274" t="inlineStr">
        <is>
          <t>ÖREBRO</t>
        </is>
      </c>
      <c r="G274" t="n">
        <v>1.7</v>
      </c>
      <c r="H274" t="n">
        <v>0</v>
      </c>
      <c r="I274" t="n">
        <v>0</v>
      </c>
      <c r="J274" t="n">
        <v>0</v>
      </c>
      <c r="K274" t="n">
        <v>0</v>
      </c>
      <c r="L274" t="n">
        <v>0</v>
      </c>
      <c r="M274" t="n">
        <v>0</v>
      </c>
      <c r="N274" t="n">
        <v>0</v>
      </c>
      <c r="O274" t="n">
        <v>0</v>
      </c>
      <c r="P274" t="n">
        <v>0</v>
      </c>
      <c r="Q274" t="n">
        <v>0</v>
      </c>
      <c r="R274" s="2" t="inlineStr"/>
    </row>
    <row r="275" ht="15" customHeight="1">
      <c r="A275" t="inlineStr">
        <is>
          <t>A 59736-2023</t>
        </is>
      </c>
      <c r="B275" s="1" t="n">
        <v>45257.374375</v>
      </c>
      <c r="C275" s="1" t="n">
        <v>45967</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41678-2024</t>
        </is>
      </c>
      <c r="B276" s="1" t="n">
        <v>45560</v>
      </c>
      <c r="C276" s="1" t="n">
        <v>45967</v>
      </c>
      <c r="D276" t="inlineStr">
        <is>
          <t>ÖREBRO LÄN</t>
        </is>
      </c>
      <c r="E276" t="inlineStr">
        <is>
          <t>ÖREBRO</t>
        </is>
      </c>
      <c r="G276" t="n">
        <v>11.3</v>
      </c>
      <c r="H276" t="n">
        <v>0</v>
      </c>
      <c r="I276" t="n">
        <v>0</v>
      </c>
      <c r="J276" t="n">
        <v>0</v>
      </c>
      <c r="K276" t="n">
        <v>0</v>
      </c>
      <c r="L276" t="n">
        <v>0</v>
      </c>
      <c r="M276" t="n">
        <v>0</v>
      </c>
      <c r="N276" t="n">
        <v>0</v>
      </c>
      <c r="O276" t="n">
        <v>0</v>
      </c>
      <c r="P276" t="n">
        <v>0</v>
      </c>
      <c r="Q276" t="n">
        <v>0</v>
      </c>
      <c r="R276" s="2" t="inlineStr"/>
    </row>
    <row r="277" ht="15" customHeight="1">
      <c r="A277" t="inlineStr">
        <is>
          <t>A 18550-2025</t>
        </is>
      </c>
      <c r="B277" s="1" t="n">
        <v>45763.43422453704</v>
      </c>
      <c r="C277" s="1" t="n">
        <v>45967</v>
      </c>
      <c r="D277" t="inlineStr">
        <is>
          <t>ÖREBRO LÄN</t>
        </is>
      </c>
      <c r="E277" t="inlineStr">
        <is>
          <t>ÖREBRO</t>
        </is>
      </c>
      <c r="G277" t="n">
        <v>11.5</v>
      </c>
      <c r="H277" t="n">
        <v>0</v>
      </c>
      <c r="I277" t="n">
        <v>0</v>
      </c>
      <c r="J277" t="n">
        <v>0</v>
      </c>
      <c r="K277" t="n">
        <v>0</v>
      </c>
      <c r="L277" t="n">
        <v>0</v>
      </c>
      <c r="M277" t="n">
        <v>0</v>
      </c>
      <c r="N277" t="n">
        <v>0</v>
      </c>
      <c r="O277" t="n">
        <v>0</v>
      </c>
      <c r="P277" t="n">
        <v>0</v>
      </c>
      <c r="Q277" t="n">
        <v>0</v>
      </c>
      <c r="R277" s="2" t="inlineStr"/>
    </row>
    <row r="278" ht="15" customHeight="1">
      <c r="A278" t="inlineStr">
        <is>
          <t>A 58208-2024</t>
        </is>
      </c>
      <c r="B278" s="1" t="n">
        <v>45632</v>
      </c>
      <c r="C278" s="1" t="n">
        <v>45967</v>
      </c>
      <c r="D278" t="inlineStr">
        <is>
          <t>ÖREBRO LÄN</t>
        </is>
      </c>
      <c r="E278" t="inlineStr">
        <is>
          <t>ÖREBRO</t>
        </is>
      </c>
      <c r="G278" t="n">
        <v>3.1</v>
      </c>
      <c r="H278" t="n">
        <v>0</v>
      </c>
      <c r="I278" t="n">
        <v>0</v>
      </c>
      <c r="J278" t="n">
        <v>0</v>
      </c>
      <c r="K278" t="n">
        <v>0</v>
      </c>
      <c r="L278" t="n">
        <v>0</v>
      </c>
      <c r="M278" t="n">
        <v>0</v>
      </c>
      <c r="N278" t="n">
        <v>0</v>
      </c>
      <c r="O278" t="n">
        <v>0</v>
      </c>
      <c r="P278" t="n">
        <v>0</v>
      </c>
      <c r="Q278" t="n">
        <v>0</v>
      </c>
      <c r="R278" s="2" t="inlineStr"/>
    </row>
    <row r="279" ht="15" customHeight="1">
      <c r="A279" t="inlineStr">
        <is>
          <t>A 19388-2024</t>
        </is>
      </c>
      <c r="B279" s="1" t="n">
        <v>45429.37775462963</v>
      </c>
      <c r="C279" s="1" t="n">
        <v>45967</v>
      </c>
      <c r="D279" t="inlineStr">
        <is>
          <t>ÖREBRO LÄN</t>
        </is>
      </c>
      <c r="E279" t="inlineStr">
        <is>
          <t>ÖREBRO</t>
        </is>
      </c>
      <c r="G279" t="n">
        <v>4.3</v>
      </c>
      <c r="H279" t="n">
        <v>0</v>
      </c>
      <c r="I279" t="n">
        <v>0</v>
      </c>
      <c r="J279" t="n">
        <v>0</v>
      </c>
      <c r="K279" t="n">
        <v>0</v>
      </c>
      <c r="L279" t="n">
        <v>0</v>
      </c>
      <c r="M279" t="n">
        <v>0</v>
      </c>
      <c r="N279" t="n">
        <v>0</v>
      </c>
      <c r="O279" t="n">
        <v>0</v>
      </c>
      <c r="P279" t="n">
        <v>0</v>
      </c>
      <c r="Q279" t="n">
        <v>0</v>
      </c>
      <c r="R279" s="2" t="inlineStr"/>
    </row>
    <row r="280" ht="15" customHeight="1">
      <c r="A280" t="inlineStr">
        <is>
          <t>A 7506-2025</t>
        </is>
      </c>
      <c r="B280" s="1" t="n">
        <v>45705</v>
      </c>
      <c r="C280" s="1" t="n">
        <v>45967</v>
      </c>
      <c r="D280" t="inlineStr">
        <is>
          <t>ÖREBRO LÄN</t>
        </is>
      </c>
      <c r="E280" t="inlineStr">
        <is>
          <t>ÖREBRO</t>
        </is>
      </c>
      <c r="G280" t="n">
        <v>0.5</v>
      </c>
      <c r="H280" t="n">
        <v>0</v>
      </c>
      <c r="I280" t="n">
        <v>0</v>
      </c>
      <c r="J280" t="n">
        <v>0</v>
      </c>
      <c r="K280" t="n">
        <v>0</v>
      </c>
      <c r="L280" t="n">
        <v>0</v>
      </c>
      <c r="M280" t="n">
        <v>0</v>
      </c>
      <c r="N280" t="n">
        <v>0</v>
      </c>
      <c r="O280" t="n">
        <v>0</v>
      </c>
      <c r="P280" t="n">
        <v>0</v>
      </c>
      <c r="Q280" t="n">
        <v>0</v>
      </c>
      <c r="R280" s="2" t="inlineStr"/>
    </row>
    <row r="281" ht="15" customHeight="1">
      <c r="A281" t="inlineStr">
        <is>
          <t>A 55355-2024</t>
        </is>
      </c>
      <c r="B281" s="1" t="n">
        <v>45621.80475694445</v>
      </c>
      <c r="C281" s="1" t="n">
        <v>45967</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4344-2025</t>
        </is>
      </c>
      <c r="B282" s="1" t="n">
        <v>45685</v>
      </c>
      <c r="C282" s="1" t="n">
        <v>45967</v>
      </c>
      <c r="D282" t="inlineStr">
        <is>
          <t>ÖREBRO LÄN</t>
        </is>
      </c>
      <c r="E282" t="inlineStr">
        <is>
          <t>ÖREBRO</t>
        </is>
      </c>
      <c r="G282" t="n">
        <v>1.6</v>
      </c>
      <c r="H282" t="n">
        <v>0</v>
      </c>
      <c r="I282" t="n">
        <v>0</v>
      </c>
      <c r="J282" t="n">
        <v>0</v>
      </c>
      <c r="K282" t="n">
        <v>0</v>
      </c>
      <c r="L282" t="n">
        <v>0</v>
      </c>
      <c r="M282" t="n">
        <v>0</v>
      </c>
      <c r="N282" t="n">
        <v>0</v>
      </c>
      <c r="O282" t="n">
        <v>0</v>
      </c>
      <c r="P282" t="n">
        <v>0</v>
      </c>
      <c r="Q282" t="n">
        <v>0</v>
      </c>
      <c r="R282" s="2" t="inlineStr"/>
    </row>
    <row r="283" ht="15" customHeight="1">
      <c r="A283" t="inlineStr">
        <is>
          <t>A 39003-2025</t>
        </is>
      </c>
      <c r="B283" s="1" t="n">
        <v>45888.34467592592</v>
      </c>
      <c r="C283" s="1" t="n">
        <v>45967</v>
      </c>
      <c r="D283" t="inlineStr">
        <is>
          <t>ÖREBRO LÄN</t>
        </is>
      </c>
      <c r="E283" t="inlineStr">
        <is>
          <t>ÖREBRO</t>
        </is>
      </c>
      <c r="G283" t="n">
        <v>3.7</v>
      </c>
      <c r="H283" t="n">
        <v>0</v>
      </c>
      <c r="I283" t="n">
        <v>0</v>
      </c>
      <c r="J283" t="n">
        <v>0</v>
      </c>
      <c r="K283" t="n">
        <v>0</v>
      </c>
      <c r="L283" t="n">
        <v>0</v>
      </c>
      <c r="M283" t="n">
        <v>0</v>
      </c>
      <c r="N283" t="n">
        <v>0</v>
      </c>
      <c r="O283" t="n">
        <v>0</v>
      </c>
      <c r="P283" t="n">
        <v>0</v>
      </c>
      <c r="Q283" t="n">
        <v>0</v>
      </c>
      <c r="R283" s="2" t="inlineStr"/>
    </row>
    <row r="284" ht="15" customHeight="1">
      <c r="A284" t="inlineStr">
        <is>
          <t>A 15422-2022</t>
        </is>
      </c>
      <c r="B284" s="1" t="n">
        <v>44659.63753472222</v>
      </c>
      <c r="C284" s="1" t="n">
        <v>45967</v>
      </c>
      <c r="D284" t="inlineStr">
        <is>
          <t>ÖREBRO LÄN</t>
        </is>
      </c>
      <c r="E284" t="inlineStr">
        <is>
          <t>ÖREBRO</t>
        </is>
      </c>
      <c r="G284" t="n">
        <v>2</v>
      </c>
      <c r="H284" t="n">
        <v>0</v>
      </c>
      <c r="I284" t="n">
        <v>0</v>
      </c>
      <c r="J284" t="n">
        <v>0</v>
      </c>
      <c r="K284" t="n">
        <v>0</v>
      </c>
      <c r="L284" t="n">
        <v>0</v>
      </c>
      <c r="M284" t="n">
        <v>0</v>
      </c>
      <c r="N284" t="n">
        <v>0</v>
      </c>
      <c r="O284" t="n">
        <v>0</v>
      </c>
      <c r="P284" t="n">
        <v>0</v>
      </c>
      <c r="Q284" t="n">
        <v>0</v>
      </c>
      <c r="R284" s="2" t="inlineStr"/>
    </row>
    <row r="285" ht="15" customHeight="1">
      <c r="A285" t="inlineStr">
        <is>
          <t>A 49029-2024</t>
        </is>
      </c>
      <c r="B285" s="1" t="n">
        <v>45594</v>
      </c>
      <c r="C285" s="1" t="n">
        <v>45967</v>
      </c>
      <c r="D285" t="inlineStr">
        <is>
          <t>ÖREBRO LÄN</t>
        </is>
      </c>
      <c r="E285" t="inlineStr">
        <is>
          <t>ÖREBRO</t>
        </is>
      </c>
      <c r="G285" t="n">
        <v>3.7</v>
      </c>
      <c r="H285" t="n">
        <v>0</v>
      </c>
      <c r="I285" t="n">
        <v>0</v>
      </c>
      <c r="J285" t="n">
        <v>0</v>
      </c>
      <c r="K285" t="n">
        <v>0</v>
      </c>
      <c r="L285" t="n">
        <v>0</v>
      </c>
      <c r="M285" t="n">
        <v>0</v>
      </c>
      <c r="N285" t="n">
        <v>0</v>
      </c>
      <c r="O285" t="n">
        <v>0</v>
      </c>
      <c r="P285" t="n">
        <v>0</v>
      </c>
      <c r="Q285" t="n">
        <v>0</v>
      </c>
      <c r="R285" s="2" t="inlineStr"/>
    </row>
    <row r="286" ht="15" customHeight="1">
      <c r="A286" t="inlineStr">
        <is>
          <t>A 13418-2024</t>
        </is>
      </c>
      <c r="B286" s="1" t="n">
        <v>45387.46482638889</v>
      </c>
      <c r="C286" s="1" t="n">
        <v>45967</v>
      </c>
      <c r="D286" t="inlineStr">
        <is>
          <t>ÖREBRO LÄN</t>
        </is>
      </c>
      <c r="E286" t="inlineStr">
        <is>
          <t>ÖREBRO</t>
        </is>
      </c>
      <c r="G286" t="n">
        <v>4.2</v>
      </c>
      <c r="H286" t="n">
        <v>0</v>
      </c>
      <c r="I286" t="n">
        <v>0</v>
      </c>
      <c r="J286" t="n">
        <v>0</v>
      </c>
      <c r="K286" t="n">
        <v>0</v>
      </c>
      <c r="L286" t="n">
        <v>0</v>
      </c>
      <c r="M286" t="n">
        <v>0</v>
      </c>
      <c r="N286" t="n">
        <v>0</v>
      </c>
      <c r="O286" t="n">
        <v>0</v>
      </c>
      <c r="P286" t="n">
        <v>0</v>
      </c>
      <c r="Q286" t="n">
        <v>0</v>
      </c>
      <c r="R286" s="2" t="inlineStr"/>
    </row>
    <row r="287" ht="15" customHeight="1">
      <c r="A287" t="inlineStr">
        <is>
          <t>A 20115-2024</t>
        </is>
      </c>
      <c r="B287" s="1" t="n">
        <v>45434</v>
      </c>
      <c r="C287" s="1" t="n">
        <v>45967</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46323-2024</t>
        </is>
      </c>
      <c r="B288" s="1" t="n">
        <v>45581.84538194445</v>
      </c>
      <c r="C288" s="1" t="n">
        <v>45967</v>
      </c>
      <c r="D288" t="inlineStr">
        <is>
          <t>ÖREBRO LÄN</t>
        </is>
      </c>
      <c r="E288" t="inlineStr">
        <is>
          <t>ÖREBRO</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55875-2024</t>
        </is>
      </c>
      <c r="B289" s="1" t="n">
        <v>45623.55375</v>
      </c>
      <c r="C289" s="1" t="n">
        <v>45967</v>
      </c>
      <c r="D289" t="inlineStr">
        <is>
          <t>ÖREBRO LÄN</t>
        </is>
      </c>
      <c r="E289" t="inlineStr">
        <is>
          <t>ÖREBRO</t>
        </is>
      </c>
      <c r="G289" t="n">
        <v>3.5</v>
      </c>
      <c r="H289" t="n">
        <v>0</v>
      </c>
      <c r="I289" t="n">
        <v>0</v>
      </c>
      <c r="J289" t="n">
        <v>0</v>
      </c>
      <c r="K289" t="n">
        <v>0</v>
      </c>
      <c r="L289" t="n">
        <v>0</v>
      </c>
      <c r="M289" t="n">
        <v>0</v>
      </c>
      <c r="N289" t="n">
        <v>0</v>
      </c>
      <c r="O289" t="n">
        <v>0</v>
      </c>
      <c r="P289" t="n">
        <v>0</v>
      </c>
      <c r="Q289" t="n">
        <v>0</v>
      </c>
      <c r="R289" s="2" t="inlineStr"/>
    </row>
    <row r="290" ht="15" customHeight="1">
      <c r="A290" t="inlineStr">
        <is>
          <t>A 16300-2022</t>
        </is>
      </c>
      <c r="B290" s="1" t="n">
        <v>44670</v>
      </c>
      <c r="C290" s="1" t="n">
        <v>45967</v>
      </c>
      <c r="D290" t="inlineStr">
        <is>
          <t>ÖREBRO LÄN</t>
        </is>
      </c>
      <c r="E290" t="inlineStr">
        <is>
          <t>ÖREBRO</t>
        </is>
      </c>
      <c r="G290" t="n">
        <v>0.8</v>
      </c>
      <c r="H290" t="n">
        <v>0</v>
      </c>
      <c r="I290" t="n">
        <v>0</v>
      </c>
      <c r="J290" t="n">
        <v>0</v>
      </c>
      <c r="K290" t="n">
        <v>0</v>
      </c>
      <c r="L290" t="n">
        <v>0</v>
      </c>
      <c r="M290" t="n">
        <v>0</v>
      </c>
      <c r="N290" t="n">
        <v>0</v>
      </c>
      <c r="O290" t="n">
        <v>0</v>
      </c>
      <c r="P290" t="n">
        <v>0</v>
      </c>
      <c r="Q290" t="n">
        <v>0</v>
      </c>
      <c r="R290" s="2" t="inlineStr"/>
    </row>
    <row r="291" ht="15" customHeight="1">
      <c r="A291" t="inlineStr">
        <is>
          <t>A 16958-2022</t>
        </is>
      </c>
      <c r="B291" s="1" t="n">
        <v>44676.50481481481</v>
      </c>
      <c r="C291" s="1" t="n">
        <v>45967</v>
      </c>
      <c r="D291" t="inlineStr">
        <is>
          <t>ÖREBRO LÄN</t>
        </is>
      </c>
      <c r="E291" t="inlineStr">
        <is>
          <t>ÖREBRO</t>
        </is>
      </c>
      <c r="G291" t="n">
        <v>3.1</v>
      </c>
      <c r="H291" t="n">
        <v>0</v>
      </c>
      <c r="I291" t="n">
        <v>0</v>
      </c>
      <c r="J291" t="n">
        <v>0</v>
      </c>
      <c r="K291" t="n">
        <v>0</v>
      </c>
      <c r="L291" t="n">
        <v>0</v>
      </c>
      <c r="M291" t="n">
        <v>0</v>
      </c>
      <c r="N291" t="n">
        <v>0</v>
      </c>
      <c r="O291" t="n">
        <v>0</v>
      </c>
      <c r="P291" t="n">
        <v>0</v>
      </c>
      <c r="Q291" t="n">
        <v>0</v>
      </c>
      <c r="R291" s="2" t="inlineStr"/>
    </row>
    <row r="292" ht="15" customHeight="1">
      <c r="A292" t="inlineStr">
        <is>
          <t>A 23710-2022</t>
        </is>
      </c>
      <c r="B292" s="1" t="n">
        <v>44722</v>
      </c>
      <c r="C292" s="1" t="n">
        <v>45967</v>
      </c>
      <c r="D292" t="inlineStr">
        <is>
          <t>ÖREBRO LÄN</t>
        </is>
      </c>
      <c r="E292" t="inlineStr">
        <is>
          <t>ÖREBRO</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55472-2023</t>
        </is>
      </c>
      <c r="B293" s="1" t="n">
        <v>45238</v>
      </c>
      <c r="C293" s="1" t="n">
        <v>45967</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10470-2025</t>
        </is>
      </c>
      <c r="B294" s="1" t="n">
        <v>45720</v>
      </c>
      <c r="C294" s="1" t="n">
        <v>45967</v>
      </c>
      <c r="D294" t="inlineStr">
        <is>
          <t>ÖREBRO LÄN</t>
        </is>
      </c>
      <c r="E294" t="inlineStr">
        <is>
          <t>ÖREBRO</t>
        </is>
      </c>
      <c r="G294" t="n">
        <v>11.5</v>
      </c>
      <c r="H294" t="n">
        <v>0</v>
      </c>
      <c r="I294" t="n">
        <v>0</v>
      </c>
      <c r="J294" t="n">
        <v>0</v>
      </c>
      <c r="K294" t="n">
        <v>0</v>
      </c>
      <c r="L294" t="n">
        <v>0</v>
      </c>
      <c r="M294" t="n">
        <v>0</v>
      </c>
      <c r="N294" t="n">
        <v>0</v>
      </c>
      <c r="O294" t="n">
        <v>0</v>
      </c>
      <c r="P294" t="n">
        <v>0</v>
      </c>
      <c r="Q294" t="n">
        <v>0</v>
      </c>
      <c r="R294" s="2" t="inlineStr"/>
    </row>
    <row r="295" ht="15" customHeight="1">
      <c r="A295" t="inlineStr">
        <is>
          <t>A 46056-2024</t>
        </is>
      </c>
      <c r="B295" s="1" t="n">
        <v>45580.91502314815</v>
      </c>
      <c r="C295" s="1" t="n">
        <v>45967</v>
      </c>
      <c r="D295" t="inlineStr">
        <is>
          <t>ÖREBRO LÄN</t>
        </is>
      </c>
      <c r="E295" t="inlineStr">
        <is>
          <t>ÖREBRO</t>
        </is>
      </c>
      <c r="F295" t="inlineStr">
        <is>
          <t>Övriga Aktiebolag</t>
        </is>
      </c>
      <c r="G295" t="n">
        <v>4.5</v>
      </c>
      <c r="H295" t="n">
        <v>0</v>
      </c>
      <c r="I295" t="n">
        <v>0</v>
      </c>
      <c r="J295" t="n">
        <v>0</v>
      </c>
      <c r="K295" t="n">
        <v>0</v>
      </c>
      <c r="L295" t="n">
        <v>0</v>
      </c>
      <c r="M295" t="n">
        <v>0</v>
      </c>
      <c r="N295" t="n">
        <v>0</v>
      </c>
      <c r="O295" t="n">
        <v>0</v>
      </c>
      <c r="P295" t="n">
        <v>0</v>
      </c>
      <c r="Q295" t="n">
        <v>0</v>
      </c>
      <c r="R295" s="2" t="inlineStr"/>
    </row>
    <row r="296" ht="15" customHeight="1">
      <c r="A296" t="inlineStr">
        <is>
          <t>A 39446-2025</t>
        </is>
      </c>
      <c r="B296" s="1" t="n">
        <v>45889.70388888889</v>
      </c>
      <c r="C296" s="1" t="n">
        <v>45967</v>
      </c>
      <c r="D296" t="inlineStr">
        <is>
          <t>ÖREBRO LÄN</t>
        </is>
      </c>
      <c r="E296" t="inlineStr">
        <is>
          <t>ÖREBRO</t>
        </is>
      </c>
      <c r="F296" t="inlineStr">
        <is>
          <t>Kyrkan</t>
        </is>
      </c>
      <c r="G296" t="n">
        <v>3.2</v>
      </c>
      <c r="H296" t="n">
        <v>0</v>
      </c>
      <c r="I296" t="n">
        <v>0</v>
      </c>
      <c r="J296" t="n">
        <v>0</v>
      </c>
      <c r="K296" t="n">
        <v>0</v>
      </c>
      <c r="L296" t="n">
        <v>0</v>
      </c>
      <c r="M296" t="n">
        <v>0</v>
      </c>
      <c r="N296" t="n">
        <v>0</v>
      </c>
      <c r="O296" t="n">
        <v>0</v>
      </c>
      <c r="P296" t="n">
        <v>0</v>
      </c>
      <c r="Q296" t="n">
        <v>0</v>
      </c>
      <c r="R296" s="2" t="inlineStr"/>
    </row>
    <row r="297" ht="15" customHeight="1">
      <c r="A297" t="inlineStr">
        <is>
          <t>A 13355-2023</t>
        </is>
      </c>
      <c r="B297" s="1" t="n">
        <v>45004</v>
      </c>
      <c r="C297" s="1" t="n">
        <v>45967</v>
      </c>
      <c r="D297" t="inlineStr">
        <is>
          <t>ÖREBRO LÄN</t>
        </is>
      </c>
      <c r="E297" t="inlineStr">
        <is>
          <t>ÖREBRO</t>
        </is>
      </c>
      <c r="G297" t="n">
        <v>2.3</v>
      </c>
      <c r="H297" t="n">
        <v>0</v>
      </c>
      <c r="I297" t="n">
        <v>0</v>
      </c>
      <c r="J297" t="n">
        <v>0</v>
      </c>
      <c r="K297" t="n">
        <v>0</v>
      </c>
      <c r="L297" t="n">
        <v>0</v>
      </c>
      <c r="M297" t="n">
        <v>0</v>
      </c>
      <c r="N297" t="n">
        <v>0</v>
      </c>
      <c r="O297" t="n">
        <v>0</v>
      </c>
      <c r="P297" t="n">
        <v>0</v>
      </c>
      <c r="Q297" t="n">
        <v>0</v>
      </c>
      <c r="R297" s="2" t="inlineStr"/>
    </row>
    <row r="298" ht="15" customHeight="1">
      <c r="A298" t="inlineStr">
        <is>
          <t>A 54925-2023</t>
        </is>
      </c>
      <c r="B298" s="1" t="n">
        <v>45229</v>
      </c>
      <c r="C298" s="1" t="n">
        <v>45967</v>
      </c>
      <c r="D298" t="inlineStr">
        <is>
          <t>ÖREBRO LÄN</t>
        </is>
      </c>
      <c r="E298" t="inlineStr">
        <is>
          <t>ÖREBRO</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8568-2021</t>
        </is>
      </c>
      <c r="B299" s="1" t="n">
        <v>44245</v>
      </c>
      <c r="C299" s="1" t="n">
        <v>45967</v>
      </c>
      <c r="D299" t="inlineStr">
        <is>
          <t>ÖREBRO LÄN</t>
        </is>
      </c>
      <c r="E299" t="inlineStr">
        <is>
          <t>ÖREBRO</t>
        </is>
      </c>
      <c r="G299" t="n">
        <v>4.8</v>
      </c>
      <c r="H299" t="n">
        <v>0</v>
      </c>
      <c r="I299" t="n">
        <v>0</v>
      </c>
      <c r="J299" t="n">
        <v>0</v>
      </c>
      <c r="K299" t="n">
        <v>0</v>
      </c>
      <c r="L299" t="n">
        <v>0</v>
      </c>
      <c r="M299" t="n">
        <v>0</v>
      </c>
      <c r="N299" t="n">
        <v>0</v>
      </c>
      <c r="O299" t="n">
        <v>0</v>
      </c>
      <c r="P299" t="n">
        <v>0</v>
      </c>
      <c r="Q299" t="n">
        <v>0</v>
      </c>
      <c r="R299" s="2" t="inlineStr"/>
    </row>
    <row r="300" ht="15" customHeight="1">
      <c r="A300" t="inlineStr">
        <is>
          <t>A 39479-2025</t>
        </is>
      </c>
      <c r="B300" s="1" t="n">
        <v>45890.34752314815</v>
      </c>
      <c r="C300" s="1" t="n">
        <v>45967</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6522-2023</t>
        </is>
      </c>
      <c r="B301" s="1" t="n">
        <v>44966</v>
      </c>
      <c r="C301" s="1" t="n">
        <v>45967</v>
      </c>
      <c r="D301" t="inlineStr">
        <is>
          <t>ÖREBRO LÄN</t>
        </is>
      </c>
      <c r="E301" t="inlineStr">
        <is>
          <t>ÖREBRO</t>
        </is>
      </c>
      <c r="G301" t="n">
        <v>4.4</v>
      </c>
      <c r="H301" t="n">
        <v>0</v>
      </c>
      <c r="I301" t="n">
        <v>0</v>
      </c>
      <c r="J301" t="n">
        <v>0</v>
      </c>
      <c r="K301" t="n">
        <v>0</v>
      </c>
      <c r="L301" t="n">
        <v>0</v>
      </c>
      <c r="M301" t="n">
        <v>0</v>
      </c>
      <c r="N301" t="n">
        <v>0</v>
      </c>
      <c r="O301" t="n">
        <v>0</v>
      </c>
      <c r="P301" t="n">
        <v>0</v>
      </c>
      <c r="Q301" t="n">
        <v>0</v>
      </c>
      <c r="R301" s="2" t="inlineStr"/>
    </row>
    <row r="302" ht="15" customHeight="1">
      <c r="A302" t="inlineStr">
        <is>
          <t>A 16961-2022</t>
        </is>
      </c>
      <c r="B302" s="1" t="n">
        <v>44676</v>
      </c>
      <c r="C302" s="1" t="n">
        <v>45967</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56040-2024</t>
        </is>
      </c>
      <c r="B303" s="1" t="n">
        <v>45624.3344212963</v>
      </c>
      <c r="C303" s="1" t="n">
        <v>45967</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52444-2024</t>
        </is>
      </c>
      <c r="B304" s="1" t="n">
        <v>45609.48894675926</v>
      </c>
      <c r="C304" s="1" t="n">
        <v>45967</v>
      </c>
      <c r="D304" t="inlineStr">
        <is>
          <t>ÖREBRO LÄN</t>
        </is>
      </c>
      <c r="E304" t="inlineStr">
        <is>
          <t>ÖREBRO</t>
        </is>
      </c>
      <c r="G304" t="n">
        <v>1.7</v>
      </c>
      <c r="H304" t="n">
        <v>0</v>
      </c>
      <c r="I304" t="n">
        <v>0</v>
      </c>
      <c r="J304" t="n">
        <v>0</v>
      </c>
      <c r="K304" t="n">
        <v>0</v>
      </c>
      <c r="L304" t="n">
        <v>0</v>
      </c>
      <c r="M304" t="n">
        <v>0</v>
      </c>
      <c r="N304" t="n">
        <v>0</v>
      </c>
      <c r="O304" t="n">
        <v>0</v>
      </c>
      <c r="P304" t="n">
        <v>0</v>
      </c>
      <c r="Q304" t="n">
        <v>0</v>
      </c>
      <c r="R304" s="2" t="inlineStr"/>
    </row>
    <row r="305" ht="15" customHeight="1">
      <c r="A305" t="inlineStr">
        <is>
          <t>A 15424-2022</t>
        </is>
      </c>
      <c r="B305" s="1" t="n">
        <v>44659</v>
      </c>
      <c r="C305" s="1" t="n">
        <v>45967</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60128-2023</t>
        </is>
      </c>
      <c r="B306" s="1" t="n">
        <v>45258</v>
      </c>
      <c r="C306" s="1" t="n">
        <v>45967</v>
      </c>
      <c r="D306" t="inlineStr">
        <is>
          <t>ÖREBRO LÄN</t>
        </is>
      </c>
      <c r="E306" t="inlineStr">
        <is>
          <t>ÖREBRO</t>
        </is>
      </c>
      <c r="G306" t="n">
        <v>0.6</v>
      </c>
      <c r="H306" t="n">
        <v>0</v>
      </c>
      <c r="I306" t="n">
        <v>0</v>
      </c>
      <c r="J306" t="n">
        <v>0</v>
      </c>
      <c r="K306" t="n">
        <v>0</v>
      </c>
      <c r="L306" t="n">
        <v>0</v>
      </c>
      <c r="M306" t="n">
        <v>0</v>
      </c>
      <c r="N306" t="n">
        <v>0</v>
      </c>
      <c r="O306" t="n">
        <v>0</v>
      </c>
      <c r="P306" t="n">
        <v>0</v>
      </c>
      <c r="Q306" t="n">
        <v>0</v>
      </c>
      <c r="R306" s="2" t="inlineStr"/>
    </row>
    <row r="307" ht="15" customHeight="1">
      <c r="A307" t="inlineStr">
        <is>
          <t>A 16140-2023</t>
        </is>
      </c>
      <c r="B307" s="1" t="n">
        <v>45027.6433912037</v>
      </c>
      <c r="C307" s="1" t="n">
        <v>45967</v>
      </c>
      <c r="D307" t="inlineStr">
        <is>
          <t>ÖREBRO LÄN</t>
        </is>
      </c>
      <c r="E307" t="inlineStr">
        <is>
          <t>ÖREBRO</t>
        </is>
      </c>
      <c r="G307" t="n">
        <v>2</v>
      </c>
      <c r="H307" t="n">
        <v>0</v>
      </c>
      <c r="I307" t="n">
        <v>0</v>
      </c>
      <c r="J307" t="n">
        <v>0</v>
      </c>
      <c r="K307" t="n">
        <v>0</v>
      </c>
      <c r="L307" t="n">
        <v>0</v>
      </c>
      <c r="M307" t="n">
        <v>0</v>
      </c>
      <c r="N307" t="n">
        <v>0</v>
      </c>
      <c r="O307" t="n">
        <v>0</v>
      </c>
      <c r="P307" t="n">
        <v>0</v>
      </c>
      <c r="Q307" t="n">
        <v>0</v>
      </c>
      <c r="R307" s="2" t="inlineStr"/>
    </row>
    <row r="308" ht="15" customHeight="1">
      <c r="A308" t="inlineStr">
        <is>
          <t>A 13700-2024</t>
        </is>
      </c>
      <c r="B308" s="1" t="n">
        <v>45390.59277777778</v>
      </c>
      <c r="C308" s="1" t="n">
        <v>45967</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48644-2024</t>
        </is>
      </c>
      <c r="B309" s="1" t="n">
        <v>45593.47466435185</v>
      </c>
      <c r="C309" s="1" t="n">
        <v>45967</v>
      </c>
      <c r="D309" t="inlineStr">
        <is>
          <t>ÖREBRO LÄN</t>
        </is>
      </c>
      <c r="E309" t="inlineStr">
        <is>
          <t>ÖREBRO</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21097-2025</t>
        </is>
      </c>
      <c r="B310" s="1" t="n">
        <v>45777.63863425926</v>
      </c>
      <c r="C310" s="1" t="n">
        <v>45967</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6752-2022</t>
        </is>
      </c>
      <c r="B311" s="1" t="n">
        <v>44602.48082175926</v>
      </c>
      <c r="C311" s="1" t="n">
        <v>45967</v>
      </c>
      <c r="D311" t="inlineStr">
        <is>
          <t>ÖREBRO LÄN</t>
        </is>
      </c>
      <c r="E311" t="inlineStr">
        <is>
          <t>ÖREBRO</t>
        </is>
      </c>
      <c r="G311" t="n">
        <v>3.1</v>
      </c>
      <c r="H311" t="n">
        <v>0</v>
      </c>
      <c r="I311" t="n">
        <v>0</v>
      </c>
      <c r="J311" t="n">
        <v>0</v>
      </c>
      <c r="K311" t="n">
        <v>0</v>
      </c>
      <c r="L311" t="n">
        <v>0</v>
      </c>
      <c r="M311" t="n">
        <v>0</v>
      </c>
      <c r="N311" t="n">
        <v>0</v>
      </c>
      <c r="O311" t="n">
        <v>0</v>
      </c>
      <c r="P311" t="n">
        <v>0</v>
      </c>
      <c r="Q311" t="n">
        <v>0</v>
      </c>
      <c r="R311" s="2" t="inlineStr"/>
    </row>
    <row r="312" ht="15" customHeight="1">
      <c r="A312" t="inlineStr">
        <is>
          <t>A 3659-2025</t>
        </is>
      </c>
      <c r="B312" s="1" t="n">
        <v>45681</v>
      </c>
      <c r="C312" s="1" t="n">
        <v>45967</v>
      </c>
      <c r="D312" t="inlineStr">
        <is>
          <t>ÖREBRO LÄN</t>
        </is>
      </c>
      <c r="E312" t="inlineStr">
        <is>
          <t>ÖREBRO</t>
        </is>
      </c>
      <c r="G312" t="n">
        <v>15.8</v>
      </c>
      <c r="H312" t="n">
        <v>0</v>
      </c>
      <c r="I312" t="n">
        <v>0</v>
      </c>
      <c r="J312" t="n">
        <v>0</v>
      </c>
      <c r="K312" t="n">
        <v>0</v>
      </c>
      <c r="L312" t="n">
        <v>0</v>
      </c>
      <c r="M312" t="n">
        <v>0</v>
      </c>
      <c r="N312" t="n">
        <v>0</v>
      </c>
      <c r="O312" t="n">
        <v>0</v>
      </c>
      <c r="P312" t="n">
        <v>0</v>
      </c>
      <c r="Q312" t="n">
        <v>0</v>
      </c>
      <c r="R312" s="2" t="inlineStr"/>
    </row>
    <row r="313" ht="15" customHeight="1">
      <c r="A313" t="inlineStr">
        <is>
          <t>A 1014-2024</t>
        </is>
      </c>
      <c r="B313" s="1" t="n">
        <v>45301</v>
      </c>
      <c r="C313" s="1" t="n">
        <v>45967</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34056-2023</t>
        </is>
      </c>
      <c r="B314" s="1" t="n">
        <v>45135</v>
      </c>
      <c r="C314" s="1" t="n">
        <v>45967</v>
      </c>
      <c r="D314" t="inlineStr">
        <is>
          <t>ÖREBRO LÄN</t>
        </is>
      </c>
      <c r="E314" t="inlineStr">
        <is>
          <t>ÖREBRO</t>
        </is>
      </c>
      <c r="F314" t="inlineStr">
        <is>
          <t>Övriga Aktiebolag</t>
        </is>
      </c>
      <c r="G314" t="n">
        <v>4.1</v>
      </c>
      <c r="H314" t="n">
        <v>0</v>
      </c>
      <c r="I314" t="n">
        <v>0</v>
      </c>
      <c r="J314" t="n">
        <v>0</v>
      </c>
      <c r="K314" t="n">
        <v>0</v>
      </c>
      <c r="L314" t="n">
        <v>0</v>
      </c>
      <c r="M314" t="n">
        <v>0</v>
      </c>
      <c r="N314" t="n">
        <v>0</v>
      </c>
      <c r="O314" t="n">
        <v>0</v>
      </c>
      <c r="P314" t="n">
        <v>0</v>
      </c>
      <c r="Q314" t="n">
        <v>0</v>
      </c>
      <c r="R314" s="2" t="inlineStr"/>
    </row>
    <row r="315" ht="15" customHeight="1">
      <c r="A315" t="inlineStr">
        <is>
          <t>A 33457-2023</t>
        </is>
      </c>
      <c r="B315" s="1" t="n">
        <v>45131</v>
      </c>
      <c r="C315" s="1" t="n">
        <v>45967</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45237-2023</t>
        </is>
      </c>
      <c r="B316" s="1" t="n">
        <v>45191</v>
      </c>
      <c r="C316" s="1" t="n">
        <v>45967</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5946-2021</t>
        </is>
      </c>
      <c r="B317" s="1" t="n">
        <v>44230</v>
      </c>
      <c r="C317" s="1" t="n">
        <v>45967</v>
      </c>
      <c r="D317" t="inlineStr">
        <is>
          <t>ÖREBRO LÄN</t>
        </is>
      </c>
      <c r="E317" t="inlineStr">
        <is>
          <t>ÖREBRO</t>
        </is>
      </c>
      <c r="G317" t="n">
        <v>1.3</v>
      </c>
      <c r="H317" t="n">
        <v>0</v>
      </c>
      <c r="I317" t="n">
        <v>0</v>
      </c>
      <c r="J317" t="n">
        <v>0</v>
      </c>
      <c r="K317" t="n">
        <v>0</v>
      </c>
      <c r="L317" t="n">
        <v>0</v>
      </c>
      <c r="M317" t="n">
        <v>0</v>
      </c>
      <c r="N317" t="n">
        <v>0</v>
      </c>
      <c r="O317" t="n">
        <v>0</v>
      </c>
      <c r="P317" t="n">
        <v>0</v>
      </c>
      <c r="Q317" t="n">
        <v>0</v>
      </c>
      <c r="R317" s="2" t="inlineStr"/>
    </row>
    <row r="318" ht="15" customHeight="1">
      <c r="A318" t="inlineStr">
        <is>
          <t>A 51180-2023</t>
        </is>
      </c>
      <c r="B318" s="1" t="n">
        <v>45219</v>
      </c>
      <c r="C318" s="1" t="n">
        <v>45967</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60028-2024</t>
        </is>
      </c>
      <c r="B319" s="1" t="n">
        <v>45642</v>
      </c>
      <c r="C319" s="1" t="n">
        <v>45967</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33294-2023</t>
        </is>
      </c>
      <c r="B320" s="1" t="n">
        <v>45127</v>
      </c>
      <c r="C320" s="1" t="n">
        <v>45967</v>
      </c>
      <c r="D320" t="inlineStr">
        <is>
          <t>ÖREBRO LÄN</t>
        </is>
      </c>
      <c r="E320" t="inlineStr">
        <is>
          <t>ÖREBRO</t>
        </is>
      </c>
      <c r="F320" t="inlineStr">
        <is>
          <t>Övriga Aktiebolag</t>
        </is>
      </c>
      <c r="G320" t="n">
        <v>6.7</v>
      </c>
      <c r="H320" t="n">
        <v>0</v>
      </c>
      <c r="I320" t="n">
        <v>0</v>
      </c>
      <c r="J320" t="n">
        <v>0</v>
      </c>
      <c r="K320" t="n">
        <v>0</v>
      </c>
      <c r="L320" t="n">
        <v>0</v>
      </c>
      <c r="M320" t="n">
        <v>0</v>
      </c>
      <c r="N320" t="n">
        <v>0</v>
      </c>
      <c r="O320" t="n">
        <v>0</v>
      </c>
      <c r="P320" t="n">
        <v>0</v>
      </c>
      <c r="Q320" t="n">
        <v>0</v>
      </c>
      <c r="R320" s="2" t="inlineStr"/>
    </row>
    <row r="321" ht="15" customHeight="1">
      <c r="A321" t="inlineStr">
        <is>
          <t>A 8374-2021</t>
        </is>
      </c>
      <c r="B321" s="1" t="n">
        <v>44244</v>
      </c>
      <c r="C321" s="1" t="n">
        <v>45967</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48454-2025</t>
        </is>
      </c>
      <c r="B322" s="1" t="n">
        <v>45935.80164351852</v>
      </c>
      <c r="C322" s="1" t="n">
        <v>45967</v>
      </c>
      <c r="D322" t="inlineStr">
        <is>
          <t>ÖREBRO LÄN</t>
        </is>
      </c>
      <c r="E322" t="inlineStr">
        <is>
          <t>ÖREBRO</t>
        </is>
      </c>
      <c r="F322" t="inlineStr">
        <is>
          <t>Övriga Aktiebolag</t>
        </is>
      </c>
      <c r="G322" t="n">
        <v>18.1</v>
      </c>
      <c r="H322" t="n">
        <v>0</v>
      </c>
      <c r="I322" t="n">
        <v>0</v>
      </c>
      <c r="J322" t="n">
        <v>0</v>
      </c>
      <c r="K322" t="n">
        <v>0</v>
      </c>
      <c r="L322" t="n">
        <v>0</v>
      </c>
      <c r="M322" t="n">
        <v>0</v>
      </c>
      <c r="N322" t="n">
        <v>0</v>
      </c>
      <c r="O322" t="n">
        <v>0</v>
      </c>
      <c r="P322" t="n">
        <v>0</v>
      </c>
      <c r="Q322" t="n">
        <v>0</v>
      </c>
      <c r="R322" s="2" t="inlineStr"/>
    </row>
    <row r="323" ht="15" customHeight="1">
      <c r="A323" t="inlineStr">
        <is>
          <t>A 13857-2022</t>
        </is>
      </c>
      <c r="B323" s="1" t="n">
        <v>44649</v>
      </c>
      <c r="C323" s="1" t="n">
        <v>45967</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61078-2024</t>
        </is>
      </c>
      <c r="B324" s="1" t="n">
        <v>45645.51034722223</v>
      </c>
      <c r="C324" s="1" t="n">
        <v>45967</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767-2024</t>
        </is>
      </c>
      <c r="B325" s="1" t="n">
        <v>45300.51892361111</v>
      </c>
      <c r="C325" s="1" t="n">
        <v>45967</v>
      </c>
      <c r="D325" t="inlineStr">
        <is>
          <t>ÖREBRO LÄN</t>
        </is>
      </c>
      <c r="E325" t="inlineStr">
        <is>
          <t>ÖREBRO</t>
        </is>
      </c>
      <c r="G325" t="n">
        <v>2</v>
      </c>
      <c r="H325" t="n">
        <v>0</v>
      </c>
      <c r="I325" t="n">
        <v>0</v>
      </c>
      <c r="J325" t="n">
        <v>0</v>
      </c>
      <c r="K325" t="n">
        <v>0</v>
      </c>
      <c r="L325" t="n">
        <v>0</v>
      </c>
      <c r="M325" t="n">
        <v>0</v>
      </c>
      <c r="N325" t="n">
        <v>0</v>
      </c>
      <c r="O325" t="n">
        <v>0</v>
      </c>
      <c r="P325" t="n">
        <v>0</v>
      </c>
      <c r="Q325" t="n">
        <v>0</v>
      </c>
      <c r="R325" s="2" t="inlineStr"/>
    </row>
    <row r="326" ht="15" customHeight="1">
      <c r="A326" t="inlineStr">
        <is>
          <t>A 44511-2023</t>
        </is>
      </c>
      <c r="B326" s="1" t="n">
        <v>45189</v>
      </c>
      <c r="C326" s="1" t="n">
        <v>45967</v>
      </c>
      <c r="D326" t="inlineStr">
        <is>
          <t>ÖREBRO LÄN</t>
        </is>
      </c>
      <c r="E326" t="inlineStr">
        <is>
          <t>ÖREBRO</t>
        </is>
      </c>
      <c r="F326" t="inlineStr">
        <is>
          <t>Allmännings- och besparingsskogar</t>
        </is>
      </c>
      <c r="G326" t="n">
        <v>2.7</v>
      </c>
      <c r="H326" t="n">
        <v>0</v>
      </c>
      <c r="I326" t="n">
        <v>0</v>
      </c>
      <c r="J326" t="n">
        <v>0</v>
      </c>
      <c r="K326" t="n">
        <v>0</v>
      </c>
      <c r="L326" t="n">
        <v>0</v>
      </c>
      <c r="M326" t="n">
        <v>0</v>
      </c>
      <c r="N326" t="n">
        <v>0</v>
      </c>
      <c r="O326" t="n">
        <v>0</v>
      </c>
      <c r="P326" t="n">
        <v>0</v>
      </c>
      <c r="Q326" t="n">
        <v>0</v>
      </c>
      <c r="R326" s="2" t="inlineStr"/>
    </row>
    <row r="327" ht="15" customHeight="1">
      <c r="A327" t="inlineStr">
        <is>
          <t>A 53234-2023</t>
        </is>
      </c>
      <c r="B327" s="1" t="n">
        <v>45229</v>
      </c>
      <c r="C327" s="1" t="n">
        <v>45967</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12871-2021</t>
        </is>
      </c>
      <c r="B328" s="1" t="n">
        <v>44271.42121527778</v>
      </c>
      <c r="C328" s="1" t="n">
        <v>45967</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8512-2025</t>
        </is>
      </c>
      <c r="B329" s="1" t="n">
        <v>45709.54873842592</v>
      </c>
      <c r="C329" s="1" t="n">
        <v>45967</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13158-2024</t>
        </is>
      </c>
      <c r="B330" s="1" t="n">
        <v>45386.38728009259</v>
      </c>
      <c r="C330" s="1" t="n">
        <v>45967</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13181-2023</t>
        </is>
      </c>
      <c r="B331" s="1" t="n">
        <v>45002.60659722222</v>
      </c>
      <c r="C331" s="1" t="n">
        <v>45967</v>
      </c>
      <c r="D331" t="inlineStr">
        <is>
          <t>ÖREBRO LÄN</t>
        </is>
      </c>
      <c r="E331" t="inlineStr">
        <is>
          <t>ÖREBRO</t>
        </is>
      </c>
      <c r="G331" t="n">
        <v>1.2</v>
      </c>
      <c r="H331" t="n">
        <v>0</v>
      </c>
      <c r="I331" t="n">
        <v>0</v>
      </c>
      <c r="J331" t="n">
        <v>0</v>
      </c>
      <c r="K331" t="n">
        <v>0</v>
      </c>
      <c r="L331" t="n">
        <v>0</v>
      </c>
      <c r="M331" t="n">
        <v>0</v>
      </c>
      <c r="N331" t="n">
        <v>0</v>
      </c>
      <c r="O331" t="n">
        <v>0</v>
      </c>
      <c r="P331" t="n">
        <v>0</v>
      </c>
      <c r="Q331" t="n">
        <v>0</v>
      </c>
      <c r="R331" s="2" t="inlineStr"/>
    </row>
    <row r="332" ht="15" customHeight="1">
      <c r="A332" t="inlineStr">
        <is>
          <t>A 25996-2024</t>
        </is>
      </c>
      <c r="B332" s="1" t="n">
        <v>45467.89081018518</v>
      </c>
      <c r="C332" s="1" t="n">
        <v>45967</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16676-2025</t>
        </is>
      </c>
      <c r="B333" s="1" t="n">
        <v>45754.44658564815</v>
      </c>
      <c r="C333" s="1" t="n">
        <v>45967</v>
      </c>
      <c r="D333" t="inlineStr">
        <is>
          <t>ÖREBRO LÄN</t>
        </is>
      </c>
      <c r="E333" t="inlineStr">
        <is>
          <t>ÖREBRO</t>
        </is>
      </c>
      <c r="G333" t="n">
        <v>5.8</v>
      </c>
      <c r="H333" t="n">
        <v>0</v>
      </c>
      <c r="I333" t="n">
        <v>0</v>
      </c>
      <c r="J333" t="n">
        <v>0</v>
      </c>
      <c r="K333" t="n">
        <v>0</v>
      </c>
      <c r="L333" t="n">
        <v>0</v>
      </c>
      <c r="M333" t="n">
        <v>0</v>
      </c>
      <c r="N333" t="n">
        <v>0</v>
      </c>
      <c r="O333" t="n">
        <v>0</v>
      </c>
      <c r="P333" t="n">
        <v>0</v>
      </c>
      <c r="Q333" t="n">
        <v>0</v>
      </c>
      <c r="R333" s="2" t="inlineStr"/>
    </row>
    <row r="334" ht="15" customHeight="1">
      <c r="A334" t="inlineStr">
        <is>
          <t>A 23741-2022</t>
        </is>
      </c>
      <c r="B334" s="1" t="n">
        <v>44722</v>
      </c>
      <c r="C334" s="1" t="n">
        <v>45967</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8274-2025</t>
        </is>
      </c>
      <c r="B335" s="1" t="n">
        <v>45708</v>
      </c>
      <c r="C335" s="1" t="n">
        <v>45967</v>
      </c>
      <c r="D335" t="inlineStr">
        <is>
          <t>ÖREBRO LÄN</t>
        </is>
      </c>
      <c r="E335" t="inlineStr">
        <is>
          <t>ÖREBRO</t>
        </is>
      </c>
      <c r="G335" t="n">
        <v>5.8</v>
      </c>
      <c r="H335" t="n">
        <v>0</v>
      </c>
      <c r="I335" t="n">
        <v>0</v>
      </c>
      <c r="J335" t="n">
        <v>0</v>
      </c>
      <c r="K335" t="n">
        <v>0</v>
      </c>
      <c r="L335" t="n">
        <v>0</v>
      </c>
      <c r="M335" t="n">
        <v>0</v>
      </c>
      <c r="N335" t="n">
        <v>0</v>
      </c>
      <c r="O335" t="n">
        <v>0</v>
      </c>
      <c r="P335" t="n">
        <v>0</v>
      </c>
      <c r="Q335" t="n">
        <v>0</v>
      </c>
      <c r="R335" s="2" t="inlineStr"/>
    </row>
    <row r="336" ht="15" customHeight="1">
      <c r="A336" t="inlineStr">
        <is>
          <t>A 58620-2024</t>
        </is>
      </c>
      <c r="B336" s="1" t="n">
        <v>45635.56246527778</v>
      </c>
      <c r="C336" s="1" t="n">
        <v>45967</v>
      </c>
      <c r="D336" t="inlineStr">
        <is>
          <t>ÖREBRO LÄN</t>
        </is>
      </c>
      <c r="E336" t="inlineStr">
        <is>
          <t>ÖREBRO</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28054-2022</t>
        </is>
      </c>
      <c r="B337" s="1" t="n">
        <v>44746.41938657407</v>
      </c>
      <c r="C337" s="1" t="n">
        <v>45967</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1647-2024</t>
        </is>
      </c>
      <c r="B338" s="1" t="n">
        <v>45306</v>
      </c>
      <c r="C338" s="1" t="n">
        <v>45967</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57485-2023</t>
        </is>
      </c>
      <c r="B339" s="1" t="n">
        <v>45246</v>
      </c>
      <c r="C339" s="1" t="n">
        <v>45967</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40330-2025</t>
        </is>
      </c>
      <c r="B340" s="1" t="n">
        <v>45895.4531712963</v>
      </c>
      <c r="C340" s="1" t="n">
        <v>45967</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58032-2023</t>
        </is>
      </c>
      <c r="B341" s="1" t="n">
        <v>45247</v>
      </c>
      <c r="C341" s="1" t="n">
        <v>45967</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58035-2023</t>
        </is>
      </c>
      <c r="B342" s="1" t="n">
        <v>45247</v>
      </c>
      <c r="C342" s="1" t="n">
        <v>45967</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7141-2025</t>
        </is>
      </c>
      <c r="B343" s="1" t="n">
        <v>45702</v>
      </c>
      <c r="C343" s="1" t="n">
        <v>45967</v>
      </c>
      <c r="D343" t="inlineStr">
        <is>
          <t>ÖREBRO LÄN</t>
        </is>
      </c>
      <c r="E343" t="inlineStr">
        <is>
          <t>ÖREBRO</t>
        </is>
      </c>
      <c r="G343" t="n">
        <v>2.9</v>
      </c>
      <c r="H343" t="n">
        <v>0</v>
      </c>
      <c r="I343" t="n">
        <v>0</v>
      </c>
      <c r="J343" t="n">
        <v>0</v>
      </c>
      <c r="K343" t="n">
        <v>0</v>
      </c>
      <c r="L343" t="n">
        <v>0</v>
      </c>
      <c r="M343" t="n">
        <v>0</v>
      </c>
      <c r="N343" t="n">
        <v>0</v>
      </c>
      <c r="O343" t="n">
        <v>0</v>
      </c>
      <c r="P343" t="n">
        <v>0</v>
      </c>
      <c r="Q343" t="n">
        <v>0</v>
      </c>
      <c r="R343" s="2" t="inlineStr"/>
    </row>
    <row r="344" ht="15" customHeight="1">
      <c r="A344" t="inlineStr">
        <is>
          <t>A 59024-2024</t>
        </is>
      </c>
      <c r="B344" s="1" t="n">
        <v>45636.68505787037</v>
      </c>
      <c r="C344" s="1" t="n">
        <v>45967</v>
      </c>
      <c r="D344" t="inlineStr">
        <is>
          <t>ÖREBRO LÄN</t>
        </is>
      </c>
      <c r="E344" t="inlineStr">
        <is>
          <t>ÖREBRO</t>
        </is>
      </c>
      <c r="G344" t="n">
        <v>1.3</v>
      </c>
      <c r="H344" t="n">
        <v>0</v>
      </c>
      <c r="I344" t="n">
        <v>0</v>
      </c>
      <c r="J344" t="n">
        <v>0</v>
      </c>
      <c r="K344" t="n">
        <v>0</v>
      </c>
      <c r="L344" t="n">
        <v>0</v>
      </c>
      <c r="M344" t="n">
        <v>0</v>
      </c>
      <c r="N344" t="n">
        <v>0</v>
      </c>
      <c r="O344" t="n">
        <v>0</v>
      </c>
      <c r="P344" t="n">
        <v>0</v>
      </c>
      <c r="Q344" t="n">
        <v>0</v>
      </c>
      <c r="R344" s="2" t="inlineStr"/>
    </row>
    <row r="345" ht="15" customHeight="1">
      <c r="A345" t="inlineStr">
        <is>
          <t>A 40332-2025</t>
        </is>
      </c>
      <c r="B345" s="1" t="n">
        <v>45895.46060185185</v>
      </c>
      <c r="C345" s="1" t="n">
        <v>45967</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35829-2024</t>
        </is>
      </c>
      <c r="B346" s="1" t="n">
        <v>45532</v>
      </c>
      <c r="C346" s="1" t="n">
        <v>45967</v>
      </c>
      <c r="D346" t="inlineStr">
        <is>
          <t>ÖREBRO LÄN</t>
        </is>
      </c>
      <c r="E346" t="inlineStr">
        <is>
          <t>ÖREBRO</t>
        </is>
      </c>
      <c r="G346" t="n">
        <v>4.6</v>
      </c>
      <c r="H346" t="n">
        <v>0</v>
      </c>
      <c r="I346" t="n">
        <v>0</v>
      </c>
      <c r="J346" t="n">
        <v>0</v>
      </c>
      <c r="K346" t="n">
        <v>0</v>
      </c>
      <c r="L346" t="n">
        <v>0</v>
      </c>
      <c r="M346" t="n">
        <v>0</v>
      </c>
      <c r="N346" t="n">
        <v>0</v>
      </c>
      <c r="O346" t="n">
        <v>0</v>
      </c>
      <c r="P346" t="n">
        <v>0</v>
      </c>
      <c r="Q346" t="n">
        <v>0</v>
      </c>
      <c r="R346" s="2" t="inlineStr"/>
    </row>
    <row r="347" ht="15" customHeight="1">
      <c r="A347" t="inlineStr">
        <is>
          <t>A 35833-2024</t>
        </is>
      </c>
      <c r="B347" s="1" t="n">
        <v>45532.68699074074</v>
      </c>
      <c r="C347" s="1" t="n">
        <v>45967</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13657-2025</t>
        </is>
      </c>
      <c r="B348" s="1" t="n">
        <v>45736.7427662037</v>
      </c>
      <c r="C348" s="1" t="n">
        <v>45967</v>
      </c>
      <c r="D348" t="inlineStr">
        <is>
          <t>ÖREBRO LÄN</t>
        </is>
      </c>
      <c r="E348" t="inlineStr">
        <is>
          <t>ÖREBRO</t>
        </is>
      </c>
      <c r="G348" t="n">
        <v>3.8</v>
      </c>
      <c r="H348" t="n">
        <v>0</v>
      </c>
      <c r="I348" t="n">
        <v>0</v>
      </c>
      <c r="J348" t="n">
        <v>0</v>
      </c>
      <c r="K348" t="n">
        <v>0</v>
      </c>
      <c r="L348" t="n">
        <v>0</v>
      </c>
      <c r="M348" t="n">
        <v>0</v>
      </c>
      <c r="N348" t="n">
        <v>0</v>
      </c>
      <c r="O348" t="n">
        <v>0</v>
      </c>
      <c r="P348" t="n">
        <v>0</v>
      </c>
      <c r="Q348" t="n">
        <v>0</v>
      </c>
      <c r="R348" s="2" t="inlineStr"/>
    </row>
    <row r="349" ht="15" customHeight="1">
      <c r="A349" t="inlineStr">
        <is>
          <t>A 57867-2024</t>
        </is>
      </c>
      <c r="B349" s="1" t="n">
        <v>45631.43864583333</v>
      </c>
      <c r="C349" s="1" t="n">
        <v>45967</v>
      </c>
      <c r="D349" t="inlineStr">
        <is>
          <t>ÖREBRO LÄN</t>
        </is>
      </c>
      <c r="E349" t="inlineStr">
        <is>
          <t>ÖREBRO</t>
        </is>
      </c>
      <c r="G349" t="n">
        <v>1.5</v>
      </c>
      <c r="H349" t="n">
        <v>0</v>
      </c>
      <c r="I349" t="n">
        <v>0</v>
      </c>
      <c r="J349" t="n">
        <v>0</v>
      </c>
      <c r="K349" t="n">
        <v>0</v>
      </c>
      <c r="L349" t="n">
        <v>0</v>
      </c>
      <c r="M349" t="n">
        <v>0</v>
      </c>
      <c r="N349" t="n">
        <v>0</v>
      </c>
      <c r="O349" t="n">
        <v>0</v>
      </c>
      <c r="P349" t="n">
        <v>0</v>
      </c>
      <c r="Q349" t="n">
        <v>0</v>
      </c>
      <c r="R349" s="2" t="inlineStr"/>
    </row>
    <row r="350" ht="15" customHeight="1">
      <c r="A350" t="inlineStr">
        <is>
          <t>A 29138-2022</t>
        </is>
      </c>
      <c r="B350" s="1" t="n">
        <v>44750</v>
      </c>
      <c r="C350" s="1" t="n">
        <v>45967</v>
      </c>
      <c r="D350" t="inlineStr">
        <is>
          <t>ÖREBRO LÄN</t>
        </is>
      </c>
      <c r="E350" t="inlineStr">
        <is>
          <t>ÖREBRO</t>
        </is>
      </c>
      <c r="G350" t="n">
        <v>3.3</v>
      </c>
      <c r="H350" t="n">
        <v>0</v>
      </c>
      <c r="I350" t="n">
        <v>0</v>
      </c>
      <c r="J350" t="n">
        <v>0</v>
      </c>
      <c r="K350" t="n">
        <v>0</v>
      </c>
      <c r="L350" t="n">
        <v>0</v>
      </c>
      <c r="M350" t="n">
        <v>0</v>
      </c>
      <c r="N350" t="n">
        <v>0</v>
      </c>
      <c r="O350" t="n">
        <v>0</v>
      </c>
      <c r="P350" t="n">
        <v>0</v>
      </c>
      <c r="Q350" t="n">
        <v>0</v>
      </c>
      <c r="R350" s="2" t="inlineStr"/>
    </row>
    <row r="351" ht="15" customHeight="1">
      <c r="A351" t="inlineStr">
        <is>
          <t>A 29143-2022</t>
        </is>
      </c>
      <c r="B351" s="1" t="n">
        <v>44750</v>
      </c>
      <c r="C351" s="1" t="n">
        <v>45967</v>
      </c>
      <c r="D351" t="inlineStr">
        <is>
          <t>ÖREBRO LÄN</t>
        </is>
      </c>
      <c r="E351" t="inlineStr">
        <is>
          <t>ÖREBRO</t>
        </is>
      </c>
      <c r="G351" t="n">
        <v>5.6</v>
      </c>
      <c r="H351" t="n">
        <v>0</v>
      </c>
      <c r="I351" t="n">
        <v>0</v>
      </c>
      <c r="J351" t="n">
        <v>0</v>
      </c>
      <c r="K351" t="n">
        <v>0</v>
      </c>
      <c r="L351" t="n">
        <v>0</v>
      </c>
      <c r="M351" t="n">
        <v>0</v>
      </c>
      <c r="N351" t="n">
        <v>0</v>
      </c>
      <c r="O351" t="n">
        <v>0</v>
      </c>
      <c r="P351" t="n">
        <v>0</v>
      </c>
      <c r="Q351" t="n">
        <v>0</v>
      </c>
      <c r="R351" s="2" t="inlineStr"/>
    </row>
    <row r="352" ht="15" customHeight="1">
      <c r="A352" t="inlineStr">
        <is>
          <t>A 21983-2021</t>
        </is>
      </c>
      <c r="B352" s="1" t="n">
        <v>44323</v>
      </c>
      <c r="C352" s="1" t="n">
        <v>45967</v>
      </c>
      <c r="D352" t="inlineStr">
        <is>
          <t>ÖREBRO LÄN</t>
        </is>
      </c>
      <c r="E352" t="inlineStr">
        <is>
          <t>ÖREBRO</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3120-2022</t>
        </is>
      </c>
      <c r="B353" s="1" t="n">
        <v>44582</v>
      </c>
      <c r="C353" s="1" t="n">
        <v>45967</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14717-2024</t>
        </is>
      </c>
      <c r="B354" s="1" t="n">
        <v>45397.55104166667</v>
      </c>
      <c r="C354" s="1" t="n">
        <v>45967</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58606-2024</t>
        </is>
      </c>
      <c r="B355" s="1" t="n">
        <v>45635.54747685185</v>
      </c>
      <c r="C355" s="1" t="n">
        <v>45967</v>
      </c>
      <c r="D355" t="inlineStr">
        <is>
          <t>ÖREBRO LÄN</t>
        </is>
      </c>
      <c r="E355" t="inlineStr">
        <is>
          <t>ÖREBRO</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26101-2022</t>
        </is>
      </c>
      <c r="B356" s="1" t="n">
        <v>44734</v>
      </c>
      <c r="C356" s="1" t="n">
        <v>45967</v>
      </c>
      <c r="D356" t="inlineStr">
        <is>
          <t>ÖREBRO LÄN</t>
        </is>
      </c>
      <c r="E356" t="inlineStr">
        <is>
          <t>ÖREBRO</t>
        </is>
      </c>
      <c r="G356" t="n">
        <v>15.8</v>
      </c>
      <c r="H356" t="n">
        <v>0</v>
      </c>
      <c r="I356" t="n">
        <v>0</v>
      </c>
      <c r="J356" t="n">
        <v>0</v>
      </c>
      <c r="K356" t="n">
        <v>0</v>
      </c>
      <c r="L356" t="n">
        <v>0</v>
      </c>
      <c r="M356" t="n">
        <v>0</v>
      </c>
      <c r="N356" t="n">
        <v>0</v>
      </c>
      <c r="O356" t="n">
        <v>0</v>
      </c>
      <c r="P356" t="n">
        <v>0</v>
      </c>
      <c r="Q356" t="n">
        <v>0</v>
      </c>
      <c r="R356" s="2" t="inlineStr"/>
    </row>
    <row r="357" ht="15" customHeight="1">
      <c r="A357" t="inlineStr">
        <is>
          <t>A 58486-2024</t>
        </is>
      </c>
      <c r="B357" s="1" t="n">
        <v>45635</v>
      </c>
      <c r="C357" s="1" t="n">
        <v>45967</v>
      </c>
      <c r="D357" t="inlineStr">
        <is>
          <t>ÖREBRO LÄN</t>
        </is>
      </c>
      <c r="E357" t="inlineStr">
        <is>
          <t>ÖREBRO</t>
        </is>
      </c>
      <c r="G357" t="n">
        <v>1.7</v>
      </c>
      <c r="H357" t="n">
        <v>0</v>
      </c>
      <c r="I357" t="n">
        <v>0</v>
      </c>
      <c r="J357" t="n">
        <v>0</v>
      </c>
      <c r="K357" t="n">
        <v>0</v>
      </c>
      <c r="L357" t="n">
        <v>0</v>
      </c>
      <c r="M357" t="n">
        <v>0</v>
      </c>
      <c r="N357" t="n">
        <v>0</v>
      </c>
      <c r="O357" t="n">
        <v>0</v>
      </c>
      <c r="P357" t="n">
        <v>0</v>
      </c>
      <c r="Q357" t="n">
        <v>0</v>
      </c>
      <c r="R357" s="2" t="inlineStr"/>
    </row>
    <row r="358" ht="15" customHeight="1">
      <c r="A358" t="inlineStr">
        <is>
          <t>A 14053-2025</t>
        </is>
      </c>
      <c r="B358" s="1" t="n">
        <v>45739</v>
      </c>
      <c r="C358" s="1" t="n">
        <v>45967</v>
      </c>
      <c r="D358" t="inlineStr">
        <is>
          <t>ÖREBRO LÄN</t>
        </is>
      </c>
      <c r="E358" t="inlineStr">
        <is>
          <t>ÖREBRO</t>
        </is>
      </c>
      <c r="G358" t="n">
        <v>3.5</v>
      </c>
      <c r="H358" t="n">
        <v>0</v>
      </c>
      <c r="I358" t="n">
        <v>0</v>
      </c>
      <c r="J358" t="n">
        <v>0</v>
      </c>
      <c r="K358" t="n">
        <v>0</v>
      </c>
      <c r="L358" t="n">
        <v>0</v>
      </c>
      <c r="M358" t="n">
        <v>0</v>
      </c>
      <c r="N358" t="n">
        <v>0</v>
      </c>
      <c r="O358" t="n">
        <v>0</v>
      </c>
      <c r="P358" t="n">
        <v>0</v>
      </c>
      <c r="Q358" t="n">
        <v>0</v>
      </c>
      <c r="R358" s="2" t="inlineStr"/>
    </row>
    <row r="359" ht="15" customHeight="1">
      <c r="A359" t="inlineStr">
        <is>
          <t>A 35819-2024</t>
        </is>
      </c>
      <c r="B359" s="1" t="n">
        <v>45532</v>
      </c>
      <c r="C359" s="1" t="n">
        <v>45967</v>
      </c>
      <c r="D359" t="inlineStr">
        <is>
          <t>ÖREBRO LÄN</t>
        </is>
      </c>
      <c r="E359" t="inlineStr">
        <is>
          <t>ÖREBRO</t>
        </is>
      </c>
      <c r="G359" t="n">
        <v>6.4</v>
      </c>
      <c r="H359" t="n">
        <v>0</v>
      </c>
      <c r="I359" t="n">
        <v>0</v>
      </c>
      <c r="J359" t="n">
        <v>0</v>
      </c>
      <c r="K359" t="n">
        <v>0</v>
      </c>
      <c r="L359" t="n">
        <v>0</v>
      </c>
      <c r="M359" t="n">
        <v>0</v>
      </c>
      <c r="N359" t="n">
        <v>0</v>
      </c>
      <c r="O359" t="n">
        <v>0</v>
      </c>
      <c r="P359" t="n">
        <v>0</v>
      </c>
      <c r="Q359" t="n">
        <v>0</v>
      </c>
      <c r="R359" s="2" t="inlineStr"/>
    </row>
    <row r="360" ht="15" customHeight="1">
      <c r="A360" t="inlineStr">
        <is>
          <t>A 32076-2023</t>
        </is>
      </c>
      <c r="B360" s="1" t="n">
        <v>45119.58324074074</v>
      </c>
      <c r="C360" s="1" t="n">
        <v>45967</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35345-2024</t>
        </is>
      </c>
      <c r="B361" s="1" t="n">
        <v>45530</v>
      </c>
      <c r="C361" s="1" t="n">
        <v>45967</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123-2025</t>
        </is>
      </c>
      <c r="B362" s="1" t="n">
        <v>45659.54851851852</v>
      </c>
      <c r="C362" s="1" t="n">
        <v>45967</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764-2024</t>
        </is>
      </c>
      <c r="B363" s="1" t="n">
        <v>45300.51512731481</v>
      </c>
      <c r="C363" s="1" t="n">
        <v>45967</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30472-2022</t>
        </is>
      </c>
      <c r="B364" s="1" t="n">
        <v>44761.70467592592</v>
      </c>
      <c r="C364" s="1" t="n">
        <v>45967</v>
      </c>
      <c r="D364" t="inlineStr">
        <is>
          <t>ÖREBRO LÄN</t>
        </is>
      </c>
      <c r="E364" t="inlineStr">
        <is>
          <t>ÖREBRO</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6869-2025</t>
        </is>
      </c>
      <c r="B365" s="1" t="n">
        <v>45700</v>
      </c>
      <c r="C365" s="1" t="n">
        <v>45967</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5133-2024</t>
        </is>
      </c>
      <c r="B366" s="1" t="n">
        <v>45330</v>
      </c>
      <c r="C366" s="1" t="n">
        <v>45967</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58644-2023</t>
        </is>
      </c>
      <c r="B367" s="1" t="n">
        <v>45251.58716435185</v>
      </c>
      <c r="C367" s="1" t="n">
        <v>45967</v>
      </c>
      <c r="D367" t="inlineStr">
        <is>
          <t>ÖREBRO LÄN</t>
        </is>
      </c>
      <c r="E367" t="inlineStr">
        <is>
          <t>ÖREBRO</t>
        </is>
      </c>
      <c r="F367" t="inlineStr">
        <is>
          <t>Övriga Aktiebolag</t>
        </is>
      </c>
      <c r="G367" t="n">
        <v>1.9</v>
      </c>
      <c r="H367" t="n">
        <v>0</v>
      </c>
      <c r="I367" t="n">
        <v>0</v>
      </c>
      <c r="J367" t="n">
        <v>0</v>
      </c>
      <c r="K367" t="n">
        <v>0</v>
      </c>
      <c r="L367" t="n">
        <v>0</v>
      </c>
      <c r="M367" t="n">
        <v>0</v>
      </c>
      <c r="N367" t="n">
        <v>0</v>
      </c>
      <c r="O367" t="n">
        <v>0</v>
      </c>
      <c r="P367" t="n">
        <v>0</v>
      </c>
      <c r="Q367" t="n">
        <v>0</v>
      </c>
      <c r="R367" s="2" t="inlineStr"/>
    </row>
    <row r="368" ht="15" customHeight="1">
      <c r="A368" t="inlineStr">
        <is>
          <t>A 14432-2023</t>
        </is>
      </c>
      <c r="B368" s="1" t="n">
        <v>45012</v>
      </c>
      <c r="C368" s="1" t="n">
        <v>45967</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10339-2023</t>
        </is>
      </c>
      <c r="B369" s="1" t="n">
        <v>44987</v>
      </c>
      <c r="C369" s="1" t="n">
        <v>45967</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57869-2024</t>
        </is>
      </c>
      <c r="B370" s="1" t="n">
        <v>45631.44207175926</v>
      </c>
      <c r="C370" s="1" t="n">
        <v>45967</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190-2024</t>
        </is>
      </c>
      <c r="B371" s="1" t="n">
        <v>45294.61858796296</v>
      </c>
      <c r="C371" s="1" t="n">
        <v>45967</v>
      </c>
      <c r="D371" t="inlineStr">
        <is>
          <t>ÖREBRO LÄN</t>
        </is>
      </c>
      <c r="E371" t="inlineStr">
        <is>
          <t>ÖREBRO</t>
        </is>
      </c>
      <c r="G371" t="n">
        <v>2.4</v>
      </c>
      <c r="H371" t="n">
        <v>0</v>
      </c>
      <c r="I371" t="n">
        <v>0</v>
      </c>
      <c r="J371" t="n">
        <v>0</v>
      </c>
      <c r="K371" t="n">
        <v>0</v>
      </c>
      <c r="L371" t="n">
        <v>0</v>
      </c>
      <c r="M371" t="n">
        <v>0</v>
      </c>
      <c r="N371" t="n">
        <v>0</v>
      </c>
      <c r="O371" t="n">
        <v>0</v>
      </c>
      <c r="P371" t="n">
        <v>0</v>
      </c>
      <c r="Q371" t="n">
        <v>0</v>
      </c>
      <c r="R371" s="2" t="inlineStr"/>
    </row>
    <row r="372" ht="15" customHeight="1">
      <c r="A372" t="inlineStr">
        <is>
          <t>A 21338-2025</t>
        </is>
      </c>
      <c r="B372" s="1" t="n">
        <v>45780</v>
      </c>
      <c r="C372" s="1" t="n">
        <v>45967</v>
      </c>
      <c r="D372" t="inlineStr">
        <is>
          <t>ÖREBRO LÄN</t>
        </is>
      </c>
      <c r="E372" t="inlineStr">
        <is>
          <t>ÖREBRO</t>
        </is>
      </c>
      <c r="G372" t="n">
        <v>3.2</v>
      </c>
      <c r="H372" t="n">
        <v>0</v>
      </c>
      <c r="I372" t="n">
        <v>0</v>
      </c>
      <c r="J372" t="n">
        <v>0</v>
      </c>
      <c r="K372" t="n">
        <v>0</v>
      </c>
      <c r="L372" t="n">
        <v>0</v>
      </c>
      <c r="M372" t="n">
        <v>0</v>
      </c>
      <c r="N372" t="n">
        <v>0</v>
      </c>
      <c r="O372" t="n">
        <v>0</v>
      </c>
      <c r="P372" t="n">
        <v>0</v>
      </c>
      <c r="Q372" t="n">
        <v>0</v>
      </c>
      <c r="R372" s="2" t="inlineStr"/>
    </row>
    <row r="373" ht="15" customHeight="1">
      <c r="A373" t="inlineStr">
        <is>
          <t>A 62497-2023</t>
        </is>
      </c>
      <c r="B373" s="1" t="n">
        <v>45268.59935185185</v>
      </c>
      <c r="C373" s="1" t="n">
        <v>45967</v>
      </c>
      <c r="D373" t="inlineStr">
        <is>
          <t>ÖREBRO LÄN</t>
        </is>
      </c>
      <c r="E373" t="inlineStr">
        <is>
          <t>ÖREBRO</t>
        </is>
      </c>
      <c r="F373" t="inlineStr">
        <is>
          <t>Övriga Aktiebolag</t>
        </is>
      </c>
      <c r="G373" t="n">
        <v>3.2</v>
      </c>
      <c r="H373" t="n">
        <v>0</v>
      </c>
      <c r="I373" t="n">
        <v>0</v>
      </c>
      <c r="J373" t="n">
        <v>0</v>
      </c>
      <c r="K373" t="n">
        <v>0</v>
      </c>
      <c r="L373" t="n">
        <v>0</v>
      </c>
      <c r="M373" t="n">
        <v>0</v>
      </c>
      <c r="N373" t="n">
        <v>0</v>
      </c>
      <c r="O373" t="n">
        <v>0</v>
      </c>
      <c r="P373" t="n">
        <v>0</v>
      </c>
      <c r="Q373" t="n">
        <v>0</v>
      </c>
      <c r="R373" s="2" t="inlineStr"/>
    </row>
    <row r="374" ht="15" customHeight="1">
      <c r="A374" t="inlineStr">
        <is>
          <t>A 43399-2022</t>
        </is>
      </c>
      <c r="B374" s="1" t="n">
        <v>44834</v>
      </c>
      <c r="C374" s="1" t="n">
        <v>45967</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37277-2022</t>
        </is>
      </c>
      <c r="B375" s="1" t="n">
        <v>44807.49150462963</v>
      </c>
      <c r="C375" s="1" t="n">
        <v>45967</v>
      </c>
      <c r="D375" t="inlineStr">
        <is>
          <t>ÖREBRO LÄN</t>
        </is>
      </c>
      <c r="E375" t="inlineStr">
        <is>
          <t>ÖREBRO</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27956-2023</t>
        </is>
      </c>
      <c r="B376" s="1" t="n">
        <v>45098</v>
      </c>
      <c r="C376" s="1" t="n">
        <v>45967</v>
      </c>
      <c r="D376" t="inlineStr">
        <is>
          <t>ÖREBRO LÄN</t>
        </is>
      </c>
      <c r="E376" t="inlineStr">
        <is>
          <t>ÖREBRO</t>
        </is>
      </c>
      <c r="G376" t="n">
        <v>0.8</v>
      </c>
      <c r="H376" t="n">
        <v>0</v>
      </c>
      <c r="I376" t="n">
        <v>0</v>
      </c>
      <c r="J376" t="n">
        <v>0</v>
      </c>
      <c r="K376" t="n">
        <v>0</v>
      </c>
      <c r="L376" t="n">
        <v>0</v>
      </c>
      <c r="M376" t="n">
        <v>0</v>
      </c>
      <c r="N376" t="n">
        <v>0</v>
      </c>
      <c r="O376" t="n">
        <v>0</v>
      </c>
      <c r="P376" t="n">
        <v>0</v>
      </c>
      <c r="Q376" t="n">
        <v>0</v>
      </c>
      <c r="R376" s="2" t="inlineStr"/>
    </row>
    <row r="377" ht="15" customHeight="1">
      <c r="A377" t="inlineStr">
        <is>
          <t>A 63142-2023</t>
        </is>
      </c>
      <c r="B377" s="1" t="n">
        <v>45273</v>
      </c>
      <c r="C377" s="1" t="n">
        <v>45967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51331-2023</t>
        </is>
      </c>
      <c r="B378" s="1" t="n">
        <v>45219</v>
      </c>
      <c r="C378" s="1" t="n">
        <v>45967</v>
      </c>
      <c r="D378" t="inlineStr">
        <is>
          <t>ÖREBRO LÄN</t>
        </is>
      </c>
      <c r="E378" t="inlineStr">
        <is>
          <t>ÖREBRO</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40588-2021</t>
        </is>
      </c>
      <c r="B379" s="1" t="n">
        <v>44420</v>
      </c>
      <c r="C379" s="1" t="n">
        <v>45967</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37021-2024</t>
        </is>
      </c>
      <c r="B380" s="1" t="n">
        <v>45539.38146990741</v>
      </c>
      <c r="C380" s="1" t="n">
        <v>45967</v>
      </c>
      <c r="D380" t="inlineStr">
        <is>
          <t>ÖREBRO LÄN</t>
        </is>
      </c>
      <c r="E380" t="inlineStr">
        <is>
          <t>ÖREBRO</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23573-2023</t>
        </is>
      </c>
      <c r="B381" s="1" t="n">
        <v>45077.41672453703</v>
      </c>
      <c r="C381" s="1" t="n">
        <v>45967</v>
      </c>
      <c r="D381" t="inlineStr">
        <is>
          <t>ÖREBRO LÄN</t>
        </is>
      </c>
      <c r="E381" t="inlineStr">
        <is>
          <t>ÖREBRO</t>
        </is>
      </c>
      <c r="G381" t="n">
        <v>2.9</v>
      </c>
      <c r="H381" t="n">
        <v>0</v>
      </c>
      <c r="I381" t="n">
        <v>0</v>
      </c>
      <c r="J381" t="n">
        <v>0</v>
      </c>
      <c r="K381" t="n">
        <v>0</v>
      </c>
      <c r="L381" t="n">
        <v>0</v>
      </c>
      <c r="M381" t="n">
        <v>0</v>
      </c>
      <c r="N381" t="n">
        <v>0</v>
      </c>
      <c r="O381" t="n">
        <v>0</v>
      </c>
      <c r="P381" t="n">
        <v>0</v>
      </c>
      <c r="Q381" t="n">
        <v>0</v>
      </c>
      <c r="R381" s="2" t="inlineStr"/>
    </row>
    <row r="382" ht="15" customHeight="1">
      <c r="A382" t="inlineStr">
        <is>
          <t>A 40231-2022</t>
        </is>
      </c>
      <c r="B382" s="1" t="n">
        <v>44820</v>
      </c>
      <c r="C382" s="1" t="n">
        <v>45967</v>
      </c>
      <c r="D382" t="inlineStr">
        <is>
          <t>ÖREBRO LÄN</t>
        </is>
      </c>
      <c r="E382" t="inlineStr">
        <is>
          <t>ÖREBRO</t>
        </is>
      </c>
      <c r="F382" t="inlineStr">
        <is>
          <t>Allmännings- och besparingsskogar</t>
        </is>
      </c>
      <c r="G382" t="n">
        <v>2.2</v>
      </c>
      <c r="H382" t="n">
        <v>0</v>
      </c>
      <c r="I382" t="n">
        <v>0</v>
      </c>
      <c r="J382" t="n">
        <v>0</v>
      </c>
      <c r="K382" t="n">
        <v>0</v>
      </c>
      <c r="L382" t="n">
        <v>0</v>
      </c>
      <c r="M382" t="n">
        <v>0</v>
      </c>
      <c r="N382" t="n">
        <v>0</v>
      </c>
      <c r="O382" t="n">
        <v>0</v>
      </c>
      <c r="P382" t="n">
        <v>0</v>
      </c>
      <c r="Q382" t="n">
        <v>0</v>
      </c>
      <c r="R382" s="2" t="inlineStr"/>
    </row>
    <row r="383" ht="15" customHeight="1">
      <c r="A383" t="inlineStr">
        <is>
          <t>A 4284-2025</t>
        </is>
      </c>
      <c r="B383" s="1" t="n">
        <v>45685</v>
      </c>
      <c r="C383" s="1" t="n">
        <v>45967</v>
      </c>
      <c r="D383" t="inlineStr">
        <is>
          <t>ÖREBRO LÄN</t>
        </is>
      </c>
      <c r="E383" t="inlineStr">
        <is>
          <t>ÖREBRO</t>
        </is>
      </c>
      <c r="G383" t="n">
        <v>1.7</v>
      </c>
      <c r="H383" t="n">
        <v>0</v>
      </c>
      <c r="I383" t="n">
        <v>0</v>
      </c>
      <c r="J383" t="n">
        <v>0</v>
      </c>
      <c r="K383" t="n">
        <v>0</v>
      </c>
      <c r="L383" t="n">
        <v>0</v>
      </c>
      <c r="M383" t="n">
        <v>0</v>
      </c>
      <c r="N383" t="n">
        <v>0</v>
      </c>
      <c r="O383" t="n">
        <v>0</v>
      </c>
      <c r="P383" t="n">
        <v>0</v>
      </c>
      <c r="Q383" t="n">
        <v>0</v>
      </c>
      <c r="R383" s="2" t="inlineStr"/>
    </row>
    <row r="384" ht="15" customHeight="1">
      <c r="A384" t="inlineStr">
        <is>
          <t>A 8331-2021</t>
        </is>
      </c>
      <c r="B384" s="1" t="n">
        <v>44244</v>
      </c>
      <c r="C384" s="1" t="n">
        <v>45967</v>
      </c>
      <c r="D384" t="inlineStr">
        <is>
          <t>ÖREBRO LÄN</t>
        </is>
      </c>
      <c r="E384" t="inlineStr">
        <is>
          <t>ÖREBRO</t>
        </is>
      </c>
      <c r="G384" t="n">
        <v>9.1</v>
      </c>
      <c r="H384" t="n">
        <v>0</v>
      </c>
      <c r="I384" t="n">
        <v>0</v>
      </c>
      <c r="J384" t="n">
        <v>0</v>
      </c>
      <c r="K384" t="n">
        <v>0</v>
      </c>
      <c r="L384" t="n">
        <v>0</v>
      </c>
      <c r="M384" t="n">
        <v>0</v>
      </c>
      <c r="N384" t="n">
        <v>0</v>
      </c>
      <c r="O384" t="n">
        <v>0</v>
      </c>
      <c r="P384" t="n">
        <v>0</v>
      </c>
      <c r="Q384" t="n">
        <v>0</v>
      </c>
      <c r="R384" s="2" t="inlineStr"/>
    </row>
    <row r="385" ht="15" customHeight="1">
      <c r="A385" t="inlineStr">
        <is>
          <t>A 8332-2021</t>
        </is>
      </c>
      <c r="B385" s="1" t="n">
        <v>44244</v>
      </c>
      <c r="C385" s="1" t="n">
        <v>45967</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13762-2023</t>
        </is>
      </c>
      <c r="B386" s="1" t="n">
        <v>45007.43729166667</v>
      </c>
      <c r="C386" s="1" t="n">
        <v>45967</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22755-2025</t>
        </is>
      </c>
      <c r="B387" s="1" t="n">
        <v>45789.61872685186</v>
      </c>
      <c r="C387" s="1" t="n">
        <v>45967</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25443-2021</t>
        </is>
      </c>
      <c r="B388" s="1" t="n">
        <v>44342</v>
      </c>
      <c r="C388" s="1" t="n">
        <v>45967</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44199-2024</t>
        </is>
      </c>
      <c r="B389" s="1" t="n">
        <v>45573</v>
      </c>
      <c r="C389" s="1" t="n">
        <v>45967</v>
      </c>
      <c r="D389" t="inlineStr">
        <is>
          <t>ÖREBRO LÄN</t>
        </is>
      </c>
      <c r="E389" t="inlineStr">
        <is>
          <t>ÖREBRO</t>
        </is>
      </c>
      <c r="G389" t="n">
        <v>4.3</v>
      </c>
      <c r="H389" t="n">
        <v>0</v>
      </c>
      <c r="I389" t="n">
        <v>0</v>
      </c>
      <c r="J389" t="n">
        <v>0</v>
      </c>
      <c r="K389" t="n">
        <v>0</v>
      </c>
      <c r="L389" t="n">
        <v>0</v>
      </c>
      <c r="M389" t="n">
        <v>0</v>
      </c>
      <c r="N389" t="n">
        <v>0</v>
      </c>
      <c r="O389" t="n">
        <v>0</v>
      </c>
      <c r="P389" t="n">
        <v>0</v>
      </c>
      <c r="Q389" t="n">
        <v>0</v>
      </c>
      <c r="R389" s="2" t="inlineStr"/>
    </row>
    <row r="390" ht="15" customHeight="1">
      <c r="A390" t="inlineStr">
        <is>
          <t>A 34336-2024</t>
        </is>
      </c>
      <c r="B390" s="1" t="n">
        <v>45524.94774305556</v>
      </c>
      <c r="C390" s="1" t="n">
        <v>45967</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26443-2024</t>
        </is>
      </c>
      <c r="B391" s="1" t="n">
        <v>45469.49901620371</v>
      </c>
      <c r="C391" s="1" t="n">
        <v>45967</v>
      </c>
      <c r="D391" t="inlineStr">
        <is>
          <t>ÖREBRO LÄN</t>
        </is>
      </c>
      <c r="E391" t="inlineStr">
        <is>
          <t>ÖREBRO</t>
        </is>
      </c>
      <c r="G391" t="n">
        <v>5.7</v>
      </c>
      <c r="H391" t="n">
        <v>0</v>
      </c>
      <c r="I391" t="n">
        <v>0</v>
      </c>
      <c r="J391" t="n">
        <v>0</v>
      </c>
      <c r="K391" t="n">
        <v>0</v>
      </c>
      <c r="L391" t="n">
        <v>0</v>
      </c>
      <c r="M391" t="n">
        <v>0</v>
      </c>
      <c r="N391" t="n">
        <v>0</v>
      </c>
      <c r="O391" t="n">
        <v>0</v>
      </c>
      <c r="P391" t="n">
        <v>0</v>
      </c>
      <c r="Q391" t="n">
        <v>0</v>
      </c>
      <c r="R391" s="2" t="inlineStr"/>
    </row>
    <row r="392" ht="15" customHeight="1">
      <c r="A392" t="inlineStr">
        <is>
          <t>A 35477-2024</t>
        </is>
      </c>
      <c r="B392" s="1" t="n">
        <v>45531</v>
      </c>
      <c r="C392" s="1" t="n">
        <v>45967</v>
      </c>
      <c r="D392" t="inlineStr">
        <is>
          <t>ÖREBRO LÄN</t>
        </is>
      </c>
      <c r="E392" t="inlineStr">
        <is>
          <t>ÖREBRO</t>
        </is>
      </c>
      <c r="G392" t="n">
        <v>2.4</v>
      </c>
      <c r="H392" t="n">
        <v>0</v>
      </c>
      <c r="I392" t="n">
        <v>0</v>
      </c>
      <c r="J392" t="n">
        <v>0</v>
      </c>
      <c r="K392" t="n">
        <v>0</v>
      </c>
      <c r="L392" t="n">
        <v>0</v>
      </c>
      <c r="M392" t="n">
        <v>0</v>
      </c>
      <c r="N392" t="n">
        <v>0</v>
      </c>
      <c r="O392" t="n">
        <v>0</v>
      </c>
      <c r="P392" t="n">
        <v>0</v>
      </c>
      <c r="Q392" t="n">
        <v>0</v>
      </c>
      <c r="R392" s="2" t="inlineStr"/>
    </row>
    <row r="393" ht="15" customHeight="1">
      <c r="A393" t="inlineStr">
        <is>
          <t>A 5129-2024</t>
        </is>
      </c>
      <c r="B393" s="1" t="n">
        <v>45330</v>
      </c>
      <c r="C393" s="1" t="n">
        <v>45967</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41669-2025</t>
        </is>
      </c>
      <c r="B394" s="1" t="n">
        <v>45902.36149305556</v>
      </c>
      <c r="C394" s="1" t="n">
        <v>45967</v>
      </c>
      <c r="D394" t="inlineStr">
        <is>
          <t>ÖREBRO LÄN</t>
        </is>
      </c>
      <c r="E394" t="inlineStr">
        <is>
          <t>ÖREBRO</t>
        </is>
      </c>
      <c r="G394" t="n">
        <v>2.8</v>
      </c>
      <c r="H394" t="n">
        <v>0</v>
      </c>
      <c r="I394" t="n">
        <v>0</v>
      </c>
      <c r="J394" t="n">
        <v>0</v>
      </c>
      <c r="K394" t="n">
        <v>0</v>
      </c>
      <c r="L394" t="n">
        <v>0</v>
      </c>
      <c r="M394" t="n">
        <v>0</v>
      </c>
      <c r="N394" t="n">
        <v>0</v>
      </c>
      <c r="O394" t="n">
        <v>0</v>
      </c>
      <c r="P394" t="n">
        <v>0</v>
      </c>
      <c r="Q394" t="n">
        <v>0</v>
      </c>
      <c r="R394" s="2" t="inlineStr"/>
    </row>
    <row r="395" ht="15" customHeight="1">
      <c r="A395" t="inlineStr">
        <is>
          <t>A 41412-2025</t>
        </is>
      </c>
      <c r="B395" s="1" t="n">
        <v>45901.3549537037</v>
      </c>
      <c r="C395" s="1" t="n">
        <v>45967</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1492-2022</t>
        </is>
      </c>
      <c r="B396" s="1" t="n">
        <v>44573</v>
      </c>
      <c r="C396" s="1" t="n">
        <v>45967</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59026-2024</t>
        </is>
      </c>
      <c r="B397" s="1" t="n">
        <v>45636.6875</v>
      </c>
      <c r="C397" s="1" t="n">
        <v>45967</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52623-2024</t>
        </is>
      </c>
      <c r="B398" s="1" t="n">
        <v>45609</v>
      </c>
      <c r="C398" s="1" t="n">
        <v>45967</v>
      </c>
      <c r="D398" t="inlineStr">
        <is>
          <t>ÖREBRO LÄN</t>
        </is>
      </c>
      <c r="E398" t="inlineStr">
        <is>
          <t>ÖREBRO</t>
        </is>
      </c>
      <c r="F398" t="inlineStr">
        <is>
          <t>Kommuner</t>
        </is>
      </c>
      <c r="G398" t="n">
        <v>1.7</v>
      </c>
      <c r="H398" t="n">
        <v>0</v>
      </c>
      <c r="I398" t="n">
        <v>0</v>
      </c>
      <c r="J398" t="n">
        <v>0</v>
      </c>
      <c r="K398" t="n">
        <v>0</v>
      </c>
      <c r="L398" t="n">
        <v>0</v>
      </c>
      <c r="M398" t="n">
        <v>0</v>
      </c>
      <c r="N398" t="n">
        <v>0</v>
      </c>
      <c r="O398" t="n">
        <v>0</v>
      </c>
      <c r="P398" t="n">
        <v>0</v>
      </c>
      <c r="Q398" t="n">
        <v>0</v>
      </c>
      <c r="R398" s="2" t="inlineStr"/>
    </row>
    <row r="399" ht="15" customHeight="1">
      <c r="A399" t="inlineStr">
        <is>
          <t>A 42623-2022</t>
        </is>
      </c>
      <c r="B399" s="1" t="n">
        <v>44831</v>
      </c>
      <c r="C399" s="1" t="n">
        <v>45967</v>
      </c>
      <c r="D399" t="inlineStr">
        <is>
          <t>ÖREBRO LÄN</t>
        </is>
      </c>
      <c r="E399" t="inlineStr">
        <is>
          <t>ÖREBRO</t>
        </is>
      </c>
      <c r="G399" t="n">
        <v>3.6</v>
      </c>
      <c r="H399" t="n">
        <v>0</v>
      </c>
      <c r="I399" t="n">
        <v>0</v>
      </c>
      <c r="J399" t="n">
        <v>0</v>
      </c>
      <c r="K399" t="n">
        <v>0</v>
      </c>
      <c r="L399" t="n">
        <v>0</v>
      </c>
      <c r="M399" t="n">
        <v>0</v>
      </c>
      <c r="N399" t="n">
        <v>0</v>
      </c>
      <c r="O399" t="n">
        <v>0</v>
      </c>
      <c r="P399" t="n">
        <v>0</v>
      </c>
      <c r="Q399" t="n">
        <v>0</v>
      </c>
      <c r="R399" s="2" t="inlineStr"/>
    </row>
    <row r="400" ht="15" customHeight="1">
      <c r="A400" t="inlineStr">
        <is>
          <t>A 62511-2023</t>
        </is>
      </c>
      <c r="B400" s="1" t="n">
        <v>45268.61855324074</v>
      </c>
      <c r="C400" s="1" t="n">
        <v>45967</v>
      </c>
      <c r="D400" t="inlineStr">
        <is>
          <t>ÖREBRO LÄN</t>
        </is>
      </c>
      <c r="E400" t="inlineStr">
        <is>
          <t>ÖREBRO</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3763-2025</t>
        </is>
      </c>
      <c r="B401" s="1" t="n">
        <v>45681</v>
      </c>
      <c r="C401" s="1" t="n">
        <v>45967</v>
      </c>
      <c r="D401" t="inlineStr">
        <is>
          <t>ÖREBRO LÄN</t>
        </is>
      </c>
      <c r="E401" t="inlineStr">
        <is>
          <t>ÖREBRO</t>
        </is>
      </c>
      <c r="G401" t="n">
        <v>10.1</v>
      </c>
      <c r="H401" t="n">
        <v>0</v>
      </c>
      <c r="I401" t="n">
        <v>0</v>
      </c>
      <c r="J401" t="n">
        <v>0</v>
      </c>
      <c r="K401" t="n">
        <v>0</v>
      </c>
      <c r="L401" t="n">
        <v>0</v>
      </c>
      <c r="M401" t="n">
        <v>0</v>
      </c>
      <c r="N401" t="n">
        <v>0</v>
      </c>
      <c r="O401" t="n">
        <v>0</v>
      </c>
      <c r="P401" t="n">
        <v>0</v>
      </c>
      <c r="Q401" t="n">
        <v>0</v>
      </c>
      <c r="R401" s="2" t="inlineStr"/>
    </row>
    <row r="402" ht="15" customHeight="1">
      <c r="A402" t="inlineStr">
        <is>
          <t>A 22719-2025</t>
        </is>
      </c>
      <c r="B402" s="1" t="n">
        <v>45789</v>
      </c>
      <c r="C402" s="1" t="n">
        <v>45967</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30316-2024</t>
        </is>
      </c>
      <c r="B403" s="1" t="n">
        <v>45490</v>
      </c>
      <c r="C403" s="1" t="n">
        <v>45967</v>
      </c>
      <c r="D403" t="inlineStr">
        <is>
          <t>ÖREBRO LÄN</t>
        </is>
      </c>
      <c r="E403" t="inlineStr">
        <is>
          <t>ÖREBRO</t>
        </is>
      </c>
      <c r="G403" t="n">
        <v>5.5</v>
      </c>
      <c r="H403" t="n">
        <v>0</v>
      </c>
      <c r="I403" t="n">
        <v>0</v>
      </c>
      <c r="J403" t="n">
        <v>0</v>
      </c>
      <c r="K403" t="n">
        <v>0</v>
      </c>
      <c r="L403" t="n">
        <v>0</v>
      </c>
      <c r="M403" t="n">
        <v>0</v>
      </c>
      <c r="N403" t="n">
        <v>0</v>
      </c>
      <c r="O403" t="n">
        <v>0</v>
      </c>
      <c r="P403" t="n">
        <v>0</v>
      </c>
      <c r="Q403" t="n">
        <v>0</v>
      </c>
      <c r="R403" s="2" t="inlineStr"/>
    </row>
    <row r="404" ht="15" customHeight="1">
      <c r="A404" t="inlineStr">
        <is>
          <t>A 40522-2024</t>
        </is>
      </c>
      <c r="B404" s="1" t="n">
        <v>45555.59717592593</v>
      </c>
      <c r="C404" s="1" t="n">
        <v>45967</v>
      </c>
      <c r="D404" t="inlineStr">
        <is>
          <t>ÖREBRO LÄN</t>
        </is>
      </c>
      <c r="E404" t="inlineStr">
        <is>
          <t>ÖREBRO</t>
        </is>
      </c>
      <c r="G404" t="n">
        <v>5.1</v>
      </c>
      <c r="H404" t="n">
        <v>0</v>
      </c>
      <c r="I404" t="n">
        <v>0</v>
      </c>
      <c r="J404" t="n">
        <v>0</v>
      </c>
      <c r="K404" t="n">
        <v>0</v>
      </c>
      <c r="L404" t="n">
        <v>0</v>
      </c>
      <c r="M404" t="n">
        <v>0</v>
      </c>
      <c r="N404" t="n">
        <v>0</v>
      </c>
      <c r="O404" t="n">
        <v>0</v>
      </c>
      <c r="P404" t="n">
        <v>0</v>
      </c>
      <c r="Q404" t="n">
        <v>0</v>
      </c>
      <c r="R404" s="2" t="inlineStr"/>
    </row>
    <row r="405" ht="15" customHeight="1">
      <c r="A405" t="inlineStr">
        <is>
          <t>A 10829-2023</t>
        </is>
      </c>
      <c r="B405" s="1" t="n">
        <v>44990.88512731482</v>
      </c>
      <c r="C405" s="1" t="n">
        <v>45967</v>
      </c>
      <c r="D405" t="inlineStr">
        <is>
          <t>ÖREBRO LÄN</t>
        </is>
      </c>
      <c r="E405" t="inlineStr">
        <is>
          <t>ÖREBRO</t>
        </is>
      </c>
      <c r="G405" t="n">
        <v>4.4</v>
      </c>
      <c r="H405" t="n">
        <v>0</v>
      </c>
      <c r="I405" t="n">
        <v>0</v>
      </c>
      <c r="J405" t="n">
        <v>0</v>
      </c>
      <c r="K405" t="n">
        <v>0</v>
      </c>
      <c r="L405" t="n">
        <v>0</v>
      </c>
      <c r="M405" t="n">
        <v>0</v>
      </c>
      <c r="N405" t="n">
        <v>0</v>
      </c>
      <c r="O405" t="n">
        <v>0</v>
      </c>
      <c r="P405" t="n">
        <v>0</v>
      </c>
      <c r="Q405" t="n">
        <v>0</v>
      </c>
      <c r="R405" s="2" t="inlineStr"/>
    </row>
    <row r="406" ht="15" customHeight="1">
      <c r="A406" t="inlineStr">
        <is>
          <t>A 10831-2023</t>
        </is>
      </c>
      <c r="B406" s="1" t="n">
        <v>44990.90357638889</v>
      </c>
      <c r="C406" s="1" t="n">
        <v>45967</v>
      </c>
      <c r="D406" t="inlineStr">
        <is>
          <t>ÖREBRO LÄN</t>
        </is>
      </c>
      <c r="E406" t="inlineStr">
        <is>
          <t>ÖREBRO</t>
        </is>
      </c>
      <c r="G406" t="n">
        <v>1.9</v>
      </c>
      <c r="H406" t="n">
        <v>0</v>
      </c>
      <c r="I406" t="n">
        <v>0</v>
      </c>
      <c r="J406" t="n">
        <v>0</v>
      </c>
      <c r="K406" t="n">
        <v>0</v>
      </c>
      <c r="L406" t="n">
        <v>0</v>
      </c>
      <c r="M406" t="n">
        <v>0</v>
      </c>
      <c r="N406" t="n">
        <v>0</v>
      </c>
      <c r="O406" t="n">
        <v>0</v>
      </c>
      <c r="P406" t="n">
        <v>0</v>
      </c>
      <c r="Q406" t="n">
        <v>0</v>
      </c>
      <c r="R406" s="2" t="inlineStr"/>
    </row>
    <row r="407" ht="15" customHeight="1">
      <c r="A407" t="inlineStr">
        <is>
          <t>A 38790-2024</t>
        </is>
      </c>
      <c r="B407" s="1" t="n">
        <v>45547.48450231482</v>
      </c>
      <c r="C407" s="1" t="n">
        <v>45967</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61279-2024</t>
        </is>
      </c>
      <c r="B408" s="1" t="n">
        <v>45645</v>
      </c>
      <c r="C408" s="1" t="n">
        <v>45967</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71269-2021</t>
        </is>
      </c>
      <c r="B409" s="1" t="n">
        <v>44539</v>
      </c>
      <c r="C409" s="1" t="n">
        <v>45967</v>
      </c>
      <c r="D409" t="inlineStr">
        <is>
          <t>ÖREBRO LÄN</t>
        </is>
      </c>
      <c r="E409" t="inlineStr">
        <is>
          <t>ÖREBRO</t>
        </is>
      </c>
      <c r="G409" t="n">
        <v>1.4</v>
      </c>
      <c r="H409" t="n">
        <v>0</v>
      </c>
      <c r="I409" t="n">
        <v>0</v>
      </c>
      <c r="J409" t="n">
        <v>0</v>
      </c>
      <c r="K409" t="n">
        <v>0</v>
      </c>
      <c r="L409" t="n">
        <v>0</v>
      </c>
      <c r="M409" t="n">
        <v>0</v>
      </c>
      <c r="N409" t="n">
        <v>0</v>
      </c>
      <c r="O409" t="n">
        <v>0</v>
      </c>
      <c r="P409" t="n">
        <v>0</v>
      </c>
      <c r="Q409" t="n">
        <v>0</v>
      </c>
      <c r="R409" s="2" t="inlineStr"/>
    </row>
    <row r="410" ht="15" customHeight="1">
      <c r="A410" t="inlineStr">
        <is>
          <t>A 16165-2023</t>
        </is>
      </c>
      <c r="B410" s="1" t="n">
        <v>45027</v>
      </c>
      <c r="C410" s="1" t="n">
        <v>45967</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15555-2025</t>
        </is>
      </c>
      <c r="B411" s="1" t="n">
        <v>45747.67768518518</v>
      </c>
      <c r="C411" s="1" t="n">
        <v>45967</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51248-2025</t>
        </is>
      </c>
      <c r="B412" s="1" t="n">
        <v>45948.450625</v>
      </c>
      <c r="C412" s="1" t="n">
        <v>45967</v>
      </c>
      <c r="D412" t="inlineStr">
        <is>
          <t>ÖREBRO LÄN</t>
        </is>
      </c>
      <c r="E412" t="inlineStr">
        <is>
          <t>ÖREBRO</t>
        </is>
      </c>
      <c r="G412" t="n">
        <v>4.4</v>
      </c>
      <c r="H412" t="n">
        <v>0</v>
      </c>
      <c r="I412" t="n">
        <v>0</v>
      </c>
      <c r="J412" t="n">
        <v>0</v>
      </c>
      <c r="K412" t="n">
        <v>0</v>
      </c>
      <c r="L412" t="n">
        <v>0</v>
      </c>
      <c r="M412" t="n">
        <v>0</v>
      </c>
      <c r="N412" t="n">
        <v>0</v>
      </c>
      <c r="O412" t="n">
        <v>0</v>
      </c>
      <c r="P412" t="n">
        <v>0</v>
      </c>
      <c r="Q412" t="n">
        <v>0</v>
      </c>
      <c r="R412" s="2" t="inlineStr"/>
    </row>
    <row r="413" ht="15" customHeight="1">
      <c r="A413" t="inlineStr">
        <is>
          <t>A 57247-2022</t>
        </is>
      </c>
      <c r="B413" s="1" t="n">
        <v>44895.73065972222</v>
      </c>
      <c r="C413" s="1" t="n">
        <v>45967</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50311-2025</t>
        </is>
      </c>
      <c r="B414" s="1" t="n">
        <v>45944</v>
      </c>
      <c r="C414" s="1" t="n">
        <v>45967</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51249-2025</t>
        </is>
      </c>
      <c r="B415" s="1" t="n">
        <v>45948.45704861111</v>
      </c>
      <c r="C415" s="1" t="n">
        <v>45967</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59265-2020</t>
        </is>
      </c>
      <c r="B416" s="1" t="n">
        <v>44147.67359953704</v>
      </c>
      <c r="C416" s="1" t="n">
        <v>45967</v>
      </c>
      <c r="D416" t="inlineStr">
        <is>
          <t>ÖREBRO LÄN</t>
        </is>
      </c>
      <c r="E416" t="inlineStr">
        <is>
          <t>ÖREBRO</t>
        </is>
      </c>
      <c r="G416" t="n">
        <v>2.4</v>
      </c>
      <c r="H416" t="n">
        <v>0</v>
      </c>
      <c r="I416" t="n">
        <v>0</v>
      </c>
      <c r="J416" t="n">
        <v>0</v>
      </c>
      <c r="K416" t="n">
        <v>0</v>
      </c>
      <c r="L416" t="n">
        <v>0</v>
      </c>
      <c r="M416" t="n">
        <v>0</v>
      </c>
      <c r="N416" t="n">
        <v>0</v>
      </c>
      <c r="O416" t="n">
        <v>0</v>
      </c>
      <c r="P416" t="n">
        <v>0</v>
      </c>
      <c r="Q416" t="n">
        <v>0</v>
      </c>
      <c r="R416" s="2" t="inlineStr"/>
    </row>
    <row r="417" ht="15" customHeight="1">
      <c r="A417" t="inlineStr">
        <is>
          <t>A 33577-2023</t>
        </is>
      </c>
      <c r="B417" s="1" t="n">
        <v>45131</v>
      </c>
      <c r="C417" s="1" t="n">
        <v>45967</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18360-2024</t>
        </is>
      </c>
      <c r="B418" s="1" t="n">
        <v>45422</v>
      </c>
      <c r="C418" s="1" t="n">
        <v>45967</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7611-2024</t>
        </is>
      </c>
      <c r="B419" s="1" t="n">
        <v>45348.58864583333</v>
      </c>
      <c r="C419" s="1" t="n">
        <v>45967</v>
      </c>
      <c r="D419" t="inlineStr">
        <is>
          <t>ÖREBRO LÄN</t>
        </is>
      </c>
      <c r="E419" t="inlineStr">
        <is>
          <t>ÖREBRO</t>
        </is>
      </c>
      <c r="G419" t="n">
        <v>4.2</v>
      </c>
      <c r="H419" t="n">
        <v>0</v>
      </c>
      <c r="I419" t="n">
        <v>0</v>
      </c>
      <c r="J419" t="n">
        <v>0</v>
      </c>
      <c r="K419" t="n">
        <v>0</v>
      </c>
      <c r="L419" t="n">
        <v>0</v>
      </c>
      <c r="M419" t="n">
        <v>0</v>
      </c>
      <c r="N419" t="n">
        <v>0</v>
      </c>
      <c r="O419" t="n">
        <v>0</v>
      </c>
      <c r="P419" t="n">
        <v>0</v>
      </c>
      <c r="Q419" t="n">
        <v>0</v>
      </c>
      <c r="R419" s="2" t="inlineStr"/>
    </row>
    <row r="420" ht="15" customHeight="1">
      <c r="A420" t="inlineStr">
        <is>
          <t>A 13347-2023</t>
        </is>
      </c>
      <c r="B420" s="1" t="n">
        <v>45004</v>
      </c>
      <c r="C420" s="1" t="n">
        <v>45967</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5136-2024</t>
        </is>
      </c>
      <c r="B421" s="1" t="n">
        <v>45330</v>
      </c>
      <c r="C421" s="1" t="n">
        <v>45967</v>
      </c>
      <c r="D421" t="inlineStr">
        <is>
          <t>ÖREBRO LÄN</t>
        </is>
      </c>
      <c r="E421" t="inlineStr">
        <is>
          <t>ÖREBRO</t>
        </is>
      </c>
      <c r="G421" t="n">
        <v>2.1</v>
      </c>
      <c r="H421" t="n">
        <v>0</v>
      </c>
      <c r="I421" t="n">
        <v>0</v>
      </c>
      <c r="J421" t="n">
        <v>0</v>
      </c>
      <c r="K421" t="n">
        <v>0</v>
      </c>
      <c r="L421" t="n">
        <v>0</v>
      </c>
      <c r="M421" t="n">
        <v>0</v>
      </c>
      <c r="N421" t="n">
        <v>0</v>
      </c>
      <c r="O421" t="n">
        <v>0</v>
      </c>
      <c r="P421" t="n">
        <v>0</v>
      </c>
      <c r="Q421" t="n">
        <v>0</v>
      </c>
      <c r="R421" s="2" t="inlineStr"/>
    </row>
    <row r="422" ht="15" customHeight="1">
      <c r="A422" t="inlineStr">
        <is>
          <t>A 187-2024</t>
        </is>
      </c>
      <c r="B422" s="1" t="n">
        <v>45294</v>
      </c>
      <c r="C422" s="1" t="n">
        <v>45967</v>
      </c>
      <c r="D422" t="inlineStr">
        <is>
          <t>ÖREBRO LÄN</t>
        </is>
      </c>
      <c r="E422" t="inlineStr">
        <is>
          <t>ÖREBRO</t>
        </is>
      </c>
      <c r="G422" t="n">
        <v>5.9</v>
      </c>
      <c r="H422" t="n">
        <v>0</v>
      </c>
      <c r="I422" t="n">
        <v>0</v>
      </c>
      <c r="J422" t="n">
        <v>0</v>
      </c>
      <c r="K422" t="n">
        <v>0</v>
      </c>
      <c r="L422" t="n">
        <v>0</v>
      </c>
      <c r="M422" t="n">
        <v>0</v>
      </c>
      <c r="N422" t="n">
        <v>0</v>
      </c>
      <c r="O422" t="n">
        <v>0</v>
      </c>
      <c r="P422" t="n">
        <v>0</v>
      </c>
      <c r="Q422" t="n">
        <v>0</v>
      </c>
      <c r="R422" s="2" t="inlineStr"/>
    </row>
    <row r="423" ht="15" customHeight="1">
      <c r="A423" t="inlineStr">
        <is>
          <t>A 10832-2023</t>
        </is>
      </c>
      <c r="B423" s="1" t="n">
        <v>44990.91711805556</v>
      </c>
      <c r="C423" s="1" t="n">
        <v>45967</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2596-2022</t>
        </is>
      </c>
      <c r="B424" s="1" t="n">
        <v>44580</v>
      </c>
      <c r="C424" s="1" t="n">
        <v>45967</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5338-2024</t>
        </is>
      </c>
      <c r="B425" s="1" t="n">
        <v>45331</v>
      </c>
      <c r="C425" s="1" t="n">
        <v>45967</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4380-2025</t>
        </is>
      </c>
      <c r="B426" s="1" t="n">
        <v>45686.3959375</v>
      </c>
      <c r="C426" s="1" t="n">
        <v>45967</v>
      </c>
      <c r="D426" t="inlineStr">
        <is>
          <t>ÖREBRO LÄN</t>
        </is>
      </c>
      <c r="E426" t="inlineStr">
        <is>
          <t>ÖREBRO</t>
        </is>
      </c>
      <c r="G426" t="n">
        <v>3.2</v>
      </c>
      <c r="H426" t="n">
        <v>0</v>
      </c>
      <c r="I426" t="n">
        <v>0</v>
      </c>
      <c r="J426" t="n">
        <v>0</v>
      </c>
      <c r="K426" t="n">
        <v>0</v>
      </c>
      <c r="L426" t="n">
        <v>0</v>
      </c>
      <c r="M426" t="n">
        <v>0</v>
      </c>
      <c r="N426" t="n">
        <v>0</v>
      </c>
      <c r="O426" t="n">
        <v>0</v>
      </c>
      <c r="P426" t="n">
        <v>0</v>
      </c>
      <c r="Q426" t="n">
        <v>0</v>
      </c>
      <c r="R426" s="2" t="inlineStr"/>
    </row>
    <row r="427" ht="15" customHeight="1">
      <c r="A427" t="inlineStr">
        <is>
          <t>A 14487-2023</t>
        </is>
      </c>
      <c r="B427" s="1" t="n">
        <v>45012</v>
      </c>
      <c r="C427" s="1" t="n">
        <v>45967</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34358-2022</t>
        </is>
      </c>
      <c r="B428" s="1" t="n">
        <v>44792.45494212963</v>
      </c>
      <c r="C428" s="1" t="n">
        <v>45967</v>
      </c>
      <c r="D428" t="inlineStr">
        <is>
          <t>ÖREBRO LÄN</t>
        </is>
      </c>
      <c r="E428" t="inlineStr">
        <is>
          <t>ÖREBRO</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46757-2021</t>
        </is>
      </c>
      <c r="B429" s="1" t="n">
        <v>44445</v>
      </c>
      <c r="C429" s="1" t="n">
        <v>45967</v>
      </c>
      <c r="D429" t="inlineStr">
        <is>
          <t>ÖREBRO LÄN</t>
        </is>
      </c>
      <c r="E429" t="inlineStr">
        <is>
          <t>ÖREBRO</t>
        </is>
      </c>
      <c r="G429" t="n">
        <v>5.6</v>
      </c>
      <c r="H429" t="n">
        <v>0</v>
      </c>
      <c r="I429" t="n">
        <v>0</v>
      </c>
      <c r="J429" t="n">
        <v>0</v>
      </c>
      <c r="K429" t="n">
        <v>0</v>
      </c>
      <c r="L429" t="n">
        <v>0</v>
      </c>
      <c r="M429" t="n">
        <v>0</v>
      </c>
      <c r="N429" t="n">
        <v>0</v>
      </c>
      <c r="O429" t="n">
        <v>0</v>
      </c>
      <c r="P429" t="n">
        <v>0</v>
      </c>
      <c r="Q429" t="n">
        <v>0</v>
      </c>
      <c r="R429" s="2" t="inlineStr"/>
    </row>
    <row r="430" ht="15" customHeight="1">
      <c r="A430" t="inlineStr">
        <is>
          <t>A 15695-2024</t>
        </is>
      </c>
      <c r="B430" s="1" t="n">
        <v>45404.45487268519</v>
      </c>
      <c r="C430" s="1" t="n">
        <v>45967</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8565-2021</t>
        </is>
      </c>
      <c r="B431" s="1" t="n">
        <v>44245</v>
      </c>
      <c r="C431" s="1" t="n">
        <v>45967</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4970-2022</t>
        </is>
      </c>
      <c r="B432" s="1" t="n">
        <v>44593.51175925926</v>
      </c>
      <c r="C432" s="1" t="n">
        <v>45967</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5406-2025</t>
        </is>
      </c>
      <c r="B433" s="1" t="n">
        <v>45692.64821759259</v>
      </c>
      <c r="C433" s="1" t="n">
        <v>45967</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18047-2023</t>
        </is>
      </c>
      <c r="B434" s="1" t="n">
        <v>45040</v>
      </c>
      <c r="C434" s="1" t="n">
        <v>45967</v>
      </c>
      <c r="D434" t="inlineStr">
        <is>
          <t>ÖREBRO LÄN</t>
        </is>
      </c>
      <c r="E434" t="inlineStr">
        <is>
          <t>ÖREBRO</t>
        </is>
      </c>
      <c r="G434" t="n">
        <v>3.9</v>
      </c>
      <c r="H434" t="n">
        <v>0</v>
      </c>
      <c r="I434" t="n">
        <v>0</v>
      </c>
      <c r="J434" t="n">
        <v>0</v>
      </c>
      <c r="K434" t="n">
        <v>0</v>
      </c>
      <c r="L434" t="n">
        <v>0</v>
      </c>
      <c r="M434" t="n">
        <v>0</v>
      </c>
      <c r="N434" t="n">
        <v>0</v>
      </c>
      <c r="O434" t="n">
        <v>0</v>
      </c>
      <c r="P434" t="n">
        <v>0</v>
      </c>
      <c r="Q434" t="n">
        <v>0</v>
      </c>
      <c r="R434" s="2" t="inlineStr"/>
    </row>
    <row r="435" ht="15" customHeight="1">
      <c r="A435" t="inlineStr">
        <is>
          <t>A 51937-2025</t>
        </is>
      </c>
      <c r="B435" s="1" t="n">
        <v>45952.51270833334</v>
      </c>
      <c r="C435" s="1" t="n">
        <v>45967</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30374-2023</t>
        </is>
      </c>
      <c r="B436" s="1" t="n">
        <v>45111</v>
      </c>
      <c r="C436" s="1" t="n">
        <v>45967</v>
      </c>
      <c r="D436" t="inlineStr">
        <is>
          <t>ÖREBRO LÄN</t>
        </is>
      </c>
      <c r="E436" t="inlineStr">
        <is>
          <t>ÖREBRO</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3789-2023</t>
        </is>
      </c>
      <c r="B437" s="1" t="n">
        <v>44951</v>
      </c>
      <c r="C437" s="1" t="n">
        <v>45967</v>
      </c>
      <c r="D437" t="inlineStr">
        <is>
          <t>ÖREBRO LÄN</t>
        </is>
      </c>
      <c r="E437" t="inlineStr">
        <is>
          <t>ÖREBRO</t>
        </is>
      </c>
      <c r="G437" t="n">
        <v>7.5</v>
      </c>
      <c r="H437" t="n">
        <v>0</v>
      </c>
      <c r="I437" t="n">
        <v>0</v>
      </c>
      <c r="J437" t="n">
        <v>0</v>
      </c>
      <c r="K437" t="n">
        <v>0</v>
      </c>
      <c r="L437" t="n">
        <v>0</v>
      </c>
      <c r="M437" t="n">
        <v>0</v>
      </c>
      <c r="N437" t="n">
        <v>0</v>
      </c>
      <c r="O437" t="n">
        <v>0</v>
      </c>
      <c r="P437" t="n">
        <v>0</v>
      </c>
      <c r="Q437" t="n">
        <v>0</v>
      </c>
      <c r="R437" s="2" t="inlineStr"/>
    </row>
    <row r="438" ht="15" customHeight="1">
      <c r="A438" t="inlineStr">
        <is>
          <t>A 22348-2024</t>
        </is>
      </c>
      <c r="B438" s="1" t="n">
        <v>45446.61256944444</v>
      </c>
      <c r="C438" s="1" t="n">
        <v>45967</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52135-2025</t>
        </is>
      </c>
      <c r="B439" s="1" t="n">
        <v>45952.84231481481</v>
      </c>
      <c r="C439" s="1" t="n">
        <v>45967</v>
      </c>
      <c r="D439" t="inlineStr">
        <is>
          <t>ÖREBRO LÄN</t>
        </is>
      </c>
      <c r="E439" t="inlineStr">
        <is>
          <t>ÖREBRO</t>
        </is>
      </c>
      <c r="G439" t="n">
        <v>4</v>
      </c>
      <c r="H439" t="n">
        <v>0</v>
      </c>
      <c r="I439" t="n">
        <v>0</v>
      </c>
      <c r="J439" t="n">
        <v>0</v>
      </c>
      <c r="K439" t="n">
        <v>0</v>
      </c>
      <c r="L439" t="n">
        <v>0</v>
      </c>
      <c r="M439" t="n">
        <v>0</v>
      </c>
      <c r="N439" t="n">
        <v>0</v>
      </c>
      <c r="O439" t="n">
        <v>0</v>
      </c>
      <c r="P439" t="n">
        <v>0</v>
      </c>
      <c r="Q439" t="n">
        <v>0</v>
      </c>
      <c r="R439" s="2" t="inlineStr"/>
    </row>
    <row r="440" ht="15" customHeight="1">
      <c r="A440" t="inlineStr">
        <is>
          <t>A 51923-2025</t>
        </is>
      </c>
      <c r="B440" s="1" t="n">
        <v>45952.49300925926</v>
      </c>
      <c r="C440" s="1" t="n">
        <v>45967</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52018-2024</t>
        </is>
      </c>
      <c r="B441" s="1" t="n">
        <v>45607.82974537037</v>
      </c>
      <c r="C441" s="1" t="n">
        <v>45967</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30089-2024</t>
        </is>
      </c>
      <c r="B442" s="1" t="n">
        <v>45485</v>
      </c>
      <c r="C442" s="1" t="n">
        <v>45967</v>
      </c>
      <c r="D442" t="inlineStr">
        <is>
          <t>ÖREBRO LÄN</t>
        </is>
      </c>
      <c r="E442" t="inlineStr">
        <is>
          <t>ÖREBRO</t>
        </is>
      </c>
      <c r="G442" t="n">
        <v>2.2</v>
      </c>
      <c r="H442" t="n">
        <v>0</v>
      </c>
      <c r="I442" t="n">
        <v>0</v>
      </c>
      <c r="J442" t="n">
        <v>0</v>
      </c>
      <c r="K442" t="n">
        <v>0</v>
      </c>
      <c r="L442" t="n">
        <v>0</v>
      </c>
      <c r="M442" t="n">
        <v>0</v>
      </c>
      <c r="N442" t="n">
        <v>0</v>
      </c>
      <c r="O442" t="n">
        <v>0</v>
      </c>
      <c r="P442" t="n">
        <v>0</v>
      </c>
      <c r="Q442" t="n">
        <v>0</v>
      </c>
      <c r="R442" s="2" t="inlineStr"/>
    </row>
    <row r="443" ht="15" customHeight="1">
      <c r="A443" t="inlineStr">
        <is>
          <t>A 54678-2023</t>
        </is>
      </c>
      <c r="B443" s="1" t="n">
        <v>45235</v>
      </c>
      <c r="C443" s="1" t="n">
        <v>45967</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71295-2021</t>
        </is>
      </c>
      <c r="B444" s="1" t="n">
        <v>44539.63009259259</v>
      </c>
      <c r="C444" s="1" t="n">
        <v>45967</v>
      </c>
      <c r="D444" t="inlineStr">
        <is>
          <t>ÖREBRO LÄN</t>
        </is>
      </c>
      <c r="E444" t="inlineStr">
        <is>
          <t>ÖREBRO</t>
        </is>
      </c>
      <c r="G444" t="n">
        <v>2.3</v>
      </c>
      <c r="H444" t="n">
        <v>0</v>
      </c>
      <c r="I444" t="n">
        <v>0</v>
      </c>
      <c r="J444" t="n">
        <v>0</v>
      </c>
      <c r="K444" t="n">
        <v>0</v>
      </c>
      <c r="L444" t="n">
        <v>0</v>
      </c>
      <c r="M444" t="n">
        <v>0</v>
      </c>
      <c r="N444" t="n">
        <v>0</v>
      </c>
      <c r="O444" t="n">
        <v>0</v>
      </c>
      <c r="P444" t="n">
        <v>0</v>
      </c>
      <c r="Q444" t="n">
        <v>0</v>
      </c>
      <c r="R444" s="2" t="inlineStr"/>
    </row>
    <row r="445" ht="15" customHeight="1">
      <c r="A445" t="inlineStr">
        <is>
          <t>A 46030-2024</t>
        </is>
      </c>
      <c r="B445" s="1" t="n">
        <v>45580.70377314815</v>
      </c>
      <c r="C445" s="1" t="n">
        <v>45967</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5643-2025</t>
        </is>
      </c>
      <c r="B446" s="1" t="n">
        <v>45693</v>
      </c>
      <c r="C446" s="1" t="n">
        <v>45967</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11516-2024</t>
        </is>
      </c>
      <c r="B447" s="1" t="n">
        <v>45372</v>
      </c>
      <c r="C447" s="1" t="n">
        <v>45967</v>
      </c>
      <c r="D447" t="inlineStr">
        <is>
          <t>ÖREBRO LÄN</t>
        </is>
      </c>
      <c r="E447" t="inlineStr">
        <is>
          <t>ÖREBRO</t>
        </is>
      </c>
      <c r="G447" t="n">
        <v>10.7</v>
      </c>
      <c r="H447" t="n">
        <v>0</v>
      </c>
      <c r="I447" t="n">
        <v>0</v>
      </c>
      <c r="J447" t="n">
        <v>0</v>
      </c>
      <c r="K447" t="n">
        <v>0</v>
      </c>
      <c r="L447" t="n">
        <v>0</v>
      </c>
      <c r="M447" t="n">
        <v>0</v>
      </c>
      <c r="N447" t="n">
        <v>0</v>
      </c>
      <c r="O447" t="n">
        <v>0</v>
      </c>
      <c r="P447" t="n">
        <v>0</v>
      </c>
      <c r="Q447" t="n">
        <v>0</v>
      </c>
      <c r="R447" s="2" t="inlineStr"/>
    </row>
    <row r="448" ht="15" customHeight="1">
      <c r="A448" t="inlineStr">
        <is>
          <t>A 5342-2024</t>
        </is>
      </c>
      <c r="B448" s="1" t="n">
        <v>45331.44145833333</v>
      </c>
      <c r="C448" s="1" t="n">
        <v>45967</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5026-2022</t>
        </is>
      </c>
      <c r="B449" s="1" t="n">
        <v>44593.63974537037</v>
      </c>
      <c r="C449" s="1" t="n">
        <v>45967</v>
      </c>
      <c r="D449" t="inlineStr">
        <is>
          <t>ÖREBRO LÄN</t>
        </is>
      </c>
      <c r="E449" t="inlineStr">
        <is>
          <t>ÖREBRO</t>
        </is>
      </c>
      <c r="G449" t="n">
        <v>1.1</v>
      </c>
      <c r="H449" t="n">
        <v>0</v>
      </c>
      <c r="I449" t="n">
        <v>0</v>
      </c>
      <c r="J449" t="n">
        <v>0</v>
      </c>
      <c r="K449" t="n">
        <v>0</v>
      </c>
      <c r="L449" t="n">
        <v>0</v>
      </c>
      <c r="M449" t="n">
        <v>0</v>
      </c>
      <c r="N449" t="n">
        <v>0</v>
      </c>
      <c r="O449" t="n">
        <v>0</v>
      </c>
      <c r="P449" t="n">
        <v>0</v>
      </c>
      <c r="Q449" t="n">
        <v>0</v>
      </c>
      <c r="R449" s="2" t="inlineStr"/>
    </row>
    <row r="450" ht="15" customHeight="1">
      <c r="A450" t="inlineStr">
        <is>
          <t>A 58219-2024</t>
        </is>
      </c>
      <c r="B450" s="1" t="n">
        <v>45632</v>
      </c>
      <c r="C450" s="1" t="n">
        <v>45967</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51925-2025</t>
        </is>
      </c>
      <c r="B451" s="1" t="n">
        <v>45952.49476851852</v>
      </c>
      <c r="C451" s="1" t="n">
        <v>45967</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42518-2021</t>
        </is>
      </c>
      <c r="B452" s="1" t="n">
        <v>44427.81496527778</v>
      </c>
      <c r="C452" s="1" t="n">
        <v>45967</v>
      </c>
      <c r="D452" t="inlineStr">
        <is>
          <t>ÖREBRO LÄN</t>
        </is>
      </c>
      <c r="E452" t="inlineStr">
        <is>
          <t>ÖREBRO</t>
        </is>
      </c>
      <c r="G452" t="n">
        <v>4.5</v>
      </c>
      <c r="H452" t="n">
        <v>0</v>
      </c>
      <c r="I452" t="n">
        <v>0</v>
      </c>
      <c r="J452" t="n">
        <v>0</v>
      </c>
      <c r="K452" t="n">
        <v>0</v>
      </c>
      <c r="L452" t="n">
        <v>0</v>
      </c>
      <c r="M452" t="n">
        <v>0</v>
      </c>
      <c r="N452" t="n">
        <v>0</v>
      </c>
      <c r="O452" t="n">
        <v>0</v>
      </c>
      <c r="P452" t="n">
        <v>0</v>
      </c>
      <c r="Q452" t="n">
        <v>0</v>
      </c>
      <c r="R452" s="2" t="inlineStr"/>
    </row>
    <row r="453" ht="15" customHeight="1">
      <c r="A453" t="inlineStr">
        <is>
          <t>A 14545-2023</t>
        </is>
      </c>
      <c r="B453" s="1" t="n">
        <v>45013.34895833334</v>
      </c>
      <c r="C453" s="1" t="n">
        <v>45967</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52382-2025</t>
        </is>
      </c>
      <c r="B454" s="1" t="n">
        <v>45953.9559837963</v>
      </c>
      <c r="C454" s="1" t="n">
        <v>45967</v>
      </c>
      <c r="D454" t="inlineStr">
        <is>
          <t>ÖREBRO LÄN</t>
        </is>
      </c>
      <c r="E454" t="inlineStr">
        <is>
          <t>ÖREBRO</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27112-2023</t>
        </is>
      </c>
      <c r="B455" s="1" t="n">
        <v>45096</v>
      </c>
      <c r="C455" s="1" t="n">
        <v>45967</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14524-2025</t>
        </is>
      </c>
      <c r="B456" s="1" t="n">
        <v>45741.64815972222</v>
      </c>
      <c r="C456" s="1" t="n">
        <v>45967</v>
      </c>
      <c r="D456" t="inlineStr">
        <is>
          <t>ÖREBRO LÄN</t>
        </is>
      </c>
      <c r="E456" t="inlineStr">
        <is>
          <t>ÖREBRO</t>
        </is>
      </c>
      <c r="G456" t="n">
        <v>2.8</v>
      </c>
      <c r="H456" t="n">
        <v>0</v>
      </c>
      <c r="I456" t="n">
        <v>0</v>
      </c>
      <c r="J456" t="n">
        <v>0</v>
      </c>
      <c r="K456" t="n">
        <v>0</v>
      </c>
      <c r="L456" t="n">
        <v>0</v>
      </c>
      <c r="M456" t="n">
        <v>0</v>
      </c>
      <c r="N456" t="n">
        <v>0</v>
      </c>
      <c r="O456" t="n">
        <v>0</v>
      </c>
      <c r="P456" t="n">
        <v>0</v>
      </c>
      <c r="Q456" t="n">
        <v>0</v>
      </c>
      <c r="R456" s="2" t="inlineStr"/>
    </row>
    <row r="457" ht="15" customHeight="1">
      <c r="A457" t="inlineStr">
        <is>
          <t>A 54917-2023</t>
        </is>
      </c>
      <c r="B457" s="1" t="n">
        <v>45229</v>
      </c>
      <c r="C457" s="1" t="n">
        <v>45967</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44545.46072916667</v>
      </c>
      <c r="C458" s="1" t="n">
        <v>45967</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43803-2023</t>
        </is>
      </c>
      <c r="B459" s="1" t="n">
        <v>45187</v>
      </c>
      <c r="C459" s="1" t="n">
        <v>45967</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46834-2022</t>
        </is>
      </c>
      <c r="B460" s="1" t="n">
        <v>44851</v>
      </c>
      <c r="C460" s="1" t="n">
        <v>45967</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57638-2022</t>
        </is>
      </c>
      <c r="B461" s="1" t="n">
        <v>44897</v>
      </c>
      <c r="C461" s="1" t="n">
        <v>45967</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15789-2023</t>
        </is>
      </c>
      <c r="B462" s="1" t="n">
        <v>45021.71539351852</v>
      </c>
      <c r="C462" s="1" t="n">
        <v>45967</v>
      </c>
      <c r="D462" t="inlineStr">
        <is>
          <t>ÖREBRO LÄN</t>
        </is>
      </c>
      <c r="E462" t="inlineStr">
        <is>
          <t>ÖREBRO</t>
        </is>
      </c>
      <c r="F462" t="inlineStr">
        <is>
          <t>Övriga Aktiebolag</t>
        </is>
      </c>
      <c r="G462" t="n">
        <v>3.7</v>
      </c>
      <c r="H462" t="n">
        <v>0</v>
      </c>
      <c r="I462" t="n">
        <v>0</v>
      </c>
      <c r="J462" t="n">
        <v>0</v>
      </c>
      <c r="K462" t="n">
        <v>0</v>
      </c>
      <c r="L462" t="n">
        <v>0</v>
      </c>
      <c r="M462" t="n">
        <v>0</v>
      </c>
      <c r="N462" t="n">
        <v>0</v>
      </c>
      <c r="O462" t="n">
        <v>0</v>
      </c>
      <c r="P462" t="n">
        <v>0</v>
      </c>
      <c r="Q462" t="n">
        <v>0</v>
      </c>
      <c r="R462" s="2" t="inlineStr"/>
    </row>
    <row r="463" ht="15" customHeight="1">
      <c r="A463" t="inlineStr">
        <is>
          <t>A 58539-2024</t>
        </is>
      </c>
      <c r="B463" s="1" t="n">
        <v>45635.45157407408</v>
      </c>
      <c r="C463" s="1" t="n">
        <v>45967</v>
      </c>
      <c r="D463" t="inlineStr">
        <is>
          <t>ÖREBRO LÄN</t>
        </is>
      </c>
      <c r="E463" t="inlineStr">
        <is>
          <t>ÖREBRO</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2152-2023</t>
        </is>
      </c>
      <c r="B464" s="1" t="n">
        <v>44941.55056712963</v>
      </c>
      <c r="C464" s="1" t="n">
        <v>45967</v>
      </c>
      <c r="D464" t="inlineStr">
        <is>
          <t>ÖREBRO LÄN</t>
        </is>
      </c>
      <c r="E464" t="inlineStr">
        <is>
          <t>ÖREBRO</t>
        </is>
      </c>
      <c r="G464" t="n">
        <v>8</v>
      </c>
      <c r="H464" t="n">
        <v>0</v>
      </c>
      <c r="I464" t="n">
        <v>0</v>
      </c>
      <c r="J464" t="n">
        <v>0</v>
      </c>
      <c r="K464" t="n">
        <v>0</v>
      </c>
      <c r="L464" t="n">
        <v>0</v>
      </c>
      <c r="M464" t="n">
        <v>0</v>
      </c>
      <c r="N464" t="n">
        <v>0</v>
      </c>
      <c r="O464" t="n">
        <v>0</v>
      </c>
      <c r="P464" t="n">
        <v>0</v>
      </c>
      <c r="Q464" t="n">
        <v>0</v>
      </c>
      <c r="R464" s="2" t="inlineStr"/>
    </row>
    <row r="465" ht="15" customHeight="1">
      <c r="A465" t="inlineStr">
        <is>
          <t>A 25578-2025</t>
        </is>
      </c>
      <c r="B465" s="1" t="n">
        <v>45803.47803240741</v>
      </c>
      <c r="C465" s="1" t="n">
        <v>45967</v>
      </c>
      <c r="D465" t="inlineStr">
        <is>
          <t>ÖREBRO LÄN</t>
        </is>
      </c>
      <c r="E465" t="inlineStr">
        <is>
          <t>ÖREBRO</t>
        </is>
      </c>
      <c r="G465" t="n">
        <v>0.9</v>
      </c>
      <c r="H465" t="n">
        <v>0</v>
      </c>
      <c r="I465" t="n">
        <v>0</v>
      </c>
      <c r="J465" t="n">
        <v>0</v>
      </c>
      <c r="K465" t="n">
        <v>0</v>
      </c>
      <c r="L465" t="n">
        <v>0</v>
      </c>
      <c r="M465" t="n">
        <v>0</v>
      </c>
      <c r="N465" t="n">
        <v>0</v>
      </c>
      <c r="O465" t="n">
        <v>0</v>
      </c>
      <c r="P465" t="n">
        <v>0</v>
      </c>
      <c r="Q465" t="n">
        <v>0</v>
      </c>
      <c r="R465" s="2" t="inlineStr"/>
    </row>
    <row r="466" ht="15" customHeight="1">
      <c r="A466" t="inlineStr">
        <is>
          <t>A 25519-2025</t>
        </is>
      </c>
      <c r="B466" s="1" t="n">
        <v>45803.38447916666</v>
      </c>
      <c r="C466" s="1" t="n">
        <v>45967</v>
      </c>
      <c r="D466" t="inlineStr">
        <is>
          <t>ÖREBRO LÄN</t>
        </is>
      </c>
      <c r="E466" t="inlineStr">
        <is>
          <t>ÖREBRO</t>
        </is>
      </c>
      <c r="G466" t="n">
        <v>7.4</v>
      </c>
      <c r="H466" t="n">
        <v>0</v>
      </c>
      <c r="I466" t="n">
        <v>0</v>
      </c>
      <c r="J466" t="n">
        <v>0</v>
      </c>
      <c r="K466" t="n">
        <v>0</v>
      </c>
      <c r="L466" t="n">
        <v>0</v>
      </c>
      <c r="M466" t="n">
        <v>0</v>
      </c>
      <c r="N466" t="n">
        <v>0</v>
      </c>
      <c r="O466" t="n">
        <v>0</v>
      </c>
      <c r="P466" t="n">
        <v>0</v>
      </c>
      <c r="Q466" t="n">
        <v>0</v>
      </c>
      <c r="R466" s="2" t="inlineStr"/>
    </row>
    <row r="467" ht="15" customHeight="1">
      <c r="A467" t="inlineStr">
        <is>
          <t>A 55745-2023</t>
        </is>
      </c>
      <c r="B467" s="1" t="n">
        <v>45239.44811342593</v>
      </c>
      <c r="C467" s="1" t="n">
        <v>45967</v>
      </c>
      <c r="D467" t="inlineStr">
        <is>
          <t>ÖREBRO LÄN</t>
        </is>
      </c>
      <c r="E467" t="inlineStr">
        <is>
          <t>ÖREBRO</t>
        </is>
      </c>
      <c r="G467" t="n">
        <v>13.3</v>
      </c>
      <c r="H467" t="n">
        <v>0</v>
      </c>
      <c r="I467" t="n">
        <v>0</v>
      </c>
      <c r="J467" t="n">
        <v>0</v>
      </c>
      <c r="K467" t="n">
        <v>0</v>
      </c>
      <c r="L467" t="n">
        <v>0</v>
      </c>
      <c r="M467" t="n">
        <v>0</v>
      </c>
      <c r="N467" t="n">
        <v>0</v>
      </c>
      <c r="O467" t="n">
        <v>0</v>
      </c>
      <c r="P467" t="n">
        <v>0</v>
      </c>
      <c r="Q467" t="n">
        <v>0</v>
      </c>
      <c r="R467" s="2" t="inlineStr"/>
    </row>
    <row r="468" ht="15" customHeight="1">
      <c r="A468" t="inlineStr">
        <is>
          <t>A 71285-2021</t>
        </is>
      </c>
      <c r="B468" s="1" t="n">
        <v>44539.62236111111</v>
      </c>
      <c r="C468" s="1" t="n">
        <v>45967</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59757-2023</t>
        </is>
      </c>
      <c r="B469" s="1" t="n">
        <v>45257.40833333333</v>
      </c>
      <c r="C469" s="1" t="n">
        <v>45967</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17869-2024</t>
        </is>
      </c>
      <c r="B470" s="1" t="n">
        <v>45419</v>
      </c>
      <c r="C470" s="1" t="n">
        <v>45967</v>
      </c>
      <c r="D470" t="inlineStr">
        <is>
          <t>ÖREBRO LÄN</t>
        </is>
      </c>
      <c r="E470" t="inlineStr">
        <is>
          <t>ÖREBRO</t>
        </is>
      </c>
      <c r="G470" t="n">
        <v>3.7</v>
      </c>
      <c r="H470" t="n">
        <v>0</v>
      </c>
      <c r="I470" t="n">
        <v>0</v>
      </c>
      <c r="J470" t="n">
        <v>0</v>
      </c>
      <c r="K470" t="n">
        <v>0</v>
      </c>
      <c r="L470" t="n">
        <v>0</v>
      </c>
      <c r="M470" t="n">
        <v>0</v>
      </c>
      <c r="N470" t="n">
        <v>0</v>
      </c>
      <c r="O470" t="n">
        <v>0</v>
      </c>
      <c r="P470" t="n">
        <v>0</v>
      </c>
      <c r="Q470" t="n">
        <v>0</v>
      </c>
      <c r="R470" s="2" t="inlineStr"/>
    </row>
    <row r="471" ht="15" customHeight="1">
      <c r="A471" t="inlineStr">
        <is>
          <t>A 71272-2021</t>
        </is>
      </c>
      <c r="B471" s="1" t="n">
        <v>44539.61571759259</v>
      </c>
      <c r="C471" s="1" t="n">
        <v>45967</v>
      </c>
      <c r="D471" t="inlineStr">
        <is>
          <t>ÖREBRO LÄN</t>
        </is>
      </c>
      <c r="E471" t="inlineStr">
        <is>
          <t>ÖREBRO</t>
        </is>
      </c>
      <c r="G471" t="n">
        <v>0.9</v>
      </c>
      <c r="H471" t="n">
        <v>0</v>
      </c>
      <c r="I471" t="n">
        <v>0</v>
      </c>
      <c r="J471" t="n">
        <v>0</v>
      </c>
      <c r="K471" t="n">
        <v>0</v>
      </c>
      <c r="L471" t="n">
        <v>0</v>
      </c>
      <c r="M471" t="n">
        <v>0</v>
      </c>
      <c r="N471" t="n">
        <v>0</v>
      </c>
      <c r="O471" t="n">
        <v>0</v>
      </c>
      <c r="P471" t="n">
        <v>0</v>
      </c>
      <c r="Q471" t="n">
        <v>0</v>
      </c>
      <c r="R471" s="2" t="inlineStr"/>
    </row>
    <row r="472" ht="15" customHeight="1">
      <c r="A472" t="inlineStr">
        <is>
          <t>A 4557-2023</t>
        </is>
      </c>
      <c r="B472" s="1" t="n">
        <v>44956.6655787037</v>
      </c>
      <c r="C472" s="1" t="n">
        <v>45967</v>
      </c>
      <c r="D472" t="inlineStr">
        <is>
          <t>ÖREBRO LÄN</t>
        </is>
      </c>
      <c r="E472" t="inlineStr">
        <is>
          <t>ÖREBRO</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60100-2022</t>
        </is>
      </c>
      <c r="B473" s="1" t="n">
        <v>44902</v>
      </c>
      <c r="C473" s="1" t="n">
        <v>45967</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60289-2023</t>
        </is>
      </c>
      <c r="B474" s="1" t="n">
        <v>45257</v>
      </c>
      <c r="C474" s="1" t="n">
        <v>45967</v>
      </c>
      <c r="D474" t="inlineStr">
        <is>
          <t>ÖREBRO LÄN</t>
        </is>
      </c>
      <c r="E474" t="inlineStr">
        <is>
          <t>ÖREBRO</t>
        </is>
      </c>
      <c r="G474" t="n">
        <v>10.9</v>
      </c>
      <c r="H474" t="n">
        <v>0</v>
      </c>
      <c r="I474" t="n">
        <v>0</v>
      </c>
      <c r="J474" t="n">
        <v>0</v>
      </c>
      <c r="K474" t="n">
        <v>0</v>
      </c>
      <c r="L474" t="n">
        <v>0</v>
      </c>
      <c r="M474" t="n">
        <v>0</v>
      </c>
      <c r="N474" t="n">
        <v>0</v>
      </c>
      <c r="O474" t="n">
        <v>0</v>
      </c>
      <c r="P474" t="n">
        <v>0</v>
      </c>
      <c r="Q474" t="n">
        <v>0</v>
      </c>
      <c r="R474" s="2" t="inlineStr"/>
    </row>
    <row r="475" ht="15" customHeight="1">
      <c r="A475" t="inlineStr">
        <is>
          <t>A 17465-2023</t>
        </is>
      </c>
      <c r="B475" s="1" t="n">
        <v>45036</v>
      </c>
      <c r="C475" s="1" t="n">
        <v>45967</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12099-2023</t>
        </is>
      </c>
      <c r="B476" s="1" t="n">
        <v>44998.37043981482</v>
      </c>
      <c r="C476" s="1" t="n">
        <v>45967</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6213-2021</t>
        </is>
      </c>
      <c r="B477" s="1" t="n">
        <v>44232</v>
      </c>
      <c r="C477" s="1" t="n">
        <v>45967</v>
      </c>
      <c r="D477" t="inlineStr">
        <is>
          <t>ÖREBRO LÄN</t>
        </is>
      </c>
      <c r="E477" t="inlineStr">
        <is>
          <t>ÖREBRO</t>
        </is>
      </c>
      <c r="G477" t="n">
        <v>4</v>
      </c>
      <c r="H477" t="n">
        <v>0</v>
      </c>
      <c r="I477" t="n">
        <v>0</v>
      </c>
      <c r="J477" t="n">
        <v>0</v>
      </c>
      <c r="K477" t="n">
        <v>0</v>
      </c>
      <c r="L477" t="n">
        <v>0</v>
      </c>
      <c r="M477" t="n">
        <v>0</v>
      </c>
      <c r="N477" t="n">
        <v>0</v>
      </c>
      <c r="O477" t="n">
        <v>0</v>
      </c>
      <c r="P477" t="n">
        <v>0</v>
      </c>
      <c r="Q477" t="n">
        <v>0</v>
      </c>
      <c r="R477" s="2" t="inlineStr"/>
    </row>
    <row r="478" ht="15" customHeight="1">
      <c r="A478" t="inlineStr">
        <is>
          <t>A 52016-2024</t>
        </is>
      </c>
      <c r="B478" s="1" t="n">
        <v>45607.81917824074</v>
      </c>
      <c r="C478" s="1" t="n">
        <v>45967</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52477-2024</t>
        </is>
      </c>
      <c r="B479" s="1" t="n">
        <v>45609</v>
      </c>
      <c r="C479" s="1" t="n">
        <v>45967</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58277-2022</t>
        </is>
      </c>
      <c r="B480" s="1" t="n">
        <v>44901.48108796297</v>
      </c>
      <c r="C480" s="1" t="n">
        <v>45967</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53558-2023</t>
        </is>
      </c>
      <c r="B481" s="1" t="n">
        <v>45230.47266203703</v>
      </c>
      <c r="C481" s="1" t="n">
        <v>45967</v>
      </c>
      <c r="D481" t="inlineStr">
        <is>
          <t>ÖREBRO LÄN</t>
        </is>
      </c>
      <c r="E481" t="inlineStr">
        <is>
          <t>ÖREBRO</t>
        </is>
      </c>
      <c r="F481" t="inlineStr">
        <is>
          <t>Övriga Aktiebolag</t>
        </is>
      </c>
      <c r="G481" t="n">
        <v>4.7</v>
      </c>
      <c r="H481" t="n">
        <v>0</v>
      </c>
      <c r="I481" t="n">
        <v>0</v>
      </c>
      <c r="J481" t="n">
        <v>0</v>
      </c>
      <c r="K481" t="n">
        <v>0</v>
      </c>
      <c r="L481" t="n">
        <v>0</v>
      </c>
      <c r="M481" t="n">
        <v>0</v>
      </c>
      <c r="N481" t="n">
        <v>0</v>
      </c>
      <c r="O481" t="n">
        <v>0</v>
      </c>
      <c r="P481" t="n">
        <v>0</v>
      </c>
      <c r="Q481" t="n">
        <v>0</v>
      </c>
      <c r="R481" s="2" t="inlineStr"/>
    </row>
    <row r="482" ht="15" customHeight="1">
      <c r="A482" t="inlineStr">
        <is>
          <t>A 31906-2023</t>
        </is>
      </c>
      <c r="B482" s="1" t="n">
        <v>45118.8353125</v>
      </c>
      <c r="C482" s="1" t="n">
        <v>45967</v>
      </c>
      <c r="D482" t="inlineStr">
        <is>
          <t>ÖREBRO LÄN</t>
        </is>
      </c>
      <c r="E482" t="inlineStr">
        <is>
          <t>ÖREBRO</t>
        </is>
      </c>
      <c r="G482" t="n">
        <v>9</v>
      </c>
      <c r="H482" t="n">
        <v>0</v>
      </c>
      <c r="I482" t="n">
        <v>0</v>
      </c>
      <c r="J482" t="n">
        <v>0</v>
      </c>
      <c r="K482" t="n">
        <v>0</v>
      </c>
      <c r="L482" t="n">
        <v>0</v>
      </c>
      <c r="M482" t="n">
        <v>0</v>
      </c>
      <c r="N482" t="n">
        <v>0</v>
      </c>
      <c r="O482" t="n">
        <v>0</v>
      </c>
      <c r="P482" t="n">
        <v>0</v>
      </c>
      <c r="Q482" t="n">
        <v>0</v>
      </c>
      <c r="R482" s="2" t="inlineStr"/>
    </row>
    <row r="483" ht="15" customHeight="1">
      <c r="A483" t="inlineStr">
        <is>
          <t>A 35843-2022</t>
        </is>
      </c>
      <c r="B483" s="1" t="n">
        <v>44802</v>
      </c>
      <c r="C483" s="1" t="n">
        <v>45967</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6387-2021</t>
        </is>
      </c>
      <c r="B484" s="1" t="n">
        <v>44235</v>
      </c>
      <c r="C484" s="1" t="n">
        <v>45967</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10937-2024</t>
        </is>
      </c>
      <c r="B485" s="1" t="n">
        <v>45370.44461805555</v>
      </c>
      <c r="C485" s="1" t="n">
        <v>45967</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22079-2023</t>
        </is>
      </c>
      <c r="B486" s="1" t="n">
        <v>45069</v>
      </c>
      <c r="C486" s="1" t="n">
        <v>45967</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52447-2024</t>
        </is>
      </c>
      <c r="B487" s="1" t="n">
        <v>45609.49157407408</v>
      </c>
      <c r="C487" s="1" t="n">
        <v>45967</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3841-2023</t>
        </is>
      </c>
      <c r="B488" s="1" t="n">
        <v>44951</v>
      </c>
      <c r="C488" s="1" t="n">
        <v>45967</v>
      </c>
      <c r="D488" t="inlineStr">
        <is>
          <t>ÖREBRO LÄN</t>
        </is>
      </c>
      <c r="E488" t="inlineStr">
        <is>
          <t>ÖREBRO</t>
        </is>
      </c>
      <c r="G488" t="n">
        <v>4.3</v>
      </c>
      <c r="H488" t="n">
        <v>0</v>
      </c>
      <c r="I488" t="n">
        <v>0</v>
      </c>
      <c r="J488" t="n">
        <v>0</v>
      </c>
      <c r="K488" t="n">
        <v>0</v>
      </c>
      <c r="L488" t="n">
        <v>0</v>
      </c>
      <c r="M488" t="n">
        <v>0</v>
      </c>
      <c r="N488" t="n">
        <v>0</v>
      </c>
      <c r="O488" t="n">
        <v>0</v>
      </c>
      <c r="P488" t="n">
        <v>0</v>
      </c>
      <c r="Q488" t="n">
        <v>0</v>
      </c>
      <c r="R488" s="2" t="inlineStr"/>
    </row>
    <row r="489" ht="15" customHeight="1">
      <c r="A489" t="inlineStr">
        <is>
          <t>A 51373-2023</t>
        </is>
      </c>
      <c r="B489" s="1" t="n">
        <v>45213</v>
      </c>
      <c r="C489" s="1" t="n">
        <v>45967</v>
      </c>
      <c r="D489" t="inlineStr">
        <is>
          <t>ÖREBRO LÄN</t>
        </is>
      </c>
      <c r="E489" t="inlineStr">
        <is>
          <t>ÖREBRO</t>
        </is>
      </c>
      <c r="G489" t="n">
        <v>5.9</v>
      </c>
      <c r="H489" t="n">
        <v>0</v>
      </c>
      <c r="I489" t="n">
        <v>0</v>
      </c>
      <c r="J489" t="n">
        <v>0</v>
      </c>
      <c r="K489" t="n">
        <v>0</v>
      </c>
      <c r="L489" t="n">
        <v>0</v>
      </c>
      <c r="M489" t="n">
        <v>0</v>
      </c>
      <c r="N489" t="n">
        <v>0</v>
      </c>
      <c r="O489" t="n">
        <v>0</v>
      </c>
      <c r="P489" t="n">
        <v>0</v>
      </c>
      <c r="Q489" t="n">
        <v>0</v>
      </c>
      <c r="R489" s="2" t="inlineStr"/>
    </row>
    <row r="490" ht="15" customHeight="1">
      <c r="A490" t="inlineStr">
        <is>
          <t>A 1257-2022</t>
        </is>
      </c>
      <c r="B490" s="1" t="n">
        <v>44572</v>
      </c>
      <c r="C490" s="1" t="n">
        <v>45967</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30743-2025</t>
        </is>
      </c>
      <c r="B491" s="1" t="n">
        <v>45831</v>
      </c>
      <c r="C491" s="1" t="n">
        <v>45967</v>
      </c>
      <c r="D491" t="inlineStr">
        <is>
          <t>ÖREBRO LÄN</t>
        </is>
      </c>
      <c r="E491" t="inlineStr">
        <is>
          <t>ÖREBRO</t>
        </is>
      </c>
      <c r="G491" t="n">
        <v>2.9</v>
      </c>
      <c r="H491" t="n">
        <v>0</v>
      </c>
      <c r="I491" t="n">
        <v>0</v>
      </c>
      <c r="J491" t="n">
        <v>0</v>
      </c>
      <c r="K491" t="n">
        <v>0</v>
      </c>
      <c r="L491" t="n">
        <v>0</v>
      </c>
      <c r="M491" t="n">
        <v>0</v>
      </c>
      <c r="N491" t="n">
        <v>0</v>
      </c>
      <c r="O491" t="n">
        <v>0</v>
      </c>
      <c r="P491" t="n">
        <v>0</v>
      </c>
      <c r="Q491" t="n">
        <v>0</v>
      </c>
      <c r="R491" s="2" t="inlineStr"/>
    </row>
    <row r="492" ht="15" customHeight="1">
      <c r="A492" t="inlineStr">
        <is>
          <t>A 53443-2025</t>
        </is>
      </c>
      <c r="B492" s="1" t="n">
        <v>45959.6444675926</v>
      </c>
      <c r="C492" s="1" t="n">
        <v>45967</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44875-2025</t>
        </is>
      </c>
      <c r="B493" s="1" t="n">
        <v>45918.47043981482</v>
      </c>
      <c r="C493" s="1" t="n">
        <v>45967</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40656-2023</t>
        </is>
      </c>
      <c r="B494" s="1" t="n">
        <v>45170</v>
      </c>
      <c r="C494" s="1" t="n">
        <v>45967</v>
      </c>
      <c r="D494" t="inlineStr">
        <is>
          <t>ÖREBRO LÄN</t>
        </is>
      </c>
      <c r="E494" t="inlineStr">
        <is>
          <t>ÖREBRO</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53350-2025</t>
        </is>
      </c>
      <c r="B495" s="1" t="n">
        <v>45959.43827546296</v>
      </c>
      <c r="C495" s="1" t="n">
        <v>45967</v>
      </c>
      <c r="D495" t="inlineStr">
        <is>
          <t>ÖREBRO LÄN</t>
        </is>
      </c>
      <c r="E495" t="inlineStr">
        <is>
          <t>ÖREBRO</t>
        </is>
      </c>
      <c r="G495" t="n">
        <v>4.1</v>
      </c>
      <c r="H495" t="n">
        <v>0</v>
      </c>
      <c r="I495" t="n">
        <v>0</v>
      </c>
      <c r="J495" t="n">
        <v>0</v>
      </c>
      <c r="K495" t="n">
        <v>0</v>
      </c>
      <c r="L495" t="n">
        <v>0</v>
      </c>
      <c r="M495" t="n">
        <v>0</v>
      </c>
      <c r="N495" t="n">
        <v>0</v>
      </c>
      <c r="O495" t="n">
        <v>0</v>
      </c>
      <c r="P495" t="n">
        <v>0</v>
      </c>
      <c r="Q495" t="n">
        <v>0</v>
      </c>
      <c r="R495" s="2" t="inlineStr"/>
    </row>
    <row r="496" ht="15" customHeight="1">
      <c r="A496" t="inlineStr">
        <is>
          <t>A 53715-2025</t>
        </is>
      </c>
      <c r="B496" s="1" t="n">
        <v>45960.61763888889</v>
      </c>
      <c r="C496" s="1" t="n">
        <v>45967</v>
      </c>
      <c r="D496" t="inlineStr">
        <is>
          <t>ÖREBRO LÄN</t>
        </is>
      </c>
      <c r="E496" t="inlineStr">
        <is>
          <t>ÖREBRO</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22677-2022</t>
        </is>
      </c>
      <c r="B497" s="1" t="n">
        <v>44714</v>
      </c>
      <c r="C497" s="1" t="n">
        <v>45967</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38489-2023</t>
        </is>
      </c>
      <c r="B498" s="1" t="n">
        <v>45162</v>
      </c>
      <c r="C498" s="1" t="n">
        <v>45967</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53343-2025</t>
        </is>
      </c>
      <c r="B499" s="1" t="n">
        <v>45959.42025462963</v>
      </c>
      <c r="C499" s="1" t="n">
        <v>45967</v>
      </c>
      <c r="D499" t="inlineStr">
        <is>
          <t>ÖREBRO LÄN</t>
        </is>
      </c>
      <c r="E499" t="inlineStr">
        <is>
          <t>ÖREBRO</t>
        </is>
      </c>
      <c r="G499" t="n">
        <v>0.5</v>
      </c>
      <c r="H499" t="n">
        <v>0</v>
      </c>
      <c r="I499" t="n">
        <v>0</v>
      </c>
      <c r="J499" t="n">
        <v>0</v>
      </c>
      <c r="K499" t="n">
        <v>0</v>
      </c>
      <c r="L499" t="n">
        <v>0</v>
      </c>
      <c r="M499" t="n">
        <v>0</v>
      </c>
      <c r="N499" t="n">
        <v>0</v>
      </c>
      <c r="O499" t="n">
        <v>0</v>
      </c>
      <c r="P499" t="n">
        <v>0</v>
      </c>
      <c r="Q499" t="n">
        <v>0</v>
      </c>
      <c r="R499" s="2" t="inlineStr"/>
    </row>
    <row r="500" ht="15" customHeight="1">
      <c r="A500" t="inlineStr">
        <is>
          <t>A 71288-2021</t>
        </is>
      </c>
      <c r="B500" s="1" t="n">
        <v>44539.62481481482</v>
      </c>
      <c r="C500" s="1" t="n">
        <v>45967</v>
      </c>
      <c r="D500" t="inlineStr">
        <is>
          <t>ÖREBRO LÄN</t>
        </is>
      </c>
      <c r="E500" t="inlineStr">
        <is>
          <t>ÖREBRO</t>
        </is>
      </c>
      <c r="G500" t="n">
        <v>3.9</v>
      </c>
      <c r="H500" t="n">
        <v>0</v>
      </c>
      <c r="I500" t="n">
        <v>0</v>
      </c>
      <c r="J500" t="n">
        <v>0</v>
      </c>
      <c r="K500" t="n">
        <v>0</v>
      </c>
      <c r="L500" t="n">
        <v>0</v>
      </c>
      <c r="M500" t="n">
        <v>0</v>
      </c>
      <c r="N500" t="n">
        <v>0</v>
      </c>
      <c r="O500" t="n">
        <v>0</v>
      </c>
      <c r="P500" t="n">
        <v>0</v>
      </c>
      <c r="Q500" t="n">
        <v>0</v>
      </c>
      <c r="R500" s="2" t="inlineStr"/>
    </row>
    <row r="501" ht="15" customHeight="1">
      <c r="A501" t="inlineStr">
        <is>
          <t>A 10830-2023</t>
        </is>
      </c>
      <c r="B501" s="1" t="n">
        <v>44990.89752314815</v>
      </c>
      <c r="C501" s="1" t="n">
        <v>45967</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7692-2023</t>
        </is>
      </c>
      <c r="B502" s="1" t="n">
        <v>44972.7762962963</v>
      </c>
      <c r="C502" s="1" t="n">
        <v>45967</v>
      </c>
      <c r="D502" t="inlineStr">
        <is>
          <t>ÖREBRO LÄN</t>
        </is>
      </c>
      <c r="E502" t="inlineStr">
        <is>
          <t>ÖREBRO</t>
        </is>
      </c>
      <c r="G502" t="n">
        <v>1.5</v>
      </c>
      <c r="H502" t="n">
        <v>0</v>
      </c>
      <c r="I502" t="n">
        <v>0</v>
      </c>
      <c r="J502" t="n">
        <v>0</v>
      </c>
      <c r="K502" t="n">
        <v>0</v>
      </c>
      <c r="L502" t="n">
        <v>0</v>
      </c>
      <c r="M502" t="n">
        <v>0</v>
      </c>
      <c r="N502" t="n">
        <v>0</v>
      </c>
      <c r="O502" t="n">
        <v>0</v>
      </c>
      <c r="P502" t="n">
        <v>0</v>
      </c>
      <c r="Q502" t="n">
        <v>0</v>
      </c>
      <c r="R502" s="2" t="inlineStr"/>
    </row>
    <row r="503" ht="15" customHeight="1">
      <c r="A503" t="inlineStr">
        <is>
          <t>A 70719-2021</t>
        </is>
      </c>
      <c r="B503" s="1" t="n">
        <v>44537</v>
      </c>
      <c r="C503" s="1" t="n">
        <v>45967</v>
      </c>
      <c r="D503" t="inlineStr">
        <is>
          <t>ÖREBRO LÄN</t>
        </is>
      </c>
      <c r="E503" t="inlineStr">
        <is>
          <t>ÖREBRO</t>
        </is>
      </c>
      <c r="G503" t="n">
        <v>4.3</v>
      </c>
      <c r="H503" t="n">
        <v>0</v>
      </c>
      <c r="I503" t="n">
        <v>0</v>
      </c>
      <c r="J503" t="n">
        <v>0</v>
      </c>
      <c r="K503" t="n">
        <v>0</v>
      </c>
      <c r="L503" t="n">
        <v>0</v>
      </c>
      <c r="M503" t="n">
        <v>0</v>
      </c>
      <c r="N503" t="n">
        <v>0</v>
      </c>
      <c r="O503" t="n">
        <v>0</v>
      </c>
      <c r="P503" t="n">
        <v>0</v>
      </c>
      <c r="Q503" t="n">
        <v>0</v>
      </c>
      <c r="R503" s="2" t="inlineStr"/>
    </row>
    <row r="504" ht="15" customHeight="1">
      <c r="A504" t="inlineStr">
        <is>
          <t>A 38573-2023</t>
        </is>
      </c>
      <c r="B504" s="1" t="n">
        <v>45162.61837962963</v>
      </c>
      <c r="C504" s="1" t="n">
        <v>45967</v>
      </c>
      <c r="D504" t="inlineStr">
        <is>
          <t>ÖREBRO LÄN</t>
        </is>
      </c>
      <c r="E504" t="inlineStr">
        <is>
          <t>ÖREBRO</t>
        </is>
      </c>
      <c r="G504" t="n">
        <v>2.2</v>
      </c>
      <c r="H504" t="n">
        <v>0</v>
      </c>
      <c r="I504" t="n">
        <v>0</v>
      </c>
      <c r="J504" t="n">
        <v>0</v>
      </c>
      <c r="K504" t="n">
        <v>0</v>
      </c>
      <c r="L504" t="n">
        <v>0</v>
      </c>
      <c r="M504" t="n">
        <v>0</v>
      </c>
      <c r="N504" t="n">
        <v>0</v>
      </c>
      <c r="O504" t="n">
        <v>0</v>
      </c>
      <c r="P504" t="n">
        <v>0</v>
      </c>
      <c r="Q504" t="n">
        <v>0</v>
      </c>
      <c r="R504" s="2" t="inlineStr"/>
    </row>
    <row r="505" ht="15" customHeight="1">
      <c r="A505" t="inlineStr">
        <is>
          <t>A 4757-2024</t>
        </is>
      </c>
      <c r="B505" s="1" t="n">
        <v>45328</v>
      </c>
      <c r="C505" s="1" t="n">
        <v>45967</v>
      </c>
      <c r="D505" t="inlineStr">
        <is>
          <t>ÖREBRO LÄN</t>
        </is>
      </c>
      <c r="E505" t="inlineStr">
        <is>
          <t>ÖREBRO</t>
        </is>
      </c>
      <c r="G505" t="n">
        <v>1.9</v>
      </c>
      <c r="H505" t="n">
        <v>0</v>
      </c>
      <c r="I505" t="n">
        <v>0</v>
      </c>
      <c r="J505" t="n">
        <v>0</v>
      </c>
      <c r="K505" t="n">
        <v>0</v>
      </c>
      <c r="L505" t="n">
        <v>0</v>
      </c>
      <c r="M505" t="n">
        <v>0</v>
      </c>
      <c r="N505" t="n">
        <v>0</v>
      </c>
      <c r="O505" t="n">
        <v>0</v>
      </c>
      <c r="P505" t="n">
        <v>0</v>
      </c>
      <c r="Q505" t="n">
        <v>0</v>
      </c>
      <c r="R505" s="2" t="inlineStr"/>
    </row>
    <row r="506" ht="15" customHeight="1">
      <c r="A506" t="inlineStr">
        <is>
          <t>A 31240-2023</t>
        </is>
      </c>
      <c r="B506" s="1" t="n">
        <v>45114</v>
      </c>
      <c r="C506" s="1" t="n">
        <v>45967</v>
      </c>
      <c r="D506" t="inlineStr">
        <is>
          <t>ÖREBRO LÄN</t>
        </is>
      </c>
      <c r="E506" t="inlineStr">
        <is>
          <t>ÖREBRO</t>
        </is>
      </c>
      <c r="F506" t="inlineStr">
        <is>
          <t>Allmännings- och besparingsskogar</t>
        </is>
      </c>
      <c r="G506" t="n">
        <v>6.2</v>
      </c>
      <c r="H506" t="n">
        <v>0</v>
      </c>
      <c r="I506" t="n">
        <v>0</v>
      </c>
      <c r="J506" t="n">
        <v>0</v>
      </c>
      <c r="K506" t="n">
        <v>0</v>
      </c>
      <c r="L506" t="n">
        <v>0</v>
      </c>
      <c r="M506" t="n">
        <v>0</v>
      </c>
      <c r="N506" t="n">
        <v>0</v>
      </c>
      <c r="O506" t="n">
        <v>0</v>
      </c>
      <c r="P506" t="n">
        <v>0</v>
      </c>
      <c r="Q506" t="n">
        <v>0</v>
      </c>
      <c r="R506" s="2" t="inlineStr"/>
    </row>
    <row r="507" ht="15" customHeight="1">
      <c r="A507" t="inlineStr">
        <is>
          <t>A 53719-2025</t>
        </is>
      </c>
      <c r="B507" s="1" t="n">
        <v>45960.62042824074</v>
      </c>
      <c r="C507" s="1" t="n">
        <v>45967</v>
      </c>
      <c r="D507" t="inlineStr">
        <is>
          <t>ÖREBRO LÄN</t>
        </is>
      </c>
      <c r="E507" t="inlineStr">
        <is>
          <t>ÖREBRO</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48140-2024</t>
        </is>
      </c>
      <c r="B508" s="1" t="n">
        <v>45589.66474537037</v>
      </c>
      <c r="C508" s="1" t="n">
        <v>45967</v>
      </c>
      <c r="D508" t="inlineStr">
        <is>
          <t>ÖREBRO LÄN</t>
        </is>
      </c>
      <c r="E508" t="inlineStr">
        <is>
          <t>ÖREBRO</t>
        </is>
      </c>
      <c r="G508" t="n">
        <v>2.4</v>
      </c>
      <c r="H508" t="n">
        <v>0</v>
      </c>
      <c r="I508" t="n">
        <v>0</v>
      </c>
      <c r="J508" t="n">
        <v>0</v>
      </c>
      <c r="K508" t="n">
        <v>0</v>
      </c>
      <c r="L508" t="n">
        <v>0</v>
      </c>
      <c r="M508" t="n">
        <v>0</v>
      </c>
      <c r="N508" t="n">
        <v>0</v>
      </c>
      <c r="O508" t="n">
        <v>0</v>
      </c>
      <c r="P508" t="n">
        <v>0</v>
      </c>
      <c r="Q508" t="n">
        <v>0</v>
      </c>
      <c r="R508" s="2" t="inlineStr"/>
    </row>
    <row r="509" ht="15" customHeight="1">
      <c r="A509" t="inlineStr">
        <is>
          <t>A 2658-2023</t>
        </is>
      </c>
      <c r="B509" s="1" t="n">
        <v>44944</v>
      </c>
      <c r="C509" s="1" t="n">
        <v>45967</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11565-2023</t>
        </is>
      </c>
      <c r="B510" s="1" t="n">
        <v>44994</v>
      </c>
      <c r="C510" s="1" t="n">
        <v>45967</v>
      </c>
      <c r="D510" t="inlineStr">
        <is>
          <t>ÖREBRO LÄN</t>
        </is>
      </c>
      <c r="E510" t="inlineStr">
        <is>
          <t>ÖREBRO</t>
        </is>
      </c>
      <c r="G510" t="n">
        <v>4.7</v>
      </c>
      <c r="H510" t="n">
        <v>0</v>
      </c>
      <c r="I510" t="n">
        <v>0</v>
      </c>
      <c r="J510" t="n">
        <v>0</v>
      </c>
      <c r="K510" t="n">
        <v>0</v>
      </c>
      <c r="L510" t="n">
        <v>0</v>
      </c>
      <c r="M510" t="n">
        <v>0</v>
      </c>
      <c r="N510" t="n">
        <v>0</v>
      </c>
      <c r="O510" t="n">
        <v>0</v>
      </c>
      <c r="P510" t="n">
        <v>0</v>
      </c>
      <c r="Q510" t="n">
        <v>0</v>
      </c>
      <c r="R510" s="2" t="inlineStr"/>
    </row>
    <row r="511" ht="15" customHeight="1">
      <c r="A511" t="inlineStr">
        <is>
          <t>A 44960-2025</t>
        </is>
      </c>
      <c r="B511" s="1" t="n">
        <v>45918.61577546296</v>
      </c>
      <c r="C511" s="1" t="n">
        <v>45967</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16736-2023</t>
        </is>
      </c>
      <c r="B512" s="1" t="n">
        <v>45030.72328703704</v>
      </c>
      <c r="C512" s="1" t="n">
        <v>45967</v>
      </c>
      <c r="D512" t="inlineStr">
        <is>
          <t>ÖREBRO LÄN</t>
        </is>
      </c>
      <c r="E512" t="inlineStr">
        <is>
          <t>ÖREBRO</t>
        </is>
      </c>
      <c r="G512" t="n">
        <v>4</v>
      </c>
      <c r="H512" t="n">
        <v>0</v>
      </c>
      <c r="I512" t="n">
        <v>0</v>
      </c>
      <c r="J512" t="n">
        <v>0</v>
      </c>
      <c r="K512" t="n">
        <v>0</v>
      </c>
      <c r="L512" t="n">
        <v>0</v>
      </c>
      <c r="M512" t="n">
        <v>0</v>
      </c>
      <c r="N512" t="n">
        <v>0</v>
      </c>
      <c r="O512" t="n">
        <v>0</v>
      </c>
      <c r="P512" t="n">
        <v>0</v>
      </c>
      <c r="Q512" t="n">
        <v>0</v>
      </c>
      <c r="R512" s="2" t="inlineStr"/>
    </row>
    <row r="513" ht="15" customHeight="1">
      <c r="A513" t="inlineStr">
        <is>
          <t>A 53342-2025</t>
        </is>
      </c>
      <c r="B513" s="1" t="n">
        <v>45959.41769675926</v>
      </c>
      <c r="C513" s="1" t="n">
        <v>45967</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53437-2025</t>
        </is>
      </c>
      <c r="B514" s="1" t="n">
        <v>45959.63440972222</v>
      </c>
      <c r="C514" s="1" t="n">
        <v>45967</v>
      </c>
      <c r="D514" t="inlineStr">
        <is>
          <t>ÖREBRO LÄN</t>
        </is>
      </c>
      <c r="E514" t="inlineStr">
        <is>
          <t>ÖREBRO</t>
        </is>
      </c>
      <c r="G514" t="n">
        <v>1</v>
      </c>
      <c r="H514" t="n">
        <v>0</v>
      </c>
      <c r="I514" t="n">
        <v>0</v>
      </c>
      <c r="J514" t="n">
        <v>0</v>
      </c>
      <c r="K514" t="n">
        <v>0</v>
      </c>
      <c r="L514" t="n">
        <v>0</v>
      </c>
      <c r="M514" t="n">
        <v>0</v>
      </c>
      <c r="N514" t="n">
        <v>0</v>
      </c>
      <c r="O514" t="n">
        <v>0</v>
      </c>
      <c r="P514" t="n">
        <v>0</v>
      </c>
      <c r="Q514" t="n">
        <v>0</v>
      </c>
      <c r="R514" s="2" t="inlineStr"/>
    </row>
    <row r="515" ht="15" customHeight="1">
      <c r="A515" t="inlineStr">
        <is>
          <t>A 2630-2023</t>
        </is>
      </c>
      <c r="B515" s="1" t="n">
        <v>44944.39105324074</v>
      </c>
      <c r="C515" s="1" t="n">
        <v>45967</v>
      </c>
      <c r="D515" t="inlineStr">
        <is>
          <t>ÖREBRO LÄN</t>
        </is>
      </c>
      <c r="E515" t="inlineStr">
        <is>
          <t>ÖREBRO</t>
        </is>
      </c>
      <c r="G515" t="n">
        <v>6.1</v>
      </c>
      <c r="H515" t="n">
        <v>0</v>
      </c>
      <c r="I515" t="n">
        <v>0</v>
      </c>
      <c r="J515" t="n">
        <v>0</v>
      </c>
      <c r="K515" t="n">
        <v>0</v>
      </c>
      <c r="L515" t="n">
        <v>0</v>
      </c>
      <c r="M515" t="n">
        <v>0</v>
      </c>
      <c r="N515" t="n">
        <v>0</v>
      </c>
      <c r="O515" t="n">
        <v>0</v>
      </c>
      <c r="P515" t="n">
        <v>0</v>
      </c>
      <c r="Q515" t="n">
        <v>0</v>
      </c>
      <c r="R515" s="2" t="inlineStr"/>
    </row>
    <row r="516" ht="15" customHeight="1">
      <c r="A516" t="inlineStr">
        <is>
          <t>A 50026-2024</t>
        </is>
      </c>
      <c r="B516" s="1" t="n">
        <v>45599.60541666667</v>
      </c>
      <c r="C516" s="1" t="n">
        <v>45967</v>
      </c>
      <c r="D516" t="inlineStr">
        <is>
          <t>ÖREBRO LÄN</t>
        </is>
      </c>
      <c r="E516" t="inlineStr">
        <is>
          <t>ÖREBRO</t>
        </is>
      </c>
      <c r="G516" t="n">
        <v>2.2</v>
      </c>
      <c r="H516" t="n">
        <v>0</v>
      </c>
      <c r="I516" t="n">
        <v>0</v>
      </c>
      <c r="J516" t="n">
        <v>0</v>
      </c>
      <c r="K516" t="n">
        <v>0</v>
      </c>
      <c r="L516" t="n">
        <v>0</v>
      </c>
      <c r="M516" t="n">
        <v>0</v>
      </c>
      <c r="N516" t="n">
        <v>0</v>
      </c>
      <c r="O516" t="n">
        <v>0</v>
      </c>
      <c r="P516" t="n">
        <v>0</v>
      </c>
      <c r="Q516" t="n">
        <v>0</v>
      </c>
      <c r="R516" s="2" t="inlineStr"/>
    </row>
    <row r="517" ht="15" customHeight="1">
      <c r="A517" t="inlineStr">
        <is>
          <t>A 18449-2023</t>
        </is>
      </c>
      <c r="B517" s="1" t="n">
        <v>45042.5203125</v>
      </c>
      <c r="C517" s="1" t="n">
        <v>45967</v>
      </c>
      <c r="D517" t="inlineStr">
        <is>
          <t>ÖREBRO LÄN</t>
        </is>
      </c>
      <c r="E517" t="inlineStr">
        <is>
          <t>ÖREBRO</t>
        </is>
      </c>
      <c r="G517" t="n">
        <v>1.5</v>
      </c>
      <c r="H517" t="n">
        <v>0</v>
      </c>
      <c r="I517" t="n">
        <v>0</v>
      </c>
      <c r="J517" t="n">
        <v>0</v>
      </c>
      <c r="K517" t="n">
        <v>0</v>
      </c>
      <c r="L517" t="n">
        <v>0</v>
      </c>
      <c r="M517" t="n">
        <v>0</v>
      </c>
      <c r="N517" t="n">
        <v>0</v>
      </c>
      <c r="O517" t="n">
        <v>0</v>
      </c>
      <c r="P517" t="n">
        <v>0</v>
      </c>
      <c r="Q517" t="n">
        <v>0</v>
      </c>
      <c r="R517" s="2" t="inlineStr"/>
    </row>
    <row r="518" ht="15" customHeight="1">
      <c r="A518" t="inlineStr">
        <is>
          <t>A 30015-2023</t>
        </is>
      </c>
      <c r="B518" s="1" t="n">
        <v>45109</v>
      </c>
      <c r="C518" s="1" t="n">
        <v>45967</v>
      </c>
      <c r="D518" t="inlineStr">
        <is>
          <t>ÖREBRO LÄN</t>
        </is>
      </c>
      <c r="E518" t="inlineStr">
        <is>
          <t>ÖREBRO</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16936-2023</t>
        </is>
      </c>
      <c r="B519" s="1" t="n">
        <v>45033.63005787037</v>
      </c>
      <c r="C519" s="1" t="n">
        <v>45967</v>
      </c>
      <c r="D519" t="inlineStr">
        <is>
          <t>ÖREBRO LÄN</t>
        </is>
      </c>
      <c r="E519" t="inlineStr">
        <is>
          <t>ÖREBRO</t>
        </is>
      </c>
      <c r="G519" t="n">
        <v>2</v>
      </c>
      <c r="H519" t="n">
        <v>0</v>
      </c>
      <c r="I519" t="n">
        <v>0</v>
      </c>
      <c r="J519" t="n">
        <v>0</v>
      </c>
      <c r="K519" t="n">
        <v>0</v>
      </c>
      <c r="L519" t="n">
        <v>0</v>
      </c>
      <c r="M519" t="n">
        <v>0</v>
      </c>
      <c r="N519" t="n">
        <v>0</v>
      </c>
      <c r="O519" t="n">
        <v>0</v>
      </c>
      <c r="P519" t="n">
        <v>0</v>
      </c>
      <c r="Q519" t="n">
        <v>0</v>
      </c>
      <c r="R519" s="2" t="inlineStr"/>
    </row>
    <row r="520" ht="15" customHeight="1">
      <c r="A520" t="inlineStr">
        <is>
          <t>A 58145-2024</t>
        </is>
      </c>
      <c r="B520" s="1" t="n">
        <v>45632.43230324074</v>
      </c>
      <c r="C520" s="1" t="n">
        <v>45967</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64730-2023</t>
        </is>
      </c>
      <c r="B521" s="1" t="n">
        <v>45281</v>
      </c>
      <c r="C521" s="1" t="n">
        <v>45967</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54205-2025</t>
        </is>
      </c>
      <c r="B522" s="1" t="n">
        <v>45964.58512731481</v>
      </c>
      <c r="C522" s="1" t="n">
        <v>45967</v>
      </c>
      <c r="D522" t="inlineStr">
        <is>
          <t>ÖREBRO LÄN</t>
        </is>
      </c>
      <c r="E522" t="inlineStr">
        <is>
          <t>ÖREBRO</t>
        </is>
      </c>
      <c r="G522" t="n">
        <v>24.3</v>
      </c>
      <c r="H522" t="n">
        <v>0</v>
      </c>
      <c r="I522" t="n">
        <v>0</v>
      </c>
      <c r="J522" t="n">
        <v>0</v>
      </c>
      <c r="K522" t="n">
        <v>0</v>
      </c>
      <c r="L522" t="n">
        <v>0</v>
      </c>
      <c r="M522" t="n">
        <v>0</v>
      </c>
      <c r="N522" t="n">
        <v>0</v>
      </c>
      <c r="O522" t="n">
        <v>0</v>
      </c>
      <c r="P522" t="n">
        <v>0</v>
      </c>
      <c r="Q522" t="n">
        <v>0</v>
      </c>
      <c r="R522" s="2" t="inlineStr"/>
    </row>
    <row r="523" ht="15" customHeight="1">
      <c r="A523" t="inlineStr">
        <is>
          <t>A 27220-2025</t>
        </is>
      </c>
      <c r="B523" s="1" t="n">
        <v>45812.42293981482</v>
      </c>
      <c r="C523" s="1" t="n">
        <v>45967</v>
      </c>
      <c r="D523" t="inlineStr">
        <is>
          <t>ÖREBRO LÄN</t>
        </is>
      </c>
      <c r="E523" t="inlineStr">
        <is>
          <t>ÖREBRO</t>
        </is>
      </c>
      <c r="G523" t="n">
        <v>0.6</v>
      </c>
      <c r="H523" t="n">
        <v>0</v>
      </c>
      <c r="I523" t="n">
        <v>0</v>
      </c>
      <c r="J523" t="n">
        <v>0</v>
      </c>
      <c r="K523" t="n">
        <v>0</v>
      </c>
      <c r="L523" t="n">
        <v>0</v>
      </c>
      <c r="M523" t="n">
        <v>0</v>
      </c>
      <c r="N523" t="n">
        <v>0</v>
      </c>
      <c r="O523" t="n">
        <v>0</v>
      </c>
      <c r="P523" t="n">
        <v>0</v>
      </c>
      <c r="Q523" t="n">
        <v>0</v>
      </c>
      <c r="R523" s="2" t="inlineStr"/>
    </row>
    <row r="524" ht="15" customHeight="1">
      <c r="A524" t="inlineStr">
        <is>
          <t>A 44284-2022</t>
        </is>
      </c>
      <c r="B524" s="1" t="n">
        <v>44839.59194444444</v>
      </c>
      <c r="C524" s="1" t="n">
        <v>45967</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14544-2023</t>
        </is>
      </c>
      <c r="B525" s="1" t="n">
        <v>45013</v>
      </c>
      <c r="C525" s="1" t="n">
        <v>45967</v>
      </c>
      <c r="D525" t="inlineStr">
        <is>
          <t>ÖREBRO LÄN</t>
        </is>
      </c>
      <c r="E525" t="inlineStr">
        <is>
          <t>ÖREBRO</t>
        </is>
      </c>
      <c r="G525" t="n">
        <v>0.5</v>
      </c>
      <c r="H525" t="n">
        <v>0</v>
      </c>
      <c r="I525" t="n">
        <v>0</v>
      </c>
      <c r="J525" t="n">
        <v>0</v>
      </c>
      <c r="K525" t="n">
        <v>0</v>
      </c>
      <c r="L525" t="n">
        <v>0</v>
      </c>
      <c r="M525" t="n">
        <v>0</v>
      </c>
      <c r="N525" t="n">
        <v>0</v>
      </c>
      <c r="O525" t="n">
        <v>0</v>
      </c>
      <c r="P525" t="n">
        <v>0</v>
      </c>
      <c r="Q525" t="n">
        <v>0</v>
      </c>
      <c r="R525" s="2" t="inlineStr"/>
    </row>
    <row r="526" ht="15" customHeight="1">
      <c r="A526" t="inlineStr">
        <is>
          <t>A 15682-2023</t>
        </is>
      </c>
      <c r="B526" s="1" t="n">
        <v>45021</v>
      </c>
      <c r="C526" s="1" t="n">
        <v>45967</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4416-2023</t>
        </is>
      </c>
      <c r="B527" s="1" t="n">
        <v>44956</v>
      </c>
      <c r="C527" s="1" t="n">
        <v>45967</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27180-2025</t>
        </is>
      </c>
      <c r="B528" s="1" t="n">
        <v>45812.35736111111</v>
      </c>
      <c r="C528" s="1" t="n">
        <v>45967</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27215-2025</t>
        </is>
      </c>
      <c r="B529" s="1" t="n">
        <v>45812.41869212963</v>
      </c>
      <c r="C529" s="1" t="n">
        <v>45967</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27225-2025</t>
        </is>
      </c>
      <c r="B530" s="1" t="n">
        <v>45812.42856481481</v>
      </c>
      <c r="C530" s="1" t="n">
        <v>45967</v>
      </c>
      <c r="D530" t="inlineStr">
        <is>
          <t>ÖREBRO LÄN</t>
        </is>
      </c>
      <c r="E530" t="inlineStr">
        <is>
          <t>ÖREBRO</t>
        </is>
      </c>
      <c r="G530" t="n">
        <v>4</v>
      </c>
      <c r="H530" t="n">
        <v>0</v>
      </c>
      <c r="I530" t="n">
        <v>0</v>
      </c>
      <c r="J530" t="n">
        <v>0</v>
      </c>
      <c r="K530" t="n">
        <v>0</v>
      </c>
      <c r="L530" t="n">
        <v>0</v>
      </c>
      <c r="M530" t="n">
        <v>0</v>
      </c>
      <c r="N530" t="n">
        <v>0</v>
      </c>
      <c r="O530" t="n">
        <v>0</v>
      </c>
      <c r="P530" t="n">
        <v>0</v>
      </c>
      <c r="Q530" t="n">
        <v>0</v>
      </c>
      <c r="R530" s="2" t="inlineStr"/>
    </row>
    <row r="531" ht="15" customHeight="1">
      <c r="A531" t="inlineStr">
        <is>
          <t>A 49062-2023</t>
        </is>
      </c>
      <c r="B531" s="1" t="n">
        <v>45210.35119212963</v>
      </c>
      <c r="C531" s="1" t="n">
        <v>45967</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32321-2023</t>
        </is>
      </c>
      <c r="B532" s="1" t="n">
        <v>45120</v>
      </c>
      <c r="C532" s="1" t="n">
        <v>45967</v>
      </c>
      <c r="D532" t="inlineStr">
        <is>
          <t>ÖREBRO LÄN</t>
        </is>
      </c>
      <c r="E532" t="inlineStr">
        <is>
          <t>ÖREBRO</t>
        </is>
      </c>
      <c r="G532" t="n">
        <v>3.4</v>
      </c>
      <c r="H532" t="n">
        <v>0</v>
      </c>
      <c r="I532" t="n">
        <v>0</v>
      </c>
      <c r="J532" t="n">
        <v>0</v>
      </c>
      <c r="K532" t="n">
        <v>0</v>
      </c>
      <c r="L532" t="n">
        <v>0</v>
      </c>
      <c r="M532" t="n">
        <v>0</v>
      </c>
      <c r="N532" t="n">
        <v>0</v>
      </c>
      <c r="O532" t="n">
        <v>0</v>
      </c>
      <c r="P532" t="n">
        <v>0</v>
      </c>
      <c r="Q532" t="n">
        <v>0</v>
      </c>
      <c r="R532" s="2" t="inlineStr"/>
    </row>
    <row r="533" ht="15" customHeight="1">
      <c r="A533" t="inlineStr">
        <is>
          <t>A 54485-2025</t>
        </is>
      </c>
      <c r="B533" s="1" t="n">
        <v>45965.59295138889</v>
      </c>
      <c r="C533" s="1" t="n">
        <v>45967</v>
      </c>
      <c r="D533" t="inlineStr">
        <is>
          <t>ÖREBRO LÄN</t>
        </is>
      </c>
      <c r="E533" t="inlineStr">
        <is>
          <t>ÖREBRO</t>
        </is>
      </c>
      <c r="F533" t="inlineStr">
        <is>
          <t>Allmännings- och besparingsskogar</t>
        </is>
      </c>
      <c r="G533" t="n">
        <v>1.7</v>
      </c>
      <c r="H533" t="n">
        <v>0</v>
      </c>
      <c r="I533" t="n">
        <v>0</v>
      </c>
      <c r="J533" t="n">
        <v>0</v>
      </c>
      <c r="K533" t="n">
        <v>0</v>
      </c>
      <c r="L533" t="n">
        <v>0</v>
      </c>
      <c r="M533" t="n">
        <v>0</v>
      </c>
      <c r="N533" t="n">
        <v>0</v>
      </c>
      <c r="O533" t="n">
        <v>0</v>
      </c>
      <c r="P533" t="n">
        <v>0</v>
      </c>
      <c r="Q533" t="n">
        <v>0</v>
      </c>
      <c r="R533" s="2" t="inlineStr"/>
    </row>
    <row r="534" ht="15" customHeight="1">
      <c r="A534" t="inlineStr">
        <is>
          <t>A 2095-2025</t>
        </is>
      </c>
      <c r="B534" s="1" t="n">
        <v>45672</v>
      </c>
      <c r="C534" s="1" t="n">
        <v>45967</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28120-2025</t>
        </is>
      </c>
      <c r="B535" s="1" t="n">
        <v>45818.30459490741</v>
      </c>
      <c r="C535" s="1" t="n">
        <v>45967</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71275-2021</t>
        </is>
      </c>
      <c r="B536" s="1" t="n">
        <v>44539</v>
      </c>
      <c r="C536" s="1" t="n">
        <v>45967</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58608-2024</t>
        </is>
      </c>
      <c r="B537" s="1" t="n">
        <v>45635.55185185185</v>
      </c>
      <c r="C537" s="1" t="n">
        <v>45967</v>
      </c>
      <c r="D537" t="inlineStr">
        <is>
          <t>ÖREBRO LÄN</t>
        </is>
      </c>
      <c r="E537" t="inlineStr">
        <is>
          <t>ÖREBRO</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2153-2023</t>
        </is>
      </c>
      <c r="B538" s="1" t="n">
        <v>44941</v>
      </c>
      <c r="C538" s="1" t="n">
        <v>45967</v>
      </c>
      <c r="D538" t="inlineStr">
        <is>
          <t>ÖREBRO LÄN</t>
        </is>
      </c>
      <c r="E538" t="inlineStr">
        <is>
          <t>ÖREBRO</t>
        </is>
      </c>
      <c r="G538" t="n">
        <v>6.3</v>
      </c>
      <c r="H538" t="n">
        <v>0</v>
      </c>
      <c r="I538" t="n">
        <v>0</v>
      </c>
      <c r="J538" t="n">
        <v>0</v>
      </c>
      <c r="K538" t="n">
        <v>0</v>
      </c>
      <c r="L538" t="n">
        <v>0</v>
      </c>
      <c r="M538" t="n">
        <v>0</v>
      </c>
      <c r="N538" t="n">
        <v>0</v>
      </c>
      <c r="O538" t="n">
        <v>0</v>
      </c>
      <c r="P538" t="n">
        <v>0</v>
      </c>
      <c r="Q538" t="n">
        <v>0</v>
      </c>
      <c r="R538" s="2" t="inlineStr"/>
    </row>
    <row r="539" ht="15" customHeight="1">
      <c r="A539" t="inlineStr">
        <is>
          <t>A 2069-2025</t>
        </is>
      </c>
      <c r="B539" s="1" t="n">
        <v>45672.56614583333</v>
      </c>
      <c r="C539" s="1" t="n">
        <v>45967</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852-2025</t>
        </is>
      </c>
      <c r="B540" s="1" t="n">
        <v>45665.60148148148</v>
      </c>
      <c r="C540" s="1" t="n">
        <v>45967</v>
      </c>
      <c r="D540" t="inlineStr">
        <is>
          <t>ÖREBRO LÄN</t>
        </is>
      </c>
      <c r="E540" t="inlineStr">
        <is>
          <t>ÖREBRO</t>
        </is>
      </c>
      <c r="G540" t="n">
        <v>2.9</v>
      </c>
      <c r="H540" t="n">
        <v>0</v>
      </c>
      <c r="I540" t="n">
        <v>0</v>
      </c>
      <c r="J540" t="n">
        <v>0</v>
      </c>
      <c r="K540" t="n">
        <v>0</v>
      </c>
      <c r="L540" t="n">
        <v>0</v>
      </c>
      <c r="M540" t="n">
        <v>0</v>
      </c>
      <c r="N540" t="n">
        <v>0</v>
      </c>
      <c r="O540" t="n">
        <v>0</v>
      </c>
      <c r="P540" t="n">
        <v>0</v>
      </c>
      <c r="Q540" t="n">
        <v>0</v>
      </c>
      <c r="R540" s="2" t="inlineStr"/>
    </row>
    <row r="541" ht="15" customHeight="1">
      <c r="A541" t="inlineStr">
        <is>
          <t>A 50398-2022</t>
        </is>
      </c>
      <c r="B541" s="1" t="n">
        <v>44861</v>
      </c>
      <c r="C541" s="1" t="n">
        <v>45967</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52441-2024</t>
        </is>
      </c>
      <c r="B542" s="1" t="n">
        <v>45609.48451388889</v>
      </c>
      <c r="C542" s="1" t="n">
        <v>45967</v>
      </c>
      <c r="D542" t="inlineStr">
        <is>
          <t>ÖREBRO LÄN</t>
        </is>
      </c>
      <c r="E542" t="inlineStr">
        <is>
          <t>ÖREBRO</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52499-2024</t>
        </is>
      </c>
      <c r="B543" s="1" t="n">
        <v>45609.58422453704</v>
      </c>
      <c r="C543" s="1" t="n">
        <v>45967</v>
      </c>
      <c r="D543" t="inlineStr">
        <is>
          <t>ÖREBRO LÄN</t>
        </is>
      </c>
      <c r="E543" t="inlineStr">
        <is>
          <t>ÖREBRO</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8008-2024</t>
        </is>
      </c>
      <c r="B544" s="1" t="n">
        <v>45350.6794212963</v>
      </c>
      <c r="C544" s="1" t="n">
        <v>45967</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18181-2024</t>
        </is>
      </c>
      <c r="B545" s="1" t="n">
        <v>45420.64561342593</v>
      </c>
      <c r="C545" s="1" t="n">
        <v>45967</v>
      </c>
      <c r="D545" t="inlineStr">
        <is>
          <t>ÖREBRO LÄN</t>
        </is>
      </c>
      <c r="E545" t="inlineStr">
        <is>
          <t>ÖREBRO</t>
        </is>
      </c>
      <c r="G545" t="n">
        <v>7.6</v>
      </c>
      <c r="H545" t="n">
        <v>0</v>
      </c>
      <c r="I545" t="n">
        <v>0</v>
      </c>
      <c r="J545" t="n">
        <v>0</v>
      </c>
      <c r="K545" t="n">
        <v>0</v>
      </c>
      <c r="L545" t="n">
        <v>0</v>
      </c>
      <c r="M545" t="n">
        <v>0</v>
      </c>
      <c r="N545" t="n">
        <v>0</v>
      </c>
      <c r="O545" t="n">
        <v>0</v>
      </c>
      <c r="P545" t="n">
        <v>0</v>
      </c>
      <c r="Q545" t="n">
        <v>0</v>
      </c>
      <c r="R545" s="2" t="inlineStr"/>
    </row>
    <row r="546" ht="15" customHeight="1">
      <c r="A546" t="inlineStr">
        <is>
          <t>A 38415-2023</t>
        </is>
      </c>
      <c r="B546" s="1" t="n">
        <v>45162.35502314815</v>
      </c>
      <c r="C546" s="1" t="n">
        <v>45967</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28938-2025</t>
        </is>
      </c>
      <c r="B547" s="1" t="n">
        <v>45820.70626157407</v>
      </c>
      <c r="C547" s="1" t="n">
        <v>45967</v>
      </c>
      <c r="D547" t="inlineStr">
        <is>
          <t>ÖREBRO LÄN</t>
        </is>
      </c>
      <c r="E547" t="inlineStr">
        <is>
          <t>ÖREBRO</t>
        </is>
      </c>
      <c r="G547" t="n">
        <v>1.9</v>
      </c>
      <c r="H547" t="n">
        <v>0</v>
      </c>
      <c r="I547" t="n">
        <v>0</v>
      </c>
      <c r="J547" t="n">
        <v>0</v>
      </c>
      <c r="K547" t="n">
        <v>0</v>
      </c>
      <c r="L547" t="n">
        <v>0</v>
      </c>
      <c r="M547" t="n">
        <v>0</v>
      </c>
      <c r="N547" t="n">
        <v>0</v>
      </c>
      <c r="O547" t="n">
        <v>0</v>
      </c>
      <c r="P547" t="n">
        <v>0</v>
      </c>
      <c r="Q547" t="n">
        <v>0</v>
      </c>
      <c r="R547" s="2" t="inlineStr"/>
    </row>
    <row r="548" ht="15" customHeight="1">
      <c r="A548" t="inlineStr">
        <is>
          <t>A 16374-2022</t>
        </is>
      </c>
      <c r="B548" s="1" t="n">
        <v>44671</v>
      </c>
      <c r="C548" s="1" t="n">
        <v>45967</v>
      </c>
      <c r="D548" t="inlineStr">
        <is>
          <t>ÖREBRO LÄN</t>
        </is>
      </c>
      <c r="E548" t="inlineStr">
        <is>
          <t>ÖREBRO</t>
        </is>
      </c>
      <c r="F548" t="inlineStr">
        <is>
          <t>Övriga Aktiebolag</t>
        </is>
      </c>
      <c r="G548" t="n">
        <v>30.3</v>
      </c>
      <c r="H548" t="n">
        <v>0</v>
      </c>
      <c r="I548" t="n">
        <v>0</v>
      </c>
      <c r="J548" t="n">
        <v>0</v>
      </c>
      <c r="K548" t="n">
        <v>0</v>
      </c>
      <c r="L548" t="n">
        <v>0</v>
      </c>
      <c r="M548" t="n">
        <v>0</v>
      </c>
      <c r="N548" t="n">
        <v>0</v>
      </c>
      <c r="O548" t="n">
        <v>0</v>
      </c>
      <c r="P548" t="n">
        <v>0</v>
      </c>
      <c r="Q548" t="n">
        <v>0</v>
      </c>
      <c r="R548" s="2" t="inlineStr"/>
    </row>
    <row r="549" ht="15" customHeight="1">
      <c r="A549" t="inlineStr">
        <is>
          <t>A 28920-2025</t>
        </is>
      </c>
      <c r="B549" s="1" t="n">
        <v>45820.66532407407</v>
      </c>
      <c r="C549" s="1" t="n">
        <v>45967</v>
      </c>
      <c r="D549" t="inlineStr">
        <is>
          <t>ÖREBRO LÄN</t>
        </is>
      </c>
      <c r="E549" t="inlineStr">
        <is>
          <t>ÖREBRO</t>
        </is>
      </c>
      <c r="G549" t="n">
        <v>3</v>
      </c>
      <c r="H549" t="n">
        <v>0</v>
      </c>
      <c r="I549" t="n">
        <v>0</v>
      </c>
      <c r="J549" t="n">
        <v>0</v>
      </c>
      <c r="K549" t="n">
        <v>0</v>
      </c>
      <c r="L549" t="n">
        <v>0</v>
      </c>
      <c r="M549" t="n">
        <v>0</v>
      </c>
      <c r="N549" t="n">
        <v>0</v>
      </c>
      <c r="O549" t="n">
        <v>0</v>
      </c>
      <c r="P549" t="n">
        <v>0</v>
      </c>
      <c r="Q549" t="n">
        <v>0</v>
      </c>
      <c r="R549" s="2" t="inlineStr"/>
    </row>
    <row r="550" ht="15" customHeight="1">
      <c r="A550" t="inlineStr">
        <is>
          <t>A 9704-2023</t>
        </is>
      </c>
      <c r="B550" s="1" t="n">
        <v>44984</v>
      </c>
      <c r="C550" s="1" t="n">
        <v>45967</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29286-2025</t>
        </is>
      </c>
      <c r="B551" s="1" t="n">
        <v>45824.43502314815</v>
      </c>
      <c r="C551" s="1" t="n">
        <v>45967</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19180-2025</t>
        </is>
      </c>
      <c r="B552" s="1" t="n">
        <v>45769.40133101852</v>
      </c>
      <c r="C552" s="1" t="n">
        <v>45967</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46052-2024</t>
        </is>
      </c>
      <c r="B553" s="1" t="n">
        <v>45580.89116898148</v>
      </c>
      <c r="C553" s="1" t="n">
        <v>45967</v>
      </c>
      <c r="D553" t="inlineStr">
        <is>
          <t>ÖREBRO LÄN</t>
        </is>
      </c>
      <c r="E553" t="inlineStr">
        <is>
          <t>ÖREBRO</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29339-2025</t>
        </is>
      </c>
      <c r="B554" s="1" t="n">
        <v>45824.5044212963</v>
      </c>
      <c r="C554" s="1" t="n">
        <v>45967</v>
      </c>
      <c r="D554" t="inlineStr">
        <is>
          <t>ÖREBRO LÄN</t>
        </is>
      </c>
      <c r="E554" t="inlineStr">
        <is>
          <t>ÖREBRO</t>
        </is>
      </c>
      <c r="G554" t="n">
        <v>4.3</v>
      </c>
      <c r="H554" t="n">
        <v>0</v>
      </c>
      <c r="I554" t="n">
        <v>0</v>
      </c>
      <c r="J554" t="n">
        <v>0</v>
      </c>
      <c r="K554" t="n">
        <v>0</v>
      </c>
      <c r="L554" t="n">
        <v>0</v>
      </c>
      <c r="M554" t="n">
        <v>0</v>
      </c>
      <c r="N554" t="n">
        <v>0</v>
      </c>
      <c r="O554" t="n">
        <v>0</v>
      </c>
      <c r="P554" t="n">
        <v>0</v>
      </c>
      <c r="Q554" t="n">
        <v>0</v>
      </c>
      <c r="R554" s="2" t="inlineStr"/>
    </row>
    <row r="555" ht="15" customHeight="1">
      <c r="A555" t="inlineStr">
        <is>
          <t>A 58527-2024</t>
        </is>
      </c>
      <c r="B555" s="1" t="n">
        <v>45635.44388888889</v>
      </c>
      <c r="C555" s="1" t="n">
        <v>45967</v>
      </c>
      <c r="D555" t="inlineStr">
        <is>
          <t>ÖREBRO LÄN</t>
        </is>
      </c>
      <c r="E555" t="inlineStr">
        <is>
          <t>ÖREBRO</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37022-2024</t>
        </is>
      </c>
      <c r="B556" s="1" t="n">
        <v>45539.3822337963</v>
      </c>
      <c r="C556" s="1" t="n">
        <v>45967</v>
      </c>
      <c r="D556" t="inlineStr">
        <is>
          <t>ÖREBRO LÄN</t>
        </is>
      </c>
      <c r="E556" t="inlineStr">
        <is>
          <t>ÖREBRO</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37024-2024</t>
        </is>
      </c>
      <c r="B557" s="1" t="n">
        <v>45539.38329861111</v>
      </c>
      <c r="C557" s="1" t="n">
        <v>45967</v>
      </c>
      <c r="D557" t="inlineStr">
        <is>
          <t>ÖREBRO LÄN</t>
        </is>
      </c>
      <c r="E557" t="inlineStr">
        <is>
          <t>ÖREBRO</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60059-2023</t>
        </is>
      </c>
      <c r="B558" s="1" t="n">
        <v>45258.38157407408</v>
      </c>
      <c r="C558" s="1" t="n">
        <v>45967</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38075-2022</t>
        </is>
      </c>
      <c r="B559" s="1" t="n">
        <v>44811</v>
      </c>
      <c r="C559" s="1" t="n">
        <v>45967</v>
      </c>
      <c r="D559" t="inlineStr">
        <is>
          <t>ÖREBRO LÄN</t>
        </is>
      </c>
      <c r="E559" t="inlineStr">
        <is>
          <t>ÖREBRO</t>
        </is>
      </c>
      <c r="G559" t="n">
        <v>0.2</v>
      </c>
      <c r="H559" t="n">
        <v>0</v>
      </c>
      <c r="I559" t="n">
        <v>0</v>
      </c>
      <c r="J559" t="n">
        <v>0</v>
      </c>
      <c r="K559" t="n">
        <v>0</v>
      </c>
      <c r="L559" t="n">
        <v>0</v>
      </c>
      <c r="M559" t="n">
        <v>0</v>
      </c>
      <c r="N559" t="n">
        <v>0</v>
      </c>
      <c r="O559" t="n">
        <v>0</v>
      </c>
      <c r="P559" t="n">
        <v>0</v>
      </c>
      <c r="Q559" t="n">
        <v>0</v>
      </c>
      <c r="R559" s="2" t="inlineStr"/>
    </row>
    <row r="560" ht="15" customHeight="1">
      <c r="A560" t="inlineStr">
        <is>
          <t>A 11382-2023</t>
        </is>
      </c>
      <c r="B560" s="1" t="n">
        <v>44993.45635416666</v>
      </c>
      <c r="C560" s="1" t="n">
        <v>45967</v>
      </c>
      <c r="D560" t="inlineStr">
        <is>
          <t>ÖREBRO LÄN</t>
        </is>
      </c>
      <c r="E560" t="inlineStr">
        <is>
          <t>ÖREBRO</t>
        </is>
      </c>
      <c r="G560" t="n">
        <v>3.3</v>
      </c>
      <c r="H560" t="n">
        <v>0</v>
      </c>
      <c r="I560" t="n">
        <v>0</v>
      </c>
      <c r="J560" t="n">
        <v>0</v>
      </c>
      <c r="K560" t="n">
        <v>0</v>
      </c>
      <c r="L560" t="n">
        <v>0</v>
      </c>
      <c r="M560" t="n">
        <v>0</v>
      </c>
      <c r="N560" t="n">
        <v>0</v>
      </c>
      <c r="O560" t="n">
        <v>0</v>
      </c>
      <c r="P560" t="n">
        <v>0</v>
      </c>
      <c r="Q560" t="n">
        <v>0</v>
      </c>
      <c r="R560" s="2" t="inlineStr"/>
    </row>
    <row r="561" ht="15" customHeight="1">
      <c r="A561" t="inlineStr">
        <is>
          <t>A 26858-2024</t>
        </is>
      </c>
      <c r="B561" s="1" t="n">
        <v>45470</v>
      </c>
      <c r="C561" s="1" t="n">
        <v>45967</v>
      </c>
      <c r="D561" t="inlineStr">
        <is>
          <t>ÖREBRO LÄN</t>
        </is>
      </c>
      <c r="E561" t="inlineStr">
        <is>
          <t>ÖREBRO</t>
        </is>
      </c>
      <c r="G561" t="n">
        <v>2.3</v>
      </c>
      <c r="H561" t="n">
        <v>0</v>
      </c>
      <c r="I561" t="n">
        <v>0</v>
      </c>
      <c r="J561" t="n">
        <v>0</v>
      </c>
      <c r="K561" t="n">
        <v>0</v>
      </c>
      <c r="L561" t="n">
        <v>0</v>
      </c>
      <c r="M561" t="n">
        <v>0</v>
      </c>
      <c r="N561" t="n">
        <v>0</v>
      </c>
      <c r="O561" t="n">
        <v>0</v>
      </c>
      <c r="P561" t="n">
        <v>0</v>
      </c>
      <c r="Q561" t="n">
        <v>0</v>
      </c>
      <c r="R561" s="2" t="inlineStr"/>
    </row>
    <row r="562" ht="15" customHeight="1">
      <c r="A562" t="inlineStr">
        <is>
          <t>A 20121-2024</t>
        </is>
      </c>
      <c r="B562" s="1" t="n">
        <v>45434</v>
      </c>
      <c r="C562" s="1" t="n">
        <v>45967</v>
      </c>
      <c r="D562" t="inlineStr">
        <is>
          <t>ÖREBRO LÄN</t>
        </is>
      </c>
      <c r="E562" t="inlineStr">
        <is>
          <t>ÖREBRO</t>
        </is>
      </c>
      <c r="G562" t="n">
        <v>1.8</v>
      </c>
      <c r="H562" t="n">
        <v>0</v>
      </c>
      <c r="I562" t="n">
        <v>0</v>
      </c>
      <c r="J562" t="n">
        <v>0</v>
      </c>
      <c r="K562" t="n">
        <v>0</v>
      </c>
      <c r="L562" t="n">
        <v>0</v>
      </c>
      <c r="M562" t="n">
        <v>0</v>
      </c>
      <c r="N562" t="n">
        <v>0</v>
      </c>
      <c r="O562" t="n">
        <v>0</v>
      </c>
      <c r="P562" t="n">
        <v>0</v>
      </c>
      <c r="Q562" t="n">
        <v>0</v>
      </c>
      <c r="R562" s="2" t="inlineStr"/>
    </row>
    <row r="563" ht="15" customHeight="1">
      <c r="A563" t="inlineStr">
        <is>
          <t>A 26117-2021</t>
        </is>
      </c>
      <c r="B563" s="1" t="n">
        <v>44345</v>
      </c>
      <c r="C563" s="1" t="n">
        <v>45967</v>
      </c>
      <c r="D563" t="inlineStr">
        <is>
          <t>ÖREBRO LÄN</t>
        </is>
      </c>
      <c r="E563" t="inlineStr">
        <is>
          <t>ÖREBRO</t>
        </is>
      </c>
      <c r="G563" t="n">
        <v>8.1</v>
      </c>
      <c r="H563" t="n">
        <v>0</v>
      </c>
      <c r="I563" t="n">
        <v>0</v>
      </c>
      <c r="J563" t="n">
        <v>0</v>
      </c>
      <c r="K563" t="n">
        <v>0</v>
      </c>
      <c r="L563" t="n">
        <v>0</v>
      </c>
      <c r="M563" t="n">
        <v>0</v>
      </c>
      <c r="N563" t="n">
        <v>0</v>
      </c>
      <c r="O563" t="n">
        <v>0</v>
      </c>
      <c r="P563" t="n">
        <v>0</v>
      </c>
      <c r="Q563" t="n">
        <v>0</v>
      </c>
      <c r="R563" s="2" t="inlineStr"/>
    </row>
    <row r="564" ht="15" customHeight="1">
      <c r="A564" t="inlineStr">
        <is>
          <t>A 29701-2025</t>
        </is>
      </c>
      <c r="B564" s="1" t="n">
        <v>45825.55261574074</v>
      </c>
      <c r="C564" s="1" t="n">
        <v>45967</v>
      </c>
      <c r="D564" t="inlineStr">
        <is>
          <t>ÖREBRO LÄN</t>
        </is>
      </c>
      <c r="E564" t="inlineStr">
        <is>
          <t>ÖREBRO</t>
        </is>
      </c>
      <c r="G564" t="n">
        <v>5.8</v>
      </c>
      <c r="H564" t="n">
        <v>0</v>
      </c>
      <c r="I564" t="n">
        <v>0</v>
      </c>
      <c r="J564" t="n">
        <v>0</v>
      </c>
      <c r="K564" t="n">
        <v>0</v>
      </c>
      <c r="L564" t="n">
        <v>0</v>
      </c>
      <c r="M564" t="n">
        <v>0</v>
      </c>
      <c r="N564" t="n">
        <v>0</v>
      </c>
      <c r="O564" t="n">
        <v>0</v>
      </c>
      <c r="P564" t="n">
        <v>0</v>
      </c>
      <c r="Q564" t="n">
        <v>0</v>
      </c>
      <c r="R564" s="2" t="inlineStr"/>
    </row>
    <row r="565" ht="15" customHeight="1">
      <c r="A565" t="inlineStr">
        <is>
          <t>A 55943-2024</t>
        </is>
      </c>
      <c r="B565" s="1" t="n">
        <v>45623.61278935185</v>
      </c>
      <c r="C565" s="1" t="n">
        <v>45967</v>
      </c>
      <c r="D565" t="inlineStr">
        <is>
          <t>ÖREBRO LÄN</t>
        </is>
      </c>
      <c r="E565" t="inlineStr">
        <is>
          <t>ÖREBRO</t>
        </is>
      </c>
      <c r="G565" t="n">
        <v>4.8</v>
      </c>
      <c r="H565" t="n">
        <v>0</v>
      </c>
      <c r="I565" t="n">
        <v>0</v>
      </c>
      <c r="J565" t="n">
        <v>0</v>
      </c>
      <c r="K565" t="n">
        <v>0</v>
      </c>
      <c r="L565" t="n">
        <v>0</v>
      </c>
      <c r="M565" t="n">
        <v>0</v>
      </c>
      <c r="N565" t="n">
        <v>0</v>
      </c>
      <c r="O565" t="n">
        <v>0</v>
      </c>
      <c r="P565" t="n">
        <v>0</v>
      </c>
      <c r="Q565" t="n">
        <v>0</v>
      </c>
      <c r="R565" s="2" t="inlineStr"/>
    </row>
    <row r="566" ht="15" customHeight="1">
      <c r="A566" t="inlineStr">
        <is>
          <t>A 1013-2024</t>
        </is>
      </c>
      <c r="B566" s="1" t="n">
        <v>45301</v>
      </c>
      <c r="C566" s="1" t="n">
        <v>45967</v>
      </c>
      <c r="D566" t="inlineStr">
        <is>
          <t>ÖREBRO LÄN</t>
        </is>
      </c>
      <c r="E566" t="inlineStr">
        <is>
          <t>ÖREBRO</t>
        </is>
      </c>
      <c r="G566" t="n">
        <v>2.6</v>
      </c>
      <c r="H566" t="n">
        <v>0</v>
      </c>
      <c r="I566" t="n">
        <v>0</v>
      </c>
      <c r="J566" t="n">
        <v>0</v>
      </c>
      <c r="K566" t="n">
        <v>0</v>
      </c>
      <c r="L566" t="n">
        <v>0</v>
      </c>
      <c r="M566" t="n">
        <v>0</v>
      </c>
      <c r="N566" t="n">
        <v>0</v>
      </c>
      <c r="O566" t="n">
        <v>0</v>
      </c>
      <c r="P566" t="n">
        <v>0</v>
      </c>
      <c r="Q566" t="n">
        <v>0</v>
      </c>
      <c r="R566" s="2" t="inlineStr"/>
    </row>
    <row r="567" ht="15" customHeight="1">
      <c r="A567" t="inlineStr">
        <is>
          <t>A 13623-2024</t>
        </is>
      </c>
      <c r="B567" s="1" t="n">
        <v>45390.38626157407</v>
      </c>
      <c r="C567" s="1" t="n">
        <v>45967</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30550-2025</t>
        </is>
      </c>
      <c r="B568" s="1" t="n">
        <v>45831.38224537037</v>
      </c>
      <c r="C568" s="1" t="n">
        <v>45967</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30731-2025</t>
        </is>
      </c>
      <c r="B569" s="1" t="n">
        <v>45831.57280092593</v>
      </c>
      <c r="C569" s="1" t="n">
        <v>45967</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30951-2025</t>
        </is>
      </c>
      <c r="B570" s="1" t="n">
        <v>45832.43225694444</v>
      </c>
      <c r="C570" s="1" t="n">
        <v>45967</v>
      </c>
      <c r="D570" t="inlineStr">
        <is>
          <t>ÖREBRO LÄN</t>
        </is>
      </c>
      <c r="E570" t="inlineStr">
        <is>
          <t>ÖREBRO</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31066-2025</t>
        </is>
      </c>
      <c r="B571" s="1" t="n">
        <v>45832</v>
      </c>
      <c r="C571" s="1" t="n">
        <v>45967</v>
      </c>
      <c r="D571" t="inlineStr">
        <is>
          <t>ÖREBRO LÄN</t>
        </is>
      </c>
      <c r="E571" t="inlineStr">
        <is>
          <t>ÖREBRO</t>
        </is>
      </c>
      <c r="G571" t="n">
        <v>11.1</v>
      </c>
      <c r="H571" t="n">
        <v>0</v>
      </c>
      <c r="I571" t="n">
        <v>0</v>
      </c>
      <c r="J571" t="n">
        <v>0</v>
      </c>
      <c r="K571" t="n">
        <v>0</v>
      </c>
      <c r="L571" t="n">
        <v>0</v>
      </c>
      <c r="M571" t="n">
        <v>0</v>
      </c>
      <c r="N571" t="n">
        <v>0</v>
      </c>
      <c r="O571" t="n">
        <v>0</v>
      </c>
      <c r="P571" t="n">
        <v>0</v>
      </c>
      <c r="Q571" t="n">
        <v>0</v>
      </c>
      <c r="R571" s="2" t="inlineStr"/>
    </row>
    <row r="572" ht="15" customHeight="1">
      <c r="A572" t="inlineStr">
        <is>
          <t>A 5330-2024</t>
        </is>
      </c>
      <c r="B572" s="1" t="n">
        <v>45331.4187962963</v>
      </c>
      <c r="C572" s="1" t="n">
        <v>45967</v>
      </c>
      <c r="D572" t="inlineStr">
        <is>
          <t>ÖREBRO LÄN</t>
        </is>
      </c>
      <c r="E572" t="inlineStr">
        <is>
          <t>ÖREBRO</t>
        </is>
      </c>
      <c r="G572" t="n">
        <v>1.4</v>
      </c>
      <c r="H572" t="n">
        <v>0</v>
      </c>
      <c r="I572" t="n">
        <v>0</v>
      </c>
      <c r="J572" t="n">
        <v>0</v>
      </c>
      <c r="K572" t="n">
        <v>0</v>
      </c>
      <c r="L572" t="n">
        <v>0</v>
      </c>
      <c r="M572" t="n">
        <v>0</v>
      </c>
      <c r="N572" t="n">
        <v>0</v>
      </c>
      <c r="O572" t="n">
        <v>0</v>
      </c>
      <c r="P572" t="n">
        <v>0</v>
      </c>
      <c r="Q572" t="n">
        <v>0</v>
      </c>
      <c r="R572" s="2" t="inlineStr"/>
    </row>
    <row r="573" ht="15" customHeight="1">
      <c r="A573" t="inlineStr">
        <is>
          <t>A 6794-2025</t>
        </is>
      </c>
      <c r="B573" s="1" t="n">
        <v>45700.66429398148</v>
      </c>
      <c r="C573" s="1" t="n">
        <v>45967</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31233-2025</t>
        </is>
      </c>
      <c r="B574" s="1" t="n">
        <v>45832.83341435185</v>
      </c>
      <c r="C574" s="1" t="n">
        <v>45967</v>
      </c>
      <c r="D574" t="inlineStr">
        <is>
          <t>ÖREBRO LÄN</t>
        </is>
      </c>
      <c r="E574" t="inlineStr">
        <is>
          <t>ÖREBRO</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31232-2025</t>
        </is>
      </c>
      <c r="B575" s="1" t="n">
        <v>45832.8252199074</v>
      </c>
      <c r="C575" s="1" t="n">
        <v>45967</v>
      </c>
      <c r="D575" t="inlineStr">
        <is>
          <t>ÖREBRO LÄN</t>
        </is>
      </c>
      <c r="E575" t="inlineStr">
        <is>
          <t>ÖREBRO</t>
        </is>
      </c>
      <c r="F575" t="inlineStr">
        <is>
          <t>Övriga Aktiebolag</t>
        </is>
      </c>
      <c r="G575" t="n">
        <v>2.1</v>
      </c>
      <c r="H575" t="n">
        <v>0</v>
      </c>
      <c r="I575" t="n">
        <v>0</v>
      </c>
      <c r="J575" t="n">
        <v>0</v>
      </c>
      <c r="K575" t="n">
        <v>0</v>
      </c>
      <c r="L575" t="n">
        <v>0</v>
      </c>
      <c r="M575" t="n">
        <v>0</v>
      </c>
      <c r="N575" t="n">
        <v>0</v>
      </c>
      <c r="O575" t="n">
        <v>0</v>
      </c>
      <c r="P575" t="n">
        <v>0</v>
      </c>
      <c r="Q575" t="n">
        <v>0</v>
      </c>
      <c r="R575" s="2" t="inlineStr"/>
    </row>
    <row r="576" ht="15" customHeight="1">
      <c r="A576" t="inlineStr">
        <is>
          <t>A 31237-2025</t>
        </is>
      </c>
      <c r="B576" s="1" t="n">
        <v>45832.84313657408</v>
      </c>
      <c r="C576" s="1" t="n">
        <v>45967</v>
      </c>
      <c r="D576" t="inlineStr">
        <is>
          <t>ÖREBRO LÄN</t>
        </is>
      </c>
      <c r="E576" t="inlineStr">
        <is>
          <t>ÖREBRO</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3-2024</t>
        </is>
      </c>
      <c r="B577" s="1" t="n">
        <v>45292</v>
      </c>
      <c r="C577" s="1" t="n">
        <v>45967</v>
      </c>
      <c r="D577" t="inlineStr">
        <is>
          <t>ÖREBRO LÄN</t>
        </is>
      </c>
      <c r="E577" t="inlineStr">
        <is>
          <t>ÖREBRO</t>
        </is>
      </c>
      <c r="G577" t="n">
        <v>2.7</v>
      </c>
      <c r="H577" t="n">
        <v>0</v>
      </c>
      <c r="I577" t="n">
        <v>0</v>
      </c>
      <c r="J577" t="n">
        <v>0</v>
      </c>
      <c r="K577" t="n">
        <v>0</v>
      </c>
      <c r="L577" t="n">
        <v>0</v>
      </c>
      <c r="M577" t="n">
        <v>0</v>
      </c>
      <c r="N577" t="n">
        <v>0</v>
      </c>
      <c r="O577" t="n">
        <v>0</v>
      </c>
      <c r="P577" t="n">
        <v>0</v>
      </c>
      <c r="Q577" t="n">
        <v>0</v>
      </c>
      <c r="R577" s="2" t="inlineStr"/>
    </row>
    <row r="578" ht="15" customHeight="1">
      <c r="A578" t="inlineStr">
        <is>
          <t>A 5619-2023</t>
        </is>
      </c>
      <c r="B578" s="1" t="n">
        <v>44958</v>
      </c>
      <c r="C578" s="1" t="n">
        <v>45967</v>
      </c>
      <c r="D578" t="inlineStr">
        <is>
          <t>ÖREBRO LÄN</t>
        </is>
      </c>
      <c r="E578" t="inlineStr">
        <is>
          <t>ÖREBRO</t>
        </is>
      </c>
      <c r="G578" t="n">
        <v>27</v>
      </c>
      <c r="H578" t="n">
        <v>0</v>
      </c>
      <c r="I578" t="n">
        <v>0</v>
      </c>
      <c r="J578" t="n">
        <v>0</v>
      </c>
      <c r="K578" t="n">
        <v>0</v>
      </c>
      <c r="L578" t="n">
        <v>0</v>
      </c>
      <c r="M578" t="n">
        <v>0</v>
      </c>
      <c r="N578" t="n">
        <v>0</v>
      </c>
      <c r="O578" t="n">
        <v>0</v>
      </c>
      <c r="P578" t="n">
        <v>0</v>
      </c>
      <c r="Q578" t="n">
        <v>0</v>
      </c>
      <c r="R578" s="2" t="inlineStr"/>
    </row>
    <row r="579" ht="15" customHeight="1">
      <c r="A579" t="inlineStr">
        <is>
          <t>A 5578-2024</t>
        </is>
      </c>
      <c r="B579" s="1" t="n">
        <v>45334.49104166667</v>
      </c>
      <c r="C579" s="1" t="n">
        <v>45967</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32218-2025</t>
        </is>
      </c>
      <c r="B580" s="1" t="n">
        <v>45835.58880787037</v>
      </c>
      <c r="C580" s="1" t="n">
        <v>45967</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32188-2025</t>
        </is>
      </c>
      <c r="B581" s="1" t="n">
        <v>45835.56965277778</v>
      </c>
      <c r="C581" s="1" t="n">
        <v>45967</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32195-2025</t>
        </is>
      </c>
      <c r="B582" s="1" t="n">
        <v>45835.57407407407</v>
      </c>
      <c r="C582" s="1" t="n">
        <v>45967</v>
      </c>
      <c r="D582" t="inlineStr">
        <is>
          <t>ÖREBRO LÄN</t>
        </is>
      </c>
      <c r="E582" t="inlineStr">
        <is>
          <t>ÖREBRO</t>
        </is>
      </c>
      <c r="G582" t="n">
        <v>1.5</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45967</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33191-2025</t>
        </is>
      </c>
      <c r="B584" s="1" t="n">
        <v>45840.6003587963</v>
      </c>
      <c r="C584" s="1" t="n">
        <v>45967</v>
      </c>
      <c r="D584" t="inlineStr">
        <is>
          <t>ÖREBRO LÄN</t>
        </is>
      </c>
      <c r="E584" t="inlineStr">
        <is>
          <t>ÖREBRO</t>
        </is>
      </c>
      <c r="G584" t="n">
        <v>2.6</v>
      </c>
      <c r="H584" t="n">
        <v>0</v>
      </c>
      <c r="I584" t="n">
        <v>0</v>
      </c>
      <c r="J584" t="n">
        <v>0</v>
      </c>
      <c r="K584" t="n">
        <v>0</v>
      </c>
      <c r="L584" t="n">
        <v>0</v>
      </c>
      <c r="M584" t="n">
        <v>0</v>
      </c>
      <c r="N584" t="n">
        <v>0</v>
      </c>
      <c r="O584" t="n">
        <v>0</v>
      </c>
      <c r="P584" t="n">
        <v>0</v>
      </c>
      <c r="Q584" t="n">
        <v>0</v>
      </c>
      <c r="R584" s="2" t="inlineStr"/>
    </row>
    <row r="585" ht="15" customHeight="1">
      <c r="A585" t="inlineStr">
        <is>
          <t>A 58615-2024</t>
        </is>
      </c>
      <c r="B585" s="1" t="n">
        <v>45635.5587037037</v>
      </c>
      <c r="C585" s="1" t="n">
        <v>45967</v>
      </c>
      <c r="D585" t="inlineStr">
        <is>
          <t>ÖREBRO LÄN</t>
        </is>
      </c>
      <c r="E585" t="inlineStr">
        <is>
          <t>ÖREBRO</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32426-2025</t>
        </is>
      </c>
      <c r="B586" s="1" t="n">
        <v>45838.36179398148</v>
      </c>
      <c r="C586" s="1" t="n">
        <v>45967</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45517-2023</t>
        </is>
      </c>
      <c r="B587" s="1" t="n">
        <v>45194.49594907407</v>
      </c>
      <c r="C587" s="1" t="n">
        <v>45967</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32904-2025</t>
        </is>
      </c>
      <c r="B588" s="1" t="n">
        <v>45839</v>
      </c>
      <c r="C588" s="1" t="n">
        <v>45967</v>
      </c>
      <c r="D588" t="inlineStr">
        <is>
          <t>ÖREBRO LÄN</t>
        </is>
      </c>
      <c r="E588" t="inlineStr">
        <is>
          <t>ÖREBRO</t>
        </is>
      </c>
      <c r="G588" t="n">
        <v>0.6</v>
      </c>
      <c r="H588" t="n">
        <v>0</v>
      </c>
      <c r="I588" t="n">
        <v>0</v>
      </c>
      <c r="J588" t="n">
        <v>0</v>
      </c>
      <c r="K588" t="n">
        <v>0</v>
      </c>
      <c r="L588" t="n">
        <v>0</v>
      </c>
      <c r="M588" t="n">
        <v>0</v>
      </c>
      <c r="N588" t="n">
        <v>0</v>
      </c>
      <c r="O588" t="n">
        <v>0</v>
      </c>
      <c r="P588" t="n">
        <v>0</v>
      </c>
      <c r="Q588" t="n">
        <v>0</v>
      </c>
      <c r="R588" s="2" t="inlineStr"/>
    </row>
    <row r="589" ht="15" customHeight="1">
      <c r="A589" t="inlineStr">
        <is>
          <t>A 3652-2022</t>
        </is>
      </c>
      <c r="B589" s="1" t="n">
        <v>44586.46921296296</v>
      </c>
      <c r="C589" s="1" t="n">
        <v>45967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25407-2021</t>
        </is>
      </c>
      <c r="B590" s="1" t="n">
        <v>44342</v>
      </c>
      <c r="C590" s="1" t="n">
        <v>45967</v>
      </c>
      <c r="D590" t="inlineStr">
        <is>
          <t>ÖREBRO LÄN</t>
        </is>
      </c>
      <c r="E590" t="inlineStr">
        <is>
          <t>ÖREBRO</t>
        </is>
      </c>
      <c r="F590" t="inlineStr">
        <is>
          <t>Kommuner</t>
        </is>
      </c>
      <c r="G590" t="n">
        <v>7.2</v>
      </c>
      <c r="H590" t="n">
        <v>0</v>
      </c>
      <c r="I590" t="n">
        <v>0</v>
      </c>
      <c r="J590" t="n">
        <v>0</v>
      </c>
      <c r="K590" t="n">
        <v>0</v>
      </c>
      <c r="L590" t="n">
        <v>0</v>
      </c>
      <c r="M590" t="n">
        <v>0</v>
      </c>
      <c r="N590" t="n">
        <v>0</v>
      </c>
      <c r="O590" t="n">
        <v>0</v>
      </c>
      <c r="P590" t="n">
        <v>0</v>
      </c>
      <c r="Q590" t="n">
        <v>0</v>
      </c>
      <c r="R590" s="2" t="inlineStr"/>
    </row>
    <row r="591" ht="15" customHeight="1">
      <c r="A591" t="inlineStr">
        <is>
          <t>A 12245-2023</t>
        </is>
      </c>
      <c r="B591" s="1" t="n">
        <v>44998.64402777778</v>
      </c>
      <c r="C591" s="1" t="n">
        <v>45967</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7134-2025</t>
        </is>
      </c>
      <c r="B592" s="1" t="n">
        <v>45702</v>
      </c>
      <c r="C592" s="1" t="n">
        <v>45967</v>
      </c>
      <c r="D592" t="inlineStr">
        <is>
          <t>ÖREBRO LÄN</t>
        </is>
      </c>
      <c r="E592" t="inlineStr">
        <is>
          <t>ÖREBRO</t>
        </is>
      </c>
      <c r="F592" t="inlineStr">
        <is>
          <t>Övriga Aktiebolag</t>
        </is>
      </c>
      <c r="G592" t="n">
        <v>2.1</v>
      </c>
      <c r="H592" t="n">
        <v>0</v>
      </c>
      <c r="I592" t="n">
        <v>0</v>
      </c>
      <c r="J592" t="n">
        <v>0</v>
      </c>
      <c r="K592" t="n">
        <v>0</v>
      </c>
      <c r="L592" t="n">
        <v>0</v>
      </c>
      <c r="M592" t="n">
        <v>0</v>
      </c>
      <c r="N592" t="n">
        <v>0</v>
      </c>
      <c r="O592" t="n">
        <v>0</v>
      </c>
      <c r="P592" t="n">
        <v>0</v>
      </c>
      <c r="Q592" t="n">
        <v>0</v>
      </c>
      <c r="R592" s="2" t="inlineStr"/>
    </row>
    <row r="593" ht="15" customHeight="1">
      <c r="A593" t="inlineStr">
        <is>
          <t>A 60506-2024</t>
        </is>
      </c>
      <c r="B593" s="1" t="n">
        <v>45643.66630787037</v>
      </c>
      <c r="C593" s="1" t="n">
        <v>45967</v>
      </c>
      <c r="D593" t="inlineStr">
        <is>
          <t>ÖREBRO LÄN</t>
        </is>
      </c>
      <c r="E593" t="inlineStr">
        <is>
          <t>ÖREBRO</t>
        </is>
      </c>
      <c r="G593" t="n">
        <v>5.8</v>
      </c>
      <c r="H593" t="n">
        <v>0</v>
      </c>
      <c r="I593" t="n">
        <v>0</v>
      </c>
      <c r="J593" t="n">
        <v>0</v>
      </c>
      <c r="K593" t="n">
        <v>0</v>
      </c>
      <c r="L593" t="n">
        <v>0</v>
      </c>
      <c r="M593" t="n">
        <v>0</v>
      </c>
      <c r="N593" t="n">
        <v>0</v>
      </c>
      <c r="O593" t="n">
        <v>0</v>
      </c>
      <c r="P593" t="n">
        <v>0</v>
      </c>
      <c r="Q593" t="n">
        <v>0</v>
      </c>
      <c r="R593" s="2" t="inlineStr"/>
    </row>
    <row r="594" ht="15" customHeight="1">
      <c r="A594" t="inlineStr">
        <is>
          <t>A 29978-2024</t>
        </is>
      </c>
      <c r="B594" s="1" t="n">
        <v>45488.48340277778</v>
      </c>
      <c r="C594" s="1" t="n">
        <v>45967</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30903-2024</t>
        </is>
      </c>
      <c r="B595" s="1" t="n">
        <v>45498.49946759259</v>
      </c>
      <c r="C595" s="1" t="n">
        <v>45967</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58611-2024</t>
        </is>
      </c>
      <c r="B596" s="1" t="n">
        <v>45635.55555555555</v>
      </c>
      <c r="C596" s="1" t="n">
        <v>45967</v>
      </c>
      <c r="D596" t="inlineStr">
        <is>
          <t>ÖREBRO LÄN</t>
        </is>
      </c>
      <c r="E596" t="inlineStr">
        <is>
          <t>ÖREBRO</t>
        </is>
      </c>
      <c r="F596" t="inlineStr">
        <is>
          <t>Sveaskog</t>
        </is>
      </c>
      <c r="G596" t="n">
        <v>0.3</v>
      </c>
      <c r="H596" t="n">
        <v>0</v>
      </c>
      <c r="I596" t="n">
        <v>0</v>
      </c>
      <c r="J596" t="n">
        <v>0</v>
      </c>
      <c r="K596" t="n">
        <v>0</v>
      </c>
      <c r="L596" t="n">
        <v>0</v>
      </c>
      <c r="M596" t="n">
        <v>0</v>
      </c>
      <c r="N596" t="n">
        <v>0</v>
      </c>
      <c r="O596" t="n">
        <v>0</v>
      </c>
      <c r="P596" t="n">
        <v>0</v>
      </c>
      <c r="Q596" t="n">
        <v>0</v>
      </c>
      <c r="R596" s="2" t="inlineStr"/>
    </row>
    <row r="597" ht="15" customHeight="1">
      <c r="A597" t="inlineStr">
        <is>
          <t>A 20146-2024</t>
        </is>
      </c>
      <c r="B597" s="1" t="n">
        <v>45434.57641203704</v>
      </c>
      <c r="C597" s="1" t="n">
        <v>45967</v>
      </c>
      <c r="D597" t="inlineStr">
        <is>
          <t>ÖREBRO LÄN</t>
        </is>
      </c>
      <c r="E597" t="inlineStr">
        <is>
          <t>ÖREBRO</t>
        </is>
      </c>
      <c r="G597" t="n">
        <v>0.5</v>
      </c>
      <c r="H597" t="n">
        <v>0</v>
      </c>
      <c r="I597" t="n">
        <v>0</v>
      </c>
      <c r="J597" t="n">
        <v>0</v>
      </c>
      <c r="K597" t="n">
        <v>0</v>
      </c>
      <c r="L597" t="n">
        <v>0</v>
      </c>
      <c r="M597" t="n">
        <v>0</v>
      </c>
      <c r="N597" t="n">
        <v>0</v>
      </c>
      <c r="O597" t="n">
        <v>0</v>
      </c>
      <c r="P597" t="n">
        <v>0</v>
      </c>
      <c r="Q597" t="n">
        <v>0</v>
      </c>
      <c r="R597" s="2" t="inlineStr"/>
    </row>
    <row r="598" ht="15" customHeight="1">
      <c r="A598" t="inlineStr">
        <is>
          <t>A 53143-2023</t>
        </is>
      </c>
      <c r="B598" s="1" t="n">
        <v>45229</v>
      </c>
      <c r="C598" s="1" t="n">
        <v>45967</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8656-2025</t>
        </is>
      </c>
      <c r="B599" s="1" t="n">
        <v>45712.38268518518</v>
      </c>
      <c r="C599" s="1" t="n">
        <v>45967</v>
      </c>
      <c r="D599" t="inlineStr">
        <is>
          <t>ÖREBRO LÄN</t>
        </is>
      </c>
      <c r="E599" t="inlineStr">
        <is>
          <t>ÖREBRO</t>
        </is>
      </c>
      <c r="G599" t="n">
        <v>2.7</v>
      </c>
      <c r="H599" t="n">
        <v>0</v>
      </c>
      <c r="I599" t="n">
        <v>0</v>
      </c>
      <c r="J599" t="n">
        <v>0</v>
      </c>
      <c r="K599" t="n">
        <v>0</v>
      </c>
      <c r="L599" t="n">
        <v>0</v>
      </c>
      <c r="M599" t="n">
        <v>0</v>
      </c>
      <c r="N599" t="n">
        <v>0</v>
      </c>
      <c r="O599" t="n">
        <v>0</v>
      </c>
      <c r="P599" t="n">
        <v>0</v>
      </c>
      <c r="Q599" t="n">
        <v>0</v>
      </c>
      <c r="R599" s="2" t="inlineStr"/>
    </row>
    <row r="600" ht="15" customHeight="1">
      <c r="A600" t="inlineStr">
        <is>
          <t>A 48687-2024</t>
        </is>
      </c>
      <c r="B600" s="1" t="n">
        <v>45593.49899305555</v>
      </c>
      <c r="C600" s="1" t="n">
        <v>45967</v>
      </c>
      <c r="D600" t="inlineStr">
        <is>
          <t>ÖREBRO LÄN</t>
        </is>
      </c>
      <c r="E600" t="inlineStr">
        <is>
          <t>ÖREBRO</t>
        </is>
      </c>
      <c r="F600" t="inlineStr">
        <is>
          <t>Övriga Aktiebolag</t>
        </is>
      </c>
      <c r="G600" t="n">
        <v>3.8</v>
      </c>
      <c r="H600" t="n">
        <v>0</v>
      </c>
      <c r="I600" t="n">
        <v>0</v>
      </c>
      <c r="J600" t="n">
        <v>0</v>
      </c>
      <c r="K600" t="n">
        <v>0</v>
      </c>
      <c r="L600" t="n">
        <v>0</v>
      </c>
      <c r="M600" t="n">
        <v>0</v>
      </c>
      <c r="N600" t="n">
        <v>0</v>
      </c>
      <c r="O600" t="n">
        <v>0</v>
      </c>
      <c r="P600" t="n">
        <v>0</v>
      </c>
      <c r="Q600" t="n">
        <v>0</v>
      </c>
      <c r="R600" s="2" t="inlineStr"/>
    </row>
    <row r="601" ht="15" customHeight="1">
      <c r="A601" t="inlineStr">
        <is>
          <t>A 35062-2025</t>
        </is>
      </c>
      <c r="B601" s="1" t="n">
        <v>45852</v>
      </c>
      <c r="C601" s="1" t="n">
        <v>45967</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28821-2025</t>
        </is>
      </c>
      <c r="B602" s="1" t="n">
        <v>45820</v>
      </c>
      <c r="C602" s="1" t="n">
        <v>45967</v>
      </c>
      <c r="D602" t="inlineStr">
        <is>
          <t>ÖREBRO LÄN</t>
        </is>
      </c>
      <c r="E602" t="inlineStr">
        <is>
          <t>ÖREBRO</t>
        </is>
      </c>
      <c r="G602" t="n">
        <v>12.6</v>
      </c>
      <c r="H602" t="n">
        <v>0</v>
      </c>
      <c r="I602" t="n">
        <v>0</v>
      </c>
      <c r="J602" t="n">
        <v>0</v>
      </c>
      <c r="K602" t="n">
        <v>0</v>
      </c>
      <c r="L602" t="n">
        <v>0</v>
      </c>
      <c r="M602" t="n">
        <v>0</v>
      </c>
      <c r="N602" t="n">
        <v>0</v>
      </c>
      <c r="O602" t="n">
        <v>0</v>
      </c>
      <c r="P602" t="n">
        <v>0</v>
      </c>
      <c r="Q602" t="n">
        <v>0</v>
      </c>
      <c r="R602" s="2" t="inlineStr"/>
    </row>
    <row r="603" ht="15" customHeight="1">
      <c r="A603" t="inlineStr">
        <is>
          <t>A 35637-2025</t>
        </is>
      </c>
      <c r="B603" s="1" t="n">
        <v>45859.46859953704</v>
      </c>
      <c r="C603" s="1" t="n">
        <v>45967</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35928-2025</t>
        </is>
      </c>
      <c r="B604" s="1" t="n">
        <v>45862</v>
      </c>
      <c r="C604" s="1" t="n">
        <v>45967</v>
      </c>
      <c r="D604" t="inlineStr">
        <is>
          <t>ÖREBRO LÄN</t>
        </is>
      </c>
      <c r="E604" t="inlineStr">
        <is>
          <t>ÖREBRO</t>
        </is>
      </c>
      <c r="G604" t="n">
        <v>4.4</v>
      </c>
      <c r="H604" t="n">
        <v>0</v>
      </c>
      <c r="I604" t="n">
        <v>0</v>
      </c>
      <c r="J604" t="n">
        <v>0</v>
      </c>
      <c r="K604" t="n">
        <v>0</v>
      </c>
      <c r="L604" t="n">
        <v>0</v>
      </c>
      <c r="M604" t="n">
        <v>0</v>
      </c>
      <c r="N604" t="n">
        <v>0</v>
      </c>
      <c r="O604" t="n">
        <v>0</v>
      </c>
      <c r="P604" t="n">
        <v>0</v>
      </c>
      <c r="Q604" t="n">
        <v>0</v>
      </c>
      <c r="R604" s="2" t="inlineStr"/>
    </row>
    <row r="605" ht="15" customHeight="1">
      <c r="A605" t="inlineStr">
        <is>
          <t>A 55453-2024</t>
        </is>
      </c>
      <c r="B605" s="1" t="n">
        <v>45622.42097222222</v>
      </c>
      <c r="C605" s="1" t="n">
        <v>45967</v>
      </c>
      <c r="D605" t="inlineStr">
        <is>
          <t>ÖREBRO LÄN</t>
        </is>
      </c>
      <c r="E605" t="inlineStr">
        <is>
          <t>ÖREBRO</t>
        </is>
      </c>
      <c r="G605" t="n">
        <v>8.5</v>
      </c>
      <c r="H605" t="n">
        <v>0</v>
      </c>
      <c r="I605" t="n">
        <v>0</v>
      </c>
      <c r="J605" t="n">
        <v>0</v>
      </c>
      <c r="K605" t="n">
        <v>0</v>
      </c>
      <c r="L605" t="n">
        <v>0</v>
      </c>
      <c r="M605" t="n">
        <v>0</v>
      </c>
      <c r="N605" t="n">
        <v>0</v>
      </c>
      <c r="O605" t="n">
        <v>0</v>
      </c>
      <c r="P605" t="n">
        <v>0</v>
      </c>
      <c r="Q605" t="n">
        <v>0</v>
      </c>
      <c r="R605" s="2" t="inlineStr"/>
    </row>
    <row r="606" ht="15" customHeight="1">
      <c r="A606" t="inlineStr">
        <is>
          <t>A 32025-2024</t>
        </is>
      </c>
      <c r="B606" s="1" t="n">
        <v>45510.65754629629</v>
      </c>
      <c r="C606" s="1" t="n">
        <v>45967</v>
      </c>
      <c r="D606" t="inlineStr">
        <is>
          <t>ÖREBRO LÄN</t>
        </is>
      </c>
      <c r="E606" t="inlineStr">
        <is>
          <t>ÖREBRO</t>
        </is>
      </c>
      <c r="G606" t="n">
        <v>4</v>
      </c>
      <c r="H606" t="n">
        <v>0</v>
      </c>
      <c r="I606" t="n">
        <v>0</v>
      </c>
      <c r="J606" t="n">
        <v>0</v>
      </c>
      <c r="K606" t="n">
        <v>0</v>
      </c>
      <c r="L606" t="n">
        <v>0</v>
      </c>
      <c r="M606" t="n">
        <v>0</v>
      </c>
      <c r="N606" t="n">
        <v>0</v>
      </c>
      <c r="O606" t="n">
        <v>0</v>
      </c>
      <c r="P606" t="n">
        <v>0</v>
      </c>
      <c r="Q606" t="n">
        <v>0</v>
      </c>
      <c r="R606" s="2" t="inlineStr"/>
    </row>
    <row r="607" ht="15" customHeight="1">
      <c r="A607" t="inlineStr">
        <is>
          <t>A 36448-2025</t>
        </is>
      </c>
      <c r="B607" s="1" t="n">
        <v>45869.41929398148</v>
      </c>
      <c r="C607" s="1" t="n">
        <v>45967</v>
      </c>
      <c r="D607" t="inlineStr">
        <is>
          <t>ÖREBRO LÄN</t>
        </is>
      </c>
      <c r="E607" t="inlineStr">
        <is>
          <t>ÖREBRO</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36447-2025</t>
        </is>
      </c>
      <c r="B608" s="1" t="n">
        <v>45869.41387731482</v>
      </c>
      <c r="C608" s="1" t="n">
        <v>45967</v>
      </c>
      <c r="D608" t="inlineStr">
        <is>
          <t>ÖREBRO LÄN</t>
        </is>
      </c>
      <c r="E608" t="inlineStr">
        <is>
          <t>ÖREBRO</t>
        </is>
      </c>
      <c r="F608" t="inlineStr">
        <is>
          <t>Övriga Aktiebolag</t>
        </is>
      </c>
      <c r="G608" t="n">
        <v>12.6</v>
      </c>
      <c r="H608" t="n">
        <v>0</v>
      </c>
      <c r="I608" t="n">
        <v>0</v>
      </c>
      <c r="J608" t="n">
        <v>0</v>
      </c>
      <c r="K608" t="n">
        <v>0</v>
      </c>
      <c r="L608" t="n">
        <v>0</v>
      </c>
      <c r="M608" t="n">
        <v>0</v>
      </c>
      <c r="N608" t="n">
        <v>0</v>
      </c>
      <c r="O608" t="n">
        <v>0</v>
      </c>
      <c r="P608" t="n">
        <v>0</v>
      </c>
      <c r="Q608" t="n">
        <v>0</v>
      </c>
      <c r="R608" s="2" t="inlineStr"/>
    </row>
    <row r="609">
      <c r="A609" t="inlineStr">
        <is>
          <t>A 29554-2025</t>
        </is>
      </c>
      <c r="B609" s="1" t="n">
        <v>45825</v>
      </c>
      <c r="C609" s="1" t="n">
        <v>45967</v>
      </c>
      <c r="D609" t="inlineStr">
        <is>
          <t>ÖREBRO LÄN</t>
        </is>
      </c>
      <c r="E609" t="inlineStr">
        <is>
          <t>ÖREBRO</t>
        </is>
      </c>
      <c r="F609" t="inlineStr">
        <is>
          <t>Övriga Aktiebolag</t>
        </is>
      </c>
      <c r="G609" t="n">
        <v>1</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2025-11-06T10:16:29Z</dcterms:created>
  <dcterms:modified xmlns:dcterms="http://purl.org/dc/terms/" xmlns:xsi="http://www.w3.org/2001/XMLSchema-instance" xsi:type="dcterms:W3CDTF">2025-11-06T10:16:29Z</dcterms:modified>
</cp:coreProperties>
</file>