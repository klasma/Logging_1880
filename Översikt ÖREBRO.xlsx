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45968</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45968</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45968</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45968</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45968</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45968</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57553-2023</t>
        </is>
      </c>
      <c r="B11" s="1" t="n">
        <v>45246</v>
      </c>
      <c r="C11" s="1" t="n">
        <v>45968</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45968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45968</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12974-2022</t>
        </is>
      </c>
      <c r="B14" s="1" t="n">
        <v>44643.38490740741</v>
      </c>
      <c r="C14" s="1" t="n">
        <v>45968</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45968</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33069-2025</t>
        </is>
      </c>
      <c r="B16" s="1" t="n">
        <v>45840</v>
      </c>
      <c r="C16" s="1" t="n">
        <v>45968</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29487-2022</t>
        </is>
      </c>
      <c r="B17" s="1" t="n">
        <v>44753</v>
      </c>
      <c r="C17" s="1" t="n">
        <v>45968</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45968</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17074-2024</t>
        </is>
      </c>
      <c r="B19" s="1" t="n">
        <v>45412</v>
      </c>
      <c r="C19" s="1" t="n">
        <v>45968</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575-2024</t>
        </is>
      </c>
      <c r="B20" s="1" t="n">
        <v>45299</v>
      </c>
      <c r="C20" s="1" t="n">
        <v>45968</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35098-2025</t>
        </is>
      </c>
      <c r="B21" s="1" t="n">
        <v>45852.5469212963</v>
      </c>
      <c r="C21" s="1" t="n">
        <v>45968</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13627-2025</t>
        </is>
      </c>
      <c r="B22" s="1" t="n">
        <v>45736</v>
      </c>
      <c r="C22" s="1" t="n">
        <v>45968</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50096-2023</t>
        </is>
      </c>
      <c r="B23" s="1" t="n">
        <v>45215</v>
      </c>
      <c r="C23" s="1" t="n">
        <v>45968</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45968</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45968</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45968</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45968</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13395-2024</t>
        </is>
      </c>
      <c r="B28" s="1" t="n">
        <v>45387.42296296296</v>
      </c>
      <c r="C28" s="1" t="n">
        <v>45968</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30409-2025</t>
        </is>
      </c>
      <c r="B29" s="1" t="n">
        <v>45827.59738425926</v>
      </c>
      <c r="C29" s="1" t="n">
        <v>45968</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14956-2025</t>
        </is>
      </c>
      <c r="B30" s="1" t="n">
        <v>45743.58409722222</v>
      </c>
      <c r="C30" s="1" t="n">
        <v>45968</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13458-2024</t>
        </is>
      </c>
      <c r="B31" s="1" t="n">
        <v>45387.54642361111</v>
      </c>
      <c r="C31" s="1" t="n">
        <v>45968</v>
      </c>
      <c r="D31" t="inlineStr">
        <is>
          <t>ÖREBRO LÄN</t>
        </is>
      </c>
      <c r="E31" t="inlineStr">
        <is>
          <t>ÖREBRO</t>
        </is>
      </c>
      <c r="G31" t="n">
        <v>1.8</v>
      </c>
      <c r="H31" t="n">
        <v>2</v>
      </c>
      <c r="I31" t="n">
        <v>0</v>
      </c>
      <c r="J31" t="n">
        <v>1</v>
      </c>
      <c r="K31" t="n">
        <v>0</v>
      </c>
      <c r="L31" t="n">
        <v>0</v>
      </c>
      <c r="M31" t="n">
        <v>0</v>
      </c>
      <c r="N31" t="n">
        <v>0</v>
      </c>
      <c r="O31" t="n">
        <v>1</v>
      </c>
      <c r="P31" t="n">
        <v>0</v>
      </c>
      <c r="Q31" t="n">
        <v>2</v>
      </c>
      <c r="R31" s="2" t="inlineStr">
        <is>
          <t>Havsörn
Göktyta</t>
        </is>
      </c>
      <c r="S31">
        <f>HYPERLINK("https://klasma.github.io/Logging_1880/artfynd/A 13458-2024 artfynd.xlsx", "A 13458-2024")</f>
        <v/>
      </c>
      <c r="T31">
        <f>HYPERLINK("https://klasma.github.io/Logging_1880/kartor/A 13458-2024 karta.png", "A 13458-2024")</f>
        <v/>
      </c>
      <c r="V31">
        <f>HYPERLINK("https://klasma.github.io/Logging_1880/klagomål/A 13458-2024 FSC-klagomål.docx", "A 13458-2024")</f>
        <v/>
      </c>
      <c r="W31">
        <f>HYPERLINK("https://klasma.github.io/Logging_1880/klagomålsmail/A 13458-2024 FSC-klagomål mail.docx", "A 13458-2024")</f>
        <v/>
      </c>
      <c r="X31">
        <f>HYPERLINK("https://klasma.github.io/Logging_1880/tillsyn/A 13458-2024 tillsynsbegäran.docx", "A 13458-2024")</f>
        <v/>
      </c>
      <c r="Y31">
        <f>HYPERLINK("https://klasma.github.io/Logging_1880/tillsynsmail/A 13458-2024 tillsynsbegäran mail.docx", "A 13458-2024")</f>
        <v/>
      </c>
      <c r="Z31">
        <f>HYPERLINK("https://klasma.github.io/Logging_1880/fåglar/A 13458-2024 prioriterade fågelarter.docx", "A 13458-2024")</f>
        <v/>
      </c>
    </row>
    <row r="32" ht="15" customHeight="1">
      <c r="A32" t="inlineStr">
        <is>
          <t>A 7608-2024</t>
        </is>
      </c>
      <c r="B32" s="1" t="n">
        <v>45348</v>
      </c>
      <c r="C32" s="1" t="n">
        <v>45968</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52400-2024</t>
        </is>
      </c>
      <c r="B33" s="1" t="n">
        <v>45609.44461805555</v>
      </c>
      <c r="C33" s="1" t="n">
        <v>45968</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22577-2024</t>
        </is>
      </c>
      <c r="B34" s="1" t="n">
        <v>45447</v>
      </c>
      <c r="C34" s="1" t="n">
        <v>45968</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37019-2024</t>
        </is>
      </c>
      <c r="B35" s="1" t="n">
        <v>45539.37905092593</v>
      </c>
      <c r="C35" s="1" t="n">
        <v>45968</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8267-2021</t>
        </is>
      </c>
      <c r="B36" s="1" t="n">
        <v>44244</v>
      </c>
      <c r="C36" s="1" t="n">
        <v>45968</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51550-2025</t>
        </is>
      </c>
      <c r="B37" s="1" t="n">
        <v>45950.83359953704</v>
      </c>
      <c r="C37" s="1" t="n">
        <v>45968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29704-2022</t>
        </is>
      </c>
      <c r="B38" s="1" t="n">
        <v>44755</v>
      </c>
      <c r="C38" s="1" t="n">
        <v>45968</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45968</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45968</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4014-2021</t>
        </is>
      </c>
      <c r="B41" s="1" t="n">
        <v>44218</v>
      </c>
      <c r="C41" s="1" t="n">
        <v>45968</v>
      </c>
      <c r="D41" t="inlineStr">
        <is>
          <t>ÖREBRO LÄN</t>
        </is>
      </c>
      <c r="E41" t="inlineStr">
        <is>
          <t>ÖREBRO</t>
        </is>
      </c>
      <c r="G41" t="n">
        <v>10.5</v>
      </c>
      <c r="H41" t="n">
        <v>0</v>
      </c>
      <c r="I41" t="n">
        <v>1</v>
      </c>
      <c r="J41" t="n">
        <v>0</v>
      </c>
      <c r="K41" t="n">
        <v>0</v>
      </c>
      <c r="L41" t="n">
        <v>0</v>
      </c>
      <c r="M41" t="n">
        <v>0</v>
      </c>
      <c r="N41" t="n">
        <v>0</v>
      </c>
      <c r="O41" t="n">
        <v>0</v>
      </c>
      <c r="P41" t="n">
        <v>0</v>
      </c>
      <c r="Q41" t="n">
        <v>1</v>
      </c>
      <c r="R41" s="2" t="inlineStr">
        <is>
          <t>Springkorn</t>
        </is>
      </c>
      <c r="S41">
        <f>HYPERLINK("https://klasma.github.io/Logging_1880/artfynd/A 4014-2021 artfynd.xlsx", "A 4014-2021")</f>
        <v/>
      </c>
      <c r="T41">
        <f>HYPERLINK("https://klasma.github.io/Logging_1880/kartor/A 4014-2021 karta.png", "A 4014-2021")</f>
        <v/>
      </c>
      <c r="V41">
        <f>HYPERLINK("https://klasma.github.io/Logging_1880/klagomål/A 4014-2021 FSC-klagomål.docx", "A 4014-2021")</f>
        <v/>
      </c>
      <c r="W41">
        <f>HYPERLINK("https://klasma.github.io/Logging_1880/klagomålsmail/A 4014-2021 FSC-klagomål mail.docx", "A 4014-2021")</f>
        <v/>
      </c>
      <c r="X41">
        <f>HYPERLINK("https://klasma.github.io/Logging_1880/tillsyn/A 4014-2021 tillsynsbegäran.docx", "A 4014-2021")</f>
        <v/>
      </c>
      <c r="Y41">
        <f>HYPERLINK("https://klasma.github.io/Logging_1880/tillsynsmail/A 4014-2021 tillsynsbegäran mail.docx", "A 4014-2021")</f>
        <v/>
      </c>
    </row>
    <row r="42" ht="15" customHeight="1">
      <c r="A42" t="inlineStr">
        <is>
          <t>A 44744-2024</t>
        </is>
      </c>
      <c r="B42" s="1" t="n">
        <v>45574.59789351852</v>
      </c>
      <c r="C42" s="1" t="n">
        <v>45968</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15621-2021</t>
        </is>
      </c>
      <c r="B43" s="1" t="n">
        <v>44285</v>
      </c>
      <c r="C43" s="1" t="n">
        <v>45968</v>
      </c>
      <c r="D43" t="inlineStr">
        <is>
          <t>ÖREBRO LÄN</t>
        </is>
      </c>
      <c r="E43" t="inlineStr">
        <is>
          <t>ÖREBRO</t>
        </is>
      </c>
      <c r="G43" t="n">
        <v>2.8</v>
      </c>
      <c r="H43" t="n">
        <v>1</v>
      </c>
      <c r="I43" t="n">
        <v>0</v>
      </c>
      <c r="J43" t="n">
        <v>0</v>
      </c>
      <c r="K43" t="n">
        <v>0</v>
      </c>
      <c r="L43" t="n">
        <v>0</v>
      </c>
      <c r="M43" t="n">
        <v>0</v>
      </c>
      <c r="N43" t="n">
        <v>0</v>
      </c>
      <c r="O43" t="n">
        <v>0</v>
      </c>
      <c r="P43" t="n">
        <v>0</v>
      </c>
      <c r="Q43" t="n">
        <v>1</v>
      </c>
      <c r="R43" s="2" t="inlineStr">
        <is>
          <t>Fläcknycklar</t>
        </is>
      </c>
      <c r="S43">
        <f>HYPERLINK("https://klasma.github.io/Logging_1880/artfynd/A 15621-2021 artfynd.xlsx", "A 15621-2021")</f>
        <v/>
      </c>
      <c r="T43">
        <f>HYPERLINK("https://klasma.github.io/Logging_1880/kartor/A 15621-2021 karta.png", "A 15621-2021")</f>
        <v/>
      </c>
      <c r="V43">
        <f>HYPERLINK("https://klasma.github.io/Logging_1880/klagomål/A 15621-2021 FSC-klagomål.docx", "A 15621-2021")</f>
        <v/>
      </c>
      <c r="W43">
        <f>HYPERLINK("https://klasma.github.io/Logging_1880/klagomålsmail/A 15621-2021 FSC-klagomål mail.docx", "A 15621-2021")</f>
        <v/>
      </c>
      <c r="X43">
        <f>HYPERLINK("https://klasma.github.io/Logging_1880/tillsyn/A 15621-2021 tillsynsbegäran.docx", "A 15621-2021")</f>
        <v/>
      </c>
      <c r="Y43">
        <f>HYPERLINK("https://klasma.github.io/Logging_1880/tillsynsmail/A 15621-2021 tillsynsbegäran mail.docx", "A 15621-2021")</f>
        <v/>
      </c>
    </row>
    <row r="44" ht="15" customHeight="1">
      <c r="A44" t="inlineStr">
        <is>
          <t>A 30725-2023</t>
        </is>
      </c>
      <c r="B44" s="1" t="n">
        <v>45112.61451388889</v>
      </c>
      <c r="C44" s="1" t="n">
        <v>45968</v>
      </c>
      <c r="D44" t="inlineStr">
        <is>
          <t>ÖREBRO LÄN</t>
        </is>
      </c>
      <c r="E44" t="inlineStr">
        <is>
          <t>ÖREBRO</t>
        </is>
      </c>
      <c r="G44" t="n">
        <v>1.8</v>
      </c>
      <c r="H44" t="n">
        <v>1</v>
      </c>
      <c r="I44" t="n">
        <v>0</v>
      </c>
      <c r="J44" t="n">
        <v>1</v>
      </c>
      <c r="K44" t="n">
        <v>0</v>
      </c>
      <c r="L44" t="n">
        <v>0</v>
      </c>
      <c r="M44" t="n">
        <v>0</v>
      </c>
      <c r="N44" t="n">
        <v>0</v>
      </c>
      <c r="O44" t="n">
        <v>1</v>
      </c>
      <c r="P44" t="n">
        <v>0</v>
      </c>
      <c r="Q44" t="n">
        <v>1</v>
      </c>
      <c r="R44" s="2" t="inlineStr">
        <is>
          <t>Gulsparv</t>
        </is>
      </c>
      <c r="S44">
        <f>HYPERLINK("https://klasma.github.io/Logging_1880/artfynd/A 30725-2023 artfynd.xlsx", "A 30725-2023")</f>
        <v/>
      </c>
      <c r="T44">
        <f>HYPERLINK("https://klasma.github.io/Logging_1880/kartor/A 30725-2023 karta.png", "A 30725-2023")</f>
        <v/>
      </c>
      <c r="V44">
        <f>HYPERLINK("https://klasma.github.io/Logging_1880/klagomål/A 30725-2023 FSC-klagomål.docx", "A 30725-2023")</f>
        <v/>
      </c>
      <c r="W44">
        <f>HYPERLINK("https://klasma.github.io/Logging_1880/klagomålsmail/A 30725-2023 FSC-klagomål mail.docx", "A 30725-2023")</f>
        <v/>
      </c>
      <c r="X44">
        <f>HYPERLINK("https://klasma.github.io/Logging_1880/tillsyn/A 30725-2023 tillsynsbegäran.docx", "A 30725-2023")</f>
        <v/>
      </c>
      <c r="Y44">
        <f>HYPERLINK("https://klasma.github.io/Logging_1880/tillsynsmail/A 30725-2023 tillsynsbegäran mail.docx", "A 30725-2023")</f>
        <v/>
      </c>
      <c r="Z44">
        <f>HYPERLINK("https://klasma.github.io/Logging_1880/fåglar/A 30725-2023 prioriterade fågelarter.docx", "A 30725-2023")</f>
        <v/>
      </c>
    </row>
    <row r="45" ht="15" customHeight="1">
      <c r="A45" t="inlineStr">
        <is>
          <t>A 20032-2023</t>
        </is>
      </c>
      <c r="B45" s="1" t="n">
        <v>45054</v>
      </c>
      <c r="C45" s="1" t="n">
        <v>45968</v>
      </c>
      <c r="D45" t="inlineStr">
        <is>
          <t>ÖREBRO LÄN</t>
        </is>
      </c>
      <c r="E45" t="inlineStr">
        <is>
          <t>ÖREBRO</t>
        </is>
      </c>
      <c r="G45" t="n">
        <v>2.6</v>
      </c>
      <c r="H45" t="n">
        <v>1</v>
      </c>
      <c r="I45" t="n">
        <v>0</v>
      </c>
      <c r="J45" t="n">
        <v>0</v>
      </c>
      <c r="K45" t="n">
        <v>0</v>
      </c>
      <c r="L45" t="n">
        <v>0</v>
      </c>
      <c r="M45" t="n">
        <v>0</v>
      </c>
      <c r="N45" t="n">
        <v>0</v>
      </c>
      <c r="O45" t="n">
        <v>0</v>
      </c>
      <c r="P45" t="n">
        <v>0</v>
      </c>
      <c r="Q45" t="n">
        <v>1</v>
      </c>
      <c r="R45" s="2" t="inlineStr">
        <is>
          <t>Fiskgjuse</t>
        </is>
      </c>
      <c r="S45">
        <f>HYPERLINK("https://klasma.github.io/Logging_1880/artfynd/A 20032-2023 artfynd.xlsx", "A 20032-2023")</f>
        <v/>
      </c>
      <c r="T45">
        <f>HYPERLINK("https://klasma.github.io/Logging_1880/kartor/A 20032-2023 karta.png", "A 20032-2023")</f>
        <v/>
      </c>
      <c r="V45">
        <f>HYPERLINK("https://klasma.github.io/Logging_1880/klagomål/A 20032-2023 FSC-klagomål.docx", "A 20032-2023")</f>
        <v/>
      </c>
      <c r="W45">
        <f>HYPERLINK("https://klasma.github.io/Logging_1880/klagomålsmail/A 20032-2023 FSC-klagomål mail.docx", "A 20032-2023")</f>
        <v/>
      </c>
      <c r="X45">
        <f>HYPERLINK("https://klasma.github.io/Logging_1880/tillsyn/A 20032-2023 tillsynsbegäran.docx", "A 20032-2023")</f>
        <v/>
      </c>
      <c r="Y45">
        <f>HYPERLINK("https://klasma.github.io/Logging_1880/tillsynsmail/A 20032-2023 tillsynsbegäran mail.docx", "A 20032-2023")</f>
        <v/>
      </c>
      <c r="Z45">
        <f>HYPERLINK("https://klasma.github.io/Logging_1880/fåglar/A 20032-2023 prioriterade fågelarter.docx", "A 20032-2023")</f>
        <v/>
      </c>
    </row>
    <row r="46" ht="15" customHeight="1">
      <c r="A46" t="inlineStr">
        <is>
          <t>A 28936-2025</t>
        </is>
      </c>
      <c r="B46" s="1" t="n">
        <v>45820.69287037037</v>
      </c>
      <c r="C46" s="1" t="n">
        <v>45968</v>
      </c>
      <c r="D46" t="inlineStr">
        <is>
          <t>ÖREBRO LÄN</t>
        </is>
      </c>
      <c r="E46" t="inlineStr">
        <is>
          <t>ÖREBRO</t>
        </is>
      </c>
      <c r="G46" t="n">
        <v>0.9</v>
      </c>
      <c r="H46" t="n">
        <v>1</v>
      </c>
      <c r="I46" t="n">
        <v>0</v>
      </c>
      <c r="J46" t="n">
        <v>0</v>
      </c>
      <c r="K46" t="n">
        <v>0</v>
      </c>
      <c r="L46" t="n">
        <v>0</v>
      </c>
      <c r="M46" t="n">
        <v>0</v>
      </c>
      <c r="N46" t="n">
        <v>0</v>
      </c>
      <c r="O46" t="n">
        <v>0</v>
      </c>
      <c r="P46" t="n">
        <v>0</v>
      </c>
      <c r="Q46" t="n">
        <v>1</v>
      </c>
      <c r="R46" s="2" t="inlineStr">
        <is>
          <t>Kungsfågel</t>
        </is>
      </c>
      <c r="S46">
        <f>HYPERLINK("https://klasma.github.io/Logging_1880/artfynd/A 28936-2025 artfynd.xlsx", "A 28936-2025")</f>
        <v/>
      </c>
      <c r="T46">
        <f>HYPERLINK("https://klasma.github.io/Logging_1880/kartor/A 28936-2025 karta.png", "A 28936-2025")</f>
        <v/>
      </c>
      <c r="V46">
        <f>HYPERLINK("https://klasma.github.io/Logging_1880/klagomål/A 28936-2025 FSC-klagomål.docx", "A 28936-2025")</f>
        <v/>
      </c>
      <c r="W46">
        <f>HYPERLINK("https://klasma.github.io/Logging_1880/klagomålsmail/A 28936-2025 FSC-klagomål mail.docx", "A 28936-2025")</f>
        <v/>
      </c>
      <c r="X46">
        <f>HYPERLINK("https://klasma.github.io/Logging_1880/tillsyn/A 28936-2025 tillsynsbegäran.docx", "A 28936-2025")</f>
        <v/>
      </c>
      <c r="Y46">
        <f>HYPERLINK("https://klasma.github.io/Logging_1880/tillsynsmail/A 28936-2025 tillsynsbegäran mail.docx", "A 28936-2025")</f>
        <v/>
      </c>
      <c r="Z46">
        <f>HYPERLINK("https://klasma.github.io/Logging_1880/fåglar/A 28936-2025 prioriterade fågelarter.docx", "A 28936-2025")</f>
        <v/>
      </c>
    </row>
    <row r="47" ht="15" customHeight="1">
      <c r="A47" t="inlineStr">
        <is>
          <t>A 32204-2025</t>
        </is>
      </c>
      <c r="B47" s="1" t="n">
        <v>45835.58074074074</v>
      </c>
      <c r="C47" s="1" t="n">
        <v>45968</v>
      </c>
      <c r="D47" t="inlineStr">
        <is>
          <t>ÖREBRO LÄN</t>
        </is>
      </c>
      <c r="E47" t="inlineStr">
        <is>
          <t>ÖREBRO</t>
        </is>
      </c>
      <c r="G47" t="n">
        <v>3.4</v>
      </c>
      <c r="H47" t="n">
        <v>1</v>
      </c>
      <c r="I47" t="n">
        <v>0</v>
      </c>
      <c r="J47" t="n">
        <v>0</v>
      </c>
      <c r="K47" t="n">
        <v>0</v>
      </c>
      <c r="L47" t="n">
        <v>0</v>
      </c>
      <c r="M47" t="n">
        <v>0</v>
      </c>
      <c r="N47" t="n">
        <v>0</v>
      </c>
      <c r="O47" t="n">
        <v>0</v>
      </c>
      <c r="P47" t="n">
        <v>0</v>
      </c>
      <c r="Q47" t="n">
        <v>1</v>
      </c>
      <c r="R47" s="2" t="inlineStr">
        <is>
          <t>Tjäder</t>
        </is>
      </c>
      <c r="S47">
        <f>HYPERLINK("https://klasma.github.io/Logging_1880/artfynd/A 32204-2025 artfynd.xlsx", "A 32204-2025")</f>
        <v/>
      </c>
      <c r="T47">
        <f>HYPERLINK("https://klasma.github.io/Logging_1880/kartor/A 32204-2025 karta.png", "A 32204-2025")</f>
        <v/>
      </c>
      <c r="V47">
        <f>HYPERLINK("https://klasma.github.io/Logging_1880/klagomål/A 32204-2025 FSC-klagomål.docx", "A 32204-2025")</f>
        <v/>
      </c>
      <c r="W47">
        <f>HYPERLINK("https://klasma.github.io/Logging_1880/klagomålsmail/A 32204-2025 FSC-klagomål mail.docx", "A 32204-2025")</f>
        <v/>
      </c>
      <c r="X47">
        <f>HYPERLINK("https://klasma.github.io/Logging_1880/tillsyn/A 32204-2025 tillsynsbegäran.docx", "A 32204-2025")</f>
        <v/>
      </c>
      <c r="Y47">
        <f>HYPERLINK("https://klasma.github.io/Logging_1880/tillsynsmail/A 32204-2025 tillsynsbegäran mail.docx", "A 32204-2025")</f>
        <v/>
      </c>
      <c r="Z47">
        <f>HYPERLINK("https://klasma.github.io/Logging_1880/fåglar/A 32204-2025 prioriterade fågelarter.docx", "A 32204-2025")</f>
        <v/>
      </c>
    </row>
    <row r="48" ht="15" customHeight="1">
      <c r="A48" t="inlineStr">
        <is>
          <t>A 32226-2025</t>
        </is>
      </c>
      <c r="B48" s="1" t="n">
        <v>45835.59478009259</v>
      </c>
      <c r="C48" s="1" t="n">
        <v>45968</v>
      </c>
      <c r="D48" t="inlineStr">
        <is>
          <t>ÖREBRO LÄN</t>
        </is>
      </c>
      <c r="E48" t="inlineStr">
        <is>
          <t>ÖREBRO</t>
        </is>
      </c>
      <c r="G48" t="n">
        <v>1.2</v>
      </c>
      <c r="H48" t="n">
        <v>0</v>
      </c>
      <c r="I48" t="n">
        <v>0</v>
      </c>
      <c r="J48" t="n">
        <v>1</v>
      </c>
      <c r="K48" t="n">
        <v>0</v>
      </c>
      <c r="L48" t="n">
        <v>0</v>
      </c>
      <c r="M48" t="n">
        <v>0</v>
      </c>
      <c r="N48" t="n">
        <v>0</v>
      </c>
      <c r="O48" t="n">
        <v>1</v>
      </c>
      <c r="P48" t="n">
        <v>0</v>
      </c>
      <c r="Q48" t="n">
        <v>1</v>
      </c>
      <c r="R48" s="2" t="inlineStr">
        <is>
          <t>Dofttaggsvamp</t>
        </is>
      </c>
      <c r="S48">
        <f>HYPERLINK("https://klasma.github.io/Logging_1880/artfynd/A 32226-2025 artfynd.xlsx", "A 32226-2025")</f>
        <v/>
      </c>
      <c r="T48">
        <f>HYPERLINK("https://klasma.github.io/Logging_1880/kartor/A 32226-2025 karta.png", "A 32226-2025")</f>
        <v/>
      </c>
      <c r="V48">
        <f>HYPERLINK("https://klasma.github.io/Logging_1880/klagomål/A 32226-2025 FSC-klagomål.docx", "A 32226-2025")</f>
        <v/>
      </c>
      <c r="W48">
        <f>HYPERLINK("https://klasma.github.io/Logging_1880/klagomålsmail/A 32226-2025 FSC-klagomål mail.docx", "A 32226-2025")</f>
        <v/>
      </c>
      <c r="X48">
        <f>HYPERLINK("https://klasma.github.io/Logging_1880/tillsyn/A 32226-2025 tillsynsbegäran.docx", "A 32226-2025")</f>
        <v/>
      </c>
      <c r="Y48">
        <f>HYPERLINK("https://klasma.github.io/Logging_1880/tillsynsmail/A 32226-2025 tillsynsbegäran mail.docx", "A 32226-2025")</f>
        <v/>
      </c>
    </row>
    <row r="49" ht="15" customHeight="1">
      <c r="A49" t="inlineStr">
        <is>
          <t>A 31695-2024</t>
        </is>
      </c>
      <c r="B49" s="1" t="n">
        <v>45508</v>
      </c>
      <c r="C49" s="1" t="n">
        <v>45968</v>
      </c>
      <c r="D49" t="inlineStr">
        <is>
          <t>ÖREBRO LÄN</t>
        </is>
      </c>
      <c r="E49" t="inlineStr">
        <is>
          <t>ÖREBRO</t>
        </is>
      </c>
      <c r="G49" t="n">
        <v>1.3</v>
      </c>
      <c r="H49" t="n">
        <v>1</v>
      </c>
      <c r="I49" t="n">
        <v>1</v>
      </c>
      <c r="J49" t="n">
        <v>0</v>
      </c>
      <c r="K49" t="n">
        <v>0</v>
      </c>
      <c r="L49" t="n">
        <v>0</v>
      </c>
      <c r="M49" t="n">
        <v>0</v>
      </c>
      <c r="N49" t="n">
        <v>0</v>
      </c>
      <c r="O49" t="n">
        <v>0</v>
      </c>
      <c r="P49" t="n">
        <v>0</v>
      </c>
      <c r="Q49" t="n">
        <v>1</v>
      </c>
      <c r="R49" s="2" t="inlineStr">
        <is>
          <t>Skogsknipprot</t>
        </is>
      </c>
      <c r="S49">
        <f>HYPERLINK("https://klasma.github.io/Logging_1880/artfynd/A 31695-2024 artfynd.xlsx", "A 31695-2024")</f>
        <v/>
      </c>
      <c r="T49">
        <f>HYPERLINK("https://klasma.github.io/Logging_1880/kartor/A 31695-2024 karta.png", "A 31695-2024")</f>
        <v/>
      </c>
      <c r="V49">
        <f>HYPERLINK("https://klasma.github.io/Logging_1880/klagomål/A 31695-2024 FSC-klagomål.docx", "A 31695-2024")</f>
        <v/>
      </c>
      <c r="W49">
        <f>HYPERLINK("https://klasma.github.io/Logging_1880/klagomålsmail/A 31695-2024 FSC-klagomål mail.docx", "A 31695-2024")</f>
        <v/>
      </c>
      <c r="X49">
        <f>HYPERLINK("https://klasma.github.io/Logging_1880/tillsyn/A 31695-2024 tillsynsbegäran.docx", "A 31695-2024")</f>
        <v/>
      </c>
      <c r="Y49">
        <f>HYPERLINK("https://klasma.github.io/Logging_1880/tillsynsmail/A 31695-2024 tillsynsbegäran mail.docx", "A 31695-2024")</f>
        <v/>
      </c>
    </row>
    <row r="50" ht="15" customHeight="1">
      <c r="A50" t="inlineStr">
        <is>
          <t>A 26890-2022</t>
        </is>
      </c>
      <c r="B50" s="1" t="n">
        <v>44740</v>
      </c>
      <c r="C50" s="1" t="n">
        <v>45968</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45968</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5097-2023</t>
        </is>
      </c>
      <c r="B52" s="1" t="n">
        <v>44958</v>
      </c>
      <c r="C52" s="1" t="n">
        <v>45968</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32105-2023</t>
        </is>
      </c>
      <c r="B53" s="1" t="n">
        <v>45119</v>
      </c>
      <c r="C53" s="1" t="n">
        <v>45968</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20247-2023</t>
        </is>
      </c>
      <c r="B54" s="1" t="n">
        <v>45055</v>
      </c>
      <c r="C54" s="1" t="n">
        <v>45968</v>
      </c>
      <c r="D54" t="inlineStr">
        <is>
          <t>ÖREBRO LÄN</t>
        </is>
      </c>
      <c r="E54" t="inlineStr">
        <is>
          <t>ÖREBRO</t>
        </is>
      </c>
      <c r="G54" t="n">
        <v>3</v>
      </c>
      <c r="H54" t="n">
        <v>1</v>
      </c>
      <c r="I54" t="n">
        <v>0</v>
      </c>
      <c r="J54" t="n">
        <v>0</v>
      </c>
      <c r="K54" t="n">
        <v>0</v>
      </c>
      <c r="L54" t="n">
        <v>0</v>
      </c>
      <c r="M54" t="n">
        <v>0</v>
      </c>
      <c r="N54" t="n">
        <v>0</v>
      </c>
      <c r="O54" t="n">
        <v>0</v>
      </c>
      <c r="P54" t="n">
        <v>0</v>
      </c>
      <c r="Q54" t="n">
        <v>1</v>
      </c>
      <c r="R54" s="2" t="inlineStr">
        <is>
          <t>Större vattensalamander</t>
        </is>
      </c>
      <c r="S54">
        <f>HYPERLINK("https://klasma.github.io/Logging_1880/artfynd/A 20247-2023 artfynd.xlsx", "A 20247-2023")</f>
        <v/>
      </c>
      <c r="T54">
        <f>HYPERLINK("https://klasma.github.io/Logging_1880/kartor/A 20247-2023 karta.png", "A 20247-2023")</f>
        <v/>
      </c>
      <c r="V54">
        <f>HYPERLINK("https://klasma.github.io/Logging_1880/klagomål/A 20247-2023 FSC-klagomål.docx", "A 20247-2023")</f>
        <v/>
      </c>
      <c r="W54">
        <f>HYPERLINK("https://klasma.github.io/Logging_1880/klagomålsmail/A 20247-2023 FSC-klagomål mail.docx", "A 20247-2023")</f>
        <v/>
      </c>
      <c r="X54">
        <f>HYPERLINK("https://klasma.github.io/Logging_1880/tillsyn/A 20247-2023 tillsynsbegäran.docx", "A 20247-2023")</f>
        <v/>
      </c>
      <c r="Y54">
        <f>HYPERLINK("https://klasma.github.io/Logging_1880/tillsynsmail/A 20247-2023 tillsynsbegäran mail.docx", "A 20247-2023")</f>
        <v/>
      </c>
    </row>
    <row r="55" ht="15" customHeight="1">
      <c r="A55" t="inlineStr">
        <is>
          <t>A 23998-2025</t>
        </is>
      </c>
      <c r="B55" s="1" t="n">
        <v>45796.42209490741</v>
      </c>
      <c r="C55" s="1" t="n">
        <v>45968</v>
      </c>
      <c r="D55" t="inlineStr">
        <is>
          <t>ÖREBRO LÄN</t>
        </is>
      </c>
      <c r="E55" t="inlineStr">
        <is>
          <t>ÖREBRO</t>
        </is>
      </c>
      <c r="G55" t="n">
        <v>4.7</v>
      </c>
      <c r="H55" t="n">
        <v>0</v>
      </c>
      <c r="I55" t="n">
        <v>1</v>
      </c>
      <c r="J55" t="n">
        <v>0</v>
      </c>
      <c r="K55" t="n">
        <v>0</v>
      </c>
      <c r="L55" t="n">
        <v>0</v>
      </c>
      <c r="M55" t="n">
        <v>0</v>
      </c>
      <c r="N55" t="n">
        <v>0</v>
      </c>
      <c r="O55" t="n">
        <v>0</v>
      </c>
      <c r="P55" t="n">
        <v>0</v>
      </c>
      <c r="Q55" t="n">
        <v>1</v>
      </c>
      <c r="R55" s="2" t="inlineStr">
        <is>
          <t>Kambräken</t>
        </is>
      </c>
      <c r="S55">
        <f>HYPERLINK("https://klasma.github.io/Logging_1880/artfynd/A 23998-2025 artfynd.xlsx", "A 23998-2025")</f>
        <v/>
      </c>
      <c r="T55">
        <f>HYPERLINK("https://klasma.github.io/Logging_1880/kartor/A 23998-2025 karta.png", "A 23998-2025")</f>
        <v/>
      </c>
      <c r="V55">
        <f>HYPERLINK("https://klasma.github.io/Logging_1880/klagomål/A 23998-2025 FSC-klagomål.docx", "A 23998-2025")</f>
        <v/>
      </c>
      <c r="W55">
        <f>HYPERLINK("https://klasma.github.io/Logging_1880/klagomålsmail/A 23998-2025 FSC-klagomål mail.docx", "A 23998-2025")</f>
        <v/>
      </c>
      <c r="X55">
        <f>HYPERLINK("https://klasma.github.io/Logging_1880/tillsyn/A 23998-2025 tillsynsbegäran.docx", "A 23998-2025")</f>
        <v/>
      </c>
      <c r="Y55">
        <f>HYPERLINK("https://klasma.github.io/Logging_1880/tillsynsmail/A 23998-2025 tillsynsbegäran mail.docx", "A 23998-2025")</f>
        <v/>
      </c>
    </row>
    <row r="56" ht="15" customHeight="1">
      <c r="A56" t="inlineStr">
        <is>
          <t>A 44389-2021</t>
        </is>
      </c>
      <c r="B56" s="1" t="n">
        <v>44435</v>
      </c>
      <c r="C56" s="1" t="n">
        <v>45968</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45968</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45968</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45968</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45968</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50499-2025</t>
        </is>
      </c>
      <c r="B61" s="1" t="n">
        <v>45945.41712962963</v>
      </c>
      <c r="C61" s="1" t="n">
        <v>45968</v>
      </c>
      <c r="D61" t="inlineStr">
        <is>
          <t>ÖREBRO LÄN</t>
        </is>
      </c>
      <c r="E61" t="inlineStr">
        <is>
          <t>ÖREBRO</t>
        </is>
      </c>
      <c r="G61" t="n">
        <v>6.7</v>
      </c>
      <c r="H61" t="n">
        <v>0</v>
      </c>
      <c r="I61" t="n">
        <v>0</v>
      </c>
      <c r="J61" t="n">
        <v>1</v>
      </c>
      <c r="K61" t="n">
        <v>0</v>
      </c>
      <c r="L61" t="n">
        <v>0</v>
      </c>
      <c r="M61" t="n">
        <v>0</v>
      </c>
      <c r="N61" t="n">
        <v>0</v>
      </c>
      <c r="O61" t="n">
        <v>1</v>
      </c>
      <c r="P61" t="n">
        <v>0</v>
      </c>
      <c r="Q61" t="n">
        <v>1</v>
      </c>
      <c r="R61" s="2" t="inlineStr">
        <is>
          <t>Gullklöver</t>
        </is>
      </c>
      <c r="S61">
        <f>HYPERLINK("https://klasma.github.io/Logging_1880/artfynd/A 50499-2025 artfynd.xlsx", "A 50499-2025")</f>
        <v/>
      </c>
      <c r="T61">
        <f>HYPERLINK("https://klasma.github.io/Logging_1880/kartor/A 50499-2025 karta.png", "A 50499-2025")</f>
        <v/>
      </c>
      <c r="V61">
        <f>HYPERLINK("https://klasma.github.io/Logging_1880/klagomål/A 50499-2025 FSC-klagomål.docx", "A 50499-2025")</f>
        <v/>
      </c>
      <c r="W61">
        <f>HYPERLINK("https://klasma.github.io/Logging_1880/klagomålsmail/A 50499-2025 FSC-klagomål mail.docx", "A 50499-2025")</f>
        <v/>
      </c>
      <c r="X61">
        <f>HYPERLINK("https://klasma.github.io/Logging_1880/tillsyn/A 50499-2025 tillsynsbegäran.docx", "A 50499-2025")</f>
        <v/>
      </c>
      <c r="Y61">
        <f>HYPERLINK("https://klasma.github.io/Logging_1880/tillsynsmail/A 50499-2025 tillsynsbegäran mail.docx", "A 50499-2025")</f>
        <v/>
      </c>
    </row>
    <row r="62" ht="15" customHeight="1">
      <c r="A62" t="inlineStr">
        <is>
          <t>A 42636-2023</t>
        </is>
      </c>
      <c r="B62" s="1" t="n">
        <v>45181.49559027778</v>
      </c>
      <c r="C62" s="1" t="n">
        <v>45968</v>
      </c>
      <c r="D62" t="inlineStr">
        <is>
          <t>ÖREBRO LÄN</t>
        </is>
      </c>
      <c r="E62" t="inlineStr">
        <is>
          <t>ÖREBRO</t>
        </is>
      </c>
      <c r="G62" t="n">
        <v>1.7</v>
      </c>
      <c r="H62" t="n">
        <v>0</v>
      </c>
      <c r="I62" t="n">
        <v>0</v>
      </c>
      <c r="J62" t="n">
        <v>1</v>
      </c>
      <c r="K62" t="n">
        <v>0</v>
      </c>
      <c r="L62" t="n">
        <v>0</v>
      </c>
      <c r="M62" t="n">
        <v>0</v>
      </c>
      <c r="N62" t="n">
        <v>0</v>
      </c>
      <c r="O62" t="n">
        <v>1</v>
      </c>
      <c r="P62" t="n">
        <v>0</v>
      </c>
      <c r="Q62" t="n">
        <v>1</v>
      </c>
      <c r="R62" s="2" t="inlineStr">
        <is>
          <t>Igelkott</t>
        </is>
      </c>
      <c r="S62">
        <f>HYPERLINK("https://klasma.github.io/Logging_1880/artfynd/A 42636-2023 artfynd.xlsx", "A 42636-2023")</f>
        <v/>
      </c>
      <c r="T62">
        <f>HYPERLINK("https://klasma.github.io/Logging_1880/kartor/A 42636-2023 karta.png", "A 42636-2023")</f>
        <v/>
      </c>
      <c r="V62">
        <f>HYPERLINK("https://klasma.github.io/Logging_1880/klagomål/A 42636-2023 FSC-klagomål.docx", "A 42636-2023")</f>
        <v/>
      </c>
      <c r="W62">
        <f>HYPERLINK("https://klasma.github.io/Logging_1880/klagomålsmail/A 42636-2023 FSC-klagomål mail.docx", "A 42636-2023")</f>
        <v/>
      </c>
      <c r="X62">
        <f>HYPERLINK("https://klasma.github.io/Logging_1880/tillsyn/A 42636-2023 tillsynsbegäran.docx", "A 42636-2023")</f>
        <v/>
      </c>
      <c r="Y62">
        <f>HYPERLINK("https://klasma.github.io/Logging_1880/tillsynsmail/A 42636-2023 tillsynsbegäran mail.docx", "A 42636-2023")</f>
        <v/>
      </c>
    </row>
    <row r="63" ht="15" customHeight="1">
      <c r="A63" t="inlineStr">
        <is>
          <t>A 55904-2024</t>
        </is>
      </c>
      <c r="B63" s="1" t="n">
        <v>45623.58190972222</v>
      </c>
      <c r="C63" s="1" t="n">
        <v>45968</v>
      </c>
      <c r="D63" t="inlineStr">
        <is>
          <t>ÖREBRO LÄN</t>
        </is>
      </c>
      <c r="E63" t="inlineStr">
        <is>
          <t>ÖREBRO</t>
        </is>
      </c>
      <c r="G63" t="n">
        <v>1.2</v>
      </c>
      <c r="H63" t="n">
        <v>1</v>
      </c>
      <c r="I63" t="n">
        <v>0</v>
      </c>
      <c r="J63" t="n">
        <v>0</v>
      </c>
      <c r="K63" t="n">
        <v>0</v>
      </c>
      <c r="L63" t="n">
        <v>0</v>
      </c>
      <c r="M63" t="n">
        <v>0</v>
      </c>
      <c r="N63" t="n">
        <v>0</v>
      </c>
      <c r="O63" t="n">
        <v>0</v>
      </c>
      <c r="P63" t="n">
        <v>0</v>
      </c>
      <c r="Q63" t="n">
        <v>1</v>
      </c>
      <c r="R63" s="2" t="inlineStr">
        <is>
          <t>Trana</t>
        </is>
      </c>
      <c r="S63">
        <f>HYPERLINK("https://klasma.github.io/Logging_1880/artfynd/A 55904-2024 artfynd.xlsx", "A 55904-2024")</f>
        <v/>
      </c>
      <c r="T63">
        <f>HYPERLINK("https://klasma.github.io/Logging_1880/kartor/A 55904-2024 karta.png", "A 55904-2024")</f>
        <v/>
      </c>
      <c r="V63">
        <f>HYPERLINK("https://klasma.github.io/Logging_1880/klagomål/A 55904-2024 FSC-klagomål.docx", "A 55904-2024")</f>
        <v/>
      </c>
      <c r="W63">
        <f>HYPERLINK("https://klasma.github.io/Logging_1880/klagomålsmail/A 55904-2024 FSC-klagomål mail.docx", "A 55904-2024")</f>
        <v/>
      </c>
      <c r="X63">
        <f>HYPERLINK("https://klasma.github.io/Logging_1880/tillsyn/A 55904-2024 tillsynsbegäran.docx", "A 55904-2024")</f>
        <v/>
      </c>
      <c r="Y63">
        <f>HYPERLINK("https://klasma.github.io/Logging_1880/tillsynsmail/A 55904-2024 tillsynsbegäran mail.docx", "A 55904-2024")</f>
        <v/>
      </c>
      <c r="Z63">
        <f>HYPERLINK("https://klasma.github.io/Logging_1880/fåglar/A 55904-2024 prioriterade fågelarter.docx", "A 55904-2024")</f>
        <v/>
      </c>
    </row>
    <row r="64" ht="15" customHeight="1">
      <c r="A64" t="inlineStr">
        <is>
          <t>A 2077-2023</t>
        </is>
      </c>
      <c r="B64" s="1" t="n">
        <v>44939</v>
      </c>
      <c r="C64" s="1" t="n">
        <v>45968</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9406-2021</t>
        </is>
      </c>
      <c r="B65" s="1" t="n">
        <v>44251</v>
      </c>
      <c r="C65" s="1" t="n">
        <v>45968</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45968</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45968</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45968</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45968</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45968</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45968</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45968</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45968</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45968</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45968</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45968</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45968</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45968</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45968</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45968</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45968</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45968</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45968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45968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45968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45968</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45968</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45968</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45968</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45968</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45968</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45968</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45968</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45968</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45968</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45968</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45968</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45968</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45968</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45968</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45968</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45968</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45968</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45968</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45968</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45968</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45968</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45968</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45968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45968</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45968</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45968</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45968</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45968</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45968</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45968</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45968</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45968</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45968</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51268-2022</t>
        </is>
      </c>
      <c r="B122" s="1" t="n">
        <v>44868</v>
      </c>
      <c r="C122" s="1" t="n">
        <v>45968</v>
      </c>
      <c r="D122" t="inlineStr">
        <is>
          <t>ÖREBRO LÄN</t>
        </is>
      </c>
      <c r="E122" t="inlineStr">
        <is>
          <t>ÖREBRO</t>
        </is>
      </c>
      <c r="G122" t="n">
        <v>3.8</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45968</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45968</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18047-2022</t>
        </is>
      </c>
      <c r="B125" s="1" t="n">
        <v>44684</v>
      </c>
      <c r="C125" s="1" t="n">
        <v>45968</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45968</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45968</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45968</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45968</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26118-2021</t>
        </is>
      </c>
      <c r="B130" s="1" t="n">
        <v>44345</v>
      </c>
      <c r="C130" s="1" t="n">
        <v>45968</v>
      </c>
      <c r="D130" t="inlineStr">
        <is>
          <t>ÖREBRO LÄN</t>
        </is>
      </c>
      <c r="E130" t="inlineStr">
        <is>
          <t>ÖREBRO</t>
        </is>
      </c>
      <c r="G130" t="n">
        <v>2.2</v>
      </c>
      <c r="H130" t="n">
        <v>0</v>
      </c>
      <c r="I130" t="n">
        <v>0</v>
      </c>
      <c r="J130" t="n">
        <v>0</v>
      </c>
      <c r="K130" t="n">
        <v>0</v>
      </c>
      <c r="L130" t="n">
        <v>0</v>
      </c>
      <c r="M130" t="n">
        <v>0</v>
      </c>
      <c r="N130" t="n">
        <v>0</v>
      </c>
      <c r="O130" t="n">
        <v>0</v>
      </c>
      <c r="P130" t="n">
        <v>0</v>
      </c>
      <c r="Q130" t="n">
        <v>0</v>
      </c>
      <c r="R130" s="2" t="inlineStr"/>
    </row>
    <row r="131" ht="15" customHeight="1">
      <c r="A131" t="inlineStr">
        <is>
          <t>A 26119-2021</t>
        </is>
      </c>
      <c r="B131" s="1" t="n">
        <v>44345.33282407407</v>
      </c>
      <c r="C131" s="1" t="n">
        <v>45968</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16258-2022</t>
        </is>
      </c>
      <c r="B132" s="1" t="n">
        <v>44670</v>
      </c>
      <c r="C132" s="1" t="n">
        <v>45968</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7117-2021</t>
        </is>
      </c>
      <c r="B133" s="1" t="n">
        <v>44238</v>
      </c>
      <c r="C133" s="1" t="n">
        <v>45968</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69613-2020</t>
        </is>
      </c>
      <c r="B134" s="1" t="n">
        <v>44195</v>
      </c>
      <c r="C134" s="1" t="n">
        <v>45968</v>
      </c>
      <c r="D134" t="inlineStr">
        <is>
          <t>ÖREBRO LÄN</t>
        </is>
      </c>
      <c r="E134" t="inlineStr">
        <is>
          <t>ÖREBRO</t>
        </is>
      </c>
      <c r="G134" t="n">
        <v>4.7</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45968</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45968</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45968</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9362-2022</t>
        </is>
      </c>
      <c r="B138" s="1" t="n">
        <v>44616.59946759259</v>
      </c>
      <c r="C138" s="1" t="n">
        <v>45968</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45968</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45968</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45968</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45968</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60311-2020</t>
        </is>
      </c>
      <c r="B143" s="1" t="n">
        <v>44151</v>
      </c>
      <c r="C143" s="1" t="n">
        <v>45968</v>
      </c>
      <c r="D143" t="inlineStr">
        <is>
          <t>ÖREBRO LÄN</t>
        </is>
      </c>
      <c r="E143" t="inlineStr">
        <is>
          <t>ÖREBRO</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23863-2023</t>
        </is>
      </c>
      <c r="B144" s="1" t="n">
        <v>45078.48994212963</v>
      </c>
      <c r="C144" s="1" t="n">
        <v>45968</v>
      </c>
      <c r="D144" t="inlineStr">
        <is>
          <t>ÖREBRO LÄN</t>
        </is>
      </c>
      <c r="E144" t="inlineStr">
        <is>
          <t>ÖREBRO</t>
        </is>
      </c>
      <c r="F144" t="inlineStr">
        <is>
          <t>Övriga Aktiebolag</t>
        </is>
      </c>
      <c r="G144" t="n">
        <v>5.9</v>
      </c>
      <c r="H144" t="n">
        <v>0</v>
      </c>
      <c r="I144" t="n">
        <v>0</v>
      </c>
      <c r="J144" t="n">
        <v>0</v>
      </c>
      <c r="K144" t="n">
        <v>0</v>
      </c>
      <c r="L144" t="n">
        <v>0</v>
      </c>
      <c r="M144" t="n">
        <v>0</v>
      </c>
      <c r="N144" t="n">
        <v>0</v>
      </c>
      <c r="O144" t="n">
        <v>0</v>
      </c>
      <c r="P144" t="n">
        <v>0</v>
      </c>
      <c r="Q144" t="n">
        <v>0</v>
      </c>
      <c r="R144" s="2" t="inlineStr"/>
    </row>
    <row r="145" ht="15" customHeight="1">
      <c r="A145" t="inlineStr">
        <is>
          <t>A 14053-2025</t>
        </is>
      </c>
      <c r="B145" s="1" t="n">
        <v>45739</v>
      </c>
      <c r="C145" s="1" t="n">
        <v>45968</v>
      </c>
      <c r="D145" t="inlineStr">
        <is>
          <t>ÖREBRO LÄN</t>
        </is>
      </c>
      <c r="E145" t="inlineStr">
        <is>
          <t>ÖREBRO</t>
        </is>
      </c>
      <c r="G145" t="n">
        <v>3.5</v>
      </c>
      <c r="H145" t="n">
        <v>0</v>
      </c>
      <c r="I145" t="n">
        <v>0</v>
      </c>
      <c r="J145" t="n">
        <v>0</v>
      </c>
      <c r="K145" t="n">
        <v>0</v>
      </c>
      <c r="L145" t="n">
        <v>0</v>
      </c>
      <c r="M145" t="n">
        <v>0</v>
      </c>
      <c r="N145" t="n">
        <v>0</v>
      </c>
      <c r="O145" t="n">
        <v>0</v>
      </c>
      <c r="P145" t="n">
        <v>0</v>
      </c>
      <c r="Q145" t="n">
        <v>0</v>
      </c>
      <c r="R145" s="2" t="inlineStr"/>
    </row>
    <row r="146" ht="15" customHeight="1">
      <c r="A146" t="inlineStr">
        <is>
          <t>A 44165-2022</t>
        </is>
      </c>
      <c r="B146" s="1" t="n">
        <v>44839</v>
      </c>
      <c r="C146" s="1" t="n">
        <v>45968</v>
      </c>
      <c r="D146" t="inlineStr">
        <is>
          <t>ÖREBRO LÄN</t>
        </is>
      </c>
      <c r="E146" t="inlineStr">
        <is>
          <t>ÖREBRO</t>
        </is>
      </c>
      <c r="G146" t="n">
        <v>0.5</v>
      </c>
      <c r="H146" t="n">
        <v>0</v>
      </c>
      <c r="I146" t="n">
        <v>0</v>
      </c>
      <c r="J146" t="n">
        <v>0</v>
      </c>
      <c r="K146" t="n">
        <v>0</v>
      </c>
      <c r="L146" t="n">
        <v>0</v>
      </c>
      <c r="M146" t="n">
        <v>0</v>
      </c>
      <c r="N146" t="n">
        <v>0</v>
      </c>
      <c r="O146" t="n">
        <v>0</v>
      </c>
      <c r="P146" t="n">
        <v>0</v>
      </c>
      <c r="Q146" t="n">
        <v>0</v>
      </c>
      <c r="R146" s="2" t="inlineStr"/>
    </row>
    <row r="147" ht="15" customHeight="1">
      <c r="A147" t="inlineStr">
        <is>
          <t>A 10799-2024</t>
        </is>
      </c>
      <c r="B147" s="1" t="n">
        <v>45369</v>
      </c>
      <c r="C147" s="1" t="n">
        <v>45968</v>
      </c>
      <c r="D147" t="inlineStr">
        <is>
          <t>ÖREBRO LÄN</t>
        </is>
      </c>
      <c r="E147" t="inlineStr">
        <is>
          <t>ÖREBRO</t>
        </is>
      </c>
      <c r="G147" t="n">
        <v>5.8</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45968</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3087-2021</t>
        </is>
      </c>
      <c r="B149" s="1" t="n">
        <v>44216</v>
      </c>
      <c r="C149" s="1" t="n">
        <v>45968</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9609-2023</t>
        </is>
      </c>
      <c r="B150" s="1" t="n">
        <v>44983.93344907407</v>
      </c>
      <c r="C150" s="1" t="n">
        <v>45968</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32231-2022</t>
        </is>
      </c>
      <c r="B151" s="1" t="n">
        <v>44781</v>
      </c>
      <c r="C151" s="1" t="n">
        <v>45968</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32247-2022</t>
        </is>
      </c>
      <c r="B152" s="1" t="n">
        <v>44781</v>
      </c>
      <c r="C152" s="1" t="n">
        <v>45968</v>
      </c>
      <c r="D152" t="inlineStr">
        <is>
          <t>ÖREBRO LÄN</t>
        </is>
      </c>
      <c r="E152" t="inlineStr">
        <is>
          <t>ÖREBRO</t>
        </is>
      </c>
      <c r="G152" t="n">
        <v>3</v>
      </c>
      <c r="H152" t="n">
        <v>0</v>
      </c>
      <c r="I152" t="n">
        <v>0</v>
      </c>
      <c r="J152" t="n">
        <v>0</v>
      </c>
      <c r="K152" t="n">
        <v>0</v>
      </c>
      <c r="L152" t="n">
        <v>0</v>
      </c>
      <c r="M152" t="n">
        <v>0</v>
      </c>
      <c r="N152" t="n">
        <v>0</v>
      </c>
      <c r="O152" t="n">
        <v>0</v>
      </c>
      <c r="P152" t="n">
        <v>0</v>
      </c>
      <c r="Q152" t="n">
        <v>0</v>
      </c>
      <c r="R152" s="2" t="inlineStr"/>
    </row>
    <row r="153" ht="15" customHeight="1">
      <c r="A153" t="inlineStr">
        <is>
          <t>A 63247-2021</t>
        </is>
      </c>
      <c r="B153" s="1" t="n">
        <v>44505</v>
      </c>
      <c r="C153" s="1" t="n">
        <v>45968</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61232-2021</t>
        </is>
      </c>
      <c r="B154" s="1" t="n">
        <v>44498</v>
      </c>
      <c r="C154" s="1" t="n">
        <v>45968</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41553-2022</t>
        </is>
      </c>
      <c r="B155" s="1" t="n">
        <v>44827.3940625</v>
      </c>
      <c r="C155" s="1" t="n">
        <v>45968</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14562-2022</t>
        </is>
      </c>
      <c r="B156" s="1" t="n">
        <v>44655</v>
      </c>
      <c r="C156" s="1" t="n">
        <v>45968</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57498-2021</t>
        </is>
      </c>
      <c r="B157" s="1" t="n">
        <v>44483</v>
      </c>
      <c r="C157" s="1" t="n">
        <v>45968</v>
      </c>
      <c r="D157" t="inlineStr">
        <is>
          <t>ÖREBRO LÄN</t>
        </is>
      </c>
      <c r="E157" t="inlineStr">
        <is>
          <t>ÖREBRO</t>
        </is>
      </c>
      <c r="F157" t="inlineStr">
        <is>
          <t>Övriga Aktiebolag</t>
        </is>
      </c>
      <c r="G157" t="n">
        <v>2.7</v>
      </c>
      <c r="H157" t="n">
        <v>0</v>
      </c>
      <c r="I157" t="n">
        <v>0</v>
      </c>
      <c r="J157" t="n">
        <v>0</v>
      </c>
      <c r="K157" t="n">
        <v>0</v>
      </c>
      <c r="L157" t="n">
        <v>0</v>
      </c>
      <c r="M157" t="n">
        <v>0</v>
      </c>
      <c r="N157" t="n">
        <v>0</v>
      </c>
      <c r="O157" t="n">
        <v>0</v>
      </c>
      <c r="P157" t="n">
        <v>0</v>
      </c>
      <c r="Q157" t="n">
        <v>0</v>
      </c>
      <c r="R157" s="2" t="inlineStr"/>
    </row>
    <row r="158" ht="15" customHeight="1">
      <c r="A158" t="inlineStr">
        <is>
          <t>A 19458-2022</t>
        </is>
      </c>
      <c r="B158" s="1" t="n">
        <v>44693</v>
      </c>
      <c r="C158" s="1" t="n">
        <v>45968</v>
      </c>
      <c r="D158" t="inlineStr">
        <is>
          <t>ÖREBRO LÄN</t>
        </is>
      </c>
      <c r="E158" t="inlineStr">
        <is>
          <t>ÖREBRO</t>
        </is>
      </c>
      <c r="G158" t="n">
        <v>0.7</v>
      </c>
      <c r="H158" t="n">
        <v>0</v>
      </c>
      <c r="I158" t="n">
        <v>0</v>
      </c>
      <c r="J158" t="n">
        <v>0</v>
      </c>
      <c r="K158" t="n">
        <v>0</v>
      </c>
      <c r="L158" t="n">
        <v>0</v>
      </c>
      <c r="M158" t="n">
        <v>0</v>
      </c>
      <c r="N158" t="n">
        <v>0</v>
      </c>
      <c r="O158" t="n">
        <v>0</v>
      </c>
      <c r="P158" t="n">
        <v>0</v>
      </c>
      <c r="Q158" t="n">
        <v>0</v>
      </c>
      <c r="R158" s="2" t="inlineStr"/>
    </row>
    <row r="159" ht="15" customHeight="1">
      <c r="A159" t="inlineStr">
        <is>
          <t>A 51331-2023</t>
        </is>
      </c>
      <c r="B159" s="1" t="n">
        <v>45219</v>
      </c>
      <c r="C159" s="1" t="n">
        <v>45968</v>
      </c>
      <c r="D159" t="inlineStr">
        <is>
          <t>ÖREBRO LÄN</t>
        </is>
      </c>
      <c r="E159" t="inlineStr">
        <is>
          <t>ÖREBRO</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6638-2022</t>
        </is>
      </c>
      <c r="B160" s="1" t="n">
        <v>44601</v>
      </c>
      <c r="C160" s="1" t="n">
        <v>45968</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33814-2021</t>
        </is>
      </c>
      <c r="B161" s="1" t="n">
        <v>44378</v>
      </c>
      <c r="C161" s="1" t="n">
        <v>45968</v>
      </c>
      <c r="D161" t="inlineStr">
        <is>
          <t>ÖREBRO LÄN</t>
        </is>
      </c>
      <c r="E161" t="inlineStr">
        <is>
          <t>ÖREBRO</t>
        </is>
      </c>
      <c r="F161" t="inlineStr">
        <is>
          <t>Kommuner</t>
        </is>
      </c>
      <c r="G161" t="n">
        <v>1.2</v>
      </c>
      <c r="H161" t="n">
        <v>0</v>
      </c>
      <c r="I161" t="n">
        <v>0</v>
      </c>
      <c r="J161" t="n">
        <v>0</v>
      </c>
      <c r="K161" t="n">
        <v>0</v>
      </c>
      <c r="L161" t="n">
        <v>0</v>
      </c>
      <c r="M161" t="n">
        <v>0</v>
      </c>
      <c r="N161" t="n">
        <v>0</v>
      </c>
      <c r="O161" t="n">
        <v>0</v>
      </c>
      <c r="P161" t="n">
        <v>0</v>
      </c>
      <c r="Q161" t="n">
        <v>0</v>
      </c>
      <c r="R161" s="2" t="inlineStr"/>
    </row>
    <row r="162" ht="15" customHeight="1">
      <c r="A162" t="inlineStr">
        <is>
          <t>A 13631-2022</t>
        </is>
      </c>
      <c r="B162" s="1" t="n">
        <v>44648</v>
      </c>
      <c r="C162" s="1" t="n">
        <v>45968</v>
      </c>
      <c r="D162" t="inlineStr">
        <is>
          <t>ÖREBRO LÄN</t>
        </is>
      </c>
      <c r="E162" t="inlineStr">
        <is>
          <t>ÖREBRO</t>
        </is>
      </c>
      <c r="G162" t="n">
        <v>10.4</v>
      </c>
      <c r="H162" t="n">
        <v>0</v>
      </c>
      <c r="I162" t="n">
        <v>0</v>
      </c>
      <c r="J162" t="n">
        <v>0</v>
      </c>
      <c r="K162" t="n">
        <v>0</v>
      </c>
      <c r="L162" t="n">
        <v>0</v>
      </c>
      <c r="M162" t="n">
        <v>0</v>
      </c>
      <c r="N162" t="n">
        <v>0</v>
      </c>
      <c r="O162" t="n">
        <v>0</v>
      </c>
      <c r="P162" t="n">
        <v>0</v>
      </c>
      <c r="Q162" t="n">
        <v>0</v>
      </c>
      <c r="R162" s="2" t="inlineStr"/>
    </row>
    <row r="163" ht="15" customHeight="1">
      <c r="A163" t="inlineStr">
        <is>
          <t>A 9314-2023</t>
        </is>
      </c>
      <c r="B163" s="1" t="n">
        <v>44980.67747685185</v>
      </c>
      <c r="C163" s="1" t="n">
        <v>45968</v>
      </c>
      <c r="D163" t="inlineStr">
        <is>
          <t>ÖREBRO LÄN</t>
        </is>
      </c>
      <c r="E163" t="inlineStr">
        <is>
          <t>ÖREBRO</t>
        </is>
      </c>
      <c r="G163" t="n">
        <v>0.8</v>
      </c>
      <c r="H163" t="n">
        <v>0</v>
      </c>
      <c r="I163" t="n">
        <v>0</v>
      </c>
      <c r="J163" t="n">
        <v>0</v>
      </c>
      <c r="K163" t="n">
        <v>0</v>
      </c>
      <c r="L163" t="n">
        <v>0</v>
      </c>
      <c r="M163" t="n">
        <v>0</v>
      </c>
      <c r="N163" t="n">
        <v>0</v>
      </c>
      <c r="O163" t="n">
        <v>0</v>
      </c>
      <c r="P163" t="n">
        <v>0</v>
      </c>
      <c r="Q163" t="n">
        <v>0</v>
      </c>
      <c r="R163" s="2" t="inlineStr"/>
    </row>
    <row r="164" ht="15" customHeight="1">
      <c r="A164" t="inlineStr">
        <is>
          <t>A 34874-2022</t>
        </is>
      </c>
      <c r="B164" s="1" t="n">
        <v>44796</v>
      </c>
      <c r="C164" s="1" t="n">
        <v>45968</v>
      </c>
      <c r="D164" t="inlineStr">
        <is>
          <t>ÖREBRO LÄN</t>
        </is>
      </c>
      <c r="E164" t="inlineStr">
        <is>
          <t>ÖREBRO</t>
        </is>
      </c>
      <c r="F164" t="inlineStr">
        <is>
          <t>Övriga Aktiebolag</t>
        </is>
      </c>
      <c r="G164" t="n">
        <v>2.3</v>
      </c>
      <c r="H164" t="n">
        <v>0</v>
      </c>
      <c r="I164" t="n">
        <v>0</v>
      </c>
      <c r="J164" t="n">
        <v>0</v>
      </c>
      <c r="K164" t="n">
        <v>0</v>
      </c>
      <c r="L164" t="n">
        <v>0</v>
      </c>
      <c r="M164" t="n">
        <v>0</v>
      </c>
      <c r="N164" t="n">
        <v>0</v>
      </c>
      <c r="O164" t="n">
        <v>0</v>
      </c>
      <c r="P164" t="n">
        <v>0</v>
      </c>
      <c r="Q164" t="n">
        <v>0</v>
      </c>
      <c r="R164" s="2" t="inlineStr"/>
    </row>
    <row r="165" ht="15" customHeight="1">
      <c r="A165" t="inlineStr">
        <is>
          <t>A 852-2025</t>
        </is>
      </c>
      <c r="B165" s="1" t="n">
        <v>45665.60148148148</v>
      </c>
      <c r="C165" s="1" t="n">
        <v>45968</v>
      </c>
      <c r="D165" t="inlineStr">
        <is>
          <t>ÖREBRO LÄN</t>
        </is>
      </c>
      <c r="E165" t="inlineStr">
        <is>
          <t>ÖREBRO</t>
        </is>
      </c>
      <c r="G165" t="n">
        <v>2.9</v>
      </c>
      <c r="H165" t="n">
        <v>0</v>
      </c>
      <c r="I165" t="n">
        <v>0</v>
      </c>
      <c r="J165" t="n">
        <v>0</v>
      </c>
      <c r="K165" t="n">
        <v>0</v>
      </c>
      <c r="L165" t="n">
        <v>0</v>
      </c>
      <c r="M165" t="n">
        <v>0</v>
      </c>
      <c r="N165" t="n">
        <v>0</v>
      </c>
      <c r="O165" t="n">
        <v>0</v>
      </c>
      <c r="P165" t="n">
        <v>0</v>
      </c>
      <c r="Q165" t="n">
        <v>0</v>
      </c>
      <c r="R165" s="2" t="inlineStr"/>
    </row>
    <row r="166" ht="15" customHeight="1">
      <c r="A166" t="inlineStr">
        <is>
          <t>A 26443-2024</t>
        </is>
      </c>
      <c r="B166" s="1" t="n">
        <v>45469.49901620371</v>
      </c>
      <c r="C166" s="1" t="n">
        <v>45968</v>
      </c>
      <c r="D166" t="inlineStr">
        <is>
          <t>ÖREBRO LÄN</t>
        </is>
      </c>
      <c r="E166" t="inlineStr">
        <is>
          <t>ÖREBRO</t>
        </is>
      </c>
      <c r="G166" t="n">
        <v>5.7</v>
      </c>
      <c r="H166" t="n">
        <v>0</v>
      </c>
      <c r="I166" t="n">
        <v>0</v>
      </c>
      <c r="J166" t="n">
        <v>0</v>
      </c>
      <c r="K166" t="n">
        <v>0</v>
      </c>
      <c r="L166" t="n">
        <v>0</v>
      </c>
      <c r="M166" t="n">
        <v>0</v>
      </c>
      <c r="N166" t="n">
        <v>0</v>
      </c>
      <c r="O166" t="n">
        <v>0</v>
      </c>
      <c r="P166" t="n">
        <v>0</v>
      </c>
      <c r="Q166" t="n">
        <v>0</v>
      </c>
      <c r="R166" s="2" t="inlineStr"/>
    </row>
    <row r="167" ht="15" customHeight="1">
      <c r="A167" t="inlineStr">
        <is>
          <t>A 5136-2024</t>
        </is>
      </c>
      <c r="B167" s="1" t="n">
        <v>45330</v>
      </c>
      <c r="C167" s="1" t="n">
        <v>45968</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35477-2024</t>
        </is>
      </c>
      <c r="B168" s="1" t="n">
        <v>45531</v>
      </c>
      <c r="C168" s="1" t="n">
        <v>45968</v>
      </c>
      <c r="D168" t="inlineStr">
        <is>
          <t>ÖREBRO LÄN</t>
        </is>
      </c>
      <c r="E168" t="inlineStr">
        <is>
          <t>ÖREBRO</t>
        </is>
      </c>
      <c r="G168" t="n">
        <v>2.4</v>
      </c>
      <c r="H168" t="n">
        <v>0</v>
      </c>
      <c r="I168" t="n">
        <v>0</v>
      </c>
      <c r="J168" t="n">
        <v>0</v>
      </c>
      <c r="K168" t="n">
        <v>0</v>
      </c>
      <c r="L168" t="n">
        <v>0</v>
      </c>
      <c r="M168" t="n">
        <v>0</v>
      </c>
      <c r="N168" t="n">
        <v>0</v>
      </c>
      <c r="O168" t="n">
        <v>0</v>
      </c>
      <c r="P168" t="n">
        <v>0</v>
      </c>
      <c r="Q168" t="n">
        <v>0</v>
      </c>
      <c r="R168" s="2" t="inlineStr"/>
    </row>
    <row r="169" ht="15" customHeight="1">
      <c r="A169" t="inlineStr">
        <is>
          <t>A 6522-2023</t>
        </is>
      </c>
      <c r="B169" s="1" t="n">
        <v>44966</v>
      </c>
      <c r="C169" s="1" t="n">
        <v>45968</v>
      </c>
      <c r="D169" t="inlineStr">
        <is>
          <t>ÖREBRO LÄN</t>
        </is>
      </c>
      <c r="E169" t="inlineStr">
        <is>
          <t>ÖREBRO</t>
        </is>
      </c>
      <c r="G169" t="n">
        <v>4.4</v>
      </c>
      <c r="H169" t="n">
        <v>0</v>
      </c>
      <c r="I169" t="n">
        <v>0</v>
      </c>
      <c r="J169" t="n">
        <v>0</v>
      </c>
      <c r="K169" t="n">
        <v>0</v>
      </c>
      <c r="L169" t="n">
        <v>0</v>
      </c>
      <c r="M169" t="n">
        <v>0</v>
      </c>
      <c r="N169" t="n">
        <v>0</v>
      </c>
      <c r="O169" t="n">
        <v>0</v>
      </c>
      <c r="P169" t="n">
        <v>0</v>
      </c>
      <c r="Q169" t="n">
        <v>0</v>
      </c>
      <c r="R169" s="2" t="inlineStr"/>
    </row>
    <row r="170" ht="15" customHeight="1">
      <c r="A170" t="inlineStr">
        <is>
          <t>A 18449-2023</t>
        </is>
      </c>
      <c r="B170" s="1" t="n">
        <v>45042.5203125</v>
      </c>
      <c r="C170" s="1" t="n">
        <v>45968</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16736-2023</t>
        </is>
      </c>
      <c r="B171" s="1" t="n">
        <v>45030.72328703704</v>
      </c>
      <c r="C171" s="1" t="n">
        <v>45968</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5406-2025</t>
        </is>
      </c>
      <c r="B172" s="1" t="n">
        <v>45692.64821759259</v>
      </c>
      <c r="C172" s="1" t="n">
        <v>45968</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50375-2024</t>
        </is>
      </c>
      <c r="B173" s="1" t="n">
        <v>45601.29311342593</v>
      </c>
      <c r="C173" s="1" t="n">
        <v>45968</v>
      </c>
      <c r="D173" t="inlineStr">
        <is>
          <t>ÖREBRO LÄN</t>
        </is>
      </c>
      <c r="E173" t="inlineStr">
        <is>
          <t>ÖREBRO</t>
        </is>
      </c>
      <c r="G173" t="n">
        <v>5</v>
      </c>
      <c r="H173" t="n">
        <v>0</v>
      </c>
      <c r="I173" t="n">
        <v>0</v>
      </c>
      <c r="J173" t="n">
        <v>0</v>
      </c>
      <c r="K173" t="n">
        <v>0</v>
      </c>
      <c r="L173" t="n">
        <v>0</v>
      </c>
      <c r="M173" t="n">
        <v>0</v>
      </c>
      <c r="N173" t="n">
        <v>0</v>
      </c>
      <c r="O173" t="n">
        <v>0</v>
      </c>
      <c r="P173" t="n">
        <v>0</v>
      </c>
      <c r="Q173" t="n">
        <v>0</v>
      </c>
      <c r="R173" s="2" t="inlineStr"/>
    </row>
    <row r="174" ht="15" customHeight="1">
      <c r="A174" t="inlineStr">
        <is>
          <t>A 38583-2023</t>
        </is>
      </c>
      <c r="B174" s="1" t="n">
        <v>45162.62861111111</v>
      </c>
      <c r="C174" s="1" t="n">
        <v>45968</v>
      </c>
      <c r="D174" t="inlineStr">
        <is>
          <t>ÖREBRO LÄN</t>
        </is>
      </c>
      <c r="E174" t="inlineStr">
        <is>
          <t>ÖREBRO</t>
        </is>
      </c>
      <c r="G174" t="n">
        <v>5.7</v>
      </c>
      <c r="H174" t="n">
        <v>0</v>
      </c>
      <c r="I174" t="n">
        <v>0</v>
      </c>
      <c r="J174" t="n">
        <v>0</v>
      </c>
      <c r="K174" t="n">
        <v>0</v>
      </c>
      <c r="L174" t="n">
        <v>0</v>
      </c>
      <c r="M174" t="n">
        <v>0</v>
      </c>
      <c r="N174" t="n">
        <v>0</v>
      </c>
      <c r="O174" t="n">
        <v>0</v>
      </c>
      <c r="P174" t="n">
        <v>0</v>
      </c>
      <c r="Q174" t="n">
        <v>0</v>
      </c>
      <c r="R174" s="2" t="inlineStr"/>
    </row>
    <row r="175" ht="15" customHeight="1">
      <c r="A175" t="inlineStr">
        <is>
          <t>A 52018-2024</t>
        </is>
      </c>
      <c r="B175" s="1" t="n">
        <v>45607.82974537037</v>
      </c>
      <c r="C175" s="1" t="n">
        <v>45968</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22045-2024</t>
        </is>
      </c>
      <c r="B176" s="1" t="n">
        <v>45443.61171296296</v>
      </c>
      <c r="C176" s="1" t="n">
        <v>45968</v>
      </c>
      <c r="D176" t="inlineStr">
        <is>
          <t>ÖREBRO LÄN</t>
        </is>
      </c>
      <c r="E176" t="inlineStr">
        <is>
          <t>ÖREBRO</t>
        </is>
      </c>
      <c r="F176" t="inlineStr">
        <is>
          <t>Övriga Aktiebolag</t>
        </is>
      </c>
      <c r="G176" t="n">
        <v>0.9</v>
      </c>
      <c r="H176" t="n">
        <v>0</v>
      </c>
      <c r="I176" t="n">
        <v>0</v>
      </c>
      <c r="J176" t="n">
        <v>0</v>
      </c>
      <c r="K176" t="n">
        <v>0</v>
      </c>
      <c r="L176" t="n">
        <v>0</v>
      </c>
      <c r="M176" t="n">
        <v>0</v>
      </c>
      <c r="N176" t="n">
        <v>0</v>
      </c>
      <c r="O176" t="n">
        <v>0</v>
      </c>
      <c r="P176" t="n">
        <v>0</v>
      </c>
      <c r="Q176" t="n">
        <v>0</v>
      </c>
      <c r="R176" s="2" t="inlineStr"/>
    </row>
    <row r="177" ht="15" customHeight="1">
      <c r="A177" t="inlineStr">
        <is>
          <t>A 34358-2022</t>
        </is>
      </c>
      <c r="B177" s="1" t="n">
        <v>44792.45494212963</v>
      </c>
      <c r="C177" s="1" t="n">
        <v>45968</v>
      </c>
      <c r="D177" t="inlineStr">
        <is>
          <t>ÖREBRO LÄN</t>
        </is>
      </c>
      <c r="E177" t="inlineStr">
        <is>
          <t>ÖREBRO</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55745-2023</t>
        </is>
      </c>
      <c r="B178" s="1" t="n">
        <v>45239.44811342593</v>
      </c>
      <c r="C178" s="1" t="n">
        <v>45968</v>
      </c>
      <c r="D178" t="inlineStr">
        <is>
          <t>ÖREBRO LÄN</t>
        </is>
      </c>
      <c r="E178" t="inlineStr">
        <is>
          <t>ÖREBRO</t>
        </is>
      </c>
      <c r="G178" t="n">
        <v>13.3</v>
      </c>
      <c r="H178" t="n">
        <v>0</v>
      </c>
      <c r="I178" t="n">
        <v>0</v>
      </c>
      <c r="J178" t="n">
        <v>0</v>
      </c>
      <c r="K178" t="n">
        <v>0</v>
      </c>
      <c r="L178" t="n">
        <v>0</v>
      </c>
      <c r="M178" t="n">
        <v>0</v>
      </c>
      <c r="N178" t="n">
        <v>0</v>
      </c>
      <c r="O178" t="n">
        <v>0</v>
      </c>
      <c r="P178" t="n">
        <v>0</v>
      </c>
      <c r="Q178" t="n">
        <v>0</v>
      </c>
      <c r="R178" s="2" t="inlineStr"/>
    </row>
    <row r="179" ht="15" customHeight="1">
      <c r="A179" t="inlineStr">
        <is>
          <t>A 3-2024</t>
        </is>
      </c>
      <c r="B179" s="1" t="n">
        <v>45292</v>
      </c>
      <c r="C179" s="1" t="n">
        <v>45968</v>
      </c>
      <c r="D179" t="inlineStr">
        <is>
          <t>ÖREBRO LÄN</t>
        </is>
      </c>
      <c r="E179" t="inlineStr">
        <is>
          <t>ÖREBRO</t>
        </is>
      </c>
      <c r="G179" t="n">
        <v>2.7</v>
      </c>
      <c r="H179" t="n">
        <v>0</v>
      </c>
      <c r="I179" t="n">
        <v>0</v>
      </c>
      <c r="J179" t="n">
        <v>0</v>
      </c>
      <c r="K179" t="n">
        <v>0</v>
      </c>
      <c r="L179" t="n">
        <v>0</v>
      </c>
      <c r="M179" t="n">
        <v>0</v>
      </c>
      <c r="N179" t="n">
        <v>0</v>
      </c>
      <c r="O179" t="n">
        <v>0</v>
      </c>
      <c r="P179" t="n">
        <v>0</v>
      </c>
      <c r="Q179" t="n">
        <v>0</v>
      </c>
      <c r="R179" s="2" t="inlineStr"/>
    </row>
    <row r="180" ht="15" customHeight="1">
      <c r="A180" t="inlineStr">
        <is>
          <t>A 5795-2024</t>
        </is>
      </c>
      <c r="B180" s="1" t="n">
        <v>45335.4531712963</v>
      </c>
      <c r="C180" s="1" t="n">
        <v>45968</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21306-2024</t>
        </is>
      </c>
      <c r="B181" s="1" t="n">
        <v>45440.67883101852</v>
      </c>
      <c r="C181" s="1" t="n">
        <v>45968</v>
      </c>
      <c r="D181" t="inlineStr">
        <is>
          <t>ÖREBRO LÄN</t>
        </is>
      </c>
      <c r="E181" t="inlineStr">
        <is>
          <t>ÖREBRO</t>
        </is>
      </c>
      <c r="F181" t="inlineStr">
        <is>
          <t>Övriga Aktiebolag</t>
        </is>
      </c>
      <c r="G181" t="n">
        <v>2</v>
      </c>
      <c r="H181" t="n">
        <v>0</v>
      </c>
      <c r="I181" t="n">
        <v>0</v>
      </c>
      <c r="J181" t="n">
        <v>0</v>
      </c>
      <c r="K181" t="n">
        <v>0</v>
      </c>
      <c r="L181" t="n">
        <v>0</v>
      </c>
      <c r="M181" t="n">
        <v>0</v>
      </c>
      <c r="N181" t="n">
        <v>0</v>
      </c>
      <c r="O181" t="n">
        <v>0</v>
      </c>
      <c r="P181" t="n">
        <v>0</v>
      </c>
      <c r="Q181" t="n">
        <v>0</v>
      </c>
      <c r="R181" s="2" t="inlineStr"/>
    </row>
    <row r="182" ht="15" customHeight="1">
      <c r="A182" t="inlineStr">
        <is>
          <t>A 38573-2023</t>
        </is>
      </c>
      <c r="B182" s="1" t="n">
        <v>45162.61837962963</v>
      </c>
      <c r="C182" s="1" t="n">
        <v>45968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1257-2022</t>
        </is>
      </c>
      <c r="B183" s="1" t="n">
        <v>44572</v>
      </c>
      <c r="C183" s="1" t="n">
        <v>45968</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22348-2024</t>
        </is>
      </c>
      <c r="B184" s="1" t="n">
        <v>45446.61256944444</v>
      </c>
      <c r="C184" s="1" t="n">
        <v>45968</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64730-2023</t>
        </is>
      </c>
      <c r="B185" s="1" t="n">
        <v>45281</v>
      </c>
      <c r="C185" s="1" t="n">
        <v>45968</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6869-2025</t>
        </is>
      </c>
      <c r="B186" s="1" t="n">
        <v>45700</v>
      </c>
      <c r="C186" s="1" t="n">
        <v>45968</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4416-2023</t>
        </is>
      </c>
      <c r="B187" s="1" t="n">
        <v>44956</v>
      </c>
      <c r="C187" s="1" t="n">
        <v>45968</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15695-2024</t>
        </is>
      </c>
      <c r="B188" s="1" t="n">
        <v>45404.45487268519</v>
      </c>
      <c r="C188" s="1" t="n">
        <v>45968</v>
      </c>
      <c r="D188" t="inlineStr">
        <is>
          <t>ÖREBRO LÄN</t>
        </is>
      </c>
      <c r="E188" t="inlineStr">
        <is>
          <t>ÖREBRO</t>
        </is>
      </c>
      <c r="G188" t="n">
        <v>2.7</v>
      </c>
      <c r="H188" t="n">
        <v>0</v>
      </c>
      <c r="I188" t="n">
        <v>0</v>
      </c>
      <c r="J188" t="n">
        <v>0</v>
      </c>
      <c r="K188" t="n">
        <v>0</v>
      </c>
      <c r="L188" t="n">
        <v>0</v>
      </c>
      <c r="M188" t="n">
        <v>0</v>
      </c>
      <c r="N188" t="n">
        <v>0</v>
      </c>
      <c r="O188" t="n">
        <v>0</v>
      </c>
      <c r="P188" t="n">
        <v>0</v>
      </c>
      <c r="Q188" t="n">
        <v>0</v>
      </c>
      <c r="R188" s="2" t="inlineStr"/>
    </row>
    <row r="189" ht="15" customHeight="1">
      <c r="A189" t="inlineStr">
        <is>
          <t>A 30089-2024</t>
        </is>
      </c>
      <c r="B189" s="1" t="n">
        <v>45485</v>
      </c>
      <c r="C189" s="1" t="n">
        <v>45968</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13856-2022</t>
        </is>
      </c>
      <c r="B190" s="1" t="n">
        <v>44649.6965162037</v>
      </c>
      <c r="C190" s="1" t="n">
        <v>45968</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52256-2023</t>
        </is>
      </c>
      <c r="B191" s="1" t="n">
        <v>45224.51471064815</v>
      </c>
      <c r="C191" s="1" t="n">
        <v>45968</v>
      </c>
      <c r="D191" t="inlineStr">
        <is>
          <t>ÖREBRO LÄN</t>
        </is>
      </c>
      <c r="E191" t="inlineStr">
        <is>
          <t>ÖREBRO</t>
        </is>
      </c>
      <c r="G191" t="n">
        <v>2.8</v>
      </c>
      <c r="H191" t="n">
        <v>0</v>
      </c>
      <c r="I191" t="n">
        <v>0</v>
      </c>
      <c r="J191" t="n">
        <v>0</v>
      </c>
      <c r="K191" t="n">
        <v>0</v>
      </c>
      <c r="L191" t="n">
        <v>0</v>
      </c>
      <c r="M191" t="n">
        <v>0</v>
      </c>
      <c r="N191" t="n">
        <v>0</v>
      </c>
      <c r="O191" t="n">
        <v>0</v>
      </c>
      <c r="P191" t="n">
        <v>0</v>
      </c>
      <c r="Q191" t="n">
        <v>0</v>
      </c>
      <c r="R191" s="2" t="inlineStr"/>
    </row>
    <row r="192" ht="15" customHeight="1">
      <c r="A192" t="inlineStr">
        <is>
          <t>A 5643-2025</t>
        </is>
      </c>
      <c r="B192" s="1" t="n">
        <v>45693</v>
      </c>
      <c r="C192" s="1" t="n">
        <v>45968</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16961-2022</t>
        </is>
      </c>
      <c r="B193" s="1" t="n">
        <v>44676</v>
      </c>
      <c r="C193" s="1" t="n">
        <v>45968</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17983-2025</t>
        </is>
      </c>
      <c r="B194" s="1" t="n">
        <v>45761.38829861111</v>
      </c>
      <c r="C194" s="1" t="n">
        <v>45968</v>
      </c>
      <c r="D194" t="inlineStr">
        <is>
          <t>ÖREBRO LÄN</t>
        </is>
      </c>
      <c r="E194" t="inlineStr">
        <is>
          <t>ÖREBRO</t>
        </is>
      </c>
      <c r="G194" t="n">
        <v>0.8</v>
      </c>
      <c r="H194" t="n">
        <v>0</v>
      </c>
      <c r="I194" t="n">
        <v>0</v>
      </c>
      <c r="J194" t="n">
        <v>0</v>
      </c>
      <c r="K194" t="n">
        <v>0</v>
      </c>
      <c r="L194" t="n">
        <v>0</v>
      </c>
      <c r="M194" t="n">
        <v>0</v>
      </c>
      <c r="N194" t="n">
        <v>0</v>
      </c>
      <c r="O194" t="n">
        <v>0</v>
      </c>
      <c r="P194" t="n">
        <v>0</v>
      </c>
      <c r="Q194" t="n">
        <v>0</v>
      </c>
      <c r="R194" s="2" t="inlineStr"/>
    </row>
    <row r="195" ht="15" customHeight="1">
      <c r="A195" t="inlineStr">
        <is>
          <t>A 46030-2024</t>
        </is>
      </c>
      <c r="B195" s="1" t="n">
        <v>45580.70377314815</v>
      </c>
      <c r="C195" s="1" t="n">
        <v>45968</v>
      </c>
      <c r="D195" t="inlineStr">
        <is>
          <t>ÖREBRO LÄN</t>
        </is>
      </c>
      <c r="E195" t="inlineStr">
        <is>
          <t>ÖREBRO</t>
        </is>
      </c>
      <c r="G195" t="n">
        <v>3.9</v>
      </c>
      <c r="H195" t="n">
        <v>0</v>
      </c>
      <c r="I195" t="n">
        <v>0</v>
      </c>
      <c r="J195" t="n">
        <v>0</v>
      </c>
      <c r="K195" t="n">
        <v>0</v>
      </c>
      <c r="L195" t="n">
        <v>0</v>
      </c>
      <c r="M195" t="n">
        <v>0</v>
      </c>
      <c r="N195" t="n">
        <v>0</v>
      </c>
      <c r="O195" t="n">
        <v>0</v>
      </c>
      <c r="P195" t="n">
        <v>0</v>
      </c>
      <c r="Q195" t="n">
        <v>0</v>
      </c>
      <c r="R195" s="2" t="inlineStr"/>
    </row>
    <row r="196" ht="15" customHeight="1">
      <c r="A196" t="inlineStr">
        <is>
          <t>A 60289-2023</t>
        </is>
      </c>
      <c r="B196" s="1" t="n">
        <v>45257</v>
      </c>
      <c r="C196" s="1" t="n">
        <v>45968</v>
      </c>
      <c r="D196" t="inlineStr">
        <is>
          <t>ÖREBRO LÄN</t>
        </is>
      </c>
      <c r="E196" t="inlineStr">
        <is>
          <t>ÖREBRO</t>
        </is>
      </c>
      <c r="G196" t="n">
        <v>10.9</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45968</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54678-2023</t>
        </is>
      </c>
      <c r="B198" s="1" t="n">
        <v>45235</v>
      </c>
      <c r="C198" s="1" t="n">
        <v>45968</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5342-2024</t>
        </is>
      </c>
      <c r="B199" s="1" t="n">
        <v>45331.44145833333</v>
      </c>
      <c r="C199" s="1" t="n">
        <v>45968</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71295-2021</t>
        </is>
      </c>
      <c r="B200" s="1" t="n">
        <v>44539.63009259259</v>
      </c>
      <c r="C200" s="1" t="n">
        <v>45968</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row>
    <row r="201" ht="15" customHeight="1">
      <c r="A201" t="inlineStr">
        <is>
          <t>A 23594-2023</t>
        </is>
      </c>
      <c r="B201" s="1" t="n">
        <v>45077</v>
      </c>
      <c r="C201" s="1" t="n">
        <v>45968</v>
      </c>
      <c r="D201" t="inlineStr">
        <is>
          <t>ÖREBRO LÄN</t>
        </is>
      </c>
      <c r="E201" t="inlineStr">
        <is>
          <t>ÖREBRO</t>
        </is>
      </c>
      <c r="G201" t="n">
        <v>9.9</v>
      </c>
      <c r="H201" t="n">
        <v>0</v>
      </c>
      <c r="I201" t="n">
        <v>0</v>
      </c>
      <c r="J201" t="n">
        <v>0</v>
      </c>
      <c r="K201" t="n">
        <v>0</v>
      </c>
      <c r="L201" t="n">
        <v>0</v>
      </c>
      <c r="M201" t="n">
        <v>0</v>
      </c>
      <c r="N201" t="n">
        <v>0</v>
      </c>
      <c r="O201" t="n">
        <v>0</v>
      </c>
      <c r="P201" t="n">
        <v>0</v>
      </c>
      <c r="Q201" t="n">
        <v>0</v>
      </c>
      <c r="R201" s="2" t="inlineStr"/>
    </row>
    <row r="202" ht="15" customHeight="1">
      <c r="A202" t="inlineStr">
        <is>
          <t>A 190-2024</t>
        </is>
      </c>
      <c r="B202" s="1" t="n">
        <v>45294.61858796296</v>
      </c>
      <c r="C202" s="1" t="n">
        <v>45968</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11516-2024</t>
        </is>
      </c>
      <c r="B203" s="1" t="n">
        <v>45372</v>
      </c>
      <c r="C203" s="1" t="n">
        <v>45968</v>
      </c>
      <c r="D203" t="inlineStr">
        <is>
          <t>ÖREBRO LÄN</t>
        </is>
      </c>
      <c r="E203" t="inlineStr">
        <is>
          <t>ÖREBRO</t>
        </is>
      </c>
      <c r="G203" t="n">
        <v>10.7</v>
      </c>
      <c r="H203" t="n">
        <v>0</v>
      </c>
      <c r="I203" t="n">
        <v>0</v>
      </c>
      <c r="J203" t="n">
        <v>0</v>
      </c>
      <c r="K203" t="n">
        <v>0</v>
      </c>
      <c r="L203" t="n">
        <v>0</v>
      </c>
      <c r="M203" t="n">
        <v>0</v>
      </c>
      <c r="N203" t="n">
        <v>0</v>
      </c>
      <c r="O203" t="n">
        <v>0</v>
      </c>
      <c r="P203" t="n">
        <v>0</v>
      </c>
      <c r="Q203" t="n">
        <v>0</v>
      </c>
      <c r="R203" s="2" t="inlineStr"/>
    </row>
    <row r="204" ht="15" customHeight="1">
      <c r="A204" t="inlineStr">
        <is>
          <t>A 44511-2023</t>
        </is>
      </c>
      <c r="B204" s="1" t="n">
        <v>45189</v>
      </c>
      <c r="C204" s="1" t="n">
        <v>45968</v>
      </c>
      <c r="D204" t="inlineStr">
        <is>
          <t>ÖREBRO LÄN</t>
        </is>
      </c>
      <c r="E204" t="inlineStr">
        <is>
          <t>ÖREBRO</t>
        </is>
      </c>
      <c r="F204" t="inlineStr">
        <is>
          <t>Allmännings- och besparingsskogar</t>
        </is>
      </c>
      <c r="G204" t="n">
        <v>2.7</v>
      </c>
      <c r="H204" t="n">
        <v>0</v>
      </c>
      <c r="I204" t="n">
        <v>0</v>
      </c>
      <c r="J204" t="n">
        <v>0</v>
      </c>
      <c r="K204" t="n">
        <v>0</v>
      </c>
      <c r="L204" t="n">
        <v>0</v>
      </c>
      <c r="M204" t="n">
        <v>0</v>
      </c>
      <c r="N204" t="n">
        <v>0</v>
      </c>
      <c r="O204" t="n">
        <v>0</v>
      </c>
      <c r="P204" t="n">
        <v>0</v>
      </c>
      <c r="Q204" t="n">
        <v>0</v>
      </c>
      <c r="R204" s="2" t="inlineStr"/>
    </row>
    <row r="205" ht="15" customHeight="1">
      <c r="A205" t="inlineStr">
        <is>
          <t>A 52444-2024</t>
        </is>
      </c>
      <c r="B205" s="1" t="n">
        <v>45609.48894675926</v>
      </c>
      <c r="C205" s="1" t="n">
        <v>45968</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41995-2024</t>
        </is>
      </c>
      <c r="B206" s="1" t="n">
        <v>45561.6475462963</v>
      </c>
      <c r="C206" s="1" t="n">
        <v>45968</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25996-2024</t>
        </is>
      </c>
      <c r="B207" s="1" t="n">
        <v>45467.89081018518</v>
      </c>
      <c r="C207" s="1" t="n">
        <v>45968</v>
      </c>
      <c r="D207" t="inlineStr">
        <is>
          <t>ÖREBRO LÄN</t>
        </is>
      </c>
      <c r="E207" t="inlineStr">
        <is>
          <t>ÖREBRO</t>
        </is>
      </c>
      <c r="G207" t="n">
        <v>4.7</v>
      </c>
      <c r="H207" t="n">
        <v>0</v>
      </c>
      <c r="I207" t="n">
        <v>0</v>
      </c>
      <c r="J207" t="n">
        <v>0</v>
      </c>
      <c r="K207" t="n">
        <v>0</v>
      </c>
      <c r="L207" t="n">
        <v>0</v>
      </c>
      <c r="M207" t="n">
        <v>0</v>
      </c>
      <c r="N207" t="n">
        <v>0</v>
      </c>
      <c r="O207" t="n">
        <v>0</v>
      </c>
      <c r="P207" t="n">
        <v>0</v>
      </c>
      <c r="Q207" t="n">
        <v>0</v>
      </c>
      <c r="R207" s="2" t="inlineStr"/>
    </row>
    <row r="208" ht="15" customHeight="1">
      <c r="A208" t="inlineStr">
        <is>
          <t>A 8571-2021</t>
        </is>
      </c>
      <c r="B208" s="1" t="n">
        <v>44245</v>
      </c>
      <c r="C208" s="1" t="n">
        <v>45968</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7611-2024</t>
        </is>
      </c>
      <c r="B209" s="1" t="n">
        <v>45348.58864583333</v>
      </c>
      <c r="C209" s="1" t="n">
        <v>45968</v>
      </c>
      <c r="D209" t="inlineStr">
        <is>
          <t>ÖREBRO LÄN</t>
        </is>
      </c>
      <c r="E209" t="inlineStr">
        <is>
          <t>ÖREBRO</t>
        </is>
      </c>
      <c r="G209" t="n">
        <v>4.2</v>
      </c>
      <c r="H209" t="n">
        <v>0</v>
      </c>
      <c r="I209" t="n">
        <v>0</v>
      </c>
      <c r="J209" t="n">
        <v>0</v>
      </c>
      <c r="K209" t="n">
        <v>0</v>
      </c>
      <c r="L209" t="n">
        <v>0</v>
      </c>
      <c r="M209" t="n">
        <v>0</v>
      </c>
      <c r="N209" t="n">
        <v>0</v>
      </c>
      <c r="O209" t="n">
        <v>0</v>
      </c>
      <c r="P209" t="n">
        <v>0</v>
      </c>
      <c r="Q209" t="n">
        <v>0</v>
      </c>
      <c r="R209" s="2" t="inlineStr"/>
    </row>
    <row r="210" ht="15" customHeight="1">
      <c r="A210" t="inlineStr">
        <is>
          <t>A 25578-2025</t>
        </is>
      </c>
      <c r="B210" s="1" t="n">
        <v>45803.47803240741</v>
      </c>
      <c r="C210" s="1" t="n">
        <v>45968</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52447-2024</t>
        </is>
      </c>
      <c r="B211" s="1" t="n">
        <v>45609.49157407408</v>
      </c>
      <c r="C211" s="1" t="n">
        <v>45968</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43803-2023</t>
        </is>
      </c>
      <c r="B212" s="1" t="n">
        <v>45187</v>
      </c>
      <c r="C212" s="1" t="n">
        <v>45968</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55943-2024</t>
        </is>
      </c>
      <c r="B213" s="1" t="n">
        <v>45623.61278935185</v>
      </c>
      <c r="C213" s="1" t="n">
        <v>45968</v>
      </c>
      <c r="D213" t="inlineStr">
        <is>
          <t>ÖREBRO LÄN</t>
        </is>
      </c>
      <c r="E213" t="inlineStr">
        <is>
          <t>ÖREBRO</t>
        </is>
      </c>
      <c r="G213" t="n">
        <v>4.8</v>
      </c>
      <c r="H213" t="n">
        <v>0</v>
      </c>
      <c r="I213" t="n">
        <v>0</v>
      </c>
      <c r="J213" t="n">
        <v>0</v>
      </c>
      <c r="K213" t="n">
        <v>0</v>
      </c>
      <c r="L213" t="n">
        <v>0</v>
      </c>
      <c r="M213" t="n">
        <v>0</v>
      </c>
      <c r="N213" t="n">
        <v>0</v>
      </c>
      <c r="O213" t="n">
        <v>0</v>
      </c>
      <c r="P213" t="n">
        <v>0</v>
      </c>
      <c r="Q213" t="n">
        <v>0</v>
      </c>
      <c r="R213" s="2" t="inlineStr"/>
    </row>
    <row r="214" ht="15" customHeight="1">
      <c r="A214" t="inlineStr">
        <is>
          <t>A 15789-2023</t>
        </is>
      </c>
      <c r="B214" s="1" t="n">
        <v>45021.71539351852</v>
      </c>
      <c r="C214" s="1" t="n">
        <v>45968</v>
      </c>
      <c r="D214" t="inlineStr">
        <is>
          <t>ÖREBRO LÄN</t>
        </is>
      </c>
      <c r="E214" t="inlineStr">
        <is>
          <t>ÖREBRO</t>
        </is>
      </c>
      <c r="F214" t="inlineStr">
        <is>
          <t>Övriga Aktiebolag</t>
        </is>
      </c>
      <c r="G214" t="n">
        <v>3.7</v>
      </c>
      <c r="H214" t="n">
        <v>0</v>
      </c>
      <c r="I214" t="n">
        <v>0</v>
      </c>
      <c r="J214" t="n">
        <v>0</v>
      </c>
      <c r="K214" t="n">
        <v>0</v>
      </c>
      <c r="L214" t="n">
        <v>0</v>
      </c>
      <c r="M214" t="n">
        <v>0</v>
      </c>
      <c r="N214" t="n">
        <v>0</v>
      </c>
      <c r="O214" t="n">
        <v>0</v>
      </c>
      <c r="P214" t="n">
        <v>0</v>
      </c>
      <c r="Q214" t="n">
        <v>0</v>
      </c>
      <c r="R214" s="2" t="inlineStr"/>
    </row>
    <row r="215" ht="15" customHeight="1">
      <c r="A215" t="inlineStr">
        <is>
          <t>A 25519-2025</t>
        </is>
      </c>
      <c r="B215" s="1" t="n">
        <v>45803.38447916666</v>
      </c>
      <c r="C215" s="1" t="n">
        <v>45968</v>
      </c>
      <c r="D215" t="inlineStr">
        <is>
          <t>ÖREBRO LÄN</t>
        </is>
      </c>
      <c r="E215" t="inlineStr">
        <is>
          <t>ÖREBRO</t>
        </is>
      </c>
      <c r="G215" t="n">
        <v>7.4</v>
      </c>
      <c r="H215" t="n">
        <v>0</v>
      </c>
      <c r="I215" t="n">
        <v>0</v>
      </c>
      <c r="J215" t="n">
        <v>0</v>
      </c>
      <c r="K215" t="n">
        <v>0</v>
      </c>
      <c r="L215" t="n">
        <v>0</v>
      </c>
      <c r="M215" t="n">
        <v>0</v>
      </c>
      <c r="N215" t="n">
        <v>0</v>
      </c>
      <c r="O215" t="n">
        <v>0</v>
      </c>
      <c r="P215" t="n">
        <v>0</v>
      </c>
      <c r="Q215" t="n">
        <v>0</v>
      </c>
      <c r="R215" s="2" t="inlineStr"/>
    </row>
    <row r="216" ht="15" customHeight="1">
      <c r="A216" t="inlineStr">
        <is>
          <t>A 52612-2024</t>
        </is>
      </c>
      <c r="B216" s="1" t="n">
        <v>45609</v>
      </c>
      <c r="C216" s="1" t="n">
        <v>45968</v>
      </c>
      <c r="D216" t="inlineStr">
        <is>
          <t>ÖREBRO LÄN</t>
        </is>
      </c>
      <c r="E216" t="inlineStr">
        <is>
          <t>ÖREBRO</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37786-2024</t>
        </is>
      </c>
      <c r="B217" s="1" t="n">
        <v>45542.82987268519</v>
      </c>
      <c r="C217" s="1" t="n">
        <v>45968</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60028-2024</t>
        </is>
      </c>
      <c r="B218" s="1" t="n">
        <v>45642</v>
      </c>
      <c r="C218" s="1" t="n">
        <v>45968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55875-2024</t>
        </is>
      </c>
      <c r="B219" s="1" t="n">
        <v>45623.55375</v>
      </c>
      <c r="C219" s="1" t="n">
        <v>45968</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3841-2023</t>
        </is>
      </c>
      <c r="B220" s="1" t="n">
        <v>44951</v>
      </c>
      <c r="C220" s="1" t="n">
        <v>45968</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59736-2023</t>
        </is>
      </c>
      <c r="B221" s="1" t="n">
        <v>45257.374375</v>
      </c>
      <c r="C221" s="1" t="n">
        <v>45968</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2153-2023</t>
        </is>
      </c>
      <c r="B222" s="1" t="n">
        <v>44941</v>
      </c>
      <c r="C222" s="1" t="n">
        <v>45968</v>
      </c>
      <c r="D222" t="inlineStr">
        <is>
          <t>ÖREBRO LÄN</t>
        </is>
      </c>
      <c r="E222" t="inlineStr">
        <is>
          <t>ÖREBRO</t>
        </is>
      </c>
      <c r="G222" t="n">
        <v>6.3</v>
      </c>
      <c r="H222" t="n">
        <v>0</v>
      </c>
      <c r="I222" t="n">
        <v>0</v>
      </c>
      <c r="J222" t="n">
        <v>0</v>
      </c>
      <c r="K222" t="n">
        <v>0</v>
      </c>
      <c r="L222" t="n">
        <v>0</v>
      </c>
      <c r="M222" t="n">
        <v>0</v>
      </c>
      <c r="N222" t="n">
        <v>0</v>
      </c>
      <c r="O222" t="n">
        <v>0</v>
      </c>
      <c r="P222" t="n">
        <v>0</v>
      </c>
      <c r="Q222" t="n">
        <v>0</v>
      </c>
      <c r="R222" s="2" t="inlineStr"/>
    </row>
    <row r="223" ht="15" customHeight="1">
      <c r="A223" t="inlineStr">
        <is>
          <t>A 6794-2025</t>
        </is>
      </c>
      <c r="B223" s="1" t="n">
        <v>45700.66429398148</v>
      </c>
      <c r="C223" s="1" t="n">
        <v>45968</v>
      </c>
      <c r="D223" t="inlineStr">
        <is>
          <t>ÖREBRO LÄN</t>
        </is>
      </c>
      <c r="E223" t="inlineStr">
        <is>
          <t>ÖREBRO</t>
        </is>
      </c>
      <c r="G223" t="n">
        <v>1</v>
      </c>
      <c r="H223" t="n">
        <v>0</v>
      </c>
      <c r="I223" t="n">
        <v>0</v>
      </c>
      <c r="J223" t="n">
        <v>0</v>
      </c>
      <c r="K223" t="n">
        <v>0</v>
      </c>
      <c r="L223" t="n">
        <v>0</v>
      </c>
      <c r="M223" t="n">
        <v>0</v>
      </c>
      <c r="N223" t="n">
        <v>0</v>
      </c>
      <c r="O223" t="n">
        <v>0</v>
      </c>
      <c r="P223" t="n">
        <v>0</v>
      </c>
      <c r="Q223" t="n">
        <v>0</v>
      </c>
      <c r="R223" s="2" t="inlineStr"/>
    </row>
    <row r="224" ht="15" customHeight="1">
      <c r="A224" t="inlineStr">
        <is>
          <t>A 49215-2023</t>
        </is>
      </c>
      <c r="B224" s="1" t="n">
        <v>45210.61050925926</v>
      </c>
      <c r="C224" s="1" t="n">
        <v>45968</v>
      </c>
      <c r="D224" t="inlineStr">
        <is>
          <t>ÖREBRO LÄN</t>
        </is>
      </c>
      <c r="E224" t="inlineStr">
        <is>
          <t>ÖREBRO</t>
        </is>
      </c>
      <c r="F224" t="inlineStr">
        <is>
          <t>Övriga Aktiebolag</t>
        </is>
      </c>
      <c r="G224" t="n">
        <v>4.2</v>
      </c>
      <c r="H224" t="n">
        <v>0</v>
      </c>
      <c r="I224" t="n">
        <v>0</v>
      </c>
      <c r="J224" t="n">
        <v>0</v>
      </c>
      <c r="K224" t="n">
        <v>0</v>
      </c>
      <c r="L224" t="n">
        <v>0</v>
      </c>
      <c r="M224" t="n">
        <v>0</v>
      </c>
      <c r="N224" t="n">
        <v>0</v>
      </c>
      <c r="O224" t="n">
        <v>0</v>
      </c>
      <c r="P224" t="n">
        <v>0</v>
      </c>
      <c r="Q224" t="n">
        <v>0</v>
      </c>
      <c r="R224" s="2" t="inlineStr"/>
    </row>
    <row r="225" ht="15" customHeight="1">
      <c r="A225" t="inlineStr">
        <is>
          <t>A 10829-2023</t>
        </is>
      </c>
      <c r="B225" s="1" t="n">
        <v>44990.88512731482</v>
      </c>
      <c r="C225" s="1" t="n">
        <v>45968</v>
      </c>
      <c r="D225" t="inlineStr">
        <is>
          <t>ÖREBRO LÄN</t>
        </is>
      </c>
      <c r="E225" t="inlineStr">
        <is>
          <t>ÖREBRO</t>
        </is>
      </c>
      <c r="G225" t="n">
        <v>4.4</v>
      </c>
      <c r="H225" t="n">
        <v>0</v>
      </c>
      <c r="I225" t="n">
        <v>0</v>
      </c>
      <c r="J225" t="n">
        <v>0</v>
      </c>
      <c r="K225" t="n">
        <v>0</v>
      </c>
      <c r="L225" t="n">
        <v>0</v>
      </c>
      <c r="M225" t="n">
        <v>0</v>
      </c>
      <c r="N225" t="n">
        <v>0</v>
      </c>
      <c r="O225" t="n">
        <v>0</v>
      </c>
      <c r="P225" t="n">
        <v>0</v>
      </c>
      <c r="Q225" t="n">
        <v>0</v>
      </c>
      <c r="R225" s="2" t="inlineStr"/>
    </row>
    <row r="226" ht="15" customHeight="1">
      <c r="A226" t="inlineStr">
        <is>
          <t>A 10831-2023</t>
        </is>
      </c>
      <c r="B226" s="1" t="n">
        <v>44990.90357638889</v>
      </c>
      <c r="C226" s="1" t="n">
        <v>45968</v>
      </c>
      <c r="D226" t="inlineStr">
        <is>
          <t>ÖREBRO LÄN</t>
        </is>
      </c>
      <c r="E226" t="inlineStr">
        <is>
          <t>ÖREBRO</t>
        </is>
      </c>
      <c r="G226" t="n">
        <v>1.9</v>
      </c>
      <c r="H226" t="n">
        <v>0</v>
      </c>
      <c r="I226" t="n">
        <v>0</v>
      </c>
      <c r="J226" t="n">
        <v>0</v>
      </c>
      <c r="K226" t="n">
        <v>0</v>
      </c>
      <c r="L226" t="n">
        <v>0</v>
      </c>
      <c r="M226" t="n">
        <v>0</v>
      </c>
      <c r="N226" t="n">
        <v>0</v>
      </c>
      <c r="O226" t="n">
        <v>0</v>
      </c>
      <c r="P226" t="n">
        <v>0</v>
      </c>
      <c r="Q226" t="n">
        <v>0</v>
      </c>
      <c r="R226" s="2" t="inlineStr"/>
    </row>
    <row r="227" ht="15" customHeight="1">
      <c r="A227" t="inlineStr">
        <is>
          <t>A 2596-2022</t>
        </is>
      </c>
      <c r="B227" s="1" t="n">
        <v>44580</v>
      </c>
      <c r="C227" s="1" t="n">
        <v>45968</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58539-2024</t>
        </is>
      </c>
      <c r="B228" s="1" t="n">
        <v>45635.45157407408</v>
      </c>
      <c r="C228" s="1" t="n">
        <v>45968</v>
      </c>
      <c r="D228" t="inlineStr">
        <is>
          <t>ÖREBRO LÄN</t>
        </is>
      </c>
      <c r="E228" t="inlineStr">
        <is>
          <t>ÖREBRO</t>
        </is>
      </c>
      <c r="F228" t="inlineStr">
        <is>
          <t>Sveaskog</t>
        </is>
      </c>
      <c r="G228" t="n">
        <v>4.1</v>
      </c>
      <c r="H228" t="n">
        <v>0</v>
      </c>
      <c r="I228" t="n">
        <v>0</v>
      </c>
      <c r="J228" t="n">
        <v>0</v>
      </c>
      <c r="K228" t="n">
        <v>0</v>
      </c>
      <c r="L228" t="n">
        <v>0</v>
      </c>
      <c r="M228" t="n">
        <v>0</v>
      </c>
      <c r="N228" t="n">
        <v>0</v>
      </c>
      <c r="O228" t="n">
        <v>0</v>
      </c>
      <c r="P228" t="n">
        <v>0</v>
      </c>
      <c r="Q228" t="n">
        <v>0</v>
      </c>
      <c r="R228" s="2" t="inlineStr"/>
    </row>
    <row r="229" ht="15" customHeight="1">
      <c r="A229" t="inlineStr">
        <is>
          <t>A 13857-2022</t>
        </is>
      </c>
      <c r="B229" s="1" t="n">
        <v>44649</v>
      </c>
      <c r="C229" s="1" t="n">
        <v>45968</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43399-2022</t>
        </is>
      </c>
      <c r="B230" s="1" t="n">
        <v>44834</v>
      </c>
      <c r="C230" s="1" t="n">
        <v>45968</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58532-2024</t>
        </is>
      </c>
      <c r="B231" s="1" t="n">
        <v>45635.44899305556</v>
      </c>
      <c r="C231" s="1" t="n">
        <v>45968</v>
      </c>
      <c r="D231" t="inlineStr">
        <is>
          <t>ÖREBRO LÄN</t>
        </is>
      </c>
      <c r="E231" t="inlineStr">
        <is>
          <t>ÖREBRO</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55692-2023</t>
        </is>
      </c>
      <c r="B232" s="1" t="n">
        <v>45239</v>
      </c>
      <c r="C232" s="1" t="n">
        <v>45968</v>
      </c>
      <c r="D232" t="inlineStr">
        <is>
          <t>ÖREBRO LÄN</t>
        </is>
      </c>
      <c r="E232" t="inlineStr">
        <is>
          <t>ÖREBRO</t>
        </is>
      </c>
      <c r="F232" t="inlineStr">
        <is>
          <t>Övriga Aktiebolag</t>
        </is>
      </c>
      <c r="G232" t="n">
        <v>0.4</v>
      </c>
      <c r="H232" t="n">
        <v>0</v>
      </c>
      <c r="I232" t="n">
        <v>0</v>
      </c>
      <c r="J232" t="n">
        <v>0</v>
      </c>
      <c r="K232" t="n">
        <v>0</v>
      </c>
      <c r="L232" t="n">
        <v>0</v>
      </c>
      <c r="M232" t="n">
        <v>0</v>
      </c>
      <c r="N232" t="n">
        <v>0</v>
      </c>
      <c r="O232" t="n">
        <v>0</v>
      </c>
      <c r="P232" t="n">
        <v>0</v>
      </c>
      <c r="Q232" t="n">
        <v>0</v>
      </c>
      <c r="R232" s="2" t="inlineStr"/>
    </row>
    <row r="233" ht="15" customHeight="1">
      <c r="A233" t="inlineStr">
        <is>
          <t>A 187-2024</t>
        </is>
      </c>
      <c r="B233" s="1" t="n">
        <v>45294</v>
      </c>
      <c r="C233" s="1" t="n">
        <v>45968</v>
      </c>
      <c r="D233" t="inlineStr">
        <is>
          <t>ÖREBRO LÄN</t>
        </is>
      </c>
      <c r="E233" t="inlineStr">
        <is>
          <t>ÖREBRO</t>
        </is>
      </c>
      <c r="G233" t="n">
        <v>5.9</v>
      </c>
      <c r="H233" t="n">
        <v>0</v>
      </c>
      <c r="I233" t="n">
        <v>0</v>
      </c>
      <c r="J233" t="n">
        <v>0</v>
      </c>
      <c r="K233" t="n">
        <v>0</v>
      </c>
      <c r="L233" t="n">
        <v>0</v>
      </c>
      <c r="M233" t="n">
        <v>0</v>
      </c>
      <c r="N233" t="n">
        <v>0</v>
      </c>
      <c r="O233" t="n">
        <v>0</v>
      </c>
      <c r="P233" t="n">
        <v>0</v>
      </c>
      <c r="Q233" t="n">
        <v>0</v>
      </c>
      <c r="R233" s="2" t="inlineStr"/>
    </row>
    <row r="234" ht="15" customHeight="1">
      <c r="A234" t="inlineStr">
        <is>
          <t>A 13762-2023</t>
        </is>
      </c>
      <c r="B234" s="1" t="n">
        <v>45007.43729166667</v>
      </c>
      <c r="C234" s="1" t="n">
        <v>45968</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19553-2023</t>
        </is>
      </c>
      <c r="B235" s="1" t="n">
        <v>45050</v>
      </c>
      <c r="C235" s="1" t="n">
        <v>45968</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60022-2024</t>
        </is>
      </c>
      <c r="B236" s="1" t="n">
        <v>45642</v>
      </c>
      <c r="C236" s="1" t="n">
        <v>45968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45968</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14291-2023</t>
        </is>
      </c>
      <c r="B238" s="1" t="n">
        <v>45010</v>
      </c>
      <c r="C238" s="1" t="n">
        <v>45968</v>
      </c>
      <c r="D238" t="inlineStr">
        <is>
          <t>ÖREBRO LÄN</t>
        </is>
      </c>
      <c r="E238" t="inlineStr">
        <is>
          <t>ÖREBRO</t>
        </is>
      </c>
      <c r="G238" t="n">
        <v>0.8</v>
      </c>
      <c r="H238" t="n">
        <v>0</v>
      </c>
      <c r="I238" t="n">
        <v>0</v>
      </c>
      <c r="J238" t="n">
        <v>0</v>
      </c>
      <c r="K238" t="n">
        <v>0</v>
      </c>
      <c r="L238" t="n">
        <v>0</v>
      </c>
      <c r="M238" t="n">
        <v>0</v>
      </c>
      <c r="N238" t="n">
        <v>0</v>
      </c>
      <c r="O238" t="n">
        <v>0</v>
      </c>
      <c r="P238" t="n">
        <v>0</v>
      </c>
      <c r="Q238" t="n">
        <v>0</v>
      </c>
      <c r="R238" s="2" t="inlineStr"/>
    </row>
    <row r="239" ht="15" customHeight="1">
      <c r="A239" t="inlineStr">
        <is>
          <t>A 58527-2024</t>
        </is>
      </c>
      <c r="B239" s="1" t="n">
        <v>45635.44388888889</v>
      </c>
      <c r="C239" s="1" t="n">
        <v>45968</v>
      </c>
      <c r="D239" t="inlineStr">
        <is>
          <t>ÖREBRO LÄN</t>
        </is>
      </c>
      <c r="E239" t="inlineStr">
        <is>
          <t>ÖREBRO</t>
        </is>
      </c>
      <c r="F239" t="inlineStr">
        <is>
          <t>Sveaskog</t>
        </is>
      </c>
      <c r="G239" t="n">
        <v>6.4</v>
      </c>
      <c r="H239" t="n">
        <v>0</v>
      </c>
      <c r="I239" t="n">
        <v>0</v>
      </c>
      <c r="J239" t="n">
        <v>0</v>
      </c>
      <c r="K239" t="n">
        <v>0</v>
      </c>
      <c r="L239" t="n">
        <v>0</v>
      </c>
      <c r="M239" t="n">
        <v>0</v>
      </c>
      <c r="N239" t="n">
        <v>0</v>
      </c>
      <c r="O239" t="n">
        <v>0</v>
      </c>
      <c r="P239" t="n">
        <v>0</v>
      </c>
      <c r="Q239" t="n">
        <v>0</v>
      </c>
      <c r="R239" s="2" t="inlineStr"/>
    </row>
    <row r="240" ht="15" customHeight="1">
      <c r="A240" t="inlineStr">
        <is>
          <t>A 55593-2022</t>
        </is>
      </c>
      <c r="B240" s="1" t="n">
        <v>44888</v>
      </c>
      <c r="C240" s="1" t="n">
        <v>45968</v>
      </c>
      <c r="D240" t="inlineStr">
        <is>
          <t>ÖREBRO LÄN</t>
        </is>
      </c>
      <c r="E240" t="inlineStr">
        <is>
          <t>ÖREBRO</t>
        </is>
      </c>
      <c r="G240" t="n">
        <v>3.6</v>
      </c>
      <c r="H240" t="n">
        <v>0</v>
      </c>
      <c r="I240" t="n">
        <v>0</v>
      </c>
      <c r="J240" t="n">
        <v>0</v>
      </c>
      <c r="K240" t="n">
        <v>0</v>
      </c>
      <c r="L240" t="n">
        <v>0</v>
      </c>
      <c r="M240" t="n">
        <v>0</v>
      </c>
      <c r="N240" t="n">
        <v>0</v>
      </c>
      <c r="O240" t="n">
        <v>0</v>
      </c>
      <c r="P240" t="n">
        <v>0</v>
      </c>
      <c r="Q240" t="n">
        <v>0</v>
      </c>
      <c r="R240" s="2" t="inlineStr"/>
    </row>
    <row r="241" ht="15" customHeight="1">
      <c r="A241" t="inlineStr">
        <is>
          <t>A 10470-2025</t>
        </is>
      </c>
      <c r="B241" s="1" t="n">
        <v>45720</v>
      </c>
      <c r="C241" s="1" t="n">
        <v>45968</v>
      </c>
      <c r="D241" t="inlineStr">
        <is>
          <t>ÖREBRO LÄN</t>
        </is>
      </c>
      <c r="E241" t="inlineStr">
        <is>
          <t>ÖREBRO</t>
        </is>
      </c>
      <c r="G241" t="n">
        <v>11.5</v>
      </c>
      <c r="H241" t="n">
        <v>0</v>
      </c>
      <c r="I241" t="n">
        <v>0</v>
      </c>
      <c r="J241" t="n">
        <v>0</v>
      </c>
      <c r="K241" t="n">
        <v>0</v>
      </c>
      <c r="L241" t="n">
        <v>0</v>
      </c>
      <c r="M241" t="n">
        <v>0</v>
      </c>
      <c r="N241" t="n">
        <v>0</v>
      </c>
      <c r="O241" t="n">
        <v>0</v>
      </c>
      <c r="P241" t="n">
        <v>0</v>
      </c>
      <c r="Q241" t="n">
        <v>0</v>
      </c>
      <c r="R241" s="2" t="inlineStr"/>
    </row>
    <row r="242" ht="15" customHeight="1">
      <c r="A242" t="inlineStr">
        <is>
          <t>A 52623-2024</t>
        </is>
      </c>
      <c r="B242" s="1" t="n">
        <v>45609</v>
      </c>
      <c r="C242" s="1" t="n">
        <v>45968</v>
      </c>
      <c r="D242" t="inlineStr">
        <is>
          <t>ÖREBRO LÄN</t>
        </is>
      </c>
      <c r="E242" t="inlineStr">
        <is>
          <t>ÖREBRO</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45968</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45968</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45968</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28054-2022</t>
        </is>
      </c>
      <c r="B246" s="1" t="n">
        <v>44746.41938657407</v>
      </c>
      <c r="C246" s="1" t="n">
        <v>45968</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45968</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541-2025</t>
        </is>
      </c>
      <c r="B248" s="1" t="n">
        <v>45664.52034722222</v>
      </c>
      <c r="C248" s="1" t="n">
        <v>45968</v>
      </c>
      <c r="D248" t="inlineStr">
        <is>
          <t>ÖREBRO LÄN</t>
        </is>
      </c>
      <c r="E248" t="inlineStr">
        <is>
          <t>ÖREBRO</t>
        </is>
      </c>
      <c r="G248" t="n">
        <v>2.2</v>
      </c>
      <c r="H248" t="n">
        <v>0</v>
      </c>
      <c r="I248" t="n">
        <v>0</v>
      </c>
      <c r="J248" t="n">
        <v>0</v>
      </c>
      <c r="K248" t="n">
        <v>0</v>
      </c>
      <c r="L248" t="n">
        <v>0</v>
      </c>
      <c r="M248" t="n">
        <v>0</v>
      </c>
      <c r="N248" t="n">
        <v>0</v>
      </c>
      <c r="O248" t="n">
        <v>0</v>
      </c>
      <c r="P248" t="n">
        <v>0</v>
      </c>
      <c r="Q248" t="n">
        <v>0</v>
      </c>
      <c r="R248" s="2" t="inlineStr"/>
    </row>
    <row r="249" ht="15" customHeight="1">
      <c r="A249" t="inlineStr">
        <is>
          <t>A 63142-2023</t>
        </is>
      </c>
      <c r="B249" s="1" t="n">
        <v>45273</v>
      </c>
      <c r="C249" s="1" t="n">
        <v>45968</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53143-2023</t>
        </is>
      </c>
      <c r="B250" s="1" t="n">
        <v>45229</v>
      </c>
      <c r="C250" s="1" t="n">
        <v>45968</v>
      </c>
      <c r="D250" t="inlineStr">
        <is>
          <t>ÖREBRO LÄN</t>
        </is>
      </c>
      <c r="E250" t="inlineStr">
        <is>
          <t>ÖREBRO</t>
        </is>
      </c>
      <c r="G250" t="n">
        <v>3.3</v>
      </c>
      <c r="H250" t="n">
        <v>0</v>
      </c>
      <c r="I250" t="n">
        <v>0</v>
      </c>
      <c r="J250" t="n">
        <v>0</v>
      </c>
      <c r="K250" t="n">
        <v>0</v>
      </c>
      <c r="L250" t="n">
        <v>0</v>
      </c>
      <c r="M250" t="n">
        <v>0</v>
      </c>
      <c r="N250" t="n">
        <v>0</v>
      </c>
      <c r="O250" t="n">
        <v>0</v>
      </c>
      <c r="P250" t="n">
        <v>0</v>
      </c>
      <c r="Q250" t="n">
        <v>0</v>
      </c>
      <c r="R250" s="2" t="inlineStr"/>
    </row>
    <row r="251" ht="15" customHeight="1">
      <c r="A251" t="inlineStr">
        <is>
          <t>A 25407-2021</t>
        </is>
      </c>
      <c r="B251" s="1" t="n">
        <v>44342</v>
      </c>
      <c r="C251" s="1" t="n">
        <v>45968</v>
      </c>
      <c r="D251" t="inlineStr">
        <is>
          <t>ÖREBRO LÄN</t>
        </is>
      </c>
      <c r="E251" t="inlineStr">
        <is>
          <t>ÖREBRO</t>
        </is>
      </c>
      <c r="F251" t="inlineStr">
        <is>
          <t>Kommuner</t>
        </is>
      </c>
      <c r="G251" t="n">
        <v>7.2</v>
      </c>
      <c r="H251" t="n">
        <v>0</v>
      </c>
      <c r="I251" t="n">
        <v>0</v>
      </c>
      <c r="J251" t="n">
        <v>0</v>
      </c>
      <c r="K251" t="n">
        <v>0</v>
      </c>
      <c r="L251" t="n">
        <v>0</v>
      </c>
      <c r="M251" t="n">
        <v>0</v>
      </c>
      <c r="N251" t="n">
        <v>0</v>
      </c>
      <c r="O251" t="n">
        <v>0</v>
      </c>
      <c r="P251" t="n">
        <v>0</v>
      </c>
      <c r="Q251" t="n">
        <v>0</v>
      </c>
      <c r="R251" s="2" t="inlineStr"/>
    </row>
    <row r="252" ht="15" customHeight="1">
      <c r="A252" t="inlineStr">
        <is>
          <t>A 23741-2022</t>
        </is>
      </c>
      <c r="B252" s="1" t="n">
        <v>44722</v>
      </c>
      <c r="C252" s="1" t="n">
        <v>45968</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28120-2025</t>
        </is>
      </c>
      <c r="B253" s="1" t="n">
        <v>45818.30459490741</v>
      </c>
      <c r="C253" s="1" t="n">
        <v>45968</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59121-2024</t>
        </is>
      </c>
      <c r="B254" s="1" t="n">
        <v>45637.37755787037</v>
      </c>
      <c r="C254" s="1" t="n">
        <v>45968</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9704-2023</t>
        </is>
      </c>
      <c r="B255" s="1" t="n">
        <v>44984</v>
      </c>
      <c r="C255" s="1" t="n">
        <v>45968</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45027-2024</t>
        </is>
      </c>
      <c r="B256" s="1" t="n">
        <v>45575</v>
      </c>
      <c r="C256" s="1" t="n">
        <v>45968</v>
      </c>
      <c r="D256" t="inlineStr">
        <is>
          <t>ÖREBRO LÄN</t>
        </is>
      </c>
      <c r="E256" t="inlineStr">
        <is>
          <t>ÖREBRO</t>
        </is>
      </c>
      <c r="G256" t="n">
        <v>6.3</v>
      </c>
      <c r="H256" t="n">
        <v>0</v>
      </c>
      <c r="I256" t="n">
        <v>0</v>
      </c>
      <c r="J256" t="n">
        <v>0</v>
      </c>
      <c r="K256" t="n">
        <v>0</v>
      </c>
      <c r="L256" t="n">
        <v>0</v>
      </c>
      <c r="M256" t="n">
        <v>0</v>
      </c>
      <c r="N256" t="n">
        <v>0</v>
      </c>
      <c r="O256" t="n">
        <v>0</v>
      </c>
      <c r="P256" t="n">
        <v>0</v>
      </c>
      <c r="Q256" t="n">
        <v>0</v>
      </c>
      <c r="R256" s="2" t="inlineStr"/>
    </row>
    <row r="257" ht="15" customHeight="1">
      <c r="A257" t="inlineStr">
        <is>
          <t>A 16140-2023</t>
        </is>
      </c>
      <c r="B257" s="1" t="n">
        <v>45027.6433912037</v>
      </c>
      <c r="C257" s="1" t="n">
        <v>45968</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12099-2023</t>
        </is>
      </c>
      <c r="B258" s="1" t="n">
        <v>44998.37043981482</v>
      </c>
      <c r="C258" s="1" t="n">
        <v>45968</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28938-2025</t>
        </is>
      </c>
      <c r="B259" s="1" t="n">
        <v>45820.70626157407</v>
      </c>
      <c r="C259" s="1" t="n">
        <v>45968</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17869-2024</t>
        </is>
      </c>
      <c r="B260" s="1" t="n">
        <v>45419</v>
      </c>
      <c r="C260" s="1" t="n">
        <v>45968</v>
      </c>
      <c r="D260" t="inlineStr">
        <is>
          <t>ÖREBRO LÄN</t>
        </is>
      </c>
      <c r="E260" t="inlineStr">
        <is>
          <t>ÖREBRO</t>
        </is>
      </c>
      <c r="G260" t="n">
        <v>3.7</v>
      </c>
      <c r="H260" t="n">
        <v>0</v>
      </c>
      <c r="I260" t="n">
        <v>0</v>
      </c>
      <c r="J260" t="n">
        <v>0</v>
      </c>
      <c r="K260" t="n">
        <v>0</v>
      </c>
      <c r="L260" t="n">
        <v>0</v>
      </c>
      <c r="M260" t="n">
        <v>0</v>
      </c>
      <c r="N260" t="n">
        <v>0</v>
      </c>
      <c r="O260" t="n">
        <v>0</v>
      </c>
      <c r="P260" t="n">
        <v>0</v>
      </c>
      <c r="Q260" t="n">
        <v>0</v>
      </c>
      <c r="R260" s="2" t="inlineStr"/>
    </row>
    <row r="261" ht="15" customHeight="1">
      <c r="A261" t="inlineStr">
        <is>
          <t>A 28920-2025</t>
        </is>
      </c>
      <c r="B261" s="1" t="n">
        <v>45820.66532407407</v>
      </c>
      <c r="C261" s="1" t="n">
        <v>45968</v>
      </c>
      <c r="D261" t="inlineStr">
        <is>
          <t>ÖREBRO LÄN</t>
        </is>
      </c>
      <c r="E261" t="inlineStr">
        <is>
          <t>ÖREBRO</t>
        </is>
      </c>
      <c r="G261" t="n">
        <v>3</v>
      </c>
      <c r="H261" t="n">
        <v>0</v>
      </c>
      <c r="I261" t="n">
        <v>0</v>
      </c>
      <c r="J261" t="n">
        <v>0</v>
      </c>
      <c r="K261" t="n">
        <v>0</v>
      </c>
      <c r="L261" t="n">
        <v>0</v>
      </c>
      <c r="M261" t="n">
        <v>0</v>
      </c>
      <c r="N261" t="n">
        <v>0</v>
      </c>
      <c r="O261" t="n">
        <v>0</v>
      </c>
      <c r="P261" t="n">
        <v>0</v>
      </c>
      <c r="Q261" t="n">
        <v>0</v>
      </c>
      <c r="R261" s="2" t="inlineStr"/>
    </row>
    <row r="262" ht="15" customHeight="1">
      <c r="A262" t="inlineStr">
        <is>
          <t>A 5026-2022</t>
        </is>
      </c>
      <c r="B262" s="1" t="n">
        <v>44593.63974537037</v>
      </c>
      <c r="C262" s="1" t="n">
        <v>45968</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29339-2025</t>
        </is>
      </c>
      <c r="B263" s="1" t="n">
        <v>45824.5044212963</v>
      </c>
      <c r="C263" s="1" t="n">
        <v>45968</v>
      </c>
      <c r="D263" t="inlineStr">
        <is>
          <t>ÖREBRO LÄN</t>
        </is>
      </c>
      <c r="E263" t="inlineStr">
        <is>
          <t>ÖREBRO</t>
        </is>
      </c>
      <c r="G263" t="n">
        <v>4.3</v>
      </c>
      <c r="H263" t="n">
        <v>0</v>
      </c>
      <c r="I263" t="n">
        <v>0</v>
      </c>
      <c r="J263" t="n">
        <v>0</v>
      </c>
      <c r="K263" t="n">
        <v>0</v>
      </c>
      <c r="L263" t="n">
        <v>0</v>
      </c>
      <c r="M263" t="n">
        <v>0</v>
      </c>
      <c r="N263" t="n">
        <v>0</v>
      </c>
      <c r="O263" t="n">
        <v>0</v>
      </c>
      <c r="P263" t="n">
        <v>0</v>
      </c>
      <c r="Q263" t="n">
        <v>0</v>
      </c>
      <c r="R263" s="2" t="inlineStr"/>
    </row>
    <row r="264" ht="15" customHeight="1">
      <c r="A264" t="inlineStr">
        <is>
          <t>A 60059-2023</t>
        </is>
      </c>
      <c r="B264" s="1" t="n">
        <v>45258.38157407408</v>
      </c>
      <c r="C264" s="1" t="n">
        <v>45968</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26858-2024</t>
        </is>
      </c>
      <c r="B265" s="1" t="n">
        <v>45470</v>
      </c>
      <c r="C265" s="1" t="n">
        <v>45968</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10832-2023</t>
        </is>
      </c>
      <c r="B266" s="1" t="n">
        <v>44990.91711805556</v>
      </c>
      <c r="C266" s="1" t="n">
        <v>45968</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45968</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50026-2024</t>
        </is>
      </c>
      <c r="B268" s="1" t="n">
        <v>45599.60541666667</v>
      </c>
      <c r="C268" s="1" t="n">
        <v>45968</v>
      </c>
      <c r="D268" t="inlineStr">
        <is>
          <t>ÖREBRO LÄN</t>
        </is>
      </c>
      <c r="E268" t="inlineStr">
        <is>
          <t>ÖREBRO</t>
        </is>
      </c>
      <c r="G268" t="n">
        <v>2.2</v>
      </c>
      <c r="H268" t="n">
        <v>0</v>
      </c>
      <c r="I268" t="n">
        <v>0</v>
      </c>
      <c r="J268" t="n">
        <v>0</v>
      </c>
      <c r="K268" t="n">
        <v>0</v>
      </c>
      <c r="L268" t="n">
        <v>0</v>
      </c>
      <c r="M268" t="n">
        <v>0</v>
      </c>
      <c r="N268" t="n">
        <v>0</v>
      </c>
      <c r="O268" t="n">
        <v>0</v>
      </c>
      <c r="P268" t="n">
        <v>0</v>
      </c>
      <c r="Q268" t="n">
        <v>0</v>
      </c>
      <c r="R268" s="2" t="inlineStr"/>
    </row>
    <row r="269" ht="15" customHeight="1">
      <c r="A269" t="inlineStr">
        <is>
          <t>A 52391-2024</t>
        </is>
      </c>
      <c r="B269" s="1" t="n">
        <v>45609.43180555556</v>
      </c>
      <c r="C269" s="1" t="n">
        <v>45968</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52401-2024</t>
        </is>
      </c>
      <c r="B270" s="1" t="n">
        <v>45609.44553240741</v>
      </c>
      <c r="C270" s="1" t="n">
        <v>45968</v>
      </c>
      <c r="D270" t="inlineStr">
        <is>
          <t>ÖREBRO LÄN</t>
        </is>
      </c>
      <c r="E270" t="inlineStr">
        <is>
          <t>ÖREBRO</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29286-2025</t>
        </is>
      </c>
      <c r="B271" s="1" t="n">
        <v>45824.43502314815</v>
      </c>
      <c r="C271" s="1" t="n">
        <v>45968</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48581-2024</t>
        </is>
      </c>
      <c r="B272" s="1" t="n">
        <v>45593.41642361111</v>
      </c>
      <c r="C272" s="1" t="n">
        <v>45968</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26338-2021</t>
        </is>
      </c>
      <c r="B273" s="1" t="n">
        <v>44347</v>
      </c>
      <c r="C273" s="1" t="n">
        <v>45968</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40231-2022</t>
        </is>
      </c>
      <c r="B274" s="1" t="n">
        <v>44820</v>
      </c>
      <c r="C274" s="1" t="n">
        <v>45968</v>
      </c>
      <c r="D274" t="inlineStr">
        <is>
          <t>ÖREBRO LÄN</t>
        </is>
      </c>
      <c r="E274" t="inlineStr">
        <is>
          <t>ÖREBRO</t>
        </is>
      </c>
      <c r="F274" t="inlineStr">
        <is>
          <t>Allmännings- och besparingsskogar</t>
        </is>
      </c>
      <c r="G274" t="n">
        <v>2.2</v>
      </c>
      <c r="H274" t="n">
        <v>0</v>
      </c>
      <c r="I274" t="n">
        <v>0</v>
      </c>
      <c r="J274" t="n">
        <v>0</v>
      </c>
      <c r="K274" t="n">
        <v>0</v>
      </c>
      <c r="L274" t="n">
        <v>0</v>
      </c>
      <c r="M274" t="n">
        <v>0</v>
      </c>
      <c r="N274" t="n">
        <v>0</v>
      </c>
      <c r="O274" t="n">
        <v>0</v>
      </c>
      <c r="P274" t="n">
        <v>0</v>
      </c>
      <c r="Q274" t="n">
        <v>0</v>
      </c>
      <c r="R274" s="2" t="inlineStr"/>
    </row>
    <row r="275" ht="15" customHeight="1">
      <c r="A275" t="inlineStr">
        <is>
          <t>A 53234-2023</t>
        </is>
      </c>
      <c r="B275" s="1" t="n">
        <v>45229</v>
      </c>
      <c r="C275" s="1" t="n">
        <v>45968</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59757-2023</t>
        </is>
      </c>
      <c r="B276" s="1" t="n">
        <v>45257.40833333333</v>
      </c>
      <c r="C276" s="1" t="n">
        <v>45968</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14963-2025</t>
        </is>
      </c>
      <c r="B277" s="1" t="n">
        <v>45743.58699074074</v>
      </c>
      <c r="C277" s="1" t="n">
        <v>45968</v>
      </c>
      <c r="D277" t="inlineStr">
        <is>
          <t>ÖREBRO LÄN</t>
        </is>
      </c>
      <c r="E277" t="inlineStr">
        <is>
          <t>ÖREBRO</t>
        </is>
      </c>
      <c r="G277" t="n">
        <v>9.1</v>
      </c>
      <c r="H277" t="n">
        <v>0</v>
      </c>
      <c r="I277" t="n">
        <v>0</v>
      </c>
      <c r="J277" t="n">
        <v>0</v>
      </c>
      <c r="K277" t="n">
        <v>0</v>
      </c>
      <c r="L277" t="n">
        <v>0</v>
      </c>
      <c r="M277" t="n">
        <v>0</v>
      </c>
      <c r="N277" t="n">
        <v>0</v>
      </c>
      <c r="O277" t="n">
        <v>0</v>
      </c>
      <c r="P277" t="n">
        <v>0</v>
      </c>
      <c r="Q277" t="n">
        <v>0</v>
      </c>
      <c r="R277" s="2" t="inlineStr"/>
    </row>
    <row r="278" ht="15" customHeight="1">
      <c r="A278" t="inlineStr">
        <is>
          <t>A 30550-2025</t>
        </is>
      </c>
      <c r="B278" s="1" t="n">
        <v>45831.38224537037</v>
      </c>
      <c r="C278" s="1" t="n">
        <v>45968</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11067-2025</t>
        </is>
      </c>
      <c r="B279" s="1" t="n">
        <v>45723</v>
      </c>
      <c r="C279" s="1" t="n">
        <v>45968</v>
      </c>
      <c r="D279" t="inlineStr">
        <is>
          <t>ÖREBRO LÄN</t>
        </is>
      </c>
      <c r="E279" t="inlineStr">
        <is>
          <t>ÖREBRO</t>
        </is>
      </c>
      <c r="G279" t="n">
        <v>3.1</v>
      </c>
      <c r="H279" t="n">
        <v>0</v>
      </c>
      <c r="I279" t="n">
        <v>0</v>
      </c>
      <c r="J279" t="n">
        <v>0</v>
      </c>
      <c r="K279" t="n">
        <v>0</v>
      </c>
      <c r="L279" t="n">
        <v>0</v>
      </c>
      <c r="M279" t="n">
        <v>0</v>
      </c>
      <c r="N279" t="n">
        <v>0</v>
      </c>
      <c r="O279" t="n">
        <v>0</v>
      </c>
      <c r="P279" t="n">
        <v>0</v>
      </c>
      <c r="Q279" t="n">
        <v>0</v>
      </c>
      <c r="R279" s="2" t="inlineStr"/>
    </row>
    <row r="280" ht="15" customHeight="1">
      <c r="A280" t="inlineStr">
        <is>
          <t>A 62794-2021</t>
        </is>
      </c>
      <c r="B280" s="1" t="n">
        <v>44504</v>
      </c>
      <c r="C280" s="1" t="n">
        <v>45968</v>
      </c>
      <c r="D280" t="inlineStr">
        <is>
          <t>ÖREBRO LÄN</t>
        </is>
      </c>
      <c r="E280" t="inlineStr">
        <is>
          <t>ÖREBRO</t>
        </is>
      </c>
      <c r="G280" t="n">
        <v>3.3</v>
      </c>
      <c r="H280" t="n">
        <v>0</v>
      </c>
      <c r="I280" t="n">
        <v>0</v>
      </c>
      <c r="J280" t="n">
        <v>0</v>
      </c>
      <c r="K280" t="n">
        <v>0</v>
      </c>
      <c r="L280" t="n">
        <v>0</v>
      </c>
      <c r="M280" t="n">
        <v>0</v>
      </c>
      <c r="N280" t="n">
        <v>0</v>
      </c>
      <c r="O280" t="n">
        <v>0</v>
      </c>
      <c r="P280" t="n">
        <v>0</v>
      </c>
      <c r="Q280" t="n">
        <v>0</v>
      </c>
      <c r="R280" s="2" t="inlineStr"/>
    </row>
    <row r="281" ht="15" customHeight="1">
      <c r="A281" t="inlineStr">
        <is>
          <t>A 19180-2025</t>
        </is>
      </c>
      <c r="B281" s="1" t="n">
        <v>45769.40133101852</v>
      </c>
      <c r="C281" s="1" t="n">
        <v>45968</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3659-2025</t>
        </is>
      </c>
      <c r="B282" s="1" t="n">
        <v>45681</v>
      </c>
      <c r="C282" s="1" t="n">
        <v>45968</v>
      </c>
      <c r="D282" t="inlineStr">
        <is>
          <t>ÖREBRO LÄN</t>
        </is>
      </c>
      <c r="E282" t="inlineStr">
        <is>
          <t>ÖREBRO</t>
        </is>
      </c>
      <c r="G282" t="n">
        <v>15.8</v>
      </c>
      <c r="H282" t="n">
        <v>0</v>
      </c>
      <c r="I282" t="n">
        <v>0</v>
      </c>
      <c r="J282" t="n">
        <v>0</v>
      </c>
      <c r="K282" t="n">
        <v>0</v>
      </c>
      <c r="L282" t="n">
        <v>0</v>
      </c>
      <c r="M282" t="n">
        <v>0</v>
      </c>
      <c r="N282" t="n">
        <v>0</v>
      </c>
      <c r="O282" t="n">
        <v>0</v>
      </c>
      <c r="P282" t="n">
        <v>0</v>
      </c>
      <c r="Q282" t="n">
        <v>0</v>
      </c>
      <c r="R282" s="2" t="inlineStr"/>
    </row>
    <row r="283" ht="15" customHeight="1">
      <c r="A283" t="inlineStr">
        <is>
          <t>A 13347-2023</t>
        </is>
      </c>
      <c r="B283" s="1" t="n">
        <v>45004</v>
      </c>
      <c r="C283" s="1" t="n">
        <v>45968</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6752-2022</t>
        </is>
      </c>
      <c r="B284" s="1" t="n">
        <v>44602.48082175926</v>
      </c>
      <c r="C284" s="1" t="n">
        <v>45968</v>
      </c>
      <c r="D284" t="inlineStr">
        <is>
          <t>ÖREBRO LÄN</t>
        </is>
      </c>
      <c r="E284" t="inlineStr">
        <is>
          <t>ÖREBRO</t>
        </is>
      </c>
      <c r="G284" t="n">
        <v>3.1</v>
      </c>
      <c r="H284" t="n">
        <v>0</v>
      </c>
      <c r="I284" t="n">
        <v>0</v>
      </c>
      <c r="J284" t="n">
        <v>0</v>
      </c>
      <c r="K284" t="n">
        <v>0</v>
      </c>
      <c r="L284" t="n">
        <v>0</v>
      </c>
      <c r="M284" t="n">
        <v>0</v>
      </c>
      <c r="N284" t="n">
        <v>0</v>
      </c>
      <c r="O284" t="n">
        <v>0</v>
      </c>
      <c r="P284" t="n">
        <v>0</v>
      </c>
      <c r="Q284" t="n">
        <v>0</v>
      </c>
      <c r="R284" s="2" t="inlineStr"/>
    </row>
    <row r="285" ht="15" customHeight="1">
      <c r="A285" t="inlineStr">
        <is>
          <t>A 30731-2025</t>
        </is>
      </c>
      <c r="B285" s="1" t="n">
        <v>45831.57280092593</v>
      </c>
      <c r="C285" s="1" t="n">
        <v>45968</v>
      </c>
      <c r="D285" t="inlineStr">
        <is>
          <t>ÖREBRO LÄN</t>
        </is>
      </c>
      <c r="E285" t="inlineStr">
        <is>
          <t>ÖREBRO</t>
        </is>
      </c>
      <c r="G285" t="n">
        <v>1</v>
      </c>
      <c r="H285" t="n">
        <v>0</v>
      </c>
      <c r="I285" t="n">
        <v>0</v>
      </c>
      <c r="J285" t="n">
        <v>0</v>
      </c>
      <c r="K285" t="n">
        <v>0</v>
      </c>
      <c r="L285" t="n">
        <v>0</v>
      </c>
      <c r="M285" t="n">
        <v>0</v>
      </c>
      <c r="N285" t="n">
        <v>0</v>
      </c>
      <c r="O285" t="n">
        <v>0</v>
      </c>
      <c r="P285" t="n">
        <v>0</v>
      </c>
      <c r="Q285" t="n">
        <v>0</v>
      </c>
      <c r="R285" s="2" t="inlineStr"/>
    </row>
    <row r="286" ht="15" customHeight="1">
      <c r="A286" t="inlineStr">
        <is>
          <t>A 57867-2024</t>
        </is>
      </c>
      <c r="B286" s="1" t="n">
        <v>45631.43864583333</v>
      </c>
      <c r="C286" s="1" t="n">
        <v>45968</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33455-2023</t>
        </is>
      </c>
      <c r="B287" s="1" t="n">
        <v>45130.98962962963</v>
      </c>
      <c r="C287" s="1" t="n">
        <v>45968</v>
      </c>
      <c r="D287" t="inlineStr">
        <is>
          <t>ÖREBRO LÄN</t>
        </is>
      </c>
      <c r="E287" t="inlineStr">
        <is>
          <t>ÖREBRO</t>
        </is>
      </c>
      <c r="G287" t="n">
        <v>0.7</v>
      </c>
      <c r="H287" t="n">
        <v>0</v>
      </c>
      <c r="I287" t="n">
        <v>0</v>
      </c>
      <c r="J287" t="n">
        <v>0</v>
      </c>
      <c r="K287" t="n">
        <v>0</v>
      </c>
      <c r="L287" t="n">
        <v>0</v>
      </c>
      <c r="M287" t="n">
        <v>0</v>
      </c>
      <c r="N287" t="n">
        <v>0</v>
      </c>
      <c r="O287" t="n">
        <v>0</v>
      </c>
      <c r="P287" t="n">
        <v>0</v>
      </c>
      <c r="Q287" t="n">
        <v>0</v>
      </c>
      <c r="R287" s="2" t="inlineStr"/>
    </row>
    <row r="288" ht="15" customHeight="1">
      <c r="A288" t="inlineStr">
        <is>
          <t>A 31232-2025</t>
        </is>
      </c>
      <c r="B288" s="1" t="n">
        <v>45832.8252199074</v>
      </c>
      <c r="C288" s="1" t="n">
        <v>45968</v>
      </c>
      <c r="D288" t="inlineStr">
        <is>
          <t>ÖREBRO LÄN</t>
        </is>
      </c>
      <c r="E288" t="inlineStr">
        <is>
          <t>ÖREBRO</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30951-2025</t>
        </is>
      </c>
      <c r="B289" s="1" t="n">
        <v>45832.43225694444</v>
      </c>
      <c r="C289" s="1" t="n">
        <v>45968</v>
      </c>
      <c r="D289" t="inlineStr">
        <is>
          <t>ÖREBRO LÄN</t>
        </is>
      </c>
      <c r="E289" t="inlineStr">
        <is>
          <t>ÖREBRO</t>
        </is>
      </c>
      <c r="F289" t="inlineStr">
        <is>
          <t>Övriga Aktiebolag</t>
        </is>
      </c>
      <c r="G289" t="n">
        <v>2.3</v>
      </c>
      <c r="H289" t="n">
        <v>0</v>
      </c>
      <c r="I289" t="n">
        <v>0</v>
      </c>
      <c r="J289" t="n">
        <v>0</v>
      </c>
      <c r="K289" t="n">
        <v>0</v>
      </c>
      <c r="L289" t="n">
        <v>0</v>
      </c>
      <c r="M289" t="n">
        <v>0</v>
      </c>
      <c r="N289" t="n">
        <v>0</v>
      </c>
      <c r="O289" t="n">
        <v>0</v>
      </c>
      <c r="P289" t="n">
        <v>0</v>
      </c>
      <c r="Q289" t="n">
        <v>0</v>
      </c>
      <c r="R289" s="2" t="inlineStr"/>
    </row>
    <row r="290" ht="15" customHeight="1">
      <c r="A290" t="inlineStr">
        <is>
          <t>A 13355-2023</t>
        </is>
      </c>
      <c r="B290" s="1" t="n">
        <v>45004</v>
      </c>
      <c r="C290" s="1" t="n">
        <v>45968</v>
      </c>
      <c r="D290" t="inlineStr">
        <is>
          <t>ÖREBRO LÄN</t>
        </is>
      </c>
      <c r="E290" t="inlineStr">
        <is>
          <t>ÖREBRO</t>
        </is>
      </c>
      <c r="G290" t="n">
        <v>2.3</v>
      </c>
      <c r="H290" t="n">
        <v>0</v>
      </c>
      <c r="I290" t="n">
        <v>0</v>
      </c>
      <c r="J290" t="n">
        <v>0</v>
      </c>
      <c r="K290" t="n">
        <v>0</v>
      </c>
      <c r="L290" t="n">
        <v>0</v>
      </c>
      <c r="M290" t="n">
        <v>0</v>
      </c>
      <c r="N290" t="n">
        <v>0</v>
      </c>
      <c r="O290" t="n">
        <v>0</v>
      </c>
      <c r="P290" t="n">
        <v>0</v>
      </c>
      <c r="Q290" t="n">
        <v>0</v>
      </c>
      <c r="R290" s="2" t="inlineStr"/>
    </row>
    <row r="291" ht="15" customHeight="1">
      <c r="A291" t="inlineStr">
        <is>
          <t>A 31233-2025</t>
        </is>
      </c>
      <c r="B291" s="1" t="n">
        <v>45832.83341435185</v>
      </c>
      <c r="C291" s="1" t="n">
        <v>45968</v>
      </c>
      <c r="D291" t="inlineStr">
        <is>
          <t>ÖREBRO LÄN</t>
        </is>
      </c>
      <c r="E291" t="inlineStr">
        <is>
          <t>ÖREBRO</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14544-2023</t>
        </is>
      </c>
      <c r="B292" s="1" t="n">
        <v>45013</v>
      </c>
      <c r="C292" s="1" t="n">
        <v>45968</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71272-2021</t>
        </is>
      </c>
      <c r="B293" s="1" t="n">
        <v>44539.61571759259</v>
      </c>
      <c r="C293" s="1" t="n">
        <v>45968</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31237-2025</t>
        </is>
      </c>
      <c r="B294" s="1" t="n">
        <v>45832.84313657408</v>
      </c>
      <c r="C294" s="1" t="n">
        <v>45968</v>
      </c>
      <c r="D294" t="inlineStr">
        <is>
          <t>ÖREBRO LÄN</t>
        </is>
      </c>
      <c r="E294" t="inlineStr">
        <is>
          <t>ÖREBRO</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2069-2025</t>
        </is>
      </c>
      <c r="B295" s="1" t="n">
        <v>45672.56614583333</v>
      </c>
      <c r="C295" s="1" t="n">
        <v>45968</v>
      </c>
      <c r="D295" t="inlineStr">
        <is>
          <t>ÖREBRO LÄN</t>
        </is>
      </c>
      <c r="E295" t="inlineStr">
        <is>
          <t>ÖREBRO</t>
        </is>
      </c>
      <c r="G295" t="n">
        <v>3.8</v>
      </c>
      <c r="H295" t="n">
        <v>0</v>
      </c>
      <c r="I295" t="n">
        <v>0</v>
      </c>
      <c r="J295" t="n">
        <v>0</v>
      </c>
      <c r="K295" t="n">
        <v>0</v>
      </c>
      <c r="L295" t="n">
        <v>0</v>
      </c>
      <c r="M295" t="n">
        <v>0</v>
      </c>
      <c r="N295" t="n">
        <v>0</v>
      </c>
      <c r="O295" t="n">
        <v>0</v>
      </c>
      <c r="P295" t="n">
        <v>0</v>
      </c>
      <c r="Q295" t="n">
        <v>0</v>
      </c>
      <c r="R295" s="2" t="inlineStr"/>
    </row>
    <row r="296" ht="15" customHeight="1">
      <c r="A296" t="inlineStr">
        <is>
          <t>A 31066-2025</t>
        </is>
      </c>
      <c r="B296" s="1" t="n">
        <v>45832</v>
      </c>
      <c r="C296" s="1" t="n">
        <v>45968</v>
      </c>
      <c r="D296" t="inlineStr">
        <is>
          <t>ÖREBRO LÄN</t>
        </is>
      </c>
      <c r="E296" t="inlineStr">
        <is>
          <t>ÖREBRO</t>
        </is>
      </c>
      <c r="G296" t="n">
        <v>11.1</v>
      </c>
      <c r="H296" t="n">
        <v>0</v>
      </c>
      <c r="I296" t="n">
        <v>0</v>
      </c>
      <c r="J296" t="n">
        <v>0</v>
      </c>
      <c r="K296" t="n">
        <v>0</v>
      </c>
      <c r="L296" t="n">
        <v>0</v>
      </c>
      <c r="M296" t="n">
        <v>0</v>
      </c>
      <c r="N296" t="n">
        <v>0</v>
      </c>
      <c r="O296" t="n">
        <v>0</v>
      </c>
      <c r="P296" t="n">
        <v>0</v>
      </c>
      <c r="Q296" t="n">
        <v>0</v>
      </c>
      <c r="R296" s="2" t="inlineStr"/>
    </row>
    <row r="297" ht="15" customHeight="1">
      <c r="A297" t="inlineStr">
        <is>
          <t>A 58684-2023</t>
        </is>
      </c>
      <c r="B297" s="1" t="n">
        <v>45251</v>
      </c>
      <c r="C297" s="1" t="n">
        <v>45968</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3120-2022</t>
        </is>
      </c>
      <c r="B298" s="1" t="n">
        <v>44582</v>
      </c>
      <c r="C298" s="1" t="n">
        <v>45968</v>
      </c>
      <c r="D298" t="inlineStr">
        <is>
          <t>ÖREBRO LÄN</t>
        </is>
      </c>
      <c r="E298" t="inlineStr">
        <is>
          <t>ÖREBRO</t>
        </is>
      </c>
      <c r="G298" t="n">
        <v>0.6</v>
      </c>
      <c r="H298" t="n">
        <v>0</v>
      </c>
      <c r="I298" t="n">
        <v>0</v>
      </c>
      <c r="J298" t="n">
        <v>0</v>
      </c>
      <c r="K298" t="n">
        <v>0</v>
      </c>
      <c r="L298" t="n">
        <v>0</v>
      </c>
      <c r="M298" t="n">
        <v>0</v>
      </c>
      <c r="N298" t="n">
        <v>0</v>
      </c>
      <c r="O298" t="n">
        <v>0</v>
      </c>
      <c r="P298" t="n">
        <v>0</v>
      </c>
      <c r="Q298" t="n">
        <v>0</v>
      </c>
      <c r="R298" s="2" t="inlineStr"/>
    </row>
    <row r="299" ht="15" customHeight="1">
      <c r="A299" t="inlineStr">
        <is>
          <t>A 19388-2024</t>
        </is>
      </c>
      <c r="B299" s="1" t="n">
        <v>45429.37775462963</v>
      </c>
      <c r="C299" s="1" t="n">
        <v>45968</v>
      </c>
      <c r="D299" t="inlineStr">
        <is>
          <t>ÖREBRO LÄN</t>
        </is>
      </c>
      <c r="E299" t="inlineStr">
        <is>
          <t>ÖREBRO</t>
        </is>
      </c>
      <c r="G299" t="n">
        <v>4.3</v>
      </c>
      <c r="H299" t="n">
        <v>0</v>
      </c>
      <c r="I299" t="n">
        <v>0</v>
      </c>
      <c r="J299" t="n">
        <v>0</v>
      </c>
      <c r="K299" t="n">
        <v>0</v>
      </c>
      <c r="L299" t="n">
        <v>0</v>
      </c>
      <c r="M299" t="n">
        <v>0</v>
      </c>
      <c r="N299" t="n">
        <v>0</v>
      </c>
      <c r="O299" t="n">
        <v>0</v>
      </c>
      <c r="P299" t="n">
        <v>0</v>
      </c>
      <c r="Q299" t="n">
        <v>0</v>
      </c>
      <c r="R299" s="2" t="inlineStr"/>
    </row>
    <row r="300" ht="15" customHeight="1">
      <c r="A300" t="inlineStr">
        <is>
          <t>A 37771-2024</t>
        </is>
      </c>
      <c r="B300" s="1" t="n">
        <v>45542.31359953704</v>
      </c>
      <c r="C300" s="1" t="n">
        <v>45968</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58277-2022</t>
        </is>
      </c>
      <c r="B301" s="1" t="n">
        <v>44901.48108796297</v>
      </c>
      <c r="C301" s="1" t="n">
        <v>45968</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42518-2021</t>
        </is>
      </c>
      <c r="B302" s="1" t="n">
        <v>44427.81496527778</v>
      </c>
      <c r="C302" s="1" t="n">
        <v>45968</v>
      </c>
      <c r="D302" t="inlineStr">
        <is>
          <t>ÖREBRO LÄN</t>
        </is>
      </c>
      <c r="E302" t="inlineStr">
        <is>
          <t>ÖREBRO</t>
        </is>
      </c>
      <c r="G302" t="n">
        <v>4.5</v>
      </c>
      <c r="H302" t="n">
        <v>0</v>
      </c>
      <c r="I302" t="n">
        <v>0</v>
      </c>
      <c r="J302" t="n">
        <v>0</v>
      </c>
      <c r="K302" t="n">
        <v>0</v>
      </c>
      <c r="L302" t="n">
        <v>0</v>
      </c>
      <c r="M302" t="n">
        <v>0</v>
      </c>
      <c r="N302" t="n">
        <v>0</v>
      </c>
      <c r="O302" t="n">
        <v>0</v>
      </c>
      <c r="P302" t="n">
        <v>0</v>
      </c>
      <c r="Q302" t="n">
        <v>0</v>
      </c>
      <c r="R302" s="2" t="inlineStr"/>
    </row>
    <row r="303" ht="15" customHeight="1">
      <c r="A303" t="inlineStr">
        <is>
          <t>A 14524-2025</t>
        </is>
      </c>
      <c r="B303" s="1" t="n">
        <v>45741.64815972222</v>
      </c>
      <c r="C303" s="1" t="n">
        <v>45968</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32188-2025</t>
        </is>
      </c>
      <c r="B304" s="1" t="n">
        <v>45835.56965277778</v>
      </c>
      <c r="C304" s="1" t="n">
        <v>45968</v>
      </c>
      <c r="D304" t="inlineStr">
        <is>
          <t>ÖREBRO LÄN</t>
        </is>
      </c>
      <c r="E304" t="inlineStr">
        <is>
          <t>ÖREBRO</t>
        </is>
      </c>
      <c r="G304" t="n">
        <v>2.9</v>
      </c>
      <c r="H304" t="n">
        <v>0</v>
      </c>
      <c r="I304" t="n">
        <v>0</v>
      </c>
      <c r="J304" t="n">
        <v>0</v>
      </c>
      <c r="K304" t="n">
        <v>0</v>
      </c>
      <c r="L304" t="n">
        <v>0</v>
      </c>
      <c r="M304" t="n">
        <v>0</v>
      </c>
      <c r="N304" t="n">
        <v>0</v>
      </c>
      <c r="O304" t="n">
        <v>0</v>
      </c>
      <c r="P304" t="n">
        <v>0</v>
      </c>
      <c r="Q304" t="n">
        <v>0</v>
      </c>
      <c r="R304" s="2" t="inlineStr"/>
    </row>
    <row r="305" ht="15" customHeight="1">
      <c r="A305" t="inlineStr">
        <is>
          <t>A 32195-2025</t>
        </is>
      </c>
      <c r="B305" s="1" t="n">
        <v>45835.57407407407</v>
      </c>
      <c r="C305" s="1" t="n">
        <v>45968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40597-2021</t>
        </is>
      </c>
      <c r="B306" s="1" t="n">
        <v>44420</v>
      </c>
      <c r="C306" s="1" t="n">
        <v>45968</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32218-2025</t>
        </is>
      </c>
      <c r="B307" s="1" t="n">
        <v>45835.58880787037</v>
      </c>
      <c r="C307" s="1" t="n">
        <v>45968</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15354-2024</t>
        </is>
      </c>
      <c r="B308" s="1" t="n">
        <v>45400.85319444445</v>
      </c>
      <c r="C308" s="1" t="n">
        <v>45968</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41543-2024</t>
        </is>
      </c>
      <c r="B309" s="1" t="n">
        <v>45560</v>
      </c>
      <c r="C309" s="1" t="n">
        <v>45968</v>
      </c>
      <c r="D309" t="inlineStr">
        <is>
          <t>ÖREBRO LÄN</t>
        </is>
      </c>
      <c r="E309" t="inlineStr">
        <is>
          <t>ÖREBRO</t>
        </is>
      </c>
      <c r="G309" t="n">
        <v>2.8</v>
      </c>
      <c r="H309" t="n">
        <v>0</v>
      </c>
      <c r="I309" t="n">
        <v>0</v>
      </c>
      <c r="J309" t="n">
        <v>0</v>
      </c>
      <c r="K309" t="n">
        <v>0</v>
      </c>
      <c r="L309" t="n">
        <v>0</v>
      </c>
      <c r="M309" t="n">
        <v>0</v>
      </c>
      <c r="N309" t="n">
        <v>0</v>
      </c>
      <c r="O309" t="n">
        <v>0</v>
      </c>
      <c r="P309" t="n">
        <v>0</v>
      </c>
      <c r="Q309" t="n">
        <v>0</v>
      </c>
      <c r="R309" s="2" t="inlineStr"/>
    </row>
    <row r="310" ht="15" customHeight="1">
      <c r="A310" t="inlineStr">
        <is>
          <t>A 2318-2023</t>
        </is>
      </c>
      <c r="B310" s="1" t="n">
        <v>44942</v>
      </c>
      <c r="C310" s="1" t="n">
        <v>45968</v>
      </c>
      <c r="D310" t="inlineStr">
        <is>
          <t>ÖREBRO LÄN</t>
        </is>
      </c>
      <c r="E310" t="inlineStr">
        <is>
          <t>ÖREBRO</t>
        </is>
      </c>
      <c r="G310" t="n">
        <v>1.9</v>
      </c>
      <c r="H310" t="n">
        <v>0</v>
      </c>
      <c r="I310" t="n">
        <v>0</v>
      </c>
      <c r="J310" t="n">
        <v>0</v>
      </c>
      <c r="K310" t="n">
        <v>0</v>
      </c>
      <c r="L310" t="n">
        <v>0</v>
      </c>
      <c r="M310" t="n">
        <v>0</v>
      </c>
      <c r="N310" t="n">
        <v>0</v>
      </c>
      <c r="O310" t="n">
        <v>0</v>
      </c>
      <c r="P310" t="n">
        <v>0</v>
      </c>
      <c r="Q310" t="n">
        <v>0</v>
      </c>
      <c r="R310" s="2" t="inlineStr"/>
    </row>
    <row r="311" ht="15" customHeight="1">
      <c r="A311" t="inlineStr">
        <is>
          <t>A 20121-2024</t>
        </is>
      </c>
      <c r="B311" s="1" t="n">
        <v>45434</v>
      </c>
      <c r="C311" s="1" t="n">
        <v>45968</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20150-2024</t>
        </is>
      </c>
      <c r="B312" s="1" t="n">
        <v>45434.57969907407</v>
      </c>
      <c r="C312" s="1" t="n">
        <v>45968</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767-2024</t>
        </is>
      </c>
      <c r="B313" s="1" t="n">
        <v>45300.51892361111</v>
      </c>
      <c r="C313" s="1" t="n">
        <v>45968</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71275-2021</t>
        </is>
      </c>
      <c r="B314" s="1" t="n">
        <v>44539</v>
      </c>
      <c r="C314" s="1" t="n">
        <v>45968</v>
      </c>
      <c r="D314" t="inlineStr">
        <is>
          <t>ÖREBRO LÄN</t>
        </is>
      </c>
      <c r="E314" t="inlineStr">
        <is>
          <t>ÖREBRO</t>
        </is>
      </c>
      <c r="G314" t="n">
        <v>0.9</v>
      </c>
      <c r="H314" t="n">
        <v>0</v>
      </c>
      <c r="I314" t="n">
        <v>0</v>
      </c>
      <c r="J314" t="n">
        <v>0</v>
      </c>
      <c r="K314" t="n">
        <v>0</v>
      </c>
      <c r="L314" t="n">
        <v>0</v>
      </c>
      <c r="M314" t="n">
        <v>0</v>
      </c>
      <c r="N314" t="n">
        <v>0</v>
      </c>
      <c r="O314" t="n">
        <v>0</v>
      </c>
      <c r="P314" t="n">
        <v>0</v>
      </c>
      <c r="Q314" t="n">
        <v>0</v>
      </c>
      <c r="R314" s="2" t="inlineStr"/>
    </row>
    <row r="315" ht="15" customHeight="1">
      <c r="A315" t="inlineStr">
        <is>
          <t>A 71285-2021</t>
        </is>
      </c>
      <c r="B315" s="1" t="n">
        <v>44539.62236111111</v>
      </c>
      <c r="C315" s="1" t="n">
        <v>45968</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2658-2023</t>
        </is>
      </c>
      <c r="B316" s="1" t="n">
        <v>44944</v>
      </c>
      <c r="C316" s="1" t="n">
        <v>45968</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32904-2025</t>
        </is>
      </c>
      <c r="B317" s="1" t="n">
        <v>45839</v>
      </c>
      <c r="C317" s="1" t="n">
        <v>45968</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52441-2024</t>
        </is>
      </c>
      <c r="B318" s="1" t="n">
        <v>45609.48451388889</v>
      </c>
      <c r="C318" s="1" t="n">
        <v>45968</v>
      </c>
      <c r="D318" t="inlineStr">
        <is>
          <t>ÖREBRO LÄN</t>
        </is>
      </c>
      <c r="E318" t="inlineStr">
        <is>
          <t>ÖREBRO</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58611-2024</t>
        </is>
      </c>
      <c r="B319" s="1" t="n">
        <v>45635.55555555555</v>
      </c>
      <c r="C319" s="1" t="n">
        <v>45968</v>
      </c>
      <c r="D319" t="inlineStr">
        <is>
          <t>ÖREBRO LÄN</t>
        </is>
      </c>
      <c r="E319" t="inlineStr">
        <is>
          <t>ÖREBRO</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32426-2025</t>
        </is>
      </c>
      <c r="B320" s="1" t="n">
        <v>45838.36179398148</v>
      </c>
      <c r="C320" s="1" t="n">
        <v>45968</v>
      </c>
      <c r="D320" t="inlineStr">
        <is>
          <t>ÖREBRO LÄN</t>
        </is>
      </c>
      <c r="E320" t="inlineStr">
        <is>
          <t>ÖREBRO</t>
        </is>
      </c>
      <c r="G320" t="n">
        <v>1.1</v>
      </c>
      <c r="H320" t="n">
        <v>0</v>
      </c>
      <c r="I320" t="n">
        <v>0</v>
      </c>
      <c r="J320" t="n">
        <v>0</v>
      </c>
      <c r="K320" t="n">
        <v>0</v>
      </c>
      <c r="L320" t="n">
        <v>0</v>
      </c>
      <c r="M320" t="n">
        <v>0</v>
      </c>
      <c r="N320" t="n">
        <v>0</v>
      </c>
      <c r="O320" t="n">
        <v>0</v>
      </c>
      <c r="P320" t="n">
        <v>0</v>
      </c>
      <c r="Q320" t="n">
        <v>0</v>
      </c>
      <c r="R320" s="2" t="inlineStr"/>
    </row>
    <row r="321" ht="15" customHeight="1">
      <c r="A321" t="inlineStr">
        <is>
          <t>A 71288-2021</t>
        </is>
      </c>
      <c r="B321" s="1" t="n">
        <v>44539.62481481482</v>
      </c>
      <c r="C321" s="1" t="n">
        <v>45968</v>
      </c>
      <c r="D321" t="inlineStr">
        <is>
          <t>ÖREBRO LÄN</t>
        </is>
      </c>
      <c r="E321" t="inlineStr">
        <is>
          <t>ÖREBRO</t>
        </is>
      </c>
      <c r="G321" t="n">
        <v>3.9</v>
      </c>
      <c r="H321" t="n">
        <v>0</v>
      </c>
      <c r="I321" t="n">
        <v>0</v>
      </c>
      <c r="J321" t="n">
        <v>0</v>
      </c>
      <c r="K321" t="n">
        <v>0</v>
      </c>
      <c r="L321" t="n">
        <v>0</v>
      </c>
      <c r="M321" t="n">
        <v>0</v>
      </c>
      <c r="N321" t="n">
        <v>0</v>
      </c>
      <c r="O321" t="n">
        <v>0</v>
      </c>
      <c r="P321" t="n">
        <v>0</v>
      </c>
      <c r="Q321" t="n">
        <v>0</v>
      </c>
      <c r="R321" s="2" t="inlineStr"/>
    </row>
    <row r="322" ht="15" customHeight="1">
      <c r="A322" t="inlineStr">
        <is>
          <t>A 33191-2025</t>
        </is>
      </c>
      <c r="B322" s="1" t="n">
        <v>45840.6003587963</v>
      </c>
      <c r="C322" s="1" t="n">
        <v>45968</v>
      </c>
      <c r="D322" t="inlineStr">
        <is>
          <t>ÖREBRO LÄN</t>
        </is>
      </c>
      <c r="E322" t="inlineStr">
        <is>
          <t>ÖREBRO</t>
        </is>
      </c>
      <c r="G322" t="n">
        <v>2.6</v>
      </c>
      <c r="H322" t="n">
        <v>0</v>
      </c>
      <c r="I322" t="n">
        <v>0</v>
      </c>
      <c r="J322" t="n">
        <v>0</v>
      </c>
      <c r="K322" t="n">
        <v>0</v>
      </c>
      <c r="L322" t="n">
        <v>0</v>
      </c>
      <c r="M322" t="n">
        <v>0</v>
      </c>
      <c r="N322" t="n">
        <v>0</v>
      </c>
      <c r="O322" t="n">
        <v>0</v>
      </c>
      <c r="P322" t="n">
        <v>0</v>
      </c>
      <c r="Q322" t="n">
        <v>0</v>
      </c>
      <c r="R322" s="2" t="inlineStr"/>
    </row>
    <row r="323" ht="15" customHeight="1">
      <c r="A323" t="inlineStr">
        <is>
          <t>A 38075-2022</t>
        </is>
      </c>
      <c r="B323" s="1" t="n">
        <v>44811</v>
      </c>
      <c r="C323" s="1" t="n">
        <v>45968</v>
      </c>
      <c r="D323" t="inlineStr">
        <is>
          <t>ÖREBRO LÄN</t>
        </is>
      </c>
      <c r="E323" t="inlineStr">
        <is>
          <t>ÖREBRO</t>
        </is>
      </c>
      <c r="G323" t="n">
        <v>0.2</v>
      </c>
      <c r="H323" t="n">
        <v>0</v>
      </c>
      <c r="I323" t="n">
        <v>0</v>
      </c>
      <c r="J323" t="n">
        <v>0</v>
      </c>
      <c r="K323" t="n">
        <v>0</v>
      </c>
      <c r="L323" t="n">
        <v>0</v>
      </c>
      <c r="M323" t="n">
        <v>0</v>
      </c>
      <c r="N323" t="n">
        <v>0</v>
      </c>
      <c r="O323" t="n">
        <v>0</v>
      </c>
      <c r="P323" t="n">
        <v>0</v>
      </c>
      <c r="Q323" t="n">
        <v>0</v>
      </c>
      <c r="R323" s="2" t="inlineStr"/>
    </row>
    <row r="324" ht="15" customHeight="1">
      <c r="A324" t="inlineStr">
        <is>
          <t>A 45237-2023</t>
        </is>
      </c>
      <c r="B324" s="1" t="n">
        <v>45191</v>
      </c>
      <c r="C324" s="1" t="n">
        <v>45968</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19831-2021</t>
        </is>
      </c>
      <c r="B325" s="1" t="n">
        <v>44313</v>
      </c>
      <c r="C325" s="1" t="n">
        <v>45968</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5133-2024</t>
        </is>
      </c>
      <c r="B326" s="1" t="n">
        <v>45330</v>
      </c>
      <c r="C326" s="1" t="n">
        <v>45968</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58219-2024</t>
        </is>
      </c>
      <c r="B327" s="1" t="n">
        <v>45632</v>
      </c>
      <c r="C327" s="1" t="n">
        <v>45968</v>
      </c>
      <c r="D327" t="inlineStr">
        <is>
          <t>ÖREBRO LÄN</t>
        </is>
      </c>
      <c r="E327" t="inlineStr">
        <is>
          <t>ÖREBRO</t>
        </is>
      </c>
      <c r="G327" t="n">
        <v>1.1</v>
      </c>
      <c r="H327" t="n">
        <v>0</v>
      </c>
      <c r="I327" t="n">
        <v>0</v>
      </c>
      <c r="J327" t="n">
        <v>0</v>
      </c>
      <c r="K327" t="n">
        <v>0</v>
      </c>
      <c r="L327" t="n">
        <v>0</v>
      </c>
      <c r="M327" t="n">
        <v>0</v>
      </c>
      <c r="N327" t="n">
        <v>0</v>
      </c>
      <c r="O327" t="n">
        <v>0</v>
      </c>
      <c r="P327" t="n">
        <v>0</v>
      </c>
      <c r="Q327" t="n">
        <v>0</v>
      </c>
      <c r="R327" s="2" t="inlineStr"/>
    </row>
    <row r="328" ht="15" customHeight="1">
      <c r="A328" t="inlineStr">
        <is>
          <t>A 11382-2023</t>
        </is>
      </c>
      <c r="B328" s="1" t="n">
        <v>44993.45635416666</v>
      </c>
      <c r="C328" s="1" t="n">
        <v>45968</v>
      </c>
      <c r="D328" t="inlineStr">
        <is>
          <t>ÖREBRO LÄN</t>
        </is>
      </c>
      <c r="E328" t="inlineStr">
        <is>
          <t>ÖREBRO</t>
        </is>
      </c>
      <c r="G328" t="n">
        <v>3.3</v>
      </c>
      <c r="H328" t="n">
        <v>0</v>
      </c>
      <c r="I328" t="n">
        <v>0</v>
      </c>
      <c r="J328" t="n">
        <v>0</v>
      </c>
      <c r="K328" t="n">
        <v>0</v>
      </c>
      <c r="L328" t="n">
        <v>0</v>
      </c>
      <c r="M328" t="n">
        <v>0</v>
      </c>
      <c r="N328" t="n">
        <v>0</v>
      </c>
      <c r="O328" t="n">
        <v>0</v>
      </c>
      <c r="P328" t="n">
        <v>0</v>
      </c>
      <c r="Q328" t="n">
        <v>0</v>
      </c>
      <c r="R328" s="2" t="inlineStr"/>
    </row>
    <row r="329" ht="15" customHeight="1">
      <c r="A329" t="inlineStr">
        <is>
          <t>A 52016-2024</t>
        </is>
      </c>
      <c r="B329" s="1" t="n">
        <v>45607.81917824074</v>
      </c>
      <c r="C329" s="1" t="n">
        <v>45968</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27112-2023</t>
        </is>
      </c>
      <c r="B330" s="1" t="n">
        <v>45096</v>
      </c>
      <c r="C330" s="1" t="n">
        <v>45968</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16739-2022</t>
        </is>
      </c>
      <c r="B331" s="1" t="n">
        <v>44673</v>
      </c>
      <c r="C331" s="1" t="n">
        <v>45968</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8331-2021</t>
        </is>
      </c>
      <c r="B332" s="1" t="n">
        <v>44244</v>
      </c>
      <c r="C332" s="1" t="n">
        <v>45968</v>
      </c>
      <c r="D332" t="inlineStr">
        <is>
          <t>ÖREBRO LÄN</t>
        </is>
      </c>
      <c r="E332" t="inlineStr">
        <is>
          <t>ÖREBRO</t>
        </is>
      </c>
      <c r="G332" t="n">
        <v>9.1</v>
      </c>
      <c r="H332" t="n">
        <v>0</v>
      </c>
      <c r="I332" t="n">
        <v>0</v>
      </c>
      <c r="J332" t="n">
        <v>0</v>
      </c>
      <c r="K332" t="n">
        <v>0</v>
      </c>
      <c r="L332" t="n">
        <v>0</v>
      </c>
      <c r="M332" t="n">
        <v>0</v>
      </c>
      <c r="N332" t="n">
        <v>0</v>
      </c>
      <c r="O332" t="n">
        <v>0</v>
      </c>
      <c r="P332" t="n">
        <v>0</v>
      </c>
      <c r="Q332" t="n">
        <v>0</v>
      </c>
      <c r="R332" s="2" t="inlineStr"/>
    </row>
    <row r="333" ht="15" customHeight="1">
      <c r="A333" t="inlineStr">
        <is>
          <t>A 13592-2023</t>
        </is>
      </c>
      <c r="B333" s="1" t="n">
        <v>45006.56870370371</v>
      </c>
      <c r="C333" s="1" t="n">
        <v>45968</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40656-2023</t>
        </is>
      </c>
      <c r="B334" s="1" t="n">
        <v>45170</v>
      </c>
      <c r="C334" s="1" t="n">
        <v>45968</v>
      </c>
      <c r="D334" t="inlineStr">
        <is>
          <t>ÖREBRO LÄN</t>
        </is>
      </c>
      <c r="E334" t="inlineStr">
        <is>
          <t>ÖREBRO</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52477-2024</t>
        </is>
      </c>
      <c r="B335" s="1" t="n">
        <v>45609</v>
      </c>
      <c r="C335" s="1" t="n">
        <v>45968</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12245-2023</t>
        </is>
      </c>
      <c r="B336" s="1" t="n">
        <v>44998.64402777778</v>
      </c>
      <c r="C336" s="1" t="n">
        <v>45968</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10368-2021</t>
        </is>
      </c>
      <c r="B337" s="1" t="n">
        <v>44257</v>
      </c>
      <c r="C337" s="1" t="n">
        <v>45968</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4284-2025</t>
        </is>
      </c>
      <c r="B338" s="1" t="n">
        <v>45685</v>
      </c>
      <c r="C338" s="1" t="n">
        <v>45968</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2771-2023</t>
        </is>
      </c>
      <c r="B339" s="1" t="n">
        <v>44944.64704861111</v>
      </c>
      <c r="C339" s="1" t="n">
        <v>45968</v>
      </c>
      <c r="D339" t="inlineStr">
        <is>
          <t>ÖREBRO LÄN</t>
        </is>
      </c>
      <c r="E339" t="inlineStr">
        <is>
          <t>ÖREBRO</t>
        </is>
      </c>
      <c r="G339" t="n">
        <v>15.4</v>
      </c>
      <c r="H339" t="n">
        <v>0</v>
      </c>
      <c r="I339" t="n">
        <v>0</v>
      </c>
      <c r="J339" t="n">
        <v>0</v>
      </c>
      <c r="K339" t="n">
        <v>0</v>
      </c>
      <c r="L339" t="n">
        <v>0</v>
      </c>
      <c r="M339" t="n">
        <v>0</v>
      </c>
      <c r="N339" t="n">
        <v>0</v>
      </c>
      <c r="O339" t="n">
        <v>0</v>
      </c>
      <c r="P339" t="n">
        <v>0</v>
      </c>
      <c r="Q339" t="n">
        <v>0</v>
      </c>
      <c r="R339" s="2" t="inlineStr"/>
    </row>
    <row r="340" ht="15" customHeight="1">
      <c r="A340" t="inlineStr">
        <is>
          <t>A 2076-2025</t>
        </is>
      </c>
      <c r="B340" s="1" t="n">
        <v>45672</v>
      </c>
      <c r="C340" s="1" t="n">
        <v>45968</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48687-2024</t>
        </is>
      </c>
      <c r="B341" s="1" t="n">
        <v>45593.49899305555</v>
      </c>
      <c r="C341" s="1" t="n">
        <v>45968</v>
      </c>
      <c r="D341" t="inlineStr">
        <is>
          <t>ÖREBRO LÄN</t>
        </is>
      </c>
      <c r="E341" t="inlineStr">
        <is>
          <t>ÖREBRO</t>
        </is>
      </c>
      <c r="F341" t="inlineStr">
        <is>
          <t>Övriga Aktiebolag</t>
        </is>
      </c>
      <c r="G341" t="n">
        <v>3.8</v>
      </c>
      <c r="H341" t="n">
        <v>0</v>
      </c>
      <c r="I341" t="n">
        <v>0</v>
      </c>
      <c r="J341" t="n">
        <v>0</v>
      </c>
      <c r="K341" t="n">
        <v>0</v>
      </c>
      <c r="L341" t="n">
        <v>0</v>
      </c>
      <c r="M341" t="n">
        <v>0</v>
      </c>
      <c r="N341" t="n">
        <v>0</v>
      </c>
      <c r="O341" t="n">
        <v>0</v>
      </c>
      <c r="P341" t="n">
        <v>0</v>
      </c>
      <c r="Q341" t="n">
        <v>0</v>
      </c>
      <c r="R341" s="2" t="inlineStr"/>
    </row>
    <row r="342" ht="15" customHeight="1">
      <c r="A342" t="inlineStr">
        <is>
          <t>A 8008-2024</t>
        </is>
      </c>
      <c r="B342" s="1" t="n">
        <v>45350.6794212963</v>
      </c>
      <c r="C342" s="1" t="n">
        <v>45968</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46834-2022</t>
        </is>
      </c>
      <c r="B343" s="1" t="n">
        <v>44851</v>
      </c>
      <c r="C343" s="1" t="n">
        <v>45968</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3789-2023</t>
        </is>
      </c>
      <c r="B344" s="1" t="n">
        <v>44951</v>
      </c>
      <c r="C344" s="1" t="n">
        <v>45968</v>
      </c>
      <c r="D344" t="inlineStr">
        <is>
          <t>ÖREBRO LÄN</t>
        </is>
      </c>
      <c r="E344" t="inlineStr">
        <is>
          <t>ÖREBRO</t>
        </is>
      </c>
      <c r="G344" t="n">
        <v>7.5</v>
      </c>
      <c r="H344" t="n">
        <v>0</v>
      </c>
      <c r="I344" t="n">
        <v>0</v>
      </c>
      <c r="J344" t="n">
        <v>0</v>
      </c>
      <c r="K344" t="n">
        <v>0</v>
      </c>
      <c r="L344" t="n">
        <v>0</v>
      </c>
      <c r="M344" t="n">
        <v>0</v>
      </c>
      <c r="N344" t="n">
        <v>0</v>
      </c>
      <c r="O344" t="n">
        <v>0</v>
      </c>
      <c r="P344" t="n">
        <v>0</v>
      </c>
      <c r="Q344" t="n">
        <v>0</v>
      </c>
      <c r="R344" s="2" t="inlineStr"/>
    </row>
    <row r="345" ht="15" customHeight="1">
      <c r="A345" t="inlineStr">
        <is>
          <t>A 58216-2024</t>
        </is>
      </c>
      <c r="B345" s="1" t="n">
        <v>45632</v>
      </c>
      <c r="C345" s="1" t="n">
        <v>45968</v>
      </c>
      <c r="D345" t="inlineStr">
        <is>
          <t>ÖREBRO LÄN</t>
        </is>
      </c>
      <c r="E345" t="inlineStr">
        <is>
          <t>ÖREBRO</t>
        </is>
      </c>
      <c r="G345" t="n">
        <v>1.9</v>
      </c>
      <c r="H345" t="n">
        <v>0</v>
      </c>
      <c r="I345" t="n">
        <v>0</v>
      </c>
      <c r="J345" t="n">
        <v>0</v>
      </c>
      <c r="K345" t="n">
        <v>0</v>
      </c>
      <c r="L345" t="n">
        <v>0</v>
      </c>
      <c r="M345" t="n">
        <v>0</v>
      </c>
      <c r="N345" t="n">
        <v>0</v>
      </c>
      <c r="O345" t="n">
        <v>0</v>
      </c>
      <c r="P345" t="n">
        <v>0</v>
      </c>
      <c r="Q345" t="n">
        <v>0</v>
      </c>
      <c r="R345" s="2" t="inlineStr"/>
    </row>
    <row r="346" ht="15" customHeight="1">
      <c r="A346" t="inlineStr">
        <is>
          <t>A 3763-2025</t>
        </is>
      </c>
      <c r="B346" s="1" t="n">
        <v>45681</v>
      </c>
      <c r="C346" s="1" t="n">
        <v>45968</v>
      </c>
      <c r="D346" t="inlineStr">
        <is>
          <t>ÖREBRO LÄN</t>
        </is>
      </c>
      <c r="E346" t="inlineStr">
        <is>
          <t>ÖREBRO</t>
        </is>
      </c>
      <c r="G346" t="n">
        <v>10.1</v>
      </c>
      <c r="H346" t="n">
        <v>0</v>
      </c>
      <c r="I346" t="n">
        <v>0</v>
      </c>
      <c r="J346" t="n">
        <v>0</v>
      </c>
      <c r="K346" t="n">
        <v>0</v>
      </c>
      <c r="L346" t="n">
        <v>0</v>
      </c>
      <c r="M346" t="n">
        <v>0</v>
      </c>
      <c r="N346" t="n">
        <v>0</v>
      </c>
      <c r="O346" t="n">
        <v>0</v>
      </c>
      <c r="P346" t="n">
        <v>0</v>
      </c>
      <c r="Q346" t="n">
        <v>0</v>
      </c>
      <c r="R346" s="2" t="inlineStr"/>
    </row>
    <row r="347" ht="15" customHeight="1">
      <c r="A347" t="inlineStr">
        <is>
          <t>A 57869-2024</t>
        </is>
      </c>
      <c r="B347" s="1" t="n">
        <v>45631.44207175926</v>
      </c>
      <c r="C347" s="1" t="n">
        <v>45968</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5324-2024</t>
        </is>
      </c>
      <c r="B348" s="1" t="n">
        <v>45331</v>
      </c>
      <c r="C348" s="1" t="n">
        <v>45968</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11565-2023</t>
        </is>
      </c>
      <c r="B349" s="1" t="n">
        <v>44994</v>
      </c>
      <c r="C349" s="1" t="n">
        <v>45968</v>
      </c>
      <c r="D349" t="inlineStr">
        <is>
          <t>ÖREBRO LÄN</t>
        </is>
      </c>
      <c r="E349" t="inlineStr">
        <is>
          <t>ÖREBRO</t>
        </is>
      </c>
      <c r="G349" t="n">
        <v>4.7</v>
      </c>
      <c r="H349" t="n">
        <v>0</v>
      </c>
      <c r="I349" t="n">
        <v>0</v>
      </c>
      <c r="J349" t="n">
        <v>0</v>
      </c>
      <c r="K349" t="n">
        <v>0</v>
      </c>
      <c r="L349" t="n">
        <v>0</v>
      </c>
      <c r="M349" t="n">
        <v>0</v>
      </c>
      <c r="N349" t="n">
        <v>0</v>
      </c>
      <c r="O349" t="n">
        <v>0</v>
      </c>
      <c r="P349" t="n">
        <v>0</v>
      </c>
      <c r="Q349" t="n">
        <v>0</v>
      </c>
      <c r="R349" s="2" t="inlineStr"/>
    </row>
    <row r="350" ht="15" customHeight="1">
      <c r="A350" t="inlineStr">
        <is>
          <t>A 35062-2025</t>
        </is>
      </c>
      <c r="B350" s="1" t="n">
        <v>45852</v>
      </c>
      <c r="C350" s="1" t="n">
        <v>45968</v>
      </c>
      <c r="D350" t="inlineStr">
        <is>
          <t>ÖREBRO LÄN</t>
        </is>
      </c>
      <c r="E350" t="inlineStr">
        <is>
          <t>ÖREBRO</t>
        </is>
      </c>
      <c r="G350" t="n">
        <v>2.8</v>
      </c>
      <c r="H350" t="n">
        <v>0</v>
      </c>
      <c r="I350" t="n">
        <v>0</v>
      </c>
      <c r="J350" t="n">
        <v>0</v>
      </c>
      <c r="K350" t="n">
        <v>0</v>
      </c>
      <c r="L350" t="n">
        <v>0</v>
      </c>
      <c r="M350" t="n">
        <v>0</v>
      </c>
      <c r="N350" t="n">
        <v>0</v>
      </c>
      <c r="O350" t="n">
        <v>0</v>
      </c>
      <c r="P350" t="n">
        <v>0</v>
      </c>
      <c r="Q350" t="n">
        <v>0</v>
      </c>
      <c r="R350" s="2" t="inlineStr"/>
    </row>
    <row r="351" ht="15" customHeight="1">
      <c r="A351" t="inlineStr">
        <is>
          <t>A 1647-2024</t>
        </is>
      </c>
      <c r="B351" s="1" t="n">
        <v>45306</v>
      </c>
      <c r="C351" s="1" t="n">
        <v>45968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31906-2023</t>
        </is>
      </c>
      <c r="B352" s="1" t="n">
        <v>45118.8353125</v>
      </c>
      <c r="C352" s="1" t="n">
        <v>45968</v>
      </c>
      <c r="D352" t="inlineStr">
        <is>
          <t>ÖREBRO LÄN</t>
        </is>
      </c>
      <c r="E352" t="inlineStr">
        <is>
          <t>ÖREBRO</t>
        </is>
      </c>
      <c r="G352" t="n">
        <v>9</v>
      </c>
      <c r="H352" t="n">
        <v>0</v>
      </c>
      <c r="I352" t="n">
        <v>0</v>
      </c>
      <c r="J352" t="n">
        <v>0</v>
      </c>
      <c r="K352" t="n">
        <v>0</v>
      </c>
      <c r="L352" t="n">
        <v>0</v>
      </c>
      <c r="M352" t="n">
        <v>0</v>
      </c>
      <c r="N352" t="n">
        <v>0</v>
      </c>
      <c r="O352" t="n">
        <v>0</v>
      </c>
      <c r="P352" t="n">
        <v>0</v>
      </c>
      <c r="Q352" t="n">
        <v>0</v>
      </c>
      <c r="R352" s="2" t="inlineStr"/>
    </row>
    <row r="353" ht="15" customHeight="1">
      <c r="A353" t="inlineStr">
        <is>
          <t>A 18360-2024</t>
        </is>
      </c>
      <c r="B353" s="1" t="n">
        <v>45422</v>
      </c>
      <c r="C353" s="1" t="n">
        <v>45968</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16676-2025</t>
        </is>
      </c>
      <c r="B354" s="1" t="n">
        <v>45754.44658564815</v>
      </c>
      <c r="C354" s="1" t="n">
        <v>45968</v>
      </c>
      <c r="D354" t="inlineStr">
        <is>
          <t>ÖREBRO LÄN</t>
        </is>
      </c>
      <c r="E354" t="inlineStr">
        <is>
          <t>ÖREBRO</t>
        </is>
      </c>
      <c r="G354" t="n">
        <v>5.8</v>
      </c>
      <c r="H354" t="n">
        <v>0</v>
      </c>
      <c r="I354" t="n">
        <v>0</v>
      </c>
      <c r="J354" t="n">
        <v>0</v>
      </c>
      <c r="K354" t="n">
        <v>0</v>
      </c>
      <c r="L354" t="n">
        <v>0</v>
      </c>
      <c r="M354" t="n">
        <v>0</v>
      </c>
      <c r="N354" t="n">
        <v>0</v>
      </c>
      <c r="O354" t="n">
        <v>0</v>
      </c>
      <c r="P354" t="n">
        <v>0</v>
      </c>
      <c r="Q354" t="n">
        <v>0</v>
      </c>
      <c r="R354" s="2" t="inlineStr"/>
    </row>
    <row r="355" ht="15" customHeight="1">
      <c r="A355" t="inlineStr">
        <is>
          <t>A 31326-2024</t>
        </is>
      </c>
      <c r="B355" s="1" t="n">
        <v>45504.5934375</v>
      </c>
      <c r="C355" s="1" t="n">
        <v>45968</v>
      </c>
      <c r="D355" t="inlineStr">
        <is>
          <t>ÖREBRO LÄN</t>
        </is>
      </c>
      <c r="E355" t="inlineStr">
        <is>
          <t>ÖREBRO</t>
        </is>
      </c>
      <c r="G355" t="n">
        <v>6.4</v>
      </c>
      <c r="H355" t="n">
        <v>0</v>
      </c>
      <c r="I355" t="n">
        <v>0</v>
      </c>
      <c r="J355" t="n">
        <v>0</v>
      </c>
      <c r="K355" t="n">
        <v>0</v>
      </c>
      <c r="L355" t="n">
        <v>0</v>
      </c>
      <c r="M355" t="n">
        <v>0</v>
      </c>
      <c r="N355" t="n">
        <v>0</v>
      </c>
      <c r="O355" t="n">
        <v>0</v>
      </c>
      <c r="P355" t="n">
        <v>0</v>
      </c>
      <c r="Q355" t="n">
        <v>0</v>
      </c>
      <c r="R355" s="2" t="inlineStr"/>
    </row>
    <row r="356" ht="15" customHeight="1">
      <c r="A356" t="inlineStr">
        <is>
          <t>A 5357-2024</t>
        </is>
      </c>
      <c r="B356" s="1" t="n">
        <v>45331</v>
      </c>
      <c r="C356" s="1" t="n">
        <v>45968</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70719-2021</t>
        </is>
      </c>
      <c r="B357" s="1" t="n">
        <v>44537</v>
      </c>
      <c r="C357" s="1" t="n">
        <v>45968</v>
      </c>
      <c r="D357" t="inlineStr">
        <is>
          <t>ÖREBRO LÄN</t>
        </is>
      </c>
      <c r="E357" t="inlineStr">
        <is>
          <t>ÖREBRO</t>
        </is>
      </c>
      <c r="G357" t="n">
        <v>4.3</v>
      </c>
      <c r="H357" t="n">
        <v>0</v>
      </c>
      <c r="I357" t="n">
        <v>0</v>
      </c>
      <c r="J357" t="n">
        <v>0</v>
      </c>
      <c r="K357" t="n">
        <v>0</v>
      </c>
      <c r="L357" t="n">
        <v>0</v>
      </c>
      <c r="M357" t="n">
        <v>0</v>
      </c>
      <c r="N357" t="n">
        <v>0</v>
      </c>
      <c r="O357" t="n">
        <v>0</v>
      </c>
      <c r="P357" t="n">
        <v>0</v>
      </c>
      <c r="Q357" t="n">
        <v>0</v>
      </c>
      <c r="R357" s="2" t="inlineStr"/>
    </row>
    <row r="358" ht="15" customHeight="1">
      <c r="A358" t="inlineStr">
        <is>
          <t>A 57243-2022</t>
        </is>
      </c>
      <c r="B358" s="1" t="n">
        <v>44895.71835648148</v>
      </c>
      <c r="C358" s="1" t="n">
        <v>45968</v>
      </c>
      <c r="D358" t="inlineStr">
        <is>
          <t>ÖREBRO LÄN</t>
        </is>
      </c>
      <c r="E358" t="inlineStr">
        <is>
          <t>ÖREBRO</t>
        </is>
      </c>
      <c r="G358" t="n">
        <v>6</v>
      </c>
      <c r="H358" t="n">
        <v>0</v>
      </c>
      <c r="I358" t="n">
        <v>0</v>
      </c>
      <c r="J358" t="n">
        <v>0</v>
      </c>
      <c r="K358" t="n">
        <v>0</v>
      </c>
      <c r="L358" t="n">
        <v>0</v>
      </c>
      <c r="M358" t="n">
        <v>0</v>
      </c>
      <c r="N358" t="n">
        <v>0</v>
      </c>
      <c r="O358" t="n">
        <v>0</v>
      </c>
      <c r="P358" t="n">
        <v>0</v>
      </c>
      <c r="Q358" t="n">
        <v>0</v>
      </c>
      <c r="R358" s="2" t="inlineStr"/>
    </row>
    <row r="359" ht="15" customHeight="1">
      <c r="A359" t="inlineStr">
        <is>
          <t>A 28821-2025</t>
        </is>
      </c>
      <c r="B359" s="1" t="n">
        <v>45820</v>
      </c>
      <c r="C359" s="1" t="n">
        <v>45968</v>
      </c>
      <c r="D359" t="inlineStr">
        <is>
          <t>ÖREBRO LÄN</t>
        </is>
      </c>
      <c r="E359" t="inlineStr">
        <is>
          <t>ÖREBRO</t>
        </is>
      </c>
      <c r="G359" t="n">
        <v>12.6</v>
      </c>
      <c r="H359" t="n">
        <v>0</v>
      </c>
      <c r="I359" t="n">
        <v>0</v>
      </c>
      <c r="J359" t="n">
        <v>0</v>
      </c>
      <c r="K359" t="n">
        <v>0</v>
      </c>
      <c r="L359" t="n">
        <v>0</v>
      </c>
      <c r="M359" t="n">
        <v>0</v>
      </c>
      <c r="N359" t="n">
        <v>0</v>
      </c>
      <c r="O359" t="n">
        <v>0</v>
      </c>
      <c r="P359" t="n">
        <v>0</v>
      </c>
      <c r="Q359" t="n">
        <v>0</v>
      </c>
      <c r="R359" s="2" t="inlineStr"/>
    </row>
    <row r="360" ht="15" customHeight="1">
      <c r="A360" t="inlineStr">
        <is>
          <t>A 16694-2025</t>
        </is>
      </c>
      <c r="B360" s="1" t="n">
        <v>45754.46480324074</v>
      </c>
      <c r="C360" s="1" t="n">
        <v>45968</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30374-2023</t>
        </is>
      </c>
      <c r="B361" s="1" t="n">
        <v>45111</v>
      </c>
      <c r="C361" s="1" t="n">
        <v>45968</v>
      </c>
      <c r="D361" t="inlineStr">
        <is>
          <t>ÖREBRO LÄN</t>
        </is>
      </c>
      <c r="E361" t="inlineStr">
        <is>
          <t>ÖREBRO</t>
        </is>
      </c>
      <c r="F361" t="inlineStr">
        <is>
          <t>Övriga Aktiebolag</t>
        </is>
      </c>
      <c r="G361" t="n">
        <v>2.3</v>
      </c>
      <c r="H361" t="n">
        <v>0</v>
      </c>
      <c r="I361" t="n">
        <v>0</v>
      </c>
      <c r="J361" t="n">
        <v>0</v>
      </c>
      <c r="K361" t="n">
        <v>0</v>
      </c>
      <c r="L361" t="n">
        <v>0</v>
      </c>
      <c r="M361" t="n">
        <v>0</v>
      </c>
      <c r="N361" t="n">
        <v>0</v>
      </c>
      <c r="O361" t="n">
        <v>0</v>
      </c>
      <c r="P361" t="n">
        <v>0</v>
      </c>
      <c r="Q361" t="n">
        <v>0</v>
      </c>
      <c r="R361" s="2" t="inlineStr"/>
    </row>
    <row r="362" ht="15" customHeight="1">
      <c r="A362" t="inlineStr">
        <is>
          <t>A 38898-2023</t>
        </is>
      </c>
      <c r="B362" s="1" t="n">
        <v>45163</v>
      </c>
      <c r="C362" s="1" t="n">
        <v>45968</v>
      </c>
      <c r="D362" t="inlineStr">
        <is>
          <t>ÖREBRO LÄN</t>
        </is>
      </c>
      <c r="E362" t="inlineStr">
        <is>
          <t>ÖREBRO</t>
        </is>
      </c>
      <c r="G362" t="n">
        <v>5.1</v>
      </c>
      <c r="H362" t="n">
        <v>0</v>
      </c>
      <c r="I362" t="n">
        <v>0</v>
      </c>
      <c r="J362" t="n">
        <v>0</v>
      </c>
      <c r="K362" t="n">
        <v>0</v>
      </c>
      <c r="L362" t="n">
        <v>0</v>
      </c>
      <c r="M362" t="n">
        <v>0</v>
      </c>
      <c r="N362" t="n">
        <v>0</v>
      </c>
      <c r="O362" t="n">
        <v>0</v>
      </c>
      <c r="P362" t="n">
        <v>0</v>
      </c>
      <c r="Q362" t="n">
        <v>0</v>
      </c>
      <c r="R362" s="2" t="inlineStr"/>
    </row>
    <row r="363" ht="15" customHeight="1">
      <c r="A363" t="inlineStr">
        <is>
          <t>A 5764-2022</t>
        </is>
      </c>
      <c r="B363" s="1" t="n">
        <v>44596</v>
      </c>
      <c r="C363" s="1" t="n">
        <v>45968</v>
      </c>
      <c r="D363" t="inlineStr">
        <is>
          <t>ÖREBRO LÄN</t>
        </is>
      </c>
      <c r="E363" t="inlineStr">
        <is>
          <t>ÖREBRO</t>
        </is>
      </c>
      <c r="G363" t="n">
        <v>3.5</v>
      </c>
      <c r="H363" t="n">
        <v>0</v>
      </c>
      <c r="I363" t="n">
        <v>0</v>
      </c>
      <c r="J363" t="n">
        <v>0</v>
      </c>
      <c r="K363" t="n">
        <v>0</v>
      </c>
      <c r="L363" t="n">
        <v>0</v>
      </c>
      <c r="M363" t="n">
        <v>0</v>
      </c>
      <c r="N363" t="n">
        <v>0</v>
      </c>
      <c r="O363" t="n">
        <v>0</v>
      </c>
      <c r="P363" t="n">
        <v>0</v>
      </c>
      <c r="Q363" t="n">
        <v>0</v>
      </c>
      <c r="R363" s="2" t="inlineStr"/>
    </row>
    <row r="364" ht="15" customHeight="1">
      <c r="A364" t="inlineStr">
        <is>
          <t>A 21036-2024</t>
        </is>
      </c>
      <c r="B364" s="1" t="n">
        <v>45439.65954861111</v>
      </c>
      <c r="C364" s="1" t="n">
        <v>45968</v>
      </c>
      <c r="D364" t="inlineStr">
        <is>
          <t>ÖREBRO LÄN</t>
        </is>
      </c>
      <c r="E364" t="inlineStr">
        <is>
          <t>ÖREBRO</t>
        </is>
      </c>
      <c r="F364" t="inlineStr">
        <is>
          <t>Övriga Aktiebolag</t>
        </is>
      </c>
      <c r="G364" t="n">
        <v>5.7</v>
      </c>
      <c r="H364" t="n">
        <v>0</v>
      </c>
      <c r="I364" t="n">
        <v>0</v>
      </c>
      <c r="J364" t="n">
        <v>0</v>
      </c>
      <c r="K364" t="n">
        <v>0</v>
      </c>
      <c r="L364" t="n">
        <v>0</v>
      </c>
      <c r="M364" t="n">
        <v>0</v>
      </c>
      <c r="N364" t="n">
        <v>0</v>
      </c>
      <c r="O364" t="n">
        <v>0</v>
      </c>
      <c r="P364" t="n">
        <v>0</v>
      </c>
      <c r="Q364" t="n">
        <v>0</v>
      </c>
      <c r="R364" s="2" t="inlineStr"/>
    </row>
    <row r="365" ht="15" customHeight="1">
      <c r="A365" t="inlineStr">
        <is>
          <t>A 35637-2025</t>
        </is>
      </c>
      <c r="B365" s="1" t="n">
        <v>45859.46859953704</v>
      </c>
      <c r="C365" s="1" t="n">
        <v>45968</v>
      </c>
      <c r="D365" t="inlineStr">
        <is>
          <t>ÖREBRO LÄN</t>
        </is>
      </c>
      <c r="E365" t="inlineStr">
        <is>
          <t>ÖREBRO</t>
        </is>
      </c>
      <c r="G365" t="n">
        <v>2.1</v>
      </c>
      <c r="H365" t="n">
        <v>0</v>
      </c>
      <c r="I365" t="n">
        <v>0</v>
      </c>
      <c r="J365" t="n">
        <v>0</v>
      </c>
      <c r="K365" t="n">
        <v>0</v>
      </c>
      <c r="L365" t="n">
        <v>0</v>
      </c>
      <c r="M365" t="n">
        <v>0</v>
      </c>
      <c r="N365" t="n">
        <v>0</v>
      </c>
      <c r="O365" t="n">
        <v>0</v>
      </c>
      <c r="P365" t="n">
        <v>0</v>
      </c>
      <c r="Q365" t="n">
        <v>0</v>
      </c>
      <c r="R365" s="2" t="inlineStr"/>
    </row>
    <row r="366" ht="15" customHeight="1">
      <c r="A366" t="inlineStr">
        <is>
          <t>A 40051-2024</t>
        </is>
      </c>
      <c r="B366" s="1" t="n">
        <v>45553</v>
      </c>
      <c r="C366" s="1" t="n">
        <v>45968</v>
      </c>
      <c r="D366" t="inlineStr">
        <is>
          <t>ÖREBRO LÄN</t>
        </is>
      </c>
      <c r="E366" t="inlineStr">
        <is>
          <t>ÖREBRO</t>
        </is>
      </c>
      <c r="G366" t="n">
        <v>3.5</v>
      </c>
      <c r="H366" t="n">
        <v>0</v>
      </c>
      <c r="I366" t="n">
        <v>0</v>
      </c>
      <c r="J366" t="n">
        <v>0</v>
      </c>
      <c r="K366" t="n">
        <v>0</v>
      </c>
      <c r="L366" t="n">
        <v>0</v>
      </c>
      <c r="M366" t="n">
        <v>0</v>
      </c>
      <c r="N366" t="n">
        <v>0</v>
      </c>
      <c r="O366" t="n">
        <v>0</v>
      </c>
      <c r="P366" t="n">
        <v>0</v>
      </c>
      <c r="Q366" t="n">
        <v>0</v>
      </c>
      <c r="R366" s="2" t="inlineStr"/>
    </row>
    <row r="367" ht="15" customHeight="1">
      <c r="A367" t="inlineStr">
        <is>
          <t>A 50446-2023</t>
        </is>
      </c>
      <c r="B367" s="1" t="n">
        <v>45216</v>
      </c>
      <c r="C367" s="1" t="n">
        <v>45968</v>
      </c>
      <c r="D367" t="inlineStr">
        <is>
          <t>ÖREBRO LÄN</t>
        </is>
      </c>
      <c r="E367" t="inlineStr">
        <is>
          <t>ÖREBRO</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50450-2023</t>
        </is>
      </c>
      <c r="B368" s="1" t="n">
        <v>45216.73533564815</v>
      </c>
      <c r="C368" s="1" t="n">
        <v>45968</v>
      </c>
      <c r="D368" t="inlineStr">
        <is>
          <t>ÖREBRO LÄN</t>
        </is>
      </c>
      <c r="E368" t="inlineStr">
        <is>
          <t>ÖREBRO</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26117-2021</t>
        </is>
      </c>
      <c r="B369" s="1" t="n">
        <v>44345</v>
      </c>
      <c r="C369" s="1" t="n">
        <v>45968</v>
      </c>
      <c r="D369" t="inlineStr">
        <is>
          <t>ÖREBRO LÄN</t>
        </is>
      </c>
      <c r="E369" t="inlineStr">
        <is>
          <t>ÖREBRO</t>
        </is>
      </c>
      <c r="G369" t="n">
        <v>8.1</v>
      </c>
      <c r="H369" t="n">
        <v>0</v>
      </c>
      <c r="I369" t="n">
        <v>0</v>
      </c>
      <c r="J369" t="n">
        <v>0</v>
      </c>
      <c r="K369" t="n">
        <v>0</v>
      </c>
      <c r="L369" t="n">
        <v>0</v>
      </c>
      <c r="M369" t="n">
        <v>0</v>
      </c>
      <c r="N369" t="n">
        <v>0</v>
      </c>
      <c r="O369" t="n">
        <v>0</v>
      </c>
      <c r="P369" t="n">
        <v>0</v>
      </c>
      <c r="Q369" t="n">
        <v>0</v>
      </c>
      <c r="R369" s="2" t="inlineStr"/>
    </row>
    <row r="370" ht="15" customHeight="1">
      <c r="A370" t="inlineStr">
        <is>
          <t>A 16739-2023</t>
        </is>
      </c>
      <c r="B370" s="1" t="n">
        <v>45030.72627314815</v>
      </c>
      <c r="C370" s="1" t="n">
        <v>45968</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35928-2025</t>
        </is>
      </c>
      <c r="B371" s="1" t="n">
        <v>45862</v>
      </c>
      <c r="C371" s="1" t="n">
        <v>45968</v>
      </c>
      <c r="D371" t="inlineStr">
        <is>
          <t>ÖREBRO LÄN</t>
        </is>
      </c>
      <c r="E371" t="inlineStr">
        <is>
          <t>ÖREBRO</t>
        </is>
      </c>
      <c r="G371" t="n">
        <v>4.4</v>
      </c>
      <c r="H371" t="n">
        <v>0</v>
      </c>
      <c r="I371" t="n">
        <v>0</v>
      </c>
      <c r="J371" t="n">
        <v>0</v>
      </c>
      <c r="K371" t="n">
        <v>0</v>
      </c>
      <c r="L371" t="n">
        <v>0</v>
      </c>
      <c r="M371" t="n">
        <v>0</v>
      </c>
      <c r="N371" t="n">
        <v>0</v>
      </c>
      <c r="O371" t="n">
        <v>0</v>
      </c>
      <c r="P371" t="n">
        <v>0</v>
      </c>
      <c r="Q371" t="n">
        <v>0</v>
      </c>
      <c r="R371" s="2" t="inlineStr"/>
    </row>
    <row r="372" ht="15" customHeight="1">
      <c r="A372" t="inlineStr">
        <is>
          <t>A 6879-2024</t>
        </is>
      </c>
      <c r="B372" s="1" t="n">
        <v>45342.85280092592</v>
      </c>
      <c r="C372" s="1" t="n">
        <v>45968</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58032-2023</t>
        </is>
      </c>
      <c r="B373" s="1" t="n">
        <v>45247</v>
      </c>
      <c r="C373" s="1" t="n">
        <v>45968</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58035-2023</t>
        </is>
      </c>
      <c r="B374" s="1" t="n">
        <v>45247</v>
      </c>
      <c r="C374" s="1" t="n">
        <v>45968</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32025-2024</t>
        </is>
      </c>
      <c r="B375" s="1" t="n">
        <v>45510.65754629629</v>
      </c>
      <c r="C375" s="1" t="n">
        <v>45968</v>
      </c>
      <c r="D375" t="inlineStr">
        <is>
          <t>ÖREBRO LÄN</t>
        </is>
      </c>
      <c r="E375" t="inlineStr">
        <is>
          <t>ÖREBRO</t>
        </is>
      </c>
      <c r="G375" t="n">
        <v>4</v>
      </c>
      <c r="H375" t="n">
        <v>0</v>
      </c>
      <c r="I375" t="n">
        <v>0</v>
      </c>
      <c r="J375" t="n">
        <v>0</v>
      </c>
      <c r="K375" t="n">
        <v>0</v>
      </c>
      <c r="L375" t="n">
        <v>0</v>
      </c>
      <c r="M375" t="n">
        <v>0</v>
      </c>
      <c r="N375" t="n">
        <v>0</v>
      </c>
      <c r="O375" t="n">
        <v>0</v>
      </c>
      <c r="P375" t="n">
        <v>0</v>
      </c>
      <c r="Q375" t="n">
        <v>0</v>
      </c>
      <c r="R375" s="2" t="inlineStr"/>
    </row>
    <row r="376" ht="15" customHeight="1">
      <c r="A376" t="inlineStr">
        <is>
          <t>A 6387-2021</t>
        </is>
      </c>
      <c r="B376" s="1" t="n">
        <v>44235</v>
      </c>
      <c r="C376" s="1" t="n">
        <v>45968</v>
      </c>
      <c r="D376" t="inlineStr">
        <is>
          <t>ÖREBRO LÄN</t>
        </is>
      </c>
      <c r="E376" t="inlineStr">
        <is>
          <t>ÖREBRO</t>
        </is>
      </c>
      <c r="G376" t="n">
        <v>1.1</v>
      </c>
      <c r="H376" t="n">
        <v>0</v>
      </c>
      <c r="I376" t="n">
        <v>0</v>
      </c>
      <c r="J376" t="n">
        <v>0</v>
      </c>
      <c r="K376" t="n">
        <v>0</v>
      </c>
      <c r="L376" t="n">
        <v>0</v>
      </c>
      <c r="M376" t="n">
        <v>0</v>
      </c>
      <c r="N376" t="n">
        <v>0</v>
      </c>
      <c r="O376" t="n">
        <v>0</v>
      </c>
      <c r="P376" t="n">
        <v>0</v>
      </c>
      <c r="Q376" t="n">
        <v>0</v>
      </c>
      <c r="R376" s="2" t="inlineStr"/>
    </row>
    <row r="377" ht="15" customHeight="1">
      <c r="A377" t="inlineStr">
        <is>
          <t>A 8332-2021</t>
        </is>
      </c>
      <c r="B377" s="1" t="n">
        <v>44244</v>
      </c>
      <c r="C377" s="1" t="n">
        <v>45968</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55453-2024</t>
        </is>
      </c>
      <c r="B378" s="1" t="n">
        <v>45622.42097222222</v>
      </c>
      <c r="C378" s="1" t="n">
        <v>45968</v>
      </c>
      <c r="D378" t="inlineStr">
        <is>
          <t>ÖREBRO LÄN</t>
        </is>
      </c>
      <c r="E378" t="inlineStr">
        <is>
          <t>ÖREBRO</t>
        </is>
      </c>
      <c r="G378" t="n">
        <v>8.5</v>
      </c>
      <c r="H378" t="n">
        <v>0</v>
      </c>
      <c r="I378" t="n">
        <v>0</v>
      </c>
      <c r="J378" t="n">
        <v>0</v>
      </c>
      <c r="K378" t="n">
        <v>0</v>
      </c>
      <c r="L378" t="n">
        <v>0</v>
      </c>
      <c r="M378" t="n">
        <v>0</v>
      </c>
      <c r="N378" t="n">
        <v>0</v>
      </c>
      <c r="O378" t="n">
        <v>0</v>
      </c>
      <c r="P378" t="n">
        <v>0</v>
      </c>
      <c r="Q378" t="n">
        <v>0</v>
      </c>
      <c r="R378" s="2" t="inlineStr"/>
    </row>
    <row r="379" ht="15" customHeight="1">
      <c r="A379" t="inlineStr">
        <is>
          <t>A 1492-2022</t>
        </is>
      </c>
      <c r="B379" s="1" t="n">
        <v>44573</v>
      </c>
      <c r="C379" s="1" t="n">
        <v>45968</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7506-2025</t>
        </is>
      </c>
      <c r="B380" s="1" t="n">
        <v>45705</v>
      </c>
      <c r="C380" s="1" t="n">
        <v>45968</v>
      </c>
      <c r="D380" t="inlineStr">
        <is>
          <t>ÖREBRO LÄN</t>
        </is>
      </c>
      <c r="E380" t="inlineStr">
        <is>
          <t>ÖREBRO</t>
        </is>
      </c>
      <c r="G380" t="n">
        <v>0.5</v>
      </c>
      <c r="H380" t="n">
        <v>0</v>
      </c>
      <c r="I380" t="n">
        <v>0</v>
      </c>
      <c r="J380" t="n">
        <v>0</v>
      </c>
      <c r="K380" t="n">
        <v>0</v>
      </c>
      <c r="L380" t="n">
        <v>0</v>
      </c>
      <c r="M380" t="n">
        <v>0</v>
      </c>
      <c r="N380" t="n">
        <v>0</v>
      </c>
      <c r="O380" t="n">
        <v>0</v>
      </c>
      <c r="P380" t="n">
        <v>0</v>
      </c>
      <c r="Q380" t="n">
        <v>0</v>
      </c>
      <c r="R380" s="2" t="inlineStr"/>
    </row>
    <row r="381" ht="15" customHeight="1">
      <c r="A381" t="inlineStr">
        <is>
          <t>A 36448-2025</t>
        </is>
      </c>
      <c r="B381" s="1" t="n">
        <v>45869.41929398148</v>
      </c>
      <c r="C381" s="1" t="n">
        <v>45968</v>
      </c>
      <c r="D381" t="inlineStr">
        <is>
          <t>ÖREBRO LÄN</t>
        </is>
      </c>
      <c r="E381" t="inlineStr">
        <is>
          <t>ÖREBRO</t>
        </is>
      </c>
      <c r="F381" t="inlineStr">
        <is>
          <t>Övriga Aktiebolag</t>
        </is>
      </c>
      <c r="G381" t="n">
        <v>4.3</v>
      </c>
      <c r="H381" t="n">
        <v>0</v>
      </c>
      <c r="I381" t="n">
        <v>0</v>
      </c>
      <c r="J381" t="n">
        <v>0</v>
      </c>
      <c r="K381" t="n">
        <v>0</v>
      </c>
      <c r="L381" t="n">
        <v>0</v>
      </c>
      <c r="M381" t="n">
        <v>0</v>
      </c>
      <c r="N381" t="n">
        <v>0</v>
      </c>
      <c r="O381" t="n">
        <v>0</v>
      </c>
      <c r="P381" t="n">
        <v>0</v>
      </c>
      <c r="Q381" t="n">
        <v>0</v>
      </c>
      <c r="R381" s="2" t="inlineStr"/>
    </row>
    <row r="382" ht="15" customHeight="1">
      <c r="A382" t="inlineStr">
        <is>
          <t>A 5946-2021</t>
        </is>
      </c>
      <c r="B382" s="1" t="n">
        <v>44230</v>
      </c>
      <c r="C382" s="1" t="n">
        <v>45968</v>
      </c>
      <c r="D382" t="inlineStr">
        <is>
          <t>ÖREBRO LÄN</t>
        </is>
      </c>
      <c r="E382" t="inlineStr">
        <is>
          <t>ÖREBRO</t>
        </is>
      </c>
      <c r="G382" t="n">
        <v>1.3</v>
      </c>
      <c r="H382" t="n">
        <v>0</v>
      </c>
      <c r="I382" t="n">
        <v>0</v>
      </c>
      <c r="J382" t="n">
        <v>0</v>
      </c>
      <c r="K382" t="n">
        <v>0</v>
      </c>
      <c r="L382" t="n">
        <v>0</v>
      </c>
      <c r="M382" t="n">
        <v>0</v>
      </c>
      <c r="N382" t="n">
        <v>0</v>
      </c>
      <c r="O382" t="n">
        <v>0</v>
      </c>
      <c r="P382" t="n">
        <v>0</v>
      </c>
      <c r="Q382" t="n">
        <v>0</v>
      </c>
      <c r="R382" s="2" t="inlineStr"/>
    </row>
    <row r="383" ht="15" customHeight="1">
      <c r="A383" t="inlineStr">
        <is>
          <t>A 58615-2024</t>
        </is>
      </c>
      <c r="B383" s="1" t="n">
        <v>45635.5587037037</v>
      </c>
      <c r="C383" s="1" t="n">
        <v>45968</v>
      </c>
      <c r="D383" t="inlineStr">
        <is>
          <t>ÖREBRO LÄN</t>
        </is>
      </c>
      <c r="E383" t="inlineStr">
        <is>
          <t>ÖREBRO</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58620-2024</t>
        </is>
      </c>
      <c r="B384" s="1" t="n">
        <v>45635.56246527778</v>
      </c>
      <c r="C384" s="1" t="n">
        <v>45968</v>
      </c>
      <c r="D384" t="inlineStr">
        <is>
          <t>ÖREBRO LÄN</t>
        </is>
      </c>
      <c r="E384" t="inlineStr">
        <is>
          <t>ÖREBRO</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36447-2025</t>
        </is>
      </c>
      <c r="B385" s="1" t="n">
        <v>45869.41387731482</v>
      </c>
      <c r="C385" s="1" t="n">
        <v>45968</v>
      </c>
      <c r="D385" t="inlineStr">
        <is>
          <t>ÖREBRO LÄN</t>
        </is>
      </c>
      <c r="E385" t="inlineStr">
        <is>
          <t>ÖREBRO</t>
        </is>
      </c>
      <c r="F385" t="inlineStr">
        <is>
          <t>Övriga Aktiebolag</t>
        </is>
      </c>
      <c r="G385" t="n">
        <v>12.6</v>
      </c>
      <c r="H385" t="n">
        <v>0</v>
      </c>
      <c r="I385" t="n">
        <v>0</v>
      </c>
      <c r="J385" t="n">
        <v>0</v>
      </c>
      <c r="K385" t="n">
        <v>0</v>
      </c>
      <c r="L385" t="n">
        <v>0</v>
      </c>
      <c r="M385" t="n">
        <v>0</v>
      </c>
      <c r="N385" t="n">
        <v>0</v>
      </c>
      <c r="O385" t="n">
        <v>0</v>
      </c>
      <c r="P385" t="n">
        <v>0</v>
      </c>
      <c r="Q385" t="n">
        <v>0</v>
      </c>
      <c r="R385" s="2" t="inlineStr"/>
    </row>
    <row r="386" ht="15" customHeight="1">
      <c r="A386" t="inlineStr">
        <is>
          <t>A 1014-2024</t>
        </is>
      </c>
      <c r="B386" s="1" t="n">
        <v>45301</v>
      </c>
      <c r="C386" s="1" t="n">
        <v>45968</v>
      </c>
      <c r="D386" t="inlineStr">
        <is>
          <t>ÖREBRO LÄN</t>
        </is>
      </c>
      <c r="E386" t="inlineStr">
        <is>
          <t>ÖREBRO</t>
        </is>
      </c>
      <c r="G386" t="n">
        <v>1.4</v>
      </c>
      <c r="H386" t="n">
        <v>0</v>
      </c>
      <c r="I386" t="n">
        <v>0</v>
      </c>
      <c r="J386" t="n">
        <v>0</v>
      </c>
      <c r="K386" t="n">
        <v>0</v>
      </c>
      <c r="L386" t="n">
        <v>0</v>
      </c>
      <c r="M386" t="n">
        <v>0</v>
      </c>
      <c r="N386" t="n">
        <v>0</v>
      </c>
      <c r="O386" t="n">
        <v>0</v>
      </c>
      <c r="P386" t="n">
        <v>0</v>
      </c>
      <c r="Q386" t="n">
        <v>0</v>
      </c>
      <c r="R386" s="2" t="inlineStr"/>
    </row>
    <row r="387" ht="15" customHeight="1">
      <c r="A387" t="inlineStr">
        <is>
          <t>A 30472-2022</t>
        </is>
      </c>
      <c r="B387" s="1" t="n">
        <v>44761.70467592592</v>
      </c>
      <c r="C387" s="1" t="n">
        <v>45968</v>
      </c>
      <c r="D387" t="inlineStr">
        <is>
          <t>ÖREBRO LÄN</t>
        </is>
      </c>
      <c r="E387" t="inlineStr">
        <is>
          <t>ÖREBRO</t>
        </is>
      </c>
      <c r="F387" t="inlineStr">
        <is>
          <t>Övriga Aktiebolag</t>
        </is>
      </c>
      <c r="G387" t="n">
        <v>5.6</v>
      </c>
      <c r="H387" t="n">
        <v>0</v>
      </c>
      <c r="I387" t="n">
        <v>0</v>
      </c>
      <c r="J387" t="n">
        <v>0</v>
      </c>
      <c r="K387" t="n">
        <v>0</v>
      </c>
      <c r="L387" t="n">
        <v>0</v>
      </c>
      <c r="M387" t="n">
        <v>0</v>
      </c>
      <c r="N387" t="n">
        <v>0</v>
      </c>
      <c r="O387" t="n">
        <v>0</v>
      </c>
      <c r="P387" t="n">
        <v>0</v>
      </c>
      <c r="Q387" t="n">
        <v>0</v>
      </c>
      <c r="R387" s="2" t="inlineStr"/>
    </row>
    <row r="388" ht="15" customHeight="1">
      <c r="A388" t="inlineStr">
        <is>
          <t>A 34056-2023</t>
        </is>
      </c>
      <c r="B388" s="1" t="n">
        <v>45135</v>
      </c>
      <c r="C388" s="1" t="n">
        <v>45968</v>
      </c>
      <c r="D388" t="inlineStr">
        <is>
          <t>ÖREBRO LÄN</t>
        </is>
      </c>
      <c r="E388" t="inlineStr">
        <is>
          <t>ÖREBRO</t>
        </is>
      </c>
      <c r="F388" t="inlineStr">
        <is>
          <t>Övriga Aktiebolag</t>
        </is>
      </c>
      <c r="G388" t="n">
        <v>4.1</v>
      </c>
      <c r="H388" t="n">
        <v>0</v>
      </c>
      <c r="I388" t="n">
        <v>0</v>
      </c>
      <c r="J388" t="n">
        <v>0</v>
      </c>
      <c r="K388" t="n">
        <v>0</v>
      </c>
      <c r="L388" t="n">
        <v>0</v>
      </c>
      <c r="M388" t="n">
        <v>0</v>
      </c>
      <c r="N388" t="n">
        <v>0</v>
      </c>
      <c r="O388" t="n">
        <v>0</v>
      </c>
      <c r="P388" t="n">
        <v>0</v>
      </c>
      <c r="Q388" t="n">
        <v>0</v>
      </c>
      <c r="R388" s="2" t="inlineStr"/>
    </row>
    <row r="389" ht="15" customHeight="1">
      <c r="A389" t="inlineStr">
        <is>
          <t>A 31240-2023</t>
        </is>
      </c>
      <c r="B389" s="1" t="n">
        <v>45114</v>
      </c>
      <c r="C389" s="1" t="n">
        <v>45968</v>
      </c>
      <c r="D389" t="inlineStr">
        <is>
          <t>ÖREBRO LÄN</t>
        </is>
      </c>
      <c r="E389" t="inlineStr">
        <is>
          <t>ÖREBRO</t>
        </is>
      </c>
      <c r="F389" t="inlineStr">
        <is>
          <t>Allmännings- och besparingsskogar</t>
        </is>
      </c>
      <c r="G389" t="n">
        <v>6.2</v>
      </c>
      <c r="H389" t="n">
        <v>0</v>
      </c>
      <c r="I389" t="n">
        <v>0</v>
      </c>
      <c r="J389" t="n">
        <v>0</v>
      </c>
      <c r="K389" t="n">
        <v>0</v>
      </c>
      <c r="L389" t="n">
        <v>0</v>
      </c>
      <c r="M389" t="n">
        <v>0</v>
      </c>
      <c r="N389" t="n">
        <v>0</v>
      </c>
      <c r="O389" t="n">
        <v>0</v>
      </c>
      <c r="P389" t="n">
        <v>0</v>
      </c>
      <c r="Q389" t="n">
        <v>0</v>
      </c>
      <c r="R389" s="2" t="inlineStr"/>
    </row>
    <row r="390" ht="15" customHeight="1">
      <c r="A390" t="inlineStr">
        <is>
          <t>A 43612-2022</t>
        </is>
      </c>
      <c r="B390" s="1" t="n">
        <v>44837</v>
      </c>
      <c r="C390" s="1" t="n">
        <v>45968</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51373-2023</t>
        </is>
      </c>
      <c r="B391" s="1" t="n">
        <v>45213</v>
      </c>
      <c r="C391" s="1" t="n">
        <v>45968</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14717-2024</t>
        </is>
      </c>
      <c r="B392" s="1" t="n">
        <v>45397.55104166667</v>
      </c>
      <c r="C392" s="1" t="n">
        <v>45968</v>
      </c>
      <c r="D392" t="inlineStr">
        <is>
          <t>ÖREBRO LÄN</t>
        </is>
      </c>
      <c r="E392" t="inlineStr">
        <is>
          <t>ÖREBRO</t>
        </is>
      </c>
      <c r="G392" t="n">
        <v>0.7</v>
      </c>
      <c r="H392" t="n">
        <v>0</v>
      </c>
      <c r="I392" t="n">
        <v>0</v>
      </c>
      <c r="J392" t="n">
        <v>0</v>
      </c>
      <c r="K392" t="n">
        <v>0</v>
      </c>
      <c r="L392" t="n">
        <v>0</v>
      </c>
      <c r="M392" t="n">
        <v>0</v>
      </c>
      <c r="N392" t="n">
        <v>0</v>
      </c>
      <c r="O392" t="n">
        <v>0</v>
      </c>
      <c r="P392" t="n">
        <v>0</v>
      </c>
      <c r="Q392" t="n">
        <v>0</v>
      </c>
      <c r="R392" s="2" t="inlineStr"/>
    </row>
    <row r="393" ht="15" customHeight="1">
      <c r="A393" t="inlineStr">
        <is>
          <t>A 35843-2022</t>
        </is>
      </c>
      <c r="B393" s="1" t="n">
        <v>44802</v>
      </c>
      <c r="C393" s="1" t="n">
        <v>45968</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13599-2025</t>
        </is>
      </c>
      <c r="B394" s="1" t="n">
        <v>45736.60597222222</v>
      </c>
      <c r="C394" s="1" t="n">
        <v>45968</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20146-2024</t>
        </is>
      </c>
      <c r="B395" s="1" t="n">
        <v>45434.57641203704</v>
      </c>
      <c r="C395" s="1" t="n">
        <v>45968</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37968-2024</t>
        </is>
      </c>
      <c r="B396" s="1" t="n">
        <v>45544</v>
      </c>
      <c r="C396" s="1" t="n">
        <v>45968</v>
      </c>
      <c r="D396" t="inlineStr">
        <is>
          <t>ÖREBRO LÄN</t>
        </is>
      </c>
      <c r="E396" t="inlineStr">
        <is>
          <t>ÖREBRO</t>
        </is>
      </c>
      <c r="G396" t="n">
        <v>2</v>
      </c>
      <c r="H396" t="n">
        <v>0</v>
      </c>
      <c r="I396" t="n">
        <v>0</v>
      </c>
      <c r="J396" t="n">
        <v>0</v>
      </c>
      <c r="K396" t="n">
        <v>0</v>
      </c>
      <c r="L396" t="n">
        <v>0</v>
      </c>
      <c r="M396" t="n">
        <v>0</v>
      </c>
      <c r="N396" t="n">
        <v>0</v>
      </c>
      <c r="O396" t="n">
        <v>0</v>
      </c>
      <c r="P396" t="n">
        <v>0</v>
      </c>
      <c r="Q396" t="n">
        <v>0</v>
      </c>
      <c r="R396" s="2" t="inlineStr"/>
    </row>
    <row r="397" ht="15" customHeight="1">
      <c r="A397" t="inlineStr">
        <is>
          <t>A 10937-2024</t>
        </is>
      </c>
      <c r="B397" s="1" t="n">
        <v>45370.44461805555</v>
      </c>
      <c r="C397" s="1" t="n">
        <v>45968</v>
      </c>
      <c r="D397" t="inlineStr">
        <is>
          <t>ÖREBRO LÄN</t>
        </is>
      </c>
      <c r="E397" t="inlineStr">
        <is>
          <t>ÖREBRO</t>
        </is>
      </c>
      <c r="G397" t="n">
        <v>4.3</v>
      </c>
      <c r="H397" t="n">
        <v>0</v>
      </c>
      <c r="I397" t="n">
        <v>0</v>
      </c>
      <c r="J397" t="n">
        <v>0</v>
      </c>
      <c r="K397" t="n">
        <v>0</v>
      </c>
      <c r="L397" t="n">
        <v>0</v>
      </c>
      <c r="M397" t="n">
        <v>0</v>
      </c>
      <c r="N397" t="n">
        <v>0</v>
      </c>
      <c r="O397" t="n">
        <v>0</v>
      </c>
      <c r="P397" t="n">
        <v>0</v>
      </c>
      <c r="Q397" t="n">
        <v>0</v>
      </c>
      <c r="R397" s="2" t="inlineStr"/>
    </row>
    <row r="398" ht="15" customHeight="1">
      <c r="A398" t="inlineStr">
        <is>
          <t>A 20115-2024</t>
        </is>
      </c>
      <c r="B398" s="1" t="n">
        <v>45434</v>
      </c>
      <c r="C398" s="1" t="n">
        <v>45968</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16936-2023</t>
        </is>
      </c>
      <c r="B399" s="1" t="n">
        <v>45033.63005787037</v>
      </c>
      <c r="C399" s="1" t="n">
        <v>45968</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40588-2021</t>
        </is>
      </c>
      <c r="B400" s="1" t="n">
        <v>44420</v>
      </c>
      <c r="C400" s="1" t="n">
        <v>45968</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25443-2021</t>
        </is>
      </c>
      <c r="B401" s="1" t="n">
        <v>44342</v>
      </c>
      <c r="C401" s="1" t="n">
        <v>45968</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8565-2021</t>
        </is>
      </c>
      <c r="B402" s="1" t="n">
        <v>44245</v>
      </c>
      <c r="C402" s="1" t="n">
        <v>45968</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8575-2021</t>
        </is>
      </c>
      <c r="B403" s="1" t="n">
        <v>44245</v>
      </c>
      <c r="C403" s="1" t="n">
        <v>45968</v>
      </c>
      <c r="D403" t="inlineStr">
        <is>
          <t>ÖREBRO LÄN</t>
        </is>
      </c>
      <c r="E403" t="inlineStr">
        <is>
          <t>ÖREBRO</t>
        </is>
      </c>
      <c r="G403" t="n">
        <v>3.4</v>
      </c>
      <c r="H403" t="n">
        <v>0</v>
      </c>
      <c r="I403" t="n">
        <v>0</v>
      </c>
      <c r="J403" t="n">
        <v>0</v>
      </c>
      <c r="K403" t="n">
        <v>0</v>
      </c>
      <c r="L403" t="n">
        <v>0</v>
      </c>
      <c r="M403" t="n">
        <v>0</v>
      </c>
      <c r="N403" t="n">
        <v>0</v>
      </c>
      <c r="O403" t="n">
        <v>0</v>
      </c>
      <c r="P403" t="n">
        <v>0</v>
      </c>
      <c r="Q403" t="n">
        <v>0</v>
      </c>
      <c r="R403" s="2" t="inlineStr"/>
    </row>
    <row r="404" ht="15" customHeight="1">
      <c r="A404" t="inlineStr">
        <is>
          <t>A 13700-2024</t>
        </is>
      </c>
      <c r="B404" s="1" t="n">
        <v>45390.59277777778</v>
      </c>
      <c r="C404" s="1" t="n">
        <v>45968</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57485-2023</t>
        </is>
      </c>
      <c r="B405" s="1" t="n">
        <v>45246</v>
      </c>
      <c r="C405" s="1" t="n">
        <v>45968</v>
      </c>
      <c r="D405" t="inlineStr">
        <is>
          <t>ÖREBRO LÄN</t>
        </is>
      </c>
      <c r="E405" t="inlineStr">
        <is>
          <t>ÖREBRO</t>
        </is>
      </c>
      <c r="G405" t="n">
        <v>0.9</v>
      </c>
      <c r="H405" t="n">
        <v>0</v>
      </c>
      <c r="I405" t="n">
        <v>0</v>
      </c>
      <c r="J405" t="n">
        <v>0</v>
      </c>
      <c r="K405" t="n">
        <v>0</v>
      </c>
      <c r="L405" t="n">
        <v>0</v>
      </c>
      <c r="M405" t="n">
        <v>0</v>
      </c>
      <c r="N405" t="n">
        <v>0</v>
      </c>
      <c r="O405" t="n">
        <v>0</v>
      </c>
      <c r="P405" t="n">
        <v>0</v>
      </c>
      <c r="Q405" t="n">
        <v>0</v>
      </c>
      <c r="R405" s="2" t="inlineStr"/>
    </row>
    <row r="406" ht="15" customHeight="1">
      <c r="A406" t="inlineStr">
        <is>
          <t>A 6213-2021</t>
        </is>
      </c>
      <c r="B406" s="1" t="n">
        <v>44232</v>
      </c>
      <c r="C406" s="1" t="n">
        <v>45968</v>
      </c>
      <c r="D406" t="inlineStr">
        <is>
          <t>ÖREBRO LÄN</t>
        </is>
      </c>
      <c r="E406" t="inlineStr">
        <is>
          <t>ÖREBRO</t>
        </is>
      </c>
      <c r="G406" t="n">
        <v>4</v>
      </c>
      <c r="H406" t="n">
        <v>0</v>
      </c>
      <c r="I406" t="n">
        <v>0</v>
      </c>
      <c r="J406" t="n">
        <v>0</v>
      </c>
      <c r="K406" t="n">
        <v>0</v>
      </c>
      <c r="L406" t="n">
        <v>0</v>
      </c>
      <c r="M406" t="n">
        <v>0</v>
      </c>
      <c r="N406" t="n">
        <v>0</v>
      </c>
      <c r="O406" t="n">
        <v>0</v>
      </c>
      <c r="P406" t="n">
        <v>0</v>
      </c>
      <c r="Q406" t="n">
        <v>0</v>
      </c>
      <c r="R406" s="2" t="inlineStr"/>
    </row>
    <row r="407" ht="15" customHeight="1">
      <c r="A407" t="inlineStr">
        <is>
          <t>A 37025-2024</t>
        </is>
      </c>
      <c r="B407" s="1" t="n">
        <v>45539.3840162037</v>
      </c>
      <c r="C407" s="1" t="n">
        <v>45968</v>
      </c>
      <c r="D407" t="inlineStr">
        <is>
          <t>ÖREBRO LÄN</t>
        </is>
      </c>
      <c r="E407" t="inlineStr">
        <is>
          <t>ÖREBRO</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37027-2024</t>
        </is>
      </c>
      <c r="B408" s="1" t="n">
        <v>45539.38487268519</v>
      </c>
      <c r="C408" s="1" t="n">
        <v>45968</v>
      </c>
      <c r="D408" t="inlineStr">
        <is>
          <t>ÖREBRO LÄN</t>
        </is>
      </c>
      <c r="E408" t="inlineStr">
        <is>
          <t>ÖREBRO</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59265-2020</t>
        </is>
      </c>
      <c r="B409" s="1" t="n">
        <v>44147.67359953704</v>
      </c>
      <c r="C409" s="1" t="n">
        <v>45968</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60506-2024</t>
        </is>
      </c>
      <c r="B410" s="1" t="n">
        <v>45643.66630787037</v>
      </c>
      <c r="C410" s="1" t="n">
        <v>45968</v>
      </c>
      <c r="D410" t="inlineStr">
        <is>
          <t>ÖREBRO LÄN</t>
        </is>
      </c>
      <c r="E410" t="inlineStr">
        <is>
          <t>ÖREBRO</t>
        </is>
      </c>
      <c r="G410" t="n">
        <v>5.8</v>
      </c>
      <c r="H410" t="n">
        <v>0</v>
      </c>
      <c r="I410" t="n">
        <v>0</v>
      </c>
      <c r="J410" t="n">
        <v>0</v>
      </c>
      <c r="K410" t="n">
        <v>0</v>
      </c>
      <c r="L410" t="n">
        <v>0</v>
      </c>
      <c r="M410" t="n">
        <v>0</v>
      </c>
      <c r="N410" t="n">
        <v>0</v>
      </c>
      <c r="O410" t="n">
        <v>0</v>
      </c>
      <c r="P410" t="n">
        <v>0</v>
      </c>
      <c r="Q410" t="n">
        <v>0</v>
      </c>
      <c r="R410" s="2" t="inlineStr"/>
    </row>
    <row r="411" ht="15" customHeight="1">
      <c r="A411" t="inlineStr">
        <is>
          <t>A 29554-2025</t>
        </is>
      </c>
      <c r="B411" s="1" t="n">
        <v>45825</v>
      </c>
      <c r="C411" s="1" t="n">
        <v>45968</v>
      </c>
      <c r="D411" t="inlineStr">
        <is>
          <t>ÖREBRO LÄN</t>
        </is>
      </c>
      <c r="E411" t="inlineStr">
        <is>
          <t>ÖREBRO</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5398-2022</t>
        </is>
      </c>
      <c r="B412" s="1" t="n">
        <v>44595.3353587963</v>
      </c>
      <c r="C412" s="1" t="n">
        <v>45968</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38415-2023</t>
        </is>
      </c>
      <c r="B413" s="1" t="n">
        <v>45162.35502314815</v>
      </c>
      <c r="C413" s="1" t="n">
        <v>45968</v>
      </c>
      <c r="D413" t="inlineStr">
        <is>
          <t>ÖREBRO LÄN</t>
        </is>
      </c>
      <c r="E413" t="inlineStr">
        <is>
          <t>ÖREBRO</t>
        </is>
      </c>
      <c r="G413" t="n">
        <v>2.6</v>
      </c>
      <c r="H413" t="n">
        <v>0</v>
      </c>
      <c r="I413" t="n">
        <v>0</v>
      </c>
      <c r="J413" t="n">
        <v>0</v>
      </c>
      <c r="K413" t="n">
        <v>0</v>
      </c>
      <c r="L413" t="n">
        <v>0</v>
      </c>
      <c r="M413" t="n">
        <v>0</v>
      </c>
      <c r="N413" t="n">
        <v>0</v>
      </c>
      <c r="O413" t="n">
        <v>0</v>
      </c>
      <c r="P413" t="n">
        <v>0</v>
      </c>
      <c r="Q413" t="n">
        <v>0</v>
      </c>
      <c r="R413" s="2" t="inlineStr"/>
    </row>
    <row r="414" ht="15" customHeight="1">
      <c r="A414" t="inlineStr">
        <is>
          <t>A 44284-2022</t>
        </is>
      </c>
      <c r="B414" s="1" t="n">
        <v>44839.59194444444</v>
      </c>
      <c r="C414" s="1" t="n">
        <v>45968</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35833-2024</t>
        </is>
      </c>
      <c r="B415" s="1" t="n">
        <v>45532.68699074074</v>
      </c>
      <c r="C415" s="1" t="n">
        <v>45968</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60128-2023</t>
        </is>
      </c>
      <c r="B416" s="1" t="n">
        <v>45258</v>
      </c>
      <c r="C416" s="1" t="n">
        <v>45968</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18047-2023</t>
        </is>
      </c>
      <c r="B417" s="1" t="n">
        <v>45040</v>
      </c>
      <c r="C417" s="1" t="n">
        <v>45968</v>
      </c>
      <c r="D417" t="inlineStr">
        <is>
          <t>ÖREBRO LÄN</t>
        </is>
      </c>
      <c r="E417" t="inlineStr">
        <is>
          <t>ÖREBRO</t>
        </is>
      </c>
      <c r="G417" t="n">
        <v>3.9</v>
      </c>
      <c r="H417" t="n">
        <v>0</v>
      </c>
      <c r="I417" t="n">
        <v>0</v>
      </c>
      <c r="J417" t="n">
        <v>0</v>
      </c>
      <c r="K417" t="n">
        <v>0</v>
      </c>
      <c r="L417" t="n">
        <v>0</v>
      </c>
      <c r="M417" t="n">
        <v>0</v>
      </c>
      <c r="N417" t="n">
        <v>0</v>
      </c>
      <c r="O417" t="n">
        <v>0</v>
      </c>
      <c r="P417" t="n">
        <v>0</v>
      </c>
      <c r="Q417" t="n">
        <v>0</v>
      </c>
      <c r="R417" s="2" t="inlineStr"/>
    </row>
    <row r="418" ht="15" customHeight="1">
      <c r="A418" t="inlineStr">
        <is>
          <t>A 49797-2024</t>
        </is>
      </c>
      <c r="B418" s="1" t="n">
        <v>45597.37265046296</v>
      </c>
      <c r="C418" s="1" t="n">
        <v>45968</v>
      </c>
      <c r="D418" t="inlineStr">
        <is>
          <t>ÖREBRO LÄN</t>
        </is>
      </c>
      <c r="E418" t="inlineStr">
        <is>
          <t>ÖREBRO</t>
        </is>
      </c>
      <c r="G418" t="n">
        <v>11.6</v>
      </c>
      <c r="H418" t="n">
        <v>0</v>
      </c>
      <c r="I418" t="n">
        <v>0</v>
      </c>
      <c r="J418" t="n">
        <v>0</v>
      </c>
      <c r="K418" t="n">
        <v>0</v>
      </c>
      <c r="L418" t="n">
        <v>0</v>
      </c>
      <c r="M418" t="n">
        <v>0</v>
      </c>
      <c r="N418" t="n">
        <v>0</v>
      </c>
      <c r="O418" t="n">
        <v>0</v>
      </c>
      <c r="P418" t="n">
        <v>0</v>
      </c>
      <c r="Q418" t="n">
        <v>0</v>
      </c>
      <c r="R418" s="2" t="inlineStr"/>
    </row>
    <row r="419" ht="15" customHeight="1">
      <c r="A419" t="inlineStr">
        <is>
          <t>A 11663-2024</t>
        </is>
      </c>
      <c r="B419" s="1" t="n">
        <v>45373</v>
      </c>
      <c r="C419" s="1" t="n">
        <v>45968</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49465-2024</t>
        </is>
      </c>
      <c r="B420" s="1" t="n">
        <v>45596</v>
      </c>
      <c r="C420" s="1" t="n">
        <v>45968</v>
      </c>
      <c r="D420" t="inlineStr">
        <is>
          <t>ÖREBRO LÄN</t>
        </is>
      </c>
      <c r="E420" t="inlineStr">
        <is>
          <t>ÖREBRO</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38842-2022</t>
        </is>
      </c>
      <c r="B421" s="1" t="n">
        <v>44814</v>
      </c>
      <c r="C421" s="1" t="n">
        <v>45968</v>
      </c>
      <c r="D421" t="inlineStr">
        <is>
          <t>ÖREBRO LÄN</t>
        </is>
      </c>
      <c r="E421" t="inlineStr">
        <is>
          <t>ÖREBRO</t>
        </is>
      </c>
      <c r="G421" t="n">
        <v>5</v>
      </c>
      <c r="H421" t="n">
        <v>0</v>
      </c>
      <c r="I421" t="n">
        <v>0</v>
      </c>
      <c r="J421" t="n">
        <v>0</v>
      </c>
      <c r="K421" t="n">
        <v>0</v>
      </c>
      <c r="L421" t="n">
        <v>0</v>
      </c>
      <c r="M421" t="n">
        <v>0</v>
      </c>
      <c r="N421" t="n">
        <v>0</v>
      </c>
      <c r="O421" t="n">
        <v>0</v>
      </c>
      <c r="P421" t="n">
        <v>0</v>
      </c>
      <c r="Q421" t="n">
        <v>0</v>
      </c>
      <c r="R421" s="2" t="inlineStr"/>
    </row>
    <row r="422" ht="15" customHeight="1">
      <c r="A422" t="inlineStr">
        <is>
          <t>A 58608-2024</t>
        </is>
      </c>
      <c r="B422" s="1" t="n">
        <v>45635.55185185185</v>
      </c>
      <c r="C422" s="1" t="n">
        <v>45968</v>
      </c>
      <c r="D422" t="inlineStr">
        <is>
          <t>ÖREBRO LÄN</t>
        </is>
      </c>
      <c r="E422" t="inlineStr">
        <is>
          <t>ÖREBRO</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37022-2024</t>
        </is>
      </c>
      <c r="B423" s="1" t="n">
        <v>45539.3822337963</v>
      </c>
      <c r="C423" s="1" t="n">
        <v>45968</v>
      </c>
      <c r="D423" t="inlineStr">
        <is>
          <t>ÖREBRO LÄN</t>
        </is>
      </c>
      <c r="E423" t="inlineStr">
        <is>
          <t>ÖREBRO</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37024-2024</t>
        </is>
      </c>
      <c r="B424" s="1" t="n">
        <v>45539.38329861111</v>
      </c>
      <c r="C424" s="1" t="n">
        <v>45968</v>
      </c>
      <c r="D424" t="inlineStr">
        <is>
          <t>ÖREBRO LÄN</t>
        </is>
      </c>
      <c r="E424" t="inlineStr">
        <is>
          <t>ÖREBRO</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38057-2025</t>
        </is>
      </c>
      <c r="B425" s="1" t="n">
        <v>45882.42570601852</v>
      </c>
      <c r="C425" s="1" t="n">
        <v>45968</v>
      </c>
      <c r="D425" t="inlineStr">
        <is>
          <t>ÖREBRO LÄN</t>
        </is>
      </c>
      <c r="E425" t="inlineStr">
        <is>
          <t>ÖREBRO</t>
        </is>
      </c>
      <c r="G425" t="n">
        <v>3</v>
      </c>
      <c r="H425" t="n">
        <v>0</v>
      </c>
      <c r="I425" t="n">
        <v>0</v>
      </c>
      <c r="J425" t="n">
        <v>0</v>
      </c>
      <c r="K425" t="n">
        <v>0</v>
      </c>
      <c r="L425" t="n">
        <v>0</v>
      </c>
      <c r="M425" t="n">
        <v>0</v>
      </c>
      <c r="N425" t="n">
        <v>0</v>
      </c>
      <c r="O425" t="n">
        <v>0</v>
      </c>
      <c r="P425" t="n">
        <v>0</v>
      </c>
      <c r="Q425" t="n">
        <v>0</v>
      </c>
      <c r="R425" s="2" t="inlineStr"/>
    </row>
    <row r="426" ht="15" customHeight="1">
      <c r="A426" t="inlineStr">
        <is>
          <t>A 38422-2023</t>
        </is>
      </c>
      <c r="B426" s="1" t="n">
        <v>45162.36422453704</v>
      </c>
      <c r="C426" s="1" t="n">
        <v>45968</v>
      </c>
      <c r="D426" t="inlineStr">
        <is>
          <t>ÖREBRO LÄN</t>
        </is>
      </c>
      <c r="E426" t="inlineStr">
        <is>
          <t>ÖREBRO</t>
        </is>
      </c>
      <c r="G426" t="n">
        <v>8</v>
      </c>
      <c r="H426" t="n">
        <v>0</v>
      </c>
      <c r="I426" t="n">
        <v>0</v>
      </c>
      <c r="J426" t="n">
        <v>0</v>
      </c>
      <c r="K426" t="n">
        <v>0</v>
      </c>
      <c r="L426" t="n">
        <v>0</v>
      </c>
      <c r="M426" t="n">
        <v>0</v>
      </c>
      <c r="N426" t="n">
        <v>0</v>
      </c>
      <c r="O426" t="n">
        <v>0</v>
      </c>
      <c r="P426" t="n">
        <v>0</v>
      </c>
      <c r="Q426" t="n">
        <v>0</v>
      </c>
      <c r="R426" s="2" t="inlineStr"/>
    </row>
    <row r="427" ht="15" customHeight="1">
      <c r="A427" t="inlineStr">
        <is>
          <t>A 47047-2022</t>
        </is>
      </c>
      <c r="B427" s="1" t="n">
        <v>44852.39063657408</v>
      </c>
      <c r="C427" s="1" t="n">
        <v>45968</v>
      </c>
      <c r="D427" t="inlineStr">
        <is>
          <t>ÖREBRO LÄN</t>
        </is>
      </c>
      <c r="E427" t="inlineStr">
        <is>
          <t>ÖREBRO</t>
        </is>
      </c>
      <c r="G427" t="n">
        <v>1.6</v>
      </c>
      <c r="H427" t="n">
        <v>0</v>
      </c>
      <c r="I427" t="n">
        <v>0</v>
      </c>
      <c r="J427" t="n">
        <v>0</v>
      </c>
      <c r="K427" t="n">
        <v>0</v>
      </c>
      <c r="L427" t="n">
        <v>0</v>
      </c>
      <c r="M427" t="n">
        <v>0</v>
      </c>
      <c r="N427" t="n">
        <v>0</v>
      </c>
      <c r="O427" t="n">
        <v>0</v>
      </c>
      <c r="P427" t="n">
        <v>0</v>
      </c>
      <c r="Q427" t="n">
        <v>0</v>
      </c>
      <c r="R427" s="2" t="inlineStr"/>
    </row>
    <row r="428" ht="15" customHeight="1">
      <c r="A428" t="inlineStr">
        <is>
          <t>A 56040-2024</t>
        </is>
      </c>
      <c r="B428" s="1" t="n">
        <v>45624.3344212963</v>
      </c>
      <c r="C428" s="1" t="n">
        <v>45968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8022-2022</t>
        </is>
      </c>
      <c r="B429" s="1" t="n">
        <v>44609</v>
      </c>
      <c r="C429" s="1" t="n">
        <v>45968</v>
      </c>
      <c r="D429" t="inlineStr">
        <is>
          <t>ÖREBRO LÄN</t>
        </is>
      </c>
      <c r="E429" t="inlineStr">
        <is>
          <t>ÖREBRO</t>
        </is>
      </c>
      <c r="G429" t="n">
        <v>5.6</v>
      </c>
      <c r="H429" t="n">
        <v>0</v>
      </c>
      <c r="I429" t="n">
        <v>0</v>
      </c>
      <c r="J429" t="n">
        <v>0</v>
      </c>
      <c r="K429" t="n">
        <v>0</v>
      </c>
      <c r="L429" t="n">
        <v>0</v>
      </c>
      <c r="M429" t="n">
        <v>0</v>
      </c>
      <c r="N429" t="n">
        <v>0</v>
      </c>
      <c r="O429" t="n">
        <v>0</v>
      </c>
      <c r="P429" t="n">
        <v>0</v>
      </c>
      <c r="Q429" t="n">
        <v>0</v>
      </c>
      <c r="R429" s="2" t="inlineStr"/>
    </row>
    <row r="430" ht="15" customHeight="1">
      <c r="A430" t="inlineStr">
        <is>
          <t>A 14487-2023</t>
        </is>
      </c>
      <c r="B430" s="1" t="n">
        <v>45012</v>
      </c>
      <c r="C430" s="1" t="n">
        <v>45968</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29978-2024</t>
        </is>
      </c>
      <c r="B431" s="1" t="n">
        <v>45488.48340277778</v>
      </c>
      <c r="C431" s="1" t="n">
        <v>45968</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19978-2025</t>
        </is>
      </c>
      <c r="B432" s="1" t="n">
        <v>45771.7062037037</v>
      </c>
      <c r="C432" s="1" t="n">
        <v>45968</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7134-2025</t>
        </is>
      </c>
      <c r="B433" s="1" t="n">
        <v>45702</v>
      </c>
      <c r="C433" s="1" t="n">
        <v>45968</v>
      </c>
      <c r="D433" t="inlineStr">
        <is>
          <t>ÖREBRO LÄN</t>
        </is>
      </c>
      <c r="E433" t="inlineStr">
        <is>
          <t>ÖREBRO</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66799-2020</t>
        </is>
      </c>
      <c r="B434" s="1" t="n">
        <v>44179</v>
      </c>
      <c r="C434" s="1" t="n">
        <v>45968</v>
      </c>
      <c r="D434" t="inlineStr">
        <is>
          <t>ÖREBRO LÄN</t>
        </is>
      </c>
      <c r="E434" t="inlineStr">
        <is>
          <t>ÖREBRO</t>
        </is>
      </c>
      <c r="G434" t="n">
        <v>5.2</v>
      </c>
      <c r="H434" t="n">
        <v>0</v>
      </c>
      <c r="I434" t="n">
        <v>0</v>
      </c>
      <c r="J434" t="n">
        <v>0</v>
      </c>
      <c r="K434" t="n">
        <v>0</v>
      </c>
      <c r="L434" t="n">
        <v>0</v>
      </c>
      <c r="M434" t="n">
        <v>0</v>
      </c>
      <c r="N434" t="n">
        <v>0</v>
      </c>
      <c r="O434" t="n">
        <v>0</v>
      </c>
      <c r="P434" t="n">
        <v>0</v>
      </c>
      <c r="Q434" t="n">
        <v>0</v>
      </c>
      <c r="R434" s="2" t="inlineStr"/>
    </row>
    <row r="435" ht="15" customHeight="1">
      <c r="A435" t="inlineStr">
        <is>
          <t>A 18550-2025</t>
        </is>
      </c>
      <c r="B435" s="1" t="n">
        <v>45763.43422453704</v>
      </c>
      <c r="C435" s="1" t="n">
        <v>45968</v>
      </c>
      <c r="D435" t="inlineStr">
        <is>
          <t>ÖREBRO LÄN</t>
        </is>
      </c>
      <c r="E435" t="inlineStr">
        <is>
          <t>ÖREBRO</t>
        </is>
      </c>
      <c r="G435" t="n">
        <v>11.5</v>
      </c>
      <c r="H435" t="n">
        <v>0</v>
      </c>
      <c r="I435" t="n">
        <v>0</v>
      </c>
      <c r="J435" t="n">
        <v>0</v>
      </c>
      <c r="K435" t="n">
        <v>0</v>
      </c>
      <c r="L435" t="n">
        <v>0</v>
      </c>
      <c r="M435" t="n">
        <v>0</v>
      </c>
      <c r="N435" t="n">
        <v>0</v>
      </c>
      <c r="O435" t="n">
        <v>0</v>
      </c>
      <c r="P435" t="n">
        <v>0</v>
      </c>
      <c r="Q435" t="n">
        <v>0</v>
      </c>
      <c r="R435" s="2" t="inlineStr"/>
    </row>
    <row r="436" ht="15" customHeight="1">
      <c r="A436" t="inlineStr">
        <is>
          <t>A 16374-2022</t>
        </is>
      </c>
      <c r="B436" s="1" t="n">
        <v>44671</v>
      </c>
      <c r="C436" s="1" t="n">
        <v>45968</v>
      </c>
      <c r="D436" t="inlineStr">
        <is>
          <t>ÖREBRO LÄN</t>
        </is>
      </c>
      <c r="E436" t="inlineStr">
        <is>
          <t>ÖREBRO</t>
        </is>
      </c>
      <c r="F436" t="inlineStr">
        <is>
          <t>Övriga Aktiebolag</t>
        </is>
      </c>
      <c r="G436" t="n">
        <v>30.3</v>
      </c>
      <c r="H436" t="n">
        <v>0</v>
      </c>
      <c r="I436" t="n">
        <v>0</v>
      </c>
      <c r="J436" t="n">
        <v>0</v>
      </c>
      <c r="K436" t="n">
        <v>0</v>
      </c>
      <c r="L436" t="n">
        <v>0</v>
      </c>
      <c r="M436" t="n">
        <v>0</v>
      </c>
      <c r="N436" t="n">
        <v>0</v>
      </c>
      <c r="O436" t="n">
        <v>0</v>
      </c>
      <c r="P436" t="n">
        <v>0</v>
      </c>
      <c r="Q436" t="n">
        <v>0</v>
      </c>
      <c r="R436" s="2" t="inlineStr"/>
    </row>
    <row r="437" ht="15" customHeight="1">
      <c r="A437" t="inlineStr">
        <is>
          <t>A 27956-2023</t>
        </is>
      </c>
      <c r="B437" s="1" t="n">
        <v>45098</v>
      </c>
      <c r="C437" s="1" t="n">
        <v>45968</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40522-2024</t>
        </is>
      </c>
      <c r="B438" s="1" t="n">
        <v>45555.59717592593</v>
      </c>
      <c r="C438" s="1" t="n">
        <v>45968</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13321-2024</t>
        </is>
      </c>
      <c r="B439" s="1" t="n">
        <v>45386.83142361111</v>
      </c>
      <c r="C439" s="1" t="n">
        <v>45968</v>
      </c>
      <c r="D439" t="inlineStr">
        <is>
          <t>ÖREBRO LÄN</t>
        </is>
      </c>
      <c r="E439" t="inlineStr">
        <is>
          <t>ÖREBRO</t>
        </is>
      </c>
      <c r="G439" t="n">
        <v>13.1</v>
      </c>
      <c r="H439" t="n">
        <v>0</v>
      </c>
      <c r="I439" t="n">
        <v>0</v>
      </c>
      <c r="J439" t="n">
        <v>0</v>
      </c>
      <c r="K439" t="n">
        <v>0</v>
      </c>
      <c r="L439" t="n">
        <v>0</v>
      </c>
      <c r="M439" t="n">
        <v>0</v>
      </c>
      <c r="N439" t="n">
        <v>0</v>
      </c>
      <c r="O439" t="n">
        <v>0</v>
      </c>
      <c r="P439" t="n">
        <v>0</v>
      </c>
      <c r="Q439" t="n">
        <v>0</v>
      </c>
      <c r="R439" s="2" t="inlineStr"/>
    </row>
    <row r="440" ht="15" customHeight="1">
      <c r="A440" t="inlineStr">
        <is>
          <t>A 41678-2024</t>
        </is>
      </c>
      <c r="B440" s="1" t="n">
        <v>45560</v>
      </c>
      <c r="C440" s="1" t="n">
        <v>45968</v>
      </c>
      <c r="D440" t="inlineStr">
        <is>
          <t>ÖREBRO LÄN</t>
        </is>
      </c>
      <c r="E440" t="inlineStr">
        <is>
          <t>ÖREBRO</t>
        </is>
      </c>
      <c r="G440" t="n">
        <v>11.3</v>
      </c>
      <c r="H440" t="n">
        <v>0</v>
      </c>
      <c r="I440" t="n">
        <v>0</v>
      </c>
      <c r="J440" t="n">
        <v>0</v>
      </c>
      <c r="K440" t="n">
        <v>0</v>
      </c>
      <c r="L440" t="n">
        <v>0</v>
      </c>
      <c r="M440" t="n">
        <v>0</v>
      </c>
      <c r="N440" t="n">
        <v>0</v>
      </c>
      <c r="O440" t="n">
        <v>0</v>
      </c>
      <c r="P440" t="n">
        <v>0</v>
      </c>
      <c r="Q440" t="n">
        <v>0</v>
      </c>
      <c r="R440" s="2" t="inlineStr"/>
    </row>
    <row r="441" ht="15" customHeight="1">
      <c r="A441" t="inlineStr">
        <is>
          <t>A 13418-2024</t>
        </is>
      </c>
      <c r="B441" s="1" t="n">
        <v>45387.46482638889</v>
      </c>
      <c r="C441" s="1" t="n">
        <v>45968</v>
      </c>
      <c r="D441" t="inlineStr">
        <is>
          <t>ÖREBRO LÄN</t>
        </is>
      </c>
      <c r="E441" t="inlineStr">
        <is>
          <t>ÖREBRO</t>
        </is>
      </c>
      <c r="G441" t="n">
        <v>4.2</v>
      </c>
      <c r="H441" t="n">
        <v>0</v>
      </c>
      <c r="I441" t="n">
        <v>0</v>
      </c>
      <c r="J441" t="n">
        <v>0</v>
      </c>
      <c r="K441" t="n">
        <v>0</v>
      </c>
      <c r="L441" t="n">
        <v>0</v>
      </c>
      <c r="M441" t="n">
        <v>0</v>
      </c>
      <c r="N441" t="n">
        <v>0</v>
      </c>
      <c r="O441" t="n">
        <v>0</v>
      </c>
      <c r="P441" t="n">
        <v>0</v>
      </c>
      <c r="Q441" t="n">
        <v>0</v>
      </c>
      <c r="R441" s="2" t="inlineStr"/>
    </row>
    <row r="442" ht="15" customHeight="1">
      <c r="A442" t="inlineStr">
        <is>
          <t>A 49029-2024</t>
        </is>
      </c>
      <c r="B442" s="1" t="n">
        <v>45594</v>
      </c>
      <c r="C442" s="1" t="n">
        <v>45968</v>
      </c>
      <c r="D442" t="inlineStr">
        <is>
          <t>ÖREBRO LÄN</t>
        </is>
      </c>
      <c r="E442" t="inlineStr">
        <is>
          <t>ÖREBRO</t>
        </is>
      </c>
      <c r="G442" t="n">
        <v>3.7</v>
      </c>
      <c r="H442" t="n">
        <v>0</v>
      </c>
      <c r="I442" t="n">
        <v>0</v>
      </c>
      <c r="J442" t="n">
        <v>0</v>
      </c>
      <c r="K442" t="n">
        <v>0</v>
      </c>
      <c r="L442" t="n">
        <v>0</v>
      </c>
      <c r="M442" t="n">
        <v>0</v>
      </c>
      <c r="N442" t="n">
        <v>0</v>
      </c>
      <c r="O442" t="n">
        <v>0</v>
      </c>
      <c r="P442" t="n">
        <v>0</v>
      </c>
      <c r="Q442" t="n">
        <v>0</v>
      </c>
      <c r="R442" s="2" t="inlineStr"/>
    </row>
    <row r="443" ht="15" customHeight="1">
      <c r="A443" t="inlineStr">
        <is>
          <t>A 49062-2023</t>
        </is>
      </c>
      <c r="B443" s="1" t="n">
        <v>45210.35119212963</v>
      </c>
      <c r="C443" s="1" t="n">
        <v>45968</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15652-2025</t>
        </is>
      </c>
      <c r="B444" s="1" t="n">
        <v>45748</v>
      </c>
      <c r="C444" s="1" t="n">
        <v>45968</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35829-2024</t>
        </is>
      </c>
      <c r="B445" s="1" t="n">
        <v>45532</v>
      </c>
      <c r="C445" s="1" t="n">
        <v>45968</v>
      </c>
      <c r="D445" t="inlineStr">
        <is>
          <t>ÖREBRO LÄN</t>
        </is>
      </c>
      <c r="E445" t="inlineStr">
        <is>
          <t>ÖREBRO</t>
        </is>
      </c>
      <c r="G445" t="n">
        <v>4.6</v>
      </c>
      <c r="H445" t="n">
        <v>0</v>
      </c>
      <c r="I445" t="n">
        <v>0</v>
      </c>
      <c r="J445" t="n">
        <v>0</v>
      </c>
      <c r="K445" t="n">
        <v>0</v>
      </c>
      <c r="L445" t="n">
        <v>0</v>
      </c>
      <c r="M445" t="n">
        <v>0</v>
      </c>
      <c r="N445" t="n">
        <v>0</v>
      </c>
      <c r="O445" t="n">
        <v>0</v>
      </c>
      <c r="P445" t="n">
        <v>0</v>
      </c>
      <c r="Q445" t="n">
        <v>0</v>
      </c>
      <c r="R445" s="2" t="inlineStr"/>
    </row>
    <row r="446" ht="15" customHeight="1">
      <c r="A446" t="inlineStr">
        <is>
          <t>A 16737-2023</t>
        </is>
      </c>
      <c r="B446" s="1" t="n">
        <v>45030.72472222222</v>
      </c>
      <c r="C446" s="1" t="n">
        <v>45968</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5762-2025</t>
        </is>
      </c>
      <c r="B447" s="1" t="n">
        <v>45694.57181712963</v>
      </c>
      <c r="C447" s="1" t="n">
        <v>45968</v>
      </c>
      <c r="D447" t="inlineStr">
        <is>
          <t>ÖREBRO LÄN</t>
        </is>
      </c>
      <c r="E447" t="inlineStr">
        <is>
          <t>ÖREBRO</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51180-2023</t>
        </is>
      </c>
      <c r="B448" s="1" t="n">
        <v>45219</v>
      </c>
      <c r="C448" s="1" t="n">
        <v>45968</v>
      </c>
      <c r="D448" t="inlineStr">
        <is>
          <t>ÖREBRO LÄN</t>
        </is>
      </c>
      <c r="E448" t="inlineStr">
        <is>
          <t>ÖREBRO</t>
        </is>
      </c>
      <c r="G448" t="n">
        <v>6.5</v>
      </c>
      <c r="H448" t="n">
        <v>0</v>
      </c>
      <c r="I448" t="n">
        <v>0</v>
      </c>
      <c r="J448" t="n">
        <v>0</v>
      </c>
      <c r="K448" t="n">
        <v>0</v>
      </c>
      <c r="L448" t="n">
        <v>0</v>
      </c>
      <c r="M448" t="n">
        <v>0</v>
      </c>
      <c r="N448" t="n">
        <v>0</v>
      </c>
      <c r="O448" t="n">
        <v>0</v>
      </c>
      <c r="P448" t="n">
        <v>0</v>
      </c>
      <c r="Q448" t="n">
        <v>0</v>
      </c>
      <c r="R448" s="2" t="inlineStr"/>
    </row>
    <row r="449" ht="15" customHeight="1">
      <c r="A449" t="inlineStr">
        <is>
          <t>A 58621-2024</t>
        </is>
      </c>
      <c r="B449" s="1" t="n">
        <v>45635.56321759259</v>
      </c>
      <c r="C449" s="1" t="n">
        <v>45968</v>
      </c>
      <c r="D449" t="inlineStr">
        <is>
          <t>ÖREBRO LÄN</t>
        </is>
      </c>
      <c r="E449" t="inlineStr">
        <is>
          <t>ÖREBRO</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13181-2023</t>
        </is>
      </c>
      <c r="B450" s="1" t="n">
        <v>45002.60659722222</v>
      </c>
      <c r="C450" s="1" t="n">
        <v>45968</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61078-2024</t>
        </is>
      </c>
      <c r="B451" s="1" t="n">
        <v>45645.51034722223</v>
      </c>
      <c r="C451" s="1" t="n">
        <v>45968</v>
      </c>
      <c r="D451" t="inlineStr">
        <is>
          <t>ÖREBRO LÄN</t>
        </is>
      </c>
      <c r="E451" t="inlineStr">
        <is>
          <t>ÖREBRO</t>
        </is>
      </c>
      <c r="G451" t="n">
        <v>4.1</v>
      </c>
      <c r="H451" t="n">
        <v>0</v>
      </c>
      <c r="I451" t="n">
        <v>0</v>
      </c>
      <c r="J451" t="n">
        <v>0</v>
      </c>
      <c r="K451" t="n">
        <v>0</v>
      </c>
      <c r="L451" t="n">
        <v>0</v>
      </c>
      <c r="M451" t="n">
        <v>0</v>
      </c>
      <c r="N451" t="n">
        <v>0</v>
      </c>
      <c r="O451" t="n">
        <v>0</v>
      </c>
      <c r="P451" t="n">
        <v>0</v>
      </c>
      <c r="Q451" t="n">
        <v>0</v>
      </c>
      <c r="R451" s="2" t="inlineStr"/>
    </row>
    <row r="452" ht="15" customHeight="1">
      <c r="A452" t="inlineStr">
        <is>
          <t>A 5578-2024</t>
        </is>
      </c>
      <c r="B452" s="1" t="n">
        <v>45334.49104166667</v>
      </c>
      <c r="C452" s="1" t="n">
        <v>45968</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62511-2023</t>
        </is>
      </c>
      <c r="B453" s="1" t="n">
        <v>45268.61855324074</v>
      </c>
      <c r="C453" s="1" t="n">
        <v>45968</v>
      </c>
      <c r="D453" t="inlineStr">
        <is>
          <t>ÖREBRO LÄN</t>
        </is>
      </c>
      <c r="E453" t="inlineStr">
        <is>
          <t>ÖREBRO</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32086-2023</t>
        </is>
      </c>
      <c r="B454" s="1" t="n">
        <v>45119.59789351852</v>
      </c>
      <c r="C454" s="1" t="n">
        <v>45968</v>
      </c>
      <c r="D454" t="inlineStr">
        <is>
          <t>ÖREBRO LÄN</t>
        </is>
      </c>
      <c r="E454" t="inlineStr">
        <is>
          <t>ÖREBRO</t>
        </is>
      </c>
      <c r="G454" t="n">
        <v>0.7</v>
      </c>
      <c r="H454" t="n">
        <v>0</v>
      </c>
      <c r="I454" t="n">
        <v>0</v>
      </c>
      <c r="J454" t="n">
        <v>0</v>
      </c>
      <c r="K454" t="n">
        <v>0</v>
      </c>
      <c r="L454" t="n">
        <v>0</v>
      </c>
      <c r="M454" t="n">
        <v>0</v>
      </c>
      <c r="N454" t="n">
        <v>0</v>
      </c>
      <c r="O454" t="n">
        <v>0</v>
      </c>
      <c r="P454" t="n">
        <v>0</v>
      </c>
      <c r="Q454" t="n">
        <v>0</v>
      </c>
      <c r="R454" s="2" t="inlineStr"/>
    </row>
    <row r="455" ht="15" customHeight="1">
      <c r="A455" t="inlineStr">
        <is>
          <t>A 39003-2025</t>
        </is>
      </c>
      <c r="B455" s="1" t="n">
        <v>45888.34467592592</v>
      </c>
      <c r="C455" s="1" t="n">
        <v>45968</v>
      </c>
      <c r="D455" t="inlineStr">
        <is>
          <t>ÖREBRO LÄN</t>
        </is>
      </c>
      <c r="E455" t="inlineStr">
        <is>
          <t>ÖREBRO</t>
        </is>
      </c>
      <c r="G455" t="n">
        <v>3.7</v>
      </c>
      <c r="H455" t="n">
        <v>0</v>
      </c>
      <c r="I455" t="n">
        <v>0</v>
      </c>
      <c r="J455" t="n">
        <v>0</v>
      </c>
      <c r="K455" t="n">
        <v>0</v>
      </c>
      <c r="L455" t="n">
        <v>0</v>
      </c>
      <c r="M455" t="n">
        <v>0</v>
      </c>
      <c r="N455" t="n">
        <v>0</v>
      </c>
      <c r="O455" t="n">
        <v>0</v>
      </c>
      <c r="P455" t="n">
        <v>0</v>
      </c>
      <c r="Q455" t="n">
        <v>0</v>
      </c>
      <c r="R455" s="2" t="inlineStr"/>
    </row>
    <row r="456" ht="15" customHeight="1">
      <c r="A456" t="inlineStr">
        <is>
          <t>A 22079-2023</t>
        </is>
      </c>
      <c r="B456" s="1" t="n">
        <v>45069</v>
      </c>
      <c r="C456" s="1" t="n">
        <v>45968</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15422-2022</t>
        </is>
      </c>
      <c r="B457" s="1" t="n">
        <v>44659.63753472222</v>
      </c>
      <c r="C457" s="1" t="n">
        <v>45968</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55472-2023</t>
        </is>
      </c>
      <c r="B458" s="1" t="n">
        <v>45238</v>
      </c>
      <c r="C458" s="1" t="n">
        <v>45968</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58598-2022</t>
        </is>
      </c>
      <c r="B459" s="1" t="n">
        <v>44902</v>
      </c>
      <c r="C459" s="1" t="n">
        <v>45968</v>
      </c>
      <c r="D459" t="inlineStr">
        <is>
          <t>ÖREBRO LÄN</t>
        </is>
      </c>
      <c r="E459" t="inlineStr">
        <is>
          <t>ÖREBRO</t>
        </is>
      </c>
      <c r="G459" t="n">
        <v>0.4</v>
      </c>
      <c r="H459" t="n">
        <v>0</v>
      </c>
      <c r="I459" t="n">
        <v>0</v>
      </c>
      <c r="J459" t="n">
        <v>0</v>
      </c>
      <c r="K459" t="n">
        <v>0</v>
      </c>
      <c r="L459" t="n">
        <v>0</v>
      </c>
      <c r="M459" t="n">
        <v>0</v>
      </c>
      <c r="N459" t="n">
        <v>0</v>
      </c>
      <c r="O459" t="n">
        <v>0</v>
      </c>
      <c r="P459" t="n">
        <v>0</v>
      </c>
      <c r="Q459" t="n">
        <v>0</v>
      </c>
      <c r="R459" s="2" t="inlineStr"/>
    </row>
    <row r="460" ht="15" customHeight="1">
      <c r="A460" t="inlineStr">
        <is>
          <t>A 2630-2023</t>
        </is>
      </c>
      <c r="B460" s="1" t="n">
        <v>44944.39105324074</v>
      </c>
      <c r="C460" s="1" t="n">
        <v>45968</v>
      </c>
      <c r="D460" t="inlineStr">
        <is>
          <t>ÖREBRO LÄN</t>
        </is>
      </c>
      <c r="E460" t="inlineStr">
        <is>
          <t>ÖREBRO</t>
        </is>
      </c>
      <c r="G460" t="n">
        <v>6.1</v>
      </c>
      <c r="H460" t="n">
        <v>0</v>
      </c>
      <c r="I460" t="n">
        <v>0</v>
      </c>
      <c r="J460" t="n">
        <v>0</v>
      </c>
      <c r="K460" t="n">
        <v>0</v>
      </c>
      <c r="L460" t="n">
        <v>0</v>
      </c>
      <c r="M460" t="n">
        <v>0</v>
      </c>
      <c r="N460" t="n">
        <v>0</v>
      </c>
      <c r="O460" t="n">
        <v>0</v>
      </c>
      <c r="P460" t="n">
        <v>0</v>
      </c>
      <c r="Q460" t="n">
        <v>0</v>
      </c>
      <c r="R460" s="2" t="inlineStr"/>
    </row>
    <row r="461" ht="15" customHeight="1">
      <c r="A461" t="inlineStr">
        <is>
          <t>A 5129-2024</t>
        </is>
      </c>
      <c r="B461" s="1" t="n">
        <v>45330</v>
      </c>
      <c r="C461" s="1" t="n">
        <v>45968</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58486-2024</t>
        </is>
      </c>
      <c r="B462" s="1" t="n">
        <v>45635</v>
      </c>
      <c r="C462" s="1" t="n">
        <v>45968</v>
      </c>
      <c r="D462" t="inlineStr">
        <is>
          <t>ÖREBRO LÄN</t>
        </is>
      </c>
      <c r="E462" t="inlineStr">
        <is>
          <t>ÖREBRO</t>
        </is>
      </c>
      <c r="G462" t="n">
        <v>1.7</v>
      </c>
      <c r="H462" t="n">
        <v>0</v>
      </c>
      <c r="I462" t="n">
        <v>0</v>
      </c>
      <c r="J462" t="n">
        <v>0</v>
      </c>
      <c r="K462" t="n">
        <v>0</v>
      </c>
      <c r="L462" t="n">
        <v>0</v>
      </c>
      <c r="M462" t="n">
        <v>0</v>
      </c>
      <c r="N462" t="n">
        <v>0</v>
      </c>
      <c r="O462" t="n">
        <v>0</v>
      </c>
      <c r="P462" t="n">
        <v>0</v>
      </c>
      <c r="Q462" t="n">
        <v>0</v>
      </c>
      <c r="R462" s="2" t="inlineStr"/>
    </row>
    <row r="463" ht="15" customHeight="1">
      <c r="A463" t="inlineStr">
        <is>
          <t>A 39446-2025</t>
        </is>
      </c>
      <c r="B463" s="1" t="n">
        <v>45889.70388888889</v>
      </c>
      <c r="C463" s="1" t="n">
        <v>45968</v>
      </c>
      <c r="D463" t="inlineStr">
        <is>
          <t>ÖREBRO LÄN</t>
        </is>
      </c>
      <c r="E463" t="inlineStr">
        <is>
          <t>ÖREBRO</t>
        </is>
      </c>
      <c r="F463" t="inlineStr">
        <is>
          <t>Kyrkan</t>
        </is>
      </c>
      <c r="G463" t="n">
        <v>3.2</v>
      </c>
      <c r="H463" t="n">
        <v>0</v>
      </c>
      <c r="I463" t="n">
        <v>0</v>
      </c>
      <c r="J463" t="n">
        <v>0</v>
      </c>
      <c r="K463" t="n">
        <v>0</v>
      </c>
      <c r="L463" t="n">
        <v>0</v>
      </c>
      <c r="M463" t="n">
        <v>0</v>
      </c>
      <c r="N463" t="n">
        <v>0</v>
      </c>
      <c r="O463" t="n">
        <v>0</v>
      </c>
      <c r="P463" t="n">
        <v>0</v>
      </c>
      <c r="Q463" t="n">
        <v>0</v>
      </c>
      <c r="R463" s="2" t="inlineStr"/>
    </row>
    <row r="464" ht="15" customHeight="1">
      <c r="A464" t="inlineStr">
        <is>
          <t>A 13158-2024</t>
        </is>
      </c>
      <c r="B464" s="1" t="n">
        <v>45386.38728009259</v>
      </c>
      <c r="C464" s="1" t="n">
        <v>45968</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5330-2024</t>
        </is>
      </c>
      <c r="B465" s="1" t="n">
        <v>45331.4187962963</v>
      </c>
      <c r="C465" s="1" t="n">
        <v>45968</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54925-2023</t>
        </is>
      </c>
      <c r="B466" s="1" t="n">
        <v>45229</v>
      </c>
      <c r="C466" s="1" t="n">
        <v>45968</v>
      </c>
      <c r="D466" t="inlineStr">
        <is>
          <t>ÖREBRO LÄN</t>
        </is>
      </c>
      <c r="E466" t="inlineStr">
        <is>
          <t>ÖREBRO</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46323-2024</t>
        </is>
      </c>
      <c r="B467" s="1" t="n">
        <v>45581.84538194445</v>
      </c>
      <c r="C467" s="1" t="n">
        <v>45968</v>
      </c>
      <c r="D467" t="inlineStr">
        <is>
          <t>ÖREBRO LÄN</t>
        </is>
      </c>
      <c r="E467" t="inlineStr">
        <is>
          <t>ÖREBRO</t>
        </is>
      </c>
      <c r="F467" t="inlineStr">
        <is>
          <t>Övriga Aktiebolag</t>
        </is>
      </c>
      <c r="G467" t="n">
        <v>1.4</v>
      </c>
      <c r="H467" t="n">
        <v>0</v>
      </c>
      <c r="I467" t="n">
        <v>0</v>
      </c>
      <c r="J467" t="n">
        <v>0</v>
      </c>
      <c r="K467" t="n">
        <v>0</v>
      </c>
      <c r="L467" t="n">
        <v>0</v>
      </c>
      <c r="M467" t="n">
        <v>0</v>
      </c>
      <c r="N467" t="n">
        <v>0</v>
      </c>
      <c r="O467" t="n">
        <v>0</v>
      </c>
      <c r="P467" t="n">
        <v>0</v>
      </c>
      <c r="Q467" t="n">
        <v>0</v>
      </c>
      <c r="R467" s="2" t="inlineStr"/>
    </row>
    <row r="468" ht="15" customHeight="1">
      <c r="A468" t="inlineStr">
        <is>
          <t>A 10830-2023</t>
        </is>
      </c>
      <c r="B468" s="1" t="n">
        <v>44990.89752314815</v>
      </c>
      <c r="C468" s="1" t="n">
        <v>45968</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30015-2023</t>
        </is>
      </c>
      <c r="B469" s="1" t="n">
        <v>45109</v>
      </c>
      <c r="C469" s="1" t="n">
        <v>45968</v>
      </c>
      <c r="D469" t="inlineStr">
        <is>
          <t>ÖREBRO LÄN</t>
        </is>
      </c>
      <c r="E469" t="inlineStr">
        <is>
          <t>ÖREBRO</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9585-2025</t>
        </is>
      </c>
      <c r="B470" s="1" t="n">
        <v>45715.63409722222</v>
      </c>
      <c r="C470" s="1" t="n">
        <v>45968</v>
      </c>
      <c r="D470" t="inlineStr">
        <is>
          <t>ÖREBRO LÄN</t>
        </is>
      </c>
      <c r="E470" t="inlineStr">
        <is>
          <t>ÖREBRO</t>
        </is>
      </c>
      <c r="G470" t="n">
        <v>3.4</v>
      </c>
      <c r="H470" t="n">
        <v>0</v>
      </c>
      <c r="I470" t="n">
        <v>0</v>
      </c>
      <c r="J470" t="n">
        <v>0</v>
      </c>
      <c r="K470" t="n">
        <v>0</v>
      </c>
      <c r="L470" t="n">
        <v>0</v>
      </c>
      <c r="M470" t="n">
        <v>0</v>
      </c>
      <c r="N470" t="n">
        <v>0</v>
      </c>
      <c r="O470" t="n">
        <v>0</v>
      </c>
      <c r="P470" t="n">
        <v>0</v>
      </c>
      <c r="Q470" t="n">
        <v>0</v>
      </c>
      <c r="R470" s="2" t="inlineStr"/>
    </row>
    <row r="471" ht="15" customHeight="1">
      <c r="A471" t="inlineStr">
        <is>
          <t>A 1013-2024</t>
        </is>
      </c>
      <c r="B471" s="1" t="n">
        <v>45301</v>
      </c>
      <c r="C471" s="1" t="n">
        <v>45968</v>
      </c>
      <c r="D471" t="inlineStr">
        <is>
          <t>ÖREBRO LÄN</t>
        </is>
      </c>
      <c r="E471" t="inlineStr">
        <is>
          <t>ÖREBRO</t>
        </is>
      </c>
      <c r="G471" t="n">
        <v>2.6</v>
      </c>
      <c r="H471" t="n">
        <v>0</v>
      </c>
      <c r="I471" t="n">
        <v>0</v>
      </c>
      <c r="J471" t="n">
        <v>0</v>
      </c>
      <c r="K471" t="n">
        <v>0</v>
      </c>
      <c r="L471" t="n">
        <v>0</v>
      </c>
      <c r="M471" t="n">
        <v>0</v>
      </c>
      <c r="N471" t="n">
        <v>0</v>
      </c>
      <c r="O471" t="n">
        <v>0</v>
      </c>
      <c r="P471" t="n">
        <v>0</v>
      </c>
      <c r="Q471" t="n">
        <v>0</v>
      </c>
      <c r="R471" s="2" t="inlineStr"/>
    </row>
    <row r="472" ht="15" customHeight="1">
      <c r="A472" t="inlineStr">
        <is>
          <t>A 5125-2024</t>
        </is>
      </c>
      <c r="B472" s="1" t="n">
        <v>45330</v>
      </c>
      <c r="C472" s="1" t="n">
        <v>45968</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39479-2025</t>
        </is>
      </c>
      <c r="B473" s="1" t="n">
        <v>45890.34752314815</v>
      </c>
      <c r="C473" s="1" t="n">
        <v>45968</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8512-2025</t>
        </is>
      </c>
      <c r="B474" s="1" t="n">
        <v>45709.54873842592</v>
      </c>
      <c r="C474" s="1" t="n">
        <v>45968</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42138-2024</t>
        </is>
      </c>
      <c r="B475" s="1" t="n">
        <v>45562.41854166667</v>
      </c>
      <c r="C475" s="1" t="n">
        <v>45968</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26101-2022</t>
        </is>
      </c>
      <c r="B476" s="1" t="n">
        <v>44734</v>
      </c>
      <c r="C476" s="1" t="n">
        <v>45968</v>
      </c>
      <c r="D476" t="inlineStr">
        <is>
          <t>ÖREBRO LÄN</t>
        </is>
      </c>
      <c r="E476" t="inlineStr">
        <is>
          <t>ÖREBRO</t>
        </is>
      </c>
      <c r="G476" t="n">
        <v>15.8</v>
      </c>
      <c r="H476" t="n">
        <v>0</v>
      </c>
      <c r="I476" t="n">
        <v>0</v>
      </c>
      <c r="J476" t="n">
        <v>0</v>
      </c>
      <c r="K476" t="n">
        <v>0</v>
      </c>
      <c r="L476" t="n">
        <v>0</v>
      </c>
      <c r="M476" t="n">
        <v>0</v>
      </c>
      <c r="N476" t="n">
        <v>0</v>
      </c>
      <c r="O476" t="n">
        <v>0</v>
      </c>
      <c r="P476" t="n">
        <v>0</v>
      </c>
      <c r="Q476" t="n">
        <v>0</v>
      </c>
      <c r="R476" s="2" t="inlineStr"/>
    </row>
    <row r="477" ht="15" customHeight="1">
      <c r="A477" t="inlineStr">
        <is>
          <t>A 2095-2025</t>
        </is>
      </c>
      <c r="B477" s="1" t="n">
        <v>45672</v>
      </c>
      <c r="C477" s="1" t="n">
        <v>45968</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14715-2024</t>
        </is>
      </c>
      <c r="B478" s="1" t="n">
        <v>45397.5500462963</v>
      </c>
      <c r="C478" s="1" t="n">
        <v>45968</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58145-2024</t>
        </is>
      </c>
      <c r="B479" s="1" t="n">
        <v>45632.43230324074</v>
      </c>
      <c r="C479" s="1" t="n">
        <v>45968</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71206-2021</t>
        </is>
      </c>
      <c r="B480" s="1" t="n">
        <v>44539</v>
      </c>
      <c r="C480" s="1" t="n">
        <v>45968</v>
      </c>
      <c r="D480" t="inlineStr">
        <is>
          <t>ÖREBRO LÄN</t>
        </is>
      </c>
      <c r="E480" t="inlineStr">
        <is>
          <t>ÖREBRO</t>
        </is>
      </c>
      <c r="G480" t="n">
        <v>2.5</v>
      </c>
      <c r="H480" t="n">
        <v>0</v>
      </c>
      <c r="I480" t="n">
        <v>0</v>
      </c>
      <c r="J480" t="n">
        <v>0</v>
      </c>
      <c r="K480" t="n">
        <v>0</v>
      </c>
      <c r="L480" t="n">
        <v>0</v>
      </c>
      <c r="M480" t="n">
        <v>0</v>
      </c>
      <c r="N480" t="n">
        <v>0</v>
      </c>
      <c r="O480" t="n">
        <v>0</v>
      </c>
      <c r="P480" t="n">
        <v>0</v>
      </c>
      <c r="Q480" t="n">
        <v>0</v>
      </c>
      <c r="R480" s="2" t="inlineStr"/>
    </row>
    <row r="481" ht="15" customHeight="1">
      <c r="A481" t="inlineStr">
        <is>
          <t>A 48140-2024</t>
        </is>
      </c>
      <c r="B481" s="1" t="n">
        <v>45589.66474537037</v>
      </c>
      <c r="C481" s="1" t="n">
        <v>45968</v>
      </c>
      <c r="D481" t="inlineStr">
        <is>
          <t>ÖREBRO LÄN</t>
        </is>
      </c>
      <c r="E481" t="inlineStr">
        <is>
          <t>ÖREBRO</t>
        </is>
      </c>
      <c r="G481" t="n">
        <v>2.4</v>
      </c>
      <c r="H481" t="n">
        <v>0</v>
      </c>
      <c r="I481" t="n">
        <v>0</v>
      </c>
      <c r="J481" t="n">
        <v>0</v>
      </c>
      <c r="K481" t="n">
        <v>0</v>
      </c>
      <c r="L481" t="n">
        <v>0</v>
      </c>
      <c r="M481" t="n">
        <v>0</v>
      </c>
      <c r="N481" t="n">
        <v>0</v>
      </c>
      <c r="O481" t="n">
        <v>0</v>
      </c>
      <c r="P481" t="n">
        <v>0</v>
      </c>
      <c r="Q481" t="n">
        <v>0</v>
      </c>
      <c r="R481" s="2" t="inlineStr"/>
    </row>
    <row r="482" ht="15" customHeight="1">
      <c r="A482" t="inlineStr">
        <is>
          <t>A 16300-2022</t>
        </is>
      </c>
      <c r="B482" s="1" t="n">
        <v>44670</v>
      </c>
      <c r="C482" s="1" t="n">
        <v>45968</v>
      </c>
      <c r="D482" t="inlineStr">
        <is>
          <t>ÖREBRO LÄN</t>
        </is>
      </c>
      <c r="E482" t="inlineStr">
        <is>
          <t>ÖREBRO</t>
        </is>
      </c>
      <c r="G482" t="n">
        <v>0.8</v>
      </c>
      <c r="H482" t="n">
        <v>0</v>
      </c>
      <c r="I482" t="n">
        <v>0</v>
      </c>
      <c r="J482" t="n">
        <v>0</v>
      </c>
      <c r="K482" t="n">
        <v>0</v>
      </c>
      <c r="L482" t="n">
        <v>0</v>
      </c>
      <c r="M482" t="n">
        <v>0</v>
      </c>
      <c r="N482" t="n">
        <v>0</v>
      </c>
      <c r="O482" t="n">
        <v>0</v>
      </c>
      <c r="P482" t="n">
        <v>0</v>
      </c>
      <c r="Q482" t="n">
        <v>0</v>
      </c>
      <c r="R482" s="2" t="inlineStr"/>
    </row>
    <row r="483" ht="15" customHeight="1">
      <c r="A483" t="inlineStr">
        <is>
          <t>A 41703-2024</t>
        </is>
      </c>
      <c r="B483" s="1" t="n">
        <v>45560</v>
      </c>
      <c r="C483" s="1" t="n">
        <v>45968</v>
      </c>
      <c r="D483" t="inlineStr">
        <is>
          <t>ÖREBRO LÄN</t>
        </is>
      </c>
      <c r="E483" t="inlineStr">
        <is>
          <t>ÖREBRO</t>
        </is>
      </c>
      <c r="G483" t="n">
        <v>6.4</v>
      </c>
      <c r="H483" t="n">
        <v>0</v>
      </c>
      <c r="I483" t="n">
        <v>0</v>
      </c>
      <c r="J483" t="n">
        <v>0</v>
      </c>
      <c r="K483" t="n">
        <v>0</v>
      </c>
      <c r="L483" t="n">
        <v>0</v>
      </c>
      <c r="M483" t="n">
        <v>0</v>
      </c>
      <c r="N483" t="n">
        <v>0</v>
      </c>
      <c r="O483" t="n">
        <v>0</v>
      </c>
      <c r="P483" t="n">
        <v>0</v>
      </c>
      <c r="Q483" t="n">
        <v>0</v>
      </c>
      <c r="R483" s="2" t="inlineStr"/>
    </row>
    <row r="484" ht="15" customHeight="1">
      <c r="A484" t="inlineStr">
        <is>
          <t>A 18181-2024</t>
        </is>
      </c>
      <c r="B484" s="1" t="n">
        <v>45420.64561342593</v>
      </c>
      <c r="C484" s="1" t="n">
        <v>45968</v>
      </c>
      <c r="D484" t="inlineStr">
        <is>
          <t>ÖREBRO LÄN</t>
        </is>
      </c>
      <c r="E484" t="inlineStr">
        <is>
          <t>ÖREBRO</t>
        </is>
      </c>
      <c r="G484" t="n">
        <v>7.6</v>
      </c>
      <c r="H484" t="n">
        <v>0</v>
      </c>
      <c r="I484" t="n">
        <v>0</v>
      </c>
      <c r="J484" t="n">
        <v>0</v>
      </c>
      <c r="K484" t="n">
        <v>0</v>
      </c>
      <c r="L484" t="n">
        <v>0</v>
      </c>
      <c r="M484" t="n">
        <v>0</v>
      </c>
      <c r="N484" t="n">
        <v>0</v>
      </c>
      <c r="O484" t="n">
        <v>0</v>
      </c>
      <c r="P484" t="n">
        <v>0</v>
      </c>
      <c r="Q484" t="n">
        <v>0</v>
      </c>
      <c r="R484" s="2" t="inlineStr"/>
    </row>
    <row r="485" ht="15" customHeight="1">
      <c r="A485" t="inlineStr">
        <is>
          <t>A 70707-2021</t>
        </is>
      </c>
      <c r="B485" s="1" t="n">
        <v>44537</v>
      </c>
      <c r="C485" s="1" t="n">
        <v>45968</v>
      </c>
      <c r="D485" t="inlineStr">
        <is>
          <t>ÖREBRO LÄN</t>
        </is>
      </c>
      <c r="E485" t="inlineStr">
        <is>
          <t>ÖREBRO</t>
        </is>
      </c>
      <c r="G485" t="n">
        <v>13.2</v>
      </c>
      <c r="H485" t="n">
        <v>0</v>
      </c>
      <c r="I485" t="n">
        <v>0</v>
      </c>
      <c r="J485" t="n">
        <v>0</v>
      </c>
      <c r="K485" t="n">
        <v>0</v>
      </c>
      <c r="L485" t="n">
        <v>0</v>
      </c>
      <c r="M485" t="n">
        <v>0</v>
      </c>
      <c r="N485" t="n">
        <v>0</v>
      </c>
      <c r="O485" t="n">
        <v>0</v>
      </c>
      <c r="P485" t="n">
        <v>0</v>
      </c>
      <c r="Q485" t="n">
        <v>0</v>
      </c>
      <c r="R485" s="2" t="inlineStr"/>
    </row>
    <row r="486" ht="15" customHeight="1">
      <c r="A486" t="inlineStr">
        <is>
          <t>A 40330-2025</t>
        </is>
      </c>
      <c r="B486" s="1" t="n">
        <v>45895.4531712963</v>
      </c>
      <c r="C486" s="1" t="n">
        <v>45968</v>
      </c>
      <c r="D486" t="inlineStr">
        <is>
          <t>ÖREBRO LÄN</t>
        </is>
      </c>
      <c r="E486" t="inlineStr">
        <is>
          <t>ÖREBRO</t>
        </is>
      </c>
      <c r="G486" t="n">
        <v>0.9</v>
      </c>
      <c r="H486" t="n">
        <v>0</v>
      </c>
      <c r="I486" t="n">
        <v>0</v>
      </c>
      <c r="J486" t="n">
        <v>0</v>
      </c>
      <c r="K486" t="n">
        <v>0</v>
      </c>
      <c r="L486" t="n">
        <v>0</v>
      </c>
      <c r="M486" t="n">
        <v>0</v>
      </c>
      <c r="N486" t="n">
        <v>0</v>
      </c>
      <c r="O486" t="n">
        <v>0</v>
      </c>
      <c r="P486" t="n">
        <v>0</v>
      </c>
      <c r="Q486" t="n">
        <v>0</v>
      </c>
      <c r="R486" s="2" t="inlineStr"/>
    </row>
    <row r="487" ht="15" customHeight="1">
      <c r="A487" t="inlineStr">
        <is>
          <t>A 40332-2025</t>
        </is>
      </c>
      <c r="B487" s="1" t="n">
        <v>45895.46060185185</v>
      </c>
      <c r="C487" s="1" t="n">
        <v>45968</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60100-2022</t>
        </is>
      </c>
      <c r="B488" s="1" t="n">
        <v>44902</v>
      </c>
      <c r="C488" s="1" t="n">
        <v>45968</v>
      </c>
      <c r="D488" t="inlineStr">
        <is>
          <t>ÖREBRO LÄN</t>
        </is>
      </c>
      <c r="E488" t="inlineStr">
        <is>
          <t>ÖREBRO</t>
        </is>
      </c>
      <c r="G488" t="n">
        <v>1.4</v>
      </c>
      <c r="H488" t="n">
        <v>0</v>
      </c>
      <c r="I488" t="n">
        <v>0</v>
      </c>
      <c r="J488" t="n">
        <v>0</v>
      </c>
      <c r="K488" t="n">
        <v>0</v>
      </c>
      <c r="L488" t="n">
        <v>0</v>
      </c>
      <c r="M488" t="n">
        <v>0</v>
      </c>
      <c r="N488" t="n">
        <v>0</v>
      </c>
      <c r="O488" t="n">
        <v>0</v>
      </c>
      <c r="P488" t="n">
        <v>0</v>
      </c>
      <c r="Q488" t="n">
        <v>0</v>
      </c>
      <c r="R488" s="2" t="inlineStr"/>
    </row>
    <row r="489" ht="15" customHeight="1">
      <c r="A489" t="inlineStr">
        <is>
          <t>A 2152-2023</t>
        </is>
      </c>
      <c r="B489" s="1" t="n">
        <v>44941.55056712963</v>
      </c>
      <c r="C489" s="1" t="n">
        <v>45968</v>
      </c>
      <c r="D489" t="inlineStr">
        <is>
          <t>ÖREBRO LÄN</t>
        </is>
      </c>
      <c r="E489" t="inlineStr">
        <is>
          <t>ÖREBRO</t>
        </is>
      </c>
      <c r="G489" t="n">
        <v>8</v>
      </c>
      <c r="H489" t="n">
        <v>0</v>
      </c>
      <c r="I489" t="n">
        <v>0</v>
      </c>
      <c r="J489" t="n">
        <v>0</v>
      </c>
      <c r="K489" t="n">
        <v>0</v>
      </c>
      <c r="L489" t="n">
        <v>0</v>
      </c>
      <c r="M489" t="n">
        <v>0</v>
      </c>
      <c r="N489" t="n">
        <v>0</v>
      </c>
      <c r="O489" t="n">
        <v>0</v>
      </c>
      <c r="P489" t="n">
        <v>0</v>
      </c>
      <c r="Q489" t="n">
        <v>0</v>
      </c>
      <c r="R489" s="2" t="inlineStr"/>
    </row>
    <row r="490" ht="15" customHeight="1">
      <c r="A490" t="inlineStr">
        <is>
          <t>A 8656-2025</t>
        </is>
      </c>
      <c r="B490" s="1" t="n">
        <v>45712.38268518518</v>
      </c>
      <c r="C490" s="1" t="n">
        <v>45968</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55353-2024</t>
        </is>
      </c>
      <c r="B491" s="1" t="n">
        <v>45621.79526620371</v>
      </c>
      <c r="C491" s="1" t="n">
        <v>45968</v>
      </c>
      <c r="D491" t="inlineStr">
        <is>
          <t>ÖREBRO LÄN</t>
        </is>
      </c>
      <c r="E491" t="inlineStr">
        <is>
          <t>ÖREBRO</t>
        </is>
      </c>
      <c r="G491" t="n">
        <v>0.5</v>
      </c>
      <c r="H491" t="n">
        <v>0</v>
      </c>
      <c r="I491" t="n">
        <v>0</v>
      </c>
      <c r="J491" t="n">
        <v>0</v>
      </c>
      <c r="K491" t="n">
        <v>0</v>
      </c>
      <c r="L491" t="n">
        <v>0</v>
      </c>
      <c r="M491" t="n">
        <v>0</v>
      </c>
      <c r="N491" t="n">
        <v>0</v>
      </c>
      <c r="O491" t="n">
        <v>0</v>
      </c>
      <c r="P491" t="n">
        <v>0</v>
      </c>
      <c r="Q491" t="n">
        <v>0</v>
      </c>
      <c r="R491" s="2" t="inlineStr"/>
    </row>
    <row r="492" ht="15" customHeight="1">
      <c r="A492" t="inlineStr">
        <is>
          <t>A 55357-2024</t>
        </is>
      </c>
      <c r="B492" s="1" t="n">
        <v>45621.81126157408</v>
      </c>
      <c r="C492" s="1" t="n">
        <v>45968</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48454-2025</t>
        </is>
      </c>
      <c r="B493" s="1" t="n">
        <v>45935.80164351852</v>
      </c>
      <c r="C493" s="1" t="n">
        <v>45968</v>
      </c>
      <c r="D493" t="inlineStr">
        <is>
          <t>ÖREBRO LÄN</t>
        </is>
      </c>
      <c r="E493" t="inlineStr">
        <is>
          <t>ÖREBRO</t>
        </is>
      </c>
      <c r="F493" t="inlineStr">
        <is>
          <t>Övriga Aktiebolag</t>
        </is>
      </c>
      <c r="G493" t="n">
        <v>18.1</v>
      </c>
      <c r="H493" t="n">
        <v>0</v>
      </c>
      <c r="I493" t="n">
        <v>0</v>
      </c>
      <c r="J493" t="n">
        <v>0</v>
      </c>
      <c r="K493" t="n">
        <v>0</v>
      </c>
      <c r="L493" t="n">
        <v>0</v>
      </c>
      <c r="M493" t="n">
        <v>0</v>
      </c>
      <c r="N493" t="n">
        <v>0</v>
      </c>
      <c r="O493" t="n">
        <v>0</v>
      </c>
      <c r="P493" t="n">
        <v>0</v>
      </c>
      <c r="Q493" t="n">
        <v>0</v>
      </c>
      <c r="R493" s="2" t="inlineStr"/>
    </row>
    <row r="494" ht="15" customHeight="1">
      <c r="A494" t="inlineStr">
        <is>
          <t>A 42623-2022</t>
        </is>
      </c>
      <c r="B494" s="1" t="n">
        <v>44831</v>
      </c>
      <c r="C494" s="1" t="n">
        <v>45968</v>
      </c>
      <c r="D494" t="inlineStr">
        <is>
          <t>ÖREBRO LÄN</t>
        </is>
      </c>
      <c r="E494" t="inlineStr">
        <is>
          <t>ÖREBRO</t>
        </is>
      </c>
      <c r="G494" t="n">
        <v>3.6</v>
      </c>
      <c r="H494" t="n">
        <v>0</v>
      </c>
      <c r="I494" t="n">
        <v>0</v>
      </c>
      <c r="J494" t="n">
        <v>0</v>
      </c>
      <c r="K494" t="n">
        <v>0</v>
      </c>
      <c r="L494" t="n">
        <v>0</v>
      </c>
      <c r="M494" t="n">
        <v>0</v>
      </c>
      <c r="N494" t="n">
        <v>0</v>
      </c>
      <c r="O494" t="n">
        <v>0</v>
      </c>
      <c r="P494" t="n">
        <v>0</v>
      </c>
      <c r="Q494" t="n">
        <v>0</v>
      </c>
      <c r="R494" s="2" t="inlineStr"/>
    </row>
    <row r="495" ht="15" customHeight="1">
      <c r="A495" t="inlineStr">
        <is>
          <t>A 72329-2021</t>
        </is>
      </c>
      <c r="B495" s="1" t="n">
        <v>44545.46072916667</v>
      </c>
      <c r="C495" s="1" t="n">
        <v>45968</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33577-2023</t>
        </is>
      </c>
      <c r="B496" s="1" t="n">
        <v>45131</v>
      </c>
      <c r="C496" s="1" t="n">
        <v>45968</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38489-2023</t>
        </is>
      </c>
      <c r="B497" s="1" t="n">
        <v>45162</v>
      </c>
      <c r="C497" s="1" t="n">
        <v>45968</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48644-2024</t>
        </is>
      </c>
      <c r="B498" s="1" t="n">
        <v>45593.47466435185</v>
      </c>
      <c r="C498" s="1" t="n">
        <v>45968</v>
      </c>
      <c r="D498" t="inlineStr">
        <is>
          <t>ÖREBRO LÄN</t>
        </is>
      </c>
      <c r="E498" t="inlineStr">
        <is>
          <t>ÖREBRO</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19763-2024</t>
        </is>
      </c>
      <c r="B499" s="1" t="n">
        <v>45432</v>
      </c>
      <c r="C499" s="1" t="n">
        <v>45968</v>
      </c>
      <c r="D499" t="inlineStr">
        <is>
          <t>ÖREBRO LÄN</t>
        </is>
      </c>
      <c r="E499" t="inlineStr">
        <is>
          <t>ÖREBRO</t>
        </is>
      </c>
      <c r="G499" t="n">
        <v>1.9</v>
      </c>
      <c r="H499" t="n">
        <v>0</v>
      </c>
      <c r="I499" t="n">
        <v>0</v>
      </c>
      <c r="J499" t="n">
        <v>0</v>
      </c>
      <c r="K499" t="n">
        <v>0</v>
      </c>
      <c r="L499" t="n">
        <v>0</v>
      </c>
      <c r="M499" t="n">
        <v>0</v>
      </c>
      <c r="N499" t="n">
        <v>0</v>
      </c>
      <c r="O499" t="n">
        <v>0</v>
      </c>
      <c r="P499" t="n">
        <v>0</v>
      </c>
      <c r="Q499" t="n">
        <v>0</v>
      </c>
      <c r="R499" s="2" t="inlineStr"/>
    </row>
    <row r="500" ht="15" customHeight="1">
      <c r="A500" t="inlineStr">
        <is>
          <t>A 14545-2023</t>
        </is>
      </c>
      <c r="B500" s="1" t="n">
        <v>45013.34895833334</v>
      </c>
      <c r="C500" s="1" t="n">
        <v>45968</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54917-2023</t>
        </is>
      </c>
      <c r="B501" s="1" t="n">
        <v>45229</v>
      </c>
      <c r="C501" s="1" t="n">
        <v>45968</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14432-2023</t>
        </is>
      </c>
      <c r="B502" s="1" t="n">
        <v>45012</v>
      </c>
      <c r="C502" s="1" t="n">
        <v>45968</v>
      </c>
      <c r="D502" t="inlineStr">
        <is>
          <t>ÖREBRO LÄN</t>
        </is>
      </c>
      <c r="E502" t="inlineStr">
        <is>
          <t>ÖREBRO</t>
        </is>
      </c>
      <c r="G502" t="n">
        <v>3.3</v>
      </c>
      <c r="H502" t="n">
        <v>0</v>
      </c>
      <c r="I502" t="n">
        <v>0</v>
      </c>
      <c r="J502" t="n">
        <v>0</v>
      </c>
      <c r="K502" t="n">
        <v>0</v>
      </c>
      <c r="L502" t="n">
        <v>0</v>
      </c>
      <c r="M502" t="n">
        <v>0</v>
      </c>
      <c r="N502" t="n">
        <v>0</v>
      </c>
      <c r="O502" t="n">
        <v>0</v>
      </c>
      <c r="P502" t="n">
        <v>0</v>
      </c>
      <c r="Q502" t="n">
        <v>0</v>
      </c>
      <c r="R502" s="2" t="inlineStr"/>
    </row>
    <row r="503" ht="15" customHeight="1">
      <c r="A503" t="inlineStr">
        <is>
          <t>A 3652-2022</t>
        </is>
      </c>
      <c r="B503" s="1" t="n">
        <v>44586.46921296296</v>
      </c>
      <c r="C503" s="1" t="n">
        <v>45968</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37021-2024</t>
        </is>
      </c>
      <c r="B504" s="1" t="n">
        <v>45539.38146990741</v>
      </c>
      <c r="C504" s="1" t="n">
        <v>45968</v>
      </c>
      <c r="D504" t="inlineStr">
        <is>
          <t>ÖREBRO LÄN</t>
        </is>
      </c>
      <c r="E504" t="inlineStr">
        <is>
          <t>ÖREBRO</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4344-2025</t>
        </is>
      </c>
      <c r="B505" s="1" t="n">
        <v>45685</v>
      </c>
      <c r="C505" s="1" t="n">
        <v>45968</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55355-2024</t>
        </is>
      </c>
      <c r="B506" s="1" t="n">
        <v>45621.80475694445</v>
      </c>
      <c r="C506" s="1" t="n">
        <v>45968</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52499-2024</t>
        </is>
      </c>
      <c r="B507" s="1" t="n">
        <v>45609.58422453704</v>
      </c>
      <c r="C507" s="1" t="n">
        <v>45968</v>
      </c>
      <c r="D507" t="inlineStr">
        <is>
          <t>ÖREBRO LÄN</t>
        </is>
      </c>
      <c r="E507" t="inlineStr">
        <is>
          <t>ÖREBRO</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8374-2021</t>
        </is>
      </c>
      <c r="B508" s="1" t="n">
        <v>44244</v>
      </c>
      <c r="C508" s="1" t="n">
        <v>45968</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14960-2025</t>
        </is>
      </c>
      <c r="B509" s="1" t="n">
        <v>45743.5853125</v>
      </c>
      <c r="C509" s="1" t="n">
        <v>45968</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13623-2024</t>
        </is>
      </c>
      <c r="B510" s="1" t="n">
        <v>45390.38626157407</v>
      </c>
      <c r="C510" s="1" t="n">
        <v>45968</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56077-2022</t>
        </is>
      </c>
      <c r="B511" s="1" t="n">
        <v>44889.60872685185</v>
      </c>
      <c r="C511" s="1" t="n">
        <v>45968</v>
      </c>
      <c r="D511" t="inlineStr">
        <is>
          <t>ÖREBRO LÄN</t>
        </is>
      </c>
      <c r="E511" t="inlineStr">
        <is>
          <t>ÖREBRO</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5619-2023</t>
        </is>
      </c>
      <c r="B512" s="1" t="n">
        <v>44958</v>
      </c>
      <c r="C512" s="1" t="n">
        <v>45968</v>
      </c>
      <c r="D512" t="inlineStr">
        <is>
          <t>ÖREBRO LÄN</t>
        </is>
      </c>
      <c r="E512" t="inlineStr">
        <is>
          <t>ÖREBRO</t>
        </is>
      </c>
      <c r="G512" t="n">
        <v>27</v>
      </c>
      <c r="H512" t="n">
        <v>0</v>
      </c>
      <c r="I512" t="n">
        <v>0</v>
      </c>
      <c r="J512" t="n">
        <v>0</v>
      </c>
      <c r="K512" t="n">
        <v>0</v>
      </c>
      <c r="L512" t="n">
        <v>0</v>
      </c>
      <c r="M512" t="n">
        <v>0</v>
      </c>
      <c r="N512" t="n">
        <v>0</v>
      </c>
      <c r="O512" t="n">
        <v>0</v>
      </c>
      <c r="P512" t="n">
        <v>0</v>
      </c>
      <c r="Q512" t="n">
        <v>0</v>
      </c>
      <c r="R512" s="2" t="inlineStr"/>
    </row>
    <row r="513" ht="15" customHeight="1">
      <c r="A513" t="inlineStr">
        <is>
          <t>A 37277-2022</t>
        </is>
      </c>
      <c r="B513" s="1" t="n">
        <v>44807.49150462963</v>
      </c>
      <c r="C513" s="1" t="n">
        <v>45968</v>
      </c>
      <c r="D513" t="inlineStr">
        <is>
          <t>ÖREBRO LÄN</t>
        </is>
      </c>
      <c r="E513" t="inlineStr">
        <is>
          <t>ÖREBRO</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33457-2023</t>
        </is>
      </c>
      <c r="B514" s="1" t="n">
        <v>45131</v>
      </c>
      <c r="C514" s="1" t="n">
        <v>45968</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7141-2025</t>
        </is>
      </c>
      <c r="B515" s="1" t="n">
        <v>45702</v>
      </c>
      <c r="C515" s="1" t="n">
        <v>45968</v>
      </c>
      <c r="D515" t="inlineStr">
        <is>
          <t>ÖREBRO LÄN</t>
        </is>
      </c>
      <c r="E515" t="inlineStr">
        <is>
          <t>ÖREBRO</t>
        </is>
      </c>
      <c r="G515" t="n">
        <v>2.9</v>
      </c>
      <c r="H515" t="n">
        <v>0</v>
      </c>
      <c r="I515" t="n">
        <v>0</v>
      </c>
      <c r="J515" t="n">
        <v>0</v>
      </c>
      <c r="K515" t="n">
        <v>0</v>
      </c>
      <c r="L515" t="n">
        <v>0</v>
      </c>
      <c r="M515" t="n">
        <v>0</v>
      </c>
      <c r="N515" t="n">
        <v>0</v>
      </c>
      <c r="O515" t="n">
        <v>0</v>
      </c>
      <c r="P515" t="n">
        <v>0</v>
      </c>
      <c r="Q515" t="n">
        <v>0</v>
      </c>
      <c r="R515" s="2" t="inlineStr"/>
    </row>
    <row r="516" ht="15" customHeight="1">
      <c r="A516" t="inlineStr">
        <is>
          <t>A 23573-2023</t>
        </is>
      </c>
      <c r="B516" s="1" t="n">
        <v>45077.41672453703</v>
      </c>
      <c r="C516" s="1" t="n">
        <v>45968</v>
      </c>
      <c r="D516" t="inlineStr">
        <is>
          <t>ÖREBRO LÄN</t>
        </is>
      </c>
      <c r="E516" t="inlineStr">
        <is>
          <t>ÖREBRO</t>
        </is>
      </c>
      <c r="G516" t="n">
        <v>2.9</v>
      </c>
      <c r="H516" t="n">
        <v>0</v>
      </c>
      <c r="I516" t="n">
        <v>0</v>
      </c>
      <c r="J516" t="n">
        <v>0</v>
      </c>
      <c r="K516" t="n">
        <v>0</v>
      </c>
      <c r="L516" t="n">
        <v>0</v>
      </c>
      <c r="M516" t="n">
        <v>0</v>
      </c>
      <c r="N516" t="n">
        <v>0</v>
      </c>
      <c r="O516" t="n">
        <v>0</v>
      </c>
      <c r="P516" t="n">
        <v>0</v>
      </c>
      <c r="Q516" t="n">
        <v>0</v>
      </c>
      <c r="R516" s="2" t="inlineStr"/>
    </row>
    <row r="517" ht="15" customHeight="1">
      <c r="A517" t="inlineStr">
        <is>
          <t>A 22677-2022</t>
        </is>
      </c>
      <c r="B517" s="1" t="n">
        <v>44714</v>
      </c>
      <c r="C517" s="1" t="n">
        <v>45968</v>
      </c>
      <c r="D517" t="inlineStr">
        <is>
          <t>ÖREBRO LÄN</t>
        </is>
      </c>
      <c r="E517" t="inlineStr">
        <is>
          <t>ÖREBRO</t>
        </is>
      </c>
      <c r="G517" t="n">
        <v>2.3</v>
      </c>
      <c r="H517" t="n">
        <v>0</v>
      </c>
      <c r="I517" t="n">
        <v>0</v>
      </c>
      <c r="J517" t="n">
        <v>0</v>
      </c>
      <c r="K517" t="n">
        <v>0</v>
      </c>
      <c r="L517" t="n">
        <v>0</v>
      </c>
      <c r="M517" t="n">
        <v>0</v>
      </c>
      <c r="N517" t="n">
        <v>0</v>
      </c>
      <c r="O517" t="n">
        <v>0</v>
      </c>
      <c r="P517" t="n">
        <v>0</v>
      </c>
      <c r="Q517" t="n">
        <v>0</v>
      </c>
      <c r="R517" s="2" t="inlineStr"/>
    </row>
    <row r="518" ht="15" customHeight="1">
      <c r="A518" t="inlineStr">
        <is>
          <t>A 13169-2024</t>
        </is>
      </c>
      <c r="B518" s="1" t="n">
        <v>45386.40489583334</v>
      </c>
      <c r="C518" s="1" t="n">
        <v>45968</v>
      </c>
      <c r="D518" t="inlineStr">
        <is>
          <t>ÖREBRO LÄN</t>
        </is>
      </c>
      <c r="E518" t="inlineStr">
        <is>
          <t>ÖREBRO</t>
        </is>
      </c>
      <c r="G518" t="n">
        <v>4.3</v>
      </c>
      <c r="H518" t="n">
        <v>0</v>
      </c>
      <c r="I518" t="n">
        <v>0</v>
      </c>
      <c r="J518" t="n">
        <v>0</v>
      </c>
      <c r="K518" t="n">
        <v>0</v>
      </c>
      <c r="L518" t="n">
        <v>0</v>
      </c>
      <c r="M518" t="n">
        <v>0</v>
      </c>
      <c r="N518" t="n">
        <v>0</v>
      </c>
      <c r="O518" t="n">
        <v>0</v>
      </c>
      <c r="P518" t="n">
        <v>0</v>
      </c>
      <c r="Q518" t="n">
        <v>0</v>
      </c>
      <c r="R518" s="2" t="inlineStr"/>
    </row>
    <row r="519" ht="15" customHeight="1">
      <c r="A519" t="inlineStr">
        <is>
          <t>A 61593-2023</t>
        </is>
      </c>
      <c r="B519" s="1" t="n">
        <v>45265</v>
      </c>
      <c r="C519" s="1" t="n">
        <v>45968</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23710-2022</t>
        </is>
      </c>
      <c r="B520" s="1" t="n">
        <v>44722</v>
      </c>
      <c r="C520" s="1" t="n">
        <v>45968</v>
      </c>
      <c r="D520" t="inlineStr">
        <is>
          <t>ÖREBRO LÄN</t>
        </is>
      </c>
      <c r="E520" t="inlineStr">
        <is>
          <t>ÖREBRO</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4757-2024</t>
        </is>
      </c>
      <c r="B521" s="1" t="n">
        <v>45328</v>
      </c>
      <c r="C521" s="1" t="n">
        <v>45968</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59024-2024</t>
        </is>
      </c>
      <c r="B522" s="1" t="n">
        <v>45636.68505787037</v>
      </c>
      <c r="C522" s="1" t="n">
        <v>45968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30903-2024</t>
        </is>
      </c>
      <c r="B523" s="1" t="n">
        <v>45498.49946759259</v>
      </c>
      <c r="C523" s="1" t="n">
        <v>45968</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47193-2023</t>
        </is>
      </c>
      <c r="B524" s="1" t="n">
        <v>45202.3074537037</v>
      </c>
      <c r="C524" s="1" t="n">
        <v>45968</v>
      </c>
      <c r="D524" t="inlineStr">
        <is>
          <t>ÖREBRO LÄN</t>
        </is>
      </c>
      <c r="E524" t="inlineStr">
        <is>
          <t>ÖREBRO</t>
        </is>
      </c>
      <c r="G524" t="n">
        <v>2.4</v>
      </c>
      <c r="H524" t="n">
        <v>0</v>
      </c>
      <c r="I524" t="n">
        <v>0</v>
      </c>
      <c r="J524" t="n">
        <v>0</v>
      </c>
      <c r="K524" t="n">
        <v>0</v>
      </c>
      <c r="L524" t="n">
        <v>0</v>
      </c>
      <c r="M524" t="n">
        <v>0</v>
      </c>
      <c r="N524" t="n">
        <v>0</v>
      </c>
      <c r="O524" t="n">
        <v>0</v>
      </c>
      <c r="P524" t="n">
        <v>0</v>
      </c>
      <c r="Q524" t="n">
        <v>0</v>
      </c>
      <c r="R524" s="2" t="inlineStr"/>
    </row>
    <row r="525" ht="15" customHeight="1">
      <c r="A525" t="inlineStr">
        <is>
          <t>A 10339-2023</t>
        </is>
      </c>
      <c r="B525" s="1" t="n">
        <v>44987</v>
      </c>
      <c r="C525" s="1" t="n">
        <v>45968</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59026-2024</t>
        </is>
      </c>
      <c r="B526" s="1" t="n">
        <v>45636.6875</v>
      </c>
      <c r="C526" s="1" t="n">
        <v>45968</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31247-2023</t>
        </is>
      </c>
      <c r="B527" s="1" t="n">
        <v>45114</v>
      </c>
      <c r="C527" s="1" t="n">
        <v>45968</v>
      </c>
      <c r="D527" t="inlineStr">
        <is>
          <t>ÖREBRO LÄN</t>
        </is>
      </c>
      <c r="E527" t="inlineStr">
        <is>
          <t>ÖREBRO</t>
        </is>
      </c>
      <c r="F527" t="inlineStr">
        <is>
          <t>Allmännings- och besparingsskogar</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16165-2023</t>
        </is>
      </c>
      <c r="B528" s="1" t="n">
        <v>45027</v>
      </c>
      <c r="C528" s="1" t="n">
        <v>45968</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17465-2023</t>
        </is>
      </c>
      <c r="B529" s="1" t="n">
        <v>45036</v>
      </c>
      <c r="C529" s="1" t="n">
        <v>45968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41412-2025</t>
        </is>
      </c>
      <c r="B530" s="1" t="n">
        <v>45901.3549537037</v>
      </c>
      <c r="C530" s="1" t="n">
        <v>45968</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39130-2023</t>
        </is>
      </c>
      <c r="B531" s="1" t="n">
        <v>45165</v>
      </c>
      <c r="C531" s="1" t="n">
        <v>45968</v>
      </c>
      <c r="D531" t="inlineStr">
        <is>
          <t>ÖREBRO LÄN</t>
        </is>
      </c>
      <c r="E531" t="inlineStr">
        <is>
          <t>ÖREBRO</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50398-2022</t>
        </is>
      </c>
      <c r="B532" s="1" t="n">
        <v>44861</v>
      </c>
      <c r="C532" s="1" t="n">
        <v>45968</v>
      </c>
      <c r="D532" t="inlineStr">
        <is>
          <t>ÖREBRO LÄN</t>
        </is>
      </c>
      <c r="E532" t="inlineStr">
        <is>
          <t>ÖREBRO</t>
        </is>
      </c>
      <c r="G532" t="n">
        <v>1.9</v>
      </c>
      <c r="H532" t="n">
        <v>0</v>
      </c>
      <c r="I532" t="n">
        <v>0</v>
      </c>
      <c r="J532" t="n">
        <v>0</v>
      </c>
      <c r="K532" t="n">
        <v>0</v>
      </c>
      <c r="L532" t="n">
        <v>0</v>
      </c>
      <c r="M532" t="n">
        <v>0</v>
      </c>
      <c r="N532" t="n">
        <v>0</v>
      </c>
      <c r="O532" t="n">
        <v>0</v>
      </c>
      <c r="P532" t="n">
        <v>0</v>
      </c>
      <c r="Q532" t="n">
        <v>0</v>
      </c>
      <c r="R532" s="2" t="inlineStr"/>
    </row>
    <row r="533" ht="15" customHeight="1">
      <c r="A533" t="inlineStr">
        <is>
          <t>A 9379-2024</t>
        </is>
      </c>
      <c r="B533" s="1" t="n">
        <v>45359.37298611111</v>
      </c>
      <c r="C533" s="1" t="n">
        <v>45968</v>
      </c>
      <c r="D533" t="inlineStr">
        <is>
          <t>ÖREBRO LÄN</t>
        </is>
      </c>
      <c r="E533" t="inlineStr">
        <is>
          <t>ÖREBRO</t>
        </is>
      </c>
      <c r="G533" t="n">
        <v>2.4</v>
      </c>
      <c r="H533" t="n">
        <v>0</v>
      </c>
      <c r="I533" t="n">
        <v>0</v>
      </c>
      <c r="J533" t="n">
        <v>0</v>
      </c>
      <c r="K533" t="n">
        <v>0</v>
      </c>
      <c r="L533" t="n">
        <v>0</v>
      </c>
      <c r="M533" t="n">
        <v>0</v>
      </c>
      <c r="N533" t="n">
        <v>0</v>
      </c>
      <c r="O533" t="n">
        <v>0</v>
      </c>
      <c r="P533" t="n">
        <v>0</v>
      </c>
      <c r="Q533" t="n">
        <v>0</v>
      </c>
      <c r="R533" s="2" t="inlineStr"/>
    </row>
    <row r="534" ht="15" customHeight="1">
      <c r="A534" t="inlineStr">
        <is>
          <t>A 36635-2023</t>
        </is>
      </c>
      <c r="B534" s="1" t="n">
        <v>45153</v>
      </c>
      <c r="C534" s="1" t="n">
        <v>45968</v>
      </c>
      <c r="D534" t="inlineStr">
        <is>
          <t>ÖREBRO LÄN</t>
        </is>
      </c>
      <c r="E534" t="inlineStr">
        <is>
          <t>ÖREBRO</t>
        </is>
      </c>
      <c r="G534" t="n">
        <v>1.9</v>
      </c>
      <c r="H534" t="n">
        <v>0</v>
      </c>
      <c r="I534" t="n">
        <v>0</v>
      </c>
      <c r="J534" t="n">
        <v>0</v>
      </c>
      <c r="K534" t="n">
        <v>0</v>
      </c>
      <c r="L534" t="n">
        <v>0</v>
      </c>
      <c r="M534" t="n">
        <v>0</v>
      </c>
      <c r="N534" t="n">
        <v>0</v>
      </c>
      <c r="O534" t="n">
        <v>0</v>
      </c>
      <c r="P534" t="n">
        <v>0</v>
      </c>
      <c r="Q534" t="n">
        <v>0</v>
      </c>
      <c r="R534" s="2" t="inlineStr"/>
    </row>
    <row r="535" ht="15" customHeight="1">
      <c r="A535" t="inlineStr">
        <is>
          <t>A 681-2024</t>
        </is>
      </c>
      <c r="B535" s="1" t="n">
        <v>45300</v>
      </c>
      <c r="C535" s="1" t="n">
        <v>45968</v>
      </c>
      <c r="D535" t="inlineStr">
        <is>
          <t>ÖREBRO LÄN</t>
        </is>
      </c>
      <c r="E535" t="inlineStr">
        <is>
          <t>ÖREBRO</t>
        </is>
      </c>
      <c r="G535" t="n">
        <v>3.3</v>
      </c>
      <c r="H535" t="n">
        <v>0</v>
      </c>
      <c r="I535" t="n">
        <v>0</v>
      </c>
      <c r="J535" t="n">
        <v>0</v>
      </c>
      <c r="K535" t="n">
        <v>0</v>
      </c>
      <c r="L535" t="n">
        <v>0</v>
      </c>
      <c r="M535" t="n">
        <v>0</v>
      </c>
      <c r="N535" t="n">
        <v>0</v>
      </c>
      <c r="O535" t="n">
        <v>0</v>
      </c>
      <c r="P535" t="n">
        <v>0</v>
      </c>
      <c r="Q535" t="n">
        <v>0</v>
      </c>
      <c r="R535" s="2" t="inlineStr"/>
    </row>
    <row r="536" ht="15" customHeight="1">
      <c r="A536" t="inlineStr">
        <is>
          <t>A 41669-2025</t>
        </is>
      </c>
      <c r="B536" s="1" t="n">
        <v>45902.36149305556</v>
      </c>
      <c r="C536" s="1" t="n">
        <v>45968</v>
      </c>
      <c r="D536" t="inlineStr">
        <is>
          <t>ÖREBRO LÄN</t>
        </is>
      </c>
      <c r="E536" t="inlineStr">
        <is>
          <t>ÖREBRO</t>
        </is>
      </c>
      <c r="G536" t="n">
        <v>2.8</v>
      </c>
      <c r="H536" t="n">
        <v>0</v>
      </c>
      <c r="I536" t="n">
        <v>0</v>
      </c>
      <c r="J536" t="n">
        <v>0</v>
      </c>
      <c r="K536" t="n">
        <v>0</v>
      </c>
      <c r="L536" t="n">
        <v>0</v>
      </c>
      <c r="M536" t="n">
        <v>0</v>
      </c>
      <c r="N536" t="n">
        <v>0</v>
      </c>
      <c r="O536" t="n">
        <v>0</v>
      </c>
      <c r="P536" t="n">
        <v>0</v>
      </c>
      <c r="Q536" t="n">
        <v>0</v>
      </c>
      <c r="R536" s="2" t="inlineStr"/>
    </row>
    <row r="537" ht="15" customHeight="1">
      <c r="A537" t="inlineStr">
        <is>
          <t>A 35345-2024</t>
        </is>
      </c>
      <c r="B537" s="1" t="n">
        <v>45530</v>
      </c>
      <c r="C537" s="1" t="n">
        <v>45968</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8568-2021</t>
        </is>
      </c>
      <c r="B538" s="1" t="n">
        <v>44245</v>
      </c>
      <c r="C538" s="1" t="n">
        <v>45968</v>
      </c>
      <c r="D538" t="inlineStr">
        <is>
          <t>ÖREBRO LÄN</t>
        </is>
      </c>
      <c r="E538" t="inlineStr">
        <is>
          <t>ÖREBRO</t>
        </is>
      </c>
      <c r="G538" t="n">
        <v>4.8</v>
      </c>
      <c r="H538" t="n">
        <v>0</v>
      </c>
      <c r="I538" t="n">
        <v>0</v>
      </c>
      <c r="J538" t="n">
        <v>0</v>
      </c>
      <c r="K538" t="n">
        <v>0</v>
      </c>
      <c r="L538" t="n">
        <v>0</v>
      </c>
      <c r="M538" t="n">
        <v>0</v>
      </c>
      <c r="N538" t="n">
        <v>0</v>
      </c>
      <c r="O538" t="n">
        <v>0</v>
      </c>
      <c r="P538" t="n">
        <v>0</v>
      </c>
      <c r="Q538" t="n">
        <v>0</v>
      </c>
      <c r="R538" s="2" t="inlineStr"/>
    </row>
    <row r="539" ht="15" customHeight="1">
      <c r="A539" t="inlineStr">
        <is>
          <t>A 21097-2025</t>
        </is>
      </c>
      <c r="B539" s="1" t="n">
        <v>45777.63863425926</v>
      </c>
      <c r="C539" s="1" t="n">
        <v>45968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45517-2023</t>
        </is>
      </c>
      <c r="B540" s="1" t="n">
        <v>45194.49594907407</v>
      </c>
      <c r="C540" s="1" t="n">
        <v>45968</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50311-2025</t>
        </is>
      </c>
      <c r="B541" s="1" t="n">
        <v>45944</v>
      </c>
      <c r="C541" s="1" t="n">
        <v>45968</v>
      </c>
      <c r="D541" t="inlineStr">
        <is>
          <t>ÖREBRO LÄN</t>
        </is>
      </c>
      <c r="E541" t="inlineStr">
        <is>
          <t>ÖREBRO</t>
        </is>
      </c>
      <c r="G541" t="n">
        <v>1.7</v>
      </c>
      <c r="H541" t="n">
        <v>0</v>
      </c>
      <c r="I541" t="n">
        <v>0</v>
      </c>
      <c r="J541" t="n">
        <v>0</v>
      </c>
      <c r="K541" t="n">
        <v>0</v>
      </c>
      <c r="L541" t="n">
        <v>0</v>
      </c>
      <c r="M541" t="n">
        <v>0</v>
      </c>
      <c r="N541" t="n">
        <v>0</v>
      </c>
      <c r="O541" t="n">
        <v>0</v>
      </c>
      <c r="P541" t="n">
        <v>0</v>
      </c>
      <c r="Q541" t="n">
        <v>0</v>
      </c>
      <c r="R541" s="2" t="inlineStr"/>
    </row>
    <row r="542" ht="15" customHeight="1">
      <c r="A542" t="inlineStr">
        <is>
          <t>A 32321-2023</t>
        </is>
      </c>
      <c r="B542" s="1" t="n">
        <v>45120</v>
      </c>
      <c r="C542" s="1" t="n">
        <v>45968</v>
      </c>
      <c r="D542" t="inlineStr">
        <is>
          <t>ÖREBRO LÄN</t>
        </is>
      </c>
      <c r="E542" t="inlineStr">
        <is>
          <t>ÖREBRO</t>
        </is>
      </c>
      <c r="G542" t="n">
        <v>3.4</v>
      </c>
      <c r="H542" t="n">
        <v>0</v>
      </c>
      <c r="I542" t="n">
        <v>0</v>
      </c>
      <c r="J542" t="n">
        <v>0</v>
      </c>
      <c r="K542" t="n">
        <v>0</v>
      </c>
      <c r="L542" t="n">
        <v>0</v>
      </c>
      <c r="M542" t="n">
        <v>0</v>
      </c>
      <c r="N542" t="n">
        <v>0</v>
      </c>
      <c r="O542" t="n">
        <v>0</v>
      </c>
      <c r="P542" t="n">
        <v>0</v>
      </c>
      <c r="Q542" t="n">
        <v>0</v>
      </c>
      <c r="R542" s="2" t="inlineStr"/>
    </row>
    <row r="543" ht="15" customHeight="1">
      <c r="A543" t="inlineStr">
        <is>
          <t>A 29138-2022</t>
        </is>
      </c>
      <c r="B543" s="1" t="n">
        <v>44750</v>
      </c>
      <c r="C543" s="1" t="n">
        <v>45968</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45968</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14234-2024</t>
        </is>
      </c>
      <c r="B545" s="1" t="n">
        <v>45393.46980324074</v>
      </c>
      <c r="C545" s="1" t="n">
        <v>45968</v>
      </c>
      <c r="D545" t="inlineStr">
        <is>
          <t>ÖREBRO LÄN</t>
        </is>
      </c>
      <c r="E545" t="inlineStr">
        <is>
          <t>ÖREBRO</t>
        </is>
      </c>
      <c r="G545" t="n">
        <v>1.6</v>
      </c>
      <c r="H545" t="n">
        <v>0</v>
      </c>
      <c r="I545" t="n">
        <v>0</v>
      </c>
      <c r="J545" t="n">
        <v>0</v>
      </c>
      <c r="K545" t="n">
        <v>0</v>
      </c>
      <c r="L545" t="n">
        <v>0</v>
      </c>
      <c r="M545" t="n">
        <v>0</v>
      </c>
      <c r="N545" t="n">
        <v>0</v>
      </c>
      <c r="O545" t="n">
        <v>0</v>
      </c>
      <c r="P545" t="n">
        <v>0</v>
      </c>
      <c r="Q545" t="n">
        <v>0</v>
      </c>
      <c r="R545" s="2" t="inlineStr"/>
    </row>
    <row r="546" ht="15" customHeight="1">
      <c r="A546" t="inlineStr">
        <is>
          <t>A 4557-2023</t>
        </is>
      </c>
      <c r="B546" s="1" t="n">
        <v>44956.6655787037</v>
      </c>
      <c r="C546" s="1" t="n">
        <v>45968</v>
      </c>
      <c r="D546" t="inlineStr">
        <is>
          <t>ÖREBRO LÄN</t>
        </is>
      </c>
      <c r="E546" t="inlineStr">
        <is>
          <t>ÖREBRO</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53558-2023</t>
        </is>
      </c>
      <c r="B547" s="1" t="n">
        <v>45230.47266203703</v>
      </c>
      <c r="C547" s="1" t="n">
        <v>45968</v>
      </c>
      <c r="D547" t="inlineStr">
        <is>
          <t>ÖREBRO LÄN</t>
        </is>
      </c>
      <c r="E547" t="inlineStr">
        <is>
          <t>ÖREBRO</t>
        </is>
      </c>
      <c r="F547" t="inlineStr">
        <is>
          <t>Övriga Aktiebolag</t>
        </is>
      </c>
      <c r="G547" t="n">
        <v>4.7</v>
      </c>
      <c r="H547" t="n">
        <v>0</v>
      </c>
      <c r="I547" t="n">
        <v>0</v>
      </c>
      <c r="J547" t="n">
        <v>0</v>
      </c>
      <c r="K547" t="n">
        <v>0</v>
      </c>
      <c r="L547" t="n">
        <v>0</v>
      </c>
      <c r="M547" t="n">
        <v>0</v>
      </c>
      <c r="N547" t="n">
        <v>0</v>
      </c>
      <c r="O547" t="n">
        <v>0</v>
      </c>
      <c r="P547" t="n">
        <v>0</v>
      </c>
      <c r="Q547" t="n">
        <v>0</v>
      </c>
      <c r="R547" s="2" t="inlineStr"/>
    </row>
    <row r="548" ht="15" customHeight="1">
      <c r="A548" t="inlineStr">
        <is>
          <t>A 46518-2023</t>
        </is>
      </c>
      <c r="B548" s="1" t="n">
        <v>45197.72777777778</v>
      </c>
      <c r="C548" s="1" t="n">
        <v>45968</v>
      </c>
      <c r="D548" t="inlineStr">
        <is>
          <t>ÖREBRO LÄN</t>
        </is>
      </c>
      <c r="E548" t="inlineStr">
        <is>
          <t>ÖREBRO</t>
        </is>
      </c>
      <c r="G548" t="n">
        <v>2.2</v>
      </c>
      <c r="H548" t="n">
        <v>0</v>
      </c>
      <c r="I548" t="n">
        <v>0</v>
      </c>
      <c r="J548" t="n">
        <v>0</v>
      </c>
      <c r="K548" t="n">
        <v>0</v>
      </c>
      <c r="L548" t="n">
        <v>0</v>
      </c>
      <c r="M548" t="n">
        <v>0</v>
      </c>
      <c r="N548" t="n">
        <v>0</v>
      </c>
      <c r="O548" t="n">
        <v>0</v>
      </c>
      <c r="P548" t="n">
        <v>0</v>
      </c>
      <c r="Q548" t="n">
        <v>0</v>
      </c>
      <c r="R548" s="2" t="inlineStr"/>
    </row>
    <row r="549" ht="15" customHeight="1">
      <c r="A549" t="inlineStr">
        <is>
          <t>A 35819-2024</t>
        </is>
      </c>
      <c r="B549" s="1" t="n">
        <v>45532</v>
      </c>
      <c r="C549" s="1" t="n">
        <v>45968</v>
      </c>
      <c r="D549" t="inlineStr">
        <is>
          <t>ÖREBRO LÄN</t>
        </is>
      </c>
      <c r="E549" t="inlineStr">
        <is>
          <t>ÖREBRO</t>
        </is>
      </c>
      <c r="G549" t="n">
        <v>6.4</v>
      </c>
      <c r="H549" t="n">
        <v>0</v>
      </c>
      <c r="I549" t="n">
        <v>0</v>
      </c>
      <c r="J549" t="n">
        <v>0</v>
      </c>
      <c r="K549" t="n">
        <v>0</v>
      </c>
      <c r="L549" t="n">
        <v>0</v>
      </c>
      <c r="M549" t="n">
        <v>0</v>
      </c>
      <c r="N549" t="n">
        <v>0</v>
      </c>
      <c r="O549" t="n">
        <v>0</v>
      </c>
      <c r="P549" t="n">
        <v>0</v>
      </c>
      <c r="Q549" t="n">
        <v>0</v>
      </c>
      <c r="R549" s="2" t="inlineStr"/>
    </row>
    <row r="550" ht="15" customHeight="1">
      <c r="A550" t="inlineStr">
        <is>
          <t>A 7692-2023</t>
        </is>
      </c>
      <c r="B550" s="1" t="n">
        <v>44972.7762962963</v>
      </c>
      <c r="C550" s="1" t="n">
        <v>45968</v>
      </c>
      <c r="D550" t="inlineStr">
        <is>
          <t>ÖREBRO LÄN</t>
        </is>
      </c>
      <c r="E550" t="inlineStr">
        <is>
          <t>ÖREBRO</t>
        </is>
      </c>
      <c r="G550" t="n">
        <v>1.5</v>
      </c>
      <c r="H550" t="n">
        <v>0</v>
      </c>
      <c r="I550" t="n">
        <v>0</v>
      </c>
      <c r="J550" t="n">
        <v>0</v>
      </c>
      <c r="K550" t="n">
        <v>0</v>
      </c>
      <c r="L550" t="n">
        <v>0</v>
      </c>
      <c r="M550" t="n">
        <v>0</v>
      </c>
      <c r="N550" t="n">
        <v>0</v>
      </c>
      <c r="O550" t="n">
        <v>0</v>
      </c>
      <c r="P550" t="n">
        <v>0</v>
      </c>
      <c r="Q550" t="n">
        <v>0</v>
      </c>
      <c r="R550" s="2" t="inlineStr"/>
    </row>
    <row r="551" ht="15" customHeight="1">
      <c r="A551" t="inlineStr">
        <is>
          <t>A 46056-2024</t>
        </is>
      </c>
      <c r="B551" s="1" t="n">
        <v>45580.91502314815</v>
      </c>
      <c r="C551" s="1" t="n">
        <v>45968</v>
      </c>
      <c r="D551" t="inlineStr">
        <is>
          <t>ÖREBRO LÄN</t>
        </is>
      </c>
      <c r="E551" t="inlineStr">
        <is>
          <t>ÖREBRO</t>
        </is>
      </c>
      <c r="F551" t="inlineStr">
        <is>
          <t>Övriga Aktiebolag</t>
        </is>
      </c>
      <c r="G551" t="n">
        <v>4.5</v>
      </c>
      <c r="H551" t="n">
        <v>0</v>
      </c>
      <c r="I551" t="n">
        <v>0</v>
      </c>
      <c r="J551" t="n">
        <v>0</v>
      </c>
      <c r="K551" t="n">
        <v>0</v>
      </c>
      <c r="L551" t="n">
        <v>0</v>
      </c>
      <c r="M551" t="n">
        <v>0</v>
      </c>
      <c r="N551" t="n">
        <v>0</v>
      </c>
      <c r="O551" t="n">
        <v>0</v>
      </c>
      <c r="P551" t="n">
        <v>0</v>
      </c>
      <c r="Q551" t="n">
        <v>0</v>
      </c>
      <c r="R551" s="2" t="inlineStr"/>
    </row>
    <row r="552" ht="15" customHeight="1">
      <c r="A552" t="inlineStr">
        <is>
          <t>A 32076-2023</t>
        </is>
      </c>
      <c r="B552" s="1" t="n">
        <v>45119.58324074074</v>
      </c>
      <c r="C552" s="1" t="n">
        <v>45968</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57638-2022</t>
        </is>
      </c>
      <c r="B553" s="1" t="n">
        <v>44897</v>
      </c>
      <c r="C553" s="1" t="n">
        <v>45968</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21338-2025</t>
        </is>
      </c>
      <c r="B554" s="1" t="n">
        <v>45780</v>
      </c>
      <c r="C554" s="1" t="n">
        <v>45968</v>
      </c>
      <c r="D554" t="inlineStr">
        <is>
          <t>ÖREBRO LÄN</t>
        </is>
      </c>
      <c r="E554" t="inlineStr">
        <is>
          <t>ÖREBRO</t>
        </is>
      </c>
      <c r="G554" t="n">
        <v>3.2</v>
      </c>
      <c r="H554" t="n">
        <v>0</v>
      </c>
      <c r="I554" t="n">
        <v>0</v>
      </c>
      <c r="J554" t="n">
        <v>0</v>
      </c>
      <c r="K554" t="n">
        <v>0</v>
      </c>
      <c r="L554" t="n">
        <v>0</v>
      </c>
      <c r="M554" t="n">
        <v>0</v>
      </c>
      <c r="N554" t="n">
        <v>0</v>
      </c>
      <c r="O554" t="n">
        <v>0</v>
      </c>
      <c r="P554" t="n">
        <v>0</v>
      </c>
      <c r="Q554" t="n">
        <v>0</v>
      </c>
      <c r="R554" s="2" t="inlineStr"/>
    </row>
    <row r="555" ht="15" customHeight="1">
      <c r="A555" t="inlineStr">
        <is>
          <t>A 8274-2025</t>
        </is>
      </c>
      <c r="B555" s="1" t="n">
        <v>45708</v>
      </c>
      <c r="C555" s="1" t="n">
        <v>45968</v>
      </c>
      <c r="D555" t="inlineStr">
        <is>
          <t>ÖREBRO LÄN</t>
        </is>
      </c>
      <c r="E555" t="inlineStr">
        <is>
          <t>ÖREBRO</t>
        </is>
      </c>
      <c r="G555" t="n">
        <v>5.8</v>
      </c>
      <c r="H555" t="n">
        <v>0</v>
      </c>
      <c r="I555" t="n">
        <v>0</v>
      </c>
      <c r="J555" t="n">
        <v>0</v>
      </c>
      <c r="K555" t="n">
        <v>0</v>
      </c>
      <c r="L555" t="n">
        <v>0</v>
      </c>
      <c r="M555" t="n">
        <v>0</v>
      </c>
      <c r="N555" t="n">
        <v>0</v>
      </c>
      <c r="O555" t="n">
        <v>0</v>
      </c>
      <c r="P555" t="n">
        <v>0</v>
      </c>
      <c r="Q555" t="n">
        <v>0</v>
      </c>
      <c r="R555" s="2" t="inlineStr"/>
    </row>
    <row r="556" ht="15" customHeight="1">
      <c r="A556" t="inlineStr">
        <is>
          <t>A 7634-2024</t>
        </is>
      </c>
      <c r="B556" s="1" t="n">
        <v>45348</v>
      </c>
      <c r="C556" s="1" t="n">
        <v>45968</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58208-2024</t>
        </is>
      </c>
      <c r="B557" s="1" t="n">
        <v>45632</v>
      </c>
      <c r="C557" s="1" t="n">
        <v>45968</v>
      </c>
      <c r="D557" t="inlineStr">
        <is>
          <t>ÖREBRO LÄN</t>
        </is>
      </c>
      <c r="E557" t="inlineStr">
        <is>
          <t>ÖREBRO</t>
        </is>
      </c>
      <c r="G557" t="n">
        <v>3.1</v>
      </c>
      <c r="H557" t="n">
        <v>0</v>
      </c>
      <c r="I557" t="n">
        <v>0</v>
      </c>
      <c r="J557" t="n">
        <v>0</v>
      </c>
      <c r="K557" t="n">
        <v>0</v>
      </c>
      <c r="L557" t="n">
        <v>0</v>
      </c>
      <c r="M557" t="n">
        <v>0</v>
      </c>
      <c r="N557" t="n">
        <v>0</v>
      </c>
      <c r="O557" t="n">
        <v>0</v>
      </c>
      <c r="P557" t="n">
        <v>0</v>
      </c>
      <c r="Q557" t="n">
        <v>0</v>
      </c>
      <c r="R557" s="2" t="inlineStr"/>
    </row>
    <row r="558" ht="15" customHeight="1">
      <c r="A558" t="inlineStr">
        <is>
          <t>A 58644-2023</t>
        </is>
      </c>
      <c r="B558" s="1" t="n">
        <v>45251.58716435185</v>
      </c>
      <c r="C558" s="1" t="n">
        <v>45968</v>
      </c>
      <c r="D558" t="inlineStr">
        <is>
          <t>ÖREBRO LÄN</t>
        </is>
      </c>
      <c r="E558" t="inlineStr">
        <is>
          <t>ÖREBRO</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22719-2025</t>
        </is>
      </c>
      <c r="B559" s="1" t="n">
        <v>45789</v>
      </c>
      <c r="C559" s="1" t="n">
        <v>45968</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71266-2021</t>
        </is>
      </c>
      <c r="B560" s="1" t="n">
        <v>44539</v>
      </c>
      <c r="C560" s="1" t="n">
        <v>45968</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71267-2021</t>
        </is>
      </c>
      <c r="B561" s="1" t="n">
        <v>44539</v>
      </c>
      <c r="C561" s="1" t="n">
        <v>45968</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71280-2021</t>
        </is>
      </c>
      <c r="B562" s="1" t="n">
        <v>44539</v>
      </c>
      <c r="C562" s="1" t="n">
        <v>45968</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51249-2025</t>
        </is>
      </c>
      <c r="B563" s="1" t="n">
        <v>45948.45704861111</v>
      </c>
      <c r="C563" s="1" t="n">
        <v>45968</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764-2024</t>
        </is>
      </c>
      <c r="B564" s="1" t="n">
        <v>45300.51512731481</v>
      </c>
      <c r="C564" s="1" t="n">
        <v>45968</v>
      </c>
      <c r="D564" t="inlineStr">
        <is>
          <t>ÖREBRO LÄN</t>
        </is>
      </c>
      <c r="E564" t="inlineStr">
        <is>
          <t>ÖREBRO</t>
        </is>
      </c>
      <c r="G564" t="n">
        <v>2</v>
      </c>
      <c r="H564" t="n">
        <v>0</v>
      </c>
      <c r="I564" t="n">
        <v>0</v>
      </c>
      <c r="J564" t="n">
        <v>0</v>
      </c>
      <c r="K564" t="n">
        <v>0</v>
      </c>
      <c r="L564" t="n">
        <v>0</v>
      </c>
      <c r="M564" t="n">
        <v>0</v>
      </c>
      <c r="N564" t="n">
        <v>0</v>
      </c>
      <c r="O564" t="n">
        <v>0</v>
      </c>
      <c r="P564" t="n">
        <v>0</v>
      </c>
      <c r="Q564" t="n">
        <v>0</v>
      </c>
      <c r="R564" s="2" t="inlineStr"/>
    </row>
    <row r="565" ht="15" customHeight="1">
      <c r="A565" t="inlineStr">
        <is>
          <t>A 51248-2025</t>
        </is>
      </c>
      <c r="B565" s="1" t="n">
        <v>45948.450625</v>
      </c>
      <c r="C565" s="1" t="n">
        <v>45968</v>
      </c>
      <c r="D565" t="inlineStr">
        <is>
          <t>ÖREBRO LÄN</t>
        </is>
      </c>
      <c r="E565" t="inlineStr">
        <is>
          <t>ÖREBRO</t>
        </is>
      </c>
      <c r="G565" t="n">
        <v>4.4</v>
      </c>
      <c r="H565" t="n">
        <v>0</v>
      </c>
      <c r="I565" t="n">
        <v>0</v>
      </c>
      <c r="J565" t="n">
        <v>0</v>
      </c>
      <c r="K565" t="n">
        <v>0</v>
      </c>
      <c r="L565" t="n">
        <v>0</v>
      </c>
      <c r="M565" t="n">
        <v>0</v>
      </c>
      <c r="N565" t="n">
        <v>0</v>
      </c>
      <c r="O565" t="n">
        <v>0</v>
      </c>
      <c r="P565" t="n">
        <v>0</v>
      </c>
      <c r="Q565" t="n">
        <v>0</v>
      </c>
      <c r="R565" s="2" t="inlineStr"/>
    </row>
    <row r="566" ht="15" customHeight="1">
      <c r="A566" t="inlineStr">
        <is>
          <t>A 21983-2021</t>
        </is>
      </c>
      <c r="B566" s="1" t="n">
        <v>44323</v>
      </c>
      <c r="C566" s="1" t="n">
        <v>45968</v>
      </c>
      <c r="D566" t="inlineStr">
        <is>
          <t>ÖREBRO LÄN</t>
        </is>
      </c>
      <c r="E566" t="inlineStr">
        <is>
          <t>ÖREBRO</t>
        </is>
      </c>
      <c r="F566" t="inlineStr">
        <is>
          <t>Övriga Aktiebolag</t>
        </is>
      </c>
      <c r="G566" t="n">
        <v>0.7</v>
      </c>
      <c r="H566" t="n">
        <v>0</v>
      </c>
      <c r="I566" t="n">
        <v>0</v>
      </c>
      <c r="J566" t="n">
        <v>0</v>
      </c>
      <c r="K566" t="n">
        <v>0</v>
      </c>
      <c r="L566" t="n">
        <v>0</v>
      </c>
      <c r="M566" t="n">
        <v>0</v>
      </c>
      <c r="N566" t="n">
        <v>0</v>
      </c>
      <c r="O566" t="n">
        <v>0</v>
      </c>
      <c r="P566" t="n">
        <v>0</v>
      </c>
      <c r="Q566" t="n">
        <v>0</v>
      </c>
      <c r="R566" s="2" t="inlineStr"/>
    </row>
    <row r="567" ht="15" customHeight="1">
      <c r="A567" t="inlineStr">
        <is>
          <t>A 62497-2023</t>
        </is>
      </c>
      <c r="B567" s="1" t="n">
        <v>45268.59935185185</v>
      </c>
      <c r="C567" s="1" t="n">
        <v>45968</v>
      </c>
      <c r="D567" t="inlineStr">
        <is>
          <t>ÖREBRO LÄN</t>
        </is>
      </c>
      <c r="E567" t="inlineStr">
        <is>
          <t>ÖREBRO</t>
        </is>
      </c>
      <c r="F567" t="inlineStr">
        <is>
          <t>Övriga Aktiebolag</t>
        </is>
      </c>
      <c r="G567" t="n">
        <v>3.2</v>
      </c>
      <c r="H567" t="n">
        <v>0</v>
      </c>
      <c r="I567" t="n">
        <v>0</v>
      </c>
      <c r="J567" t="n">
        <v>0</v>
      </c>
      <c r="K567" t="n">
        <v>0</v>
      </c>
      <c r="L567" t="n">
        <v>0</v>
      </c>
      <c r="M567" t="n">
        <v>0</v>
      </c>
      <c r="N567" t="n">
        <v>0</v>
      </c>
      <c r="O567" t="n">
        <v>0</v>
      </c>
      <c r="P567" t="n">
        <v>0</v>
      </c>
      <c r="Q567" t="n">
        <v>0</v>
      </c>
      <c r="R567" s="2" t="inlineStr"/>
    </row>
    <row r="568" ht="15" customHeight="1">
      <c r="A568" t="inlineStr">
        <is>
          <t>A 33294-2023</t>
        </is>
      </c>
      <c r="B568" s="1" t="n">
        <v>45127</v>
      </c>
      <c r="C568" s="1" t="n">
        <v>45968</v>
      </c>
      <c r="D568" t="inlineStr">
        <is>
          <t>ÖREBRO LÄN</t>
        </is>
      </c>
      <c r="E568" t="inlineStr">
        <is>
          <t>ÖREBRO</t>
        </is>
      </c>
      <c r="F568" t="inlineStr">
        <is>
          <t>Övriga Aktiebolag</t>
        </is>
      </c>
      <c r="G568" t="n">
        <v>6.7</v>
      </c>
      <c r="H568" t="n">
        <v>0</v>
      </c>
      <c r="I568" t="n">
        <v>0</v>
      </c>
      <c r="J568" t="n">
        <v>0</v>
      </c>
      <c r="K568" t="n">
        <v>0</v>
      </c>
      <c r="L568" t="n">
        <v>0</v>
      </c>
      <c r="M568" t="n">
        <v>0</v>
      </c>
      <c r="N568" t="n">
        <v>0</v>
      </c>
      <c r="O568" t="n">
        <v>0</v>
      </c>
      <c r="P568" t="n">
        <v>0</v>
      </c>
      <c r="Q568" t="n">
        <v>0</v>
      </c>
      <c r="R568" s="2" t="inlineStr"/>
    </row>
    <row r="569" ht="15" customHeight="1">
      <c r="A569" t="inlineStr">
        <is>
          <t>A 22755-2025</t>
        </is>
      </c>
      <c r="B569" s="1" t="n">
        <v>45789.61872685186</v>
      </c>
      <c r="C569" s="1" t="n">
        <v>45968</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34336-2024</t>
        </is>
      </c>
      <c r="B570" s="1" t="n">
        <v>45524.94774305556</v>
      </c>
      <c r="C570" s="1" t="n">
        <v>45968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46052-2024</t>
        </is>
      </c>
      <c r="B571" s="1" t="n">
        <v>45580.89116898148</v>
      </c>
      <c r="C571" s="1" t="n">
        <v>45968</v>
      </c>
      <c r="D571" t="inlineStr">
        <is>
          <t>ÖREBRO LÄN</t>
        </is>
      </c>
      <c r="E571" t="inlineStr">
        <is>
          <t>ÖREBRO</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52135-2025</t>
        </is>
      </c>
      <c r="B572" s="1" t="n">
        <v>45952.84231481481</v>
      </c>
      <c r="C572" s="1" t="n">
        <v>45968</v>
      </c>
      <c r="D572" t="inlineStr">
        <is>
          <t>ÖREBRO LÄN</t>
        </is>
      </c>
      <c r="E572" t="inlineStr">
        <is>
          <t>ÖREBRO</t>
        </is>
      </c>
      <c r="G572" t="n">
        <v>4</v>
      </c>
      <c r="H572" t="n">
        <v>0</v>
      </c>
      <c r="I572" t="n">
        <v>0</v>
      </c>
      <c r="J572" t="n">
        <v>0</v>
      </c>
      <c r="K572" t="n">
        <v>0</v>
      </c>
      <c r="L572" t="n">
        <v>0</v>
      </c>
      <c r="M572" t="n">
        <v>0</v>
      </c>
      <c r="N572" t="n">
        <v>0</v>
      </c>
      <c r="O572" t="n">
        <v>0</v>
      </c>
      <c r="P572" t="n">
        <v>0</v>
      </c>
      <c r="Q572" t="n">
        <v>0</v>
      </c>
      <c r="R572" s="2" t="inlineStr"/>
    </row>
    <row r="573" ht="15" customHeight="1">
      <c r="A573" t="inlineStr">
        <is>
          <t>A 15555-2025</t>
        </is>
      </c>
      <c r="B573" s="1" t="n">
        <v>45747.67768518518</v>
      </c>
      <c r="C573" s="1" t="n">
        <v>45968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61279-2024</t>
        </is>
      </c>
      <c r="B574" s="1" t="n">
        <v>45645</v>
      </c>
      <c r="C574" s="1" t="n">
        <v>45968</v>
      </c>
      <c r="D574" t="inlineStr">
        <is>
          <t>ÖREBRO LÄN</t>
        </is>
      </c>
      <c r="E574" t="inlineStr">
        <is>
          <t>ÖREBRO</t>
        </is>
      </c>
      <c r="G574" t="n">
        <v>0.7</v>
      </c>
      <c r="H574" t="n">
        <v>0</v>
      </c>
      <c r="I574" t="n">
        <v>0</v>
      </c>
      <c r="J574" t="n">
        <v>0</v>
      </c>
      <c r="K574" t="n">
        <v>0</v>
      </c>
      <c r="L574" t="n">
        <v>0</v>
      </c>
      <c r="M574" t="n">
        <v>0</v>
      </c>
      <c r="N574" t="n">
        <v>0</v>
      </c>
      <c r="O574" t="n">
        <v>0</v>
      </c>
      <c r="P574" t="n">
        <v>0</v>
      </c>
      <c r="Q574" t="n">
        <v>0</v>
      </c>
      <c r="R574" s="2" t="inlineStr"/>
    </row>
    <row r="575" ht="15" customHeight="1">
      <c r="A575" t="inlineStr">
        <is>
          <t>A 38790-2024</t>
        </is>
      </c>
      <c r="B575" s="1" t="n">
        <v>45547.48450231482</v>
      </c>
      <c r="C575" s="1" t="n">
        <v>45968</v>
      </c>
      <c r="D575" t="inlineStr">
        <is>
          <t>ÖREBRO LÄN</t>
        </is>
      </c>
      <c r="E575" t="inlineStr">
        <is>
          <t>ÖREBRO</t>
        </is>
      </c>
      <c r="G575" t="n">
        <v>2</v>
      </c>
      <c r="H575" t="n">
        <v>0</v>
      </c>
      <c r="I575" t="n">
        <v>0</v>
      </c>
      <c r="J575" t="n">
        <v>0</v>
      </c>
      <c r="K575" t="n">
        <v>0</v>
      </c>
      <c r="L575" t="n">
        <v>0</v>
      </c>
      <c r="M575" t="n">
        <v>0</v>
      </c>
      <c r="N575" t="n">
        <v>0</v>
      </c>
      <c r="O575" t="n">
        <v>0</v>
      </c>
      <c r="P575" t="n">
        <v>0</v>
      </c>
      <c r="Q575" t="n">
        <v>0</v>
      </c>
      <c r="R575" s="2" t="inlineStr"/>
    </row>
    <row r="576" ht="15" customHeight="1">
      <c r="A576" t="inlineStr">
        <is>
          <t>A 71269-2021</t>
        </is>
      </c>
      <c r="B576" s="1" t="n">
        <v>44539</v>
      </c>
      <c r="C576" s="1" t="n">
        <v>45968</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30316-2024</t>
        </is>
      </c>
      <c r="B577" s="1" t="n">
        <v>45490</v>
      </c>
      <c r="C577" s="1" t="n">
        <v>45968</v>
      </c>
      <c r="D577" t="inlineStr">
        <is>
          <t>ÖREBRO LÄN</t>
        </is>
      </c>
      <c r="E577" t="inlineStr">
        <is>
          <t>ÖREBRO</t>
        </is>
      </c>
      <c r="G577" t="n">
        <v>5.5</v>
      </c>
      <c r="H577" t="n">
        <v>0</v>
      </c>
      <c r="I577" t="n">
        <v>0</v>
      </c>
      <c r="J577" t="n">
        <v>0</v>
      </c>
      <c r="K577" t="n">
        <v>0</v>
      </c>
      <c r="L577" t="n">
        <v>0</v>
      </c>
      <c r="M577" t="n">
        <v>0</v>
      </c>
      <c r="N577" t="n">
        <v>0</v>
      </c>
      <c r="O577" t="n">
        <v>0</v>
      </c>
      <c r="P577" t="n">
        <v>0</v>
      </c>
      <c r="Q577" t="n">
        <v>0</v>
      </c>
      <c r="R577" s="2" t="inlineStr"/>
    </row>
    <row r="578" ht="15" customHeight="1">
      <c r="A578" t="inlineStr">
        <is>
          <t>A 51937-2025</t>
        </is>
      </c>
      <c r="B578" s="1" t="n">
        <v>45952.51270833334</v>
      </c>
      <c r="C578" s="1" t="n">
        <v>45968</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54149-2024</t>
        </is>
      </c>
      <c r="B579" s="1" t="n">
        <v>45616</v>
      </c>
      <c r="C579" s="1" t="n">
        <v>45968</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44199-2024</t>
        </is>
      </c>
      <c r="B580" s="1" t="n">
        <v>45573</v>
      </c>
      <c r="C580" s="1" t="n">
        <v>45968</v>
      </c>
      <c r="D580" t="inlineStr">
        <is>
          <t>ÖREBRO LÄN</t>
        </is>
      </c>
      <c r="E580" t="inlineStr">
        <is>
          <t>ÖREBRO</t>
        </is>
      </c>
      <c r="G580" t="n">
        <v>4.3</v>
      </c>
      <c r="H580" t="n">
        <v>0</v>
      </c>
      <c r="I580" t="n">
        <v>0</v>
      </c>
      <c r="J580" t="n">
        <v>0</v>
      </c>
      <c r="K580" t="n">
        <v>0</v>
      </c>
      <c r="L580" t="n">
        <v>0</v>
      </c>
      <c r="M580" t="n">
        <v>0</v>
      </c>
      <c r="N580" t="n">
        <v>0</v>
      </c>
      <c r="O580" t="n">
        <v>0</v>
      </c>
      <c r="P580" t="n">
        <v>0</v>
      </c>
      <c r="Q580" t="n">
        <v>0</v>
      </c>
      <c r="R580" s="2" t="inlineStr"/>
    </row>
    <row r="581" ht="15" customHeight="1">
      <c r="A581" t="inlineStr">
        <is>
          <t>A 4380-2025</t>
        </is>
      </c>
      <c r="B581" s="1" t="n">
        <v>45686.3959375</v>
      </c>
      <c r="C581" s="1" t="n">
        <v>45968</v>
      </c>
      <c r="D581" t="inlineStr">
        <is>
          <t>ÖREBRO LÄN</t>
        </is>
      </c>
      <c r="E581" t="inlineStr">
        <is>
          <t>ÖREBRO</t>
        </is>
      </c>
      <c r="G581" t="n">
        <v>3.2</v>
      </c>
      <c r="H581" t="n">
        <v>0</v>
      </c>
      <c r="I581" t="n">
        <v>0</v>
      </c>
      <c r="J581" t="n">
        <v>0</v>
      </c>
      <c r="K581" t="n">
        <v>0</v>
      </c>
      <c r="L581" t="n">
        <v>0</v>
      </c>
      <c r="M581" t="n">
        <v>0</v>
      </c>
      <c r="N581" t="n">
        <v>0</v>
      </c>
      <c r="O581" t="n">
        <v>0</v>
      </c>
      <c r="P581" t="n">
        <v>0</v>
      </c>
      <c r="Q581" t="n">
        <v>0</v>
      </c>
      <c r="R581" s="2" t="inlineStr"/>
    </row>
    <row r="582" ht="15" customHeight="1">
      <c r="A582" t="inlineStr">
        <is>
          <t>A 12871-2021</t>
        </is>
      </c>
      <c r="B582" s="1" t="n">
        <v>44271.42121527778</v>
      </c>
      <c r="C582" s="1" t="n">
        <v>45968</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15424-2022</t>
        </is>
      </c>
      <c r="B583" s="1" t="n">
        <v>44659</v>
      </c>
      <c r="C583" s="1" t="n">
        <v>45968</v>
      </c>
      <c r="D583" t="inlineStr">
        <is>
          <t>ÖREBRO LÄN</t>
        </is>
      </c>
      <c r="E583" t="inlineStr">
        <is>
          <t>ÖREBRO</t>
        </is>
      </c>
      <c r="G583" t="n">
        <v>2.2</v>
      </c>
      <c r="H583" t="n">
        <v>0</v>
      </c>
      <c r="I583" t="n">
        <v>0</v>
      </c>
      <c r="J583" t="n">
        <v>0</v>
      </c>
      <c r="K583" t="n">
        <v>0</v>
      </c>
      <c r="L583" t="n">
        <v>0</v>
      </c>
      <c r="M583" t="n">
        <v>0</v>
      </c>
      <c r="N583" t="n">
        <v>0</v>
      </c>
      <c r="O583" t="n">
        <v>0</v>
      </c>
      <c r="P583" t="n">
        <v>0</v>
      </c>
      <c r="Q583" t="n">
        <v>0</v>
      </c>
      <c r="R583" s="2" t="inlineStr"/>
    </row>
    <row r="584" ht="15" customHeight="1">
      <c r="A584" t="inlineStr">
        <is>
          <t>A 15682-2023</t>
        </is>
      </c>
      <c r="B584" s="1" t="n">
        <v>45021</v>
      </c>
      <c r="C584" s="1" t="n">
        <v>45968</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51923-2025</t>
        </is>
      </c>
      <c r="B585" s="1" t="n">
        <v>45952.49300925926</v>
      </c>
      <c r="C585" s="1" t="n">
        <v>45968</v>
      </c>
      <c r="D585" t="inlineStr">
        <is>
          <t>ÖREBRO LÄN</t>
        </is>
      </c>
      <c r="E585" t="inlineStr">
        <is>
          <t>ÖREBRO</t>
        </is>
      </c>
      <c r="G585" t="n">
        <v>1</v>
      </c>
      <c r="H585" t="n">
        <v>0</v>
      </c>
      <c r="I585" t="n">
        <v>0</v>
      </c>
      <c r="J585" t="n">
        <v>0</v>
      </c>
      <c r="K585" t="n">
        <v>0</v>
      </c>
      <c r="L585" t="n">
        <v>0</v>
      </c>
      <c r="M585" t="n">
        <v>0</v>
      </c>
      <c r="N585" t="n">
        <v>0</v>
      </c>
      <c r="O585" t="n">
        <v>0</v>
      </c>
      <c r="P585" t="n">
        <v>0</v>
      </c>
      <c r="Q585" t="n">
        <v>0</v>
      </c>
      <c r="R585" s="2" t="inlineStr"/>
    </row>
    <row r="586" ht="15" customHeight="1">
      <c r="A586" t="inlineStr">
        <is>
          <t>A 51925-2025</t>
        </is>
      </c>
      <c r="B586" s="1" t="n">
        <v>45952.49476851852</v>
      </c>
      <c r="C586" s="1" t="n">
        <v>45968</v>
      </c>
      <c r="D586" t="inlineStr">
        <is>
          <t>ÖREBRO LÄN</t>
        </is>
      </c>
      <c r="E586" t="inlineStr">
        <is>
          <t>ÖREBRO</t>
        </is>
      </c>
      <c r="G586" t="n">
        <v>0.9</v>
      </c>
      <c r="H586" t="n">
        <v>0</v>
      </c>
      <c r="I586" t="n">
        <v>0</v>
      </c>
      <c r="J586" t="n">
        <v>0</v>
      </c>
      <c r="K586" t="n">
        <v>0</v>
      </c>
      <c r="L586" t="n">
        <v>0</v>
      </c>
      <c r="M586" t="n">
        <v>0</v>
      </c>
      <c r="N586" t="n">
        <v>0</v>
      </c>
      <c r="O586" t="n">
        <v>0</v>
      </c>
      <c r="P586" t="n">
        <v>0</v>
      </c>
      <c r="Q586" t="n">
        <v>0</v>
      </c>
      <c r="R586" s="2" t="inlineStr"/>
    </row>
    <row r="587" ht="15" customHeight="1">
      <c r="A587" t="inlineStr">
        <is>
          <t>A 12682-2023</t>
        </is>
      </c>
      <c r="B587" s="1" t="n">
        <v>45000.6115625</v>
      </c>
      <c r="C587" s="1" t="n">
        <v>45968</v>
      </c>
      <c r="D587" t="inlineStr">
        <is>
          <t>ÖREBRO LÄN</t>
        </is>
      </c>
      <c r="E587" t="inlineStr">
        <is>
          <t>ÖREBRO</t>
        </is>
      </c>
      <c r="F587" t="inlineStr">
        <is>
          <t>Övriga Aktiebolag</t>
        </is>
      </c>
      <c r="G587" t="n">
        <v>4.4</v>
      </c>
      <c r="H587" t="n">
        <v>0</v>
      </c>
      <c r="I587" t="n">
        <v>0</v>
      </c>
      <c r="J587" t="n">
        <v>0</v>
      </c>
      <c r="K587" t="n">
        <v>0</v>
      </c>
      <c r="L587" t="n">
        <v>0</v>
      </c>
      <c r="M587" t="n">
        <v>0</v>
      </c>
      <c r="N587" t="n">
        <v>0</v>
      </c>
      <c r="O587" t="n">
        <v>0</v>
      </c>
      <c r="P587" t="n">
        <v>0</v>
      </c>
      <c r="Q587" t="n">
        <v>0</v>
      </c>
      <c r="R587" s="2" t="inlineStr"/>
    </row>
    <row r="588" ht="15" customHeight="1">
      <c r="A588" t="inlineStr">
        <is>
          <t>A 57247-2022</t>
        </is>
      </c>
      <c r="B588" s="1" t="n">
        <v>44895.73065972222</v>
      </c>
      <c r="C588" s="1" t="n">
        <v>45968</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52382-2025</t>
        </is>
      </c>
      <c r="B589" s="1" t="n">
        <v>45953.9559837963</v>
      </c>
      <c r="C589" s="1" t="n">
        <v>45968</v>
      </c>
      <c r="D589" t="inlineStr">
        <is>
          <t>ÖREBRO LÄN</t>
        </is>
      </c>
      <c r="E589" t="inlineStr">
        <is>
          <t>ÖREBRO</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30743-2025</t>
        </is>
      </c>
      <c r="B590" s="1" t="n">
        <v>45831</v>
      </c>
      <c r="C590" s="1" t="n">
        <v>45968</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58606-2024</t>
        </is>
      </c>
      <c r="B591" s="1" t="n">
        <v>45635.54747685185</v>
      </c>
      <c r="C591" s="1" t="n">
        <v>45968</v>
      </c>
      <c r="D591" t="inlineStr">
        <is>
          <t>ÖREBRO LÄN</t>
        </is>
      </c>
      <c r="E591" t="inlineStr">
        <is>
          <t>ÖREBRO</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123-2025</t>
        </is>
      </c>
      <c r="B592" s="1" t="n">
        <v>45659.54851851852</v>
      </c>
      <c r="C592" s="1" t="n">
        <v>45968</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37012-2024</t>
        </is>
      </c>
      <c r="B593" s="1" t="n">
        <v>45539</v>
      </c>
      <c r="C593" s="1" t="n">
        <v>45968</v>
      </c>
      <c r="D593" t="inlineStr">
        <is>
          <t>ÖREBRO LÄN</t>
        </is>
      </c>
      <c r="E593" t="inlineStr">
        <is>
          <t>ÖREBRO</t>
        </is>
      </c>
      <c r="G593" t="n">
        <v>4.1</v>
      </c>
      <c r="H593" t="n">
        <v>0</v>
      </c>
      <c r="I593" t="n">
        <v>0</v>
      </c>
      <c r="J593" t="n">
        <v>0</v>
      </c>
      <c r="K593" t="n">
        <v>0</v>
      </c>
      <c r="L593" t="n">
        <v>0</v>
      </c>
      <c r="M593" t="n">
        <v>0</v>
      </c>
      <c r="N593" t="n">
        <v>0</v>
      </c>
      <c r="O593" t="n">
        <v>0</v>
      </c>
      <c r="P593" t="n">
        <v>0</v>
      </c>
      <c r="Q593" t="n">
        <v>0</v>
      </c>
      <c r="R593" s="2" t="inlineStr"/>
    </row>
    <row r="594" ht="15" customHeight="1">
      <c r="A594" t="inlineStr">
        <is>
          <t>A 37020-2024</t>
        </is>
      </c>
      <c r="B594" s="1" t="n">
        <v>45539.38059027777</v>
      </c>
      <c r="C594" s="1" t="n">
        <v>45968</v>
      </c>
      <c r="D594" t="inlineStr">
        <is>
          <t>ÖREBRO LÄN</t>
        </is>
      </c>
      <c r="E594" t="inlineStr">
        <is>
          <t>ÖREBRO</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16958-2022</t>
        </is>
      </c>
      <c r="B595" s="1" t="n">
        <v>44676.50481481481</v>
      </c>
      <c r="C595" s="1" t="n">
        <v>45968</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53342-2025</t>
        </is>
      </c>
      <c r="B596" s="1" t="n">
        <v>45959.41769675926</v>
      </c>
      <c r="C596" s="1" t="n">
        <v>45968</v>
      </c>
      <c r="D596" t="inlineStr">
        <is>
          <t>ÖREBRO LÄN</t>
        </is>
      </c>
      <c r="E596" t="inlineStr">
        <is>
          <t>ÖREBRO</t>
        </is>
      </c>
      <c r="G596" t="n">
        <v>4.1</v>
      </c>
      <c r="H596" t="n">
        <v>0</v>
      </c>
      <c r="I596" t="n">
        <v>0</v>
      </c>
      <c r="J596" t="n">
        <v>0</v>
      </c>
      <c r="K596" t="n">
        <v>0</v>
      </c>
      <c r="L596" t="n">
        <v>0</v>
      </c>
      <c r="M596" t="n">
        <v>0</v>
      </c>
      <c r="N596" t="n">
        <v>0</v>
      </c>
      <c r="O596" t="n">
        <v>0</v>
      </c>
      <c r="P596" t="n">
        <v>0</v>
      </c>
      <c r="Q596" t="n">
        <v>0</v>
      </c>
      <c r="R596" s="2" t="inlineStr"/>
    </row>
    <row r="597" ht="15" customHeight="1">
      <c r="A597" t="inlineStr">
        <is>
          <t>A 5338-2024</t>
        </is>
      </c>
      <c r="B597" s="1" t="n">
        <v>45331</v>
      </c>
      <c r="C597" s="1" t="n">
        <v>45968</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53350-2025</t>
        </is>
      </c>
      <c r="B598" s="1" t="n">
        <v>45959.43827546296</v>
      </c>
      <c r="C598" s="1" t="n">
        <v>45968</v>
      </c>
      <c r="D598" t="inlineStr">
        <is>
          <t>ÖREBRO LÄN</t>
        </is>
      </c>
      <c r="E598" t="inlineStr">
        <is>
          <t>ÖREBRO</t>
        </is>
      </c>
      <c r="G598" t="n">
        <v>4.1</v>
      </c>
      <c r="H598" t="n">
        <v>0</v>
      </c>
      <c r="I598" t="n">
        <v>0</v>
      </c>
      <c r="J598" t="n">
        <v>0</v>
      </c>
      <c r="K598" t="n">
        <v>0</v>
      </c>
      <c r="L598" t="n">
        <v>0</v>
      </c>
      <c r="M598" t="n">
        <v>0</v>
      </c>
      <c r="N598" t="n">
        <v>0</v>
      </c>
      <c r="O598" t="n">
        <v>0</v>
      </c>
      <c r="P598" t="n">
        <v>0</v>
      </c>
      <c r="Q598" t="n">
        <v>0</v>
      </c>
      <c r="R598" s="2" t="inlineStr"/>
    </row>
    <row r="599" ht="15" customHeight="1">
      <c r="A599" t="inlineStr">
        <is>
          <t>A 53437-2025</t>
        </is>
      </c>
      <c r="B599" s="1" t="n">
        <v>45959.63440972222</v>
      </c>
      <c r="C599" s="1" t="n">
        <v>45968</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4970-2022</t>
        </is>
      </c>
      <c r="B600" s="1" t="n">
        <v>44593.51175925926</v>
      </c>
      <c r="C600" s="1" t="n">
        <v>45968</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53343-2025</t>
        </is>
      </c>
      <c r="B601" s="1" t="n">
        <v>45959.42025462963</v>
      </c>
      <c r="C601" s="1" t="n">
        <v>45968</v>
      </c>
      <c r="D601" t="inlineStr">
        <is>
          <t>ÖREBRO LÄN</t>
        </is>
      </c>
      <c r="E601" t="inlineStr">
        <is>
          <t>ÖREBRO</t>
        </is>
      </c>
      <c r="G601" t="n">
        <v>0.5</v>
      </c>
      <c r="H601" t="n">
        <v>0</v>
      </c>
      <c r="I601" t="n">
        <v>0</v>
      </c>
      <c r="J601" t="n">
        <v>0</v>
      </c>
      <c r="K601" t="n">
        <v>0</v>
      </c>
      <c r="L601" t="n">
        <v>0</v>
      </c>
      <c r="M601" t="n">
        <v>0</v>
      </c>
      <c r="N601" t="n">
        <v>0</v>
      </c>
      <c r="O601" t="n">
        <v>0</v>
      </c>
      <c r="P601" t="n">
        <v>0</v>
      </c>
      <c r="Q601" t="n">
        <v>0</v>
      </c>
      <c r="R601" s="2" t="inlineStr"/>
    </row>
    <row r="602" ht="15" customHeight="1">
      <c r="A602" t="inlineStr">
        <is>
          <t>A 53443-2025</t>
        </is>
      </c>
      <c r="B602" s="1" t="n">
        <v>45959.6444675926</v>
      </c>
      <c r="C602" s="1" t="n">
        <v>45968</v>
      </c>
      <c r="D602" t="inlineStr">
        <is>
          <t>ÖREBRO LÄN</t>
        </is>
      </c>
      <c r="E602" t="inlineStr">
        <is>
          <t>ÖREBRO</t>
        </is>
      </c>
      <c r="G602" t="n">
        <v>2.8</v>
      </c>
      <c r="H602" t="n">
        <v>0</v>
      </c>
      <c r="I602" t="n">
        <v>0</v>
      </c>
      <c r="J602" t="n">
        <v>0</v>
      </c>
      <c r="K602" t="n">
        <v>0</v>
      </c>
      <c r="L602" t="n">
        <v>0</v>
      </c>
      <c r="M602" t="n">
        <v>0</v>
      </c>
      <c r="N602" t="n">
        <v>0</v>
      </c>
      <c r="O602" t="n">
        <v>0</v>
      </c>
      <c r="P602" t="n">
        <v>0</v>
      </c>
      <c r="Q602" t="n">
        <v>0</v>
      </c>
      <c r="R602" s="2" t="inlineStr"/>
    </row>
    <row r="603" ht="15" customHeight="1">
      <c r="A603" t="inlineStr">
        <is>
          <t>A 13657-2025</t>
        </is>
      </c>
      <c r="B603" s="1" t="n">
        <v>45736.7427662037</v>
      </c>
      <c r="C603" s="1" t="n">
        <v>45968</v>
      </c>
      <c r="D603" t="inlineStr">
        <is>
          <t>ÖREBRO LÄN</t>
        </is>
      </c>
      <c r="E603" t="inlineStr">
        <is>
          <t>ÖREBRO</t>
        </is>
      </c>
      <c r="G603" t="n">
        <v>3.8</v>
      </c>
      <c r="H603" t="n">
        <v>0</v>
      </c>
      <c r="I603" t="n">
        <v>0</v>
      </c>
      <c r="J603" t="n">
        <v>0</v>
      </c>
      <c r="K603" t="n">
        <v>0</v>
      </c>
      <c r="L603" t="n">
        <v>0</v>
      </c>
      <c r="M603" t="n">
        <v>0</v>
      </c>
      <c r="N603" t="n">
        <v>0</v>
      </c>
      <c r="O603" t="n">
        <v>0</v>
      </c>
      <c r="P603" t="n">
        <v>0</v>
      </c>
      <c r="Q603" t="n">
        <v>0</v>
      </c>
      <c r="R603" s="2" t="inlineStr"/>
    </row>
    <row r="604" ht="15" customHeight="1">
      <c r="A604" t="inlineStr">
        <is>
          <t>A 53719-2025</t>
        </is>
      </c>
      <c r="B604" s="1" t="n">
        <v>45960.62042824074</v>
      </c>
      <c r="C604" s="1" t="n">
        <v>45968</v>
      </c>
      <c r="D604" t="inlineStr">
        <is>
          <t>ÖREBRO LÄN</t>
        </is>
      </c>
      <c r="E604" t="inlineStr">
        <is>
          <t>ÖREBRO</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44960-2025</t>
        </is>
      </c>
      <c r="B605" s="1" t="n">
        <v>45918.61577546296</v>
      </c>
      <c r="C605" s="1" t="n">
        <v>45968</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44875-2025</t>
        </is>
      </c>
      <c r="B606" s="1" t="n">
        <v>45918.47043981482</v>
      </c>
      <c r="C606" s="1" t="n">
        <v>45968</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53715-2025</t>
        </is>
      </c>
      <c r="B607" s="1" t="n">
        <v>45960.61763888889</v>
      </c>
      <c r="C607" s="1" t="n">
        <v>45968</v>
      </c>
      <c r="D607" t="inlineStr">
        <is>
          <t>ÖREBRO LÄN</t>
        </is>
      </c>
      <c r="E607" t="inlineStr">
        <is>
          <t>ÖREBRO</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54485-2025</t>
        </is>
      </c>
      <c r="B608" s="1" t="n">
        <v>45965.59295138889</v>
      </c>
      <c r="C608" s="1" t="n">
        <v>45968</v>
      </c>
      <c r="D608" t="inlineStr">
        <is>
          <t>ÖREBRO LÄN</t>
        </is>
      </c>
      <c r="E608" t="inlineStr">
        <is>
          <t>ÖREBRO</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54205-2025</t>
        </is>
      </c>
      <c r="B609" s="1" t="n">
        <v>45964.58512731481</v>
      </c>
      <c r="C609" s="1" t="n">
        <v>45968</v>
      </c>
      <c r="D609" t="inlineStr">
        <is>
          <t>ÖREBRO LÄN</t>
        </is>
      </c>
      <c r="E609" t="inlineStr">
        <is>
          <t>ÖREBRO</t>
        </is>
      </c>
      <c r="G609" t="n">
        <v>24.3</v>
      </c>
      <c r="H609" t="n">
        <v>0</v>
      </c>
      <c r="I609" t="n">
        <v>0</v>
      </c>
      <c r="J609" t="n">
        <v>0</v>
      </c>
      <c r="K609" t="n">
        <v>0</v>
      </c>
      <c r="L609" t="n">
        <v>0</v>
      </c>
      <c r="M609" t="n">
        <v>0</v>
      </c>
      <c r="N609" t="n">
        <v>0</v>
      </c>
      <c r="O609" t="n">
        <v>0</v>
      </c>
      <c r="P609" t="n">
        <v>0</v>
      </c>
      <c r="Q609" t="n">
        <v>0</v>
      </c>
      <c r="R609" s="2" t="inlineStr"/>
    </row>
    <row r="610">
      <c r="A610" t="inlineStr">
        <is>
          <t>A 55003-2025</t>
        </is>
      </c>
      <c r="B610" s="1" t="n">
        <v>45967</v>
      </c>
      <c r="C610" s="1" t="n">
        <v>45968</v>
      </c>
      <c r="D610" t="inlineStr">
        <is>
          <t>ÖREBRO LÄN</t>
        </is>
      </c>
      <c r="E610" t="inlineStr">
        <is>
          <t>ÖREBRO</t>
        </is>
      </c>
      <c r="F610" t="inlineStr">
        <is>
          <t>Övriga Aktiebolag</t>
        </is>
      </c>
      <c r="G610" t="n">
        <v>1.9</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2025-11-07T10:17:03Z</dcterms:created>
  <dcterms:modified xmlns:dcterms="http://purl.org/dc/terms/" xmlns:xsi="http://www.w3.org/2001/XMLSchema-instance" xsi:type="dcterms:W3CDTF">2025-11-07T10:17:04Z</dcterms:modified>
</cp:coreProperties>
</file>