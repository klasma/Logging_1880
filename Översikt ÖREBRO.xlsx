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45360</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45360</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45360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45360</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45360</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45360</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45360</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45360</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45360</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45360</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45360</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45360</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45360</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45360</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45360</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45360</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45360</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45360</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45360</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45360</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45360</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45360</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45360</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45360</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45360</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45360</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45360</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45360</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45360</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45360</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45360</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45360</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45360</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45360</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45360</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45360</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45360</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31234-2023</t>
        </is>
      </c>
      <c r="B39" s="1" t="n">
        <v>45114</v>
      </c>
      <c r="C39" s="1" t="n">
        <v>45360</v>
      </c>
      <c r="D39" t="inlineStr">
        <is>
          <t>ÖREBRO LÄN</t>
        </is>
      </c>
      <c r="E39" t="inlineStr">
        <is>
          <t>ÖREBRO</t>
        </is>
      </c>
      <c r="F39" t="inlineStr">
        <is>
          <t>Allmännings- och besparingsskogar</t>
        </is>
      </c>
      <c r="G39" t="n">
        <v>30.5</v>
      </c>
      <c r="H39" t="n">
        <v>2</v>
      </c>
      <c r="I39" t="n">
        <v>0</v>
      </c>
      <c r="J39" t="n">
        <v>2</v>
      </c>
      <c r="K39" t="n">
        <v>0</v>
      </c>
      <c r="L39" t="n">
        <v>0</v>
      </c>
      <c r="M39" t="n">
        <v>0</v>
      </c>
      <c r="N39" t="n">
        <v>0</v>
      </c>
      <c r="O39" t="n">
        <v>2</v>
      </c>
      <c r="P39" t="n">
        <v>0</v>
      </c>
      <c r="Q39" t="n">
        <v>2</v>
      </c>
      <c r="R39" s="2" t="inlineStr">
        <is>
          <t>Havsörn
Spillkråka</t>
        </is>
      </c>
      <c r="S39">
        <f>HYPERLINK("https://klasma.github.io/Logging_1880/artfynd/A 31234-2023 artfynd.xlsx", "A 31234-2023")</f>
        <v/>
      </c>
      <c r="T39">
        <f>HYPERLINK("https://klasma.github.io/Logging_1880/kartor/A 31234-2023 karta.png", "A 31234-2023")</f>
        <v/>
      </c>
      <c r="V39">
        <f>HYPERLINK("https://klasma.github.io/Logging_1880/klagomål/A 31234-2023 FSC-klagomål.docx", "A 31234-2023")</f>
        <v/>
      </c>
      <c r="W39">
        <f>HYPERLINK("https://klasma.github.io/Logging_1880/klagomålsmail/A 31234-2023 FSC-klagomål mail.docx", "A 31234-2023")</f>
        <v/>
      </c>
      <c r="X39">
        <f>HYPERLINK("https://klasma.github.io/Logging_1880/tillsyn/A 31234-2023 tillsynsbegäran.docx", "A 31234-2023")</f>
        <v/>
      </c>
      <c r="Y39">
        <f>HYPERLINK("https://klasma.github.io/Logging_1880/tillsynsmail/A 31234-2023 tillsynsbegäran mail.docx", "A 31234-2023")</f>
        <v/>
      </c>
      <c r="Z39">
        <f>HYPERLINK("https://klasma.github.io/Logging_1880/fåglar/A 31234-2023 prioriterade fågelarter.docx", "A 31234-2023")</f>
        <v/>
      </c>
    </row>
    <row r="40" ht="15" customHeight="1">
      <c r="A40" t="inlineStr">
        <is>
          <t>A 50096-2023</t>
        </is>
      </c>
      <c r="B40" s="1" t="n">
        <v>45215</v>
      </c>
      <c r="C40" s="1" t="n">
        <v>45360</v>
      </c>
      <c r="D40" t="inlineStr">
        <is>
          <t>ÖREBRO LÄN</t>
        </is>
      </c>
      <c r="E40" t="inlineStr">
        <is>
          <t>ÖREBRO</t>
        </is>
      </c>
      <c r="F40" t="inlineStr">
        <is>
          <t>Övriga Aktiebolag</t>
        </is>
      </c>
      <c r="G40" t="n">
        <v>2.3</v>
      </c>
      <c r="H40" t="n">
        <v>2</v>
      </c>
      <c r="I40" t="n">
        <v>0</v>
      </c>
      <c r="J40" t="n">
        <v>2</v>
      </c>
      <c r="K40" t="n">
        <v>0</v>
      </c>
      <c r="L40" t="n">
        <v>0</v>
      </c>
      <c r="M40" t="n">
        <v>0</v>
      </c>
      <c r="N40" t="n">
        <v>0</v>
      </c>
      <c r="O40" t="n">
        <v>2</v>
      </c>
      <c r="P40" t="n">
        <v>0</v>
      </c>
      <c r="Q40" t="n">
        <v>2</v>
      </c>
      <c r="R40" s="2" t="inlineStr">
        <is>
          <t>Fiskmås
Skrattmås</t>
        </is>
      </c>
      <c r="S40">
        <f>HYPERLINK("https://klasma.github.io/Logging_1880/artfynd/A 50096-2023 artfynd.xlsx", "A 50096-2023")</f>
        <v/>
      </c>
      <c r="T40">
        <f>HYPERLINK("https://klasma.github.io/Logging_1880/kartor/A 50096-2023 karta.png", "A 50096-2023")</f>
        <v/>
      </c>
      <c r="V40">
        <f>HYPERLINK("https://klasma.github.io/Logging_1880/klagomål/A 50096-2023 FSC-klagomål.docx", "A 50096-2023")</f>
        <v/>
      </c>
      <c r="W40">
        <f>HYPERLINK("https://klasma.github.io/Logging_1880/klagomålsmail/A 50096-2023 FSC-klagomål mail.docx", "A 50096-2023")</f>
        <v/>
      </c>
      <c r="X40">
        <f>HYPERLINK("https://klasma.github.io/Logging_1880/tillsyn/A 50096-2023 tillsynsbegäran.docx", "A 50096-2023")</f>
        <v/>
      </c>
      <c r="Y40">
        <f>HYPERLINK("https://klasma.github.io/Logging_1880/tillsynsmail/A 50096-2023 tillsynsbegäran mail.docx", "A 50096-2023")</f>
        <v/>
      </c>
    </row>
    <row r="41" ht="15" customHeight="1">
      <c r="A41" t="inlineStr">
        <is>
          <t>A 44445-2018</t>
        </is>
      </c>
      <c r="B41" s="1" t="n">
        <v>43356</v>
      </c>
      <c r="C41" s="1" t="n">
        <v>45360</v>
      </c>
      <c r="D41" t="inlineStr">
        <is>
          <t>ÖREBRO LÄN</t>
        </is>
      </c>
      <c r="E41" t="inlineStr">
        <is>
          <t>ÖREBRO</t>
        </is>
      </c>
      <c r="G41" t="n">
        <v>2.4</v>
      </c>
      <c r="H41" t="n">
        <v>0</v>
      </c>
      <c r="I41" t="n">
        <v>0</v>
      </c>
      <c r="J41" t="n">
        <v>0</v>
      </c>
      <c r="K41" t="n">
        <v>0</v>
      </c>
      <c r="L41" t="n">
        <v>1</v>
      </c>
      <c r="M41" t="n">
        <v>0</v>
      </c>
      <c r="N41" t="n">
        <v>0</v>
      </c>
      <c r="O41" t="n">
        <v>1</v>
      </c>
      <c r="P41" t="n">
        <v>1</v>
      </c>
      <c r="Q41" t="n">
        <v>1</v>
      </c>
      <c r="R41" s="2" t="inlineStr">
        <is>
          <t>Ask</t>
        </is>
      </c>
      <c r="S41">
        <f>HYPERLINK("https://klasma.github.io/Logging_1880/artfynd/A 44445-2018 artfynd.xlsx", "A 44445-2018")</f>
        <v/>
      </c>
      <c r="T41">
        <f>HYPERLINK("https://klasma.github.io/Logging_1880/kartor/A 44445-2018 karta.png", "A 44445-2018")</f>
        <v/>
      </c>
      <c r="V41">
        <f>HYPERLINK("https://klasma.github.io/Logging_1880/klagomål/A 44445-2018 FSC-klagomål.docx", "A 44445-2018")</f>
        <v/>
      </c>
      <c r="W41">
        <f>HYPERLINK("https://klasma.github.io/Logging_1880/klagomålsmail/A 44445-2018 FSC-klagomål mail.docx", "A 44445-2018")</f>
        <v/>
      </c>
      <c r="X41">
        <f>HYPERLINK("https://klasma.github.io/Logging_1880/tillsyn/A 44445-2018 tillsynsbegäran.docx", "A 44445-2018")</f>
        <v/>
      </c>
      <c r="Y41">
        <f>HYPERLINK("https://klasma.github.io/Logging_1880/tillsynsmail/A 44445-2018 tillsynsbegäran mail.docx", "A 44445-2018")</f>
        <v/>
      </c>
    </row>
    <row r="42" ht="15" customHeight="1">
      <c r="A42" t="inlineStr">
        <is>
          <t>A 71080-2018</t>
        </is>
      </c>
      <c r="B42" s="1" t="n">
        <v>43452</v>
      </c>
      <c r="C42" s="1" t="n">
        <v>45360</v>
      </c>
      <c r="D42" t="inlineStr">
        <is>
          <t>ÖREBRO LÄN</t>
        </is>
      </c>
      <c r="E42" t="inlineStr">
        <is>
          <t>ÖREBRO</t>
        </is>
      </c>
      <c r="F42" t="inlineStr">
        <is>
          <t>Övriga Aktiebolag</t>
        </is>
      </c>
      <c r="G42" t="n">
        <v>4.3</v>
      </c>
      <c r="H42" t="n">
        <v>1</v>
      </c>
      <c r="I42" t="n">
        <v>0</v>
      </c>
      <c r="J42" t="n">
        <v>0</v>
      </c>
      <c r="K42" t="n">
        <v>0</v>
      </c>
      <c r="L42" t="n">
        <v>0</v>
      </c>
      <c r="M42" t="n">
        <v>0</v>
      </c>
      <c r="N42" t="n">
        <v>1</v>
      </c>
      <c r="O42" t="n">
        <v>1</v>
      </c>
      <c r="P42" t="n">
        <v>0</v>
      </c>
      <c r="Q42" t="n">
        <v>1</v>
      </c>
      <c r="R42" s="2" t="inlineStr">
        <is>
          <t>Härfågel</t>
        </is>
      </c>
      <c r="S42">
        <f>HYPERLINK("https://klasma.github.io/Logging_1880/artfynd/A 71080-2018 artfynd.xlsx", "A 71080-2018")</f>
        <v/>
      </c>
      <c r="T42">
        <f>HYPERLINK("https://klasma.github.io/Logging_1880/kartor/A 71080-2018 karta.png", "A 71080-2018")</f>
        <v/>
      </c>
      <c r="V42">
        <f>HYPERLINK("https://klasma.github.io/Logging_1880/klagomål/A 71080-2018 FSC-klagomål.docx", "A 71080-2018")</f>
        <v/>
      </c>
      <c r="W42">
        <f>HYPERLINK("https://klasma.github.io/Logging_1880/klagomålsmail/A 71080-2018 FSC-klagomål mail.docx", "A 71080-2018")</f>
        <v/>
      </c>
      <c r="X42">
        <f>HYPERLINK("https://klasma.github.io/Logging_1880/tillsyn/A 71080-2018 tillsynsbegäran.docx", "A 71080-2018")</f>
        <v/>
      </c>
      <c r="Y42">
        <f>HYPERLINK("https://klasma.github.io/Logging_1880/tillsynsmail/A 71080-2018 tillsynsbegäran mail.docx", "A 71080-2018")</f>
        <v/>
      </c>
    </row>
    <row r="43" ht="15" customHeight="1">
      <c r="A43" t="inlineStr">
        <is>
          <t>A 15351-2019</t>
        </is>
      </c>
      <c r="B43" s="1" t="n">
        <v>43541</v>
      </c>
      <c r="C43" s="1" t="n">
        <v>45360</v>
      </c>
      <c r="D43" t="inlineStr">
        <is>
          <t>ÖREBRO LÄN</t>
        </is>
      </c>
      <c r="E43" t="inlineStr">
        <is>
          <t>ÖREBRO</t>
        </is>
      </c>
      <c r="G43" t="n">
        <v>3.3</v>
      </c>
      <c r="H43" t="n">
        <v>1</v>
      </c>
      <c r="I43" t="n">
        <v>0</v>
      </c>
      <c r="J43" t="n">
        <v>0</v>
      </c>
      <c r="K43" t="n">
        <v>1</v>
      </c>
      <c r="L43" t="n">
        <v>0</v>
      </c>
      <c r="M43" t="n">
        <v>0</v>
      </c>
      <c r="N43" t="n">
        <v>0</v>
      </c>
      <c r="O43" t="n">
        <v>1</v>
      </c>
      <c r="P43" t="n">
        <v>1</v>
      </c>
      <c r="Q43" t="n">
        <v>1</v>
      </c>
      <c r="R43" s="2" t="inlineStr">
        <is>
          <t>Hällebräcka</t>
        </is>
      </c>
      <c r="S43">
        <f>HYPERLINK("https://klasma.github.io/Logging_1880/artfynd/A 15351-2019 artfynd.xlsx", "A 15351-2019")</f>
        <v/>
      </c>
      <c r="T43">
        <f>HYPERLINK("https://klasma.github.io/Logging_1880/kartor/A 15351-2019 karta.png", "A 15351-2019")</f>
        <v/>
      </c>
      <c r="V43">
        <f>HYPERLINK("https://klasma.github.io/Logging_1880/klagomål/A 15351-2019 FSC-klagomål.docx", "A 15351-2019")</f>
        <v/>
      </c>
      <c r="W43">
        <f>HYPERLINK("https://klasma.github.io/Logging_1880/klagomålsmail/A 15351-2019 FSC-klagomål mail.docx", "A 15351-2019")</f>
        <v/>
      </c>
      <c r="X43">
        <f>HYPERLINK("https://klasma.github.io/Logging_1880/tillsyn/A 15351-2019 tillsynsbegäran.docx", "A 15351-2019")</f>
        <v/>
      </c>
      <c r="Y43">
        <f>HYPERLINK("https://klasma.github.io/Logging_1880/tillsynsmail/A 15351-2019 tillsynsbegäran mail.docx", "A 15351-2019")</f>
        <v/>
      </c>
    </row>
    <row r="44" ht="15" customHeight="1">
      <c r="A44" t="inlineStr">
        <is>
          <t>A 33605-2019</t>
        </is>
      </c>
      <c r="B44" s="1" t="n">
        <v>43644</v>
      </c>
      <c r="C44" s="1" t="n">
        <v>45360</v>
      </c>
      <c r="D44" t="inlineStr">
        <is>
          <t>ÖREBRO LÄN</t>
        </is>
      </c>
      <c r="E44" t="inlineStr">
        <is>
          <t>ÖREBRO</t>
        </is>
      </c>
      <c r="F44" t="inlineStr">
        <is>
          <t>Kommuner</t>
        </is>
      </c>
      <c r="G44" t="n">
        <v>1.5</v>
      </c>
      <c r="H44" t="n">
        <v>0</v>
      </c>
      <c r="I44" t="n">
        <v>0</v>
      </c>
      <c r="J44" t="n">
        <v>1</v>
      </c>
      <c r="K44" t="n">
        <v>0</v>
      </c>
      <c r="L44" t="n">
        <v>0</v>
      </c>
      <c r="M44" t="n">
        <v>0</v>
      </c>
      <c r="N44" t="n">
        <v>0</v>
      </c>
      <c r="O44" t="n">
        <v>1</v>
      </c>
      <c r="P44" t="n">
        <v>0</v>
      </c>
      <c r="Q44" t="n">
        <v>1</v>
      </c>
      <c r="R44" s="2" t="inlineStr">
        <is>
          <t>Tallticka</t>
        </is>
      </c>
      <c r="S44">
        <f>HYPERLINK("https://klasma.github.io/Logging_1880/artfynd/A 33605-2019 artfynd.xlsx", "A 33605-2019")</f>
        <v/>
      </c>
      <c r="T44">
        <f>HYPERLINK("https://klasma.github.io/Logging_1880/kartor/A 33605-2019 karta.png", "A 33605-2019")</f>
        <v/>
      </c>
      <c r="V44">
        <f>HYPERLINK("https://klasma.github.io/Logging_1880/klagomål/A 33605-2019 FSC-klagomål.docx", "A 33605-2019")</f>
        <v/>
      </c>
      <c r="W44">
        <f>HYPERLINK("https://klasma.github.io/Logging_1880/klagomålsmail/A 33605-2019 FSC-klagomål mail.docx", "A 33605-2019")</f>
        <v/>
      </c>
      <c r="X44">
        <f>HYPERLINK("https://klasma.github.io/Logging_1880/tillsyn/A 33605-2019 tillsynsbegäran.docx", "A 33605-2019")</f>
        <v/>
      </c>
      <c r="Y44">
        <f>HYPERLINK("https://klasma.github.io/Logging_1880/tillsynsmail/A 33605-2019 tillsynsbegäran mail.docx", "A 33605-2019")</f>
        <v/>
      </c>
    </row>
    <row r="45" ht="15" customHeight="1">
      <c r="A45" t="inlineStr">
        <is>
          <t>A 41505-2019</t>
        </is>
      </c>
      <c r="B45" s="1" t="n">
        <v>43696</v>
      </c>
      <c r="C45" s="1" t="n">
        <v>45360</v>
      </c>
      <c r="D45" t="inlineStr">
        <is>
          <t>ÖREBRO LÄN</t>
        </is>
      </c>
      <c r="E45" t="inlineStr">
        <is>
          <t>ÖREBRO</t>
        </is>
      </c>
      <c r="F45" t="inlineStr">
        <is>
          <t>Kommuner</t>
        </is>
      </c>
      <c r="G45" t="n">
        <v>2.9</v>
      </c>
      <c r="H45" t="n">
        <v>0</v>
      </c>
      <c r="I45" t="n">
        <v>0</v>
      </c>
      <c r="J45" t="n">
        <v>1</v>
      </c>
      <c r="K45" t="n">
        <v>0</v>
      </c>
      <c r="L45" t="n">
        <v>0</v>
      </c>
      <c r="M45" t="n">
        <v>0</v>
      </c>
      <c r="N45" t="n">
        <v>0</v>
      </c>
      <c r="O45" t="n">
        <v>1</v>
      </c>
      <c r="P45" t="n">
        <v>0</v>
      </c>
      <c r="Q45" t="n">
        <v>1</v>
      </c>
      <c r="R45" s="2" t="inlineStr">
        <is>
          <t>Tallticka</t>
        </is>
      </c>
      <c r="S45">
        <f>HYPERLINK("https://klasma.github.io/Logging_1880/artfynd/A 41505-2019 artfynd.xlsx", "A 41505-2019")</f>
        <v/>
      </c>
      <c r="T45">
        <f>HYPERLINK("https://klasma.github.io/Logging_1880/kartor/A 41505-2019 karta.png", "A 41505-2019")</f>
        <v/>
      </c>
      <c r="V45">
        <f>HYPERLINK("https://klasma.github.io/Logging_1880/klagomål/A 41505-2019 FSC-klagomål.docx", "A 41505-2019")</f>
        <v/>
      </c>
      <c r="W45">
        <f>HYPERLINK("https://klasma.github.io/Logging_1880/klagomålsmail/A 41505-2019 FSC-klagomål mail.docx", "A 41505-2019")</f>
        <v/>
      </c>
      <c r="X45">
        <f>HYPERLINK("https://klasma.github.io/Logging_1880/tillsyn/A 41505-2019 tillsynsbegäran.docx", "A 41505-2019")</f>
        <v/>
      </c>
      <c r="Y45">
        <f>HYPERLINK("https://klasma.github.io/Logging_1880/tillsynsmail/A 41505-2019 tillsynsbegäran mail.docx", "A 41505-2019")</f>
        <v/>
      </c>
    </row>
    <row r="46" ht="15" customHeight="1">
      <c r="A46" t="inlineStr">
        <is>
          <t>A 48989-2019</t>
        </is>
      </c>
      <c r="B46" s="1" t="n">
        <v>43729</v>
      </c>
      <c r="C46" s="1" t="n">
        <v>45360</v>
      </c>
      <c r="D46" t="inlineStr">
        <is>
          <t>ÖREBRO LÄN</t>
        </is>
      </c>
      <c r="E46" t="inlineStr">
        <is>
          <t>ÖREBRO</t>
        </is>
      </c>
      <c r="G46" t="n">
        <v>3.8</v>
      </c>
      <c r="H46" t="n">
        <v>1</v>
      </c>
      <c r="I46" t="n">
        <v>0</v>
      </c>
      <c r="J46" t="n">
        <v>1</v>
      </c>
      <c r="K46" t="n">
        <v>0</v>
      </c>
      <c r="L46" t="n">
        <v>0</v>
      </c>
      <c r="M46" t="n">
        <v>0</v>
      </c>
      <c r="N46" t="n">
        <v>0</v>
      </c>
      <c r="O46" t="n">
        <v>1</v>
      </c>
      <c r="P46" t="n">
        <v>0</v>
      </c>
      <c r="Q46" t="n">
        <v>1</v>
      </c>
      <c r="R46" s="2" t="inlineStr">
        <is>
          <t>Havsörn</t>
        </is>
      </c>
      <c r="S46">
        <f>HYPERLINK("https://klasma.github.io/Logging_1880/artfynd/A 48989-2019 artfynd.xlsx", "A 48989-2019")</f>
        <v/>
      </c>
      <c r="T46">
        <f>HYPERLINK("https://klasma.github.io/Logging_1880/kartor/A 48989-2019 karta.png", "A 48989-2019")</f>
        <v/>
      </c>
      <c r="V46">
        <f>HYPERLINK("https://klasma.github.io/Logging_1880/klagomål/A 48989-2019 FSC-klagomål.docx", "A 48989-2019")</f>
        <v/>
      </c>
      <c r="W46">
        <f>HYPERLINK("https://klasma.github.io/Logging_1880/klagomålsmail/A 48989-2019 FSC-klagomål mail.docx", "A 48989-2019")</f>
        <v/>
      </c>
      <c r="X46">
        <f>HYPERLINK("https://klasma.github.io/Logging_1880/tillsyn/A 48989-2019 tillsynsbegäran.docx", "A 48989-2019")</f>
        <v/>
      </c>
      <c r="Y46">
        <f>HYPERLINK("https://klasma.github.io/Logging_1880/tillsynsmail/A 48989-2019 tillsynsbegäran mail.docx", "A 48989-2019")</f>
        <v/>
      </c>
      <c r="Z46">
        <f>HYPERLINK("https://klasma.github.io/Logging_1880/fåglar/A 48989-2019 prioriterade fågelarter.docx", "A 48989-2019")</f>
        <v/>
      </c>
    </row>
    <row r="47" ht="15" customHeight="1">
      <c r="A47" t="inlineStr">
        <is>
          <t>A 1512-2020</t>
        </is>
      </c>
      <c r="B47" s="1" t="n">
        <v>43826</v>
      </c>
      <c r="C47" s="1" t="n">
        <v>45360</v>
      </c>
      <c r="D47" t="inlineStr">
        <is>
          <t>ÖREBRO LÄN</t>
        </is>
      </c>
      <c r="E47" t="inlineStr">
        <is>
          <t>ÖREBRO</t>
        </is>
      </c>
      <c r="G47" t="n">
        <v>6</v>
      </c>
      <c r="H47" t="n">
        <v>1</v>
      </c>
      <c r="I47" t="n">
        <v>0</v>
      </c>
      <c r="J47" t="n">
        <v>0</v>
      </c>
      <c r="K47" t="n">
        <v>0</v>
      </c>
      <c r="L47" t="n">
        <v>0</v>
      </c>
      <c r="M47" t="n">
        <v>0</v>
      </c>
      <c r="N47" t="n">
        <v>0</v>
      </c>
      <c r="O47" t="n">
        <v>0</v>
      </c>
      <c r="P47" t="n">
        <v>0</v>
      </c>
      <c r="Q47" t="n">
        <v>1</v>
      </c>
      <c r="R47" s="2" t="inlineStr">
        <is>
          <t>Revlummer</t>
        </is>
      </c>
      <c r="S47">
        <f>HYPERLINK("https://klasma.github.io/Logging_1880/artfynd/A 1512-2020 artfynd.xlsx", "A 1512-2020")</f>
        <v/>
      </c>
      <c r="T47">
        <f>HYPERLINK("https://klasma.github.io/Logging_1880/kartor/A 1512-2020 karta.png", "A 1512-2020")</f>
        <v/>
      </c>
      <c r="V47">
        <f>HYPERLINK("https://klasma.github.io/Logging_1880/klagomål/A 1512-2020 FSC-klagomål.docx", "A 1512-2020")</f>
        <v/>
      </c>
      <c r="W47">
        <f>HYPERLINK("https://klasma.github.io/Logging_1880/klagomålsmail/A 1512-2020 FSC-klagomål mail.docx", "A 1512-2020")</f>
        <v/>
      </c>
      <c r="X47">
        <f>HYPERLINK("https://klasma.github.io/Logging_1880/tillsyn/A 1512-2020 tillsynsbegäran.docx", "A 1512-2020")</f>
        <v/>
      </c>
      <c r="Y47">
        <f>HYPERLINK("https://klasma.github.io/Logging_1880/tillsynsmail/A 1512-2020 tillsynsbegäran mail.docx", "A 1512-2020")</f>
        <v/>
      </c>
    </row>
    <row r="48" ht="15" customHeight="1">
      <c r="A48" t="inlineStr">
        <is>
          <t>A 2697-2020</t>
        </is>
      </c>
      <c r="B48" s="1" t="n">
        <v>43843</v>
      </c>
      <c r="C48" s="1" t="n">
        <v>45360</v>
      </c>
      <c r="D48" t="inlineStr">
        <is>
          <t>ÖREBRO LÄN</t>
        </is>
      </c>
      <c r="E48" t="inlineStr">
        <is>
          <t>ÖREBRO</t>
        </is>
      </c>
      <c r="G48" t="n">
        <v>5</v>
      </c>
      <c r="H48" t="n">
        <v>0</v>
      </c>
      <c r="I48" t="n">
        <v>1</v>
      </c>
      <c r="J48" t="n">
        <v>0</v>
      </c>
      <c r="K48" t="n">
        <v>0</v>
      </c>
      <c r="L48" t="n">
        <v>0</v>
      </c>
      <c r="M48" t="n">
        <v>0</v>
      </c>
      <c r="N48" t="n">
        <v>0</v>
      </c>
      <c r="O48" t="n">
        <v>0</v>
      </c>
      <c r="P48" t="n">
        <v>0</v>
      </c>
      <c r="Q48" t="n">
        <v>1</v>
      </c>
      <c r="R48" s="2" t="inlineStr">
        <is>
          <t>Springkorn</t>
        </is>
      </c>
      <c r="S48">
        <f>HYPERLINK("https://klasma.github.io/Logging_1880/artfynd/A 2697-2020 artfynd.xlsx", "A 2697-2020")</f>
        <v/>
      </c>
      <c r="T48">
        <f>HYPERLINK("https://klasma.github.io/Logging_1880/kartor/A 2697-2020 karta.png", "A 2697-2020")</f>
        <v/>
      </c>
      <c r="V48">
        <f>HYPERLINK("https://klasma.github.io/Logging_1880/klagomål/A 2697-2020 FSC-klagomål.docx", "A 2697-2020")</f>
        <v/>
      </c>
      <c r="W48">
        <f>HYPERLINK("https://klasma.github.io/Logging_1880/klagomålsmail/A 2697-2020 FSC-klagomål mail.docx", "A 2697-2020")</f>
        <v/>
      </c>
      <c r="X48">
        <f>HYPERLINK("https://klasma.github.io/Logging_1880/tillsyn/A 2697-2020 tillsynsbegäran.docx", "A 2697-2020")</f>
        <v/>
      </c>
      <c r="Y48">
        <f>HYPERLINK("https://klasma.github.io/Logging_1880/tillsynsmail/A 2697-2020 tillsynsbegäran mail.docx", "A 2697-2020")</f>
        <v/>
      </c>
    </row>
    <row r="49" ht="15" customHeight="1">
      <c r="A49" t="inlineStr">
        <is>
          <t>A 1571-2020</t>
        </is>
      </c>
      <c r="B49" s="1" t="n">
        <v>43844</v>
      </c>
      <c r="C49" s="1" t="n">
        <v>45360</v>
      </c>
      <c r="D49" t="inlineStr">
        <is>
          <t>ÖREBRO LÄN</t>
        </is>
      </c>
      <c r="E49" t="inlineStr">
        <is>
          <t>ÖREBRO</t>
        </is>
      </c>
      <c r="G49" t="n">
        <v>2</v>
      </c>
      <c r="H49" t="n">
        <v>0</v>
      </c>
      <c r="I49" t="n">
        <v>0</v>
      </c>
      <c r="J49" t="n">
        <v>1</v>
      </c>
      <c r="K49" t="n">
        <v>0</v>
      </c>
      <c r="L49" t="n">
        <v>0</v>
      </c>
      <c r="M49" t="n">
        <v>0</v>
      </c>
      <c r="N49" t="n">
        <v>0</v>
      </c>
      <c r="O49" t="n">
        <v>1</v>
      </c>
      <c r="P49" t="n">
        <v>0</v>
      </c>
      <c r="Q49" t="n">
        <v>1</v>
      </c>
      <c r="R49" s="2" t="inlineStr">
        <is>
          <t>Ullticka</t>
        </is>
      </c>
      <c r="S49">
        <f>HYPERLINK("https://klasma.github.io/Logging_1880/artfynd/A 1571-2020 artfynd.xlsx", "A 1571-2020")</f>
        <v/>
      </c>
      <c r="T49">
        <f>HYPERLINK("https://klasma.github.io/Logging_1880/kartor/A 1571-2020 karta.png", "A 1571-2020")</f>
        <v/>
      </c>
      <c r="V49">
        <f>HYPERLINK("https://klasma.github.io/Logging_1880/klagomål/A 1571-2020 FSC-klagomål.docx", "A 1571-2020")</f>
        <v/>
      </c>
      <c r="W49">
        <f>HYPERLINK("https://klasma.github.io/Logging_1880/klagomålsmail/A 1571-2020 FSC-klagomål mail.docx", "A 1571-2020")</f>
        <v/>
      </c>
      <c r="X49">
        <f>HYPERLINK("https://klasma.github.io/Logging_1880/tillsyn/A 1571-2020 tillsynsbegäran.docx", "A 1571-2020")</f>
        <v/>
      </c>
      <c r="Y49">
        <f>HYPERLINK("https://klasma.github.io/Logging_1880/tillsynsmail/A 1571-2020 tillsynsbegäran mail.docx", "A 1571-2020")</f>
        <v/>
      </c>
    </row>
    <row r="50" ht="15" customHeight="1">
      <c r="A50" t="inlineStr">
        <is>
          <t>A 4761-2020</t>
        </is>
      </c>
      <c r="B50" s="1" t="n">
        <v>43858</v>
      </c>
      <c r="C50" s="1" t="n">
        <v>45360</v>
      </c>
      <c r="D50" t="inlineStr">
        <is>
          <t>ÖREBRO LÄN</t>
        </is>
      </c>
      <c r="E50" t="inlineStr">
        <is>
          <t>ÖREBRO</t>
        </is>
      </c>
      <c r="F50" t="inlineStr">
        <is>
          <t>Kommuner</t>
        </is>
      </c>
      <c r="G50" t="n">
        <v>2.3</v>
      </c>
      <c r="H50" t="n">
        <v>0</v>
      </c>
      <c r="I50" t="n">
        <v>1</v>
      </c>
      <c r="J50" t="n">
        <v>0</v>
      </c>
      <c r="K50" t="n">
        <v>0</v>
      </c>
      <c r="L50" t="n">
        <v>0</v>
      </c>
      <c r="M50" t="n">
        <v>0</v>
      </c>
      <c r="N50" t="n">
        <v>0</v>
      </c>
      <c r="O50" t="n">
        <v>0</v>
      </c>
      <c r="P50" t="n">
        <v>0</v>
      </c>
      <c r="Q50" t="n">
        <v>1</v>
      </c>
      <c r="R50" s="2" t="inlineStr">
        <is>
          <t>Zontaggsvamp</t>
        </is>
      </c>
      <c r="S50">
        <f>HYPERLINK("https://klasma.github.io/Logging_1880/artfynd/A 4761-2020 artfynd.xlsx", "A 4761-2020")</f>
        <v/>
      </c>
      <c r="T50">
        <f>HYPERLINK("https://klasma.github.io/Logging_1880/kartor/A 4761-2020 karta.png", "A 4761-2020")</f>
        <v/>
      </c>
      <c r="V50">
        <f>HYPERLINK("https://klasma.github.io/Logging_1880/klagomål/A 4761-2020 FSC-klagomål.docx", "A 4761-2020")</f>
        <v/>
      </c>
      <c r="W50">
        <f>HYPERLINK("https://klasma.github.io/Logging_1880/klagomålsmail/A 4761-2020 FSC-klagomål mail.docx", "A 4761-2020")</f>
        <v/>
      </c>
      <c r="X50">
        <f>HYPERLINK("https://klasma.github.io/Logging_1880/tillsyn/A 4761-2020 tillsynsbegäran.docx", "A 4761-2020")</f>
        <v/>
      </c>
      <c r="Y50">
        <f>HYPERLINK("https://klasma.github.io/Logging_1880/tillsynsmail/A 4761-2020 tillsynsbegäran mail.docx", "A 4761-2020")</f>
        <v/>
      </c>
    </row>
    <row r="51" ht="15" customHeight="1">
      <c r="A51" t="inlineStr">
        <is>
          <t>A 13831-2020</t>
        </is>
      </c>
      <c r="B51" s="1" t="n">
        <v>43905</v>
      </c>
      <c r="C51" s="1" t="n">
        <v>45360</v>
      </c>
      <c r="D51" t="inlineStr">
        <is>
          <t>ÖREBRO LÄN</t>
        </is>
      </c>
      <c r="E51" t="inlineStr">
        <is>
          <t>ÖREBRO</t>
        </is>
      </c>
      <c r="G51" t="n">
        <v>7.5</v>
      </c>
      <c r="H51" t="n">
        <v>0</v>
      </c>
      <c r="I51" t="n">
        <v>1</v>
      </c>
      <c r="J51" t="n">
        <v>0</v>
      </c>
      <c r="K51" t="n">
        <v>0</v>
      </c>
      <c r="L51" t="n">
        <v>0</v>
      </c>
      <c r="M51" t="n">
        <v>0</v>
      </c>
      <c r="N51" t="n">
        <v>0</v>
      </c>
      <c r="O51" t="n">
        <v>0</v>
      </c>
      <c r="P51" t="n">
        <v>0</v>
      </c>
      <c r="Q51" t="n">
        <v>1</v>
      </c>
      <c r="R51" s="2" t="inlineStr">
        <is>
          <t>Vätteros</t>
        </is>
      </c>
      <c r="S51">
        <f>HYPERLINK("https://klasma.github.io/Logging_1880/artfynd/A 13831-2020 artfynd.xlsx", "A 13831-2020")</f>
        <v/>
      </c>
      <c r="T51">
        <f>HYPERLINK("https://klasma.github.io/Logging_1880/kartor/A 13831-2020 karta.png", "A 13831-2020")</f>
        <v/>
      </c>
      <c r="V51">
        <f>HYPERLINK("https://klasma.github.io/Logging_1880/klagomål/A 13831-2020 FSC-klagomål.docx", "A 13831-2020")</f>
        <v/>
      </c>
      <c r="W51">
        <f>HYPERLINK("https://klasma.github.io/Logging_1880/klagomålsmail/A 13831-2020 FSC-klagomål mail.docx", "A 13831-2020")</f>
        <v/>
      </c>
      <c r="X51">
        <f>HYPERLINK("https://klasma.github.io/Logging_1880/tillsyn/A 13831-2020 tillsynsbegäran.docx", "A 13831-2020")</f>
        <v/>
      </c>
      <c r="Y51">
        <f>HYPERLINK("https://klasma.github.io/Logging_1880/tillsynsmail/A 13831-2020 tillsynsbegäran mail.docx", "A 13831-2020")</f>
        <v/>
      </c>
    </row>
    <row r="52" ht="15" customHeight="1">
      <c r="A52" t="inlineStr">
        <is>
          <t>A 25192-2020</t>
        </is>
      </c>
      <c r="B52" s="1" t="n">
        <v>43980</v>
      </c>
      <c r="C52" s="1" t="n">
        <v>45360</v>
      </c>
      <c r="D52" t="inlineStr">
        <is>
          <t>ÖREBRO LÄN</t>
        </is>
      </c>
      <c r="E52" t="inlineStr">
        <is>
          <t>ÖREBRO</t>
        </is>
      </c>
      <c r="F52" t="inlineStr">
        <is>
          <t>Övriga Aktiebolag</t>
        </is>
      </c>
      <c r="G52" t="n">
        <v>1.5</v>
      </c>
      <c r="H52" t="n">
        <v>1</v>
      </c>
      <c r="I52" t="n">
        <v>1</v>
      </c>
      <c r="J52" t="n">
        <v>0</v>
      </c>
      <c r="K52" t="n">
        <v>0</v>
      </c>
      <c r="L52" t="n">
        <v>0</v>
      </c>
      <c r="M52" t="n">
        <v>0</v>
      </c>
      <c r="N52" t="n">
        <v>0</v>
      </c>
      <c r="O52" t="n">
        <v>0</v>
      </c>
      <c r="P52" t="n">
        <v>0</v>
      </c>
      <c r="Q52" t="n">
        <v>1</v>
      </c>
      <c r="R52" s="2" t="inlineStr">
        <is>
          <t>Spindelblomster</t>
        </is>
      </c>
      <c r="S52">
        <f>HYPERLINK("https://klasma.github.io/Logging_1880/artfynd/A 25192-2020 artfynd.xlsx", "A 25192-2020")</f>
        <v/>
      </c>
      <c r="T52">
        <f>HYPERLINK("https://klasma.github.io/Logging_1880/kartor/A 25192-2020 karta.png", "A 25192-2020")</f>
        <v/>
      </c>
      <c r="V52">
        <f>HYPERLINK("https://klasma.github.io/Logging_1880/klagomål/A 25192-2020 FSC-klagomål.docx", "A 25192-2020")</f>
        <v/>
      </c>
      <c r="W52">
        <f>HYPERLINK("https://klasma.github.io/Logging_1880/klagomålsmail/A 25192-2020 FSC-klagomål mail.docx", "A 25192-2020")</f>
        <v/>
      </c>
      <c r="X52">
        <f>HYPERLINK("https://klasma.github.io/Logging_1880/tillsyn/A 25192-2020 tillsynsbegäran.docx", "A 25192-2020")</f>
        <v/>
      </c>
      <c r="Y52">
        <f>HYPERLINK("https://klasma.github.io/Logging_1880/tillsynsmail/A 25192-2020 tillsynsbegäran mail.docx", "A 25192-2020")</f>
        <v/>
      </c>
    </row>
    <row r="53" ht="15" customHeight="1">
      <c r="A53" t="inlineStr">
        <is>
          <t>A 26426-2020</t>
        </is>
      </c>
      <c r="B53" s="1" t="n">
        <v>43986</v>
      </c>
      <c r="C53" s="1" t="n">
        <v>45360</v>
      </c>
      <c r="D53" t="inlineStr">
        <is>
          <t>ÖREBRO LÄN</t>
        </is>
      </c>
      <c r="E53" t="inlineStr">
        <is>
          <t>ÖREBRO</t>
        </is>
      </c>
      <c r="G53" t="n">
        <v>1</v>
      </c>
      <c r="H53" t="n">
        <v>0</v>
      </c>
      <c r="I53" t="n">
        <v>0</v>
      </c>
      <c r="J53" t="n">
        <v>0</v>
      </c>
      <c r="K53" t="n">
        <v>1</v>
      </c>
      <c r="L53" t="n">
        <v>0</v>
      </c>
      <c r="M53" t="n">
        <v>0</v>
      </c>
      <c r="N53" t="n">
        <v>0</v>
      </c>
      <c r="O53" t="n">
        <v>1</v>
      </c>
      <c r="P53" t="n">
        <v>1</v>
      </c>
      <c r="Q53" t="n">
        <v>1</v>
      </c>
      <c r="R53" s="2" t="inlineStr">
        <is>
          <t>Slöjröksvamp</t>
        </is>
      </c>
      <c r="S53">
        <f>HYPERLINK("https://klasma.github.io/Logging_1880/artfynd/A 26426-2020 artfynd.xlsx", "A 26426-2020")</f>
        <v/>
      </c>
      <c r="T53">
        <f>HYPERLINK("https://klasma.github.io/Logging_1880/kartor/A 26426-2020 karta.png", "A 26426-2020")</f>
        <v/>
      </c>
      <c r="V53">
        <f>HYPERLINK("https://klasma.github.io/Logging_1880/klagomål/A 26426-2020 FSC-klagomål.docx", "A 26426-2020")</f>
        <v/>
      </c>
      <c r="W53">
        <f>HYPERLINK("https://klasma.github.io/Logging_1880/klagomålsmail/A 26426-2020 FSC-klagomål mail.docx", "A 26426-2020")</f>
        <v/>
      </c>
      <c r="X53">
        <f>HYPERLINK("https://klasma.github.io/Logging_1880/tillsyn/A 26426-2020 tillsynsbegäran.docx", "A 26426-2020")</f>
        <v/>
      </c>
      <c r="Y53">
        <f>HYPERLINK("https://klasma.github.io/Logging_1880/tillsynsmail/A 26426-2020 tillsynsbegäran mail.docx", "A 26426-2020")</f>
        <v/>
      </c>
    </row>
    <row r="54" ht="15" customHeight="1">
      <c r="A54" t="inlineStr">
        <is>
          <t>A 28103-2020</t>
        </is>
      </c>
      <c r="B54" s="1" t="n">
        <v>43997</v>
      </c>
      <c r="C54" s="1" t="n">
        <v>45360</v>
      </c>
      <c r="D54" t="inlineStr">
        <is>
          <t>ÖREBRO LÄN</t>
        </is>
      </c>
      <c r="E54" t="inlineStr">
        <is>
          <t>ÖREBRO</t>
        </is>
      </c>
      <c r="G54" t="n">
        <v>1.6</v>
      </c>
      <c r="H54" t="n">
        <v>1</v>
      </c>
      <c r="I54" t="n">
        <v>0</v>
      </c>
      <c r="J54" t="n">
        <v>0</v>
      </c>
      <c r="K54" t="n">
        <v>1</v>
      </c>
      <c r="L54" t="n">
        <v>0</v>
      </c>
      <c r="M54" t="n">
        <v>0</v>
      </c>
      <c r="N54" t="n">
        <v>0</v>
      </c>
      <c r="O54" t="n">
        <v>1</v>
      </c>
      <c r="P54" t="n">
        <v>1</v>
      </c>
      <c r="Q54" t="n">
        <v>1</v>
      </c>
      <c r="R54" s="2" t="inlineStr">
        <is>
          <t>Knärot</t>
        </is>
      </c>
      <c r="S54">
        <f>HYPERLINK("https://klasma.github.io/Logging_1880/artfynd/A 28103-2020 artfynd.xlsx", "A 28103-2020")</f>
        <v/>
      </c>
      <c r="T54">
        <f>HYPERLINK("https://klasma.github.io/Logging_1880/kartor/A 28103-2020 karta.png", "A 28103-2020")</f>
        <v/>
      </c>
      <c r="U54">
        <f>HYPERLINK("https://klasma.github.io/Logging_1880/knärot/A 28103-2020 karta knärot.png", "A 28103-2020")</f>
        <v/>
      </c>
      <c r="V54">
        <f>HYPERLINK("https://klasma.github.io/Logging_1880/klagomål/A 28103-2020 FSC-klagomål.docx", "A 28103-2020")</f>
        <v/>
      </c>
      <c r="W54">
        <f>HYPERLINK("https://klasma.github.io/Logging_1880/klagomålsmail/A 28103-2020 FSC-klagomål mail.docx", "A 28103-2020")</f>
        <v/>
      </c>
      <c r="X54">
        <f>HYPERLINK("https://klasma.github.io/Logging_1880/tillsyn/A 28103-2020 tillsynsbegäran.docx", "A 28103-2020")</f>
        <v/>
      </c>
      <c r="Y54">
        <f>HYPERLINK("https://klasma.github.io/Logging_1880/tillsynsmail/A 28103-2020 tillsynsbegäran mail.docx", "A 28103-2020")</f>
        <v/>
      </c>
    </row>
    <row r="55" ht="15" customHeight="1">
      <c r="A55" t="inlineStr">
        <is>
          <t>A 28710-2020</t>
        </is>
      </c>
      <c r="B55" s="1" t="n">
        <v>43998</v>
      </c>
      <c r="C55" s="1" t="n">
        <v>45360</v>
      </c>
      <c r="D55" t="inlineStr">
        <is>
          <t>ÖREBRO LÄN</t>
        </is>
      </c>
      <c r="E55" t="inlineStr">
        <is>
          <t>ÖREBRO</t>
        </is>
      </c>
      <c r="F55" t="inlineStr">
        <is>
          <t>Kommuner</t>
        </is>
      </c>
      <c r="G55" t="n">
        <v>1</v>
      </c>
      <c r="H55" t="n">
        <v>0</v>
      </c>
      <c r="I55" t="n">
        <v>0</v>
      </c>
      <c r="J55" t="n">
        <v>1</v>
      </c>
      <c r="K55" t="n">
        <v>0</v>
      </c>
      <c r="L55" t="n">
        <v>0</v>
      </c>
      <c r="M55" t="n">
        <v>0</v>
      </c>
      <c r="N55" t="n">
        <v>0</v>
      </c>
      <c r="O55" t="n">
        <v>1</v>
      </c>
      <c r="P55" t="n">
        <v>0</v>
      </c>
      <c r="Q55" t="n">
        <v>1</v>
      </c>
      <c r="R55" s="2" t="inlineStr">
        <is>
          <t>Ullticka</t>
        </is>
      </c>
      <c r="S55">
        <f>HYPERLINK("https://klasma.github.io/Logging_1880/artfynd/A 28710-2020 artfynd.xlsx", "A 28710-2020")</f>
        <v/>
      </c>
      <c r="T55">
        <f>HYPERLINK("https://klasma.github.io/Logging_1880/kartor/A 28710-2020 karta.png", "A 28710-2020")</f>
        <v/>
      </c>
      <c r="V55">
        <f>HYPERLINK("https://klasma.github.io/Logging_1880/klagomål/A 28710-2020 FSC-klagomål.docx", "A 28710-2020")</f>
        <v/>
      </c>
      <c r="W55">
        <f>HYPERLINK("https://klasma.github.io/Logging_1880/klagomålsmail/A 28710-2020 FSC-klagomål mail.docx", "A 28710-2020")</f>
        <v/>
      </c>
      <c r="X55">
        <f>HYPERLINK("https://klasma.github.io/Logging_1880/tillsyn/A 28710-2020 tillsynsbegäran.docx", "A 28710-2020")</f>
        <v/>
      </c>
      <c r="Y55">
        <f>HYPERLINK("https://klasma.github.io/Logging_1880/tillsynsmail/A 28710-2020 tillsynsbegäran mail.docx", "A 28710-2020")</f>
        <v/>
      </c>
    </row>
    <row r="56" ht="15" customHeight="1">
      <c r="A56" t="inlineStr">
        <is>
          <t>A 29454-2020</t>
        </is>
      </c>
      <c r="B56" s="1" t="n">
        <v>44004</v>
      </c>
      <c r="C56" s="1" t="n">
        <v>45360</v>
      </c>
      <c r="D56" t="inlineStr">
        <is>
          <t>ÖREBRO LÄN</t>
        </is>
      </c>
      <c r="E56" t="inlineStr">
        <is>
          <t>ÖREBRO</t>
        </is>
      </c>
      <c r="G56" t="n">
        <v>5</v>
      </c>
      <c r="H56" t="n">
        <v>0</v>
      </c>
      <c r="I56" t="n">
        <v>0</v>
      </c>
      <c r="J56" t="n">
        <v>1</v>
      </c>
      <c r="K56" t="n">
        <v>0</v>
      </c>
      <c r="L56" t="n">
        <v>0</v>
      </c>
      <c r="M56" t="n">
        <v>0</v>
      </c>
      <c r="N56" t="n">
        <v>0</v>
      </c>
      <c r="O56" t="n">
        <v>1</v>
      </c>
      <c r="P56" t="n">
        <v>0</v>
      </c>
      <c r="Q56" t="n">
        <v>1</v>
      </c>
      <c r="R56" s="2" t="inlineStr">
        <is>
          <t>Stornopping</t>
        </is>
      </c>
      <c r="S56">
        <f>HYPERLINK("https://klasma.github.io/Logging_1880/artfynd/A 29454-2020 artfynd.xlsx", "A 29454-2020")</f>
        <v/>
      </c>
      <c r="T56">
        <f>HYPERLINK("https://klasma.github.io/Logging_1880/kartor/A 29454-2020 karta.png", "A 29454-2020")</f>
        <v/>
      </c>
      <c r="V56">
        <f>HYPERLINK("https://klasma.github.io/Logging_1880/klagomål/A 29454-2020 FSC-klagomål.docx", "A 29454-2020")</f>
        <v/>
      </c>
      <c r="W56">
        <f>HYPERLINK("https://klasma.github.io/Logging_1880/klagomålsmail/A 29454-2020 FSC-klagomål mail.docx", "A 29454-2020")</f>
        <v/>
      </c>
      <c r="X56">
        <f>HYPERLINK("https://klasma.github.io/Logging_1880/tillsyn/A 29454-2020 tillsynsbegäran.docx", "A 29454-2020")</f>
        <v/>
      </c>
      <c r="Y56">
        <f>HYPERLINK("https://klasma.github.io/Logging_1880/tillsynsmail/A 29454-2020 tillsynsbegäran mail.docx", "A 29454-2020")</f>
        <v/>
      </c>
    </row>
    <row r="57" ht="15" customHeight="1">
      <c r="A57" t="inlineStr">
        <is>
          <t>A 58966-2020</t>
        </is>
      </c>
      <c r="B57" s="1" t="n">
        <v>44146</v>
      </c>
      <c r="C57" s="1" t="n">
        <v>45360</v>
      </c>
      <c r="D57" t="inlineStr">
        <is>
          <t>ÖREBRO LÄN</t>
        </is>
      </c>
      <c r="E57" t="inlineStr">
        <is>
          <t>ÖREBRO</t>
        </is>
      </c>
      <c r="F57" t="inlineStr">
        <is>
          <t>Övriga Aktiebolag</t>
        </is>
      </c>
      <c r="G57" t="n">
        <v>1.2</v>
      </c>
      <c r="H57" t="n">
        <v>1</v>
      </c>
      <c r="I57" t="n">
        <v>0</v>
      </c>
      <c r="J57" t="n">
        <v>1</v>
      </c>
      <c r="K57" t="n">
        <v>0</v>
      </c>
      <c r="L57" t="n">
        <v>0</v>
      </c>
      <c r="M57" t="n">
        <v>0</v>
      </c>
      <c r="N57" t="n">
        <v>0</v>
      </c>
      <c r="O57" t="n">
        <v>1</v>
      </c>
      <c r="P57" t="n">
        <v>0</v>
      </c>
      <c r="Q57" t="n">
        <v>1</v>
      </c>
      <c r="R57" s="2" t="inlineStr">
        <is>
          <t>Kråka</t>
        </is>
      </c>
      <c r="S57">
        <f>HYPERLINK("https://klasma.github.io/Logging_1880/artfynd/A 58966-2020 artfynd.xlsx", "A 58966-2020")</f>
        <v/>
      </c>
      <c r="T57">
        <f>HYPERLINK("https://klasma.github.io/Logging_1880/kartor/A 58966-2020 karta.png", "A 58966-2020")</f>
        <v/>
      </c>
      <c r="V57">
        <f>HYPERLINK("https://klasma.github.io/Logging_1880/klagomål/A 58966-2020 FSC-klagomål.docx", "A 58966-2020")</f>
        <v/>
      </c>
      <c r="W57">
        <f>HYPERLINK("https://klasma.github.io/Logging_1880/klagomålsmail/A 58966-2020 FSC-klagomål mail.docx", "A 58966-2020")</f>
        <v/>
      </c>
      <c r="X57">
        <f>HYPERLINK("https://klasma.github.io/Logging_1880/tillsyn/A 58966-2020 tillsynsbegäran.docx", "A 58966-2020")</f>
        <v/>
      </c>
      <c r="Y57">
        <f>HYPERLINK("https://klasma.github.io/Logging_1880/tillsynsmail/A 58966-2020 tillsynsbegäran mail.docx", "A 58966-2020")</f>
        <v/>
      </c>
    </row>
    <row r="58" ht="15" customHeight="1">
      <c r="A58" t="inlineStr">
        <is>
          <t>A 4014-2021</t>
        </is>
      </c>
      <c r="B58" s="1" t="n">
        <v>44218</v>
      </c>
      <c r="C58" s="1" t="n">
        <v>45360</v>
      </c>
      <c r="D58" t="inlineStr">
        <is>
          <t>ÖREBRO LÄN</t>
        </is>
      </c>
      <c r="E58" t="inlineStr">
        <is>
          <t>ÖREBRO</t>
        </is>
      </c>
      <c r="G58" t="n">
        <v>10.5</v>
      </c>
      <c r="H58" t="n">
        <v>0</v>
      </c>
      <c r="I58" t="n">
        <v>1</v>
      </c>
      <c r="J58" t="n">
        <v>0</v>
      </c>
      <c r="K58" t="n">
        <v>0</v>
      </c>
      <c r="L58" t="n">
        <v>0</v>
      </c>
      <c r="M58" t="n">
        <v>0</v>
      </c>
      <c r="N58" t="n">
        <v>0</v>
      </c>
      <c r="O58" t="n">
        <v>0</v>
      </c>
      <c r="P58" t="n">
        <v>0</v>
      </c>
      <c r="Q58" t="n">
        <v>1</v>
      </c>
      <c r="R58" s="2" t="inlineStr">
        <is>
          <t>Springkorn</t>
        </is>
      </c>
      <c r="S58">
        <f>HYPERLINK("https://klasma.github.io/Logging_1880/artfynd/A 4014-2021 artfynd.xlsx", "A 4014-2021")</f>
        <v/>
      </c>
      <c r="T58">
        <f>HYPERLINK("https://klasma.github.io/Logging_1880/kartor/A 4014-2021 karta.png", "A 4014-2021")</f>
        <v/>
      </c>
      <c r="V58">
        <f>HYPERLINK("https://klasma.github.io/Logging_1880/klagomål/A 4014-2021 FSC-klagomål.docx", "A 4014-2021")</f>
        <v/>
      </c>
      <c r="W58">
        <f>HYPERLINK("https://klasma.github.io/Logging_1880/klagomålsmail/A 4014-2021 FSC-klagomål mail.docx", "A 4014-2021")</f>
        <v/>
      </c>
      <c r="X58">
        <f>HYPERLINK("https://klasma.github.io/Logging_1880/tillsyn/A 4014-2021 tillsynsbegäran.docx", "A 4014-2021")</f>
        <v/>
      </c>
      <c r="Y58">
        <f>HYPERLINK("https://klasma.github.io/Logging_1880/tillsynsmail/A 4014-2021 tillsynsbegäran mail.docx", "A 4014-2021")</f>
        <v/>
      </c>
    </row>
    <row r="59" ht="15" customHeight="1">
      <c r="A59" t="inlineStr">
        <is>
          <t>A 6926-2021</t>
        </is>
      </c>
      <c r="B59" s="1" t="n">
        <v>44237</v>
      </c>
      <c r="C59" s="1" t="n">
        <v>45360</v>
      </c>
      <c r="D59" t="inlineStr">
        <is>
          <t>ÖREBRO LÄN</t>
        </is>
      </c>
      <c r="E59" t="inlineStr">
        <is>
          <t>ÖREBRO</t>
        </is>
      </c>
      <c r="G59" t="n">
        <v>0.9</v>
      </c>
      <c r="H59" t="n">
        <v>1</v>
      </c>
      <c r="I59" t="n">
        <v>1</v>
      </c>
      <c r="J59" t="n">
        <v>0</v>
      </c>
      <c r="K59" t="n">
        <v>0</v>
      </c>
      <c r="L59" t="n">
        <v>0</v>
      </c>
      <c r="M59" t="n">
        <v>0</v>
      </c>
      <c r="N59" t="n">
        <v>0</v>
      </c>
      <c r="O59" t="n">
        <v>0</v>
      </c>
      <c r="P59" t="n">
        <v>0</v>
      </c>
      <c r="Q59" t="n">
        <v>1</v>
      </c>
      <c r="R59" s="2" t="inlineStr">
        <is>
          <t>Skogsknipprot</t>
        </is>
      </c>
      <c r="S59">
        <f>HYPERLINK("https://klasma.github.io/Logging_1880/artfynd/A 6926-2021 artfynd.xlsx", "A 6926-2021")</f>
        <v/>
      </c>
      <c r="T59">
        <f>HYPERLINK("https://klasma.github.io/Logging_1880/kartor/A 6926-2021 karta.png", "A 6926-2021")</f>
        <v/>
      </c>
      <c r="V59">
        <f>HYPERLINK("https://klasma.github.io/Logging_1880/klagomål/A 6926-2021 FSC-klagomål.docx", "A 6926-2021")</f>
        <v/>
      </c>
      <c r="W59">
        <f>HYPERLINK("https://klasma.github.io/Logging_1880/klagomålsmail/A 6926-2021 FSC-klagomål mail.docx", "A 6926-2021")</f>
        <v/>
      </c>
      <c r="X59">
        <f>HYPERLINK("https://klasma.github.io/Logging_1880/tillsyn/A 6926-2021 tillsynsbegäran.docx", "A 6926-2021")</f>
        <v/>
      </c>
      <c r="Y59">
        <f>HYPERLINK("https://klasma.github.io/Logging_1880/tillsynsmail/A 6926-2021 tillsynsbegäran mail.docx", "A 6926-2021")</f>
        <v/>
      </c>
    </row>
    <row r="60" ht="15" customHeight="1">
      <c r="A60" t="inlineStr">
        <is>
          <t>A 8256-2021</t>
        </is>
      </c>
      <c r="B60" s="1" t="n">
        <v>44244</v>
      </c>
      <c r="C60" s="1" t="n">
        <v>45360</v>
      </c>
      <c r="D60" t="inlineStr">
        <is>
          <t>ÖREBRO LÄN</t>
        </is>
      </c>
      <c r="E60" t="inlineStr">
        <is>
          <t>ÖREBRO</t>
        </is>
      </c>
      <c r="G60" t="n">
        <v>1</v>
      </c>
      <c r="H60" t="n">
        <v>0</v>
      </c>
      <c r="I60" t="n">
        <v>1</v>
      </c>
      <c r="J60" t="n">
        <v>0</v>
      </c>
      <c r="K60" t="n">
        <v>0</v>
      </c>
      <c r="L60" t="n">
        <v>0</v>
      </c>
      <c r="M60" t="n">
        <v>0</v>
      </c>
      <c r="N60" t="n">
        <v>0</v>
      </c>
      <c r="O60" t="n">
        <v>0</v>
      </c>
      <c r="P60" t="n">
        <v>0</v>
      </c>
      <c r="Q60" t="n">
        <v>1</v>
      </c>
      <c r="R60" s="2" t="inlineStr">
        <is>
          <t>Svart trolldruva</t>
        </is>
      </c>
      <c r="S60">
        <f>HYPERLINK("https://klasma.github.io/Logging_1880/artfynd/A 8256-2021 artfynd.xlsx", "A 8256-2021")</f>
        <v/>
      </c>
      <c r="T60">
        <f>HYPERLINK("https://klasma.github.io/Logging_1880/kartor/A 8256-2021 karta.png", "A 8256-2021")</f>
        <v/>
      </c>
      <c r="V60">
        <f>HYPERLINK("https://klasma.github.io/Logging_1880/klagomål/A 8256-2021 FSC-klagomål.docx", "A 8256-2021")</f>
        <v/>
      </c>
      <c r="W60">
        <f>HYPERLINK("https://klasma.github.io/Logging_1880/klagomålsmail/A 8256-2021 FSC-klagomål mail.docx", "A 8256-2021")</f>
        <v/>
      </c>
      <c r="X60">
        <f>HYPERLINK("https://klasma.github.io/Logging_1880/tillsyn/A 8256-2021 tillsynsbegäran.docx", "A 8256-2021")</f>
        <v/>
      </c>
      <c r="Y60">
        <f>HYPERLINK("https://klasma.github.io/Logging_1880/tillsynsmail/A 8256-2021 tillsynsbegäran mail.docx", "A 8256-2021")</f>
        <v/>
      </c>
    </row>
    <row r="61" ht="15" customHeight="1">
      <c r="A61" t="inlineStr">
        <is>
          <t>A 8577-2021</t>
        </is>
      </c>
      <c r="B61" s="1" t="n">
        <v>44245</v>
      </c>
      <c r="C61" s="1" t="n">
        <v>45360</v>
      </c>
      <c r="D61" t="inlineStr">
        <is>
          <t>ÖREBRO LÄN</t>
        </is>
      </c>
      <c r="E61" t="inlineStr">
        <is>
          <t>ÖREBRO</t>
        </is>
      </c>
      <c r="G61" t="n">
        <v>6.5</v>
      </c>
      <c r="H61" t="n">
        <v>0</v>
      </c>
      <c r="I61" t="n">
        <v>1</v>
      </c>
      <c r="J61" t="n">
        <v>0</v>
      </c>
      <c r="K61" t="n">
        <v>0</v>
      </c>
      <c r="L61" t="n">
        <v>0</v>
      </c>
      <c r="M61" t="n">
        <v>0</v>
      </c>
      <c r="N61" t="n">
        <v>0</v>
      </c>
      <c r="O61" t="n">
        <v>0</v>
      </c>
      <c r="P61" t="n">
        <v>0</v>
      </c>
      <c r="Q61" t="n">
        <v>1</v>
      </c>
      <c r="R61" s="2" t="inlineStr">
        <is>
          <t>Spädstarr</t>
        </is>
      </c>
      <c r="S61">
        <f>HYPERLINK("https://klasma.github.io/Logging_1880/artfynd/A 8577-2021 artfynd.xlsx", "A 8577-2021")</f>
        <v/>
      </c>
      <c r="T61">
        <f>HYPERLINK("https://klasma.github.io/Logging_1880/kartor/A 8577-2021 karta.png", "A 8577-2021")</f>
        <v/>
      </c>
      <c r="V61">
        <f>HYPERLINK("https://klasma.github.io/Logging_1880/klagomål/A 8577-2021 FSC-klagomål.docx", "A 8577-2021")</f>
        <v/>
      </c>
      <c r="W61">
        <f>HYPERLINK("https://klasma.github.io/Logging_1880/klagomålsmail/A 8577-2021 FSC-klagomål mail.docx", "A 8577-2021")</f>
        <v/>
      </c>
      <c r="X61">
        <f>HYPERLINK("https://klasma.github.io/Logging_1880/tillsyn/A 8577-2021 tillsynsbegäran.docx", "A 8577-2021")</f>
        <v/>
      </c>
      <c r="Y61">
        <f>HYPERLINK("https://klasma.github.io/Logging_1880/tillsynsmail/A 8577-2021 tillsynsbegäran mail.docx", "A 8577-2021")</f>
        <v/>
      </c>
    </row>
    <row r="62" ht="15" customHeight="1">
      <c r="A62" t="inlineStr">
        <is>
          <t>A 15621-2021</t>
        </is>
      </c>
      <c r="B62" s="1" t="n">
        <v>44285</v>
      </c>
      <c r="C62" s="1" t="n">
        <v>45360</v>
      </c>
      <c r="D62" t="inlineStr">
        <is>
          <t>ÖREBRO LÄN</t>
        </is>
      </c>
      <c r="E62" t="inlineStr">
        <is>
          <t>ÖREBRO</t>
        </is>
      </c>
      <c r="G62" t="n">
        <v>2.8</v>
      </c>
      <c r="H62" t="n">
        <v>1</v>
      </c>
      <c r="I62" t="n">
        <v>0</v>
      </c>
      <c r="J62" t="n">
        <v>0</v>
      </c>
      <c r="K62" t="n">
        <v>0</v>
      </c>
      <c r="L62" t="n">
        <v>0</v>
      </c>
      <c r="M62" t="n">
        <v>0</v>
      </c>
      <c r="N62" t="n">
        <v>0</v>
      </c>
      <c r="O62" t="n">
        <v>0</v>
      </c>
      <c r="P62" t="n">
        <v>0</v>
      </c>
      <c r="Q62" t="n">
        <v>1</v>
      </c>
      <c r="R62" s="2" t="inlineStr">
        <is>
          <t>Fläcknycklar</t>
        </is>
      </c>
      <c r="S62">
        <f>HYPERLINK("https://klasma.github.io/Logging_1880/artfynd/A 15621-2021 artfynd.xlsx", "A 15621-2021")</f>
        <v/>
      </c>
      <c r="T62">
        <f>HYPERLINK("https://klasma.github.io/Logging_1880/kartor/A 15621-2021 karta.png", "A 15621-2021")</f>
        <v/>
      </c>
      <c r="V62">
        <f>HYPERLINK("https://klasma.github.io/Logging_1880/klagomål/A 15621-2021 FSC-klagomål.docx", "A 15621-2021")</f>
        <v/>
      </c>
      <c r="W62">
        <f>HYPERLINK("https://klasma.github.io/Logging_1880/klagomålsmail/A 15621-2021 FSC-klagomål mail.docx", "A 15621-2021")</f>
        <v/>
      </c>
      <c r="X62">
        <f>HYPERLINK("https://klasma.github.io/Logging_1880/tillsyn/A 15621-2021 tillsynsbegäran.docx", "A 15621-2021")</f>
        <v/>
      </c>
      <c r="Y62">
        <f>HYPERLINK("https://klasma.github.io/Logging_1880/tillsynsmail/A 15621-2021 tillsynsbegäran mail.docx", "A 15621-2021")</f>
        <v/>
      </c>
    </row>
    <row r="63" ht="15" customHeight="1">
      <c r="A63" t="inlineStr">
        <is>
          <t>A 32595-2021</t>
        </is>
      </c>
      <c r="B63" s="1" t="n">
        <v>44375</v>
      </c>
      <c r="C63" s="1" t="n">
        <v>45360</v>
      </c>
      <c r="D63" t="inlineStr">
        <is>
          <t>ÖREBRO LÄN</t>
        </is>
      </c>
      <c r="E63" t="inlineStr">
        <is>
          <t>ÖREBRO</t>
        </is>
      </c>
      <c r="F63" t="inlineStr">
        <is>
          <t>Kommuner</t>
        </is>
      </c>
      <c r="G63" t="n">
        <v>2.7</v>
      </c>
      <c r="H63" t="n">
        <v>1</v>
      </c>
      <c r="I63" t="n">
        <v>1</v>
      </c>
      <c r="J63" t="n">
        <v>0</v>
      </c>
      <c r="K63" t="n">
        <v>0</v>
      </c>
      <c r="L63" t="n">
        <v>0</v>
      </c>
      <c r="M63" t="n">
        <v>0</v>
      </c>
      <c r="N63" t="n">
        <v>0</v>
      </c>
      <c r="O63" t="n">
        <v>0</v>
      </c>
      <c r="P63" t="n">
        <v>0</v>
      </c>
      <c r="Q63" t="n">
        <v>1</v>
      </c>
      <c r="R63" s="2" t="inlineStr">
        <is>
          <t>Purpurknipprot</t>
        </is>
      </c>
      <c r="S63">
        <f>HYPERLINK("https://klasma.github.io/Logging_1880/artfynd/A 32595-2021 artfynd.xlsx", "A 32595-2021")</f>
        <v/>
      </c>
      <c r="T63">
        <f>HYPERLINK("https://klasma.github.io/Logging_1880/kartor/A 32595-2021 karta.png", "A 32595-2021")</f>
        <v/>
      </c>
      <c r="V63">
        <f>HYPERLINK("https://klasma.github.io/Logging_1880/klagomål/A 32595-2021 FSC-klagomål.docx", "A 32595-2021")</f>
        <v/>
      </c>
      <c r="W63">
        <f>HYPERLINK("https://klasma.github.io/Logging_1880/klagomålsmail/A 32595-2021 FSC-klagomål mail.docx", "A 32595-2021")</f>
        <v/>
      </c>
      <c r="X63">
        <f>HYPERLINK("https://klasma.github.io/Logging_1880/tillsyn/A 32595-2021 tillsynsbegäran.docx", "A 32595-2021")</f>
        <v/>
      </c>
      <c r="Y63">
        <f>HYPERLINK("https://klasma.github.io/Logging_1880/tillsynsmail/A 32595-2021 tillsynsbegäran mail.docx", "A 32595-2021")</f>
        <v/>
      </c>
    </row>
    <row r="64" ht="15" customHeight="1">
      <c r="A64" t="inlineStr">
        <is>
          <t>A 44389-2021</t>
        </is>
      </c>
      <c r="B64" s="1" t="n">
        <v>44435</v>
      </c>
      <c r="C64" s="1" t="n">
        <v>45360</v>
      </c>
      <c r="D64" t="inlineStr">
        <is>
          <t>ÖREBRO LÄN</t>
        </is>
      </c>
      <c r="E64" t="inlineStr">
        <is>
          <t>ÖREBRO</t>
        </is>
      </c>
      <c r="G64" t="n">
        <v>2.2</v>
      </c>
      <c r="H64" t="n">
        <v>1</v>
      </c>
      <c r="I64" t="n">
        <v>0</v>
      </c>
      <c r="J64" t="n">
        <v>0</v>
      </c>
      <c r="K64" t="n">
        <v>1</v>
      </c>
      <c r="L64" t="n">
        <v>0</v>
      </c>
      <c r="M64" t="n">
        <v>0</v>
      </c>
      <c r="N64" t="n">
        <v>0</v>
      </c>
      <c r="O64" t="n">
        <v>1</v>
      </c>
      <c r="P64" t="n">
        <v>1</v>
      </c>
      <c r="Q64" t="n">
        <v>1</v>
      </c>
      <c r="R64" s="2" t="inlineStr">
        <is>
          <t>Knärot</t>
        </is>
      </c>
      <c r="S64">
        <f>HYPERLINK("https://klasma.github.io/Logging_1880/artfynd/A 44389-2021 artfynd.xlsx", "A 44389-2021")</f>
        <v/>
      </c>
      <c r="T64">
        <f>HYPERLINK("https://klasma.github.io/Logging_1880/kartor/A 44389-2021 karta.png", "A 44389-2021")</f>
        <v/>
      </c>
      <c r="U64">
        <f>HYPERLINK("https://klasma.github.io/Logging_1880/knärot/A 44389-2021 karta knärot.png", "A 44389-2021")</f>
        <v/>
      </c>
      <c r="V64">
        <f>HYPERLINK("https://klasma.github.io/Logging_1880/klagomål/A 44389-2021 FSC-klagomål.docx", "A 44389-2021")</f>
        <v/>
      </c>
      <c r="W64">
        <f>HYPERLINK("https://klasma.github.io/Logging_1880/klagomålsmail/A 44389-2021 FSC-klagomål mail.docx", "A 44389-2021")</f>
        <v/>
      </c>
      <c r="X64">
        <f>HYPERLINK("https://klasma.github.io/Logging_1880/tillsyn/A 44389-2021 tillsynsbegäran.docx", "A 44389-2021")</f>
        <v/>
      </c>
      <c r="Y64">
        <f>HYPERLINK("https://klasma.github.io/Logging_1880/tillsynsmail/A 44389-2021 tillsynsbegäran mail.docx", "A 44389-2021")</f>
        <v/>
      </c>
    </row>
    <row r="65" ht="15" customHeight="1">
      <c r="A65" t="inlineStr">
        <is>
          <t>A 57108-2021</t>
        </is>
      </c>
      <c r="B65" s="1" t="n">
        <v>44482</v>
      </c>
      <c r="C65" s="1" t="n">
        <v>45360</v>
      </c>
      <c r="D65" t="inlineStr">
        <is>
          <t>ÖREBRO LÄN</t>
        </is>
      </c>
      <c r="E65" t="inlineStr">
        <is>
          <t>ÖREBRO</t>
        </is>
      </c>
      <c r="F65" t="inlineStr">
        <is>
          <t>Sveaskog</t>
        </is>
      </c>
      <c r="G65" t="n">
        <v>0.6</v>
      </c>
      <c r="H65" t="n">
        <v>1</v>
      </c>
      <c r="I65" t="n">
        <v>0</v>
      </c>
      <c r="J65" t="n">
        <v>0</v>
      </c>
      <c r="K65" t="n">
        <v>0</v>
      </c>
      <c r="L65" t="n">
        <v>0</v>
      </c>
      <c r="M65" t="n">
        <v>0</v>
      </c>
      <c r="N65" t="n">
        <v>0</v>
      </c>
      <c r="O65" t="n">
        <v>0</v>
      </c>
      <c r="P65" t="n">
        <v>0</v>
      </c>
      <c r="Q65" t="n">
        <v>1</v>
      </c>
      <c r="R65" s="2" t="inlineStr">
        <is>
          <t>Huggorm</t>
        </is>
      </c>
      <c r="S65">
        <f>HYPERLINK("https://klasma.github.io/Logging_1880/artfynd/A 57108-2021 artfynd.xlsx", "A 57108-2021")</f>
        <v/>
      </c>
      <c r="T65">
        <f>HYPERLINK("https://klasma.github.io/Logging_1880/kartor/A 57108-2021 karta.png", "A 57108-2021")</f>
        <v/>
      </c>
      <c r="V65">
        <f>HYPERLINK("https://klasma.github.io/Logging_1880/klagomål/A 57108-2021 FSC-klagomål.docx", "A 57108-2021")</f>
        <v/>
      </c>
      <c r="W65">
        <f>HYPERLINK("https://klasma.github.io/Logging_1880/klagomålsmail/A 57108-2021 FSC-klagomål mail.docx", "A 57108-2021")</f>
        <v/>
      </c>
      <c r="X65">
        <f>HYPERLINK("https://klasma.github.io/Logging_1880/tillsyn/A 57108-2021 tillsynsbegäran.docx", "A 57108-2021")</f>
        <v/>
      </c>
      <c r="Y65">
        <f>HYPERLINK("https://klasma.github.io/Logging_1880/tillsynsmail/A 57108-2021 tillsynsbegäran mail.docx", "A 57108-2021")</f>
        <v/>
      </c>
    </row>
    <row r="66" ht="15" customHeight="1">
      <c r="A66" t="inlineStr">
        <is>
          <t>A 4943-2022</t>
        </is>
      </c>
      <c r="B66" s="1" t="n">
        <v>44593</v>
      </c>
      <c r="C66" s="1" t="n">
        <v>45360</v>
      </c>
      <c r="D66" t="inlineStr">
        <is>
          <t>ÖREBRO LÄN</t>
        </is>
      </c>
      <c r="E66" t="inlineStr">
        <is>
          <t>ÖREBRO</t>
        </is>
      </c>
      <c r="G66" t="n">
        <v>1.1</v>
      </c>
      <c r="H66" t="n">
        <v>0</v>
      </c>
      <c r="I66" t="n">
        <v>0</v>
      </c>
      <c r="J66" t="n">
        <v>1</v>
      </c>
      <c r="K66" t="n">
        <v>0</v>
      </c>
      <c r="L66" t="n">
        <v>0</v>
      </c>
      <c r="M66" t="n">
        <v>0</v>
      </c>
      <c r="N66" t="n">
        <v>0</v>
      </c>
      <c r="O66" t="n">
        <v>1</v>
      </c>
      <c r="P66" t="n">
        <v>0</v>
      </c>
      <c r="Q66" t="n">
        <v>1</v>
      </c>
      <c r="R66" s="2" t="inlineStr">
        <is>
          <t>Skinntagging</t>
        </is>
      </c>
      <c r="S66">
        <f>HYPERLINK("https://klasma.github.io/Logging_1880/artfynd/A 4943-2022 artfynd.xlsx", "A 4943-2022")</f>
        <v/>
      </c>
      <c r="T66">
        <f>HYPERLINK("https://klasma.github.io/Logging_1880/kartor/A 4943-2022 karta.png", "A 4943-2022")</f>
        <v/>
      </c>
      <c r="V66">
        <f>HYPERLINK("https://klasma.github.io/Logging_1880/klagomål/A 4943-2022 FSC-klagomål.docx", "A 4943-2022")</f>
        <v/>
      </c>
      <c r="W66">
        <f>HYPERLINK("https://klasma.github.io/Logging_1880/klagomålsmail/A 4943-2022 FSC-klagomål mail.docx", "A 4943-2022")</f>
        <v/>
      </c>
      <c r="X66">
        <f>HYPERLINK("https://klasma.github.io/Logging_1880/tillsyn/A 4943-2022 tillsynsbegäran.docx", "A 4943-2022")</f>
        <v/>
      </c>
      <c r="Y66">
        <f>HYPERLINK("https://klasma.github.io/Logging_1880/tillsynsmail/A 4943-2022 tillsynsbegäran mail.docx", "A 4943-2022")</f>
        <v/>
      </c>
    </row>
    <row r="67" ht="15" customHeight="1">
      <c r="A67" t="inlineStr">
        <is>
          <t>A 12974-2022</t>
        </is>
      </c>
      <c r="B67" s="1" t="n">
        <v>44643</v>
      </c>
      <c r="C67" s="1" t="n">
        <v>45360</v>
      </c>
      <c r="D67" t="inlineStr">
        <is>
          <t>ÖREBRO LÄN</t>
        </is>
      </c>
      <c r="E67" t="inlineStr">
        <is>
          <t>ÖREBRO</t>
        </is>
      </c>
      <c r="G67" t="n">
        <v>3.3</v>
      </c>
      <c r="H67" t="n">
        <v>1</v>
      </c>
      <c r="I67" t="n">
        <v>0</v>
      </c>
      <c r="J67" t="n">
        <v>1</v>
      </c>
      <c r="K67" t="n">
        <v>0</v>
      </c>
      <c r="L67" t="n">
        <v>0</v>
      </c>
      <c r="M67" t="n">
        <v>0</v>
      </c>
      <c r="N67" t="n">
        <v>0</v>
      </c>
      <c r="O67" t="n">
        <v>1</v>
      </c>
      <c r="P67" t="n">
        <v>0</v>
      </c>
      <c r="Q67" t="n">
        <v>1</v>
      </c>
      <c r="R67" s="2" t="inlineStr">
        <is>
          <t>Duvhök</t>
        </is>
      </c>
      <c r="S67">
        <f>HYPERLINK("https://klasma.github.io/Logging_1880/artfynd/A 12974-2022 artfynd.xlsx", "A 12974-2022")</f>
        <v/>
      </c>
      <c r="T67">
        <f>HYPERLINK("https://klasma.github.io/Logging_1880/kartor/A 12974-2022 karta.png", "A 12974-2022")</f>
        <v/>
      </c>
      <c r="V67">
        <f>HYPERLINK("https://klasma.github.io/Logging_1880/klagomål/A 12974-2022 FSC-klagomål.docx", "A 12974-2022")</f>
        <v/>
      </c>
      <c r="W67">
        <f>HYPERLINK("https://klasma.github.io/Logging_1880/klagomålsmail/A 12974-2022 FSC-klagomål mail.docx", "A 12974-2022")</f>
        <v/>
      </c>
      <c r="X67">
        <f>HYPERLINK("https://klasma.github.io/Logging_1880/tillsyn/A 12974-2022 tillsynsbegäran.docx", "A 12974-2022")</f>
        <v/>
      </c>
      <c r="Y67">
        <f>HYPERLINK("https://klasma.github.io/Logging_1880/tillsynsmail/A 12974-2022 tillsynsbegäran mail.docx", "A 12974-2022")</f>
        <v/>
      </c>
    </row>
    <row r="68" ht="15" customHeight="1">
      <c r="A68" t="inlineStr">
        <is>
          <t>A 26890-2022</t>
        </is>
      </c>
      <c r="B68" s="1" t="n">
        <v>44740</v>
      </c>
      <c r="C68" s="1" t="n">
        <v>45360</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29704-2022</t>
        </is>
      </c>
      <c r="B69" s="1" t="n">
        <v>44755</v>
      </c>
      <c r="C69" s="1" t="n">
        <v>45360</v>
      </c>
      <c r="D69" t="inlineStr">
        <is>
          <t>ÖREBRO LÄN</t>
        </is>
      </c>
      <c r="E69" t="inlineStr">
        <is>
          <t>ÖREBRO</t>
        </is>
      </c>
      <c r="F69" t="inlineStr">
        <is>
          <t>Kommuner</t>
        </is>
      </c>
      <c r="G69" t="n">
        <v>1.1</v>
      </c>
      <c r="H69" t="n">
        <v>0</v>
      </c>
      <c r="I69" t="n">
        <v>0</v>
      </c>
      <c r="J69" t="n">
        <v>1</v>
      </c>
      <c r="K69" t="n">
        <v>0</v>
      </c>
      <c r="L69" t="n">
        <v>0</v>
      </c>
      <c r="M69" t="n">
        <v>0</v>
      </c>
      <c r="N69" t="n">
        <v>0</v>
      </c>
      <c r="O69" t="n">
        <v>1</v>
      </c>
      <c r="P69" t="n">
        <v>0</v>
      </c>
      <c r="Q69" t="n">
        <v>1</v>
      </c>
      <c r="R69" s="2" t="inlineStr">
        <is>
          <t>Motaggsvamp</t>
        </is>
      </c>
      <c r="S69">
        <f>HYPERLINK("https://klasma.github.io/Logging_1880/artfynd/A 29704-2022 artfynd.xlsx", "A 29704-2022")</f>
        <v/>
      </c>
      <c r="T69">
        <f>HYPERLINK("https://klasma.github.io/Logging_1880/kartor/A 29704-2022 karta.png", "A 29704-2022")</f>
        <v/>
      </c>
      <c r="V69">
        <f>HYPERLINK("https://klasma.github.io/Logging_1880/klagomål/A 29704-2022 FSC-klagomål.docx", "A 29704-2022")</f>
        <v/>
      </c>
      <c r="W69">
        <f>HYPERLINK("https://klasma.github.io/Logging_1880/klagomålsmail/A 29704-2022 FSC-klagomål mail.docx", "A 29704-2022")</f>
        <v/>
      </c>
      <c r="X69">
        <f>HYPERLINK("https://klasma.github.io/Logging_1880/tillsyn/A 29704-2022 tillsynsbegäran.docx", "A 29704-2022")</f>
        <v/>
      </c>
      <c r="Y69">
        <f>HYPERLINK("https://klasma.github.io/Logging_1880/tillsynsmail/A 29704-2022 tillsynsbegäran mail.docx", "A 29704-2022")</f>
        <v/>
      </c>
    </row>
    <row r="70" ht="15" customHeight="1">
      <c r="A70" t="inlineStr">
        <is>
          <t>A 44361-2022</t>
        </is>
      </c>
      <c r="B70" s="1" t="n">
        <v>44839</v>
      </c>
      <c r="C70" s="1" t="n">
        <v>45360</v>
      </c>
      <c r="D70" t="inlineStr">
        <is>
          <t>ÖREBRO LÄN</t>
        </is>
      </c>
      <c r="E70" t="inlineStr">
        <is>
          <t>ÖREBRO</t>
        </is>
      </c>
      <c r="G70" t="n">
        <v>1.5</v>
      </c>
      <c r="H70" t="n">
        <v>1</v>
      </c>
      <c r="I70" t="n">
        <v>0</v>
      </c>
      <c r="J70" t="n">
        <v>0</v>
      </c>
      <c r="K70" t="n">
        <v>0</v>
      </c>
      <c r="L70" t="n">
        <v>0</v>
      </c>
      <c r="M70" t="n">
        <v>0</v>
      </c>
      <c r="N70" t="n">
        <v>0</v>
      </c>
      <c r="O70" t="n">
        <v>0</v>
      </c>
      <c r="P70" t="n">
        <v>0</v>
      </c>
      <c r="Q70" t="n">
        <v>1</v>
      </c>
      <c r="R70" s="2" t="inlineStr">
        <is>
          <t>Blåsippa</t>
        </is>
      </c>
      <c r="S70">
        <f>HYPERLINK("https://klasma.github.io/Logging_1880/artfynd/A 44361-2022 artfynd.xlsx", "A 44361-2022")</f>
        <v/>
      </c>
      <c r="T70">
        <f>HYPERLINK("https://klasma.github.io/Logging_1880/kartor/A 44361-2022 karta.png", "A 44361-2022")</f>
        <v/>
      </c>
      <c r="V70">
        <f>HYPERLINK("https://klasma.github.io/Logging_1880/klagomål/A 44361-2022 FSC-klagomål.docx", "A 44361-2022")</f>
        <v/>
      </c>
      <c r="W70">
        <f>HYPERLINK("https://klasma.github.io/Logging_1880/klagomålsmail/A 44361-2022 FSC-klagomål mail.docx", "A 44361-2022")</f>
        <v/>
      </c>
      <c r="X70">
        <f>HYPERLINK("https://klasma.github.io/Logging_1880/tillsyn/A 44361-2022 tillsynsbegäran.docx", "A 44361-2022")</f>
        <v/>
      </c>
      <c r="Y70">
        <f>HYPERLINK("https://klasma.github.io/Logging_1880/tillsynsmail/A 44361-2022 tillsynsbegäran mail.docx", "A 44361-2022")</f>
        <v/>
      </c>
    </row>
    <row r="71" ht="15" customHeight="1">
      <c r="A71" t="inlineStr">
        <is>
          <t>A 5097-2023</t>
        </is>
      </c>
      <c r="B71" s="1" t="n">
        <v>44958</v>
      </c>
      <c r="C71" s="1" t="n">
        <v>45360</v>
      </c>
      <c r="D71" t="inlineStr">
        <is>
          <t>ÖREBRO LÄN</t>
        </is>
      </c>
      <c r="E71" t="inlineStr">
        <is>
          <t>ÖREBRO</t>
        </is>
      </c>
      <c r="G71" t="n">
        <v>3.6</v>
      </c>
      <c r="H71" t="n">
        <v>1</v>
      </c>
      <c r="I71" t="n">
        <v>0</v>
      </c>
      <c r="J71" t="n">
        <v>0</v>
      </c>
      <c r="K71" t="n">
        <v>0</v>
      </c>
      <c r="L71" t="n">
        <v>0</v>
      </c>
      <c r="M71" t="n">
        <v>0</v>
      </c>
      <c r="N71" t="n">
        <v>0</v>
      </c>
      <c r="O71" t="n">
        <v>0</v>
      </c>
      <c r="P71" t="n">
        <v>0</v>
      </c>
      <c r="Q71" t="n">
        <v>1</v>
      </c>
      <c r="R71" s="2" t="inlineStr">
        <is>
          <t>Grönvit nattviol</t>
        </is>
      </c>
      <c r="S71">
        <f>HYPERLINK("https://klasma.github.io/Logging_1880/artfynd/A 5097-2023 artfynd.xlsx", "A 5097-2023")</f>
        <v/>
      </c>
      <c r="T71">
        <f>HYPERLINK("https://klasma.github.io/Logging_1880/kartor/A 5097-2023 karta.png", "A 5097-2023")</f>
        <v/>
      </c>
      <c r="V71">
        <f>HYPERLINK("https://klasma.github.io/Logging_1880/klagomål/A 5097-2023 FSC-klagomål.docx", "A 5097-2023")</f>
        <v/>
      </c>
      <c r="W71">
        <f>HYPERLINK("https://klasma.github.io/Logging_1880/klagomålsmail/A 5097-2023 FSC-klagomål mail.docx", "A 5097-2023")</f>
        <v/>
      </c>
      <c r="X71">
        <f>HYPERLINK("https://klasma.github.io/Logging_1880/tillsyn/A 5097-2023 tillsynsbegäran.docx", "A 5097-2023")</f>
        <v/>
      </c>
      <c r="Y71">
        <f>HYPERLINK("https://klasma.github.io/Logging_1880/tillsynsmail/A 5097-2023 tillsynsbegäran mail.docx", "A 5097-2023")</f>
        <v/>
      </c>
    </row>
    <row r="72" ht="15" customHeight="1">
      <c r="A72" t="inlineStr">
        <is>
          <t>A 19939-2023</t>
        </is>
      </c>
      <c r="B72" s="1" t="n">
        <v>45054</v>
      </c>
      <c r="C72" s="1" t="n">
        <v>45360</v>
      </c>
      <c r="D72" t="inlineStr">
        <is>
          <t>ÖREBRO LÄN</t>
        </is>
      </c>
      <c r="E72" t="inlineStr">
        <is>
          <t>ÖREBRO</t>
        </is>
      </c>
      <c r="G72" t="n">
        <v>5.4</v>
      </c>
      <c r="H72" t="n">
        <v>0</v>
      </c>
      <c r="I72" t="n">
        <v>1</v>
      </c>
      <c r="J72" t="n">
        <v>0</v>
      </c>
      <c r="K72" t="n">
        <v>0</v>
      </c>
      <c r="L72" t="n">
        <v>0</v>
      </c>
      <c r="M72" t="n">
        <v>0</v>
      </c>
      <c r="N72" t="n">
        <v>0</v>
      </c>
      <c r="O72" t="n">
        <v>0</v>
      </c>
      <c r="P72" t="n">
        <v>0</v>
      </c>
      <c r="Q72" t="n">
        <v>1</v>
      </c>
      <c r="R72" s="2" t="inlineStr">
        <is>
          <t>Kambräken</t>
        </is>
      </c>
      <c r="S72">
        <f>HYPERLINK("https://klasma.github.io/Logging_1880/artfynd/A 19939-2023 artfynd.xlsx", "A 19939-2023")</f>
        <v/>
      </c>
      <c r="T72">
        <f>HYPERLINK("https://klasma.github.io/Logging_1880/kartor/A 19939-2023 karta.png", "A 19939-2023")</f>
        <v/>
      </c>
      <c r="V72">
        <f>HYPERLINK("https://klasma.github.io/Logging_1880/klagomål/A 19939-2023 FSC-klagomål.docx", "A 19939-2023")</f>
        <v/>
      </c>
      <c r="W72">
        <f>HYPERLINK("https://klasma.github.io/Logging_1880/klagomålsmail/A 19939-2023 FSC-klagomål mail.docx", "A 19939-2023")</f>
        <v/>
      </c>
      <c r="X72">
        <f>HYPERLINK("https://klasma.github.io/Logging_1880/tillsyn/A 19939-2023 tillsynsbegäran.docx", "A 19939-2023")</f>
        <v/>
      </c>
      <c r="Y72">
        <f>HYPERLINK("https://klasma.github.io/Logging_1880/tillsynsmail/A 19939-2023 tillsynsbegäran mail.docx", "A 19939-2023")</f>
        <v/>
      </c>
    </row>
    <row r="73" ht="15" customHeight="1">
      <c r="A73" t="inlineStr">
        <is>
          <t>A 20247-2023</t>
        </is>
      </c>
      <c r="B73" s="1" t="n">
        <v>45055</v>
      </c>
      <c r="C73" s="1" t="n">
        <v>45360</v>
      </c>
      <c r="D73" t="inlineStr">
        <is>
          <t>ÖREBRO LÄN</t>
        </is>
      </c>
      <c r="E73" t="inlineStr">
        <is>
          <t>ÖREBRO</t>
        </is>
      </c>
      <c r="G73" t="n">
        <v>3</v>
      </c>
      <c r="H73" t="n">
        <v>1</v>
      </c>
      <c r="I73" t="n">
        <v>0</v>
      </c>
      <c r="J73" t="n">
        <v>0</v>
      </c>
      <c r="K73" t="n">
        <v>0</v>
      </c>
      <c r="L73" t="n">
        <v>0</v>
      </c>
      <c r="M73" t="n">
        <v>0</v>
      </c>
      <c r="N73" t="n">
        <v>0</v>
      </c>
      <c r="O73" t="n">
        <v>0</v>
      </c>
      <c r="P73" t="n">
        <v>0</v>
      </c>
      <c r="Q73" t="n">
        <v>1</v>
      </c>
      <c r="R73" s="2" t="inlineStr">
        <is>
          <t>Större vattensalamander</t>
        </is>
      </c>
      <c r="S73">
        <f>HYPERLINK("https://klasma.github.io/Logging_1880/artfynd/A 20247-2023 artfynd.xlsx", "A 20247-2023")</f>
        <v/>
      </c>
      <c r="T73">
        <f>HYPERLINK("https://klasma.github.io/Logging_1880/kartor/A 20247-2023 karta.png", "A 20247-2023")</f>
        <v/>
      </c>
      <c r="V73">
        <f>HYPERLINK("https://klasma.github.io/Logging_1880/klagomål/A 20247-2023 FSC-klagomål.docx", "A 20247-2023")</f>
        <v/>
      </c>
      <c r="W73">
        <f>HYPERLINK("https://klasma.github.io/Logging_1880/klagomålsmail/A 20247-2023 FSC-klagomål mail.docx", "A 20247-2023")</f>
        <v/>
      </c>
      <c r="X73">
        <f>HYPERLINK("https://klasma.github.io/Logging_1880/tillsyn/A 20247-2023 tillsynsbegäran.docx", "A 20247-2023")</f>
        <v/>
      </c>
      <c r="Y73">
        <f>HYPERLINK("https://klasma.github.io/Logging_1880/tillsynsmail/A 20247-2023 tillsynsbegäran mail.docx", "A 20247-2023")</f>
        <v/>
      </c>
    </row>
    <row r="74" ht="15" customHeight="1">
      <c r="A74" t="inlineStr">
        <is>
          <t>A 22848-2023</t>
        </is>
      </c>
      <c r="B74" s="1" t="n">
        <v>45072</v>
      </c>
      <c r="C74" s="1" t="n">
        <v>45360</v>
      </c>
      <c r="D74" t="inlineStr">
        <is>
          <t>ÖREBRO LÄN</t>
        </is>
      </c>
      <c r="E74" t="inlineStr">
        <is>
          <t>ÖREBRO</t>
        </is>
      </c>
      <c r="G74" t="n">
        <v>3.6</v>
      </c>
      <c r="H74" t="n">
        <v>0</v>
      </c>
      <c r="I74" t="n">
        <v>1</v>
      </c>
      <c r="J74" t="n">
        <v>0</v>
      </c>
      <c r="K74" t="n">
        <v>0</v>
      </c>
      <c r="L74" t="n">
        <v>0</v>
      </c>
      <c r="M74" t="n">
        <v>0</v>
      </c>
      <c r="N74" t="n">
        <v>0</v>
      </c>
      <c r="O74" t="n">
        <v>0</v>
      </c>
      <c r="P74" t="n">
        <v>0</v>
      </c>
      <c r="Q74" t="n">
        <v>1</v>
      </c>
      <c r="R74" s="2" t="inlineStr">
        <is>
          <t>Blomkålssvamp</t>
        </is>
      </c>
      <c r="S74">
        <f>HYPERLINK("https://klasma.github.io/Logging_1880/artfynd/A 22848-2023 artfynd.xlsx", "A 22848-2023")</f>
        <v/>
      </c>
      <c r="T74">
        <f>HYPERLINK("https://klasma.github.io/Logging_1880/kartor/A 22848-2023 karta.png", "A 22848-2023")</f>
        <v/>
      </c>
      <c r="V74">
        <f>HYPERLINK("https://klasma.github.io/Logging_1880/klagomål/A 22848-2023 FSC-klagomål.docx", "A 22848-2023")</f>
        <v/>
      </c>
      <c r="W74">
        <f>HYPERLINK("https://klasma.github.io/Logging_1880/klagomålsmail/A 22848-2023 FSC-klagomål mail.docx", "A 22848-2023")</f>
        <v/>
      </c>
      <c r="X74">
        <f>HYPERLINK("https://klasma.github.io/Logging_1880/tillsyn/A 22848-2023 tillsynsbegäran.docx", "A 22848-2023")</f>
        <v/>
      </c>
      <c r="Y74">
        <f>HYPERLINK("https://klasma.github.io/Logging_1880/tillsynsmail/A 22848-2023 tillsynsbegäran mail.docx", "A 22848-2023")</f>
        <v/>
      </c>
    </row>
    <row r="75" ht="15" customHeight="1">
      <c r="A75" t="inlineStr">
        <is>
          <t>A 23608-2023</t>
        </is>
      </c>
      <c r="B75" s="1" t="n">
        <v>45077</v>
      </c>
      <c r="C75" s="1" t="n">
        <v>45360</v>
      </c>
      <c r="D75" t="inlineStr">
        <is>
          <t>ÖREBRO LÄN</t>
        </is>
      </c>
      <c r="E75" t="inlineStr">
        <is>
          <t>ÖREBRO</t>
        </is>
      </c>
      <c r="G75" t="n">
        <v>5.8</v>
      </c>
      <c r="H75" t="n">
        <v>1</v>
      </c>
      <c r="I75" t="n">
        <v>0</v>
      </c>
      <c r="J75" t="n">
        <v>1</v>
      </c>
      <c r="K75" t="n">
        <v>0</v>
      </c>
      <c r="L75" t="n">
        <v>0</v>
      </c>
      <c r="M75" t="n">
        <v>0</v>
      </c>
      <c r="N75" t="n">
        <v>0</v>
      </c>
      <c r="O75" t="n">
        <v>1</v>
      </c>
      <c r="P75" t="n">
        <v>0</v>
      </c>
      <c r="Q75" t="n">
        <v>1</v>
      </c>
      <c r="R75" s="2" t="inlineStr">
        <is>
          <t>Havsörn</t>
        </is>
      </c>
      <c r="S75">
        <f>HYPERLINK("https://klasma.github.io/Logging_1880/artfynd/A 23608-2023 artfynd.xlsx", "A 23608-2023")</f>
        <v/>
      </c>
      <c r="T75">
        <f>HYPERLINK("https://klasma.github.io/Logging_1880/kartor/A 23608-2023 karta.png", "A 23608-2023")</f>
        <v/>
      </c>
      <c r="V75">
        <f>HYPERLINK("https://klasma.github.io/Logging_1880/klagomål/A 23608-2023 FSC-klagomål.docx", "A 23608-2023")</f>
        <v/>
      </c>
      <c r="W75">
        <f>HYPERLINK("https://klasma.github.io/Logging_1880/klagomålsmail/A 23608-2023 FSC-klagomål mail.docx", "A 23608-2023")</f>
        <v/>
      </c>
      <c r="X75">
        <f>HYPERLINK("https://klasma.github.io/Logging_1880/tillsyn/A 23608-2023 tillsynsbegäran.docx", "A 23608-2023")</f>
        <v/>
      </c>
      <c r="Y75">
        <f>HYPERLINK("https://klasma.github.io/Logging_1880/tillsynsmail/A 23608-2023 tillsynsbegäran mail.docx", "A 23608-2023")</f>
        <v/>
      </c>
      <c r="Z75">
        <f>HYPERLINK("https://klasma.github.io/Logging_1880/fåglar/A 23608-2023 prioriterade fågelarter.docx", "A 23608-2023")</f>
        <v/>
      </c>
    </row>
    <row r="76" ht="15" customHeight="1">
      <c r="A76" t="inlineStr">
        <is>
          <t>A 32105-2023</t>
        </is>
      </c>
      <c r="B76" s="1" t="n">
        <v>45119</v>
      </c>
      <c r="C76" s="1" t="n">
        <v>45360</v>
      </c>
      <c r="D76" t="inlineStr">
        <is>
          <t>ÖREBRO LÄN</t>
        </is>
      </c>
      <c r="E76" t="inlineStr">
        <is>
          <t>ÖREBRO</t>
        </is>
      </c>
      <c r="G76" t="n">
        <v>1.3</v>
      </c>
      <c r="H76" t="n">
        <v>1</v>
      </c>
      <c r="I76" t="n">
        <v>0</v>
      </c>
      <c r="J76" t="n">
        <v>1</v>
      </c>
      <c r="K76" t="n">
        <v>0</v>
      </c>
      <c r="L76" t="n">
        <v>0</v>
      </c>
      <c r="M76" t="n">
        <v>0</v>
      </c>
      <c r="N76" t="n">
        <v>0</v>
      </c>
      <c r="O76" t="n">
        <v>1</v>
      </c>
      <c r="P76" t="n">
        <v>0</v>
      </c>
      <c r="Q76" t="n">
        <v>1</v>
      </c>
      <c r="R76" s="2" t="inlineStr">
        <is>
          <t>Rödvingetrast</t>
        </is>
      </c>
      <c r="S76">
        <f>HYPERLINK("https://klasma.github.io/Logging_1880/artfynd/A 32105-2023 artfynd.xlsx", "A 32105-2023")</f>
        <v/>
      </c>
      <c r="T76">
        <f>HYPERLINK("https://klasma.github.io/Logging_1880/kartor/A 32105-2023 karta.png", "A 32105-2023")</f>
        <v/>
      </c>
      <c r="V76">
        <f>HYPERLINK("https://klasma.github.io/Logging_1880/klagomål/A 32105-2023 FSC-klagomål.docx", "A 32105-2023")</f>
        <v/>
      </c>
      <c r="W76">
        <f>HYPERLINK("https://klasma.github.io/Logging_1880/klagomålsmail/A 32105-2023 FSC-klagomål mail.docx", "A 32105-2023")</f>
        <v/>
      </c>
      <c r="X76">
        <f>HYPERLINK("https://klasma.github.io/Logging_1880/tillsyn/A 32105-2023 tillsynsbegäran.docx", "A 32105-2023")</f>
        <v/>
      </c>
      <c r="Y76">
        <f>HYPERLINK("https://klasma.github.io/Logging_1880/tillsynsmail/A 32105-2023 tillsynsbegäran mail.docx", "A 32105-2023")</f>
        <v/>
      </c>
    </row>
    <row r="77" ht="15" customHeight="1">
      <c r="A77" t="inlineStr">
        <is>
          <t>A 3866-2024</t>
        </is>
      </c>
      <c r="B77" s="1" t="n">
        <v>45322</v>
      </c>
      <c r="C77" s="1" t="n">
        <v>45360</v>
      </c>
      <c r="D77" t="inlineStr">
        <is>
          <t>ÖREBRO LÄN</t>
        </is>
      </c>
      <c r="E77" t="inlineStr">
        <is>
          <t>ÖREBRO</t>
        </is>
      </c>
      <c r="F77" t="inlineStr">
        <is>
          <t>Övriga Aktiebolag</t>
        </is>
      </c>
      <c r="G77" t="n">
        <v>4.7</v>
      </c>
      <c r="H77" t="n">
        <v>0</v>
      </c>
      <c r="I77" t="n">
        <v>0</v>
      </c>
      <c r="J77" t="n">
        <v>0</v>
      </c>
      <c r="K77" t="n">
        <v>0</v>
      </c>
      <c r="L77" t="n">
        <v>1</v>
      </c>
      <c r="M77" t="n">
        <v>0</v>
      </c>
      <c r="N77" t="n">
        <v>0</v>
      </c>
      <c r="O77" t="n">
        <v>1</v>
      </c>
      <c r="P77" t="n">
        <v>1</v>
      </c>
      <c r="Q77" t="n">
        <v>1</v>
      </c>
      <c r="R77" s="2" t="inlineStr">
        <is>
          <t>Bredgentiana</t>
        </is>
      </c>
      <c r="S77">
        <f>HYPERLINK("https://klasma.github.io/Logging_1880/artfynd/A 3866-2024 artfynd.xlsx", "A 3866-2024")</f>
        <v/>
      </c>
      <c r="T77">
        <f>HYPERLINK("https://klasma.github.io/Logging_1880/kartor/A 3866-2024 karta.png", "A 3866-2024")</f>
        <v/>
      </c>
      <c r="V77">
        <f>HYPERLINK("https://klasma.github.io/Logging_1880/klagomål/A 3866-2024 FSC-klagomål.docx", "A 3866-2024")</f>
        <v/>
      </c>
      <c r="W77">
        <f>HYPERLINK("https://klasma.github.io/Logging_1880/klagomålsmail/A 3866-2024 FSC-klagomål mail.docx", "A 3866-2024")</f>
        <v/>
      </c>
      <c r="X77">
        <f>HYPERLINK("https://klasma.github.io/Logging_1880/tillsyn/A 3866-2024 tillsynsbegäran.docx", "A 3866-2024")</f>
        <v/>
      </c>
      <c r="Y77">
        <f>HYPERLINK("https://klasma.github.io/Logging_1880/tillsynsmail/A 3866-2024 tillsynsbegäran mail.docx", "A 3866-2024")</f>
        <v/>
      </c>
    </row>
    <row r="78" ht="15" customHeight="1">
      <c r="A78" t="inlineStr">
        <is>
          <t>A 5123-2024</t>
        </is>
      </c>
      <c r="B78" s="1" t="n">
        <v>45330</v>
      </c>
      <c r="C78" s="1" t="n">
        <v>45360</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5123-2024 artfynd.xlsx", "A 5123-2024")</f>
        <v/>
      </c>
      <c r="T78">
        <f>HYPERLINK("https://klasma.github.io/Logging_1880/kartor/A 5123-2024 karta.png", "A 5123-2024")</f>
        <v/>
      </c>
      <c r="V78">
        <f>HYPERLINK("https://klasma.github.io/Logging_1880/klagomål/A 5123-2024 FSC-klagomål.docx", "A 5123-2024")</f>
        <v/>
      </c>
      <c r="W78">
        <f>HYPERLINK("https://klasma.github.io/Logging_1880/klagomålsmail/A 5123-2024 FSC-klagomål mail.docx", "A 5123-2024")</f>
        <v/>
      </c>
      <c r="X78">
        <f>HYPERLINK("https://klasma.github.io/Logging_1880/tillsyn/A 5123-2024 tillsynsbegäran.docx", "A 5123-2024")</f>
        <v/>
      </c>
      <c r="Y78">
        <f>HYPERLINK("https://klasma.github.io/Logging_1880/tillsynsmail/A 5123-2024 tillsynsbegäran mail.docx", "A 5123-2024")</f>
        <v/>
      </c>
    </row>
    <row r="79" ht="15" customHeight="1">
      <c r="A79" t="inlineStr">
        <is>
          <t>A 8795-2024</t>
        </is>
      </c>
      <c r="B79" s="1" t="n">
        <v>45356</v>
      </c>
      <c r="C79" s="1" t="n">
        <v>45360</v>
      </c>
      <c r="D79" t="inlineStr">
        <is>
          <t>ÖREBRO LÄN</t>
        </is>
      </c>
      <c r="E79" t="inlineStr">
        <is>
          <t>ÖREBRO</t>
        </is>
      </c>
      <c r="G79" t="n">
        <v>3.1</v>
      </c>
      <c r="H79" t="n">
        <v>0</v>
      </c>
      <c r="I79" t="n">
        <v>0</v>
      </c>
      <c r="J79" t="n">
        <v>0</v>
      </c>
      <c r="K79" t="n">
        <v>1</v>
      </c>
      <c r="L79" t="n">
        <v>0</v>
      </c>
      <c r="M79" t="n">
        <v>0</v>
      </c>
      <c r="N79" t="n">
        <v>0</v>
      </c>
      <c r="O79" t="n">
        <v>1</v>
      </c>
      <c r="P79" t="n">
        <v>1</v>
      </c>
      <c r="Q79" t="n">
        <v>1</v>
      </c>
      <c r="R79" s="2" t="inlineStr">
        <is>
          <t>Violgubbe</t>
        </is>
      </c>
      <c r="S79">
        <f>HYPERLINK("https://klasma.github.io/Logging_1880/artfynd/A 8795-2024 artfynd.xlsx", "A 8795-2024")</f>
        <v/>
      </c>
      <c r="T79">
        <f>HYPERLINK("https://klasma.github.io/Logging_1880/kartor/A 8795-2024 karta.png", "A 8795-2024")</f>
        <v/>
      </c>
      <c r="V79">
        <f>HYPERLINK("https://klasma.github.io/Logging_1880/klagomål/A 8795-2024 FSC-klagomål.docx", "A 8795-2024")</f>
        <v/>
      </c>
      <c r="W79">
        <f>HYPERLINK("https://klasma.github.io/Logging_1880/klagomålsmail/A 8795-2024 FSC-klagomål mail.docx", "A 8795-2024")</f>
        <v/>
      </c>
      <c r="X79">
        <f>HYPERLINK("https://klasma.github.io/Logging_1880/tillsyn/A 8795-2024 tillsynsbegäran.docx", "A 8795-2024")</f>
        <v/>
      </c>
      <c r="Y79">
        <f>HYPERLINK("https://klasma.github.io/Logging_1880/tillsynsmail/A 8795-2024 tillsynsbegäran mail.docx", "A 8795-2024")</f>
        <v/>
      </c>
    </row>
    <row r="80" ht="15" customHeight="1">
      <c r="A80" t="inlineStr">
        <is>
          <t>A 34900-2018</t>
        </is>
      </c>
      <c r="B80" s="1" t="n">
        <v>43321</v>
      </c>
      <c r="C80" s="1" t="n">
        <v>45360</v>
      </c>
      <c r="D80" t="inlineStr">
        <is>
          <t>ÖREBRO LÄN</t>
        </is>
      </c>
      <c r="E80" t="inlineStr">
        <is>
          <t>ÖREBRO</t>
        </is>
      </c>
      <c r="F80" t="inlineStr">
        <is>
          <t>Kommuner</t>
        </is>
      </c>
      <c r="G80" t="n">
        <v>1.6</v>
      </c>
      <c r="H80" t="n">
        <v>0</v>
      </c>
      <c r="I80" t="n">
        <v>0</v>
      </c>
      <c r="J80" t="n">
        <v>0</v>
      </c>
      <c r="K80" t="n">
        <v>0</v>
      </c>
      <c r="L80" t="n">
        <v>0</v>
      </c>
      <c r="M80" t="n">
        <v>0</v>
      </c>
      <c r="N80" t="n">
        <v>0</v>
      </c>
      <c r="O80" t="n">
        <v>0</v>
      </c>
      <c r="P80" t="n">
        <v>0</v>
      </c>
      <c r="Q80" t="n">
        <v>0</v>
      </c>
      <c r="R80" s="2" t="inlineStr"/>
    </row>
    <row r="81" ht="15" customHeight="1">
      <c r="A81" t="inlineStr">
        <is>
          <t>A 35327-2018</t>
        </is>
      </c>
      <c r="B81" s="1" t="n">
        <v>43325</v>
      </c>
      <c r="C81" s="1" t="n">
        <v>45360</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36149-2018</t>
        </is>
      </c>
      <c r="B82" s="1" t="n">
        <v>43327</v>
      </c>
      <c r="C82" s="1" t="n">
        <v>45360</v>
      </c>
      <c r="D82" t="inlineStr">
        <is>
          <t>ÖREBRO LÄN</t>
        </is>
      </c>
      <c r="E82" t="inlineStr">
        <is>
          <t>ÖREBRO</t>
        </is>
      </c>
      <c r="G82" t="n">
        <v>1.9</v>
      </c>
      <c r="H82" t="n">
        <v>0</v>
      </c>
      <c r="I82" t="n">
        <v>0</v>
      </c>
      <c r="J82" t="n">
        <v>0</v>
      </c>
      <c r="K82" t="n">
        <v>0</v>
      </c>
      <c r="L82" t="n">
        <v>0</v>
      </c>
      <c r="M82" t="n">
        <v>0</v>
      </c>
      <c r="N82" t="n">
        <v>0</v>
      </c>
      <c r="O82" t="n">
        <v>0</v>
      </c>
      <c r="P82" t="n">
        <v>0</v>
      </c>
      <c r="Q82" t="n">
        <v>0</v>
      </c>
      <c r="R82" s="2" t="inlineStr"/>
    </row>
    <row r="83" ht="15" customHeight="1">
      <c r="A83" t="inlineStr">
        <is>
          <t>A 36159-2018</t>
        </is>
      </c>
      <c r="B83" s="1" t="n">
        <v>43327</v>
      </c>
      <c r="C83" s="1" t="n">
        <v>45360</v>
      </c>
      <c r="D83" t="inlineStr">
        <is>
          <t>ÖREBRO LÄN</t>
        </is>
      </c>
      <c r="E83" t="inlineStr">
        <is>
          <t>ÖREBRO</t>
        </is>
      </c>
      <c r="G83" t="n">
        <v>2.3</v>
      </c>
      <c r="H83" t="n">
        <v>0</v>
      </c>
      <c r="I83" t="n">
        <v>0</v>
      </c>
      <c r="J83" t="n">
        <v>0</v>
      </c>
      <c r="K83" t="n">
        <v>0</v>
      </c>
      <c r="L83" t="n">
        <v>0</v>
      </c>
      <c r="M83" t="n">
        <v>0</v>
      </c>
      <c r="N83" t="n">
        <v>0</v>
      </c>
      <c r="O83" t="n">
        <v>0</v>
      </c>
      <c r="P83" t="n">
        <v>0</v>
      </c>
      <c r="Q83" t="n">
        <v>0</v>
      </c>
      <c r="R83" s="2" t="inlineStr"/>
    </row>
    <row r="84" ht="15" customHeight="1">
      <c r="A84" t="inlineStr">
        <is>
          <t>A 36458-2018</t>
        </is>
      </c>
      <c r="B84" s="1" t="n">
        <v>43329</v>
      </c>
      <c r="C84" s="1" t="n">
        <v>45360</v>
      </c>
      <c r="D84" t="inlineStr">
        <is>
          <t>ÖREBRO LÄN</t>
        </is>
      </c>
      <c r="E84" t="inlineStr">
        <is>
          <t>ÖREBRO</t>
        </is>
      </c>
      <c r="F84" t="inlineStr">
        <is>
          <t>Övriga Aktiebolag</t>
        </is>
      </c>
      <c r="G84" t="n">
        <v>4.3</v>
      </c>
      <c r="H84" t="n">
        <v>0</v>
      </c>
      <c r="I84" t="n">
        <v>0</v>
      </c>
      <c r="J84" t="n">
        <v>0</v>
      </c>
      <c r="K84" t="n">
        <v>0</v>
      </c>
      <c r="L84" t="n">
        <v>0</v>
      </c>
      <c r="M84" t="n">
        <v>0</v>
      </c>
      <c r="N84" t="n">
        <v>0</v>
      </c>
      <c r="O84" t="n">
        <v>0</v>
      </c>
      <c r="P84" t="n">
        <v>0</v>
      </c>
      <c r="Q84" t="n">
        <v>0</v>
      </c>
      <c r="R84" s="2" t="inlineStr"/>
    </row>
    <row r="85" ht="15" customHeight="1">
      <c r="A85" t="inlineStr">
        <is>
          <t>A 38850-2018</t>
        </is>
      </c>
      <c r="B85" s="1" t="n">
        <v>43336</v>
      </c>
      <c r="C85" s="1" t="n">
        <v>45360</v>
      </c>
      <c r="D85" t="inlineStr">
        <is>
          <t>ÖREBRO LÄN</t>
        </is>
      </c>
      <c r="E85" t="inlineStr">
        <is>
          <t>ÖREBRO</t>
        </is>
      </c>
      <c r="F85" t="inlineStr">
        <is>
          <t>Kommuner</t>
        </is>
      </c>
      <c r="G85" t="n">
        <v>2.7</v>
      </c>
      <c r="H85" t="n">
        <v>0</v>
      </c>
      <c r="I85" t="n">
        <v>0</v>
      </c>
      <c r="J85" t="n">
        <v>0</v>
      </c>
      <c r="K85" t="n">
        <v>0</v>
      </c>
      <c r="L85" t="n">
        <v>0</v>
      </c>
      <c r="M85" t="n">
        <v>0</v>
      </c>
      <c r="N85" t="n">
        <v>0</v>
      </c>
      <c r="O85" t="n">
        <v>0</v>
      </c>
      <c r="P85" t="n">
        <v>0</v>
      </c>
      <c r="Q85" t="n">
        <v>0</v>
      </c>
      <c r="R85" s="2" t="inlineStr"/>
    </row>
    <row r="86" ht="15" customHeight="1">
      <c r="A86" t="inlineStr">
        <is>
          <t>A 38814-2018</t>
        </is>
      </c>
      <c r="B86" s="1" t="n">
        <v>43336</v>
      </c>
      <c r="C86" s="1" t="n">
        <v>45360</v>
      </c>
      <c r="D86" t="inlineStr">
        <is>
          <t>ÖREBRO LÄN</t>
        </is>
      </c>
      <c r="E86" t="inlineStr">
        <is>
          <t>ÖREBRO</t>
        </is>
      </c>
      <c r="G86" t="n">
        <v>4.8</v>
      </c>
      <c r="H86" t="n">
        <v>0</v>
      </c>
      <c r="I86" t="n">
        <v>0</v>
      </c>
      <c r="J86" t="n">
        <v>0</v>
      </c>
      <c r="K86" t="n">
        <v>0</v>
      </c>
      <c r="L86" t="n">
        <v>0</v>
      </c>
      <c r="M86" t="n">
        <v>0</v>
      </c>
      <c r="N86" t="n">
        <v>0</v>
      </c>
      <c r="O86" t="n">
        <v>0</v>
      </c>
      <c r="P86" t="n">
        <v>0</v>
      </c>
      <c r="Q86" t="n">
        <v>0</v>
      </c>
      <c r="R86" s="2" t="inlineStr"/>
    </row>
    <row r="87" ht="15" customHeight="1">
      <c r="A87" t="inlineStr">
        <is>
          <t>A 43222-2018</t>
        </is>
      </c>
      <c r="B87" s="1" t="n">
        <v>43353</v>
      </c>
      <c r="C87" s="1" t="n">
        <v>45360</v>
      </c>
      <c r="D87" t="inlineStr">
        <is>
          <t>ÖREBRO LÄN</t>
        </is>
      </c>
      <c r="E87" t="inlineStr">
        <is>
          <t>ÖREBRO</t>
        </is>
      </c>
      <c r="G87" t="n">
        <v>3.7</v>
      </c>
      <c r="H87" t="n">
        <v>0</v>
      </c>
      <c r="I87" t="n">
        <v>0</v>
      </c>
      <c r="J87" t="n">
        <v>0</v>
      </c>
      <c r="K87" t="n">
        <v>0</v>
      </c>
      <c r="L87" t="n">
        <v>0</v>
      </c>
      <c r="M87" t="n">
        <v>0</v>
      </c>
      <c r="N87" t="n">
        <v>0</v>
      </c>
      <c r="O87" t="n">
        <v>0</v>
      </c>
      <c r="P87" t="n">
        <v>0</v>
      </c>
      <c r="Q87" t="n">
        <v>0</v>
      </c>
      <c r="R87" s="2" t="inlineStr"/>
    </row>
    <row r="88" ht="15" customHeight="1">
      <c r="A88" t="inlineStr">
        <is>
          <t>A 43662-2018</t>
        </is>
      </c>
      <c r="B88" s="1" t="n">
        <v>43357</v>
      </c>
      <c r="C88" s="1" t="n">
        <v>45360</v>
      </c>
      <c r="D88" t="inlineStr">
        <is>
          <t>ÖREBRO LÄN</t>
        </is>
      </c>
      <c r="E88" t="inlineStr">
        <is>
          <t>ÖREBRO</t>
        </is>
      </c>
      <c r="G88" t="n">
        <v>4.6</v>
      </c>
      <c r="H88" t="n">
        <v>0</v>
      </c>
      <c r="I88" t="n">
        <v>0</v>
      </c>
      <c r="J88" t="n">
        <v>0</v>
      </c>
      <c r="K88" t="n">
        <v>0</v>
      </c>
      <c r="L88" t="n">
        <v>0</v>
      </c>
      <c r="M88" t="n">
        <v>0</v>
      </c>
      <c r="N88" t="n">
        <v>0</v>
      </c>
      <c r="O88" t="n">
        <v>0</v>
      </c>
      <c r="P88" t="n">
        <v>0</v>
      </c>
      <c r="Q88" t="n">
        <v>0</v>
      </c>
      <c r="R88" s="2" t="inlineStr"/>
    </row>
    <row r="89" ht="15" customHeight="1">
      <c r="A89" t="inlineStr">
        <is>
          <t>A 44754-2018</t>
        </is>
      </c>
      <c r="B89" s="1" t="n">
        <v>43361</v>
      </c>
      <c r="C89" s="1" t="n">
        <v>45360</v>
      </c>
      <c r="D89" t="inlineStr">
        <is>
          <t>ÖREBRO LÄN</t>
        </is>
      </c>
      <c r="E89" t="inlineStr">
        <is>
          <t>ÖREBRO</t>
        </is>
      </c>
      <c r="G89" t="n">
        <v>5.3</v>
      </c>
      <c r="H89" t="n">
        <v>0</v>
      </c>
      <c r="I89" t="n">
        <v>0</v>
      </c>
      <c r="J89" t="n">
        <v>0</v>
      </c>
      <c r="K89" t="n">
        <v>0</v>
      </c>
      <c r="L89" t="n">
        <v>0</v>
      </c>
      <c r="M89" t="n">
        <v>0</v>
      </c>
      <c r="N89" t="n">
        <v>0</v>
      </c>
      <c r="O89" t="n">
        <v>0</v>
      </c>
      <c r="P89" t="n">
        <v>0</v>
      </c>
      <c r="Q89" t="n">
        <v>0</v>
      </c>
      <c r="R89" s="2" t="inlineStr"/>
    </row>
    <row r="90" ht="15" customHeight="1">
      <c r="A90" t="inlineStr">
        <is>
          <t>A 46340-2018</t>
        </is>
      </c>
      <c r="B90" s="1" t="n">
        <v>43363</v>
      </c>
      <c r="C90" s="1" t="n">
        <v>45360</v>
      </c>
      <c r="D90" t="inlineStr">
        <is>
          <t>ÖREBRO LÄN</t>
        </is>
      </c>
      <c r="E90" t="inlineStr">
        <is>
          <t>ÖREBRO</t>
        </is>
      </c>
      <c r="G90" t="n">
        <v>0.6</v>
      </c>
      <c r="H90" t="n">
        <v>0</v>
      </c>
      <c r="I90" t="n">
        <v>0</v>
      </c>
      <c r="J90" t="n">
        <v>0</v>
      </c>
      <c r="K90" t="n">
        <v>0</v>
      </c>
      <c r="L90" t="n">
        <v>0</v>
      </c>
      <c r="M90" t="n">
        <v>0</v>
      </c>
      <c r="N90" t="n">
        <v>0</v>
      </c>
      <c r="O90" t="n">
        <v>0</v>
      </c>
      <c r="P90" t="n">
        <v>0</v>
      </c>
      <c r="Q90" t="n">
        <v>0</v>
      </c>
      <c r="R90" s="2" t="inlineStr"/>
    </row>
    <row r="91" ht="15" customHeight="1">
      <c r="A91" t="inlineStr">
        <is>
          <t>A 48101-2018</t>
        </is>
      </c>
      <c r="B91" s="1" t="n">
        <v>43368</v>
      </c>
      <c r="C91" s="1" t="n">
        <v>45360</v>
      </c>
      <c r="D91" t="inlineStr">
        <is>
          <t>ÖREBRO LÄN</t>
        </is>
      </c>
      <c r="E91" t="inlineStr">
        <is>
          <t>ÖREBRO</t>
        </is>
      </c>
      <c r="G91" t="n">
        <v>5.6</v>
      </c>
      <c r="H91" t="n">
        <v>0</v>
      </c>
      <c r="I91" t="n">
        <v>0</v>
      </c>
      <c r="J91" t="n">
        <v>0</v>
      </c>
      <c r="K91" t="n">
        <v>0</v>
      </c>
      <c r="L91" t="n">
        <v>0</v>
      </c>
      <c r="M91" t="n">
        <v>0</v>
      </c>
      <c r="N91" t="n">
        <v>0</v>
      </c>
      <c r="O91" t="n">
        <v>0</v>
      </c>
      <c r="P91" t="n">
        <v>0</v>
      </c>
      <c r="Q91" t="n">
        <v>0</v>
      </c>
      <c r="R91" s="2" t="inlineStr"/>
    </row>
    <row r="92" ht="15" customHeight="1">
      <c r="A92" t="inlineStr">
        <is>
          <t>A 48052-2018</t>
        </is>
      </c>
      <c r="B92" s="1" t="n">
        <v>43371</v>
      </c>
      <c r="C92" s="1" t="n">
        <v>45360</v>
      </c>
      <c r="D92" t="inlineStr">
        <is>
          <t>ÖREBRO LÄN</t>
        </is>
      </c>
      <c r="E92" t="inlineStr">
        <is>
          <t>ÖREBRO</t>
        </is>
      </c>
      <c r="G92" t="n">
        <v>2.5</v>
      </c>
      <c r="H92" t="n">
        <v>0</v>
      </c>
      <c r="I92" t="n">
        <v>0</v>
      </c>
      <c r="J92" t="n">
        <v>0</v>
      </c>
      <c r="K92" t="n">
        <v>0</v>
      </c>
      <c r="L92" t="n">
        <v>0</v>
      </c>
      <c r="M92" t="n">
        <v>0</v>
      </c>
      <c r="N92" t="n">
        <v>0</v>
      </c>
      <c r="O92" t="n">
        <v>0</v>
      </c>
      <c r="P92" t="n">
        <v>0</v>
      </c>
      <c r="Q92" t="n">
        <v>0</v>
      </c>
      <c r="R92" s="2" t="inlineStr"/>
    </row>
    <row r="93" ht="15" customHeight="1">
      <c r="A93" t="inlineStr">
        <is>
          <t>A 48895-2018</t>
        </is>
      </c>
      <c r="B93" s="1" t="n">
        <v>43375</v>
      </c>
      <c r="C93" s="1" t="n">
        <v>45360</v>
      </c>
      <c r="D93" t="inlineStr">
        <is>
          <t>ÖREBRO LÄN</t>
        </is>
      </c>
      <c r="E93" t="inlineStr">
        <is>
          <t>ÖREBRO</t>
        </is>
      </c>
      <c r="G93" t="n">
        <v>25.2</v>
      </c>
      <c r="H93" t="n">
        <v>0</v>
      </c>
      <c r="I93" t="n">
        <v>0</v>
      </c>
      <c r="J93" t="n">
        <v>0</v>
      </c>
      <c r="K93" t="n">
        <v>0</v>
      </c>
      <c r="L93" t="n">
        <v>0</v>
      </c>
      <c r="M93" t="n">
        <v>0</v>
      </c>
      <c r="N93" t="n">
        <v>0</v>
      </c>
      <c r="O93" t="n">
        <v>0</v>
      </c>
      <c r="P93" t="n">
        <v>0</v>
      </c>
      <c r="Q93" t="n">
        <v>0</v>
      </c>
      <c r="R93" s="2" t="inlineStr"/>
    </row>
    <row r="94" ht="15" customHeight="1">
      <c r="A94" t="inlineStr">
        <is>
          <t>A 49915-2018</t>
        </is>
      </c>
      <c r="B94" s="1" t="n">
        <v>43376</v>
      </c>
      <c r="C94" s="1" t="n">
        <v>45360</v>
      </c>
      <c r="D94" t="inlineStr">
        <is>
          <t>ÖREBRO LÄN</t>
        </is>
      </c>
      <c r="E94" t="inlineStr">
        <is>
          <t>ÖREBRO</t>
        </is>
      </c>
      <c r="G94" t="n">
        <v>0.6</v>
      </c>
      <c r="H94" t="n">
        <v>0</v>
      </c>
      <c r="I94" t="n">
        <v>0</v>
      </c>
      <c r="J94" t="n">
        <v>0</v>
      </c>
      <c r="K94" t="n">
        <v>0</v>
      </c>
      <c r="L94" t="n">
        <v>0</v>
      </c>
      <c r="M94" t="n">
        <v>0</v>
      </c>
      <c r="N94" t="n">
        <v>0</v>
      </c>
      <c r="O94" t="n">
        <v>0</v>
      </c>
      <c r="P94" t="n">
        <v>0</v>
      </c>
      <c r="Q94" t="n">
        <v>0</v>
      </c>
      <c r="R94" s="2" t="inlineStr"/>
    </row>
    <row r="95" ht="15" customHeight="1">
      <c r="A95" t="inlineStr">
        <is>
          <t>A 51492-2018</t>
        </is>
      </c>
      <c r="B95" s="1" t="n">
        <v>43381</v>
      </c>
      <c r="C95" s="1" t="n">
        <v>45360</v>
      </c>
      <c r="D95" t="inlineStr">
        <is>
          <t>ÖREBRO LÄN</t>
        </is>
      </c>
      <c r="E95" t="inlineStr">
        <is>
          <t>ÖREBRO</t>
        </is>
      </c>
      <c r="G95" t="n">
        <v>3.5</v>
      </c>
      <c r="H95" t="n">
        <v>0</v>
      </c>
      <c r="I95" t="n">
        <v>0</v>
      </c>
      <c r="J95" t="n">
        <v>0</v>
      </c>
      <c r="K95" t="n">
        <v>0</v>
      </c>
      <c r="L95" t="n">
        <v>0</v>
      </c>
      <c r="M95" t="n">
        <v>0</v>
      </c>
      <c r="N95" t="n">
        <v>0</v>
      </c>
      <c r="O95" t="n">
        <v>0</v>
      </c>
      <c r="P95" t="n">
        <v>0</v>
      </c>
      <c r="Q95" t="n">
        <v>0</v>
      </c>
      <c r="R95" s="2" t="inlineStr"/>
    </row>
    <row r="96" ht="15" customHeight="1">
      <c r="A96" t="inlineStr">
        <is>
          <t>A 54149-2018</t>
        </is>
      </c>
      <c r="B96" s="1" t="n">
        <v>43389</v>
      </c>
      <c r="C96" s="1" t="n">
        <v>45360</v>
      </c>
      <c r="D96" t="inlineStr">
        <is>
          <t>ÖREBRO LÄN</t>
        </is>
      </c>
      <c r="E96" t="inlineStr">
        <is>
          <t>ÖREBRO</t>
        </is>
      </c>
      <c r="G96" t="n">
        <v>6.9</v>
      </c>
      <c r="H96" t="n">
        <v>0</v>
      </c>
      <c r="I96" t="n">
        <v>0</v>
      </c>
      <c r="J96" t="n">
        <v>0</v>
      </c>
      <c r="K96" t="n">
        <v>0</v>
      </c>
      <c r="L96" t="n">
        <v>0</v>
      </c>
      <c r="M96" t="n">
        <v>0</v>
      </c>
      <c r="N96" t="n">
        <v>0</v>
      </c>
      <c r="O96" t="n">
        <v>0</v>
      </c>
      <c r="P96" t="n">
        <v>0</v>
      </c>
      <c r="Q96" t="n">
        <v>0</v>
      </c>
      <c r="R96" s="2" t="inlineStr"/>
    </row>
    <row r="97" ht="15" customHeight="1">
      <c r="A97" t="inlineStr">
        <is>
          <t>A 55675-2018</t>
        </is>
      </c>
      <c r="B97" s="1" t="n">
        <v>43391</v>
      </c>
      <c r="C97" s="1" t="n">
        <v>45360</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55843-2018</t>
        </is>
      </c>
      <c r="B98" s="1" t="n">
        <v>43398</v>
      </c>
      <c r="C98" s="1" t="n">
        <v>45360</v>
      </c>
      <c r="D98" t="inlineStr">
        <is>
          <t>ÖREBRO LÄN</t>
        </is>
      </c>
      <c r="E98" t="inlineStr">
        <is>
          <t>ÖREBRO</t>
        </is>
      </c>
      <c r="G98" t="n">
        <v>2.9</v>
      </c>
      <c r="H98" t="n">
        <v>0</v>
      </c>
      <c r="I98" t="n">
        <v>0</v>
      </c>
      <c r="J98" t="n">
        <v>0</v>
      </c>
      <c r="K98" t="n">
        <v>0</v>
      </c>
      <c r="L98" t="n">
        <v>0</v>
      </c>
      <c r="M98" t="n">
        <v>0</v>
      </c>
      <c r="N98" t="n">
        <v>0</v>
      </c>
      <c r="O98" t="n">
        <v>0</v>
      </c>
      <c r="P98" t="n">
        <v>0</v>
      </c>
      <c r="Q98" t="n">
        <v>0</v>
      </c>
      <c r="R98" s="2" t="inlineStr"/>
    </row>
    <row r="99" ht="15" customHeight="1">
      <c r="A99" t="inlineStr">
        <is>
          <t>A 55765-2018</t>
        </is>
      </c>
      <c r="B99" s="1" t="n">
        <v>43398</v>
      </c>
      <c r="C99" s="1" t="n">
        <v>45360</v>
      </c>
      <c r="D99" t="inlineStr">
        <is>
          <t>ÖREBRO LÄN</t>
        </is>
      </c>
      <c r="E99" t="inlineStr">
        <is>
          <t>ÖREBRO</t>
        </is>
      </c>
      <c r="G99" t="n">
        <v>6.1</v>
      </c>
      <c r="H99" t="n">
        <v>0</v>
      </c>
      <c r="I99" t="n">
        <v>0</v>
      </c>
      <c r="J99" t="n">
        <v>0</v>
      </c>
      <c r="K99" t="n">
        <v>0</v>
      </c>
      <c r="L99" t="n">
        <v>0</v>
      </c>
      <c r="M99" t="n">
        <v>0</v>
      </c>
      <c r="N99" t="n">
        <v>0</v>
      </c>
      <c r="O99" t="n">
        <v>0</v>
      </c>
      <c r="P99" t="n">
        <v>0</v>
      </c>
      <c r="Q99" t="n">
        <v>0</v>
      </c>
      <c r="R99" s="2" t="inlineStr"/>
    </row>
    <row r="100" ht="15" customHeight="1">
      <c r="A100" t="inlineStr">
        <is>
          <t>A 56417-2018</t>
        </is>
      </c>
      <c r="B100" s="1" t="n">
        <v>43399</v>
      </c>
      <c r="C100" s="1" t="n">
        <v>45360</v>
      </c>
      <c r="D100" t="inlineStr">
        <is>
          <t>ÖREBRO LÄN</t>
        </is>
      </c>
      <c r="E100" t="inlineStr">
        <is>
          <t>ÖREBRO</t>
        </is>
      </c>
      <c r="G100" t="n">
        <v>2.6</v>
      </c>
      <c r="H100" t="n">
        <v>0</v>
      </c>
      <c r="I100" t="n">
        <v>0</v>
      </c>
      <c r="J100" t="n">
        <v>0</v>
      </c>
      <c r="K100" t="n">
        <v>0</v>
      </c>
      <c r="L100" t="n">
        <v>0</v>
      </c>
      <c r="M100" t="n">
        <v>0</v>
      </c>
      <c r="N100" t="n">
        <v>0</v>
      </c>
      <c r="O100" t="n">
        <v>0</v>
      </c>
      <c r="P100" t="n">
        <v>0</v>
      </c>
      <c r="Q100" t="n">
        <v>0</v>
      </c>
      <c r="R100" s="2" t="inlineStr"/>
    </row>
    <row r="101" ht="15" customHeight="1">
      <c r="A101" t="inlineStr">
        <is>
          <t>A 56820-2018</t>
        </is>
      </c>
      <c r="B101" s="1" t="n">
        <v>43402</v>
      </c>
      <c r="C101" s="1" t="n">
        <v>45360</v>
      </c>
      <c r="D101" t="inlineStr">
        <is>
          <t>ÖREBRO LÄN</t>
        </is>
      </c>
      <c r="E101" t="inlineStr">
        <is>
          <t>ÖREBRO</t>
        </is>
      </c>
      <c r="G101" t="n">
        <v>1.7</v>
      </c>
      <c r="H101" t="n">
        <v>0</v>
      </c>
      <c r="I101" t="n">
        <v>0</v>
      </c>
      <c r="J101" t="n">
        <v>0</v>
      </c>
      <c r="K101" t="n">
        <v>0</v>
      </c>
      <c r="L101" t="n">
        <v>0</v>
      </c>
      <c r="M101" t="n">
        <v>0</v>
      </c>
      <c r="N101" t="n">
        <v>0</v>
      </c>
      <c r="O101" t="n">
        <v>0</v>
      </c>
      <c r="P101" t="n">
        <v>0</v>
      </c>
      <c r="Q101" t="n">
        <v>0</v>
      </c>
      <c r="R101" s="2" t="inlineStr"/>
    </row>
    <row r="102" ht="15" customHeight="1">
      <c r="A102" t="inlineStr">
        <is>
          <t>A 58385-2018</t>
        </is>
      </c>
      <c r="B102" s="1" t="n">
        <v>43409</v>
      </c>
      <c r="C102" s="1" t="n">
        <v>45360</v>
      </c>
      <c r="D102" t="inlineStr">
        <is>
          <t>ÖREBRO LÄN</t>
        </is>
      </c>
      <c r="E102" t="inlineStr">
        <is>
          <t>ÖREBRO</t>
        </is>
      </c>
      <c r="G102" t="n">
        <v>0.5</v>
      </c>
      <c r="H102" t="n">
        <v>0</v>
      </c>
      <c r="I102" t="n">
        <v>0</v>
      </c>
      <c r="J102" t="n">
        <v>0</v>
      </c>
      <c r="K102" t="n">
        <v>0</v>
      </c>
      <c r="L102" t="n">
        <v>0</v>
      </c>
      <c r="M102" t="n">
        <v>0</v>
      </c>
      <c r="N102" t="n">
        <v>0</v>
      </c>
      <c r="O102" t="n">
        <v>0</v>
      </c>
      <c r="P102" t="n">
        <v>0</v>
      </c>
      <c r="Q102" t="n">
        <v>0</v>
      </c>
      <c r="R102" s="2" t="inlineStr"/>
    </row>
    <row r="103" ht="15" customHeight="1">
      <c r="A103" t="inlineStr">
        <is>
          <t>A 61123-2018</t>
        </is>
      </c>
      <c r="B103" s="1" t="n">
        <v>43412</v>
      </c>
      <c r="C103" s="1" t="n">
        <v>45360</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63762-2018</t>
        </is>
      </c>
      <c r="B104" s="1" t="n">
        <v>43418</v>
      </c>
      <c r="C104" s="1" t="n">
        <v>45360</v>
      </c>
      <c r="D104" t="inlineStr">
        <is>
          <t>ÖREBRO LÄN</t>
        </is>
      </c>
      <c r="E104" t="inlineStr">
        <is>
          <t>ÖREBRO</t>
        </is>
      </c>
      <c r="G104" t="n">
        <v>4</v>
      </c>
      <c r="H104" t="n">
        <v>0</v>
      </c>
      <c r="I104" t="n">
        <v>0</v>
      </c>
      <c r="J104" t="n">
        <v>0</v>
      </c>
      <c r="K104" t="n">
        <v>0</v>
      </c>
      <c r="L104" t="n">
        <v>0</v>
      </c>
      <c r="M104" t="n">
        <v>0</v>
      </c>
      <c r="N104" t="n">
        <v>0</v>
      </c>
      <c r="O104" t="n">
        <v>0</v>
      </c>
      <c r="P104" t="n">
        <v>0</v>
      </c>
      <c r="Q104" t="n">
        <v>0</v>
      </c>
      <c r="R104" s="2" t="inlineStr"/>
    </row>
    <row r="105" ht="15" customHeight="1">
      <c r="A105" t="inlineStr">
        <is>
          <t>A 60052-2018</t>
        </is>
      </c>
      <c r="B105" s="1" t="n">
        <v>43420</v>
      </c>
      <c r="C105" s="1" t="n">
        <v>45360</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60546-2018</t>
        </is>
      </c>
      <c r="B106" s="1" t="n">
        <v>43420</v>
      </c>
      <c r="C106" s="1" t="n">
        <v>45360</v>
      </c>
      <c r="D106" t="inlineStr">
        <is>
          <t>ÖREBRO LÄN</t>
        </is>
      </c>
      <c r="E106" t="inlineStr">
        <is>
          <t>ÖREBRO</t>
        </is>
      </c>
      <c r="G106" t="n">
        <v>1.6</v>
      </c>
      <c r="H106" t="n">
        <v>0</v>
      </c>
      <c r="I106" t="n">
        <v>0</v>
      </c>
      <c r="J106" t="n">
        <v>0</v>
      </c>
      <c r="K106" t="n">
        <v>0</v>
      </c>
      <c r="L106" t="n">
        <v>0</v>
      </c>
      <c r="M106" t="n">
        <v>0</v>
      </c>
      <c r="N106" t="n">
        <v>0</v>
      </c>
      <c r="O106" t="n">
        <v>0</v>
      </c>
      <c r="P106" t="n">
        <v>0</v>
      </c>
      <c r="Q106" t="n">
        <v>0</v>
      </c>
      <c r="R106" s="2" t="inlineStr"/>
    </row>
    <row r="107" ht="15" customHeight="1">
      <c r="A107" t="inlineStr">
        <is>
          <t>A 59987-2018</t>
        </is>
      </c>
      <c r="B107" s="1" t="n">
        <v>43420</v>
      </c>
      <c r="C107" s="1" t="n">
        <v>45360</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64395-2018</t>
        </is>
      </c>
      <c r="B108" s="1" t="n">
        <v>43430</v>
      </c>
      <c r="C108" s="1" t="n">
        <v>45360</v>
      </c>
      <c r="D108" t="inlineStr">
        <is>
          <t>ÖREBRO LÄN</t>
        </is>
      </c>
      <c r="E108" t="inlineStr">
        <is>
          <t>ÖREBRO</t>
        </is>
      </c>
      <c r="G108" t="n">
        <v>10.4</v>
      </c>
      <c r="H108" t="n">
        <v>0</v>
      </c>
      <c r="I108" t="n">
        <v>0</v>
      </c>
      <c r="J108" t="n">
        <v>0</v>
      </c>
      <c r="K108" t="n">
        <v>0</v>
      </c>
      <c r="L108" t="n">
        <v>0</v>
      </c>
      <c r="M108" t="n">
        <v>0</v>
      </c>
      <c r="N108" t="n">
        <v>0</v>
      </c>
      <c r="O108" t="n">
        <v>0</v>
      </c>
      <c r="P108" t="n">
        <v>0</v>
      </c>
      <c r="Q108" t="n">
        <v>0</v>
      </c>
      <c r="R108" s="2" t="inlineStr"/>
    </row>
    <row r="109" ht="15" customHeight="1">
      <c r="A109" t="inlineStr">
        <is>
          <t>A 66440-2018</t>
        </is>
      </c>
      <c r="B109" s="1" t="n">
        <v>43430</v>
      </c>
      <c r="C109" s="1" t="n">
        <v>45360</v>
      </c>
      <c r="D109" t="inlineStr">
        <is>
          <t>ÖREBRO LÄN</t>
        </is>
      </c>
      <c r="E109" t="inlineStr">
        <is>
          <t>ÖREBRO</t>
        </is>
      </c>
      <c r="G109" t="n">
        <v>0.4</v>
      </c>
      <c r="H109" t="n">
        <v>0</v>
      </c>
      <c r="I109" t="n">
        <v>0</v>
      </c>
      <c r="J109" t="n">
        <v>0</v>
      </c>
      <c r="K109" t="n">
        <v>0</v>
      </c>
      <c r="L109" t="n">
        <v>0</v>
      </c>
      <c r="M109" t="n">
        <v>0</v>
      </c>
      <c r="N109" t="n">
        <v>0</v>
      </c>
      <c r="O109" t="n">
        <v>0</v>
      </c>
      <c r="P109" t="n">
        <v>0</v>
      </c>
      <c r="Q109" t="n">
        <v>0</v>
      </c>
      <c r="R109" s="2" t="inlineStr"/>
    </row>
    <row r="110" ht="15" customHeight="1">
      <c r="A110" t="inlineStr">
        <is>
          <t>A 63892-2018</t>
        </is>
      </c>
      <c r="B110" s="1" t="n">
        <v>43430</v>
      </c>
      <c r="C110" s="1" t="n">
        <v>45360</v>
      </c>
      <c r="D110" t="inlineStr">
        <is>
          <t>ÖREBRO LÄN</t>
        </is>
      </c>
      <c r="E110" t="inlineStr">
        <is>
          <t>ÖREBRO</t>
        </is>
      </c>
      <c r="G110" t="n">
        <v>2.9</v>
      </c>
      <c r="H110" t="n">
        <v>0</v>
      </c>
      <c r="I110" t="n">
        <v>0</v>
      </c>
      <c r="J110" t="n">
        <v>0</v>
      </c>
      <c r="K110" t="n">
        <v>0</v>
      </c>
      <c r="L110" t="n">
        <v>0</v>
      </c>
      <c r="M110" t="n">
        <v>0</v>
      </c>
      <c r="N110" t="n">
        <v>0</v>
      </c>
      <c r="O110" t="n">
        <v>0</v>
      </c>
      <c r="P110" t="n">
        <v>0</v>
      </c>
      <c r="Q110" t="n">
        <v>0</v>
      </c>
      <c r="R110" s="2" t="inlineStr"/>
    </row>
    <row r="111" ht="15" customHeight="1">
      <c r="A111" t="inlineStr">
        <is>
          <t>A 63832-2018</t>
        </is>
      </c>
      <c r="B111" s="1" t="n">
        <v>43430</v>
      </c>
      <c r="C111" s="1" t="n">
        <v>45360</v>
      </c>
      <c r="D111" t="inlineStr">
        <is>
          <t>ÖREBRO LÄN</t>
        </is>
      </c>
      <c r="E111" t="inlineStr">
        <is>
          <t>ÖREBRO</t>
        </is>
      </c>
      <c r="G111" t="n">
        <v>2</v>
      </c>
      <c r="H111" t="n">
        <v>0</v>
      </c>
      <c r="I111" t="n">
        <v>0</v>
      </c>
      <c r="J111" t="n">
        <v>0</v>
      </c>
      <c r="K111" t="n">
        <v>0</v>
      </c>
      <c r="L111" t="n">
        <v>0</v>
      </c>
      <c r="M111" t="n">
        <v>0</v>
      </c>
      <c r="N111" t="n">
        <v>0</v>
      </c>
      <c r="O111" t="n">
        <v>0</v>
      </c>
      <c r="P111" t="n">
        <v>0</v>
      </c>
      <c r="Q111" t="n">
        <v>0</v>
      </c>
      <c r="R111" s="2" t="inlineStr"/>
    </row>
    <row r="112" ht="15" customHeight="1">
      <c r="A112" t="inlineStr">
        <is>
          <t>A 68096-2018</t>
        </is>
      </c>
      <c r="B112" s="1" t="n">
        <v>43433</v>
      </c>
      <c r="C112" s="1" t="n">
        <v>45360</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row>
    <row r="113" ht="15" customHeight="1">
      <c r="A113" t="inlineStr">
        <is>
          <t>A 66348-2018</t>
        </is>
      </c>
      <c r="B113" s="1" t="n">
        <v>43436</v>
      </c>
      <c r="C113" s="1" t="n">
        <v>45360</v>
      </c>
      <c r="D113" t="inlineStr">
        <is>
          <t>ÖREBRO LÄN</t>
        </is>
      </c>
      <c r="E113" t="inlineStr">
        <is>
          <t>ÖREBRO</t>
        </is>
      </c>
      <c r="G113" t="n">
        <v>4.3</v>
      </c>
      <c r="H113" t="n">
        <v>0</v>
      </c>
      <c r="I113" t="n">
        <v>0</v>
      </c>
      <c r="J113" t="n">
        <v>0</v>
      </c>
      <c r="K113" t="n">
        <v>0</v>
      </c>
      <c r="L113" t="n">
        <v>0</v>
      </c>
      <c r="M113" t="n">
        <v>0</v>
      </c>
      <c r="N113" t="n">
        <v>0</v>
      </c>
      <c r="O113" t="n">
        <v>0</v>
      </c>
      <c r="P113" t="n">
        <v>0</v>
      </c>
      <c r="Q113" t="n">
        <v>0</v>
      </c>
      <c r="R113" s="2" t="inlineStr"/>
    </row>
    <row r="114" ht="15" customHeight="1">
      <c r="A114" t="inlineStr">
        <is>
          <t>A 66557-2018</t>
        </is>
      </c>
      <c r="B114" s="1" t="n">
        <v>43437</v>
      </c>
      <c r="C114" s="1" t="n">
        <v>45360</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68392-2018</t>
        </is>
      </c>
      <c r="B115" s="1" t="n">
        <v>43438</v>
      </c>
      <c r="C115" s="1" t="n">
        <v>45360</v>
      </c>
      <c r="D115" t="inlineStr">
        <is>
          <t>ÖREBRO LÄN</t>
        </is>
      </c>
      <c r="E115" t="inlineStr">
        <is>
          <t>ÖREBRO</t>
        </is>
      </c>
      <c r="G115" t="n">
        <v>6.6</v>
      </c>
      <c r="H115" t="n">
        <v>0</v>
      </c>
      <c r="I115" t="n">
        <v>0</v>
      </c>
      <c r="J115" t="n">
        <v>0</v>
      </c>
      <c r="K115" t="n">
        <v>0</v>
      </c>
      <c r="L115" t="n">
        <v>0</v>
      </c>
      <c r="M115" t="n">
        <v>0</v>
      </c>
      <c r="N115" t="n">
        <v>0</v>
      </c>
      <c r="O115" t="n">
        <v>0</v>
      </c>
      <c r="P115" t="n">
        <v>0</v>
      </c>
      <c r="Q115" t="n">
        <v>0</v>
      </c>
      <c r="R115" s="2" t="inlineStr"/>
    </row>
    <row r="116" ht="15" customHeight="1">
      <c r="A116" t="inlineStr">
        <is>
          <t>A 68387-2018</t>
        </is>
      </c>
      <c r="B116" s="1" t="n">
        <v>43438</v>
      </c>
      <c r="C116" s="1" t="n">
        <v>45360</v>
      </c>
      <c r="D116" t="inlineStr">
        <is>
          <t>ÖREBRO LÄN</t>
        </is>
      </c>
      <c r="E116" t="inlineStr">
        <is>
          <t>ÖREBRO</t>
        </is>
      </c>
      <c r="G116" t="n">
        <v>3.2</v>
      </c>
      <c r="H116" t="n">
        <v>0</v>
      </c>
      <c r="I116" t="n">
        <v>0</v>
      </c>
      <c r="J116" t="n">
        <v>0</v>
      </c>
      <c r="K116" t="n">
        <v>0</v>
      </c>
      <c r="L116" t="n">
        <v>0</v>
      </c>
      <c r="M116" t="n">
        <v>0</v>
      </c>
      <c r="N116" t="n">
        <v>0</v>
      </c>
      <c r="O116" t="n">
        <v>0</v>
      </c>
      <c r="P116" t="n">
        <v>0</v>
      </c>
      <c r="Q116" t="n">
        <v>0</v>
      </c>
      <c r="R116" s="2" t="inlineStr"/>
    </row>
    <row r="117" ht="15" customHeight="1">
      <c r="A117" t="inlineStr">
        <is>
          <t>A 69006-2018</t>
        </is>
      </c>
      <c r="B117" s="1" t="n">
        <v>43440</v>
      </c>
      <c r="C117" s="1" t="n">
        <v>45360</v>
      </c>
      <c r="D117" t="inlineStr">
        <is>
          <t>ÖREBRO LÄN</t>
        </is>
      </c>
      <c r="E117" t="inlineStr">
        <is>
          <t>ÖREBRO</t>
        </is>
      </c>
      <c r="G117" t="n">
        <v>4.1</v>
      </c>
      <c r="H117" t="n">
        <v>0</v>
      </c>
      <c r="I117" t="n">
        <v>0</v>
      </c>
      <c r="J117" t="n">
        <v>0</v>
      </c>
      <c r="K117" t="n">
        <v>0</v>
      </c>
      <c r="L117" t="n">
        <v>0</v>
      </c>
      <c r="M117" t="n">
        <v>0</v>
      </c>
      <c r="N117" t="n">
        <v>0</v>
      </c>
      <c r="O117" t="n">
        <v>0</v>
      </c>
      <c r="P117" t="n">
        <v>0</v>
      </c>
      <c r="Q117" t="n">
        <v>0</v>
      </c>
      <c r="R117" s="2" t="inlineStr"/>
    </row>
    <row r="118" ht="15" customHeight="1">
      <c r="A118" t="inlineStr">
        <is>
          <t>A 68323-2018</t>
        </is>
      </c>
      <c r="B118" s="1" t="n">
        <v>43441</v>
      </c>
      <c r="C118" s="1" t="n">
        <v>45360</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68681-2018</t>
        </is>
      </c>
      <c r="B119" s="1" t="n">
        <v>43444</v>
      </c>
      <c r="C119" s="1" t="n">
        <v>45360</v>
      </c>
      <c r="D119" t="inlineStr">
        <is>
          <t>ÖREBRO LÄN</t>
        </is>
      </c>
      <c r="E119" t="inlineStr">
        <is>
          <t>ÖREBRO</t>
        </is>
      </c>
      <c r="G119" t="n">
        <v>0.6</v>
      </c>
      <c r="H119" t="n">
        <v>0</v>
      </c>
      <c r="I119" t="n">
        <v>0</v>
      </c>
      <c r="J119" t="n">
        <v>0</v>
      </c>
      <c r="K119" t="n">
        <v>0</v>
      </c>
      <c r="L119" t="n">
        <v>0</v>
      </c>
      <c r="M119" t="n">
        <v>0</v>
      </c>
      <c r="N119" t="n">
        <v>0</v>
      </c>
      <c r="O119" t="n">
        <v>0</v>
      </c>
      <c r="P119" t="n">
        <v>0</v>
      </c>
      <c r="Q119" t="n">
        <v>0</v>
      </c>
      <c r="R119" s="2" t="inlineStr"/>
    </row>
    <row r="120" ht="15" customHeight="1">
      <c r="A120" t="inlineStr">
        <is>
          <t>A 69411-2018</t>
        </is>
      </c>
      <c r="B120" s="1" t="n">
        <v>43446</v>
      </c>
      <c r="C120" s="1" t="n">
        <v>45360</v>
      </c>
      <c r="D120" t="inlineStr">
        <is>
          <t>ÖREBRO LÄN</t>
        </is>
      </c>
      <c r="E120" t="inlineStr">
        <is>
          <t>ÖREBRO</t>
        </is>
      </c>
      <c r="G120" t="n">
        <v>11.4</v>
      </c>
      <c r="H120" t="n">
        <v>0</v>
      </c>
      <c r="I120" t="n">
        <v>0</v>
      </c>
      <c r="J120" t="n">
        <v>0</v>
      </c>
      <c r="K120" t="n">
        <v>0</v>
      </c>
      <c r="L120" t="n">
        <v>0</v>
      </c>
      <c r="M120" t="n">
        <v>0</v>
      </c>
      <c r="N120" t="n">
        <v>0</v>
      </c>
      <c r="O120" t="n">
        <v>0</v>
      </c>
      <c r="P120" t="n">
        <v>0</v>
      </c>
      <c r="Q120" t="n">
        <v>0</v>
      </c>
      <c r="R120" s="2" t="inlineStr"/>
    </row>
    <row r="121" ht="15" customHeight="1">
      <c r="A121" t="inlineStr">
        <is>
          <t>A 69263-2018</t>
        </is>
      </c>
      <c r="B121" s="1" t="n">
        <v>43446</v>
      </c>
      <c r="C121" s="1" t="n">
        <v>45360</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70397-2018</t>
        </is>
      </c>
      <c r="B122" s="1" t="n">
        <v>43446</v>
      </c>
      <c r="C122" s="1" t="n">
        <v>45360</v>
      </c>
      <c r="D122" t="inlineStr">
        <is>
          <t>ÖREBRO LÄN</t>
        </is>
      </c>
      <c r="E122" t="inlineStr">
        <is>
          <t>ÖREBRO</t>
        </is>
      </c>
      <c r="G122" t="n">
        <v>2.7</v>
      </c>
      <c r="H122" t="n">
        <v>0</v>
      </c>
      <c r="I122" t="n">
        <v>0</v>
      </c>
      <c r="J122" t="n">
        <v>0</v>
      </c>
      <c r="K122" t="n">
        <v>0</v>
      </c>
      <c r="L122" t="n">
        <v>0</v>
      </c>
      <c r="M122" t="n">
        <v>0</v>
      </c>
      <c r="N122" t="n">
        <v>0</v>
      </c>
      <c r="O122" t="n">
        <v>0</v>
      </c>
      <c r="P122" t="n">
        <v>0</v>
      </c>
      <c r="Q122" t="n">
        <v>0</v>
      </c>
      <c r="R122" s="2" t="inlineStr"/>
    </row>
    <row r="123" ht="15" customHeight="1">
      <c r="A123" t="inlineStr">
        <is>
          <t>A 69272-2018</t>
        </is>
      </c>
      <c r="B123" s="1" t="n">
        <v>43446</v>
      </c>
      <c r="C123" s="1" t="n">
        <v>45360</v>
      </c>
      <c r="D123" t="inlineStr">
        <is>
          <t>ÖREBRO LÄN</t>
        </is>
      </c>
      <c r="E123" t="inlineStr">
        <is>
          <t>ÖREBRO</t>
        </is>
      </c>
      <c r="G123" t="n">
        <v>6</v>
      </c>
      <c r="H123" t="n">
        <v>0</v>
      </c>
      <c r="I123" t="n">
        <v>0</v>
      </c>
      <c r="J123" t="n">
        <v>0</v>
      </c>
      <c r="K123" t="n">
        <v>0</v>
      </c>
      <c r="L123" t="n">
        <v>0</v>
      </c>
      <c r="M123" t="n">
        <v>0</v>
      </c>
      <c r="N123" t="n">
        <v>0</v>
      </c>
      <c r="O123" t="n">
        <v>0</v>
      </c>
      <c r="P123" t="n">
        <v>0</v>
      </c>
      <c r="Q123" t="n">
        <v>0</v>
      </c>
      <c r="R123" s="2" t="inlineStr"/>
    </row>
    <row r="124" ht="15" customHeight="1">
      <c r="A124" t="inlineStr">
        <is>
          <t>A 69661-2018</t>
        </is>
      </c>
      <c r="B124" s="1" t="n">
        <v>43447</v>
      </c>
      <c r="C124" s="1" t="n">
        <v>45360</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69641-2018</t>
        </is>
      </c>
      <c r="B125" s="1" t="n">
        <v>43447</v>
      </c>
      <c r="C125" s="1" t="n">
        <v>45360</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69636-2018</t>
        </is>
      </c>
      <c r="B126" s="1" t="n">
        <v>43447</v>
      </c>
      <c r="C126" s="1" t="n">
        <v>45360</v>
      </c>
      <c r="D126" t="inlineStr">
        <is>
          <t>ÖREBRO LÄN</t>
        </is>
      </c>
      <c r="E126" t="inlineStr">
        <is>
          <t>ÖREBRO</t>
        </is>
      </c>
      <c r="G126" t="n">
        <v>9.5</v>
      </c>
      <c r="H126" t="n">
        <v>0</v>
      </c>
      <c r="I126" t="n">
        <v>0</v>
      </c>
      <c r="J126" t="n">
        <v>0</v>
      </c>
      <c r="K126" t="n">
        <v>0</v>
      </c>
      <c r="L126" t="n">
        <v>0</v>
      </c>
      <c r="M126" t="n">
        <v>0</v>
      </c>
      <c r="N126" t="n">
        <v>0</v>
      </c>
      <c r="O126" t="n">
        <v>0</v>
      </c>
      <c r="P126" t="n">
        <v>0</v>
      </c>
      <c r="Q126" t="n">
        <v>0</v>
      </c>
      <c r="R126" s="2" t="inlineStr"/>
    </row>
    <row r="127" ht="15" customHeight="1">
      <c r="A127" t="inlineStr">
        <is>
          <t>A 69621-2018</t>
        </is>
      </c>
      <c r="B127" s="1" t="n">
        <v>43447</v>
      </c>
      <c r="C127" s="1" t="n">
        <v>45360</v>
      </c>
      <c r="D127" t="inlineStr">
        <is>
          <t>ÖREBRO LÄN</t>
        </is>
      </c>
      <c r="E127" t="inlineStr">
        <is>
          <t>ÖREBRO</t>
        </is>
      </c>
      <c r="G127" t="n">
        <v>5.2</v>
      </c>
      <c r="H127" t="n">
        <v>0</v>
      </c>
      <c r="I127" t="n">
        <v>0</v>
      </c>
      <c r="J127" t="n">
        <v>0</v>
      </c>
      <c r="K127" t="n">
        <v>0</v>
      </c>
      <c r="L127" t="n">
        <v>0</v>
      </c>
      <c r="M127" t="n">
        <v>0</v>
      </c>
      <c r="N127" t="n">
        <v>0</v>
      </c>
      <c r="O127" t="n">
        <v>0</v>
      </c>
      <c r="P127" t="n">
        <v>0</v>
      </c>
      <c r="Q127" t="n">
        <v>0</v>
      </c>
      <c r="R127" s="2" t="inlineStr"/>
    </row>
    <row r="128" ht="15" customHeight="1">
      <c r="A128" t="inlineStr">
        <is>
          <t>A 70666-2018</t>
        </is>
      </c>
      <c r="B128" s="1" t="n">
        <v>43447</v>
      </c>
      <c r="C128" s="1" t="n">
        <v>45360</v>
      </c>
      <c r="D128" t="inlineStr">
        <is>
          <t>ÖREBRO LÄN</t>
        </is>
      </c>
      <c r="E128" t="inlineStr">
        <is>
          <t>ÖREBRO</t>
        </is>
      </c>
      <c r="F128" t="inlineStr">
        <is>
          <t>Kommuner</t>
        </is>
      </c>
      <c r="G128" t="n">
        <v>10</v>
      </c>
      <c r="H128" t="n">
        <v>0</v>
      </c>
      <c r="I128" t="n">
        <v>0</v>
      </c>
      <c r="J128" t="n">
        <v>0</v>
      </c>
      <c r="K128" t="n">
        <v>0</v>
      </c>
      <c r="L128" t="n">
        <v>0</v>
      </c>
      <c r="M128" t="n">
        <v>0</v>
      </c>
      <c r="N128" t="n">
        <v>0</v>
      </c>
      <c r="O128" t="n">
        <v>0</v>
      </c>
      <c r="P128" t="n">
        <v>0</v>
      </c>
      <c r="Q128" t="n">
        <v>0</v>
      </c>
      <c r="R128" s="2" t="inlineStr"/>
    </row>
    <row r="129" ht="15" customHeight="1">
      <c r="A129" t="inlineStr">
        <is>
          <t>A 69911-2018</t>
        </is>
      </c>
      <c r="B129" s="1" t="n">
        <v>43447</v>
      </c>
      <c r="C129" s="1" t="n">
        <v>45360</v>
      </c>
      <c r="D129" t="inlineStr">
        <is>
          <t>ÖREBRO LÄN</t>
        </is>
      </c>
      <c r="E129" t="inlineStr">
        <is>
          <t>ÖREBRO</t>
        </is>
      </c>
      <c r="F129" t="inlineStr">
        <is>
          <t>Övriga Aktiebolag</t>
        </is>
      </c>
      <c r="G129" t="n">
        <v>5.8</v>
      </c>
      <c r="H129" t="n">
        <v>0</v>
      </c>
      <c r="I129" t="n">
        <v>0</v>
      </c>
      <c r="J129" t="n">
        <v>0</v>
      </c>
      <c r="K129" t="n">
        <v>0</v>
      </c>
      <c r="L129" t="n">
        <v>0</v>
      </c>
      <c r="M129" t="n">
        <v>0</v>
      </c>
      <c r="N129" t="n">
        <v>0</v>
      </c>
      <c r="O129" t="n">
        <v>0</v>
      </c>
      <c r="P129" t="n">
        <v>0</v>
      </c>
      <c r="Q129" t="n">
        <v>0</v>
      </c>
      <c r="R129" s="2" t="inlineStr"/>
    </row>
    <row r="130" ht="15" customHeight="1">
      <c r="A130" t="inlineStr">
        <is>
          <t>A 70579-2018</t>
        </is>
      </c>
      <c r="B130" s="1" t="n">
        <v>43451</v>
      </c>
      <c r="C130" s="1" t="n">
        <v>45360</v>
      </c>
      <c r="D130" t="inlineStr">
        <is>
          <t>ÖREBRO LÄN</t>
        </is>
      </c>
      <c r="E130" t="inlineStr">
        <is>
          <t>ÖREBRO</t>
        </is>
      </c>
      <c r="G130" t="n">
        <v>8.699999999999999</v>
      </c>
      <c r="H130" t="n">
        <v>0</v>
      </c>
      <c r="I130" t="n">
        <v>0</v>
      </c>
      <c r="J130" t="n">
        <v>0</v>
      </c>
      <c r="K130" t="n">
        <v>0</v>
      </c>
      <c r="L130" t="n">
        <v>0</v>
      </c>
      <c r="M130" t="n">
        <v>0</v>
      </c>
      <c r="N130" t="n">
        <v>0</v>
      </c>
      <c r="O130" t="n">
        <v>0</v>
      </c>
      <c r="P130" t="n">
        <v>0</v>
      </c>
      <c r="Q130" t="n">
        <v>0</v>
      </c>
      <c r="R130" s="2" t="inlineStr"/>
    </row>
    <row r="131" ht="15" customHeight="1">
      <c r="A131" t="inlineStr">
        <is>
          <t>A 70594-2018</t>
        </is>
      </c>
      <c r="B131" s="1" t="n">
        <v>43451</v>
      </c>
      <c r="C131" s="1" t="n">
        <v>45360</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71028-2018</t>
        </is>
      </c>
      <c r="B132" s="1" t="n">
        <v>43452</v>
      </c>
      <c r="C132" s="1" t="n">
        <v>45360</v>
      </c>
      <c r="D132" t="inlineStr">
        <is>
          <t>ÖREBRO LÄN</t>
        </is>
      </c>
      <c r="E132" t="inlineStr">
        <is>
          <t>ÖREBRO</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365-2019</t>
        </is>
      </c>
      <c r="B133" s="1" t="n">
        <v>43454</v>
      </c>
      <c r="C133" s="1" t="n">
        <v>45360</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371-2019</t>
        </is>
      </c>
      <c r="B134" s="1" t="n">
        <v>43454</v>
      </c>
      <c r="C134" s="1" t="n">
        <v>45360</v>
      </c>
      <c r="D134" t="inlineStr">
        <is>
          <t>ÖREBRO LÄN</t>
        </is>
      </c>
      <c r="E134" t="inlineStr">
        <is>
          <t>ÖREBRO</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72288-2018</t>
        </is>
      </c>
      <c r="B135" s="1" t="n">
        <v>43455</v>
      </c>
      <c r="C135" s="1" t="n">
        <v>45360</v>
      </c>
      <c r="D135" t="inlineStr">
        <is>
          <t>ÖREBRO LÄN</t>
        </is>
      </c>
      <c r="E135" t="inlineStr">
        <is>
          <t>ÖREBRO</t>
        </is>
      </c>
      <c r="G135" t="n">
        <v>8.699999999999999</v>
      </c>
      <c r="H135" t="n">
        <v>0</v>
      </c>
      <c r="I135" t="n">
        <v>0</v>
      </c>
      <c r="J135" t="n">
        <v>0</v>
      </c>
      <c r="K135" t="n">
        <v>0</v>
      </c>
      <c r="L135" t="n">
        <v>0</v>
      </c>
      <c r="M135" t="n">
        <v>0</v>
      </c>
      <c r="N135" t="n">
        <v>0</v>
      </c>
      <c r="O135" t="n">
        <v>0</v>
      </c>
      <c r="P135" t="n">
        <v>0</v>
      </c>
      <c r="Q135" t="n">
        <v>0</v>
      </c>
      <c r="R135" s="2" t="inlineStr"/>
    </row>
    <row r="136" ht="15" customHeight="1">
      <c r="A136" t="inlineStr">
        <is>
          <t>A 1491-2019</t>
        </is>
      </c>
      <c r="B136" s="1" t="n">
        <v>43473</v>
      </c>
      <c r="C136" s="1" t="n">
        <v>45360</v>
      </c>
      <c r="D136" t="inlineStr">
        <is>
          <t>ÖREBRO LÄN</t>
        </is>
      </c>
      <c r="E136" t="inlineStr">
        <is>
          <t>ÖREBRO</t>
        </is>
      </c>
      <c r="G136" t="n">
        <v>3.6</v>
      </c>
      <c r="H136" t="n">
        <v>0</v>
      </c>
      <c r="I136" t="n">
        <v>0</v>
      </c>
      <c r="J136" t="n">
        <v>0</v>
      </c>
      <c r="K136" t="n">
        <v>0</v>
      </c>
      <c r="L136" t="n">
        <v>0</v>
      </c>
      <c r="M136" t="n">
        <v>0</v>
      </c>
      <c r="N136" t="n">
        <v>0</v>
      </c>
      <c r="O136" t="n">
        <v>0</v>
      </c>
      <c r="P136" t="n">
        <v>0</v>
      </c>
      <c r="Q136" t="n">
        <v>0</v>
      </c>
      <c r="R136" s="2" t="inlineStr"/>
    </row>
    <row r="137" ht="15" customHeight="1">
      <c r="A137" t="inlineStr">
        <is>
          <t>A 4183-2019</t>
        </is>
      </c>
      <c r="B137" s="1" t="n">
        <v>43476</v>
      </c>
      <c r="C137" s="1" t="n">
        <v>45360</v>
      </c>
      <c r="D137" t="inlineStr">
        <is>
          <t>ÖREBRO LÄN</t>
        </is>
      </c>
      <c r="E137" t="inlineStr">
        <is>
          <t>ÖREBRO</t>
        </is>
      </c>
      <c r="G137" t="n">
        <v>8.6</v>
      </c>
      <c r="H137" t="n">
        <v>0</v>
      </c>
      <c r="I137" t="n">
        <v>0</v>
      </c>
      <c r="J137" t="n">
        <v>0</v>
      </c>
      <c r="K137" t="n">
        <v>0</v>
      </c>
      <c r="L137" t="n">
        <v>0</v>
      </c>
      <c r="M137" t="n">
        <v>0</v>
      </c>
      <c r="N137" t="n">
        <v>0</v>
      </c>
      <c r="O137" t="n">
        <v>0</v>
      </c>
      <c r="P137" t="n">
        <v>0</v>
      </c>
      <c r="Q137" t="n">
        <v>0</v>
      </c>
      <c r="R137" s="2" t="inlineStr"/>
    </row>
    <row r="138" ht="15" customHeight="1">
      <c r="A138" t="inlineStr">
        <is>
          <t>A 3381-2019</t>
        </is>
      </c>
      <c r="B138" s="1" t="n">
        <v>43480</v>
      </c>
      <c r="C138" s="1" t="n">
        <v>45360</v>
      </c>
      <c r="D138" t="inlineStr">
        <is>
          <t>ÖREBRO LÄN</t>
        </is>
      </c>
      <c r="E138" t="inlineStr">
        <is>
          <t>ÖREBRO</t>
        </is>
      </c>
      <c r="G138" t="n">
        <v>14.8</v>
      </c>
      <c r="H138" t="n">
        <v>0</v>
      </c>
      <c r="I138" t="n">
        <v>0</v>
      </c>
      <c r="J138" t="n">
        <v>0</v>
      </c>
      <c r="K138" t="n">
        <v>0</v>
      </c>
      <c r="L138" t="n">
        <v>0</v>
      </c>
      <c r="M138" t="n">
        <v>0</v>
      </c>
      <c r="N138" t="n">
        <v>0</v>
      </c>
      <c r="O138" t="n">
        <v>0</v>
      </c>
      <c r="P138" t="n">
        <v>0</v>
      </c>
      <c r="Q138" t="n">
        <v>0</v>
      </c>
      <c r="R138" s="2" t="inlineStr"/>
    </row>
    <row r="139" ht="15" customHeight="1">
      <c r="A139" t="inlineStr">
        <is>
          <t>A 3760-2019</t>
        </is>
      </c>
      <c r="B139" s="1" t="n">
        <v>43481</v>
      </c>
      <c r="C139" s="1" t="n">
        <v>45360</v>
      </c>
      <c r="D139" t="inlineStr">
        <is>
          <t>ÖREBRO LÄN</t>
        </is>
      </c>
      <c r="E139" t="inlineStr">
        <is>
          <t>ÖREBRO</t>
        </is>
      </c>
      <c r="G139" t="n">
        <v>1.1</v>
      </c>
      <c r="H139" t="n">
        <v>0</v>
      </c>
      <c r="I139" t="n">
        <v>0</v>
      </c>
      <c r="J139" t="n">
        <v>0</v>
      </c>
      <c r="K139" t="n">
        <v>0</v>
      </c>
      <c r="L139" t="n">
        <v>0</v>
      </c>
      <c r="M139" t="n">
        <v>0</v>
      </c>
      <c r="N139" t="n">
        <v>0</v>
      </c>
      <c r="O139" t="n">
        <v>0</v>
      </c>
      <c r="P139" t="n">
        <v>0</v>
      </c>
      <c r="Q139" t="n">
        <v>0</v>
      </c>
      <c r="R139" s="2" t="inlineStr"/>
    </row>
    <row r="140" ht="15" customHeight="1">
      <c r="A140" t="inlineStr">
        <is>
          <t>A 3762-2019</t>
        </is>
      </c>
      <c r="B140" s="1" t="n">
        <v>43481</v>
      </c>
      <c r="C140" s="1" t="n">
        <v>45360</v>
      </c>
      <c r="D140" t="inlineStr">
        <is>
          <t>ÖREBRO LÄN</t>
        </is>
      </c>
      <c r="E140" t="inlineStr">
        <is>
          <t>ÖREBRO</t>
        </is>
      </c>
      <c r="G140" t="n">
        <v>1.9</v>
      </c>
      <c r="H140" t="n">
        <v>0</v>
      </c>
      <c r="I140" t="n">
        <v>0</v>
      </c>
      <c r="J140" t="n">
        <v>0</v>
      </c>
      <c r="K140" t="n">
        <v>0</v>
      </c>
      <c r="L140" t="n">
        <v>0</v>
      </c>
      <c r="M140" t="n">
        <v>0</v>
      </c>
      <c r="N140" t="n">
        <v>0</v>
      </c>
      <c r="O140" t="n">
        <v>0</v>
      </c>
      <c r="P140" t="n">
        <v>0</v>
      </c>
      <c r="Q140" t="n">
        <v>0</v>
      </c>
      <c r="R140" s="2" t="inlineStr"/>
    </row>
    <row r="141" ht="15" customHeight="1">
      <c r="A141" t="inlineStr">
        <is>
          <t>A 3913-2019</t>
        </is>
      </c>
      <c r="B141" s="1" t="n">
        <v>43482</v>
      </c>
      <c r="C141" s="1" t="n">
        <v>45360</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3944-2019</t>
        </is>
      </c>
      <c r="B142" s="1" t="n">
        <v>43482</v>
      </c>
      <c r="C142" s="1" t="n">
        <v>45360</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4577-2019</t>
        </is>
      </c>
      <c r="B143" s="1" t="n">
        <v>43486</v>
      </c>
      <c r="C143" s="1" t="n">
        <v>45360</v>
      </c>
      <c r="D143" t="inlineStr">
        <is>
          <t>ÖREBRO LÄN</t>
        </is>
      </c>
      <c r="E143" t="inlineStr">
        <is>
          <t>ÖREBRO</t>
        </is>
      </c>
      <c r="F143" t="inlineStr">
        <is>
          <t>Allmännings- och besparingsskogar</t>
        </is>
      </c>
      <c r="G143" t="n">
        <v>16.5</v>
      </c>
      <c r="H143" t="n">
        <v>0</v>
      </c>
      <c r="I143" t="n">
        <v>0</v>
      </c>
      <c r="J143" t="n">
        <v>0</v>
      </c>
      <c r="K143" t="n">
        <v>0</v>
      </c>
      <c r="L143" t="n">
        <v>0</v>
      </c>
      <c r="M143" t="n">
        <v>0</v>
      </c>
      <c r="N143" t="n">
        <v>0</v>
      </c>
      <c r="O143" t="n">
        <v>0</v>
      </c>
      <c r="P143" t="n">
        <v>0</v>
      </c>
      <c r="Q143" t="n">
        <v>0</v>
      </c>
      <c r="R143" s="2" t="inlineStr"/>
    </row>
    <row r="144" ht="15" customHeight="1">
      <c r="A144" t="inlineStr">
        <is>
          <t>A 4671-2019</t>
        </is>
      </c>
      <c r="B144" s="1" t="n">
        <v>43486</v>
      </c>
      <c r="C144" s="1" t="n">
        <v>45360</v>
      </c>
      <c r="D144" t="inlineStr">
        <is>
          <t>ÖREBRO LÄN</t>
        </is>
      </c>
      <c r="E144" t="inlineStr">
        <is>
          <t>ÖREBRO</t>
        </is>
      </c>
      <c r="F144" t="inlineStr">
        <is>
          <t>Allmännings- och besparingsskogar</t>
        </is>
      </c>
      <c r="G144" t="n">
        <v>2.1</v>
      </c>
      <c r="H144" t="n">
        <v>0</v>
      </c>
      <c r="I144" t="n">
        <v>0</v>
      </c>
      <c r="J144" t="n">
        <v>0</v>
      </c>
      <c r="K144" t="n">
        <v>0</v>
      </c>
      <c r="L144" t="n">
        <v>0</v>
      </c>
      <c r="M144" t="n">
        <v>0</v>
      </c>
      <c r="N144" t="n">
        <v>0</v>
      </c>
      <c r="O144" t="n">
        <v>0</v>
      </c>
      <c r="P144" t="n">
        <v>0</v>
      </c>
      <c r="Q144" t="n">
        <v>0</v>
      </c>
      <c r="R144" s="2" t="inlineStr"/>
    </row>
    <row r="145" ht="15" customHeight="1">
      <c r="A145" t="inlineStr">
        <is>
          <t>A 4612-2019</t>
        </is>
      </c>
      <c r="B145" s="1" t="n">
        <v>43486</v>
      </c>
      <c r="C145" s="1" t="n">
        <v>45360</v>
      </c>
      <c r="D145" t="inlineStr">
        <is>
          <t>ÖREBRO LÄN</t>
        </is>
      </c>
      <c r="E145" t="inlineStr">
        <is>
          <t>ÖREBRO</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4563-2019</t>
        </is>
      </c>
      <c r="B146" s="1" t="n">
        <v>43486</v>
      </c>
      <c r="C146" s="1" t="n">
        <v>45360</v>
      </c>
      <c r="D146" t="inlineStr">
        <is>
          <t>ÖREBRO LÄN</t>
        </is>
      </c>
      <c r="E146" t="inlineStr">
        <is>
          <t>ÖREBRO</t>
        </is>
      </c>
      <c r="F146" t="inlineStr">
        <is>
          <t>Allmännings- och besparingsskogar</t>
        </is>
      </c>
      <c r="G146" t="n">
        <v>14.5</v>
      </c>
      <c r="H146" t="n">
        <v>0</v>
      </c>
      <c r="I146" t="n">
        <v>0</v>
      </c>
      <c r="J146" t="n">
        <v>0</v>
      </c>
      <c r="K146" t="n">
        <v>0</v>
      </c>
      <c r="L146" t="n">
        <v>0</v>
      </c>
      <c r="M146" t="n">
        <v>0</v>
      </c>
      <c r="N146" t="n">
        <v>0</v>
      </c>
      <c r="O146" t="n">
        <v>0</v>
      </c>
      <c r="P146" t="n">
        <v>0</v>
      </c>
      <c r="Q146" t="n">
        <v>0</v>
      </c>
      <c r="R146" s="2" t="inlineStr"/>
    </row>
    <row r="147" ht="15" customHeight="1">
      <c r="A147" t="inlineStr">
        <is>
          <t>A 6943-2019</t>
        </is>
      </c>
      <c r="B147" s="1" t="n">
        <v>43489</v>
      </c>
      <c r="C147" s="1" t="n">
        <v>45360</v>
      </c>
      <c r="D147" t="inlineStr">
        <is>
          <t>ÖREBRO LÄN</t>
        </is>
      </c>
      <c r="E147" t="inlineStr">
        <is>
          <t>ÖREBRO</t>
        </is>
      </c>
      <c r="G147" t="n">
        <v>3.3</v>
      </c>
      <c r="H147" t="n">
        <v>0</v>
      </c>
      <c r="I147" t="n">
        <v>0</v>
      </c>
      <c r="J147" t="n">
        <v>0</v>
      </c>
      <c r="K147" t="n">
        <v>0</v>
      </c>
      <c r="L147" t="n">
        <v>0</v>
      </c>
      <c r="M147" t="n">
        <v>0</v>
      </c>
      <c r="N147" t="n">
        <v>0</v>
      </c>
      <c r="O147" t="n">
        <v>0</v>
      </c>
      <c r="P147" t="n">
        <v>0</v>
      </c>
      <c r="Q147" t="n">
        <v>0</v>
      </c>
      <c r="R147" s="2" t="inlineStr"/>
    </row>
    <row r="148" ht="15" customHeight="1">
      <c r="A148" t="inlineStr">
        <is>
          <t>A 6687-2019</t>
        </is>
      </c>
      <c r="B148" s="1" t="n">
        <v>43494</v>
      </c>
      <c r="C148" s="1" t="n">
        <v>45360</v>
      </c>
      <c r="D148" t="inlineStr">
        <is>
          <t>ÖREBRO LÄN</t>
        </is>
      </c>
      <c r="E148" t="inlineStr">
        <is>
          <t>ÖREBRO</t>
        </is>
      </c>
      <c r="G148" t="n">
        <v>1.1</v>
      </c>
      <c r="H148" t="n">
        <v>0</v>
      </c>
      <c r="I148" t="n">
        <v>0</v>
      </c>
      <c r="J148" t="n">
        <v>0</v>
      </c>
      <c r="K148" t="n">
        <v>0</v>
      </c>
      <c r="L148" t="n">
        <v>0</v>
      </c>
      <c r="M148" t="n">
        <v>0</v>
      </c>
      <c r="N148" t="n">
        <v>0</v>
      </c>
      <c r="O148" t="n">
        <v>0</v>
      </c>
      <c r="P148" t="n">
        <v>0</v>
      </c>
      <c r="Q148" t="n">
        <v>0</v>
      </c>
      <c r="R148" s="2" t="inlineStr"/>
    </row>
    <row r="149" ht="15" customHeight="1">
      <c r="A149" t="inlineStr">
        <is>
          <t>A 6699-2019</t>
        </is>
      </c>
      <c r="B149" s="1" t="n">
        <v>43494</v>
      </c>
      <c r="C149" s="1" t="n">
        <v>45360</v>
      </c>
      <c r="D149" t="inlineStr">
        <is>
          <t>ÖREBRO LÄN</t>
        </is>
      </c>
      <c r="E149" t="inlineStr">
        <is>
          <t>ÖREBRO</t>
        </is>
      </c>
      <c r="G149" t="n">
        <v>1.7</v>
      </c>
      <c r="H149" t="n">
        <v>0</v>
      </c>
      <c r="I149" t="n">
        <v>0</v>
      </c>
      <c r="J149" t="n">
        <v>0</v>
      </c>
      <c r="K149" t="n">
        <v>0</v>
      </c>
      <c r="L149" t="n">
        <v>0</v>
      </c>
      <c r="M149" t="n">
        <v>0</v>
      </c>
      <c r="N149" t="n">
        <v>0</v>
      </c>
      <c r="O149" t="n">
        <v>0</v>
      </c>
      <c r="P149" t="n">
        <v>0</v>
      </c>
      <c r="Q149" t="n">
        <v>0</v>
      </c>
      <c r="R149" s="2" t="inlineStr"/>
    </row>
    <row r="150" ht="15" customHeight="1">
      <c r="A150" t="inlineStr">
        <is>
          <t>A 7006-2019</t>
        </is>
      </c>
      <c r="B150" s="1" t="n">
        <v>43495</v>
      </c>
      <c r="C150" s="1" t="n">
        <v>45360</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7000-2019</t>
        </is>
      </c>
      <c r="B151" s="1" t="n">
        <v>43495</v>
      </c>
      <c r="C151" s="1" t="n">
        <v>45360</v>
      </c>
      <c r="D151" t="inlineStr">
        <is>
          <t>ÖREBRO LÄN</t>
        </is>
      </c>
      <c r="E151" t="inlineStr">
        <is>
          <t>ÖREBRO</t>
        </is>
      </c>
      <c r="G151" t="n">
        <v>1</v>
      </c>
      <c r="H151" t="n">
        <v>0</v>
      </c>
      <c r="I151" t="n">
        <v>0</v>
      </c>
      <c r="J151" t="n">
        <v>0</v>
      </c>
      <c r="K151" t="n">
        <v>0</v>
      </c>
      <c r="L151" t="n">
        <v>0</v>
      </c>
      <c r="M151" t="n">
        <v>0</v>
      </c>
      <c r="N151" t="n">
        <v>0</v>
      </c>
      <c r="O151" t="n">
        <v>0</v>
      </c>
      <c r="P151" t="n">
        <v>0</v>
      </c>
      <c r="Q151" t="n">
        <v>0</v>
      </c>
      <c r="R151" s="2" t="inlineStr"/>
    </row>
    <row r="152" ht="15" customHeight="1">
      <c r="A152" t="inlineStr">
        <is>
          <t>A 7004-2019</t>
        </is>
      </c>
      <c r="B152" s="1" t="n">
        <v>43495</v>
      </c>
      <c r="C152" s="1" t="n">
        <v>45360</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6998-2019</t>
        </is>
      </c>
      <c r="B153" s="1" t="n">
        <v>43495</v>
      </c>
      <c r="C153" s="1" t="n">
        <v>45360</v>
      </c>
      <c r="D153" t="inlineStr">
        <is>
          <t>ÖREBRO LÄN</t>
        </is>
      </c>
      <c r="E153" t="inlineStr">
        <is>
          <t>ÖREBRO</t>
        </is>
      </c>
      <c r="G153" t="n">
        <v>3.2</v>
      </c>
      <c r="H153" t="n">
        <v>0</v>
      </c>
      <c r="I153" t="n">
        <v>0</v>
      </c>
      <c r="J153" t="n">
        <v>0</v>
      </c>
      <c r="K153" t="n">
        <v>0</v>
      </c>
      <c r="L153" t="n">
        <v>0</v>
      </c>
      <c r="M153" t="n">
        <v>0</v>
      </c>
      <c r="N153" t="n">
        <v>0</v>
      </c>
      <c r="O153" t="n">
        <v>0</v>
      </c>
      <c r="P153" t="n">
        <v>0</v>
      </c>
      <c r="Q153" t="n">
        <v>0</v>
      </c>
      <c r="R153" s="2" t="inlineStr"/>
    </row>
    <row r="154" ht="15" customHeight="1">
      <c r="A154" t="inlineStr">
        <is>
          <t>A 7002-2019</t>
        </is>
      </c>
      <c r="B154" s="1" t="n">
        <v>43495</v>
      </c>
      <c r="C154" s="1" t="n">
        <v>45360</v>
      </c>
      <c r="D154" t="inlineStr">
        <is>
          <t>ÖREBRO LÄN</t>
        </is>
      </c>
      <c r="E154" t="inlineStr">
        <is>
          <t>ÖREBRO</t>
        </is>
      </c>
      <c r="G154" t="n">
        <v>2</v>
      </c>
      <c r="H154" t="n">
        <v>0</v>
      </c>
      <c r="I154" t="n">
        <v>0</v>
      </c>
      <c r="J154" t="n">
        <v>0</v>
      </c>
      <c r="K154" t="n">
        <v>0</v>
      </c>
      <c r="L154" t="n">
        <v>0</v>
      </c>
      <c r="M154" t="n">
        <v>0</v>
      </c>
      <c r="N154" t="n">
        <v>0</v>
      </c>
      <c r="O154" t="n">
        <v>0</v>
      </c>
      <c r="P154" t="n">
        <v>0</v>
      </c>
      <c r="Q154" t="n">
        <v>0</v>
      </c>
      <c r="R154" s="2" t="inlineStr"/>
    </row>
    <row r="155" ht="15" customHeight="1">
      <c r="A155" t="inlineStr">
        <is>
          <t>A 8245-2019</t>
        </is>
      </c>
      <c r="B155" s="1" t="n">
        <v>43501</v>
      </c>
      <c r="C155" s="1" t="n">
        <v>45360</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9588-2019</t>
        </is>
      </c>
      <c r="B156" s="1" t="n">
        <v>43508</v>
      </c>
      <c r="C156" s="1" t="n">
        <v>45360</v>
      </c>
      <c r="D156" t="inlineStr">
        <is>
          <t>ÖREBRO LÄN</t>
        </is>
      </c>
      <c r="E156" t="inlineStr">
        <is>
          <t>ÖREBRO</t>
        </is>
      </c>
      <c r="G156" t="n">
        <v>3.5</v>
      </c>
      <c r="H156" t="n">
        <v>0</v>
      </c>
      <c r="I156" t="n">
        <v>0</v>
      </c>
      <c r="J156" t="n">
        <v>0</v>
      </c>
      <c r="K156" t="n">
        <v>0</v>
      </c>
      <c r="L156" t="n">
        <v>0</v>
      </c>
      <c r="M156" t="n">
        <v>0</v>
      </c>
      <c r="N156" t="n">
        <v>0</v>
      </c>
      <c r="O156" t="n">
        <v>0</v>
      </c>
      <c r="P156" t="n">
        <v>0</v>
      </c>
      <c r="Q156" t="n">
        <v>0</v>
      </c>
      <c r="R156" s="2" t="inlineStr"/>
    </row>
    <row r="157" ht="15" customHeight="1">
      <c r="A157" t="inlineStr">
        <is>
          <t>A 10682-2019</t>
        </is>
      </c>
      <c r="B157" s="1" t="n">
        <v>43514</v>
      </c>
      <c r="C157" s="1" t="n">
        <v>45360</v>
      </c>
      <c r="D157" t="inlineStr">
        <is>
          <t>ÖREBRO LÄN</t>
        </is>
      </c>
      <c r="E157" t="inlineStr">
        <is>
          <t>ÖREBRO</t>
        </is>
      </c>
      <c r="G157" t="n">
        <v>5.8</v>
      </c>
      <c r="H157" t="n">
        <v>0</v>
      </c>
      <c r="I157" t="n">
        <v>0</v>
      </c>
      <c r="J157" t="n">
        <v>0</v>
      </c>
      <c r="K157" t="n">
        <v>0</v>
      </c>
      <c r="L157" t="n">
        <v>0</v>
      </c>
      <c r="M157" t="n">
        <v>0</v>
      </c>
      <c r="N157" t="n">
        <v>0</v>
      </c>
      <c r="O157" t="n">
        <v>0</v>
      </c>
      <c r="P157" t="n">
        <v>0</v>
      </c>
      <c r="Q157" t="n">
        <v>0</v>
      </c>
      <c r="R157" s="2" t="inlineStr"/>
    </row>
    <row r="158" ht="15" customHeight="1">
      <c r="A158" t="inlineStr">
        <is>
          <t>A 10615-2019</t>
        </is>
      </c>
      <c r="B158" s="1" t="n">
        <v>43514</v>
      </c>
      <c r="C158" s="1" t="n">
        <v>45360</v>
      </c>
      <c r="D158" t="inlineStr">
        <is>
          <t>ÖREBRO LÄN</t>
        </is>
      </c>
      <c r="E158" t="inlineStr">
        <is>
          <t>ÖREBRO</t>
        </is>
      </c>
      <c r="G158" t="n">
        <v>4.4</v>
      </c>
      <c r="H158" t="n">
        <v>0</v>
      </c>
      <c r="I158" t="n">
        <v>0</v>
      </c>
      <c r="J158" t="n">
        <v>0</v>
      </c>
      <c r="K158" t="n">
        <v>0</v>
      </c>
      <c r="L158" t="n">
        <v>0</v>
      </c>
      <c r="M158" t="n">
        <v>0</v>
      </c>
      <c r="N158" t="n">
        <v>0</v>
      </c>
      <c r="O158" t="n">
        <v>0</v>
      </c>
      <c r="P158" t="n">
        <v>0</v>
      </c>
      <c r="Q158" t="n">
        <v>0</v>
      </c>
      <c r="R158" s="2" t="inlineStr"/>
    </row>
    <row r="159" ht="15" customHeight="1">
      <c r="A159" t="inlineStr">
        <is>
          <t>A 11158-2019</t>
        </is>
      </c>
      <c r="B159" s="1" t="n">
        <v>43516</v>
      </c>
      <c r="C159" s="1" t="n">
        <v>45360</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11589-2019</t>
        </is>
      </c>
      <c r="B160" s="1" t="n">
        <v>43518</v>
      </c>
      <c r="C160" s="1" t="n">
        <v>45360</v>
      </c>
      <c r="D160" t="inlineStr">
        <is>
          <t>ÖREBRO LÄN</t>
        </is>
      </c>
      <c r="E160" t="inlineStr">
        <is>
          <t>ÖREBRO</t>
        </is>
      </c>
      <c r="G160" t="n">
        <v>1.1</v>
      </c>
      <c r="H160" t="n">
        <v>0</v>
      </c>
      <c r="I160" t="n">
        <v>0</v>
      </c>
      <c r="J160" t="n">
        <v>0</v>
      </c>
      <c r="K160" t="n">
        <v>0</v>
      </c>
      <c r="L160" t="n">
        <v>0</v>
      </c>
      <c r="M160" t="n">
        <v>0</v>
      </c>
      <c r="N160" t="n">
        <v>0</v>
      </c>
      <c r="O160" t="n">
        <v>0</v>
      </c>
      <c r="P160" t="n">
        <v>0</v>
      </c>
      <c r="Q160" t="n">
        <v>0</v>
      </c>
      <c r="R160" s="2" t="inlineStr"/>
    </row>
    <row r="161" ht="15" customHeight="1">
      <c r="A161" t="inlineStr">
        <is>
          <t>A 11653-2019</t>
        </is>
      </c>
      <c r="B161" s="1" t="n">
        <v>43518</v>
      </c>
      <c r="C161" s="1" t="n">
        <v>45360</v>
      </c>
      <c r="D161" t="inlineStr">
        <is>
          <t>ÖREBRO LÄN</t>
        </is>
      </c>
      <c r="E161" t="inlineStr">
        <is>
          <t>ÖREBRO</t>
        </is>
      </c>
      <c r="G161" t="n">
        <v>1.2</v>
      </c>
      <c r="H161" t="n">
        <v>0</v>
      </c>
      <c r="I161" t="n">
        <v>0</v>
      </c>
      <c r="J161" t="n">
        <v>0</v>
      </c>
      <c r="K161" t="n">
        <v>0</v>
      </c>
      <c r="L161" t="n">
        <v>0</v>
      </c>
      <c r="M161" t="n">
        <v>0</v>
      </c>
      <c r="N161" t="n">
        <v>0</v>
      </c>
      <c r="O161" t="n">
        <v>0</v>
      </c>
      <c r="P161" t="n">
        <v>0</v>
      </c>
      <c r="Q161" t="n">
        <v>0</v>
      </c>
      <c r="R161" s="2" t="inlineStr"/>
    </row>
    <row r="162" ht="15" customHeight="1">
      <c r="A162" t="inlineStr">
        <is>
          <t>A 11592-2019</t>
        </is>
      </c>
      <c r="B162" s="1" t="n">
        <v>43518</v>
      </c>
      <c r="C162" s="1" t="n">
        <v>45360</v>
      </c>
      <c r="D162" t="inlineStr">
        <is>
          <t>ÖREBRO LÄN</t>
        </is>
      </c>
      <c r="E162" t="inlineStr">
        <is>
          <t>ÖREBRO</t>
        </is>
      </c>
      <c r="G162" t="n">
        <v>0.3</v>
      </c>
      <c r="H162" t="n">
        <v>0</v>
      </c>
      <c r="I162" t="n">
        <v>0</v>
      </c>
      <c r="J162" t="n">
        <v>0</v>
      </c>
      <c r="K162" t="n">
        <v>0</v>
      </c>
      <c r="L162" t="n">
        <v>0</v>
      </c>
      <c r="M162" t="n">
        <v>0</v>
      </c>
      <c r="N162" t="n">
        <v>0</v>
      </c>
      <c r="O162" t="n">
        <v>0</v>
      </c>
      <c r="P162" t="n">
        <v>0</v>
      </c>
      <c r="Q162" t="n">
        <v>0</v>
      </c>
      <c r="R162" s="2" t="inlineStr"/>
    </row>
    <row r="163" ht="15" customHeight="1">
      <c r="A163" t="inlineStr">
        <is>
          <t>A 11714-2019</t>
        </is>
      </c>
      <c r="B163" s="1" t="n">
        <v>43518</v>
      </c>
      <c r="C163" s="1" t="n">
        <v>45360</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11716-2019</t>
        </is>
      </c>
      <c r="B164" s="1" t="n">
        <v>43518</v>
      </c>
      <c r="C164" s="1" t="n">
        <v>45360</v>
      </c>
      <c r="D164" t="inlineStr">
        <is>
          <t>ÖREBRO LÄN</t>
        </is>
      </c>
      <c r="E164" t="inlineStr">
        <is>
          <t>ÖREBRO</t>
        </is>
      </c>
      <c r="G164" t="n">
        <v>1</v>
      </c>
      <c r="H164" t="n">
        <v>0</v>
      </c>
      <c r="I164" t="n">
        <v>0</v>
      </c>
      <c r="J164" t="n">
        <v>0</v>
      </c>
      <c r="K164" t="n">
        <v>0</v>
      </c>
      <c r="L164" t="n">
        <v>0</v>
      </c>
      <c r="M164" t="n">
        <v>0</v>
      </c>
      <c r="N164" t="n">
        <v>0</v>
      </c>
      <c r="O164" t="n">
        <v>0</v>
      </c>
      <c r="P164" t="n">
        <v>0</v>
      </c>
      <c r="Q164" t="n">
        <v>0</v>
      </c>
      <c r="R164" s="2" t="inlineStr"/>
    </row>
    <row r="165" ht="15" customHeight="1">
      <c r="A165" t="inlineStr">
        <is>
          <t>A 12000-2019</t>
        </is>
      </c>
      <c r="B165" s="1" t="n">
        <v>43521</v>
      </c>
      <c r="C165" s="1" t="n">
        <v>45360</v>
      </c>
      <c r="D165" t="inlineStr">
        <is>
          <t>ÖREBRO LÄN</t>
        </is>
      </c>
      <c r="E165" t="inlineStr">
        <is>
          <t>ÖREBRO</t>
        </is>
      </c>
      <c r="G165" t="n">
        <v>4.4</v>
      </c>
      <c r="H165" t="n">
        <v>0</v>
      </c>
      <c r="I165" t="n">
        <v>0</v>
      </c>
      <c r="J165" t="n">
        <v>0</v>
      </c>
      <c r="K165" t="n">
        <v>0</v>
      </c>
      <c r="L165" t="n">
        <v>0</v>
      </c>
      <c r="M165" t="n">
        <v>0</v>
      </c>
      <c r="N165" t="n">
        <v>0</v>
      </c>
      <c r="O165" t="n">
        <v>0</v>
      </c>
      <c r="P165" t="n">
        <v>0</v>
      </c>
      <c r="Q165" t="n">
        <v>0</v>
      </c>
      <c r="R165" s="2" t="inlineStr"/>
    </row>
    <row r="166" ht="15" customHeight="1">
      <c r="A166" t="inlineStr">
        <is>
          <t>A 12131-2019</t>
        </is>
      </c>
      <c r="B166" s="1" t="n">
        <v>43522</v>
      </c>
      <c r="C166" s="1" t="n">
        <v>45360</v>
      </c>
      <c r="D166" t="inlineStr">
        <is>
          <t>ÖREBRO LÄN</t>
        </is>
      </c>
      <c r="E166" t="inlineStr">
        <is>
          <t>ÖREBRO</t>
        </is>
      </c>
      <c r="G166" t="n">
        <v>1.4</v>
      </c>
      <c r="H166" t="n">
        <v>0</v>
      </c>
      <c r="I166" t="n">
        <v>0</v>
      </c>
      <c r="J166" t="n">
        <v>0</v>
      </c>
      <c r="K166" t="n">
        <v>0</v>
      </c>
      <c r="L166" t="n">
        <v>0</v>
      </c>
      <c r="M166" t="n">
        <v>0</v>
      </c>
      <c r="N166" t="n">
        <v>0</v>
      </c>
      <c r="O166" t="n">
        <v>0</v>
      </c>
      <c r="P166" t="n">
        <v>0</v>
      </c>
      <c r="Q166" t="n">
        <v>0</v>
      </c>
      <c r="R166" s="2" t="inlineStr"/>
    </row>
    <row r="167" ht="15" customHeight="1">
      <c r="A167" t="inlineStr">
        <is>
          <t>A 13016-2019</t>
        </is>
      </c>
      <c r="B167" s="1" t="n">
        <v>43528</v>
      </c>
      <c r="C167" s="1" t="n">
        <v>45360</v>
      </c>
      <c r="D167" t="inlineStr">
        <is>
          <t>ÖREBRO LÄN</t>
        </is>
      </c>
      <c r="E167" t="inlineStr">
        <is>
          <t>ÖREBRO</t>
        </is>
      </c>
      <c r="G167" t="n">
        <v>6.1</v>
      </c>
      <c r="H167" t="n">
        <v>0</v>
      </c>
      <c r="I167" t="n">
        <v>0</v>
      </c>
      <c r="J167" t="n">
        <v>0</v>
      </c>
      <c r="K167" t="n">
        <v>0</v>
      </c>
      <c r="L167" t="n">
        <v>0</v>
      </c>
      <c r="M167" t="n">
        <v>0</v>
      </c>
      <c r="N167" t="n">
        <v>0</v>
      </c>
      <c r="O167" t="n">
        <v>0</v>
      </c>
      <c r="P167" t="n">
        <v>0</v>
      </c>
      <c r="Q167" t="n">
        <v>0</v>
      </c>
      <c r="R167" s="2" t="inlineStr"/>
    </row>
    <row r="168" ht="15" customHeight="1">
      <c r="A168" t="inlineStr">
        <is>
          <t>A 13479-2019</t>
        </is>
      </c>
      <c r="B168" s="1" t="n">
        <v>43530</v>
      </c>
      <c r="C168" s="1" t="n">
        <v>45360</v>
      </c>
      <c r="D168" t="inlineStr">
        <is>
          <t>ÖREBRO LÄN</t>
        </is>
      </c>
      <c r="E168" t="inlineStr">
        <is>
          <t>ÖREBRO</t>
        </is>
      </c>
      <c r="G168" t="n">
        <v>1.2</v>
      </c>
      <c r="H168" t="n">
        <v>0</v>
      </c>
      <c r="I168" t="n">
        <v>0</v>
      </c>
      <c r="J168" t="n">
        <v>0</v>
      </c>
      <c r="K168" t="n">
        <v>0</v>
      </c>
      <c r="L168" t="n">
        <v>0</v>
      </c>
      <c r="M168" t="n">
        <v>0</v>
      </c>
      <c r="N168" t="n">
        <v>0</v>
      </c>
      <c r="O168" t="n">
        <v>0</v>
      </c>
      <c r="P168" t="n">
        <v>0</v>
      </c>
      <c r="Q168" t="n">
        <v>0</v>
      </c>
      <c r="R168" s="2" t="inlineStr"/>
    </row>
    <row r="169" ht="15" customHeight="1">
      <c r="A169" t="inlineStr">
        <is>
          <t>A 13734-2019</t>
        </is>
      </c>
      <c r="B169" s="1" t="n">
        <v>43531</v>
      </c>
      <c r="C169" s="1" t="n">
        <v>45360</v>
      </c>
      <c r="D169" t="inlineStr">
        <is>
          <t>ÖREBRO LÄN</t>
        </is>
      </c>
      <c r="E169" t="inlineStr">
        <is>
          <t>ÖREBRO</t>
        </is>
      </c>
      <c r="G169" t="n">
        <v>6.4</v>
      </c>
      <c r="H169" t="n">
        <v>0</v>
      </c>
      <c r="I169" t="n">
        <v>0</v>
      </c>
      <c r="J169" t="n">
        <v>0</v>
      </c>
      <c r="K169" t="n">
        <v>0</v>
      </c>
      <c r="L169" t="n">
        <v>0</v>
      </c>
      <c r="M169" t="n">
        <v>0</v>
      </c>
      <c r="N169" t="n">
        <v>0</v>
      </c>
      <c r="O169" t="n">
        <v>0</v>
      </c>
      <c r="P169" t="n">
        <v>0</v>
      </c>
      <c r="Q169" t="n">
        <v>0</v>
      </c>
      <c r="R169" s="2" t="inlineStr"/>
    </row>
    <row r="170" ht="15" customHeight="1">
      <c r="A170" t="inlineStr">
        <is>
          <t>A 14348-2019</t>
        </is>
      </c>
      <c r="B170" s="1" t="n">
        <v>43535</v>
      </c>
      <c r="C170" s="1" t="n">
        <v>45360</v>
      </c>
      <c r="D170" t="inlineStr">
        <is>
          <t>ÖREBRO LÄN</t>
        </is>
      </c>
      <c r="E170" t="inlineStr">
        <is>
          <t>ÖREBRO</t>
        </is>
      </c>
      <c r="G170" t="n">
        <v>2.9</v>
      </c>
      <c r="H170" t="n">
        <v>0</v>
      </c>
      <c r="I170" t="n">
        <v>0</v>
      </c>
      <c r="J170" t="n">
        <v>0</v>
      </c>
      <c r="K170" t="n">
        <v>0</v>
      </c>
      <c r="L170" t="n">
        <v>0</v>
      </c>
      <c r="M170" t="n">
        <v>0</v>
      </c>
      <c r="N170" t="n">
        <v>0</v>
      </c>
      <c r="O170" t="n">
        <v>0</v>
      </c>
      <c r="P170" t="n">
        <v>0</v>
      </c>
      <c r="Q170" t="n">
        <v>0</v>
      </c>
      <c r="R170" s="2" t="inlineStr"/>
    </row>
    <row r="171" ht="15" customHeight="1">
      <c r="A171" t="inlineStr">
        <is>
          <t>A 14927-2019</t>
        </is>
      </c>
      <c r="B171" s="1" t="n">
        <v>43538</v>
      </c>
      <c r="C171" s="1" t="n">
        <v>45360</v>
      </c>
      <c r="D171" t="inlineStr">
        <is>
          <t>ÖREBRO LÄN</t>
        </is>
      </c>
      <c r="E171" t="inlineStr">
        <is>
          <t>ÖREBRO</t>
        </is>
      </c>
      <c r="G171" t="n">
        <v>25.7</v>
      </c>
      <c r="H171" t="n">
        <v>0</v>
      </c>
      <c r="I171" t="n">
        <v>0</v>
      </c>
      <c r="J171" t="n">
        <v>0</v>
      </c>
      <c r="K171" t="n">
        <v>0</v>
      </c>
      <c r="L171" t="n">
        <v>0</v>
      </c>
      <c r="M171" t="n">
        <v>0</v>
      </c>
      <c r="N171" t="n">
        <v>0</v>
      </c>
      <c r="O171" t="n">
        <v>0</v>
      </c>
      <c r="P171" t="n">
        <v>0</v>
      </c>
      <c r="Q171" t="n">
        <v>0</v>
      </c>
      <c r="R171" s="2" t="inlineStr"/>
    </row>
    <row r="172" ht="15" customHeight="1">
      <c r="A172" t="inlineStr">
        <is>
          <t>A 15349-2019</t>
        </is>
      </c>
      <c r="B172" s="1" t="n">
        <v>43541</v>
      </c>
      <c r="C172" s="1" t="n">
        <v>45360</v>
      </c>
      <c r="D172" t="inlineStr">
        <is>
          <t>ÖREBRO LÄN</t>
        </is>
      </c>
      <c r="E172" t="inlineStr">
        <is>
          <t>ÖREBRO</t>
        </is>
      </c>
      <c r="G172" t="n">
        <v>0.5</v>
      </c>
      <c r="H172" t="n">
        <v>0</v>
      </c>
      <c r="I172" t="n">
        <v>0</v>
      </c>
      <c r="J172" t="n">
        <v>0</v>
      </c>
      <c r="K172" t="n">
        <v>0</v>
      </c>
      <c r="L172" t="n">
        <v>0</v>
      </c>
      <c r="M172" t="n">
        <v>0</v>
      </c>
      <c r="N172" t="n">
        <v>0</v>
      </c>
      <c r="O172" t="n">
        <v>0</v>
      </c>
      <c r="P172" t="n">
        <v>0</v>
      </c>
      <c r="Q172" t="n">
        <v>0</v>
      </c>
      <c r="R172" s="2" t="inlineStr"/>
    </row>
    <row r="173" ht="15" customHeight="1">
      <c r="A173" t="inlineStr">
        <is>
          <t>A 15801-2019</t>
        </is>
      </c>
      <c r="B173" s="1" t="n">
        <v>43543</v>
      </c>
      <c r="C173" s="1" t="n">
        <v>45360</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16129-2019</t>
        </is>
      </c>
      <c r="B174" s="1" t="n">
        <v>43544</v>
      </c>
      <c r="C174" s="1" t="n">
        <v>45360</v>
      </c>
      <c r="D174" t="inlineStr">
        <is>
          <t>ÖREBRO LÄN</t>
        </is>
      </c>
      <c r="E174" t="inlineStr">
        <is>
          <t>ÖREBRO</t>
        </is>
      </c>
      <c r="G174" t="n">
        <v>0.3</v>
      </c>
      <c r="H174" t="n">
        <v>0</v>
      </c>
      <c r="I174" t="n">
        <v>0</v>
      </c>
      <c r="J174" t="n">
        <v>0</v>
      </c>
      <c r="K174" t="n">
        <v>0</v>
      </c>
      <c r="L174" t="n">
        <v>0</v>
      </c>
      <c r="M174" t="n">
        <v>0</v>
      </c>
      <c r="N174" t="n">
        <v>0</v>
      </c>
      <c r="O174" t="n">
        <v>0</v>
      </c>
      <c r="P174" t="n">
        <v>0</v>
      </c>
      <c r="Q174" t="n">
        <v>0</v>
      </c>
      <c r="R174" s="2" t="inlineStr"/>
    </row>
    <row r="175" ht="15" customHeight="1">
      <c r="A175" t="inlineStr">
        <is>
          <t>A 17118-2019</t>
        </is>
      </c>
      <c r="B175" s="1" t="n">
        <v>43551</v>
      </c>
      <c r="C175" s="1" t="n">
        <v>45360</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17557-2019</t>
        </is>
      </c>
      <c r="B176" s="1" t="n">
        <v>43552</v>
      </c>
      <c r="C176" s="1" t="n">
        <v>45360</v>
      </c>
      <c r="D176" t="inlineStr">
        <is>
          <t>ÖREBRO LÄN</t>
        </is>
      </c>
      <c r="E176" t="inlineStr">
        <is>
          <t>ÖREBRO</t>
        </is>
      </c>
      <c r="G176" t="n">
        <v>3.5</v>
      </c>
      <c r="H176" t="n">
        <v>0</v>
      </c>
      <c r="I176" t="n">
        <v>0</v>
      </c>
      <c r="J176" t="n">
        <v>0</v>
      </c>
      <c r="K176" t="n">
        <v>0</v>
      </c>
      <c r="L176" t="n">
        <v>0</v>
      </c>
      <c r="M176" t="n">
        <v>0</v>
      </c>
      <c r="N176" t="n">
        <v>0</v>
      </c>
      <c r="O176" t="n">
        <v>0</v>
      </c>
      <c r="P176" t="n">
        <v>0</v>
      </c>
      <c r="Q176" t="n">
        <v>0</v>
      </c>
      <c r="R176" s="2" t="inlineStr"/>
    </row>
    <row r="177" ht="15" customHeight="1">
      <c r="A177" t="inlineStr">
        <is>
          <t>A 17563-2019</t>
        </is>
      </c>
      <c r="B177" s="1" t="n">
        <v>43552</v>
      </c>
      <c r="C177" s="1" t="n">
        <v>45360</v>
      </c>
      <c r="D177" t="inlineStr">
        <is>
          <t>ÖREBRO LÄN</t>
        </is>
      </c>
      <c r="E177" t="inlineStr">
        <is>
          <t>ÖREBRO</t>
        </is>
      </c>
      <c r="G177" t="n">
        <v>5</v>
      </c>
      <c r="H177" t="n">
        <v>0</v>
      </c>
      <c r="I177" t="n">
        <v>0</v>
      </c>
      <c r="J177" t="n">
        <v>0</v>
      </c>
      <c r="K177" t="n">
        <v>0</v>
      </c>
      <c r="L177" t="n">
        <v>0</v>
      </c>
      <c r="M177" t="n">
        <v>0</v>
      </c>
      <c r="N177" t="n">
        <v>0</v>
      </c>
      <c r="O177" t="n">
        <v>0</v>
      </c>
      <c r="P177" t="n">
        <v>0</v>
      </c>
      <c r="Q177" t="n">
        <v>0</v>
      </c>
      <c r="R177" s="2" t="inlineStr"/>
    </row>
    <row r="178" ht="15" customHeight="1">
      <c r="A178" t="inlineStr">
        <is>
          <t>A 17548-2019</t>
        </is>
      </c>
      <c r="B178" s="1" t="n">
        <v>43552</v>
      </c>
      <c r="C178" s="1" t="n">
        <v>45360</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17554-2019</t>
        </is>
      </c>
      <c r="B179" s="1" t="n">
        <v>43552</v>
      </c>
      <c r="C179" s="1" t="n">
        <v>45360</v>
      </c>
      <c r="D179" t="inlineStr">
        <is>
          <t>ÖREBRO LÄN</t>
        </is>
      </c>
      <c r="E179" t="inlineStr">
        <is>
          <t>ÖREBRO</t>
        </is>
      </c>
      <c r="G179" t="n">
        <v>1.8</v>
      </c>
      <c r="H179" t="n">
        <v>0</v>
      </c>
      <c r="I179" t="n">
        <v>0</v>
      </c>
      <c r="J179" t="n">
        <v>0</v>
      </c>
      <c r="K179" t="n">
        <v>0</v>
      </c>
      <c r="L179" t="n">
        <v>0</v>
      </c>
      <c r="M179" t="n">
        <v>0</v>
      </c>
      <c r="N179" t="n">
        <v>0</v>
      </c>
      <c r="O179" t="n">
        <v>0</v>
      </c>
      <c r="P179" t="n">
        <v>0</v>
      </c>
      <c r="Q179" t="n">
        <v>0</v>
      </c>
      <c r="R179" s="2" t="inlineStr"/>
    </row>
    <row r="180" ht="15" customHeight="1">
      <c r="A180" t="inlineStr">
        <is>
          <t>A 17640-2019</t>
        </is>
      </c>
      <c r="B180" s="1" t="n">
        <v>43552</v>
      </c>
      <c r="C180" s="1" t="n">
        <v>45360</v>
      </c>
      <c r="D180" t="inlineStr">
        <is>
          <t>ÖREBRO LÄN</t>
        </is>
      </c>
      <c r="E180" t="inlineStr">
        <is>
          <t>ÖREBRO</t>
        </is>
      </c>
      <c r="G180" t="n">
        <v>4.4</v>
      </c>
      <c r="H180" t="n">
        <v>0</v>
      </c>
      <c r="I180" t="n">
        <v>0</v>
      </c>
      <c r="J180" t="n">
        <v>0</v>
      </c>
      <c r="K180" t="n">
        <v>0</v>
      </c>
      <c r="L180" t="n">
        <v>0</v>
      </c>
      <c r="M180" t="n">
        <v>0</v>
      </c>
      <c r="N180" t="n">
        <v>0</v>
      </c>
      <c r="O180" t="n">
        <v>0</v>
      </c>
      <c r="P180" t="n">
        <v>0</v>
      </c>
      <c r="Q180" t="n">
        <v>0</v>
      </c>
      <c r="R180" s="2" t="inlineStr"/>
    </row>
    <row r="181" ht="15" customHeight="1">
      <c r="A181" t="inlineStr">
        <is>
          <t>A 17560-2019</t>
        </is>
      </c>
      <c r="B181" s="1" t="n">
        <v>43552</v>
      </c>
      <c r="C181" s="1" t="n">
        <v>45360</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17648-2019</t>
        </is>
      </c>
      <c r="B182" s="1" t="n">
        <v>43552</v>
      </c>
      <c r="C182" s="1" t="n">
        <v>45360</v>
      </c>
      <c r="D182" t="inlineStr">
        <is>
          <t>ÖREBRO LÄN</t>
        </is>
      </c>
      <c r="E182" t="inlineStr">
        <is>
          <t>ÖREBRO</t>
        </is>
      </c>
      <c r="G182" t="n">
        <v>4</v>
      </c>
      <c r="H182" t="n">
        <v>0</v>
      </c>
      <c r="I182" t="n">
        <v>0</v>
      </c>
      <c r="J182" t="n">
        <v>0</v>
      </c>
      <c r="K182" t="n">
        <v>0</v>
      </c>
      <c r="L182" t="n">
        <v>0</v>
      </c>
      <c r="M182" t="n">
        <v>0</v>
      </c>
      <c r="N182" t="n">
        <v>0</v>
      </c>
      <c r="O182" t="n">
        <v>0</v>
      </c>
      <c r="P182" t="n">
        <v>0</v>
      </c>
      <c r="Q182" t="n">
        <v>0</v>
      </c>
      <c r="R182" s="2" t="inlineStr"/>
    </row>
    <row r="183" ht="15" customHeight="1">
      <c r="A183" t="inlineStr">
        <is>
          <t>A 17643-2019</t>
        </is>
      </c>
      <c r="B183" s="1" t="n">
        <v>43552</v>
      </c>
      <c r="C183" s="1" t="n">
        <v>45360</v>
      </c>
      <c r="D183" t="inlineStr">
        <is>
          <t>ÖREBRO LÄN</t>
        </is>
      </c>
      <c r="E183" t="inlineStr">
        <is>
          <t>ÖREBRO</t>
        </is>
      </c>
      <c r="G183" t="n">
        <v>3.7</v>
      </c>
      <c r="H183" t="n">
        <v>0</v>
      </c>
      <c r="I183" t="n">
        <v>0</v>
      </c>
      <c r="J183" t="n">
        <v>0</v>
      </c>
      <c r="K183" t="n">
        <v>0</v>
      </c>
      <c r="L183" t="n">
        <v>0</v>
      </c>
      <c r="M183" t="n">
        <v>0</v>
      </c>
      <c r="N183" t="n">
        <v>0</v>
      </c>
      <c r="O183" t="n">
        <v>0</v>
      </c>
      <c r="P183" t="n">
        <v>0</v>
      </c>
      <c r="Q183" t="n">
        <v>0</v>
      </c>
      <c r="R183" s="2" t="inlineStr"/>
    </row>
    <row r="184" ht="15" customHeight="1">
      <c r="A184" t="inlineStr">
        <is>
          <t>A 18034-2019</t>
        </is>
      </c>
      <c r="B184" s="1" t="n">
        <v>43557</v>
      </c>
      <c r="C184" s="1" t="n">
        <v>45360</v>
      </c>
      <c r="D184" t="inlineStr">
        <is>
          <t>ÖREBRO LÄN</t>
        </is>
      </c>
      <c r="E184" t="inlineStr">
        <is>
          <t>ÖREBRO</t>
        </is>
      </c>
      <c r="G184" t="n">
        <v>1</v>
      </c>
      <c r="H184" t="n">
        <v>0</v>
      </c>
      <c r="I184" t="n">
        <v>0</v>
      </c>
      <c r="J184" t="n">
        <v>0</v>
      </c>
      <c r="K184" t="n">
        <v>0</v>
      </c>
      <c r="L184" t="n">
        <v>0</v>
      </c>
      <c r="M184" t="n">
        <v>0</v>
      </c>
      <c r="N184" t="n">
        <v>0</v>
      </c>
      <c r="O184" t="n">
        <v>0</v>
      </c>
      <c r="P184" t="n">
        <v>0</v>
      </c>
      <c r="Q184" t="n">
        <v>0</v>
      </c>
      <c r="R184" s="2" t="inlineStr"/>
    </row>
    <row r="185" ht="15" customHeight="1">
      <c r="A185" t="inlineStr">
        <is>
          <t>A 19042-2019</t>
        </is>
      </c>
      <c r="B185" s="1" t="n">
        <v>43563</v>
      </c>
      <c r="C185" s="1" t="n">
        <v>45360</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19047-2019</t>
        </is>
      </c>
      <c r="B186" s="1" t="n">
        <v>43563</v>
      </c>
      <c r="C186" s="1" t="n">
        <v>45360</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19049-2019</t>
        </is>
      </c>
      <c r="B187" s="1" t="n">
        <v>43563</v>
      </c>
      <c r="C187" s="1" t="n">
        <v>45360</v>
      </c>
      <c r="D187" t="inlineStr">
        <is>
          <t>ÖREBRO LÄN</t>
        </is>
      </c>
      <c r="E187" t="inlineStr">
        <is>
          <t>ÖREBRO</t>
        </is>
      </c>
      <c r="G187" t="n">
        <v>2.1</v>
      </c>
      <c r="H187" t="n">
        <v>0</v>
      </c>
      <c r="I187" t="n">
        <v>0</v>
      </c>
      <c r="J187" t="n">
        <v>0</v>
      </c>
      <c r="K187" t="n">
        <v>0</v>
      </c>
      <c r="L187" t="n">
        <v>0</v>
      </c>
      <c r="M187" t="n">
        <v>0</v>
      </c>
      <c r="N187" t="n">
        <v>0</v>
      </c>
      <c r="O187" t="n">
        <v>0</v>
      </c>
      <c r="P187" t="n">
        <v>0</v>
      </c>
      <c r="Q187" t="n">
        <v>0</v>
      </c>
      <c r="R187" s="2" t="inlineStr"/>
    </row>
    <row r="188" ht="15" customHeight="1">
      <c r="A188" t="inlineStr">
        <is>
          <t>A 19044-2019</t>
        </is>
      </c>
      <c r="B188" s="1" t="n">
        <v>43563</v>
      </c>
      <c r="C188" s="1" t="n">
        <v>45360</v>
      </c>
      <c r="D188" t="inlineStr">
        <is>
          <t>ÖREBRO LÄN</t>
        </is>
      </c>
      <c r="E188" t="inlineStr">
        <is>
          <t>ÖREBRO</t>
        </is>
      </c>
      <c r="G188" t="n">
        <v>0.8</v>
      </c>
      <c r="H188" t="n">
        <v>0</v>
      </c>
      <c r="I188" t="n">
        <v>0</v>
      </c>
      <c r="J188" t="n">
        <v>0</v>
      </c>
      <c r="K188" t="n">
        <v>0</v>
      </c>
      <c r="L188" t="n">
        <v>0</v>
      </c>
      <c r="M188" t="n">
        <v>0</v>
      </c>
      <c r="N188" t="n">
        <v>0</v>
      </c>
      <c r="O188" t="n">
        <v>0</v>
      </c>
      <c r="P188" t="n">
        <v>0</v>
      </c>
      <c r="Q188" t="n">
        <v>0</v>
      </c>
      <c r="R188" s="2" t="inlineStr"/>
    </row>
    <row r="189" ht="15" customHeight="1">
      <c r="A189" t="inlineStr">
        <is>
          <t>A 19048-2019</t>
        </is>
      </c>
      <c r="B189" s="1" t="n">
        <v>43563</v>
      </c>
      <c r="C189" s="1" t="n">
        <v>45360</v>
      </c>
      <c r="D189" t="inlineStr">
        <is>
          <t>ÖREBRO LÄN</t>
        </is>
      </c>
      <c r="E189" t="inlineStr">
        <is>
          <t>ÖREBRO</t>
        </is>
      </c>
      <c r="G189" t="n">
        <v>1.8</v>
      </c>
      <c r="H189" t="n">
        <v>0</v>
      </c>
      <c r="I189" t="n">
        <v>0</v>
      </c>
      <c r="J189" t="n">
        <v>0</v>
      </c>
      <c r="K189" t="n">
        <v>0</v>
      </c>
      <c r="L189" t="n">
        <v>0</v>
      </c>
      <c r="M189" t="n">
        <v>0</v>
      </c>
      <c r="N189" t="n">
        <v>0</v>
      </c>
      <c r="O189" t="n">
        <v>0</v>
      </c>
      <c r="P189" t="n">
        <v>0</v>
      </c>
      <c r="Q189" t="n">
        <v>0</v>
      </c>
      <c r="R189" s="2" t="inlineStr"/>
    </row>
    <row r="190" ht="15" customHeight="1">
      <c r="A190" t="inlineStr">
        <is>
          <t>A 19045-2019</t>
        </is>
      </c>
      <c r="B190" s="1" t="n">
        <v>43563</v>
      </c>
      <c r="C190" s="1" t="n">
        <v>45360</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19046-2019</t>
        </is>
      </c>
      <c r="B191" s="1" t="n">
        <v>43563</v>
      </c>
      <c r="C191" s="1" t="n">
        <v>45360</v>
      </c>
      <c r="D191" t="inlineStr">
        <is>
          <t>ÖREBRO LÄN</t>
        </is>
      </c>
      <c r="E191" t="inlineStr">
        <is>
          <t>ÖREBRO</t>
        </is>
      </c>
      <c r="G191" t="n">
        <v>1.5</v>
      </c>
      <c r="H191" t="n">
        <v>0</v>
      </c>
      <c r="I191" t="n">
        <v>0</v>
      </c>
      <c r="J191" t="n">
        <v>0</v>
      </c>
      <c r="K191" t="n">
        <v>0</v>
      </c>
      <c r="L191" t="n">
        <v>0</v>
      </c>
      <c r="M191" t="n">
        <v>0</v>
      </c>
      <c r="N191" t="n">
        <v>0</v>
      </c>
      <c r="O191" t="n">
        <v>0</v>
      </c>
      <c r="P191" t="n">
        <v>0</v>
      </c>
      <c r="Q191" t="n">
        <v>0</v>
      </c>
      <c r="R191" s="2" t="inlineStr"/>
    </row>
    <row r="192" ht="15" customHeight="1">
      <c r="A192" t="inlineStr">
        <is>
          <t>A 20232-2019</t>
        </is>
      </c>
      <c r="B192" s="1" t="n">
        <v>43571</v>
      </c>
      <c r="C192" s="1" t="n">
        <v>45360</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20609-2019</t>
        </is>
      </c>
      <c r="B193" s="1" t="n">
        <v>43572</v>
      </c>
      <c r="C193" s="1" t="n">
        <v>45360</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21722-2019</t>
        </is>
      </c>
      <c r="B194" s="1" t="n">
        <v>43581</v>
      </c>
      <c r="C194" s="1" t="n">
        <v>45360</v>
      </c>
      <c r="D194" t="inlineStr">
        <is>
          <t>ÖREBRO LÄN</t>
        </is>
      </c>
      <c r="E194" t="inlineStr">
        <is>
          <t>ÖREBRO</t>
        </is>
      </c>
      <c r="G194" t="n">
        <v>11.3</v>
      </c>
      <c r="H194" t="n">
        <v>0</v>
      </c>
      <c r="I194" t="n">
        <v>0</v>
      </c>
      <c r="J194" t="n">
        <v>0</v>
      </c>
      <c r="K194" t="n">
        <v>0</v>
      </c>
      <c r="L194" t="n">
        <v>0</v>
      </c>
      <c r="M194" t="n">
        <v>0</v>
      </c>
      <c r="N194" t="n">
        <v>0</v>
      </c>
      <c r="O194" t="n">
        <v>0</v>
      </c>
      <c r="P194" t="n">
        <v>0</v>
      </c>
      <c r="Q194" t="n">
        <v>0</v>
      </c>
      <c r="R194" s="2" t="inlineStr"/>
    </row>
    <row r="195" ht="15" customHeight="1">
      <c r="A195" t="inlineStr">
        <is>
          <t>A 21830-2019</t>
        </is>
      </c>
      <c r="B195" s="1" t="n">
        <v>43584</v>
      </c>
      <c r="C195" s="1" t="n">
        <v>45360</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21835-2019</t>
        </is>
      </c>
      <c r="B196" s="1" t="n">
        <v>43584</v>
      </c>
      <c r="C196" s="1" t="n">
        <v>45360</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22243-2019</t>
        </is>
      </c>
      <c r="B197" s="1" t="n">
        <v>43585</v>
      </c>
      <c r="C197" s="1" t="n">
        <v>45360</v>
      </c>
      <c r="D197" t="inlineStr">
        <is>
          <t>ÖREBRO LÄN</t>
        </is>
      </c>
      <c r="E197" t="inlineStr">
        <is>
          <t>ÖREBRO</t>
        </is>
      </c>
      <c r="G197" t="n">
        <v>2.8</v>
      </c>
      <c r="H197" t="n">
        <v>0</v>
      </c>
      <c r="I197" t="n">
        <v>0</v>
      </c>
      <c r="J197" t="n">
        <v>0</v>
      </c>
      <c r="K197" t="n">
        <v>0</v>
      </c>
      <c r="L197" t="n">
        <v>0</v>
      </c>
      <c r="M197" t="n">
        <v>0</v>
      </c>
      <c r="N197" t="n">
        <v>0</v>
      </c>
      <c r="O197" t="n">
        <v>0</v>
      </c>
      <c r="P197" t="n">
        <v>0</v>
      </c>
      <c r="Q197" t="n">
        <v>0</v>
      </c>
      <c r="R197" s="2" t="inlineStr"/>
    </row>
    <row r="198" ht="15" customHeight="1">
      <c r="A198" t="inlineStr">
        <is>
          <t>A 23667-2019</t>
        </is>
      </c>
      <c r="B198" s="1" t="n">
        <v>43594</v>
      </c>
      <c r="C198" s="1" t="n">
        <v>45360</v>
      </c>
      <c r="D198" t="inlineStr">
        <is>
          <t>ÖREBRO LÄN</t>
        </is>
      </c>
      <c r="E198" t="inlineStr">
        <is>
          <t>ÖREBRO</t>
        </is>
      </c>
      <c r="G198" t="n">
        <v>1</v>
      </c>
      <c r="H198" t="n">
        <v>0</v>
      </c>
      <c r="I198" t="n">
        <v>0</v>
      </c>
      <c r="J198" t="n">
        <v>0</v>
      </c>
      <c r="K198" t="n">
        <v>0</v>
      </c>
      <c r="L198" t="n">
        <v>0</v>
      </c>
      <c r="M198" t="n">
        <v>0</v>
      </c>
      <c r="N198" t="n">
        <v>0</v>
      </c>
      <c r="O198" t="n">
        <v>0</v>
      </c>
      <c r="P198" t="n">
        <v>0</v>
      </c>
      <c r="Q198" t="n">
        <v>0</v>
      </c>
      <c r="R198" s="2" t="inlineStr"/>
    </row>
    <row r="199" ht="15" customHeight="1">
      <c r="A199" t="inlineStr">
        <is>
          <t>A 24092-2019</t>
        </is>
      </c>
      <c r="B199" s="1" t="n">
        <v>43598</v>
      </c>
      <c r="C199" s="1" t="n">
        <v>45360</v>
      </c>
      <c r="D199" t="inlineStr">
        <is>
          <t>ÖREBRO LÄN</t>
        </is>
      </c>
      <c r="E199" t="inlineStr">
        <is>
          <t>ÖREBRO</t>
        </is>
      </c>
      <c r="G199" t="n">
        <v>3.9</v>
      </c>
      <c r="H199" t="n">
        <v>0</v>
      </c>
      <c r="I199" t="n">
        <v>0</v>
      </c>
      <c r="J199" t="n">
        <v>0</v>
      </c>
      <c r="K199" t="n">
        <v>0</v>
      </c>
      <c r="L199" t="n">
        <v>0</v>
      </c>
      <c r="M199" t="n">
        <v>0</v>
      </c>
      <c r="N199" t="n">
        <v>0</v>
      </c>
      <c r="O199" t="n">
        <v>0</v>
      </c>
      <c r="P199" t="n">
        <v>0</v>
      </c>
      <c r="Q199" t="n">
        <v>0</v>
      </c>
      <c r="R199" s="2" t="inlineStr"/>
    </row>
    <row r="200" ht="15" customHeight="1">
      <c r="A200" t="inlineStr">
        <is>
          <t>A 25186-2019</t>
        </is>
      </c>
      <c r="B200" s="1" t="n">
        <v>43605</v>
      </c>
      <c r="C200" s="1" t="n">
        <v>45360</v>
      </c>
      <c r="D200" t="inlineStr">
        <is>
          <t>ÖREBRO LÄN</t>
        </is>
      </c>
      <c r="E200" t="inlineStr">
        <is>
          <t>ÖREBRO</t>
        </is>
      </c>
      <c r="G200" t="n">
        <v>2.3</v>
      </c>
      <c r="H200" t="n">
        <v>0</v>
      </c>
      <c r="I200" t="n">
        <v>0</v>
      </c>
      <c r="J200" t="n">
        <v>0</v>
      </c>
      <c r="K200" t="n">
        <v>0</v>
      </c>
      <c r="L200" t="n">
        <v>0</v>
      </c>
      <c r="M200" t="n">
        <v>0</v>
      </c>
      <c r="N200" t="n">
        <v>0</v>
      </c>
      <c r="O200" t="n">
        <v>0</v>
      </c>
      <c r="P200" t="n">
        <v>0</v>
      </c>
      <c r="Q200" t="n">
        <v>0</v>
      </c>
      <c r="R200" s="2" t="inlineStr"/>
      <c r="U200">
        <f>HYPERLINK("https://klasma.github.io/Logging_1880/knärot/A 25186-2019 karta knärot.png", "A 25186-2019")</f>
        <v/>
      </c>
      <c r="V200">
        <f>HYPERLINK("https://klasma.github.io/Logging_1880/klagomål/A 25186-2019 FSC-klagomål.docx", "A 25186-2019")</f>
        <v/>
      </c>
      <c r="W200">
        <f>HYPERLINK("https://klasma.github.io/Logging_1880/klagomålsmail/A 25186-2019 FSC-klagomål mail.docx", "A 25186-2019")</f>
        <v/>
      </c>
      <c r="X200">
        <f>HYPERLINK("https://klasma.github.io/Logging_1880/tillsyn/A 25186-2019 tillsynsbegäran.docx", "A 25186-2019")</f>
        <v/>
      </c>
      <c r="Y200">
        <f>HYPERLINK("https://klasma.github.io/Logging_1880/tillsynsmail/A 25186-2019 tillsynsbegäran mail.docx", "A 25186-2019")</f>
        <v/>
      </c>
    </row>
    <row r="201" ht="15" customHeight="1">
      <c r="A201" t="inlineStr">
        <is>
          <t>A 26306-2019</t>
        </is>
      </c>
      <c r="B201" s="1" t="n">
        <v>43612</v>
      </c>
      <c r="C201" s="1" t="n">
        <v>45360</v>
      </c>
      <c r="D201" t="inlineStr">
        <is>
          <t>ÖREBRO LÄN</t>
        </is>
      </c>
      <c r="E201" t="inlineStr">
        <is>
          <t>ÖREBRO</t>
        </is>
      </c>
      <c r="G201" t="n">
        <v>3</v>
      </c>
      <c r="H201" t="n">
        <v>0</v>
      </c>
      <c r="I201" t="n">
        <v>0</v>
      </c>
      <c r="J201" t="n">
        <v>0</v>
      </c>
      <c r="K201" t="n">
        <v>0</v>
      </c>
      <c r="L201" t="n">
        <v>0</v>
      </c>
      <c r="M201" t="n">
        <v>0</v>
      </c>
      <c r="N201" t="n">
        <v>0</v>
      </c>
      <c r="O201" t="n">
        <v>0</v>
      </c>
      <c r="P201" t="n">
        <v>0</v>
      </c>
      <c r="Q201" t="n">
        <v>0</v>
      </c>
      <c r="R201" s="2" t="inlineStr"/>
    </row>
    <row r="202" ht="15" customHeight="1">
      <c r="A202" t="inlineStr">
        <is>
          <t>A 28925-2019</t>
        </is>
      </c>
      <c r="B202" s="1" t="n">
        <v>43619</v>
      </c>
      <c r="C202" s="1" t="n">
        <v>45360</v>
      </c>
      <c r="D202" t="inlineStr">
        <is>
          <t>ÖREBRO LÄN</t>
        </is>
      </c>
      <c r="E202" t="inlineStr">
        <is>
          <t>ÖREBRO</t>
        </is>
      </c>
      <c r="F202" t="inlineStr">
        <is>
          <t>Övriga Aktiebolag</t>
        </is>
      </c>
      <c r="G202" t="n">
        <v>17.9</v>
      </c>
      <c r="H202" t="n">
        <v>0</v>
      </c>
      <c r="I202" t="n">
        <v>0</v>
      </c>
      <c r="J202" t="n">
        <v>0</v>
      </c>
      <c r="K202" t="n">
        <v>0</v>
      </c>
      <c r="L202" t="n">
        <v>0</v>
      </c>
      <c r="M202" t="n">
        <v>0</v>
      </c>
      <c r="N202" t="n">
        <v>0</v>
      </c>
      <c r="O202" t="n">
        <v>0</v>
      </c>
      <c r="P202" t="n">
        <v>0</v>
      </c>
      <c r="Q202" t="n">
        <v>0</v>
      </c>
      <c r="R202" s="2" t="inlineStr"/>
    </row>
    <row r="203" ht="15" customHeight="1">
      <c r="A203" t="inlineStr">
        <is>
          <t>A 28660-2019</t>
        </is>
      </c>
      <c r="B203" s="1" t="n">
        <v>43627</v>
      </c>
      <c r="C203" s="1" t="n">
        <v>45360</v>
      </c>
      <c r="D203" t="inlineStr">
        <is>
          <t>ÖREBRO LÄN</t>
        </is>
      </c>
      <c r="E203" t="inlineStr">
        <is>
          <t>ÖREBRO</t>
        </is>
      </c>
      <c r="F203" t="inlineStr">
        <is>
          <t>Övriga Aktiebolag</t>
        </is>
      </c>
      <c r="G203" t="n">
        <v>1.9</v>
      </c>
      <c r="H203" t="n">
        <v>0</v>
      </c>
      <c r="I203" t="n">
        <v>0</v>
      </c>
      <c r="J203" t="n">
        <v>0</v>
      </c>
      <c r="K203" t="n">
        <v>0</v>
      </c>
      <c r="L203" t="n">
        <v>0</v>
      </c>
      <c r="M203" t="n">
        <v>0</v>
      </c>
      <c r="N203" t="n">
        <v>0</v>
      </c>
      <c r="O203" t="n">
        <v>0</v>
      </c>
      <c r="P203" t="n">
        <v>0</v>
      </c>
      <c r="Q203" t="n">
        <v>0</v>
      </c>
      <c r="R203" s="2" t="inlineStr"/>
    </row>
    <row r="204" ht="15" customHeight="1">
      <c r="A204" t="inlineStr">
        <is>
          <t>A 31300-2019</t>
        </is>
      </c>
      <c r="B204" s="1" t="n">
        <v>43641</v>
      </c>
      <c r="C204" s="1" t="n">
        <v>45360</v>
      </c>
      <c r="D204" t="inlineStr">
        <is>
          <t>ÖREBRO LÄN</t>
        </is>
      </c>
      <c r="E204" t="inlineStr">
        <is>
          <t>ÖREBRO</t>
        </is>
      </c>
      <c r="G204" t="n">
        <v>1.8</v>
      </c>
      <c r="H204" t="n">
        <v>0</v>
      </c>
      <c r="I204" t="n">
        <v>0</v>
      </c>
      <c r="J204" t="n">
        <v>0</v>
      </c>
      <c r="K204" t="n">
        <v>0</v>
      </c>
      <c r="L204" t="n">
        <v>0</v>
      </c>
      <c r="M204" t="n">
        <v>0</v>
      </c>
      <c r="N204" t="n">
        <v>0</v>
      </c>
      <c r="O204" t="n">
        <v>0</v>
      </c>
      <c r="P204" t="n">
        <v>0</v>
      </c>
      <c r="Q204" t="n">
        <v>0</v>
      </c>
      <c r="R204" s="2" t="inlineStr"/>
    </row>
    <row r="205" ht="15" customHeight="1">
      <c r="A205" t="inlineStr">
        <is>
          <t>A 31982-2019</t>
        </is>
      </c>
      <c r="B205" s="1" t="n">
        <v>43642</v>
      </c>
      <c r="C205" s="1" t="n">
        <v>45360</v>
      </c>
      <c r="D205" t="inlineStr">
        <is>
          <t>ÖREBRO LÄN</t>
        </is>
      </c>
      <c r="E205" t="inlineStr">
        <is>
          <t>ÖREBRO</t>
        </is>
      </c>
      <c r="F205" t="inlineStr">
        <is>
          <t>Kommuner</t>
        </is>
      </c>
      <c r="G205" t="n">
        <v>2.7</v>
      </c>
      <c r="H205" t="n">
        <v>0</v>
      </c>
      <c r="I205" t="n">
        <v>0</v>
      </c>
      <c r="J205" t="n">
        <v>0</v>
      </c>
      <c r="K205" t="n">
        <v>0</v>
      </c>
      <c r="L205" t="n">
        <v>0</v>
      </c>
      <c r="M205" t="n">
        <v>0</v>
      </c>
      <c r="N205" t="n">
        <v>0</v>
      </c>
      <c r="O205" t="n">
        <v>0</v>
      </c>
      <c r="P205" t="n">
        <v>0</v>
      </c>
      <c r="Q205" t="n">
        <v>0</v>
      </c>
      <c r="R205" s="2" t="inlineStr"/>
    </row>
    <row r="206" ht="15" customHeight="1">
      <c r="A206" t="inlineStr">
        <is>
          <t>A 32410-2019</t>
        </is>
      </c>
      <c r="B206" s="1" t="n">
        <v>43644</v>
      </c>
      <c r="C206" s="1" t="n">
        <v>45360</v>
      </c>
      <c r="D206" t="inlineStr">
        <is>
          <t>ÖREBRO LÄN</t>
        </is>
      </c>
      <c r="E206" t="inlineStr">
        <is>
          <t>ÖREBRO</t>
        </is>
      </c>
      <c r="G206" t="n">
        <v>1.1</v>
      </c>
      <c r="H206" t="n">
        <v>0</v>
      </c>
      <c r="I206" t="n">
        <v>0</v>
      </c>
      <c r="J206" t="n">
        <v>0</v>
      </c>
      <c r="K206" t="n">
        <v>0</v>
      </c>
      <c r="L206" t="n">
        <v>0</v>
      </c>
      <c r="M206" t="n">
        <v>0</v>
      </c>
      <c r="N206" t="n">
        <v>0</v>
      </c>
      <c r="O206" t="n">
        <v>0</v>
      </c>
      <c r="P206" t="n">
        <v>0</v>
      </c>
      <c r="Q206" t="n">
        <v>0</v>
      </c>
      <c r="R206" s="2" t="inlineStr"/>
    </row>
    <row r="207" ht="15" customHeight="1">
      <c r="A207" t="inlineStr">
        <is>
          <t>A 32701-2019</t>
        </is>
      </c>
      <c r="B207" s="1" t="n">
        <v>43647</v>
      </c>
      <c r="C207" s="1" t="n">
        <v>45360</v>
      </c>
      <c r="D207" t="inlineStr">
        <is>
          <t>ÖREBRO LÄN</t>
        </is>
      </c>
      <c r="E207" t="inlineStr">
        <is>
          <t>ÖREBRO</t>
        </is>
      </c>
      <c r="F207" t="inlineStr">
        <is>
          <t>Övriga Aktiebolag</t>
        </is>
      </c>
      <c r="G207" t="n">
        <v>6.4</v>
      </c>
      <c r="H207" t="n">
        <v>0</v>
      </c>
      <c r="I207" t="n">
        <v>0</v>
      </c>
      <c r="J207" t="n">
        <v>0</v>
      </c>
      <c r="K207" t="n">
        <v>0</v>
      </c>
      <c r="L207" t="n">
        <v>0</v>
      </c>
      <c r="M207" t="n">
        <v>0</v>
      </c>
      <c r="N207" t="n">
        <v>0</v>
      </c>
      <c r="O207" t="n">
        <v>0</v>
      </c>
      <c r="P207" t="n">
        <v>0</v>
      </c>
      <c r="Q207" t="n">
        <v>0</v>
      </c>
      <c r="R207" s="2" t="inlineStr"/>
    </row>
    <row r="208" ht="15" customHeight="1">
      <c r="A208" t="inlineStr">
        <is>
          <t>A 32861-2019</t>
        </is>
      </c>
      <c r="B208" s="1" t="n">
        <v>43648</v>
      </c>
      <c r="C208" s="1" t="n">
        <v>45360</v>
      </c>
      <c r="D208" t="inlineStr">
        <is>
          <t>ÖREBRO LÄN</t>
        </is>
      </c>
      <c r="E208" t="inlineStr">
        <is>
          <t>ÖREBRO</t>
        </is>
      </c>
      <c r="G208" t="n">
        <v>0.9</v>
      </c>
      <c r="H208" t="n">
        <v>0</v>
      </c>
      <c r="I208" t="n">
        <v>0</v>
      </c>
      <c r="J208" t="n">
        <v>0</v>
      </c>
      <c r="K208" t="n">
        <v>0</v>
      </c>
      <c r="L208" t="n">
        <v>0</v>
      </c>
      <c r="M208" t="n">
        <v>0</v>
      </c>
      <c r="N208" t="n">
        <v>0</v>
      </c>
      <c r="O208" t="n">
        <v>0</v>
      </c>
      <c r="P208" t="n">
        <v>0</v>
      </c>
      <c r="Q208" t="n">
        <v>0</v>
      </c>
      <c r="R208" s="2" t="inlineStr"/>
    </row>
    <row r="209" ht="15" customHeight="1">
      <c r="A209" t="inlineStr">
        <is>
          <t>A 33314-2019</t>
        </is>
      </c>
      <c r="B209" s="1" t="n">
        <v>43650</v>
      </c>
      <c r="C209" s="1" t="n">
        <v>45360</v>
      </c>
      <c r="D209" t="inlineStr">
        <is>
          <t>ÖREBRO LÄN</t>
        </is>
      </c>
      <c r="E209" t="inlineStr">
        <is>
          <t>ÖREBRO</t>
        </is>
      </c>
      <c r="G209" t="n">
        <v>3.6</v>
      </c>
      <c r="H209" t="n">
        <v>0</v>
      </c>
      <c r="I209" t="n">
        <v>0</v>
      </c>
      <c r="J209" t="n">
        <v>0</v>
      </c>
      <c r="K209" t="n">
        <v>0</v>
      </c>
      <c r="L209" t="n">
        <v>0</v>
      </c>
      <c r="M209" t="n">
        <v>0</v>
      </c>
      <c r="N209" t="n">
        <v>0</v>
      </c>
      <c r="O209" t="n">
        <v>0</v>
      </c>
      <c r="P209" t="n">
        <v>0</v>
      </c>
      <c r="Q209" t="n">
        <v>0</v>
      </c>
      <c r="R209" s="2" t="inlineStr"/>
    </row>
    <row r="210" ht="15" customHeight="1">
      <c r="A210" t="inlineStr">
        <is>
          <t>A 35557-2019</t>
        </is>
      </c>
      <c r="B210" s="1" t="n">
        <v>43654</v>
      </c>
      <c r="C210" s="1" t="n">
        <v>45360</v>
      </c>
      <c r="D210" t="inlineStr">
        <is>
          <t>ÖREBRO LÄN</t>
        </is>
      </c>
      <c r="E210" t="inlineStr">
        <is>
          <t>ÖREBRO</t>
        </is>
      </c>
      <c r="F210" t="inlineStr">
        <is>
          <t>Kommuner</t>
        </is>
      </c>
      <c r="G210" t="n">
        <v>1</v>
      </c>
      <c r="H210" t="n">
        <v>0</v>
      </c>
      <c r="I210" t="n">
        <v>0</v>
      </c>
      <c r="J210" t="n">
        <v>0</v>
      </c>
      <c r="K210" t="n">
        <v>0</v>
      </c>
      <c r="L210" t="n">
        <v>0</v>
      </c>
      <c r="M210" t="n">
        <v>0</v>
      </c>
      <c r="N210" t="n">
        <v>0</v>
      </c>
      <c r="O210" t="n">
        <v>0</v>
      </c>
      <c r="P210" t="n">
        <v>0</v>
      </c>
      <c r="Q210" t="n">
        <v>0</v>
      </c>
      <c r="R210" s="2" t="inlineStr"/>
    </row>
    <row r="211" ht="15" customHeight="1">
      <c r="A211" t="inlineStr">
        <is>
          <t>A 35625-2019</t>
        </is>
      </c>
      <c r="B211" s="1" t="n">
        <v>43655</v>
      </c>
      <c r="C211" s="1" t="n">
        <v>45360</v>
      </c>
      <c r="D211" t="inlineStr">
        <is>
          <t>ÖREBRO LÄN</t>
        </is>
      </c>
      <c r="E211" t="inlineStr">
        <is>
          <t>ÖREBRO</t>
        </is>
      </c>
      <c r="G211" t="n">
        <v>10.2</v>
      </c>
      <c r="H211" t="n">
        <v>0</v>
      </c>
      <c r="I211" t="n">
        <v>0</v>
      </c>
      <c r="J211" t="n">
        <v>0</v>
      </c>
      <c r="K211" t="n">
        <v>0</v>
      </c>
      <c r="L211" t="n">
        <v>0</v>
      </c>
      <c r="M211" t="n">
        <v>0</v>
      </c>
      <c r="N211" t="n">
        <v>0</v>
      </c>
      <c r="O211" t="n">
        <v>0</v>
      </c>
      <c r="P211" t="n">
        <v>0</v>
      </c>
      <c r="Q211" t="n">
        <v>0</v>
      </c>
      <c r="R211" s="2" t="inlineStr"/>
    </row>
    <row r="212" ht="15" customHeight="1">
      <c r="A212" t="inlineStr">
        <is>
          <t>A 35588-2019</t>
        </is>
      </c>
      <c r="B212" s="1" t="n">
        <v>43655</v>
      </c>
      <c r="C212" s="1" t="n">
        <v>45360</v>
      </c>
      <c r="D212" t="inlineStr">
        <is>
          <t>ÖREBRO LÄN</t>
        </is>
      </c>
      <c r="E212" t="inlineStr">
        <is>
          <t>ÖREBRO</t>
        </is>
      </c>
      <c r="G212" t="n">
        <v>4.6</v>
      </c>
      <c r="H212" t="n">
        <v>0</v>
      </c>
      <c r="I212" t="n">
        <v>0</v>
      </c>
      <c r="J212" t="n">
        <v>0</v>
      </c>
      <c r="K212" t="n">
        <v>0</v>
      </c>
      <c r="L212" t="n">
        <v>0</v>
      </c>
      <c r="M212" t="n">
        <v>0</v>
      </c>
      <c r="N212" t="n">
        <v>0</v>
      </c>
      <c r="O212" t="n">
        <v>0</v>
      </c>
      <c r="P212" t="n">
        <v>0</v>
      </c>
      <c r="Q212" t="n">
        <v>0</v>
      </c>
      <c r="R212" s="2" t="inlineStr"/>
    </row>
    <row r="213" ht="15" customHeight="1">
      <c r="A213" t="inlineStr">
        <is>
          <t>A 34895-2019</t>
        </is>
      </c>
      <c r="B213" s="1" t="n">
        <v>43658</v>
      </c>
      <c r="C213" s="1" t="n">
        <v>45360</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34965-2019</t>
        </is>
      </c>
      <c r="B214" s="1" t="n">
        <v>43658</v>
      </c>
      <c r="C214" s="1" t="n">
        <v>45360</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35846-2019</t>
        </is>
      </c>
      <c r="B215" s="1" t="n">
        <v>43665</v>
      </c>
      <c r="C215" s="1" t="n">
        <v>45360</v>
      </c>
      <c r="D215" t="inlineStr">
        <is>
          <t>ÖREBRO LÄN</t>
        </is>
      </c>
      <c r="E215" t="inlineStr">
        <is>
          <t>ÖREBRO</t>
        </is>
      </c>
      <c r="G215" t="n">
        <v>5</v>
      </c>
      <c r="H215" t="n">
        <v>0</v>
      </c>
      <c r="I215" t="n">
        <v>0</v>
      </c>
      <c r="J215" t="n">
        <v>0</v>
      </c>
      <c r="K215" t="n">
        <v>0</v>
      </c>
      <c r="L215" t="n">
        <v>0</v>
      </c>
      <c r="M215" t="n">
        <v>0</v>
      </c>
      <c r="N215" t="n">
        <v>0</v>
      </c>
      <c r="O215" t="n">
        <v>0</v>
      </c>
      <c r="P215" t="n">
        <v>0</v>
      </c>
      <c r="Q215" t="n">
        <v>0</v>
      </c>
      <c r="R215" s="2" t="inlineStr"/>
    </row>
    <row r="216" ht="15" customHeight="1">
      <c r="A216" t="inlineStr">
        <is>
          <t>A 36124-2019</t>
        </is>
      </c>
      <c r="B216" s="1" t="n">
        <v>43665</v>
      </c>
      <c r="C216" s="1" t="n">
        <v>45360</v>
      </c>
      <c r="D216" t="inlineStr">
        <is>
          <t>ÖREBRO LÄN</t>
        </is>
      </c>
      <c r="E216" t="inlineStr">
        <is>
          <t>ÖREBRO</t>
        </is>
      </c>
      <c r="G216" t="n">
        <v>2.8</v>
      </c>
      <c r="H216" t="n">
        <v>0</v>
      </c>
      <c r="I216" t="n">
        <v>0</v>
      </c>
      <c r="J216" t="n">
        <v>0</v>
      </c>
      <c r="K216" t="n">
        <v>0</v>
      </c>
      <c r="L216" t="n">
        <v>0</v>
      </c>
      <c r="M216" t="n">
        <v>0</v>
      </c>
      <c r="N216" t="n">
        <v>0</v>
      </c>
      <c r="O216" t="n">
        <v>0</v>
      </c>
      <c r="P216" t="n">
        <v>0</v>
      </c>
      <c r="Q216" t="n">
        <v>0</v>
      </c>
      <c r="R216" s="2" t="inlineStr"/>
    </row>
    <row r="217" ht="15" customHeight="1">
      <c r="A217" t="inlineStr">
        <is>
          <t>A 36282-2019</t>
        </is>
      </c>
      <c r="B217" s="1" t="n">
        <v>43669</v>
      </c>
      <c r="C217" s="1" t="n">
        <v>45360</v>
      </c>
      <c r="D217" t="inlineStr">
        <is>
          <t>ÖREBRO LÄN</t>
        </is>
      </c>
      <c r="E217" t="inlineStr">
        <is>
          <t>ÖREBRO</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36283-2019</t>
        </is>
      </c>
      <c r="B218" s="1" t="n">
        <v>43669</v>
      </c>
      <c r="C218" s="1" t="n">
        <v>45360</v>
      </c>
      <c r="D218" t="inlineStr">
        <is>
          <t>ÖREBRO LÄN</t>
        </is>
      </c>
      <c r="E218" t="inlineStr">
        <is>
          <t>ÖREBRO</t>
        </is>
      </c>
      <c r="G218" t="n">
        <v>3.2</v>
      </c>
      <c r="H218" t="n">
        <v>0</v>
      </c>
      <c r="I218" t="n">
        <v>0</v>
      </c>
      <c r="J218" t="n">
        <v>0</v>
      </c>
      <c r="K218" t="n">
        <v>0</v>
      </c>
      <c r="L218" t="n">
        <v>0</v>
      </c>
      <c r="M218" t="n">
        <v>0</v>
      </c>
      <c r="N218" t="n">
        <v>0</v>
      </c>
      <c r="O218" t="n">
        <v>0</v>
      </c>
      <c r="P218" t="n">
        <v>0</v>
      </c>
      <c r="Q218" t="n">
        <v>0</v>
      </c>
      <c r="R218" s="2" t="inlineStr"/>
    </row>
    <row r="219" ht="15" customHeight="1">
      <c r="A219" t="inlineStr">
        <is>
          <t>A 36284-2019</t>
        </is>
      </c>
      <c r="B219" s="1" t="n">
        <v>43669</v>
      </c>
      <c r="C219" s="1" t="n">
        <v>45360</v>
      </c>
      <c r="D219" t="inlineStr">
        <is>
          <t>ÖREBRO LÄN</t>
        </is>
      </c>
      <c r="E219" t="inlineStr">
        <is>
          <t>ÖREBRO</t>
        </is>
      </c>
      <c r="G219" t="n">
        <v>1.5</v>
      </c>
      <c r="H219" t="n">
        <v>0</v>
      </c>
      <c r="I219" t="n">
        <v>0</v>
      </c>
      <c r="J219" t="n">
        <v>0</v>
      </c>
      <c r="K219" t="n">
        <v>0</v>
      </c>
      <c r="L219" t="n">
        <v>0</v>
      </c>
      <c r="M219" t="n">
        <v>0</v>
      </c>
      <c r="N219" t="n">
        <v>0</v>
      </c>
      <c r="O219" t="n">
        <v>0</v>
      </c>
      <c r="P219" t="n">
        <v>0</v>
      </c>
      <c r="Q219" t="n">
        <v>0</v>
      </c>
      <c r="R219" s="2" t="inlineStr"/>
    </row>
    <row r="220" ht="15" customHeight="1">
      <c r="A220" t="inlineStr">
        <is>
          <t>A 36990-2019</t>
        </is>
      </c>
      <c r="B220" s="1" t="n">
        <v>43676</v>
      </c>
      <c r="C220" s="1" t="n">
        <v>45360</v>
      </c>
      <c r="D220" t="inlineStr">
        <is>
          <t>ÖREBRO LÄN</t>
        </is>
      </c>
      <c r="E220" t="inlineStr">
        <is>
          <t>ÖREBRO</t>
        </is>
      </c>
      <c r="G220" t="n">
        <v>5.1</v>
      </c>
      <c r="H220" t="n">
        <v>0</v>
      </c>
      <c r="I220" t="n">
        <v>0</v>
      </c>
      <c r="J220" t="n">
        <v>0</v>
      </c>
      <c r="K220" t="n">
        <v>0</v>
      </c>
      <c r="L220" t="n">
        <v>0</v>
      </c>
      <c r="M220" t="n">
        <v>0</v>
      </c>
      <c r="N220" t="n">
        <v>0</v>
      </c>
      <c r="O220" t="n">
        <v>0</v>
      </c>
      <c r="P220" t="n">
        <v>0</v>
      </c>
      <c r="Q220" t="n">
        <v>0</v>
      </c>
      <c r="R220" s="2" t="inlineStr"/>
    </row>
    <row r="221" ht="15" customHeight="1">
      <c r="A221" t="inlineStr">
        <is>
          <t>A 37254-2019</t>
        </is>
      </c>
      <c r="B221" s="1" t="n">
        <v>43677</v>
      </c>
      <c r="C221" s="1" t="n">
        <v>45360</v>
      </c>
      <c r="D221" t="inlineStr">
        <is>
          <t>ÖREBRO LÄN</t>
        </is>
      </c>
      <c r="E221" t="inlineStr">
        <is>
          <t>ÖREBRO</t>
        </is>
      </c>
      <c r="G221" t="n">
        <v>10.3</v>
      </c>
      <c r="H221" t="n">
        <v>0</v>
      </c>
      <c r="I221" t="n">
        <v>0</v>
      </c>
      <c r="J221" t="n">
        <v>0</v>
      </c>
      <c r="K221" t="n">
        <v>0</v>
      </c>
      <c r="L221" t="n">
        <v>0</v>
      </c>
      <c r="M221" t="n">
        <v>0</v>
      </c>
      <c r="N221" t="n">
        <v>0</v>
      </c>
      <c r="O221" t="n">
        <v>0</v>
      </c>
      <c r="P221" t="n">
        <v>0</v>
      </c>
      <c r="Q221" t="n">
        <v>0</v>
      </c>
      <c r="R221" s="2" t="inlineStr"/>
    </row>
    <row r="222" ht="15" customHeight="1">
      <c r="A222" t="inlineStr">
        <is>
          <t>A 37258-2019</t>
        </is>
      </c>
      <c r="B222" s="1" t="n">
        <v>43677</v>
      </c>
      <c r="C222" s="1" t="n">
        <v>45360</v>
      </c>
      <c r="D222" t="inlineStr">
        <is>
          <t>ÖREBRO LÄN</t>
        </is>
      </c>
      <c r="E222" t="inlineStr">
        <is>
          <t>ÖREBRO</t>
        </is>
      </c>
      <c r="G222" t="n">
        <v>1.6</v>
      </c>
      <c r="H222" t="n">
        <v>0</v>
      </c>
      <c r="I222" t="n">
        <v>0</v>
      </c>
      <c r="J222" t="n">
        <v>0</v>
      </c>
      <c r="K222" t="n">
        <v>0</v>
      </c>
      <c r="L222" t="n">
        <v>0</v>
      </c>
      <c r="M222" t="n">
        <v>0</v>
      </c>
      <c r="N222" t="n">
        <v>0</v>
      </c>
      <c r="O222" t="n">
        <v>0</v>
      </c>
      <c r="P222" t="n">
        <v>0</v>
      </c>
      <c r="Q222" t="n">
        <v>0</v>
      </c>
      <c r="R222" s="2" t="inlineStr"/>
    </row>
    <row r="223" ht="15" customHeight="1">
      <c r="A223" t="inlineStr">
        <is>
          <t>A 37278-2019</t>
        </is>
      </c>
      <c r="B223" s="1" t="n">
        <v>43677</v>
      </c>
      <c r="C223" s="1" t="n">
        <v>45360</v>
      </c>
      <c r="D223" t="inlineStr">
        <is>
          <t>ÖREBRO LÄN</t>
        </is>
      </c>
      <c r="E223" t="inlineStr">
        <is>
          <t>ÖREBRO</t>
        </is>
      </c>
      <c r="G223" t="n">
        <v>7.9</v>
      </c>
      <c r="H223" t="n">
        <v>0</v>
      </c>
      <c r="I223" t="n">
        <v>0</v>
      </c>
      <c r="J223" t="n">
        <v>0</v>
      </c>
      <c r="K223" t="n">
        <v>0</v>
      </c>
      <c r="L223" t="n">
        <v>0</v>
      </c>
      <c r="M223" t="n">
        <v>0</v>
      </c>
      <c r="N223" t="n">
        <v>0</v>
      </c>
      <c r="O223" t="n">
        <v>0</v>
      </c>
      <c r="P223" t="n">
        <v>0</v>
      </c>
      <c r="Q223" t="n">
        <v>0</v>
      </c>
      <c r="R223" s="2" t="inlineStr"/>
    </row>
    <row r="224" ht="15" customHeight="1">
      <c r="A224" t="inlineStr">
        <is>
          <t>A 37930-2019</t>
        </is>
      </c>
      <c r="B224" s="1" t="n">
        <v>43683</v>
      </c>
      <c r="C224" s="1" t="n">
        <v>45360</v>
      </c>
      <c r="D224" t="inlineStr">
        <is>
          <t>ÖREBRO LÄN</t>
        </is>
      </c>
      <c r="E224" t="inlineStr">
        <is>
          <t>ÖREBRO</t>
        </is>
      </c>
      <c r="G224" t="n">
        <v>4.8</v>
      </c>
      <c r="H224" t="n">
        <v>0</v>
      </c>
      <c r="I224" t="n">
        <v>0</v>
      </c>
      <c r="J224" t="n">
        <v>0</v>
      </c>
      <c r="K224" t="n">
        <v>0</v>
      </c>
      <c r="L224" t="n">
        <v>0</v>
      </c>
      <c r="M224" t="n">
        <v>0</v>
      </c>
      <c r="N224" t="n">
        <v>0</v>
      </c>
      <c r="O224" t="n">
        <v>0</v>
      </c>
      <c r="P224" t="n">
        <v>0</v>
      </c>
      <c r="Q224" t="n">
        <v>0</v>
      </c>
      <c r="R224" s="2" t="inlineStr"/>
    </row>
    <row r="225" ht="15" customHeight="1">
      <c r="A225" t="inlineStr">
        <is>
          <t>A 38372-2019</t>
        </is>
      </c>
      <c r="B225" s="1" t="n">
        <v>43683</v>
      </c>
      <c r="C225" s="1" t="n">
        <v>45360</v>
      </c>
      <c r="D225" t="inlineStr">
        <is>
          <t>ÖREBRO LÄN</t>
        </is>
      </c>
      <c r="E225" t="inlineStr">
        <is>
          <t>ÖREBRO</t>
        </is>
      </c>
      <c r="G225" t="n">
        <v>9.800000000000001</v>
      </c>
      <c r="H225" t="n">
        <v>0</v>
      </c>
      <c r="I225" t="n">
        <v>0</v>
      </c>
      <c r="J225" t="n">
        <v>0</v>
      </c>
      <c r="K225" t="n">
        <v>0</v>
      </c>
      <c r="L225" t="n">
        <v>0</v>
      </c>
      <c r="M225" t="n">
        <v>0</v>
      </c>
      <c r="N225" t="n">
        <v>0</v>
      </c>
      <c r="O225" t="n">
        <v>0</v>
      </c>
      <c r="P225" t="n">
        <v>0</v>
      </c>
      <c r="Q225" t="n">
        <v>0</v>
      </c>
      <c r="R225" s="2" t="inlineStr"/>
    </row>
    <row r="226" ht="15" customHeight="1">
      <c r="A226" t="inlineStr">
        <is>
          <t>A 38389-2019</t>
        </is>
      </c>
      <c r="B226" s="1" t="n">
        <v>43685</v>
      </c>
      <c r="C226" s="1" t="n">
        <v>45360</v>
      </c>
      <c r="D226" t="inlineStr">
        <is>
          <t>ÖREBRO LÄN</t>
        </is>
      </c>
      <c r="E226" t="inlineStr">
        <is>
          <t>ÖREBRO</t>
        </is>
      </c>
      <c r="G226" t="n">
        <v>3.7</v>
      </c>
      <c r="H226" t="n">
        <v>0</v>
      </c>
      <c r="I226" t="n">
        <v>0</v>
      </c>
      <c r="J226" t="n">
        <v>0</v>
      </c>
      <c r="K226" t="n">
        <v>0</v>
      </c>
      <c r="L226" t="n">
        <v>0</v>
      </c>
      <c r="M226" t="n">
        <v>0</v>
      </c>
      <c r="N226" t="n">
        <v>0</v>
      </c>
      <c r="O226" t="n">
        <v>0</v>
      </c>
      <c r="P226" t="n">
        <v>0</v>
      </c>
      <c r="Q226" t="n">
        <v>0</v>
      </c>
      <c r="R226" s="2" t="inlineStr"/>
    </row>
    <row r="227" ht="15" customHeight="1">
      <c r="A227" t="inlineStr">
        <is>
          <t>A 38885-2019</t>
        </is>
      </c>
      <c r="B227" s="1" t="n">
        <v>43686</v>
      </c>
      <c r="C227" s="1" t="n">
        <v>45360</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38923-2019</t>
        </is>
      </c>
      <c r="B228" s="1" t="n">
        <v>43689</v>
      </c>
      <c r="C228" s="1" t="n">
        <v>45360</v>
      </c>
      <c r="D228" t="inlineStr">
        <is>
          <t>ÖREBRO LÄN</t>
        </is>
      </c>
      <c r="E228" t="inlineStr">
        <is>
          <t>ÖREBRO</t>
        </is>
      </c>
      <c r="G228" t="n">
        <v>0.6</v>
      </c>
      <c r="H228" t="n">
        <v>0</v>
      </c>
      <c r="I228" t="n">
        <v>0</v>
      </c>
      <c r="J228" t="n">
        <v>0</v>
      </c>
      <c r="K228" t="n">
        <v>0</v>
      </c>
      <c r="L228" t="n">
        <v>0</v>
      </c>
      <c r="M228" t="n">
        <v>0</v>
      </c>
      <c r="N228" t="n">
        <v>0</v>
      </c>
      <c r="O228" t="n">
        <v>0</v>
      </c>
      <c r="P228" t="n">
        <v>0</v>
      </c>
      <c r="Q228" t="n">
        <v>0</v>
      </c>
      <c r="R228" s="2" t="inlineStr"/>
    </row>
    <row r="229" ht="15" customHeight="1">
      <c r="A229" t="inlineStr">
        <is>
          <t>A 38846-2019</t>
        </is>
      </c>
      <c r="B229" s="1" t="n">
        <v>43689</v>
      </c>
      <c r="C229" s="1" t="n">
        <v>45360</v>
      </c>
      <c r="D229" t="inlineStr">
        <is>
          <t>ÖREBRO LÄN</t>
        </is>
      </c>
      <c r="E229" t="inlineStr">
        <is>
          <t>ÖREBRO</t>
        </is>
      </c>
      <c r="G229" t="n">
        <v>3.8</v>
      </c>
      <c r="H229" t="n">
        <v>0</v>
      </c>
      <c r="I229" t="n">
        <v>0</v>
      </c>
      <c r="J229" t="n">
        <v>0</v>
      </c>
      <c r="K229" t="n">
        <v>0</v>
      </c>
      <c r="L229" t="n">
        <v>0</v>
      </c>
      <c r="M229" t="n">
        <v>0</v>
      </c>
      <c r="N229" t="n">
        <v>0</v>
      </c>
      <c r="O229" t="n">
        <v>0</v>
      </c>
      <c r="P229" t="n">
        <v>0</v>
      </c>
      <c r="Q229" t="n">
        <v>0</v>
      </c>
      <c r="R229" s="2" t="inlineStr"/>
    </row>
    <row r="230" ht="15" customHeight="1">
      <c r="A230" t="inlineStr">
        <is>
          <t>A 39303-2019</t>
        </is>
      </c>
      <c r="B230" s="1" t="n">
        <v>43690</v>
      </c>
      <c r="C230" s="1" t="n">
        <v>45360</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39576-2019</t>
        </is>
      </c>
      <c r="B231" s="1" t="n">
        <v>43691</v>
      </c>
      <c r="C231" s="1" t="n">
        <v>45360</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39714-2019</t>
        </is>
      </c>
      <c r="B232" s="1" t="n">
        <v>43691</v>
      </c>
      <c r="C232" s="1" t="n">
        <v>45360</v>
      </c>
      <c r="D232" t="inlineStr">
        <is>
          <t>ÖREBRO LÄN</t>
        </is>
      </c>
      <c r="E232" t="inlineStr">
        <is>
          <t>ÖREBRO</t>
        </is>
      </c>
      <c r="G232" t="n">
        <v>0.6</v>
      </c>
      <c r="H232" t="n">
        <v>0</v>
      </c>
      <c r="I232" t="n">
        <v>0</v>
      </c>
      <c r="J232" t="n">
        <v>0</v>
      </c>
      <c r="K232" t="n">
        <v>0</v>
      </c>
      <c r="L232" t="n">
        <v>0</v>
      </c>
      <c r="M232" t="n">
        <v>0</v>
      </c>
      <c r="N232" t="n">
        <v>0</v>
      </c>
      <c r="O232" t="n">
        <v>0</v>
      </c>
      <c r="P232" t="n">
        <v>0</v>
      </c>
      <c r="Q232" t="n">
        <v>0</v>
      </c>
      <c r="R232" s="2" t="inlineStr"/>
    </row>
    <row r="233" ht="15" customHeight="1">
      <c r="A233" t="inlineStr">
        <is>
          <t>A 40694-2019</t>
        </is>
      </c>
      <c r="B233" s="1" t="n">
        <v>43691</v>
      </c>
      <c r="C233" s="1" t="n">
        <v>45360</v>
      </c>
      <c r="D233" t="inlineStr">
        <is>
          <t>ÖREBRO LÄN</t>
        </is>
      </c>
      <c r="E233" t="inlineStr">
        <is>
          <t>ÖREBRO</t>
        </is>
      </c>
      <c r="F233" t="inlineStr">
        <is>
          <t>Kommuner</t>
        </is>
      </c>
      <c r="G233" t="n">
        <v>4</v>
      </c>
      <c r="H233" t="n">
        <v>0</v>
      </c>
      <c r="I233" t="n">
        <v>0</v>
      </c>
      <c r="J233" t="n">
        <v>0</v>
      </c>
      <c r="K233" t="n">
        <v>0</v>
      </c>
      <c r="L233" t="n">
        <v>0</v>
      </c>
      <c r="M233" t="n">
        <v>0</v>
      </c>
      <c r="N233" t="n">
        <v>0</v>
      </c>
      <c r="O233" t="n">
        <v>0</v>
      </c>
      <c r="P233" t="n">
        <v>0</v>
      </c>
      <c r="Q233" t="n">
        <v>0</v>
      </c>
      <c r="R233" s="2" t="inlineStr"/>
    </row>
    <row r="234" ht="15" customHeight="1">
      <c r="A234" t="inlineStr">
        <is>
          <t>A 40556-2019</t>
        </is>
      </c>
      <c r="B234" s="1" t="n">
        <v>43691</v>
      </c>
      <c r="C234" s="1" t="n">
        <v>45360</v>
      </c>
      <c r="D234" t="inlineStr">
        <is>
          <t>ÖREBRO LÄN</t>
        </is>
      </c>
      <c r="E234" t="inlineStr">
        <is>
          <t>ÖREBRO</t>
        </is>
      </c>
      <c r="G234" t="n">
        <v>6.5</v>
      </c>
      <c r="H234" t="n">
        <v>0</v>
      </c>
      <c r="I234" t="n">
        <v>0</v>
      </c>
      <c r="J234" t="n">
        <v>0</v>
      </c>
      <c r="K234" t="n">
        <v>0</v>
      </c>
      <c r="L234" t="n">
        <v>0</v>
      </c>
      <c r="M234" t="n">
        <v>0</v>
      </c>
      <c r="N234" t="n">
        <v>0</v>
      </c>
      <c r="O234" t="n">
        <v>0</v>
      </c>
      <c r="P234" t="n">
        <v>0</v>
      </c>
      <c r="Q234" t="n">
        <v>0</v>
      </c>
      <c r="R234" s="2" t="inlineStr"/>
    </row>
    <row r="235" ht="15" customHeight="1">
      <c r="A235" t="inlineStr">
        <is>
          <t>A 41063-2019</t>
        </is>
      </c>
      <c r="B235" s="1" t="n">
        <v>43698</v>
      </c>
      <c r="C235" s="1" t="n">
        <v>45360</v>
      </c>
      <c r="D235" t="inlineStr">
        <is>
          <t>ÖREBRO LÄN</t>
        </is>
      </c>
      <c r="E235" t="inlineStr">
        <is>
          <t>ÖREBRO</t>
        </is>
      </c>
      <c r="G235" t="n">
        <v>2.9</v>
      </c>
      <c r="H235" t="n">
        <v>0</v>
      </c>
      <c r="I235" t="n">
        <v>0</v>
      </c>
      <c r="J235" t="n">
        <v>0</v>
      </c>
      <c r="K235" t="n">
        <v>0</v>
      </c>
      <c r="L235" t="n">
        <v>0</v>
      </c>
      <c r="M235" t="n">
        <v>0</v>
      </c>
      <c r="N235" t="n">
        <v>0</v>
      </c>
      <c r="O235" t="n">
        <v>0</v>
      </c>
      <c r="P235" t="n">
        <v>0</v>
      </c>
      <c r="Q235" t="n">
        <v>0</v>
      </c>
      <c r="R235" s="2" t="inlineStr"/>
    </row>
    <row r="236" ht="15" customHeight="1">
      <c r="A236" t="inlineStr">
        <is>
          <t>A 44039-2019</t>
        </is>
      </c>
      <c r="B236" s="1" t="n">
        <v>43704</v>
      </c>
      <c r="C236" s="1" t="n">
        <v>45360</v>
      </c>
      <c r="D236" t="inlineStr">
        <is>
          <t>ÖREBRO LÄN</t>
        </is>
      </c>
      <c r="E236" t="inlineStr">
        <is>
          <t>ÖREBRO</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43692-2019</t>
        </is>
      </c>
      <c r="B237" s="1" t="n">
        <v>43704</v>
      </c>
      <c r="C237" s="1" t="n">
        <v>45360</v>
      </c>
      <c r="D237" t="inlineStr">
        <is>
          <t>ÖREBRO LÄN</t>
        </is>
      </c>
      <c r="E237" t="inlineStr">
        <is>
          <t>ÖREBRO</t>
        </is>
      </c>
      <c r="G237" t="n">
        <v>0.9</v>
      </c>
      <c r="H237" t="n">
        <v>0</v>
      </c>
      <c r="I237" t="n">
        <v>0</v>
      </c>
      <c r="J237" t="n">
        <v>0</v>
      </c>
      <c r="K237" t="n">
        <v>0</v>
      </c>
      <c r="L237" t="n">
        <v>0</v>
      </c>
      <c r="M237" t="n">
        <v>0</v>
      </c>
      <c r="N237" t="n">
        <v>0</v>
      </c>
      <c r="O237" t="n">
        <v>0</v>
      </c>
      <c r="P237" t="n">
        <v>0</v>
      </c>
      <c r="Q237" t="n">
        <v>0</v>
      </c>
      <c r="R237" s="2" t="inlineStr"/>
    </row>
    <row r="238" ht="15" customHeight="1">
      <c r="A238" t="inlineStr">
        <is>
          <t>A 44034-2019</t>
        </is>
      </c>
      <c r="B238" s="1" t="n">
        <v>43704</v>
      </c>
      <c r="C238" s="1" t="n">
        <v>45360</v>
      </c>
      <c r="D238" t="inlineStr">
        <is>
          <t>ÖREBRO LÄN</t>
        </is>
      </c>
      <c r="E238" t="inlineStr">
        <is>
          <t>ÖREBRO</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44152-2019</t>
        </is>
      </c>
      <c r="B239" s="1" t="n">
        <v>43704</v>
      </c>
      <c r="C239" s="1" t="n">
        <v>45360</v>
      </c>
      <c r="D239" t="inlineStr">
        <is>
          <t>ÖREBRO LÄN</t>
        </is>
      </c>
      <c r="E239" t="inlineStr">
        <is>
          <t>ÖREBRO</t>
        </is>
      </c>
      <c r="F239" t="inlineStr">
        <is>
          <t>Kommuner</t>
        </is>
      </c>
      <c r="G239" t="n">
        <v>0.6</v>
      </c>
      <c r="H239" t="n">
        <v>0</v>
      </c>
      <c r="I239" t="n">
        <v>0</v>
      </c>
      <c r="J239" t="n">
        <v>0</v>
      </c>
      <c r="K239" t="n">
        <v>0</v>
      </c>
      <c r="L239" t="n">
        <v>0</v>
      </c>
      <c r="M239" t="n">
        <v>0</v>
      </c>
      <c r="N239" t="n">
        <v>0</v>
      </c>
      <c r="O239" t="n">
        <v>0</v>
      </c>
      <c r="P239" t="n">
        <v>0</v>
      </c>
      <c r="Q239" t="n">
        <v>0</v>
      </c>
      <c r="R239" s="2" t="inlineStr"/>
    </row>
    <row r="240" ht="15" customHeight="1">
      <c r="A240" t="inlineStr">
        <is>
          <t>A 43632-2019</t>
        </is>
      </c>
      <c r="B240" s="1" t="n">
        <v>43704</v>
      </c>
      <c r="C240" s="1" t="n">
        <v>45360</v>
      </c>
      <c r="D240" t="inlineStr">
        <is>
          <t>ÖREBRO LÄN</t>
        </is>
      </c>
      <c r="E240" t="inlineStr">
        <is>
          <t>ÖREBRO</t>
        </is>
      </c>
      <c r="G240" t="n">
        <v>4.7</v>
      </c>
      <c r="H240" t="n">
        <v>0</v>
      </c>
      <c r="I240" t="n">
        <v>0</v>
      </c>
      <c r="J240" t="n">
        <v>0</v>
      </c>
      <c r="K240" t="n">
        <v>0</v>
      </c>
      <c r="L240" t="n">
        <v>0</v>
      </c>
      <c r="M240" t="n">
        <v>0</v>
      </c>
      <c r="N240" t="n">
        <v>0</v>
      </c>
      <c r="O240" t="n">
        <v>0</v>
      </c>
      <c r="P240" t="n">
        <v>0</v>
      </c>
      <c r="Q240" t="n">
        <v>0</v>
      </c>
      <c r="R240" s="2" t="inlineStr"/>
    </row>
    <row r="241" ht="15" customHeight="1">
      <c r="A241" t="inlineStr">
        <is>
          <t>A 43007-2019</t>
        </is>
      </c>
      <c r="B241" s="1" t="n">
        <v>43705</v>
      </c>
      <c r="C241" s="1" t="n">
        <v>45360</v>
      </c>
      <c r="D241" t="inlineStr">
        <is>
          <t>ÖREBRO LÄN</t>
        </is>
      </c>
      <c r="E241" t="inlineStr">
        <is>
          <t>ÖREBRO</t>
        </is>
      </c>
      <c r="G241" t="n">
        <v>7.5</v>
      </c>
      <c r="H241" t="n">
        <v>0</v>
      </c>
      <c r="I241" t="n">
        <v>0</v>
      </c>
      <c r="J241" t="n">
        <v>0</v>
      </c>
      <c r="K241" t="n">
        <v>0</v>
      </c>
      <c r="L241" t="n">
        <v>0</v>
      </c>
      <c r="M241" t="n">
        <v>0</v>
      </c>
      <c r="N241" t="n">
        <v>0</v>
      </c>
      <c r="O241" t="n">
        <v>0</v>
      </c>
      <c r="P241" t="n">
        <v>0</v>
      </c>
      <c r="Q241" t="n">
        <v>0</v>
      </c>
      <c r="R241" s="2" t="inlineStr"/>
    </row>
    <row r="242" ht="15" customHeight="1">
      <c r="A242" t="inlineStr">
        <is>
          <t>A 44153-2019</t>
        </is>
      </c>
      <c r="B242" s="1" t="n">
        <v>43710</v>
      </c>
      <c r="C242" s="1" t="n">
        <v>45360</v>
      </c>
      <c r="D242" t="inlineStr">
        <is>
          <t>ÖREBRO LÄN</t>
        </is>
      </c>
      <c r="E242" t="inlineStr">
        <is>
          <t>ÖREBRO</t>
        </is>
      </c>
      <c r="G242" t="n">
        <v>5.5</v>
      </c>
      <c r="H242" t="n">
        <v>0</v>
      </c>
      <c r="I242" t="n">
        <v>0</v>
      </c>
      <c r="J242" t="n">
        <v>0</v>
      </c>
      <c r="K242" t="n">
        <v>0</v>
      </c>
      <c r="L242" t="n">
        <v>0</v>
      </c>
      <c r="M242" t="n">
        <v>0</v>
      </c>
      <c r="N242" t="n">
        <v>0</v>
      </c>
      <c r="O242" t="n">
        <v>0</v>
      </c>
      <c r="P242" t="n">
        <v>0</v>
      </c>
      <c r="Q242" t="n">
        <v>0</v>
      </c>
      <c r="R242" s="2" t="inlineStr"/>
    </row>
    <row r="243" ht="15" customHeight="1">
      <c r="A243" t="inlineStr">
        <is>
          <t>A 44280-2019</t>
        </is>
      </c>
      <c r="B243" s="1" t="n">
        <v>43710</v>
      </c>
      <c r="C243" s="1" t="n">
        <v>45360</v>
      </c>
      <c r="D243" t="inlineStr">
        <is>
          <t>ÖREBRO LÄN</t>
        </is>
      </c>
      <c r="E243" t="inlineStr">
        <is>
          <t>ÖREBRO</t>
        </is>
      </c>
      <c r="G243" t="n">
        <v>0.8</v>
      </c>
      <c r="H243" t="n">
        <v>0</v>
      </c>
      <c r="I243" t="n">
        <v>0</v>
      </c>
      <c r="J243" t="n">
        <v>0</v>
      </c>
      <c r="K243" t="n">
        <v>0</v>
      </c>
      <c r="L243" t="n">
        <v>0</v>
      </c>
      <c r="M243" t="n">
        <v>0</v>
      </c>
      <c r="N243" t="n">
        <v>0</v>
      </c>
      <c r="O243" t="n">
        <v>0</v>
      </c>
      <c r="P243" t="n">
        <v>0</v>
      </c>
      <c r="Q243" t="n">
        <v>0</v>
      </c>
      <c r="R243" s="2" t="inlineStr"/>
    </row>
    <row r="244" ht="15" customHeight="1">
      <c r="A244" t="inlineStr">
        <is>
          <t>A 44277-2019</t>
        </is>
      </c>
      <c r="B244" s="1" t="n">
        <v>43710</v>
      </c>
      <c r="C244" s="1" t="n">
        <v>45360</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45309-2019</t>
        </is>
      </c>
      <c r="B245" s="1" t="n">
        <v>43710</v>
      </c>
      <c r="C245" s="1" t="n">
        <v>45360</v>
      </c>
      <c r="D245" t="inlineStr">
        <is>
          <t>ÖREBRO LÄN</t>
        </is>
      </c>
      <c r="E245" t="inlineStr">
        <is>
          <t>ÖREBRO</t>
        </is>
      </c>
      <c r="F245" t="inlineStr">
        <is>
          <t>Kommuner</t>
        </is>
      </c>
      <c r="G245" t="n">
        <v>1.5</v>
      </c>
      <c r="H245" t="n">
        <v>0</v>
      </c>
      <c r="I245" t="n">
        <v>0</v>
      </c>
      <c r="J245" t="n">
        <v>0</v>
      </c>
      <c r="K245" t="n">
        <v>0</v>
      </c>
      <c r="L245" t="n">
        <v>0</v>
      </c>
      <c r="M245" t="n">
        <v>0</v>
      </c>
      <c r="N245" t="n">
        <v>0</v>
      </c>
      <c r="O245" t="n">
        <v>0</v>
      </c>
      <c r="P245" t="n">
        <v>0</v>
      </c>
      <c r="Q245" t="n">
        <v>0</v>
      </c>
      <c r="R245" s="2" t="inlineStr"/>
    </row>
    <row r="246" ht="15" customHeight="1">
      <c r="A246" t="inlineStr">
        <is>
          <t>A 44278-2019</t>
        </is>
      </c>
      <c r="B246" s="1" t="n">
        <v>43710</v>
      </c>
      <c r="C246" s="1" t="n">
        <v>45360</v>
      </c>
      <c r="D246" t="inlineStr">
        <is>
          <t>ÖREBRO LÄN</t>
        </is>
      </c>
      <c r="E246" t="inlineStr">
        <is>
          <t>ÖREBRO</t>
        </is>
      </c>
      <c r="G246" t="n">
        <v>3.6</v>
      </c>
      <c r="H246" t="n">
        <v>0</v>
      </c>
      <c r="I246" t="n">
        <v>0</v>
      </c>
      <c r="J246" t="n">
        <v>0</v>
      </c>
      <c r="K246" t="n">
        <v>0</v>
      </c>
      <c r="L246" t="n">
        <v>0</v>
      </c>
      <c r="M246" t="n">
        <v>0</v>
      </c>
      <c r="N246" t="n">
        <v>0</v>
      </c>
      <c r="O246" t="n">
        <v>0</v>
      </c>
      <c r="P246" t="n">
        <v>0</v>
      </c>
      <c r="Q246" t="n">
        <v>0</v>
      </c>
      <c r="R246" s="2" t="inlineStr"/>
    </row>
    <row r="247" ht="15" customHeight="1">
      <c r="A247" t="inlineStr">
        <is>
          <t>A 45311-2019</t>
        </is>
      </c>
      <c r="B247" s="1" t="n">
        <v>43710</v>
      </c>
      <c r="C247" s="1" t="n">
        <v>45360</v>
      </c>
      <c r="D247" t="inlineStr">
        <is>
          <t>ÖREBRO LÄN</t>
        </is>
      </c>
      <c r="E247" t="inlineStr">
        <is>
          <t>ÖREBRO</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44948-2019</t>
        </is>
      </c>
      <c r="B248" s="1" t="n">
        <v>43713</v>
      </c>
      <c r="C248" s="1" t="n">
        <v>45360</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45418-2019</t>
        </is>
      </c>
      <c r="B249" s="1" t="n">
        <v>43714</v>
      </c>
      <c r="C249" s="1" t="n">
        <v>45360</v>
      </c>
      <c r="D249" t="inlineStr">
        <is>
          <t>ÖREBRO LÄN</t>
        </is>
      </c>
      <c r="E249" t="inlineStr">
        <is>
          <t>ÖREBRO</t>
        </is>
      </c>
      <c r="G249" t="n">
        <v>9</v>
      </c>
      <c r="H249" t="n">
        <v>0</v>
      </c>
      <c r="I249" t="n">
        <v>0</v>
      </c>
      <c r="J249" t="n">
        <v>0</v>
      </c>
      <c r="K249" t="n">
        <v>0</v>
      </c>
      <c r="L249" t="n">
        <v>0</v>
      </c>
      <c r="M249" t="n">
        <v>0</v>
      </c>
      <c r="N249" t="n">
        <v>0</v>
      </c>
      <c r="O249" t="n">
        <v>0</v>
      </c>
      <c r="P249" t="n">
        <v>0</v>
      </c>
      <c r="Q249" t="n">
        <v>0</v>
      </c>
      <c r="R249" s="2" t="inlineStr"/>
    </row>
    <row r="250" ht="15" customHeight="1">
      <c r="A250" t="inlineStr">
        <is>
          <t>A 45420-2019</t>
        </is>
      </c>
      <c r="B250" s="1" t="n">
        <v>43714</v>
      </c>
      <c r="C250" s="1" t="n">
        <v>45360</v>
      </c>
      <c r="D250" t="inlineStr">
        <is>
          <t>ÖREBRO LÄN</t>
        </is>
      </c>
      <c r="E250" t="inlineStr">
        <is>
          <t>ÖREBRO</t>
        </is>
      </c>
      <c r="G250" t="n">
        <v>4.2</v>
      </c>
      <c r="H250" t="n">
        <v>0</v>
      </c>
      <c r="I250" t="n">
        <v>0</v>
      </c>
      <c r="J250" t="n">
        <v>0</v>
      </c>
      <c r="K250" t="n">
        <v>0</v>
      </c>
      <c r="L250" t="n">
        <v>0</v>
      </c>
      <c r="M250" t="n">
        <v>0</v>
      </c>
      <c r="N250" t="n">
        <v>0</v>
      </c>
      <c r="O250" t="n">
        <v>0</v>
      </c>
      <c r="P250" t="n">
        <v>0</v>
      </c>
      <c r="Q250" t="n">
        <v>0</v>
      </c>
      <c r="R250" s="2" t="inlineStr"/>
    </row>
    <row r="251" ht="15" customHeight="1">
      <c r="A251" t="inlineStr">
        <is>
          <t>A 45686-2019</t>
        </is>
      </c>
      <c r="B251" s="1" t="n">
        <v>43714</v>
      </c>
      <c r="C251" s="1" t="n">
        <v>45360</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46552-2019</t>
        </is>
      </c>
      <c r="B252" s="1" t="n">
        <v>43719</v>
      </c>
      <c r="C252" s="1" t="n">
        <v>45360</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46900-2019</t>
        </is>
      </c>
      <c r="B253" s="1" t="n">
        <v>43719</v>
      </c>
      <c r="C253" s="1" t="n">
        <v>45360</v>
      </c>
      <c r="D253" t="inlineStr">
        <is>
          <t>ÖREBRO LÄN</t>
        </is>
      </c>
      <c r="E253" t="inlineStr">
        <is>
          <t>ÖREBRO</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49926-2019</t>
        </is>
      </c>
      <c r="B254" s="1" t="n">
        <v>43733</v>
      </c>
      <c r="C254" s="1" t="n">
        <v>45360</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50074-2019</t>
        </is>
      </c>
      <c r="B255" s="1" t="n">
        <v>43734</v>
      </c>
      <c r="C255" s="1" t="n">
        <v>45360</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50080-2019</t>
        </is>
      </c>
      <c r="B256" s="1" t="n">
        <v>43734</v>
      </c>
      <c r="C256" s="1" t="n">
        <v>45360</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50148-2019</t>
        </is>
      </c>
      <c r="B257" s="1" t="n">
        <v>43734</v>
      </c>
      <c r="C257" s="1" t="n">
        <v>45360</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50366-2019</t>
        </is>
      </c>
      <c r="B258" s="1" t="n">
        <v>43735</v>
      </c>
      <c r="C258" s="1" t="n">
        <v>45360</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50321-2019</t>
        </is>
      </c>
      <c r="B259" s="1" t="n">
        <v>43735</v>
      </c>
      <c r="C259" s="1" t="n">
        <v>45360</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52705-2019</t>
        </is>
      </c>
      <c r="B260" s="1" t="n">
        <v>43739</v>
      </c>
      <c r="C260" s="1" t="n">
        <v>45360</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51808-2019</t>
        </is>
      </c>
      <c r="B261" s="1" t="n">
        <v>43741</v>
      </c>
      <c r="C261" s="1" t="n">
        <v>45360</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54181-2019</t>
        </is>
      </c>
      <c r="B262" s="1" t="n">
        <v>43745</v>
      </c>
      <c r="C262" s="1" t="n">
        <v>45360</v>
      </c>
      <c r="D262" t="inlineStr">
        <is>
          <t>ÖREBRO LÄN</t>
        </is>
      </c>
      <c r="E262" t="inlineStr">
        <is>
          <t>ÖREBRO</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53446-2019</t>
        </is>
      </c>
      <c r="B263" s="1" t="n">
        <v>43748</v>
      </c>
      <c r="C263" s="1" t="n">
        <v>45360</v>
      </c>
      <c r="D263" t="inlineStr">
        <is>
          <t>ÖREBRO LÄN</t>
        </is>
      </c>
      <c r="E263" t="inlineStr">
        <is>
          <t>ÖREBRO</t>
        </is>
      </c>
      <c r="G263" t="n">
        <v>4.1</v>
      </c>
      <c r="H263" t="n">
        <v>0</v>
      </c>
      <c r="I263" t="n">
        <v>0</v>
      </c>
      <c r="J263" t="n">
        <v>0</v>
      </c>
      <c r="K263" t="n">
        <v>0</v>
      </c>
      <c r="L263" t="n">
        <v>0</v>
      </c>
      <c r="M263" t="n">
        <v>0</v>
      </c>
      <c r="N263" t="n">
        <v>0</v>
      </c>
      <c r="O263" t="n">
        <v>0</v>
      </c>
      <c r="P263" t="n">
        <v>0</v>
      </c>
      <c r="Q263" t="n">
        <v>0</v>
      </c>
      <c r="R263" s="2" t="inlineStr"/>
    </row>
    <row r="264" ht="15" customHeight="1">
      <c r="A264" t="inlineStr">
        <is>
          <t>A 54912-2019</t>
        </is>
      </c>
      <c r="B264" s="1" t="n">
        <v>43755</v>
      </c>
      <c r="C264" s="1" t="n">
        <v>45360</v>
      </c>
      <c r="D264" t="inlineStr">
        <is>
          <t>ÖREBRO LÄN</t>
        </is>
      </c>
      <c r="E264" t="inlineStr">
        <is>
          <t>ÖREBRO</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57706-2019</t>
        </is>
      </c>
      <c r="B265" s="1" t="n">
        <v>43761</v>
      </c>
      <c r="C265" s="1" t="n">
        <v>45360</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56963-2019</t>
        </is>
      </c>
      <c r="B266" s="1" t="n">
        <v>43766</v>
      </c>
      <c r="C266" s="1" t="n">
        <v>45360</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57673-2019</t>
        </is>
      </c>
      <c r="B267" s="1" t="n">
        <v>43768</v>
      </c>
      <c r="C267" s="1" t="n">
        <v>45360</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58955-2019</t>
        </is>
      </c>
      <c r="B268" s="1" t="n">
        <v>43774</v>
      </c>
      <c r="C268" s="1" t="n">
        <v>45360</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59109-2019</t>
        </is>
      </c>
      <c r="B269" s="1" t="n">
        <v>43775</v>
      </c>
      <c r="C269" s="1" t="n">
        <v>45360</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59582-2019</t>
        </is>
      </c>
      <c r="B270" s="1" t="n">
        <v>43776</v>
      </c>
      <c r="C270" s="1" t="n">
        <v>45360</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60960-2019</t>
        </is>
      </c>
      <c r="B271" s="1" t="n">
        <v>43782</v>
      </c>
      <c r="C271" s="1" t="n">
        <v>45360</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61408-2019</t>
        </is>
      </c>
      <c r="B272" s="1" t="n">
        <v>43783</v>
      </c>
      <c r="C272" s="1" t="n">
        <v>45360</v>
      </c>
      <c r="D272" t="inlineStr">
        <is>
          <t>ÖREBRO LÄN</t>
        </is>
      </c>
      <c r="E272" t="inlineStr">
        <is>
          <t>ÖREBRO</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61669-2019</t>
        </is>
      </c>
      <c r="B273" s="1" t="n">
        <v>43783</v>
      </c>
      <c r="C273" s="1" t="n">
        <v>45360</v>
      </c>
      <c r="D273" t="inlineStr">
        <is>
          <t>ÖREBRO LÄN</t>
        </is>
      </c>
      <c r="E273" t="inlineStr">
        <is>
          <t>ÖREBRO</t>
        </is>
      </c>
      <c r="F273" t="inlineStr">
        <is>
          <t>Kommuner</t>
        </is>
      </c>
      <c r="G273" t="n">
        <v>2.4</v>
      </c>
      <c r="H273" t="n">
        <v>0</v>
      </c>
      <c r="I273" t="n">
        <v>0</v>
      </c>
      <c r="J273" t="n">
        <v>0</v>
      </c>
      <c r="K273" t="n">
        <v>0</v>
      </c>
      <c r="L273" t="n">
        <v>0</v>
      </c>
      <c r="M273" t="n">
        <v>0</v>
      </c>
      <c r="N273" t="n">
        <v>0</v>
      </c>
      <c r="O273" t="n">
        <v>0</v>
      </c>
      <c r="P273" t="n">
        <v>0</v>
      </c>
      <c r="Q273" t="n">
        <v>0</v>
      </c>
      <c r="R273" s="2" t="inlineStr"/>
    </row>
    <row r="274" ht="15" customHeight="1">
      <c r="A274" t="inlineStr">
        <is>
          <t>A 61552-2019</t>
        </is>
      </c>
      <c r="B274" s="1" t="n">
        <v>43784</v>
      </c>
      <c r="C274" s="1" t="n">
        <v>45360</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61812-2019</t>
        </is>
      </c>
      <c r="B275" s="1" t="n">
        <v>43786</v>
      </c>
      <c r="C275" s="1" t="n">
        <v>45360</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62131-2019</t>
        </is>
      </c>
      <c r="B276" s="1" t="n">
        <v>43787</v>
      </c>
      <c r="C276" s="1" t="n">
        <v>45360</v>
      </c>
      <c r="D276" t="inlineStr">
        <is>
          <t>ÖREBRO LÄN</t>
        </is>
      </c>
      <c r="E276" t="inlineStr">
        <is>
          <t>ÖREBRO</t>
        </is>
      </c>
      <c r="G276" t="n">
        <v>2.6</v>
      </c>
      <c r="H276" t="n">
        <v>0</v>
      </c>
      <c r="I276" t="n">
        <v>0</v>
      </c>
      <c r="J276" t="n">
        <v>0</v>
      </c>
      <c r="K276" t="n">
        <v>0</v>
      </c>
      <c r="L276" t="n">
        <v>0</v>
      </c>
      <c r="M276" t="n">
        <v>0</v>
      </c>
      <c r="N276" t="n">
        <v>0</v>
      </c>
      <c r="O276" t="n">
        <v>0</v>
      </c>
      <c r="P276" t="n">
        <v>0</v>
      </c>
      <c r="Q276" t="n">
        <v>0</v>
      </c>
      <c r="R276" s="2" t="inlineStr"/>
    </row>
    <row r="277" ht="15" customHeight="1">
      <c r="A277" t="inlineStr">
        <is>
          <t>A 63970-2019</t>
        </is>
      </c>
      <c r="B277" s="1" t="n">
        <v>43790</v>
      </c>
      <c r="C277" s="1" t="n">
        <v>45360</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63722-2019</t>
        </is>
      </c>
      <c r="B278" s="1" t="n">
        <v>43790</v>
      </c>
      <c r="C278" s="1" t="n">
        <v>45360</v>
      </c>
      <c r="D278" t="inlineStr">
        <is>
          <t>ÖREBRO LÄN</t>
        </is>
      </c>
      <c r="E278" t="inlineStr">
        <is>
          <t>ÖREBRO</t>
        </is>
      </c>
      <c r="G278" t="n">
        <v>4</v>
      </c>
      <c r="H278" t="n">
        <v>0</v>
      </c>
      <c r="I278" t="n">
        <v>0</v>
      </c>
      <c r="J278" t="n">
        <v>0</v>
      </c>
      <c r="K278" t="n">
        <v>0</v>
      </c>
      <c r="L278" t="n">
        <v>0</v>
      </c>
      <c r="M278" t="n">
        <v>0</v>
      </c>
      <c r="N278" t="n">
        <v>0</v>
      </c>
      <c r="O278" t="n">
        <v>0</v>
      </c>
      <c r="P278" t="n">
        <v>0</v>
      </c>
      <c r="Q278" t="n">
        <v>0</v>
      </c>
      <c r="R278" s="2" t="inlineStr"/>
    </row>
    <row r="279" ht="15" customHeight="1">
      <c r="A279" t="inlineStr">
        <is>
          <t>A 63310-2019</t>
        </is>
      </c>
      <c r="B279" s="1" t="n">
        <v>43794</v>
      </c>
      <c r="C279" s="1" t="n">
        <v>45360</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64095-2019</t>
        </is>
      </c>
      <c r="B280" s="1" t="n">
        <v>43796</v>
      </c>
      <c r="C280" s="1" t="n">
        <v>45360</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64384-2019</t>
        </is>
      </c>
      <c r="B281" s="1" t="n">
        <v>43797</v>
      </c>
      <c r="C281" s="1" t="n">
        <v>45360</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65014-2019</t>
        </is>
      </c>
      <c r="B282" s="1" t="n">
        <v>43801</v>
      </c>
      <c r="C282" s="1" t="n">
        <v>45360</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64984-2019</t>
        </is>
      </c>
      <c r="B283" s="1" t="n">
        <v>43801</v>
      </c>
      <c r="C283" s="1" t="n">
        <v>45360</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65011-2019</t>
        </is>
      </c>
      <c r="B284" s="1" t="n">
        <v>43801</v>
      </c>
      <c r="C284" s="1" t="n">
        <v>45360</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65937-2019</t>
        </is>
      </c>
      <c r="B285" s="1" t="n">
        <v>43801</v>
      </c>
      <c r="C285" s="1" t="n">
        <v>45360</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65451-2019</t>
        </is>
      </c>
      <c r="B286" s="1" t="n">
        <v>43803</v>
      </c>
      <c r="C286" s="1" t="n">
        <v>45360</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65738-2019</t>
        </is>
      </c>
      <c r="B287" s="1" t="n">
        <v>43804</v>
      </c>
      <c r="C287" s="1" t="n">
        <v>45360</v>
      </c>
      <c r="D287" t="inlineStr">
        <is>
          <t>ÖREBRO LÄN</t>
        </is>
      </c>
      <c r="E287" t="inlineStr">
        <is>
          <t>ÖREBRO</t>
        </is>
      </c>
      <c r="G287" t="n">
        <v>6</v>
      </c>
      <c r="H287" t="n">
        <v>0</v>
      </c>
      <c r="I287" t="n">
        <v>0</v>
      </c>
      <c r="J287" t="n">
        <v>0</v>
      </c>
      <c r="K287" t="n">
        <v>0</v>
      </c>
      <c r="L287" t="n">
        <v>0</v>
      </c>
      <c r="M287" t="n">
        <v>0</v>
      </c>
      <c r="N287" t="n">
        <v>0</v>
      </c>
      <c r="O287" t="n">
        <v>0</v>
      </c>
      <c r="P287" t="n">
        <v>0</v>
      </c>
      <c r="Q287" t="n">
        <v>0</v>
      </c>
      <c r="R287" s="2" t="inlineStr"/>
    </row>
    <row r="288" ht="15" customHeight="1">
      <c r="A288" t="inlineStr">
        <is>
          <t>A 66581-2019</t>
        </is>
      </c>
      <c r="B288" s="1" t="n">
        <v>43809</v>
      </c>
      <c r="C288" s="1" t="n">
        <v>45360</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66562-2019</t>
        </is>
      </c>
      <c r="B289" s="1" t="n">
        <v>43809</v>
      </c>
      <c r="C289" s="1" t="n">
        <v>45360</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67939-2019</t>
        </is>
      </c>
      <c r="B290" s="1" t="n">
        <v>43810</v>
      </c>
      <c r="C290" s="1" t="n">
        <v>45360</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67471-2019</t>
        </is>
      </c>
      <c r="B291" s="1" t="n">
        <v>43814</v>
      </c>
      <c r="C291" s="1" t="n">
        <v>45360</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67469-2019</t>
        </is>
      </c>
      <c r="B292" s="1" t="n">
        <v>43814</v>
      </c>
      <c r="C292" s="1" t="n">
        <v>45360</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67475-2019</t>
        </is>
      </c>
      <c r="B293" s="1" t="n">
        <v>43814</v>
      </c>
      <c r="C293" s="1" t="n">
        <v>45360</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67477-2019</t>
        </is>
      </c>
      <c r="B294" s="1" t="n">
        <v>43814</v>
      </c>
      <c r="C294" s="1" t="n">
        <v>45360</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68541-2019</t>
        </is>
      </c>
      <c r="B295" s="1" t="n">
        <v>43818</v>
      </c>
      <c r="C295" s="1" t="n">
        <v>45360</v>
      </c>
      <c r="D295" t="inlineStr">
        <is>
          <t>ÖREBRO LÄN</t>
        </is>
      </c>
      <c r="E295" t="inlineStr">
        <is>
          <t>ÖREBRO</t>
        </is>
      </c>
      <c r="G295" t="n">
        <v>5.9</v>
      </c>
      <c r="H295" t="n">
        <v>0</v>
      </c>
      <c r="I295" t="n">
        <v>0</v>
      </c>
      <c r="J295" t="n">
        <v>0</v>
      </c>
      <c r="K295" t="n">
        <v>0</v>
      </c>
      <c r="L295" t="n">
        <v>0</v>
      </c>
      <c r="M295" t="n">
        <v>0</v>
      </c>
      <c r="N295" t="n">
        <v>0</v>
      </c>
      <c r="O295" t="n">
        <v>0</v>
      </c>
      <c r="P295" t="n">
        <v>0</v>
      </c>
      <c r="Q295" t="n">
        <v>0</v>
      </c>
      <c r="R295" s="2" t="inlineStr"/>
    </row>
    <row r="296" ht="15" customHeight="1">
      <c r="A296" t="inlineStr">
        <is>
          <t>A 68554-2019</t>
        </is>
      </c>
      <c r="B296" s="1" t="n">
        <v>43818</v>
      </c>
      <c r="C296" s="1" t="n">
        <v>45360</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257-2020</t>
        </is>
      </c>
      <c r="B297" s="1" t="n">
        <v>43836</v>
      </c>
      <c r="C297" s="1" t="n">
        <v>45360</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760-2020</t>
        </is>
      </c>
      <c r="B298" s="1" t="n">
        <v>43838</v>
      </c>
      <c r="C298" s="1" t="n">
        <v>45360</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2329-2020</t>
        </is>
      </c>
      <c r="B299" s="1" t="n">
        <v>43840</v>
      </c>
      <c r="C299" s="1" t="n">
        <v>45360</v>
      </c>
      <c r="D299" t="inlineStr">
        <is>
          <t>ÖREBRO LÄN</t>
        </is>
      </c>
      <c r="E299" t="inlineStr">
        <is>
          <t>ÖREBRO</t>
        </is>
      </c>
      <c r="F299" t="inlineStr">
        <is>
          <t>Kommuner</t>
        </is>
      </c>
      <c r="G299" t="n">
        <v>3.7</v>
      </c>
      <c r="H299" t="n">
        <v>0</v>
      </c>
      <c r="I299" t="n">
        <v>0</v>
      </c>
      <c r="J299" t="n">
        <v>0</v>
      </c>
      <c r="K299" t="n">
        <v>0</v>
      </c>
      <c r="L299" t="n">
        <v>0</v>
      </c>
      <c r="M299" t="n">
        <v>0</v>
      </c>
      <c r="N299" t="n">
        <v>0</v>
      </c>
      <c r="O299" t="n">
        <v>0</v>
      </c>
      <c r="P299" t="n">
        <v>0</v>
      </c>
      <c r="Q299" t="n">
        <v>0</v>
      </c>
      <c r="R299" s="2" t="inlineStr"/>
    </row>
    <row r="300" ht="15" customHeight="1">
      <c r="A300" t="inlineStr">
        <is>
          <t>A 1311-2020</t>
        </is>
      </c>
      <c r="B300" s="1" t="n">
        <v>43843</v>
      </c>
      <c r="C300" s="1" t="n">
        <v>45360</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1574-2020</t>
        </is>
      </c>
      <c r="B301" s="1" t="n">
        <v>43844</v>
      </c>
      <c r="C301" s="1" t="n">
        <v>45360</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1580-2020</t>
        </is>
      </c>
      <c r="B302" s="1" t="n">
        <v>43844</v>
      </c>
      <c r="C302" s="1" t="n">
        <v>45360</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1577-2020</t>
        </is>
      </c>
      <c r="B303" s="1" t="n">
        <v>43844</v>
      </c>
      <c r="C303" s="1" t="n">
        <v>45360</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1582-2020</t>
        </is>
      </c>
      <c r="B304" s="1" t="n">
        <v>43844</v>
      </c>
      <c r="C304" s="1" t="n">
        <v>45360</v>
      </c>
      <c r="D304" t="inlineStr">
        <is>
          <t>ÖREBRO LÄN</t>
        </is>
      </c>
      <c r="E304" t="inlineStr">
        <is>
          <t>ÖREBRO</t>
        </is>
      </c>
      <c r="G304" t="n">
        <v>5.3</v>
      </c>
      <c r="H304" t="n">
        <v>0</v>
      </c>
      <c r="I304" t="n">
        <v>0</v>
      </c>
      <c r="J304" t="n">
        <v>0</v>
      </c>
      <c r="K304" t="n">
        <v>0</v>
      </c>
      <c r="L304" t="n">
        <v>0</v>
      </c>
      <c r="M304" t="n">
        <v>0</v>
      </c>
      <c r="N304" t="n">
        <v>0</v>
      </c>
      <c r="O304" t="n">
        <v>0</v>
      </c>
      <c r="P304" t="n">
        <v>0</v>
      </c>
      <c r="Q304" t="n">
        <v>0</v>
      </c>
      <c r="R304" s="2" t="inlineStr"/>
    </row>
    <row r="305" ht="15" customHeight="1">
      <c r="A305" t="inlineStr">
        <is>
          <t>A 1581-2020</t>
        </is>
      </c>
      <c r="B305" s="1" t="n">
        <v>43844</v>
      </c>
      <c r="C305" s="1" t="n">
        <v>45360</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1573-2020</t>
        </is>
      </c>
      <c r="B306" s="1" t="n">
        <v>43844</v>
      </c>
      <c r="C306" s="1" t="n">
        <v>45360</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1579-2020</t>
        </is>
      </c>
      <c r="B307" s="1" t="n">
        <v>43844</v>
      </c>
      <c r="C307" s="1" t="n">
        <v>45360</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1575-2020</t>
        </is>
      </c>
      <c r="B308" s="1" t="n">
        <v>43844</v>
      </c>
      <c r="C308" s="1" t="n">
        <v>45360</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3022-2020</t>
        </is>
      </c>
      <c r="B309" s="1" t="n">
        <v>43851</v>
      </c>
      <c r="C309" s="1" t="n">
        <v>45360</v>
      </c>
      <c r="D309" t="inlineStr">
        <is>
          <t>ÖREBRO LÄN</t>
        </is>
      </c>
      <c r="E309" t="inlineStr">
        <is>
          <t>ÖREBRO</t>
        </is>
      </c>
      <c r="G309" t="n">
        <v>3.4</v>
      </c>
      <c r="H309" t="n">
        <v>0</v>
      </c>
      <c r="I309" t="n">
        <v>0</v>
      </c>
      <c r="J309" t="n">
        <v>0</v>
      </c>
      <c r="K309" t="n">
        <v>0</v>
      </c>
      <c r="L309" t="n">
        <v>0</v>
      </c>
      <c r="M309" t="n">
        <v>0</v>
      </c>
      <c r="N309" t="n">
        <v>0</v>
      </c>
      <c r="O309" t="n">
        <v>0</v>
      </c>
      <c r="P309" t="n">
        <v>0</v>
      </c>
      <c r="Q309" t="n">
        <v>0</v>
      </c>
      <c r="R309" s="2" t="inlineStr"/>
    </row>
    <row r="310" ht="15" customHeight="1">
      <c r="A310" t="inlineStr">
        <is>
          <t>A 3630-2020</t>
        </is>
      </c>
      <c r="B310" s="1" t="n">
        <v>43853</v>
      </c>
      <c r="C310" s="1" t="n">
        <v>45360</v>
      </c>
      <c r="D310" t="inlineStr">
        <is>
          <t>ÖREBRO LÄN</t>
        </is>
      </c>
      <c r="E310" t="inlineStr">
        <is>
          <t>ÖREBRO</t>
        </is>
      </c>
      <c r="G310" t="n">
        <v>7.9</v>
      </c>
      <c r="H310" t="n">
        <v>0</v>
      </c>
      <c r="I310" t="n">
        <v>0</v>
      </c>
      <c r="J310" t="n">
        <v>0</v>
      </c>
      <c r="K310" t="n">
        <v>0</v>
      </c>
      <c r="L310" t="n">
        <v>0</v>
      </c>
      <c r="M310" t="n">
        <v>0</v>
      </c>
      <c r="N310" t="n">
        <v>0</v>
      </c>
      <c r="O310" t="n">
        <v>0</v>
      </c>
      <c r="P310" t="n">
        <v>0</v>
      </c>
      <c r="Q310" t="n">
        <v>0</v>
      </c>
      <c r="R310" s="2" t="inlineStr"/>
    </row>
    <row r="311" ht="15" customHeight="1">
      <c r="A311" t="inlineStr">
        <is>
          <t>A 3628-2020</t>
        </is>
      </c>
      <c r="B311" s="1" t="n">
        <v>43853</v>
      </c>
      <c r="C311" s="1" t="n">
        <v>45360</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4990-2020</t>
        </is>
      </c>
      <c r="B312" s="1" t="n">
        <v>43853</v>
      </c>
      <c r="C312" s="1" t="n">
        <v>45360</v>
      </c>
      <c r="D312" t="inlineStr">
        <is>
          <t>ÖREBRO LÄN</t>
        </is>
      </c>
      <c r="E312" t="inlineStr">
        <is>
          <t>ÖREBRO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3956-2020</t>
        </is>
      </c>
      <c r="B313" s="1" t="n">
        <v>43854</v>
      </c>
      <c r="C313" s="1" t="n">
        <v>45360</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4343-2020</t>
        </is>
      </c>
      <c r="B314" s="1" t="n">
        <v>43857</v>
      </c>
      <c r="C314" s="1" t="n">
        <v>45360</v>
      </c>
      <c r="D314" t="inlineStr">
        <is>
          <t>ÖREBRO LÄN</t>
        </is>
      </c>
      <c r="E314" t="inlineStr">
        <is>
          <t>ÖREBRO</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4751-2020</t>
        </is>
      </c>
      <c r="B315" s="1" t="n">
        <v>43858</v>
      </c>
      <c r="C315" s="1" t="n">
        <v>45360</v>
      </c>
      <c r="D315" t="inlineStr">
        <is>
          <t>ÖREBRO LÄN</t>
        </is>
      </c>
      <c r="E315" t="inlineStr">
        <is>
          <t>ÖREBRO</t>
        </is>
      </c>
      <c r="F315" t="inlineStr">
        <is>
          <t>Kommuner</t>
        </is>
      </c>
      <c r="G315" t="n">
        <v>2.9</v>
      </c>
      <c r="H315" t="n">
        <v>0</v>
      </c>
      <c r="I315" t="n">
        <v>0</v>
      </c>
      <c r="J315" t="n">
        <v>0</v>
      </c>
      <c r="K315" t="n">
        <v>0</v>
      </c>
      <c r="L315" t="n">
        <v>0</v>
      </c>
      <c r="M315" t="n">
        <v>0</v>
      </c>
      <c r="N315" t="n">
        <v>0</v>
      </c>
      <c r="O315" t="n">
        <v>0</v>
      </c>
      <c r="P315" t="n">
        <v>0</v>
      </c>
      <c r="Q315" t="n">
        <v>0</v>
      </c>
      <c r="R315" s="2" t="inlineStr"/>
      <c r="U315">
        <f>HYPERLINK("https://klasma.github.io/Logging_1880/knärot/A 4751-2020 karta knärot.png", "A 4751-2020")</f>
        <v/>
      </c>
      <c r="V315">
        <f>HYPERLINK("https://klasma.github.io/Logging_1880/klagomål/A 4751-2020 FSC-klagomål.docx", "A 4751-2020")</f>
        <v/>
      </c>
      <c r="W315">
        <f>HYPERLINK("https://klasma.github.io/Logging_1880/klagomålsmail/A 4751-2020 FSC-klagomål mail.docx", "A 4751-2020")</f>
        <v/>
      </c>
      <c r="X315">
        <f>HYPERLINK("https://klasma.github.io/Logging_1880/tillsyn/A 4751-2020 tillsynsbegäran.docx", "A 4751-2020")</f>
        <v/>
      </c>
      <c r="Y315">
        <f>HYPERLINK("https://klasma.github.io/Logging_1880/tillsynsmail/A 4751-2020 tillsynsbegäran mail.docx", "A 4751-2020")</f>
        <v/>
      </c>
    </row>
    <row r="316" ht="15" customHeight="1">
      <c r="A316" t="inlineStr">
        <is>
          <t>A 5076-2020</t>
        </is>
      </c>
      <c r="B316" s="1" t="n">
        <v>43859</v>
      </c>
      <c r="C316" s="1" t="n">
        <v>45360</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6166-2020</t>
        </is>
      </c>
      <c r="B317" s="1" t="n">
        <v>43864</v>
      </c>
      <c r="C317" s="1" t="n">
        <v>45360</v>
      </c>
      <c r="D317" t="inlineStr">
        <is>
          <t>ÖREBRO LÄN</t>
        </is>
      </c>
      <c r="E317" t="inlineStr">
        <is>
          <t>ÖREBRO</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6247-2020</t>
        </is>
      </c>
      <c r="B318" s="1" t="n">
        <v>43864</v>
      </c>
      <c r="C318" s="1" t="n">
        <v>45360</v>
      </c>
      <c r="D318" t="inlineStr">
        <is>
          <t>ÖREBRO LÄN</t>
        </is>
      </c>
      <c r="E318" t="inlineStr">
        <is>
          <t>ÖREBRO</t>
        </is>
      </c>
      <c r="G318" t="n">
        <v>4.2</v>
      </c>
      <c r="H318" t="n">
        <v>0</v>
      </c>
      <c r="I318" t="n">
        <v>0</v>
      </c>
      <c r="J318" t="n">
        <v>0</v>
      </c>
      <c r="K318" t="n">
        <v>0</v>
      </c>
      <c r="L318" t="n">
        <v>0</v>
      </c>
      <c r="M318" t="n">
        <v>0</v>
      </c>
      <c r="N318" t="n">
        <v>0</v>
      </c>
      <c r="O318" t="n">
        <v>0</v>
      </c>
      <c r="P318" t="n">
        <v>0</v>
      </c>
      <c r="Q318" t="n">
        <v>0</v>
      </c>
      <c r="R318" s="2" t="inlineStr"/>
    </row>
    <row r="319" ht="15" customHeight="1">
      <c r="A319" t="inlineStr">
        <is>
          <t>A 6456-2020</t>
        </is>
      </c>
      <c r="B319" s="1" t="n">
        <v>43866</v>
      </c>
      <c r="C319" s="1" t="n">
        <v>45360</v>
      </c>
      <c r="D319" t="inlineStr">
        <is>
          <t>ÖREBRO LÄN</t>
        </is>
      </c>
      <c r="E319" t="inlineStr">
        <is>
          <t>ÖREBRO</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6633-2020</t>
        </is>
      </c>
      <c r="B320" s="1" t="n">
        <v>43867</v>
      </c>
      <c r="C320" s="1" t="n">
        <v>45360</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6792-2020</t>
        </is>
      </c>
      <c r="B321" s="1" t="n">
        <v>43867</v>
      </c>
      <c r="C321" s="1" t="n">
        <v>45360</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6924-2020</t>
        </is>
      </c>
      <c r="B322" s="1" t="n">
        <v>43868</v>
      </c>
      <c r="C322" s="1" t="n">
        <v>45360</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6949-2020</t>
        </is>
      </c>
      <c r="B323" s="1" t="n">
        <v>43868</v>
      </c>
      <c r="C323" s="1" t="n">
        <v>45360</v>
      </c>
      <c r="D323" t="inlineStr">
        <is>
          <t>ÖREBRO LÄN</t>
        </is>
      </c>
      <c r="E323" t="inlineStr">
        <is>
          <t>ÖREBRO</t>
        </is>
      </c>
      <c r="G323" t="n">
        <v>3.4</v>
      </c>
      <c r="H323" t="n">
        <v>0</v>
      </c>
      <c r="I323" t="n">
        <v>0</v>
      </c>
      <c r="J323" t="n">
        <v>0</v>
      </c>
      <c r="K323" t="n">
        <v>0</v>
      </c>
      <c r="L323" t="n">
        <v>0</v>
      </c>
      <c r="M323" t="n">
        <v>0</v>
      </c>
      <c r="N323" t="n">
        <v>0</v>
      </c>
      <c r="O323" t="n">
        <v>0</v>
      </c>
      <c r="P323" t="n">
        <v>0</v>
      </c>
      <c r="Q323" t="n">
        <v>0</v>
      </c>
      <c r="R323" s="2" t="inlineStr"/>
    </row>
    <row r="324" ht="15" customHeight="1">
      <c r="A324" t="inlineStr">
        <is>
          <t>A 7583-2020</t>
        </is>
      </c>
      <c r="B324" s="1" t="n">
        <v>43872</v>
      </c>
      <c r="C324" s="1" t="n">
        <v>45360</v>
      </c>
      <c r="D324" t="inlineStr">
        <is>
          <t>ÖREBRO LÄN</t>
        </is>
      </c>
      <c r="E324" t="inlineStr">
        <is>
          <t>ÖREBRO</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8563-2020</t>
        </is>
      </c>
      <c r="B325" s="1" t="n">
        <v>43877</v>
      </c>
      <c r="C325" s="1" t="n">
        <v>45360</v>
      </c>
      <c r="D325" t="inlineStr">
        <is>
          <t>ÖREBRO LÄN</t>
        </is>
      </c>
      <c r="E325" t="inlineStr">
        <is>
          <t>ÖREBRO</t>
        </is>
      </c>
      <c r="G325" t="n">
        <v>11.9</v>
      </c>
      <c r="H325" t="n">
        <v>0</v>
      </c>
      <c r="I325" t="n">
        <v>0</v>
      </c>
      <c r="J325" t="n">
        <v>0</v>
      </c>
      <c r="K325" t="n">
        <v>0</v>
      </c>
      <c r="L325" t="n">
        <v>0</v>
      </c>
      <c r="M325" t="n">
        <v>0</v>
      </c>
      <c r="N325" t="n">
        <v>0</v>
      </c>
      <c r="O325" t="n">
        <v>0</v>
      </c>
      <c r="P325" t="n">
        <v>0</v>
      </c>
      <c r="Q325" t="n">
        <v>0</v>
      </c>
      <c r="R325" s="2" t="inlineStr"/>
    </row>
    <row r="326" ht="15" customHeight="1">
      <c r="A326" t="inlineStr">
        <is>
          <t>A 8801-2020</t>
        </is>
      </c>
      <c r="B326" s="1" t="n">
        <v>43878</v>
      </c>
      <c r="C326" s="1" t="n">
        <v>45360</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8893-2020</t>
        </is>
      </c>
      <c r="B327" s="1" t="n">
        <v>43878</v>
      </c>
      <c r="C327" s="1" t="n">
        <v>45360</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9572-2020</t>
        </is>
      </c>
      <c r="B328" s="1" t="n">
        <v>43881</v>
      </c>
      <c r="C328" s="1" t="n">
        <v>45360</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9561-2020</t>
        </is>
      </c>
      <c r="B329" s="1" t="n">
        <v>43881</v>
      </c>
      <c r="C329" s="1" t="n">
        <v>45360</v>
      </c>
      <c r="D329" t="inlineStr">
        <is>
          <t>ÖREBRO LÄN</t>
        </is>
      </c>
      <c r="E329" t="inlineStr">
        <is>
          <t>ÖREBRO</t>
        </is>
      </c>
      <c r="G329" t="n">
        <v>8.6</v>
      </c>
      <c r="H329" t="n">
        <v>0</v>
      </c>
      <c r="I329" t="n">
        <v>0</v>
      </c>
      <c r="J329" t="n">
        <v>0</v>
      </c>
      <c r="K329" t="n">
        <v>0</v>
      </c>
      <c r="L329" t="n">
        <v>0</v>
      </c>
      <c r="M329" t="n">
        <v>0</v>
      </c>
      <c r="N329" t="n">
        <v>0</v>
      </c>
      <c r="O329" t="n">
        <v>0</v>
      </c>
      <c r="P329" t="n">
        <v>0</v>
      </c>
      <c r="Q329" t="n">
        <v>0</v>
      </c>
      <c r="R329" s="2" t="inlineStr"/>
    </row>
    <row r="330" ht="15" customHeight="1">
      <c r="A330" t="inlineStr">
        <is>
          <t>A 9655-2020</t>
        </is>
      </c>
      <c r="B330" s="1" t="n">
        <v>43881</v>
      </c>
      <c r="C330" s="1" t="n">
        <v>45360</v>
      </c>
      <c r="D330" t="inlineStr">
        <is>
          <t>ÖREBRO LÄN</t>
        </is>
      </c>
      <c r="E330" t="inlineStr">
        <is>
          <t>ÖREBRO</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9893-2020</t>
        </is>
      </c>
      <c r="B331" s="1" t="n">
        <v>43881</v>
      </c>
      <c r="C331" s="1" t="n">
        <v>45360</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11956-2020</t>
        </is>
      </c>
      <c r="B332" s="1" t="n">
        <v>43894</v>
      </c>
      <c r="C332" s="1" t="n">
        <v>45360</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11957-2020</t>
        </is>
      </c>
      <c r="B333" s="1" t="n">
        <v>43894</v>
      </c>
      <c r="C333" s="1" t="n">
        <v>45360</v>
      </c>
      <c r="D333" t="inlineStr">
        <is>
          <t>ÖREBRO LÄN</t>
        </is>
      </c>
      <c r="E333" t="inlineStr">
        <is>
          <t>ÖREBRO</t>
        </is>
      </c>
      <c r="G333" t="n">
        <v>3.6</v>
      </c>
      <c r="H333" t="n">
        <v>0</v>
      </c>
      <c r="I333" t="n">
        <v>0</v>
      </c>
      <c r="J333" t="n">
        <v>0</v>
      </c>
      <c r="K333" t="n">
        <v>0</v>
      </c>
      <c r="L333" t="n">
        <v>0</v>
      </c>
      <c r="M333" t="n">
        <v>0</v>
      </c>
      <c r="N333" t="n">
        <v>0</v>
      </c>
      <c r="O333" t="n">
        <v>0</v>
      </c>
      <c r="P333" t="n">
        <v>0</v>
      </c>
      <c r="Q333" t="n">
        <v>0</v>
      </c>
      <c r="R333" s="2" t="inlineStr"/>
    </row>
    <row r="334" ht="15" customHeight="1">
      <c r="A334" t="inlineStr">
        <is>
          <t>A 12335-2020</t>
        </is>
      </c>
      <c r="B334" s="1" t="n">
        <v>43895</v>
      </c>
      <c r="C334" s="1" t="n">
        <v>45360</v>
      </c>
      <c r="D334" t="inlineStr">
        <is>
          <t>ÖREBRO LÄN</t>
        </is>
      </c>
      <c r="E334" t="inlineStr">
        <is>
          <t>ÖREBRO</t>
        </is>
      </c>
      <c r="G334" t="n">
        <v>6.9</v>
      </c>
      <c r="H334" t="n">
        <v>0</v>
      </c>
      <c r="I334" t="n">
        <v>0</v>
      </c>
      <c r="J334" t="n">
        <v>0</v>
      </c>
      <c r="K334" t="n">
        <v>0</v>
      </c>
      <c r="L334" t="n">
        <v>0</v>
      </c>
      <c r="M334" t="n">
        <v>0</v>
      </c>
      <c r="N334" t="n">
        <v>0</v>
      </c>
      <c r="O334" t="n">
        <v>0</v>
      </c>
      <c r="P334" t="n">
        <v>0</v>
      </c>
      <c r="Q334" t="n">
        <v>0</v>
      </c>
      <c r="R334" s="2" t="inlineStr"/>
    </row>
    <row r="335" ht="15" customHeight="1">
      <c r="A335" t="inlineStr">
        <is>
          <t>A 12548-2020</t>
        </is>
      </c>
      <c r="B335" s="1" t="n">
        <v>43897</v>
      </c>
      <c r="C335" s="1" t="n">
        <v>45360</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12546-2020</t>
        </is>
      </c>
      <c r="B336" s="1" t="n">
        <v>43897</v>
      </c>
      <c r="C336" s="1" t="n">
        <v>45360</v>
      </c>
      <c r="D336" t="inlineStr">
        <is>
          <t>ÖREBRO LÄN</t>
        </is>
      </c>
      <c r="E336" t="inlineStr">
        <is>
          <t>ÖREBRO</t>
        </is>
      </c>
      <c r="G336" t="n">
        <v>5.9</v>
      </c>
      <c r="H336" t="n">
        <v>0</v>
      </c>
      <c r="I336" t="n">
        <v>0</v>
      </c>
      <c r="J336" t="n">
        <v>0</v>
      </c>
      <c r="K336" t="n">
        <v>0</v>
      </c>
      <c r="L336" t="n">
        <v>0</v>
      </c>
      <c r="M336" t="n">
        <v>0</v>
      </c>
      <c r="N336" t="n">
        <v>0</v>
      </c>
      <c r="O336" t="n">
        <v>0</v>
      </c>
      <c r="P336" t="n">
        <v>0</v>
      </c>
      <c r="Q336" t="n">
        <v>0</v>
      </c>
      <c r="R336" s="2" t="inlineStr"/>
    </row>
    <row r="337" ht="15" customHeight="1">
      <c r="A337" t="inlineStr">
        <is>
          <t>A 13273-2020</t>
        </is>
      </c>
      <c r="B337" s="1" t="n">
        <v>43901</v>
      </c>
      <c r="C337" s="1" t="n">
        <v>45360</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13328-2020</t>
        </is>
      </c>
      <c r="B338" s="1" t="n">
        <v>43902</v>
      </c>
      <c r="C338" s="1" t="n">
        <v>45360</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13830-2020</t>
        </is>
      </c>
      <c r="B339" s="1" t="n">
        <v>43905</v>
      </c>
      <c r="C339" s="1" t="n">
        <v>45360</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14209-2020</t>
        </is>
      </c>
      <c r="B340" s="1" t="n">
        <v>43907</v>
      </c>
      <c r="C340" s="1" t="n">
        <v>45360</v>
      </c>
      <c r="D340" t="inlineStr">
        <is>
          <t>ÖREBRO LÄN</t>
        </is>
      </c>
      <c r="E340" t="inlineStr">
        <is>
          <t>ÖREBRO</t>
        </is>
      </c>
      <c r="G340" t="n">
        <v>7.4</v>
      </c>
      <c r="H340" t="n">
        <v>0</v>
      </c>
      <c r="I340" t="n">
        <v>0</v>
      </c>
      <c r="J340" t="n">
        <v>0</v>
      </c>
      <c r="K340" t="n">
        <v>0</v>
      </c>
      <c r="L340" t="n">
        <v>0</v>
      </c>
      <c r="M340" t="n">
        <v>0</v>
      </c>
      <c r="N340" t="n">
        <v>0</v>
      </c>
      <c r="O340" t="n">
        <v>0</v>
      </c>
      <c r="P340" t="n">
        <v>0</v>
      </c>
      <c r="Q340" t="n">
        <v>0</v>
      </c>
      <c r="R340" s="2" t="inlineStr"/>
    </row>
    <row r="341" ht="15" customHeight="1">
      <c r="A341" t="inlineStr">
        <is>
          <t>A 16152-2020</t>
        </is>
      </c>
      <c r="B341" s="1" t="n">
        <v>43916</v>
      </c>
      <c r="C341" s="1" t="n">
        <v>45360</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16258-2020</t>
        </is>
      </c>
      <c r="B342" s="1" t="n">
        <v>43917</v>
      </c>
      <c r="C342" s="1" t="n">
        <v>45360</v>
      </c>
      <c r="D342" t="inlineStr">
        <is>
          <t>ÖREBRO LÄN</t>
        </is>
      </c>
      <c r="E342" t="inlineStr">
        <is>
          <t>ÖREBRO</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16682-2020</t>
        </is>
      </c>
      <c r="B343" s="1" t="n">
        <v>43920</v>
      </c>
      <c r="C343" s="1" t="n">
        <v>45360</v>
      </c>
      <c r="D343" t="inlineStr">
        <is>
          <t>ÖREBRO LÄN</t>
        </is>
      </c>
      <c r="E343" t="inlineStr">
        <is>
          <t>ÖREBRO</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18136-2020</t>
        </is>
      </c>
      <c r="B344" s="1" t="n">
        <v>43927</v>
      </c>
      <c r="C344" s="1" t="n">
        <v>45360</v>
      </c>
      <c r="D344" t="inlineStr">
        <is>
          <t>ÖREBRO LÄN</t>
        </is>
      </c>
      <c r="E344" t="inlineStr">
        <is>
          <t>ÖREBRO</t>
        </is>
      </c>
      <c r="G344" t="n">
        <v>4.2</v>
      </c>
      <c r="H344" t="n">
        <v>0</v>
      </c>
      <c r="I344" t="n">
        <v>0</v>
      </c>
      <c r="J344" t="n">
        <v>0</v>
      </c>
      <c r="K344" t="n">
        <v>0</v>
      </c>
      <c r="L344" t="n">
        <v>0</v>
      </c>
      <c r="M344" t="n">
        <v>0</v>
      </c>
      <c r="N344" t="n">
        <v>0</v>
      </c>
      <c r="O344" t="n">
        <v>0</v>
      </c>
      <c r="P344" t="n">
        <v>0</v>
      </c>
      <c r="Q344" t="n">
        <v>0</v>
      </c>
      <c r="R344" s="2" t="inlineStr"/>
    </row>
    <row r="345" ht="15" customHeight="1">
      <c r="A345" t="inlineStr">
        <is>
          <t>A 18365-2020</t>
        </is>
      </c>
      <c r="B345" s="1" t="n">
        <v>43928</v>
      </c>
      <c r="C345" s="1" t="n">
        <v>45360</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19465-2020</t>
        </is>
      </c>
      <c r="B346" s="1" t="n">
        <v>43938</v>
      </c>
      <c r="C346" s="1" t="n">
        <v>45360</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20302-2020</t>
        </is>
      </c>
      <c r="B347" s="1" t="n">
        <v>43938</v>
      </c>
      <c r="C347" s="1" t="n">
        <v>45360</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21053-2020</t>
        </is>
      </c>
      <c r="B348" s="1" t="n">
        <v>43951</v>
      </c>
      <c r="C348" s="1" t="n">
        <v>45360</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22141-2020</t>
        </is>
      </c>
      <c r="B349" s="1" t="n">
        <v>43961</v>
      </c>
      <c r="C349" s="1" t="n">
        <v>45360</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23849-2020</t>
        </is>
      </c>
      <c r="B350" s="1" t="n">
        <v>43971</v>
      </c>
      <c r="C350" s="1" t="n">
        <v>45360</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25437-2020</t>
        </is>
      </c>
      <c r="B351" s="1" t="n">
        <v>43983</v>
      </c>
      <c r="C351" s="1" t="n">
        <v>45360</v>
      </c>
      <c r="D351" t="inlineStr">
        <is>
          <t>ÖREBRO LÄN</t>
        </is>
      </c>
      <c r="E351" t="inlineStr">
        <is>
          <t>ÖREBRO</t>
        </is>
      </c>
      <c r="G351" t="n">
        <v>7.5</v>
      </c>
      <c r="H351" t="n">
        <v>0</v>
      </c>
      <c r="I351" t="n">
        <v>0</v>
      </c>
      <c r="J351" t="n">
        <v>0</v>
      </c>
      <c r="K351" t="n">
        <v>0</v>
      </c>
      <c r="L351" t="n">
        <v>0</v>
      </c>
      <c r="M351" t="n">
        <v>0</v>
      </c>
      <c r="N351" t="n">
        <v>0</v>
      </c>
      <c r="O351" t="n">
        <v>0</v>
      </c>
      <c r="P351" t="n">
        <v>0</v>
      </c>
      <c r="Q351" t="n">
        <v>0</v>
      </c>
      <c r="R351" s="2" t="inlineStr"/>
    </row>
    <row r="352" ht="15" customHeight="1">
      <c r="A352" t="inlineStr">
        <is>
          <t>A 25631-2020</t>
        </is>
      </c>
      <c r="B352" s="1" t="n">
        <v>43983</v>
      </c>
      <c r="C352" s="1" t="n">
        <v>45360</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26810-2020</t>
        </is>
      </c>
      <c r="B353" s="1" t="n">
        <v>43987</v>
      </c>
      <c r="C353" s="1" t="n">
        <v>45360</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26862-2020</t>
        </is>
      </c>
      <c r="B354" s="1" t="n">
        <v>43990</v>
      </c>
      <c r="C354" s="1" t="n">
        <v>45360</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27734-2020</t>
        </is>
      </c>
      <c r="B355" s="1" t="n">
        <v>43994</v>
      </c>
      <c r="C355" s="1" t="n">
        <v>45360</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27744-2020</t>
        </is>
      </c>
      <c r="B356" s="1" t="n">
        <v>43994</v>
      </c>
      <c r="C356" s="1" t="n">
        <v>45360</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28036-2020</t>
        </is>
      </c>
      <c r="B357" s="1" t="n">
        <v>43997</v>
      </c>
      <c r="C357" s="1" t="n">
        <v>45360</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28092-2020</t>
        </is>
      </c>
      <c r="B358" s="1" t="n">
        <v>43997</v>
      </c>
      <c r="C358" s="1" t="n">
        <v>45360</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28097-2020</t>
        </is>
      </c>
      <c r="B359" s="1" t="n">
        <v>43997</v>
      </c>
      <c r="C359" s="1" t="n">
        <v>45360</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28102-2020</t>
        </is>
      </c>
      <c r="B360" s="1" t="n">
        <v>43997</v>
      </c>
      <c r="C360" s="1" t="n">
        <v>45360</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28410-2020</t>
        </is>
      </c>
      <c r="B361" s="1" t="n">
        <v>43998</v>
      </c>
      <c r="C361" s="1" t="n">
        <v>45360</v>
      </c>
      <c r="D361" t="inlineStr">
        <is>
          <t>ÖREBRO LÄN</t>
        </is>
      </c>
      <c r="E361" t="inlineStr">
        <is>
          <t>ÖREBRO</t>
        </is>
      </c>
      <c r="G361" t="n">
        <v>3.2</v>
      </c>
      <c r="H361" t="n">
        <v>0</v>
      </c>
      <c r="I361" t="n">
        <v>0</v>
      </c>
      <c r="J361" t="n">
        <v>0</v>
      </c>
      <c r="K361" t="n">
        <v>0</v>
      </c>
      <c r="L361" t="n">
        <v>0</v>
      </c>
      <c r="M361" t="n">
        <v>0</v>
      </c>
      <c r="N361" t="n">
        <v>0</v>
      </c>
      <c r="O361" t="n">
        <v>0</v>
      </c>
      <c r="P361" t="n">
        <v>0</v>
      </c>
      <c r="Q361" t="n">
        <v>0</v>
      </c>
      <c r="R361" s="2" t="inlineStr"/>
    </row>
    <row r="362" ht="15" customHeight="1">
      <c r="A362" t="inlineStr">
        <is>
          <t>A 28456-2020</t>
        </is>
      </c>
      <c r="B362" s="1" t="n">
        <v>43998</v>
      </c>
      <c r="C362" s="1" t="n">
        <v>45360</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29453-2020</t>
        </is>
      </c>
      <c r="B363" s="1" t="n">
        <v>44004</v>
      </c>
      <c r="C363" s="1" t="n">
        <v>45360</v>
      </c>
      <c r="D363" t="inlineStr">
        <is>
          <t>ÖREBRO LÄN</t>
        </is>
      </c>
      <c r="E363" t="inlineStr">
        <is>
          <t>ÖREBRO</t>
        </is>
      </c>
      <c r="G363" t="n">
        <v>6.2</v>
      </c>
      <c r="H363" t="n">
        <v>0</v>
      </c>
      <c r="I363" t="n">
        <v>0</v>
      </c>
      <c r="J363" t="n">
        <v>0</v>
      </c>
      <c r="K363" t="n">
        <v>0</v>
      </c>
      <c r="L363" t="n">
        <v>0</v>
      </c>
      <c r="M363" t="n">
        <v>0</v>
      </c>
      <c r="N363" t="n">
        <v>0</v>
      </c>
      <c r="O363" t="n">
        <v>0</v>
      </c>
      <c r="P363" t="n">
        <v>0</v>
      </c>
      <c r="Q363" t="n">
        <v>0</v>
      </c>
      <c r="R363" s="2" t="inlineStr"/>
    </row>
    <row r="364" ht="15" customHeight="1">
      <c r="A364" t="inlineStr">
        <is>
          <t>A 31120-2020</t>
        </is>
      </c>
      <c r="B364" s="1" t="n">
        <v>44012</v>
      </c>
      <c r="C364" s="1" t="n">
        <v>45360</v>
      </c>
      <c r="D364" t="inlineStr">
        <is>
          <t>ÖREBRO LÄN</t>
        </is>
      </c>
      <c r="E364" t="inlineStr">
        <is>
          <t>ÖREBRO</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31149-2020</t>
        </is>
      </c>
      <c r="B365" s="1" t="n">
        <v>44012</v>
      </c>
      <c r="C365" s="1" t="n">
        <v>45360</v>
      </c>
      <c r="D365" t="inlineStr">
        <is>
          <t>ÖREBRO LÄN</t>
        </is>
      </c>
      <c r="E365" t="inlineStr">
        <is>
          <t>ÖREBRO</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31397-2020</t>
        </is>
      </c>
      <c r="B366" s="1" t="n">
        <v>44012</v>
      </c>
      <c r="C366" s="1" t="n">
        <v>45360</v>
      </c>
      <c r="D366" t="inlineStr">
        <is>
          <t>ÖREBRO LÄN</t>
        </is>
      </c>
      <c r="E366" t="inlineStr">
        <is>
          <t>ÖREBRO</t>
        </is>
      </c>
      <c r="F366" t="inlineStr">
        <is>
          <t>Kommuner</t>
        </is>
      </c>
      <c r="G366" t="n">
        <v>4.2</v>
      </c>
      <c r="H366" t="n">
        <v>0</v>
      </c>
      <c r="I366" t="n">
        <v>0</v>
      </c>
      <c r="J366" t="n">
        <v>0</v>
      </c>
      <c r="K366" t="n">
        <v>0</v>
      </c>
      <c r="L366" t="n">
        <v>0</v>
      </c>
      <c r="M366" t="n">
        <v>0</v>
      </c>
      <c r="N366" t="n">
        <v>0</v>
      </c>
      <c r="O366" t="n">
        <v>0</v>
      </c>
      <c r="P366" t="n">
        <v>0</v>
      </c>
      <c r="Q366" t="n">
        <v>0</v>
      </c>
      <c r="R366" s="2" t="inlineStr"/>
    </row>
    <row r="367" ht="15" customHeight="1">
      <c r="A367" t="inlineStr">
        <is>
          <t>A 31933-2020</t>
        </is>
      </c>
      <c r="B367" s="1" t="n">
        <v>44014</v>
      </c>
      <c r="C367" s="1" t="n">
        <v>45360</v>
      </c>
      <c r="D367" t="inlineStr">
        <is>
          <t>ÖREBRO LÄN</t>
        </is>
      </c>
      <c r="E367" t="inlineStr">
        <is>
          <t>ÖREBRO</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33125-2020</t>
        </is>
      </c>
      <c r="B368" s="1" t="n">
        <v>44020</v>
      </c>
      <c r="C368" s="1" t="n">
        <v>45360</v>
      </c>
      <c r="D368" t="inlineStr">
        <is>
          <t>ÖREBRO LÄN</t>
        </is>
      </c>
      <c r="E368" t="inlineStr">
        <is>
          <t>ÖREBRO</t>
        </is>
      </c>
      <c r="G368" t="n">
        <v>6.6</v>
      </c>
      <c r="H368" t="n">
        <v>0</v>
      </c>
      <c r="I368" t="n">
        <v>0</v>
      </c>
      <c r="J368" t="n">
        <v>0</v>
      </c>
      <c r="K368" t="n">
        <v>0</v>
      </c>
      <c r="L368" t="n">
        <v>0</v>
      </c>
      <c r="M368" t="n">
        <v>0</v>
      </c>
      <c r="N368" t="n">
        <v>0</v>
      </c>
      <c r="O368" t="n">
        <v>0</v>
      </c>
      <c r="P368" t="n">
        <v>0</v>
      </c>
      <c r="Q368" t="n">
        <v>0</v>
      </c>
      <c r="R368" s="2" t="inlineStr"/>
    </row>
    <row r="369" ht="15" customHeight="1">
      <c r="A369" t="inlineStr">
        <is>
          <t>A 33092-2020</t>
        </is>
      </c>
      <c r="B369" s="1" t="n">
        <v>44020</v>
      </c>
      <c r="C369" s="1" t="n">
        <v>45360</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33120-2020</t>
        </is>
      </c>
      <c r="B370" s="1" t="n">
        <v>44020</v>
      </c>
      <c r="C370" s="1" t="n">
        <v>45360</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33117-2020</t>
        </is>
      </c>
      <c r="B371" s="1" t="n">
        <v>44020</v>
      </c>
      <c r="C371" s="1" t="n">
        <v>45360</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35522-2020</t>
        </is>
      </c>
      <c r="B372" s="1" t="n">
        <v>44043</v>
      </c>
      <c r="C372" s="1" t="n">
        <v>45360</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36778-2020</t>
        </is>
      </c>
      <c r="B373" s="1" t="n">
        <v>44053</v>
      </c>
      <c r="C373" s="1" t="n">
        <v>45360</v>
      </c>
      <c r="D373" t="inlineStr">
        <is>
          <t>ÖREBRO LÄN</t>
        </is>
      </c>
      <c r="E373" t="inlineStr">
        <is>
          <t>ÖREBRO</t>
        </is>
      </c>
      <c r="F373" t="inlineStr">
        <is>
          <t>Allmännings- och besparingsskogar</t>
        </is>
      </c>
      <c r="G373" t="n">
        <v>26.4</v>
      </c>
      <c r="H373" t="n">
        <v>0</v>
      </c>
      <c r="I373" t="n">
        <v>0</v>
      </c>
      <c r="J373" t="n">
        <v>0</v>
      </c>
      <c r="K373" t="n">
        <v>0</v>
      </c>
      <c r="L373" t="n">
        <v>0</v>
      </c>
      <c r="M373" t="n">
        <v>0</v>
      </c>
      <c r="N373" t="n">
        <v>0</v>
      </c>
      <c r="O373" t="n">
        <v>0</v>
      </c>
      <c r="P373" t="n">
        <v>0</v>
      </c>
      <c r="Q373" t="n">
        <v>0</v>
      </c>
      <c r="R373" s="2" t="inlineStr"/>
    </row>
    <row r="374" ht="15" customHeight="1">
      <c r="A374" t="inlineStr">
        <is>
          <t>A 36762-2020</t>
        </is>
      </c>
      <c r="B374" s="1" t="n">
        <v>44053</v>
      </c>
      <c r="C374" s="1" t="n">
        <v>45360</v>
      </c>
      <c r="D374" t="inlineStr">
        <is>
          <t>ÖREBRO LÄN</t>
        </is>
      </c>
      <c r="E374" t="inlineStr">
        <is>
          <t>ÖREBRO</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37654-2020</t>
        </is>
      </c>
      <c r="B375" s="1" t="n">
        <v>44056</v>
      </c>
      <c r="C375" s="1" t="n">
        <v>45360</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38532-2020</t>
        </is>
      </c>
      <c r="B376" s="1" t="n">
        <v>44061</v>
      </c>
      <c r="C376" s="1" t="n">
        <v>45360</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38691-2020</t>
        </is>
      </c>
      <c r="B377" s="1" t="n">
        <v>44061</v>
      </c>
      <c r="C377" s="1" t="n">
        <v>45360</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38960-2020</t>
        </is>
      </c>
      <c r="B378" s="1" t="n">
        <v>44062</v>
      </c>
      <c r="C378" s="1" t="n">
        <v>45360</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39307-2020</t>
        </is>
      </c>
      <c r="B379" s="1" t="n">
        <v>44063</v>
      </c>
      <c r="C379" s="1" t="n">
        <v>45360</v>
      </c>
      <c r="D379" t="inlineStr">
        <is>
          <t>ÖREBRO LÄN</t>
        </is>
      </c>
      <c r="E379" t="inlineStr">
        <is>
          <t>ÖREBRO</t>
        </is>
      </c>
      <c r="G379" t="n">
        <v>3.9</v>
      </c>
      <c r="H379" t="n">
        <v>0</v>
      </c>
      <c r="I379" t="n">
        <v>0</v>
      </c>
      <c r="J379" t="n">
        <v>0</v>
      </c>
      <c r="K379" t="n">
        <v>0</v>
      </c>
      <c r="L379" t="n">
        <v>0</v>
      </c>
      <c r="M379" t="n">
        <v>0</v>
      </c>
      <c r="N379" t="n">
        <v>0</v>
      </c>
      <c r="O379" t="n">
        <v>0</v>
      </c>
      <c r="P379" t="n">
        <v>0</v>
      </c>
      <c r="Q379" t="n">
        <v>0</v>
      </c>
      <c r="R379" s="2" t="inlineStr"/>
    </row>
    <row r="380" ht="15" customHeight="1">
      <c r="A380" t="inlineStr">
        <is>
          <t>A 39514-2020</t>
        </is>
      </c>
      <c r="B380" s="1" t="n">
        <v>44064</v>
      </c>
      <c r="C380" s="1" t="n">
        <v>45360</v>
      </c>
      <c r="D380" t="inlineStr">
        <is>
          <t>ÖREBRO LÄN</t>
        </is>
      </c>
      <c r="E380" t="inlineStr">
        <is>
          <t>ÖREBRO</t>
        </is>
      </c>
      <c r="G380" t="n">
        <v>4.6</v>
      </c>
      <c r="H380" t="n">
        <v>0</v>
      </c>
      <c r="I380" t="n">
        <v>0</v>
      </c>
      <c r="J380" t="n">
        <v>0</v>
      </c>
      <c r="K380" t="n">
        <v>0</v>
      </c>
      <c r="L380" t="n">
        <v>0</v>
      </c>
      <c r="M380" t="n">
        <v>0</v>
      </c>
      <c r="N380" t="n">
        <v>0</v>
      </c>
      <c r="O380" t="n">
        <v>0</v>
      </c>
      <c r="P380" t="n">
        <v>0</v>
      </c>
      <c r="Q380" t="n">
        <v>0</v>
      </c>
      <c r="R380" s="2" t="inlineStr"/>
    </row>
    <row r="381" ht="15" customHeight="1">
      <c r="A381" t="inlineStr">
        <is>
          <t>A 39642-2020</t>
        </is>
      </c>
      <c r="B381" s="1" t="n">
        <v>44064</v>
      </c>
      <c r="C381" s="1" t="n">
        <v>45360</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40356-2020</t>
        </is>
      </c>
      <c r="B382" s="1" t="n">
        <v>44067</v>
      </c>
      <c r="C382" s="1" t="n">
        <v>45360</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40442-2020</t>
        </is>
      </c>
      <c r="B383" s="1" t="n">
        <v>44069</v>
      </c>
      <c r="C383" s="1" t="n">
        <v>45360</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40652-2020</t>
        </is>
      </c>
      <c r="B384" s="1" t="n">
        <v>44069</v>
      </c>
      <c r="C384" s="1" t="n">
        <v>45360</v>
      </c>
      <c r="D384" t="inlineStr">
        <is>
          <t>ÖREBRO LÄN</t>
        </is>
      </c>
      <c r="E384" t="inlineStr">
        <is>
          <t>ÖREBRO</t>
        </is>
      </c>
      <c r="F384" t="inlineStr">
        <is>
          <t>Övriga Aktiebolag</t>
        </is>
      </c>
      <c r="G384" t="n">
        <v>8.4</v>
      </c>
      <c r="H384" t="n">
        <v>0</v>
      </c>
      <c r="I384" t="n">
        <v>0</v>
      </c>
      <c r="J384" t="n">
        <v>0</v>
      </c>
      <c r="K384" t="n">
        <v>0</v>
      </c>
      <c r="L384" t="n">
        <v>0</v>
      </c>
      <c r="M384" t="n">
        <v>0</v>
      </c>
      <c r="N384" t="n">
        <v>0</v>
      </c>
      <c r="O384" t="n">
        <v>0</v>
      </c>
      <c r="P384" t="n">
        <v>0</v>
      </c>
      <c r="Q384" t="n">
        <v>0</v>
      </c>
      <c r="R384" s="2" t="inlineStr"/>
    </row>
    <row r="385" ht="15" customHeight="1">
      <c r="A385" t="inlineStr">
        <is>
          <t>A 41116-2020</t>
        </is>
      </c>
      <c r="B385" s="1" t="n">
        <v>44071</v>
      </c>
      <c r="C385" s="1" t="n">
        <v>45360</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42285-2020</t>
        </is>
      </c>
      <c r="B386" s="1" t="n">
        <v>44076</v>
      </c>
      <c r="C386" s="1" t="n">
        <v>45360</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42865-2020</t>
        </is>
      </c>
      <c r="B387" s="1" t="n">
        <v>44078</v>
      </c>
      <c r="C387" s="1" t="n">
        <v>45360</v>
      </c>
      <c r="D387" t="inlineStr">
        <is>
          <t>ÖREBRO LÄN</t>
        </is>
      </c>
      <c r="E387" t="inlineStr">
        <is>
          <t>ÖREBRO</t>
        </is>
      </c>
      <c r="G387" t="n">
        <v>5.2</v>
      </c>
      <c r="H387" t="n">
        <v>0</v>
      </c>
      <c r="I387" t="n">
        <v>0</v>
      </c>
      <c r="J387" t="n">
        <v>0</v>
      </c>
      <c r="K387" t="n">
        <v>0</v>
      </c>
      <c r="L387" t="n">
        <v>0</v>
      </c>
      <c r="M387" t="n">
        <v>0</v>
      </c>
      <c r="N387" t="n">
        <v>0</v>
      </c>
      <c r="O387" t="n">
        <v>0</v>
      </c>
      <c r="P387" t="n">
        <v>0</v>
      </c>
      <c r="Q387" t="n">
        <v>0</v>
      </c>
      <c r="R387" s="2" t="inlineStr"/>
    </row>
    <row r="388" ht="15" customHeight="1">
      <c r="A388" t="inlineStr">
        <is>
          <t>A 42957-2020</t>
        </is>
      </c>
      <c r="B388" s="1" t="n">
        <v>44078</v>
      </c>
      <c r="C388" s="1" t="n">
        <v>45360</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44331-2020</t>
        </is>
      </c>
      <c r="B389" s="1" t="n">
        <v>44084</v>
      </c>
      <c r="C389" s="1" t="n">
        <v>45360</v>
      </c>
      <c r="D389" t="inlineStr">
        <is>
          <t>ÖREBRO LÄN</t>
        </is>
      </c>
      <c r="E389" t="inlineStr">
        <is>
          <t>ÖREBRO</t>
        </is>
      </c>
      <c r="G389" t="n">
        <v>5.3</v>
      </c>
      <c r="H389" t="n">
        <v>0</v>
      </c>
      <c r="I389" t="n">
        <v>0</v>
      </c>
      <c r="J389" t="n">
        <v>0</v>
      </c>
      <c r="K389" t="n">
        <v>0</v>
      </c>
      <c r="L389" t="n">
        <v>0</v>
      </c>
      <c r="M389" t="n">
        <v>0</v>
      </c>
      <c r="N389" t="n">
        <v>0</v>
      </c>
      <c r="O389" t="n">
        <v>0</v>
      </c>
      <c r="P389" t="n">
        <v>0</v>
      </c>
      <c r="Q389" t="n">
        <v>0</v>
      </c>
      <c r="R389" s="2" t="inlineStr"/>
    </row>
    <row r="390" ht="15" customHeight="1">
      <c r="A390" t="inlineStr">
        <is>
          <t>A 44514-2020</t>
        </is>
      </c>
      <c r="B390" s="1" t="n">
        <v>44085</v>
      </c>
      <c r="C390" s="1" t="n">
        <v>45360</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44966-2020</t>
        </is>
      </c>
      <c r="B391" s="1" t="n">
        <v>44088</v>
      </c>
      <c r="C391" s="1" t="n">
        <v>45360</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45029-2020</t>
        </is>
      </c>
      <c r="B392" s="1" t="n">
        <v>44088</v>
      </c>
      <c r="C392" s="1" t="n">
        <v>45360</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46053-2020</t>
        </is>
      </c>
      <c r="B393" s="1" t="n">
        <v>44088</v>
      </c>
      <c r="C393" s="1" t="n">
        <v>45360</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46092-2020</t>
        </is>
      </c>
      <c r="B394" s="1" t="n">
        <v>44091</v>
      </c>
      <c r="C394" s="1" t="n">
        <v>45360</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46607-2020</t>
        </is>
      </c>
      <c r="B395" s="1" t="n">
        <v>44095</v>
      </c>
      <c r="C395" s="1" t="n">
        <v>45360</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47993-2020</t>
        </is>
      </c>
      <c r="B396" s="1" t="n">
        <v>44095</v>
      </c>
      <c r="C396" s="1" t="n">
        <v>45360</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47517-2020</t>
        </is>
      </c>
      <c r="B397" s="1" t="n">
        <v>44095</v>
      </c>
      <c r="C397" s="1" t="n">
        <v>45360</v>
      </c>
      <c r="D397" t="inlineStr">
        <is>
          <t>ÖREBRO LÄN</t>
        </is>
      </c>
      <c r="E397" t="inlineStr">
        <is>
          <t>ÖREBRO</t>
        </is>
      </c>
      <c r="G397" t="n">
        <v>7</v>
      </c>
      <c r="H397" t="n">
        <v>0</v>
      </c>
      <c r="I397" t="n">
        <v>0</v>
      </c>
      <c r="J397" t="n">
        <v>0</v>
      </c>
      <c r="K397" t="n">
        <v>0</v>
      </c>
      <c r="L397" t="n">
        <v>0</v>
      </c>
      <c r="M397" t="n">
        <v>0</v>
      </c>
      <c r="N397" t="n">
        <v>0</v>
      </c>
      <c r="O397" t="n">
        <v>0</v>
      </c>
      <c r="P397" t="n">
        <v>0</v>
      </c>
      <c r="Q397" t="n">
        <v>0</v>
      </c>
      <c r="R397" s="2" t="inlineStr"/>
    </row>
    <row r="398" ht="15" customHeight="1">
      <c r="A398" t="inlineStr">
        <is>
          <t>A 48109-2020</t>
        </is>
      </c>
      <c r="B398" s="1" t="n">
        <v>44101</v>
      </c>
      <c r="C398" s="1" t="n">
        <v>45360</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48889-2020</t>
        </is>
      </c>
      <c r="B399" s="1" t="n">
        <v>44104</v>
      </c>
      <c r="C399" s="1" t="n">
        <v>45360</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48878-2020</t>
        </is>
      </c>
      <c r="B400" s="1" t="n">
        <v>44104</v>
      </c>
      <c r="C400" s="1" t="n">
        <v>45360</v>
      </c>
      <c r="D400" t="inlineStr">
        <is>
          <t>ÖREBRO LÄN</t>
        </is>
      </c>
      <c r="E400" t="inlineStr">
        <is>
          <t>ÖREBRO</t>
        </is>
      </c>
      <c r="G400" t="n">
        <v>12.7</v>
      </c>
      <c r="H400" t="n">
        <v>0</v>
      </c>
      <c r="I400" t="n">
        <v>0</v>
      </c>
      <c r="J400" t="n">
        <v>0</v>
      </c>
      <c r="K400" t="n">
        <v>0</v>
      </c>
      <c r="L400" t="n">
        <v>0</v>
      </c>
      <c r="M400" t="n">
        <v>0</v>
      </c>
      <c r="N400" t="n">
        <v>0</v>
      </c>
      <c r="O400" t="n">
        <v>0</v>
      </c>
      <c r="P400" t="n">
        <v>0</v>
      </c>
      <c r="Q400" t="n">
        <v>0</v>
      </c>
      <c r="R400" s="2" t="inlineStr"/>
    </row>
    <row r="401" ht="15" customHeight="1">
      <c r="A401" t="inlineStr">
        <is>
          <t>A 53003-2020</t>
        </is>
      </c>
      <c r="B401" s="1" t="n">
        <v>44119</v>
      </c>
      <c r="C401" s="1" t="n">
        <v>45360</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54288-2020</t>
        </is>
      </c>
      <c r="B402" s="1" t="n">
        <v>44124</v>
      </c>
      <c r="C402" s="1" t="n">
        <v>45360</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45360</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55570-2020</t>
        </is>
      </c>
      <c r="B404" s="1" t="n">
        <v>44131</v>
      </c>
      <c r="C404" s="1" t="n">
        <v>45360</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56138-2020</t>
        </is>
      </c>
      <c r="B405" s="1" t="n">
        <v>44133</v>
      </c>
      <c r="C405" s="1" t="n">
        <v>45360</v>
      </c>
      <c r="D405" t="inlineStr">
        <is>
          <t>ÖREBRO LÄN</t>
        </is>
      </c>
      <c r="E405" t="inlineStr">
        <is>
          <t>ÖREBRO</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57241-2020</t>
        </is>
      </c>
      <c r="B406" s="1" t="n">
        <v>44139</v>
      </c>
      <c r="C406" s="1" t="n">
        <v>45360</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58633-2020</t>
        </is>
      </c>
      <c r="B407" s="1" t="n">
        <v>44145</v>
      </c>
      <c r="C407" s="1" t="n">
        <v>45360</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59265-2020</t>
        </is>
      </c>
      <c r="B408" s="1" t="n">
        <v>44147</v>
      </c>
      <c r="C408" s="1" t="n">
        <v>45360</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60311-2020</t>
        </is>
      </c>
      <c r="B409" s="1" t="n">
        <v>44151</v>
      </c>
      <c r="C409" s="1" t="n">
        <v>45360</v>
      </c>
      <c r="D409" t="inlineStr">
        <is>
          <t>ÖREBRO LÄN</t>
        </is>
      </c>
      <c r="E409" t="inlineStr">
        <is>
          <t>ÖREBRO</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60150-2020</t>
        </is>
      </c>
      <c r="B410" s="1" t="n">
        <v>44152</v>
      </c>
      <c r="C410" s="1" t="n">
        <v>45360</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61965-2020</t>
        </is>
      </c>
      <c r="B411" s="1" t="n">
        <v>44155</v>
      </c>
      <c r="C411" s="1" t="n">
        <v>45360</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62651-2020</t>
        </is>
      </c>
      <c r="B412" s="1" t="n">
        <v>44161</v>
      </c>
      <c r="C412" s="1" t="n">
        <v>45360</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63013-2020</t>
        </is>
      </c>
      <c r="B413" s="1" t="n">
        <v>44162</v>
      </c>
      <c r="C413" s="1" t="n">
        <v>45360</v>
      </c>
      <c r="D413" t="inlineStr">
        <is>
          <t>ÖREBRO LÄN</t>
        </is>
      </c>
      <c r="E413" t="inlineStr">
        <is>
          <t>ÖREBRO</t>
        </is>
      </c>
      <c r="F413" t="inlineStr">
        <is>
          <t>Övriga Aktiebolag</t>
        </is>
      </c>
      <c r="G413" t="n">
        <v>6.9</v>
      </c>
      <c r="H413" t="n">
        <v>0</v>
      </c>
      <c r="I413" t="n">
        <v>0</v>
      </c>
      <c r="J413" t="n">
        <v>0</v>
      </c>
      <c r="K413" t="n">
        <v>0</v>
      </c>
      <c r="L413" t="n">
        <v>0</v>
      </c>
      <c r="M413" t="n">
        <v>0</v>
      </c>
      <c r="N413" t="n">
        <v>0</v>
      </c>
      <c r="O413" t="n">
        <v>0</v>
      </c>
      <c r="P413" t="n">
        <v>0</v>
      </c>
      <c r="Q413" t="n">
        <v>0</v>
      </c>
      <c r="R413" s="2" t="inlineStr"/>
    </row>
    <row r="414" ht="15" customHeight="1">
      <c r="A414" t="inlineStr">
        <is>
          <t>A 63074-2020</t>
        </is>
      </c>
      <c r="B414" s="1" t="n">
        <v>44162</v>
      </c>
      <c r="C414" s="1" t="n">
        <v>45360</v>
      </c>
      <c r="D414" t="inlineStr">
        <is>
          <t>ÖREBRO LÄN</t>
        </is>
      </c>
      <c r="E414" t="inlineStr">
        <is>
          <t>ÖREBRO</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63016-2020</t>
        </is>
      </c>
      <c r="B415" s="1" t="n">
        <v>44162</v>
      </c>
      <c r="C415" s="1" t="n">
        <v>45360</v>
      </c>
      <c r="D415" t="inlineStr">
        <is>
          <t>ÖREBRO LÄN</t>
        </is>
      </c>
      <c r="E415" t="inlineStr">
        <is>
          <t>ÖREBRO</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64597-2020</t>
        </is>
      </c>
      <c r="B416" s="1" t="n">
        <v>44166</v>
      </c>
      <c r="C416" s="1" t="n">
        <v>45360</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65592-2020</t>
        </is>
      </c>
      <c r="B417" s="1" t="n">
        <v>44173</v>
      </c>
      <c r="C417" s="1" t="n">
        <v>45360</v>
      </c>
      <c r="D417" t="inlineStr">
        <is>
          <t>ÖREBRO LÄN</t>
        </is>
      </c>
      <c r="E417" t="inlineStr">
        <is>
          <t>ÖREBRO</t>
        </is>
      </c>
      <c r="G417" t="n">
        <v>8.9</v>
      </c>
      <c r="H417" t="n">
        <v>0</v>
      </c>
      <c r="I417" t="n">
        <v>0</v>
      </c>
      <c r="J417" t="n">
        <v>0</v>
      </c>
      <c r="K417" t="n">
        <v>0</v>
      </c>
      <c r="L417" t="n">
        <v>0</v>
      </c>
      <c r="M417" t="n">
        <v>0</v>
      </c>
      <c r="N417" t="n">
        <v>0</v>
      </c>
      <c r="O417" t="n">
        <v>0</v>
      </c>
      <c r="P417" t="n">
        <v>0</v>
      </c>
      <c r="Q417" t="n">
        <v>0</v>
      </c>
      <c r="R417" s="2" t="inlineStr"/>
    </row>
    <row r="418" ht="15" customHeight="1">
      <c r="A418" t="inlineStr">
        <is>
          <t>A 66799-2020</t>
        </is>
      </c>
      <c r="B418" s="1" t="n">
        <v>44179</v>
      </c>
      <c r="C418" s="1" t="n">
        <v>45360</v>
      </c>
      <c r="D418" t="inlineStr">
        <is>
          <t>ÖREBRO LÄN</t>
        </is>
      </c>
      <c r="E418" t="inlineStr">
        <is>
          <t>ÖREBRO</t>
        </is>
      </c>
      <c r="G418" t="n">
        <v>5.2</v>
      </c>
      <c r="H418" t="n">
        <v>0</v>
      </c>
      <c r="I418" t="n">
        <v>0</v>
      </c>
      <c r="J418" t="n">
        <v>0</v>
      </c>
      <c r="K418" t="n">
        <v>0</v>
      </c>
      <c r="L418" t="n">
        <v>0</v>
      </c>
      <c r="M418" t="n">
        <v>0</v>
      </c>
      <c r="N418" t="n">
        <v>0</v>
      </c>
      <c r="O418" t="n">
        <v>0</v>
      </c>
      <c r="P418" t="n">
        <v>0</v>
      </c>
      <c r="Q418" t="n">
        <v>0</v>
      </c>
      <c r="R418" s="2" t="inlineStr"/>
    </row>
    <row r="419" ht="15" customHeight="1">
      <c r="A419" t="inlineStr">
        <is>
          <t>A 67627-2020</t>
        </is>
      </c>
      <c r="B419" s="1" t="n">
        <v>44182</v>
      </c>
      <c r="C419" s="1" t="n">
        <v>45360</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69328-2020</t>
        </is>
      </c>
      <c r="B420" s="1" t="n">
        <v>44188</v>
      </c>
      <c r="C420" s="1" t="n">
        <v>45360</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69613-2020</t>
        </is>
      </c>
      <c r="B421" s="1" t="n">
        <v>44195</v>
      </c>
      <c r="C421" s="1" t="n">
        <v>45360</v>
      </c>
      <c r="D421" t="inlineStr">
        <is>
          <t>ÖREBRO LÄN</t>
        </is>
      </c>
      <c r="E421" t="inlineStr">
        <is>
          <t>ÖREBRO</t>
        </is>
      </c>
      <c r="G421" t="n">
        <v>4.7</v>
      </c>
      <c r="H421" t="n">
        <v>0</v>
      </c>
      <c r="I421" t="n">
        <v>0</v>
      </c>
      <c r="J421" t="n">
        <v>0</v>
      </c>
      <c r="K421" t="n">
        <v>0</v>
      </c>
      <c r="L421" t="n">
        <v>0</v>
      </c>
      <c r="M421" t="n">
        <v>0</v>
      </c>
      <c r="N421" t="n">
        <v>0</v>
      </c>
      <c r="O421" t="n">
        <v>0</v>
      </c>
      <c r="P421" t="n">
        <v>0</v>
      </c>
      <c r="Q421" t="n">
        <v>0</v>
      </c>
      <c r="R421" s="2" t="inlineStr"/>
    </row>
    <row r="422" ht="15" customHeight="1">
      <c r="A422" t="inlineStr">
        <is>
          <t>A 3087-2021</t>
        </is>
      </c>
      <c r="B422" s="1" t="n">
        <v>44216</v>
      </c>
      <c r="C422" s="1" t="n">
        <v>45360</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3078-2021</t>
        </is>
      </c>
      <c r="B423" s="1" t="n">
        <v>44216</v>
      </c>
      <c r="C423" s="1" t="n">
        <v>45360</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3085-2021</t>
        </is>
      </c>
      <c r="B424" s="1" t="n">
        <v>44216</v>
      </c>
      <c r="C424" s="1" t="n">
        <v>45360</v>
      </c>
      <c r="D424" t="inlineStr">
        <is>
          <t>ÖREBRO LÄN</t>
        </is>
      </c>
      <c r="E424" t="inlineStr">
        <is>
          <t>ÖREBRO</t>
        </is>
      </c>
      <c r="G424" t="n">
        <v>2.9</v>
      </c>
      <c r="H424" t="n">
        <v>0</v>
      </c>
      <c r="I424" t="n">
        <v>0</v>
      </c>
      <c r="J424" t="n">
        <v>0</v>
      </c>
      <c r="K424" t="n">
        <v>0</v>
      </c>
      <c r="L424" t="n">
        <v>0</v>
      </c>
      <c r="M424" t="n">
        <v>0</v>
      </c>
      <c r="N424" t="n">
        <v>0</v>
      </c>
      <c r="O424" t="n">
        <v>0</v>
      </c>
      <c r="P424" t="n">
        <v>0</v>
      </c>
      <c r="Q424" t="n">
        <v>0</v>
      </c>
      <c r="R424" s="2" t="inlineStr"/>
    </row>
    <row r="425" ht="15" customHeight="1">
      <c r="A425" t="inlineStr">
        <is>
          <t>A 3081-2021</t>
        </is>
      </c>
      <c r="B425" s="1" t="n">
        <v>44216</v>
      </c>
      <c r="C425" s="1" t="n">
        <v>45360</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4021-2021</t>
        </is>
      </c>
      <c r="B426" s="1" t="n">
        <v>44218</v>
      </c>
      <c r="C426" s="1" t="n">
        <v>45360</v>
      </c>
      <c r="D426" t="inlineStr">
        <is>
          <t>ÖREBRO LÄN</t>
        </is>
      </c>
      <c r="E426" t="inlineStr">
        <is>
          <t>ÖREBRO</t>
        </is>
      </c>
      <c r="G426" t="n">
        <v>5.3</v>
      </c>
      <c r="H426" t="n">
        <v>0</v>
      </c>
      <c r="I426" t="n">
        <v>0</v>
      </c>
      <c r="J426" t="n">
        <v>0</v>
      </c>
      <c r="K426" t="n">
        <v>0</v>
      </c>
      <c r="L426" t="n">
        <v>0</v>
      </c>
      <c r="M426" t="n">
        <v>0</v>
      </c>
      <c r="N426" t="n">
        <v>0</v>
      </c>
      <c r="O426" t="n">
        <v>0</v>
      </c>
      <c r="P426" t="n">
        <v>0</v>
      </c>
      <c r="Q426" t="n">
        <v>0</v>
      </c>
      <c r="R426" s="2" t="inlineStr"/>
    </row>
    <row r="427" ht="15" customHeight="1">
      <c r="A427" t="inlineStr">
        <is>
          <t>A 5708-2021</t>
        </is>
      </c>
      <c r="B427" s="1" t="n">
        <v>44230</v>
      </c>
      <c r="C427" s="1" t="n">
        <v>45360</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5946-2021</t>
        </is>
      </c>
      <c r="B428" s="1" t="n">
        <v>44230</v>
      </c>
      <c r="C428" s="1" t="n">
        <v>45360</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6213-2021</t>
        </is>
      </c>
      <c r="B429" s="1" t="n">
        <v>44232</v>
      </c>
      <c r="C429" s="1" t="n">
        <v>45360</v>
      </c>
      <c r="D429" t="inlineStr">
        <is>
          <t>ÖREBRO LÄN</t>
        </is>
      </c>
      <c r="E429" t="inlineStr">
        <is>
          <t>ÖREBRO</t>
        </is>
      </c>
      <c r="G429" t="n">
        <v>4</v>
      </c>
      <c r="H429" t="n">
        <v>0</v>
      </c>
      <c r="I429" t="n">
        <v>0</v>
      </c>
      <c r="J429" t="n">
        <v>0</v>
      </c>
      <c r="K429" t="n">
        <v>0</v>
      </c>
      <c r="L429" t="n">
        <v>0</v>
      </c>
      <c r="M429" t="n">
        <v>0</v>
      </c>
      <c r="N429" t="n">
        <v>0</v>
      </c>
      <c r="O429" t="n">
        <v>0</v>
      </c>
      <c r="P429" t="n">
        <v>0</v>
      </c>
      <c r="Q429" t="n">
        <v>0</v>
      </c>
      <c r="R429" s="2" t="inlineStr"/>
    </row>
    <row r="430" ht="15" customHeight="1">
      <c r="A430" t="inlineStr">
        <is>
          <t>A 6212-2021</t>
        </is>
      </c>
      <c r="B430" s="1" t="n">
        <v>44232</v>
      </c>
      <c r="C430" s="1" t="n">
        <v>45360</v>
      </c>
      <c r="D430" t="inlineStr">
        <is>
          <t>ÖREBRO LÄN</t>
        </is>
      </c>
      <c r="E430" t="inlineStr">
        <is>
          <t>ÖREBRO</t>
        </is>
      </c>
      <c r="G430" t="n">
        <v>4.1</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45360</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7117-2021</t>
        </is>
      </c>
      <c r="B432" s="1" t="n">
        <v>44238</v>
      </c>
      <c r="C432" s="1" t="n">
        <v>45360</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8263-2021</t>
        </is>
      </c>
      <c r="B433" s="1" t="n">
        <v>44244</v>
      </c>
      <c r="C433" s="1" t="n">
        <v>45360</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8331-2021</t>
        </is>
      </c>
      <c r="B434" s="1" t="n">
        <v>44244</v>
      </c>
      <c r="C434" s="1" t="n">
        <v>45360</v>
      </c>
      <c r="D434" t="inlineStr">
        <is>
          <t>ÖREBRO LÄN</t>
        </is>
      </c>
      <c r="E434" t="inlineStr">
        <is>
          <t>ÖREBRO</t>
        </is>
      </c>
      <c r="G434" t="n">
        <v>9.1</v>
      </c>
      <c r="H434" t="n">
        <v>0</v>
      </c>
      <c r="I434" t="n">
        <v>0</v>
      </c>
      <c r="J434" t="n">
        <v>0</v>
      </c>
      <c r="K434" t="n">
        <v>0</v>
      </c>
      <c r="L434" t="n">
        <v>0</v>
      </c>
      <c r="M434" t="n">
        <v>0</v>
      </c>
      <c r="N434" t="n">
        <v>0</v>
      </c>
      <c r="O434" t="n">
        <v>0</v>
      </c>
      <c r="P434" t="n">
        <v>0</v>
      </c>
      <c r="Q434" t="n">
        <v>0</v>
      </c>
      <c r="R434" s="2" t="inlineStr"/>
    </row>
    <row r="435" ht="15" customHeight="1">
      <c r="A435" t="inlineStr">
        <is>
          <t>A 8375-2021</t>
        </is>
      </c>
      <c r="B435" s="1" t="n">
        <v>44244</v>
      </c>
      <c r="C435" s="1" t="n">
        <v>45360</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45360</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8374-2021</t>
        </is>
      </c>
      <c r="B437" s="1" t="n">
        <v>44244</v>
      </c>
      <c r="C437" s="1" t="n">
        <v>45360</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8543-2021</t>
        </is>
      </c>
      <c r="B438" s="1" t="n">
        <v>44245</v>
      </c>
      <c r="C438" s="1" t="n">
        <v>45360</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8565-2021</t>
        </is>
      </c>
      <c r="B439" s="1" t="n">
        <v>44245</v>
      </c>
      <c r="C439" s="1" t="n">
        <v>45360</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8571-2021</t>
        </is>
      </c>
      <c r="B440" s="1" t="n">
        <v>44245</v>
      </c>
      <c r="C440" s="1" t="n">
        <v>45360</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8568-2021</t>
        </is>
      </c>
      <c r="B441" s="1" t="n">
        <v>44245</v>
      </c>
      <c r="C441" s="1" t="n">
        <v>45360</v>
      </c>
      <c r="D441" t="inlineStr">
        <is>
          <t>ÖREBRO LÄN</t>
        </is>
      </c>
      <c r="E441" t="inlineStr">
        <is>
          <t>ÖREBRO</t>
        </is>
      </c>
      <c r="G441" t="n">
        <v>4.8</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45360</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9406-2021</t>
        </is>
      </c>
      <c r="B443" s="1" t="n">
        <v>44251</v>
      </c>
      <c r="C443" s="1" t="n">
        <v>45360</v>
      </c>
      <c r="D443" t="inlineStr">
        <is>
          <t>ÖREBRO LÄN</t>
        </is>
      </c>
      <c r="E443" t="inlineStr">
        <is>
          <t>ÖREBRO</t>
        </is>
      </c>
      <c r="G443" t="n">
        <v>6.1</v>
      </c>
      <c r="H443" t="n">
        <v>0</v>
      </c>
      <c r="I443" t="n">
        <v>0</v>
      </c>
      <c r="J443" t="n">
        <v>0</v>
      </c>
      <c r="K443" t="n">
        <v>0</v>
      </c>
      <c r="L443" t="n">
        <v>0</v>
      </c>
      <c r="M443" t="n">
        <v>0</v>
      </c>
      <c r="N443" t="n">
        <v>0</v>
      </c>
      <c r="O443" t="n">
        <v>0</v>
      </c>
      <c r="P443" t="n">
        <v>0</v>
      </c>
      <c r="Q443" t="n">
        <v>0</v>
      </c>
      <c r="R443" s="2" t="inlineStr"/>
    </row>
    <row r="444" ht="15" customHeight="1">
      <c r="A444" t="inlineStr">
        <is>
          <t>A 10368-2021</t>
        </is>
      </c>
      <c r="B444" s="1" t="n">
        <v>44257</v>
      </c>
      <c r="C444" s="1" t="n">
        <v>45360</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12433-2021</t>
        </is>
      </c>
      <c r="B445" s="1" t="n">
        <v>44267</v>
      </c>
      <c r="C445" s="1" t="n">
        <v>45360</v>
      </c>
      <c r="D445" t="inlineStr">
        <is>
          <t>ÖREBRO LÄN</t>
        </is>
      </c>
      <c r="E445" t="inlineStr">
        <is>
          <t>ÖREBRO</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12871-2021</t>
        </is>
      </c>
      <c r="B446" s="1" t="n">
        <v>44271</v>
      </c>
      <c r="C446" s="1" t="n">
        <v>45360</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13193-2021</t>
        </is>
      </c>
      <c r="B447" s="1" t="n">
        <v>44272</v>
      </c>
      <c r="C447" s="1" t="n">
        <v>45360</v>
      </c>
      <c r="D447" t="inlineStr">
        <is>
          <t>ÖREBRO LÄN</t>
        </is>
      </c>
      <c r="E447" t="inlineStr">
        <is>
          <t>ÖREBRO</t>
        </is>
      </c>
      <c r="F447" t="inlineStr">
        <is>
          <t>Övriga Aktiebolag</t>
        </is>
      </c>
      <c r="G447" t="n">
        <v>4.1</v>
      </c>
      <c r="H447" t="n">
        <v>0</v>
      </c>
      <c r="I447" t="n">
        <v>0</v>
      </c>
      <c r="J447" t="n">
        <v>0</v>
      </c>
      <c r="K447" t="n">
        <v>0</v>
      </c>
      <c r="L447" t="n">
        <v>0</v>
      </c>
      <c r="M447" t="n">
        <v>0</v>
      </c>
      <c r="N447" t="n">
        <v>0</v>
      </c>
      <c r="O447" t="n">
        <v>0</v>
      </c>
      <c r="P447" t="n">
        <v>0</v>
      </c>
      <c r="Q447" t="n">
        <v>0</v>
      </c>
      <c r="R447" s="2" t="inlineStr"/>
    </row>
    <row r="448" ht="15" customHeight="1">
      <c r="A448" t="inlineStr">
        <is>
          <t>A 13760-2021</t>
        </is>
      </c>
      <c r="B448" s="1" t="n">
        <v>44274</v>
      </c>
      <c r="C448" s="1" t="n">
        <v>45360</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14064-2021</t>
        </is>
      </c>
      <c r="B449" s="1" t="n">
        <v>44277</v>
      </c>
      <c r="C449" s="1" t="n">
        <v>45360</v>
      </c>
      <c r="D449" t="inlineStr">
        <is>
          <t>ÖREBRO LÄN</t>
        </is>
      </c>
      <c r="E449" t="inlineStr">
        <is>
          <t>ÖREBRO</t>
        </is>
      </c>
      <c r="G449" t="n">
        <v>0.3</v>
      </c>
      <c r="H449" t="n">
        <v>0</v>
      </c>
      <c r="I449" t="n">
        <v>0</v>
      </c>
      <c r="J449" t="n">
        <v>0</v>
      </c>
      <c r="K449" t="n">
        <v>0</v>
      </c>
      <c r="L449" t="n">
        <v>0</v>
      </c>
      <c r="M449" t="n">
        <v>0</v>
      </c>
      <c r="N449" t="n">
        <v>0</v>
      </c>
      <c r="O449" t="n">
        <v>0</v>
      </c>
      <c r="P449" t="n">
        <v>0</v>
      </c>
      <c r="Q449" t="n">
        <v>0</v>
      </c>
      <c r="R449" s="2" t="inlineStr"/>
    </row>
    <row r="450" ht="15" customHeight="1">
      <c r="A450" t="inlineStr">
        <is>
          <t>A 14239-2021</t>
        </is>
      </c>
      <c r="B450" s="1" t="n">
        <v>44278</v>
      </c>
      <c r="C450" s="1" t="n">
        <v>45360</v>
      </c>
      <c r="D450" t="inlineStr">
        <is>
          <t>ÖREBRO LÄN</t>
        </is>
      </c>
      <c r="E450" t="inlineStr">
        <is>
          <t>ÖREBRO</t>
        </is>
      </c>
      <c r="G450" t="n">
        <v>2.6</v>
      </c>
      <c r="H450" t="n">
        <v>0</v>
      </c>
      <c r="I450" t="n">
        <v>0</v>
      </c>
      <c r="J450" t="n">
        <v>0</v>
      </c>
      <c r="K450" t="n">
        <v>0</v>
      </c>
      <c r="L450" t="n">
        <v>0</v>
      </c>
      <c r="M450" t="n">
        <v>0</v>
      </c>
      <c r="N450" t="n">
        <v>0</v>
      </c>
      <c r="O450" t="n">
        <v>0</v>
      </c>
      <c r="P450" t="n">
        <v>0</v>
      </c>
      <c r="Q450" t="n">
        <v>0</v>
      </c>
      <c r="R450" s="2" t="inlineStr"/>
    </row>
    <row r="451" ht="15" customHeight="1">
      <c r="A451" t="inlineStr">
        <is>
          <t>A 15574-2021</t>
        </is>
      </c>
      <c r="B451" s="1" t="n">
        <v>44285</v>
      </c>
      <c r="C451" s="1" t="n">
        <v>45360</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15571-2021</t>
        </is>
      </c>
      <c r="B452" s="1" t="n">
        <v>44285</v>
      </c>
      <c r="C452" s="1" t="n">
        <v>45360</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16260-2021</t>
        </is>
      </c>
      <c r="B453" s="1" t="n">
        <v>44292</v>
      </c>
      <c r="C453" s="1" t="n">
        <v>45360</v>
      </c>
      <c r="D453" t="inlineStr">
        <is>
          <t>ÖREBRO LÄN</t>
        </is>
      </c>
      <c r="E453" t="inlineStr">
        <is>
          <t>ÖREBRO</t>
        </is>
      </c>
      <c r="G453" t="n">
        <v>3.2</v>
      </c>
      <c r="H453" t="n">
        <v>0</v>
      </c>
      <c r="I453" t="n">
        <v>0</v>
      </c>
      <c r="J453" t="n">
        <v>0</v>
      </c>
      <c r="K453" t="n">
        <v>0</v>
      </c>
      <c r="L453" t="n">
        <v>0</v>
      </c>
      <c r="M453" t="n">
        <v>0</v>
      </c>
      <c r="N453" t="n">
        <v>0</v>
      </c>
      <c r="O453" t="n">
        <v>0</v>
      </c>
      <c r="P453" t="n">
        <v>0</v>
      </c>
      <c r="Q453" t="n">
        <v>0</v>
      </c>
      <c r="R453" s="2" t="inlineStr"/>
    </row>
    <row r="454" ht="15" customHeight="1">
      <c r="A454" t="inlineStr">
        <is>
          <t>A 16785-2021</t>
        </is>
      </c>
      <c r="B454" s="1" t="n">
        <v>44295</v>
      </c>
      <c r="C454" s="1" t="n">
        <v>45360</v>
      </c>
      <c r="D454" t="inlineStr">
        <is>
          <t>ÖREBRO LÄN</t>
        </is>
      </c>
      <c r="E454" t="inlineStr">
        <is>
          <t>ÖREBRO</t>
        </is>
      </c>
      <c r="G454" t="n">
        <v>2.8</v>
      </c>
      <c r="H454" t="n">
        <v>0</v>
      </c>
      <c r="I454" t="n">
        <v>0</v>
      </c>
      <c r="J454" t="n">
        <v>0</v>
      </c>
      <c r="K454" t="n">
        <v>0</v>
      </c>
      <c r="L454" t="n">
        <v>0</v>
      </c>
      <c r="M454" t="n">
        <v>0</v>
      </c>
      <c r="N454" t="n">
        <v>0</v>
      </c>
      <c r="O454" t="n">
        <v>0</v>
      </c>
      <c r="P454" t="n">
        <v>0</v>
      </c>
      <c r="Q454" t="n">
        <v>0</v>
      </c>
      <c r="R454" s="2" t="inlineStr"/>
    </row>
    <row r="455" ht="15" customHeight="1">
      <c r="A455" t="inlineStr">
        <is>
          <t>A 19468-2021</t>
        </is>
      </c>
      <c r="B455" s="1" t="n">
        <v>44311</v>
      </c>
      <c r="C455" s="1" t="n">
        <v>45360</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19803-2021</t>
        </is>
      </c>
      <c r="B456" s="1" t="n">
        <v>44313</v>
      </c>
      <c r="C456" s="1" t="n">
        <v>45360</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19831-2021</t>
        </is>
      </c>
      <c r="B457" s="1" t="n">
        <v>44313</v>
      </c>
      <c r="C457" s="1" t="n">
        <v>45360</v>
      </c>
      <c r="D457" t="inlineStr">
        <is>
          <t>ÖREBRO LÄN</t>
        </is>
      </c>
      <c r="E457" t="inlineStr">
        <is>
          <t>ÖREBRO</t>
        </is>
      </c>
      <c r="G457" t="n">
        <v>10.4</v>
      </c>
      <c r="H457" t="n">
        <v>0</v>
      </c>
      <c r="I457" t="n">
        <v>0</v>
      </c>
      <c r="J457" t="n">
        <v>0</v>
      </c>
      <c r="K457" t="n">
        <v>0</v>
      </c>
      <c r="L457" t="n">
        <v>0</v>
      </c>
      <c r="M457" t="n">
        <v>0</v>
      </c>
      <c r="N457" t="n">
        <v>0</v>
      </c>
      <c r="O457" t="n">
        <v>0</v>
      </c>
      <c r="P457" t="n">
        <v>0</v>
      </c>
      <c r="Q457" t="n">
        <v>0</v>
      </c>
      <c r="R457" s="2" t="inlineStr"/>
    </row>
    <row r="458" ht="15" customHeight="1">
      <c r="A458" t="inlineStr">
        <is>
          <t>A 21983-2021</t>
        </is>
      </c>
      <c r="B458" s="1" t="n">
        <v>44323</v>
      </c>
      <c r="C458" s="1" t="n">
        <v>45360</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45360</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24818-2021</t>
        </is>
      </c>
      <c r="B460" s="1" t="n">
        <v>44340</v>
      </c>
      <c r="C460" s="1" t="n">
        <v>45360</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25407-2021</t>
        </is>
      </c>
      <c r="B461" s="1" t="n">
        <v>44342</v>
      </c>
      <c r="C461" s="1" t="n">
        <v>45360</v>
      </c>
      <c r="D461" t="inlineStr">
        <is>
          <t>ÖREBRO LÄN</t>
        </is>
      </c>
      <c r="E461" t="inlineStr">
        <is>
          <t>ÖREBRO</t>
        </is>
      </c>
      <c r="F461" t="inlineStr">
        <is>
          <t>Kommuner</t>
        </is>
      </c>
      <c r="G461" t="n">
        <v>7.2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45360</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25660-2021</t>
        </is>
      </c>
      <c r="B463" s="1" t="n">
        <v>44343</v>
      </c>
      <c r="C463" s="1" t="n">
        <v>45360</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25778-2021</t>
        </is>
      </c>
      <c r="B464" s="1" t="n">
        <v>44343</v>
      </c>
      <c r="C464" s="1" t="n">
        <v>45360</v>
      </c>
      <c r="D464" t="inlineStr">
        <is>
          <t>ÖREBRO LÄN</t>
        </is>
      </c>
      <c r="E464" t="inlineStr">
        <is>
          <t>ÖREBRO</t>
        </is>
      </c>
      <c r="F464" t="inlineStr">
        <is>
          <t>Övriga Aktiebolag</t>
        </is>
      </c>
      <c r="G464" t="n">
        <v>11.3</v>
      </c>
      <c r="H464" t="n">
        <v>0</v>
      </c>
      <c r="I464" t="n">
        <v>0</v>
      </c>
      <c r="J464" t="n">
        <v>0</v>
      </c>
      <c r="K464" t="n">
        <v>0</v>
      </c>
      <c r="L464" t="n">
        <v>0</v>
      </c>
      <c r="M464" t="n">
        <v>0</v>
      </c>
      <c r="N464" t="n">
        <v>0</v>
      </c>
      <c r="O464" t="n">
        <v>0</v>
      </c>
      <c r="P464" t="n">
        <v>0</v>
      </c>
      <c r="Q464" t="n">
        <v>0</v>
      </c>
      <c r="R464" s="2" t="inlineStr"/>
    </row>
    <row r="465" ht="15" customHeight="1">
      <c r="A465" t="inlineStr">
        <is>
          <t>A 26118-2021</t>
        </is>
      </c>
      <c r="B465" s="1" t="n">
        <v>44345</v>
      </c>
      <c r="C465" s="1" t="n">
        <v>45360</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26119-2021</t>
        </is>
      </c>
      <c r="B466" s="1" t="n">
        <v>44345</v>
      </c>
      <c r="C466" s="1" t="n">
        <v>45360</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26117-2021</t>
        </is>
      </c>
      <c r="B467" s="1" t="n">
        <v>44345</v>
      </c>
      <c r="C467" s="1" t="n">
        <v>45360</v>
      </c>
      <c r="D467" t="inlineStr">
        <is>
          <t>ÖREBRO LÄN</t>
        </is>
      </c>
      <c r="E467" t="inlineStr">
        <is>
          <t>ÖREBRO</t>
        </is>
      </c>
      <c r="G467" t="n">
        <v>8.1</v>
      </c>
      <c r="H467" t="n">
        <v>0</v>
      </c>
      <c r="I467" t="n">
        <v>0</v>
      </c>
      <c r="J467" t="n">
        <v>0</v>
      </c>
      <c r="K467" t="n">
        <v>0</v>
      </c>
      <c r="L467" t="n">
        <v>0</v>
      </c>
      <c r="M467" t="n">
        <v>0</v>
      </c>
      <c r="N467" t="n">
        <v>0</v>
      </c>
      <c r="O467" t="n">
        <v>0</v>
      </c>
      <c r="P467" t="n">
        <v>0</v>
      </c>
      <c r="Q467" t="n">
        <v>0</v>
      </c>
      <c r="R467" s="2" t="inlineStr"/>
    </row>
    <row r="468" ht="15" customHeight="1">
      <c r="A468" t="inlineStr">
        <is>
          <t>A 26153-2021</t>
        </is>
      </c>
      <c r="B468" s="1" t="n">
        <v>44347</v>
      </c>
      <c r="C468" s="1" t="n">
        <v>45360</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26338-2021</t>
        </is>
      </c>
      <c r="B469" s="1" t="n">
        <v>44347</v>
      </c>
      <c r="C469" s="1" t="n">
        <v>45360</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26509-2021</t>
        </is>
      </c>
      <c r="B470" s="1" t="n">
        <v>44348</v>
      </c>
      <c r="C470" s="1" t="n">
        <v>45360</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27141-2021</t>
        </is>
      </c>
      <c r="B471" s="1" t="n">
        <v>44350</v>
      </c>
      <c r="C471" s="1" t="n">
        <v>45360</v>
      </c>
      <c r="D471" t="inlineStr">
        <is>
          <t>ÖREBRO LÄN</t>
        </is>
      </c>
      <c r="E471" t="inlineStr">
        <is>
          <t>ÖREBRO</t>
        </is>
      </c>
      <c r="F471" t="inlineStr">
        <is>
          <t>Kommuner</t>
        </is>
      </c>
      <c r="G471" t="n">
        <v>1.6</v>
      </c>
      <c r="H471" t="n">
        <v>0</v>
      </c>
      <c r="I471" t="n">
        <v>0</v>
      </c>
      <c r="J471" t="n">
        <v>0</v>
      </c>
      <c r="K471" t="n">
        <v>0</v>
      </c>
      <c r="L471" t="n">
        <v>0</v>
      </c>
      <c r="M471" t="n">
        <v>0</v>
      </c>
      <c r="N471" t="n">
        <v>0</v>
      </c>
      <c r="O471" t="n">
        <v>0</v>
      </c>
      <c r="P471" t="n">
        <v>0</v>
      </c>
      <c r="Q471" t="n">
        <v>0</v>
      </c>
      <c r="R471" s="2" t="inlineStr"/>
    </row>
    <row r="472" ht="15" customHeight="1">
      <c r="A472" t="inlineStr">
        <is>
          <t>A 28689-2021</t>
        </is>
      </c>
      <c r="B472" s="1" t="n">
        <v>44357</v>
      </c>
      <c r="C472" s="1" t="n">
        <v>45360</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28870-2021</t>
        </is>
      </c>
      <c r="B473" s="1" t="n">
        <v>44357</v>
      </c>
      <c r="C473" s="1" t="n">
        <v>45360</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29033-2021</t>
        </is>
      </c>
      <c r="B474" s="1" t="n">
        <v>44358</v>
      </c>
      <c r="C474" s="1" t="n">
        <v>45360</v>
      </c>
      <c r="D474" t="inlineStr">
        <is>
          <t>ÖREBRO LÄN</t>
        </is>
      </c>
      <c r="E474" t="inlineStr">
        <is>
          <t>ÖREBRO</t>
        </is>
      </c>
      <c r="F474" t="inlineStr">
        <is>
          <t>Kommuner</t>
        </is>
      </c>
      <c r="G474" t="n">
        <v>3.7</v>
      </c>
      <c r="H474" t="n">
        <v>0</v>
      </c>
      <c r="I474" t="n">
        <v>0</v>
      </c>
      <c r="J474" t="n">
        <v>0</v>
      </c>
      <c r="K474" t="n">
        <v>0</v>
      </c>
      <c r="L474" t="n">
        <v>0</v>
      </c>
      <c r="M474" t="n">
        <v>0</v>
      </c>
      <c r="N474" t="n">
        <v>0</v>
      </c>
      <c r="O474" t="n">
        <v>0</v>
      </c>
      <c r="P474" t="n">
        <v>0</v>
      </c>
      <c r="Q474" t="n">
        <v>0</v>
      </c>
      <c r="R474" s="2" t="inlineStr"/>
    </row>
    <row r="475" ht="15" customHeight="1">
      <c r="A475" t="inlineStr">
        <is>
          <t>A 31235-2021</t>
        </is>
      </c>
      <c r="B475" s="1" t="n">
        <v>44368</v>
      </c>
      <c r="C475" s="1" t="n">
        <v>45360</v>
      </c>
      <c r="D475" t="inlineStr">
        <is>
          <t>ÖREBRO LÄN</t>
        </is>
      </c>
      <c r="E475" t="inlineStr">
        <is>
          <t>ÖREBRO</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33779-2021</t>
        </is>
      </c>
      <c r="B476" s="1" t="n">
        <v>44378</v>
      </c>
      <c r="C476" s="1" t="n">
        <v>45360</v>
      </c>
      <c r="D476" t="inlineStr">
        <is>
          <t>ÖREBRO LÄN</t>
        </is>
      </c>
      <c r="E476" t="inlineStr">
        <is>
          <t>ÖREBRO</t>
        </is>
      </c>
      <c r="F476" t="inlineStr">
        <is>
          <t>Kommuner</t>
        </is>
      </c>
      <c r="G476" t="n">
        <v>4.5</v>
      </c>
      <c r="H476" t="n">
        <v>0</v>
      </c>
      <c r="I476" t="n">
        <v>0</v>
      </c>
      <c r="J476" t="n">
        <v>0</v>
      </c>
      <c r="K476" t="n">
        <v>0</v>
      </c>
      <c r="L476" t="n">
        <v>0</v>
      </c>
      <c r="M476" t="n">
        <v>0</v>
      </c>
      <c r="N476" t="n">
        <v>0</v>
      </c>
      <c r="O476" t="n">
        <v>0</v>
      </c>
      <c r="P476" t="n">
        <v>0</v>
      </c>
      <c r="Q476" t="n">
        <v>0</v>
      </c>
      <c r="R476" s="2" t="inlineStr"/>
    </row>
    <row r="477" ht="15" customHeight="1">
      <c r="A477" t="inlineStr">
        <is>
          <t>A 33814-2021</t>
        </is>
      </c>
      <c r="B477" s="1" t="n">
        <v>44378</v>
      </c>
      <c r="C477" s="1" t="n">
        <v>45360</v>
      </c>
      <c r="D477" t="inlineStr">
        <is>
          <t>ÖREBRO LÄN</t>
        </is>
      </c>
      <c r="E477" t="inlineStr">
        <is>
          <t>ÖREBRO</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v>
      </c>
      <c r="C478" s="1" t="n">
        <v>45360</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35836-2021</t>
        </is>
      </c>
      <c r="B479" s="1" t="n">
        <v>44386</v>
      </c>
      <c r="C479" s="1" t="n">
        <v>45360</v>
      </c>
      <c r="D479" t="inlineStr">
        <is>
          <t>ÖREBRO LÄN</t>
        </is>
      </c>
      <c r="E479" t="inlineStr">
        <is>
          <t>ÖREBRO</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37395-2021</t>
        </is>
      </c>
      <c r="B480" s="1" t="n">
        <v>44398</v>
      </c>
      <c r="C480" s="1" t="n">
        <v>45360</v>
      </c>
      <c r="D480" t="inlineStr">
        <is>
          <t>ÖREBRO LÄN</t>
        </is>
      </c>
      <c r="E480" t="inlineStr">
        <is>
          <t>ÖREBRO</t>
        </is>
      </c>
      <c r="G480" t="n">
        <v>3</v>
      </c>
      <c r="H480" t="n">
        <v>0</v>
      </c>
      <c r="I480" t="n">
        <v>0</v>
      </c>
      <c r="J480" t="n">
        <v>0</v>
      </c>
      <c r="K480" t="n">
        <v>0</v>
      </c>
      <c r="L480" t="n">
        <v>0</v>
      </c>
      <c r="M480" t="n">
        <v>0</v>
      </c>
      <c r="N480" t="n">
        <v>0</v>
      </c>
      <c r="O480" t="n">
        <v>0</v>
      </c>
      <c r="P480" t="n">
        <v>0</v>
      </c>
      <c r="Q480" t="n">
        <v>0</v>
      </c>
      <c r="R480" s="2" t="inlineStr"/>
    </row>
    <row r="481" ht="15" customHeight="1">
      <c r="A481" t="inlineStr">
        <is>
          <t>A 38133-2021</t>
        </is>
      </c>
      <c r="B481" s="1" t="n">
        <v>44404</v>
      </c>
      <c r="C481" s="1" t="n">
        <v>45360</v>
      </c>
      <c r="D481" t="inlineStr">
        <is>
          <t>ÖREBRO LÄN</t>
        </is>
      </c>
      <c r="E481" t="inlineStr">
        <is>
          <t>ÖREBRO</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40312-2021</t>
        </is>
      </c>
      <c r="B482" s="1" t="n">
        <v>44419</v>
      </c>
      <c r="C482" s="1" t="n">
        <v>45360</v>
      </c>
      <c r="D482" t="inlineStr">
        <is>
          <t>ÖREBRO LÄN</t>
        </is>
      </c>
      <c r="E482" t="inlineStr">
        <is>
          <t>ÖREBRO</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40597-2021</t>
        </is>
      </c>
      <c r="B483" s="1" t="n">
        <v>44420</v>
      </c>
      <c r="C483" s="1" t="n">
        <v>45360</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40605-2021</t>
        </is>
      </c>
      <c r="B484" s="1" t="n">
        <v>44420</v>
      </c>
      <c r="C484" s="1" t="n">
        <v>45360</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40588-2021</t>
        </is>
      </c>
      <c r="B485" s="1" t="n">
        <v>44420</v>
      </c>
      <c r="C485" s="1" t="n">
        <v>45360</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41326-2021</t>
        </is>
      </c>
      <c r="B486" s="1" t="n">
        <v>44424</v>
      </c>
      <c r="C486" s="1" t="n">
        <v>45360</v>
      </c>
      <c r="D486" t="inlineStr">
        <is>
          <t>ÖREBRO LÄN</t>
        </is>
      </c>
      <c r="E486" t="inlineStr">
        <is>
          <t>ÖREBRO</t>
        </is>
      </c>
      <c r="G486" t="n">
        <v>5.9</v>
      </c>
      <c r="H486" t="n">
        <v>0</v>
      </c>
      <c r="I486" t="n">
        <v>0</v>
      </c>
      <c r="J486" t="n">
        <v>0</v>
      </c>
      <c r="K486" t="n">
        <v>0</v>
      </c>
      <c r="L486" t="n">
        <v>0</v>
      </c>
      <c r="M486" t="n">
        <v>0</v>
      </c>
      <c r="N486" t="n">
        <v>0</v>
      </c>
      <c r="O486" t="n">
        <v>0</v>
      </c>
      <c r="P486" t="n">
        <v>0</v>
      </c>
      <c r="Q486" t="n">
        <v>0</v>
      </c>
      <c r="R486" s="2" t="inlineStr"/>
    </row>
    <row r="487" ht="15" customHeight="1">
      <c r="A487" t="inlineStr">
        <is>
          <t>A 42518-2021</t>
        </is>
      </c>
      <c r="B487" s="1" t="n">
        <v>44427</v>
      </c>
      <c r="C487" s="1" t="n">
        <v>45360</v>
      </c>
      <c r="D487" t="inlineStr">
        <is>
          <t>ÖREBRO LÄN</t>
        </is>
      </c>
      <c r="E487" t="inlineStr">
        <is>
          <t>ÖREBRO</t>
        </is>
      </c>
      <c r="G487" t="n">
        <v>4.5</v>
      </c>
      <c r="H487" t="n">
        <v>0</v>
      </c>
      <c r="I487" t="n">
        <v>0</v>
      </c>
      <c r="J487" t="n">
        <v>0</v>
      </c>
      <c r="K487" t="n">
        <v>0</v>
      </c>
      <c r="L487" t="n">
        <v>0</v>
      </c>
      <c r="M487" t="n">
        <v>0</v>
      </c>
      <c r="N487" t="n">
        <v>0</v>
      </c>
      <c r="O487" t="n">
        <v>0</v>
      </c>
      <c r="P487" t="n">
        <v>0</v>
      </c>
      <c r="Q487" t="n">
        <v>0</v>
      </c>
      <c r="R487" s="2" t="inlineStr"/>
    </row>
    <row r="488" ht="15" customHeight="1">
      <c r="A488" t="inlineStr">
        <is>
          <t>A 42777-2021</t>
        </is>
      </c>
      <c r="B488" s="1" t="n">
        <v>44428</v>
      </c>
      <c r="C488" s="1" t="n">
        <v>45360</v>
      </c>
      <c r="D488" t="inlineStr">
        <is>
          <t>ÖREBRO LÄN</t>
        </is>
      </c>
      <c r="E488" t="inlineStr">
        <is>
          <t>ÖREBRO</t>
        </is>
      </c>
      <c r="F488" t="inlineStr">
        <is>
          <t>Övriga Aktiebolag</t>
        </is>
      </c>
      <c r="G488" t="n">
        <v>5.4</v>
      </c>
      <c r="H488" t="n">
        <v>0</v>
      </c>
      <c r="I488" t="n">
        <v>0</v>
      </c>
      <c r="J488" t="n">
        <v>0</v>
      </c>
      <c r="K488" t="n">
        <v>0</v>
      </c>
      <c r="L488" t="n">
        <v>0</v>
      </c>
      <c r="M488" t="n">
        <v>0</v>
      </c>
      <c r="N488" t="n">
        <v>0</v>
      </c>
      <c r="O488" t="n">
        <v>0</v>
      </c>
      <c r="P488" t="n">
        <v>0</v>
      </c>
      <c r="Q488" t="n">
        <v>0</v>
      </c>
      <c r="R488" s="2" t="inlineStr"/>
    </row>
    <row r="489" ht="15" customHeight="1">
      <c r="A489" t="inlineStr">
        <is>
          <t>A 44043-2021</t>
        </is>
      </c>
      <c r="B489" s="1" t="n">
        <v>44434</v>
      </c>
      <c r="C489" s="1" t="n">
        <v>45360</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44146-2021</t>
        </is>
      </c>
      <c r="B490" s="1" t="n">
        <v>44434</v>
      </c>
      <c r="C490" s="1" t="n">
        <v>45360</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44052-2021</t>
        </is>
      </c>
      <c r="B491" s="1" t="n">
        <v>44434</v>
      </c>
      <c r="C491" s="1" t="n">
        <v>45360</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44560-2021</t>
        </is>
      </c>
      <c r="B492" s="1" t="n">
        <v>44435</v>
      </c>
      <c r="C492" s="1" t="n">
        <v>45360</v>
      </c>
      <c r="D492" t="inlineStr">
        <is>
          <t>ÖREBRO LÄN</t>
        </is>
      </c>
      <c r="E492" t="inlineStr">
        <is>
          <t>ÖREBRO</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45360</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47130-2021</t>
        </is>
      </c>
      <c r="B494" s="1" t="n">
        <v>44446</v>
      </c>
      <c r="C494" s="1" t="n">
        <v>45360</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47973-2021</t>
        </is>
      </c>
      <c r="B495" s="1" t="n">
        <v>44449</v>
      </c>
      <c r="C495" s="1" t="n">
        <v>45360</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49016-2021</t>
        </is>
      </c>
      <c r="B496" s="1" t="n">
        <v>44453</v>
      </c>
      <c r="C496" s="1" t="n">
        <v>45360</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51429-2021</t>
        </is>
      </c>
      <c r="B497" s="1" t="n">
        <v>44462</v>
      </c>
      <c r="C497" s="1" t="n">
        <v>45360</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52352-2021</t>
        </is>
      </c>
      <c r="B498" s="1" t="n">
        <v>44464</v>
      </c>
      <c r="C498" s="1" t="n">
        <v>45360</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55487-2021</t>
        </is>
      </c>
      <c r="B499" s="1" t="n">
        <v>44475</v>
      </c>
      <c r="C499" s="1" t="n">
        <v>45360</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57343-2021</t>
        </is>
      </c>
      <c r="B500" s="1" t="n">
        <v>44482</v>
      </c>
      <c r="C500" s="1" t="n">
        <v>45360</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57498-2021</t>
        </is>
      </c>
      <c r="B501" s="1" t="n">
        <v>44483</v>
      </c>
      <c r="C501" s="1" t="n">
        <v>45360</v>
      </c>
      <c r="D501" t="inlineStr">
        <is>
          <t>ÖREBRO LÄN</t>
        </is>
      </c>
      <c r="E501" t="inlineStr">
        <is>
          <t>ÖREBRO</t>
        </is>
      </c>
      <c r="F501" t="inlineStr">
        <is>
          <t>Övriga Aktiebolag</t>
        </is>
      </c>
      <c r="G501" t="n">
        <v>2.7</v>
      </c>
      <c r="H501" t="n">
        <v>0</v>
      </c>
      <c r="I501" t="n">
        <v>0</v>
      </c>
      <c r="J501" t="n">
        <v>0</v>
      </c>
      <c r="K501" t="n">
        <v>0</v>
      </c>
      <c r="L501" t="n">
        <v>0</v>
      </c>
      <c r="M501" t="n">
        <v>0</v>
      </c>
      <c r="N501" t="n">
        <v>0</v>
      </c>
      <c r="O501" t="n">
        <v>0</v>
      </c>
      <c r="P501" t="n">
        <v>0</v>
      </c>
      <c r="Q501" t="n">
        <v>0</v>
      </c>
      <c r="R501" s="2" t="inlineStr"/>
    </row>
    <row r="502" ht="15" customHeight="1">
      <c r="A502" t="inlineStr">
        <is>
          <t>A 58138-2021</t>
        </is>
      </c>
      <c r="B502" s="1" t="n">
        <v>44487</v>
      </c>
      <c r="C502" s="1" t="n">
        <v>45360</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59584-2021</t>
        </is>
      </c>
      <c r="B503" s="1" t="n">
        <v>44491</v>
      </c>
      <c r="C503" s="1" t="n">
        <v>45360</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61232-2021</t>
        </is>
      </c>
      <c r="B504" s="1" t="n">
        <v>44498</v>
      </c>
      <c r="C504" s="1" t="n">
        <v>45360</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62794-2021</t>
        </is>
      </c>
      <c r="B505" s="1" t="n">
        <v>44504</v>
      </c>
      <c r="C505" s="1" t="n">
        <v>45360</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63247-2021</t>
        </is>
      </c>
      <c r="B506" s="1" t="n">
        <v>44505</v>
      </c>
      <c r="C506" s="1" t="n">
        <v>45360</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63890-2021</t>
        </is>
      </c>
      <c r="B507" s="1" t="n">
        <v>44509</v>
      </c>
      <c r="C507" s="1" t="n">
        <v>45360</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64523-2021</t>
        </is>
      </c>
      <c r="B508" s="1" t="n">
        <v>44511</v>
      </c>
      <c r="C508" s="1" t="n">
        <v>45360</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66000-2021</t>
        </is>
      </c>
      <c r="B509" s="1" t="n">
        <v>44517</v>
      </c>
      <c r="C509" s="1" t="n">
        <v>45360</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66559-2021</t>
        </is>
      </c>
      <c r="B510" s="1" t="n">
        <v>44519</v>
      </c>
      <c r="C510" s="1" t="n">
        <v>45360</v>
      </c>
      <c r="D510" t="inlineStr">
        <is>
          <t>ÖREBRO LÄN</t>
        </is>
      </c>
      <c r="E510" t="inlineStr">
        <is>
          <t>ÖREBRO</t>
        </is>
      </c>
      <c r="F510" t="inlineStr">
        <is>
          <t>Allmännings- och besparingsskogar</t>
        </is>
      </c>
      <c r="G510" t="n">
        <v>4.3</v>
      </c>
      <c r="H510" t="n">
        <v>0</v>
      </c>
      <c r="I510" t="n">
        <v>0</v>
      </c>
      <c r="J510" t="n">
        <v>0</v>
      </c>
      <c r="K510" t="n">
        <v>0</v>
      </c>
      <c r="L510" t="n">
        <v>0</v>
      </c>
      <c r="M510" t="n">
        <v>0</v>
      </c>
      <c r="N510" t="n">
        <v>0</v>
      </c>
      <c r="O510" t="n">
        <v>0</v>
      </c>
      <c r="P510" t="n">
        <v>0</v>
      </c>
      <c r="Q510" t="n">
        <v>0</v>
      </c>
      <c r="R510" s="2" t="inlineStr"/>
    </row>
    <row r="511" ht="15" customHeight="1">
      <c r="A511" t="inlineStr">
        <is>
          <t>A 66936-2021</t>
        </is>
      </c>
      <c r="B511" s="1" t="n">
        <v>44522</v>
      </c>
      <c r="C511" s="1" t="n">
        <v>45360</v>
      </c>
      <c r="D511" t="inlineStr">
        <is>
          <t>ÖREBRO LÄN</t>
        </is>
      </c>
      <c r="E511" t="inlineStr">
        <is>
          <t>ÖREBRO</t>
        </is>
      </c>
      <c r="G511" t="n">
        <v>6.8</v>
      </c>
      <c r="H511" t="n">
        <v>0</v>
      </c>
      <c r="I511" t="n">
        <v>0</v>
      </c>
      <c r="J511" t="n">
        <v>0</v>
      </c>
      <c r="K511" t="n">
        <v>0</v>
      </c>
      <c r="L511" t="n">
        <v>0</v>
      </c>
      <c r="M511" t="n">
        <v>0</v>
      </c>
      <c r="N511" t="n">
        <v>0</v>
      </c>
      <c r="O511" t="n">
        <v>0</v>
      </c>
      <c r="P511" t="n">
        <v>0</v>
      </c>
      <c r="Q511" t="n">
        <v>0</v>
      </c>
      <c r="R511" s="2" t="inlineStr"/>
    </row>
    <row r="512" ht="15" customHeight="1">
      <c r="A512" t="inlineStr">
        <is>
          <t>A 66970-2021</t>
        </is>
      </c>
      <c r="B512" s="1" t="n">
        <v>44522</v>
      </c>
      <c r="C512" s="1" t="n">
        <v>45360</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69733-2021</t>
        </is>
      </c>
      <c r="B513" s="1" t="n">
        <v>44532</v>
      </c>
      <c r="C513" s="1" t="n">
        <v>45360</v>
      </c>
      <c r="D513" t="inlineStr">
        <is>
          <t>ÖREBRO LÄN</t>
        </is>
      </c>
      <c r="E513" t="inlineStr">
        <is>
          <t>ÖREBRO</t>
        </is>
      </c>
      <c r="F513" t="inlineStr">
        <is>
          <t>Allmännings- och besparingsskogar</t>
        </is>
      </c>
      <c r="G513" t="n">
        <v>14.7</v>
      </c>
      <c r="H513" t="n">
        <v>0</v>
      </c>
      <c r="I513" t="n">
        <v>0</v>
      </c>
      <c r="J513" t="n">
        <v>0</v>
      </c>
      <c r="K513" t="n">
        <v>0</v>
      </c>
      <c r="L513" t="n">
        <v>0</v>
      </c>
      <c r="M513" t="n">
        <v>0</v>
      </c>
      <c r="N513" t="n">
        <v>0</v>
      </c>
      <c r="O513" t="n">
        <v>0</v>
      </c>
      <c r="P513" t="n">
        <v>0</v>
      </c>
      <c r="Q513" t="n">
        <v>0</v>
      </c>
      <c r="R513" s="2" t="inlineStr"/>
    </row>
    <row r="514" ht="15" customHeight="1">
      <c r="A514" t="inlineStr">
        <is>
          <t>A 70199-2021</t>
        </is>
      </c>
      <c r="B514" s="1" t="n">
        <v>44534</v>
      </c>
      <c r="C514" s="1" t="n">
        <v>45360</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45360</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70707-2021</t>
        </is>
      </c>
      <c r="B516" s="1" t="n">
        <v>44537</v>
      </c>
      <c r="C516" s="1" t="n">
        <v>45360</v>
      </c>
      <c r="D516" t="inlineStr">
        <is>
          <t>ÖREBRO LÄN</t>
        </is>
      </c>
      <c r="E516" t="inlineStr">
        <is>
          <t>ÖREBRO</t>
        </is>
      </c>
      <c r="G516" t="n">
        <v>13.2</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45360</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70540-2021</t>
        </is>
      </c>
      <c r="B518" s="1" t="n">
        <v>44537</v>
      </c>
      <c r="C518" s="1" t="n">
        <v>45360</v>
      </c>
      <c r="D518" t="inlineStr">
        <is>
          <t>ÖREBRO LÄN</t>
        </is>
      </c>
      <c r="E518" t="inlineStr">
        <is>
          <t>ÖREBRO</t>
        </is>
      </c>
      <c r="G518" t="n">
        <v>7.1</v>
      </c>
      <c r="H518" t="n">
        <v>0</v>
      </c>
      <c r="I518" t="n">
        <v>0</v>
      </c>
      <c r="J518" t="n">
        <v>0</v>
      </c>
      <c r="K518" t="n">
        <v>0</v>
      </c>
      <c r="L518" t="n">
        <v>0</v>
      </c>
      <c r="M518" t="n">
        <v>0</v>
      </c>
      <c r="N518" t="n">
        <v>0</v>
      </c>
      <c r="O518" t="n">
        <v>0</v>
      </c>
      <c r="P518" t="n">
        <v>0</v>
      </c>
      <c r="Q518" t="n">
        <v>0</v>
      </c>
      <c r="R518" s="2" t="inlineStr"/>
    </row>
    <row r="519" ht="15" customHeight="1">
      <c r="A519" t="inlineStr">
        <is>
          <t>A 70871-2021</t>
        </is>
      </c>
      <c r="B519" s="1" t="n">
        <v>44538</v>
      </c>
      <c r="C519" s="1" t="n">
        <v>45360</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71206-2021</t>
        </is>
      </c>
      <c r="B520" s="1" t="n">
        <v>44539</v>
      </c>
      <c r="C520" s="1" t="n">
        <v>45360</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71269-2021</t>
        </is>
      </c>
      <c r="B521" s="1" t="n">
        <v>44539</v>
      </c>
      <c r="C521" s="1" t="n">
        <v>45360</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71293-2021</t>
        </is>
      </c>
      <c r="B522" s="1" t="n">
        <v>44539</v>
      </c>
      <c r="C522" s="1" t="n">
        <v>45360</v>
      </c>
      <c r="D522" t="inlineStr">
        <is>
          <t>ÖREBRO LÄN</t>
        </is>
      </c>
      <c r="E522" t="inlineStr">
        <is>
          <t>ÖREBRO</t>
        </is>
      </c>
      <c r="G522" t="n">
        <v>3.9</v>
      </c>
      <c r="H522" t="n">
        <v>0</v>
      </c>
      <c r="I522" t="n">
        <v>0</v>
      </c>
      <c r="J522" t="n">
        <v>0</v>
      </c>
      <c r="K522" t="n">
        <v>0</v>
      </c>
      <c r="L522" t="n">
        <v>0</v>
      </c>
      <c r="M522" t="n">
        <v>0</v>
      </c>
      <c r="N522" t="n">
        <v>0</v>
      </c>
      <c r="O522" t="n">
        <v>0</v>
      </c>
      <c r="P522" t="n">
        <v>0</v>
      </c>
      <c r="Q522" t="n">
        <v>0</v>
      </c>
      <c r="R522" s="2" t="inlineStr"/>
    </row>
    <row r="523" ht="15" customHeight="1">
      <c r="A523" t="inlineStr">
        <is>
          <t>A 71267-2021</t>
        </is>
      </c>
      <c r="B523" s="1" t="n">
        <v>44539</v>
      </c>
      <c r="C523" s="1" t="n">
        <v>45360</v>
      </c>
      <c r="D523" t="inlineStr">
        <is>
          <t>ÖREBRO LÄN</t>
        </is>
      </c>
      <c r="E523" t="inlineStr">
        <is>
          <t>ÖREBRO</t>
        </is>
      </c>
      <c r="G523" t="n">
        <v>1.7</v>
      </c>
      <c r="H523" t="n">
        <v>0</v>
      </c>
      <c r="I523" t="n">
        <v>0</v>
      </c>
      <c r="J523" t="n">
        <v>0</v>
      </c>
      <c r="K523" t="n">
        <v>0</v>
      </c>
      <c r="L523" t="n">
        <v>0</v>
      </c>
      <c r="M523" t="n">
        <v>0</v>
      </c>
      <c r="N523" t="n">
        <v>0</v>
      </c>
      <c r="O523" t="n">
        <v>0</v>
      </c>
      <c r="P523" t="n">
        <v>0</v>
      </c>
      <c r="Q523" t="n">
        <v>0</v>
      </c>
      <c r="R523" s="2" t="inlineStr"/>
    </row>
    <row r="524" ht="15" customHeight="1">
      <c r="A524" t="inlineStr">
        <is>
          <t>A 71266-2021</t>
        </is>
      </c>
      <c r="B524" s="1" t="n">
        <v>44539</v>
      </c>
      <c r="C524" s="1" t="n">
        <v>45360</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45360</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v>
      </c>
      <c r="C526" s="1" t="n">
        <v>45360</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71272-2021</t>
        </is>
      </c>
      <c r="B527" s="1" t="n">
        <v>44539</v>
      </c>
      <c r="C527" s="1" t="n">
        <v>45360</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71285-2021</t>
        </is>
      </c>
      <c r="B528" s="1" t="n">
        <v>44539</v>
      </c>
      <c r="C528" s="1" t="n">
        <v>45360</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71295-2021</t>
        </is>
      </c>
      <c r="B529" s="1" t="n">
        <v>44539</v>
      </c>
      <c r="C529" s="1" t="n">
        <v>45360</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45360</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71291-2021</t>
        </is>
      </c>
      <c r="B531" s="1" t="n">
        <v>44539</v>
      </c>
      <c r="C531" s="1" t="n">
        <v>45360</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72329-2021</t>
        </is>
      </c>
      <c r="B532" s="1" t="n">
        <v>44545</v>
      </c>
      <c r="C532" s="1" t="n">
        <v>45360</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72338-2021</t>
        </is>
      </c>
      <c r="B533" s="1" t="n">
        <v>44545</v>
      </c>
      <c r="C533" s="1" t="n">
        <v>45360</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73946-2021</t>
        </is>
      </c>
      <c r="B534" s="1" t="n">
        <v>44552</v>
      </c>
      <c r="C534" s="1" t="n">
        <v>45360</v>
      </c>
      <c r="D534" t="inlineStr">
        <is>
          <t>ÖREBRO LÄN</t>
        </is>
      </c>
      <c r="E534" t="inlineStr">
        <is>
          <t>ÖREBRO</t>
        </is>
      </c>
      <c r="G534" t="n">
        <v>4.7</v>
      </c>
      <c r="H534" t="n">
        <v>0</v>
      </c>
      <c r="I534" t="n">
        <v>0</v>
      </c>
      <c r="J534" t="n">
        <v>0</v>
      </c>
      <c r="K534" t="n">
        <v>0</v>
      </c>
      <c r="L534" t="n">
        <v>0</v>
      </c>
      <c r="M534" t="n">
        <v>0</v>
      </c>
      <c r="N534" t="n">
        <v>0</v>
      </c>
      <c r="O534" t="n">
        <v>0</v>
      </c>
      <c r="P534" t="n">
        <v>0</v>
      </c>
      <c r="Q534" t="n">
        <v>0</v>
      </c>
      <c r="R534" s="2" t="inlineStr"/>
    </row>
    <row r="535" ht="15" customHeight="1">
      <c r="A535" t="inlineStr">
        <is>
          <t>A 797-2022</t>
        </is>
      </c>
      <c r="B535" s="1" t="n">
        <v>44566</v>
      </c>
      <c r="C535" s="1" t="n">
        <v>45360</v>
      </c>
      <c r="D535" t="inlineStr">
        <is>
          <t>ÖREBRO LÄN</t>
        </is>
      </c>
      <c r="E535" t="inlineStr">
        <is>
          <t>ÖREBRO</t>
        </is>
      </c>
      <c r="G535" t="n">
        <v>0.1</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45360</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45360</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45360</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3120-2022</t>
        </is>
      </c>
      <c r="B539" s="1" t="n">
        <v>44582</v>
      </c>
      <c r="C539" s="1" t="n">
        <v>45360</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3563-2022</t>
        </is>
      </c>
      <c r="B540" s="1" t="n">
        <v>44585</v>
      </c>
      <c r="C540" s="1" t="n">
        <v>45360</v>
      </c>
      <c r="D540" t="inlineStr">
        <is>
          <t>ÖREBRO LÄN</t>
        </is>
      </c>
      <c r="E540" t="inlineStr">
        <is>
          <t>ÖREBRO</t>
        </is>
      </c>
      <c r="G540" t="n">
        <v>3.8</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v>
      </c>
      <c r="C541" s="1" t="n">
        <v>45360</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4761-2022</t>
        </is>
      </c>
      <c r="B542" s="1" t="n">
        <v>44592</v>
      </c>
      <c r="C542" s="1" t="n">
        <v>45360</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4766-2022</t>
        </is>
      </c>
      <c r="B543" s="1" t="n">
        <v>44592</v>
      </c>
      <c r="C543" s="1" t="n">
        <v>45360</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4956-2022</t>
        </is>
      </c>
      <c r="B544" s="1" t="n">
        <v>44593</v>
      </c>
      <c r="C544" s="1" t="n">
        <v>45360</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4961-2022</t>
        </is>
      </c>
      <c r="B545" s="1" t="n">
        <v>44593</v>
      </c>
      <c r="C545" s="1" t="n">
        <v>45360</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4887-2022</t>
        </is>
      </c>
      <c r="B546" s="1" t="n">
        <v>44593</v>
      </c>
      <c r="C546" s="1" t="n">
        <v>45360</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45360</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v>
      </c>
      <c r="C548" s="1" t="n">
        <v>45360</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5401-2022</t>
        </is>
      </c>
      <c r="B549" s="1" t="n">
        <v>44595</v>
      </c>
      <c r="C549" s="1" t="n">
        <v>45360</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v>
      </c>
      <c r="C550" s="1" t="n">
        <v>45360</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45360</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6638-2022</t>
        </is>
      </c>
      <c r="B552" s="1" t="n">
        <v>44601</v>
      </c>
      <c r="C552" s="1" t="n">
        <v>45360</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6752-2022</t>
        </is>
      </c>
      <c r="B553" s="1" t="n">
        <v>44602</v>
      </c>
      <c r="C553" s="1" t="n">
        <v>45360</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45360</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8022-2022</t>
        </is>
      </c>
      <c r="B555" s="1" t="n">
        <v>44609</v>
      </c>
      <c r="C555" s="1" t="n">
        <v>45360</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8159-2022</t>
        </is>
      </c>
      <c r="B556" s="1" t="n">
        <v>44609</v>
      </c>
      <c r="C556" s="1" t="n">
        <v>45360</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8163-2022</t>
        </is>
      </c>
      <c r="B557" s="1" t="n">
        <v>44609</v>
      </c>
      <c r="C557" s="1" t="n">
        <v>45360</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8156-2022</t>
        </is>
      </c>
      <c r="B558" s="1" t="n">
        <v>44609</v>
      </c>
      <c r="C558" s="1" t="n">
        <v>45360</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8884-2022</t>
        </is>
      </c>
      <c r="B559" s="1" t="n">
        <v>44614</v>
      </c>
      <c r="C559" s="1" t="n">
        <v>45360</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9395-2022</t>
        </is>
      </c>
      <c r="B560" s="1" t="n">
        <v>44616</v>
      </c>
      <c r="C560" s="1" t="n">
        <v>45360</v>
      </c>
      <c r="D560" t="inlineStr">
        <is>
          <t>ÖREBRO LÄN</t>
        </is>
      </c>
      <c r="E560" t="inlineStr">
        <is>
          <t>ÖREBRO</t>
        </is>
      </c>
      <c r="G560" t="n">
        <v>4.1</v>
      </c>
      <c r="H560" t="n">
        <v>0</v>
      </c>
      <c r="I560" t="n">
        <v>0</v>
      </c>
      <c r="J560" t="n">
        <v>0</v>
      </c>
      <c r="K560" t="n">
        <v>0</v>
      </c>
      <c r="L560" t="n">
        <v>0</v>
      </c>
      <c r="M560" t="n">
        <v>0</v>
      </c>
      <c r="N560" t="n">
        <v>0</v>
      </c>
      <c r="O560" t="n">
        <v>0</v>
      </c>
      <c r="P560" t="n">
        <v>0</v>
      </c>
      <c r="Q560" t="n">
        <v>0</v>
      </c>
      <c r="R560" s="2" t="inlineStr"/>
    </row>
    <row r="561" ht="15" customHeight="1">
      <c r="A561" t="inlineStr">
        <is>
          <t>A 9362-2022</t>
        </is>
      </c>
      <c r="B561" s="1" t="n">
        <v>44616</v>
      </c>
      <c r="C561" s="1" t="n">
        <v>45360</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9392-2022</t>
        </is>
      </c>
      <c r="B562" s="1" t="n">
        <v>44616</v>
      </c>
      <c r="C562" s="1" t="n">
        <v>45360</v>
      </c>
      <c r="D562" t="inlineStr">
        <is>
          <t>ÖREBRO LÄN</t>
        </is>
      </c>
      <c r="E562" t="inlineStr">
        <is>
          <t>ÖREBRO</t>
        </is>
      </c>
      <c r="G562" t="n">
        <v>10.9</v>
      </c>
      <c r="H562" t="n">
        <v>0</v>
      </c>
      <c r="I562" t="n">
        <v>0</v>
      </c>
      <c r="J562" t="n">
        <v>0</v>
      </c>
      <c r="K562" t="n">
        <v>0</v>
      </c>
      <c r="L562" t="n">
        <v>0</v>
      </c>
      <c r="M562" t="n">
        <v>0</v>
      </c>
      <c r="N562" t="n">
        <v>0</v>
      </c>
      <c r="O562" t="n">
        <v>0</v>
      </c>
      <c r="P562" t="n">
        <v>0</v>
      </c>
      <c r="Q562" t="n">
        <v>0</v>
      </c>
      <c r="R562" s="2" t="inlineStr"/>
    </row>
    <row r="563" ht="15" customHeight="1">
      <c r="A563" t="inlineStr">
        <is>
          <t>A 9397-2022</t>
        </is>
      </c>
      <c r="B563" s="1" t="n">
        <v>44616</v>
      </c>
      <c r="C563" s="1" t="n">
        <v>45360</v>
      </c>
      <c r="D563" t="inlineStr">
        <is>
          <t>ÖREBRO LÄN</t>
        </is>
      </c>
      <c r="E563" t="inlineStr">
        <is>
          <t>ÖREBRO</t>
        </is>
      </c>
      <c r="G563" t="n">
        <v>7.9</v>
      </c>
      <c r="H563" t="n">
        <v>0</v>
      </c>
      <c r="I563" t="n">
        <v>0</v>
      </c>
      <c r="J563" t="n">
        <v>0</v>
      </c>
      <c r="K563" t="n">
        <v>0</v>
      </c>
      <c r="L563" t="n">
        <v>0</v>
      </c>
      <c r="M563" t="n">
        <v>0</v>
      </c>
      <c r="N563" t="n">
        <v>0</v>
      </c>
      <c r="O563" t="n">
        <v>0</v>
      </c>
      <c r="P563" t="n">
        <v>0</v>
      </c>
      <c r="Q563" t="n">
        <v>0</v>
      </c>
      <c r="R563" s="2" t="inlineStr"/>
    </row>
    <row r="564" ht="15" customHeight="1">
      <c r="A564" t="inlineStr">
        <is>
          <t>A 10019-2022</t>
        </is>
      </c>
      <c r="B564" s="1" t="n">
        <v>44621</v>
      </c>
      <c r="C564" s="1" t="n">
        <v>45360</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11594-2022</t>
        </is>
      </c>
      <c r="B565" s="1" t="n">
        <v>44631</v>
      </c>
      <c r="C565" s="1" t="n">
        <v>45360</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11899-2022</t>
        </is>
      </c>
      <c r="B566" s="1" t="n">
        <v>44635</v>
      </c>
      <c r="C566" s="1" t="n">
        <v>45360</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12478-2022</t>
        </is>
      </c>
      <c r="B567" s="1" t="n">
        <v>44638</v>
      </c>
      <c r="C567" s="1" t="n">
        <v>45360</v>
      </c>
      <c r="D567" t="inlineStr">
        <is>
          <t>ÖREBRO LÄN</t>
        </is>
      </c>
      <c r="E567" t="inlineStr">
        <is>
          <t>ÖREBRO</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12990-2022</t>
        </is>
      </c>
      <c r="B568" s="1" t="n">
        <v>44643</v>
      </c>
      <c r="C568" s="1" t="n">
        <v>45360</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13045-2022</t>
        </is>
      </c>
      <c r="B569" s="1" t="n">
        <v>44643</v>
      </c>
      <c r="C569" s="1" t="n">
        <v>45360</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13511-2022</t>
        </is>
      </c>
      <c r="B570" s="1" t="n">
        <v>44647</v>
      </c>
      <c r="C570" s="1" t="n">
        <v>45360</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13631-2022</t>
        </is>
      </c>
      <c r="B571" s="1" t="n">
        <v>44648</v>
      </c>
      <c r="C571" s="1" t="n">
        <v>45360</v>
      </c>
      <c r="D571" t="inlineStr">
        <is>
          <t>ÖREBRO LÄN</t>
        </is>
      </c>
      <c r="E571" t="inlineStr">
        <is>
          <t>ÖREBRO</t>
        </is>
      </c>
      <c r="G571" t="n">
        <v>10.4</v>
      </c>
      <c r="H571" t="n">
        <v>0</v>
      </c>
      <c r="I571" t="n">
        <v>0</v>
      </c>
      <c r="J571" t="n">
        <v>0</v>
      </c>
      <c r="K571" t="n">
        <v>0</v>
      </c>
      <c r="L571" t="n">
        <v>0</v>
      </c>
      <c r="M571" t="n">
        <v>0</v>
      </c>
      <c r="N571" t="n">
        <v>0</v>
      </c>
      <c r="O571" t="n">
        <v>0</v>
      </c>
      <c r="P571" t="n">
        <v>0</v>
      </c>
      <c r="Q571" t="n">
        <v>0</v>
      </c>
      <c r="R571" s="2" t="inlineStr"/>
    </row>
    <row r="572" ht="15" customHeight="1">
      <c r="A572" t="inlineStr">
        <is>
          <t>A 13856-2022</t>
        </is>
      </c>
      <c r="B572" s="1" t="n">
        <v>44649</v>
      </c>
      <c r="C572" s="1" t="n">
        <v>45360</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13857-2022</t>
        </is>
      </c>
      <c r="B573" s="1" t="n">
        <v>44649</v>
      </c>
      <c r="C573" s="1" t="n">
        <v>45360</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14562-2022</t>
        </is>
      </c>
      <c r="B574" s="1" t="n">
        <v>44655</v>
      </c>
      <c r="C574" s="1" t="n">
        <v>45360</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14878-2022</t>
        </is>
      </c>
      <c r="B575" s="1" t="n">
        <v>44656</v>
      </c>
      <c r="C575" s="1" t="n">
        <v>45360</v>
      </c>
      <c r="D575" t="inlineStr">
        <is>
          <t>ÖREBRO LÄN</t>
        </is>
      </c>
      <c r="E575" t="inlineStr">
        <is>
          <t>ÖREBRO</t>
        </is>
      </c>
      <c r="G575" t="n">
        <v>5.4</v>
      </c>
      <c r="H575" t="n">
        <v>0</v>
      </c>
      <c r="I575" t="n">
        <v>0</v>
      </c>
      <c r="J575" t="n">
        <v>0</v>
      </c>
      <c r="K575" t="n">
        <v>0</v>
      </c>
      <c r="L575" t="n">
        <v>0</v>
      </c>
      <c r="M575" t="n">
        <v>0</v>
      </c>
      <c r="N575" t="n">
        <v>0</v>
      </c>
      <c r="O575" t="n">
        <v>0</v>
      </c>
      <c r="P575" t="n">
        <v>0</v>
      </c>
      <c r="Q575" t="n">
        <v>0</v>
      </c>
      <c r="R575" s="2" t="inlineStr"/>
    </row>
    <row r="576" ht="15" customHeight="1">
      <c r="A576" t="inlineStr">
        <is>
          <t>A 14877-2022</t>
        </is>
      </c>
      <c r="B576" s="1" t="n">
        <v>44656</v>
      </c>
      <c r="C576" s="1" t="n">
        <v>45360</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15424-2022</t>
        </is>
      </c>
      <c r="B577" s="1" t="n">
        <v>44659</v>
      </c>
      <c r="C577" s="1" t="n">
        <v>45360</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15422-2022</t>
        </is>
      </c>
      <c r="B578" s="1" t="n">
        <v>44659</v>
      </c>
      <c r="C578" s="1" t="n">
        <v>45360</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15624-2022</t>
        </is>
      </c>
      <c r="B579" s="1" t="n">
        <v>44662</v>
      </c>
      <c r="C579" s="1" t="n">
        <v>45360</v>
      </c>
      <c r="D579" t="inlineStr">
        <is>
          <t>ÖREBRO LÄN</t>
        </is>
      </c>
      <c r="E579" t="inlineStr">
        <is>
          <t>ÖREBRO</t>
        </is>
      </c>
      <c r="F579" t="inlineStr">
        <is>
          <t>Övriga Aktiebolag</t>
        </is>
      </c>
      <c r="G579" t="n">
        <v>18.8</v>
      </c>
      <c r="H579" t="n">
        <v>0</v>
      </c>
      <c r="I579" t="n">
        <v>0</v>
      </c>
      <c r="J579" t="n">
        <v>0</v>
      </c>
      <c r="K579" t="n">
        <v>0</v>
      </c>
      <c r="L579" t="n">
        <v>0</v>
      </c>
      <c r="M579" t="n">
        <v>0</v>
      </c>
      <c r="N579" t="n">
        <v>0</v>
      </c>
      <c r="O579" t="n">
        <v>0</v>
      </c>
      <c r="P579" t="n">
        <v>0</v>
      </c>
      <c r="Q579" t="n">
        <v>0</v>
      </c>
      <c r="R579" s="2" t="inlineStr"/>
    </row>
    <row r="580" ht="15" customHeight="1">
      <c r="A580" t="inlineStr">
        <is>
          <t>A 15896-2022</t>
        </is>
      </c>
      <c r="B580" s="1" t="n">
        <v>44664</v>
      </c>
      <c r="C580" s="1" t="n">
        <v>45360</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15866-2022</t>
        </is>
      </c>
      <c r="B581" s="1" t="n">
        <v>44664</v>
      </c>
      <c r="C581" s="1" t="n">
        <v>45360</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16094-2022</t>
        </is>
      </c>
      <c r="B582" s="1" t="n">
        <v>44665</v>
      </c>
      <c r="C582" s="1" t="n">
        <v>45360</v>
      </c>
      <c r="D582" t="inlineStr">
        <is>
          <t>ÖREBRO LÄN</t>
        </is>
      </c>
      <c r="E582" t="inlineStr">
        <is>
          <t>ÖREBRO</t>
        </is>
      </c>
      <c r="F582" t="inlineStr">
        <is>
          <t>Allmännings- och besparingsskogar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16258-2022</t>
        </is>
      </c>
      <c r="B583" s="1" t="n">
        <v>44670</v>
      </c>
      <c r="C583" s="1" t="n">
        <v>45360</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16261-2022</t>
        </is>
      </c>
      <c r="B584" s="1" t="n">
        <v>44670</v>
      </c>
      <c r="C584" s="1" t="n">
        <v>45360</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45360</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16374-2022</t>
        </is>
      </c>
      <c r="B586" s="1" t="n">
        <v>44671</v>
      </c>
      <c r="C586" s="1" t="n">
        <v>45360</v>
      </c>
      <c r="D586" t="inlineStr">
        <is>
          <t>ÖREBRO LÄN</t>
        </is>
      </c>
      <c r="E586" t="inlineStr">
        <is>
          <t>ÖREBRO</t>
        </is>
      </c>
      <c r="F586" t="inlineStr">
        <is>
          <t>Övriga Aktiebolag</t>
        </is>
      </c>
      <c r="G586" t="n">
        <v>30.3</v>
      </c>
      <c r="H586" t="n">
        <v>0</v>
      </c>
      <c r="I586" t="n">
        <v>0</v>
      </c>
      <c r="J586" t="n">
        <v>0</v>
      </c>
      <c r="K586" t="n">
        <v>0</v>
      </c>
      <c r="L586" t="n">
        <v>0</v>
      </c>
      <c r="M586" t="n">
        <v>0</v>
      </c>
      <c r="N586" t="n">
        <v>0</v>
      </c>
      <c r="O586" t="n">
        <v>0</v>
      </c>
      <c r="P586" t="n">
        <v>0</v>
      </c>
      <c r="Q586" t="n">
        <v>0</v>
      </c>
      <c r="R586" s="2" t="inlineStr"/>
    </row>
    <row r="587" ht="15" customHeight="1">
      <c r="A587" t="inlineStr">
        <is>
          <t>A 16759-2022</t>
        </is>
      </c>
      <c r="B587" s="1" t="n">
        <v>44673</v>
      </c>
      <c r="C587" s="1" t="n">
        <v>45360</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16732-2022</t>
        </is>
      </c>
      <c r="B588" s="1" t="n">
        <v>44673</v>
      </c>
      <c r="C588" s="1" t="n">
        <v>45360</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16739-2022</t>
        </is>
      </c>
      <c r="B589" s="1" t="n">
        <v>44673</v>
      </c>
      <c r="C589" s="1" t="n">
        <v>45360</v>
      </c>
      <c r="D589" t="inlineStr">
        <is>
          <t>ÖREBRO LÄN</t>
        </is>
      </c>
      <c r="E589" t="inlineStr">
        <is>
          <t>ÖREBRO</t>
        </is>
      </c>
      <c r="G589" t="n">
        <v>4.7</v>
      </c>
      <c r="H589" t="n">
        <v>0</v>
      </c>
      <c r="I589" t="n">
        <v>0</v>
      </c>
      <c r="J589" t="n">
        <v>0</v>
      </c>
      <c r="K589" t="n">
        <v>0</v>
      </c>
      <c r="L589" t="n">
        <v>0</v>
      </c>
      <c r="M589" t="n">
        <v>0</v>
      </c>
      <c r="N589" t="n">
        <v>0</v>
      </c>
      <c r="O589" t="n">
        <v>0</v>
      </c>
      <c r="P589" t="n">
        <v>0</v>
      </c>
      <c r="Q589" t="n">
        <v>0</v>
      </c>
      <c r="R589" s="2" t="inlineStr"/>
    </row>
    <row r="590" ht="15" customHeight="1">
      <c r="A590" t="inlineStr">
        <is>
          <t>A 16958-2022</t>
        </is>
      </c>
      <c r="B590" s="1" t="n">
        <v>44676</v>
      </c>
      <c r="C590" s="1" t="n">
        <v>45360</v>
      </c>
      <c r="D590" t="inlineStr">
        <is>
          <t>ÖREBRO LÄN</t>
        </is>
      </c>
      <c r="E590" t="inlineStr">
        <is>
          <t>ÖREBRO</t>
        </is>
      </c>
      <c r="G590" t="n">
        <v>3.1</v>
      </c>
      <c r="H590" t="n">
        <v>0</v>
      </c>
      <c r="I590" t="n">
        <v>0</v>
      </c>
      <c r="J590" t="n">
        <v>0</v>
      </c>
      <c r="K590" t="n">
        <v>0</v>
      </c>
      <c r="L590" t="n">
        <v>0</v>
      </c>
      <c r="M590" t="n">
        <v>0</v>
      </c>
      <c r="N590" t="n">
        <v>0</v>
      </c>
      <c r="O590" t="n">
        <v>0</v>
      </c>
      <c r="P590" t="n">
        <v>0</v>
      </c>
      <c r="Q590" t="n">
        <v>0</v>
      </c>
      <c r="R590" s="2" t="inlineStr"/>
    </row>
    <row r="591" ht="15" customHeight="1">
      <c r="A591" t="inlineStr">
        <is>
          <t>A 16969-2022</t>
        </is>
      </c>
      <c r="B591" s="1" t="n">
        <v>44676</v>
      </c>
      <c r="C591" s="1" t="n">
        <v>45360</v>
      </c>
      <c r="D591" t="inlineStr">
        <is>
          <t>ÖREBRO LÄN</t>
        </is>
      </c>
      <c r="E591" t="inlineStr">
        <is>
          <t>ÖREBRO</t>
        </is>
      </c>
      <c r="G591" t="n">
        <v>4.2</v>
      </c>
      <c r="H591" t="n">
        <v>0</v>
      </c>
      <c r="I591" t="n">
        <v>0</v>
      </c>
      <c r="J591" t="n">
        <v>0</v>
      </c>
      <c r="K591" t="n">
        <v>0</v>
      </c>
      <c r="L591" t="n">
        <v>0</v>
      </c>
      <c r="M591" t="n">
        <v>0</v>
      </c>
      <c r="N591" t="n">
        <v>0</v>
      </c>
      <c r="O591" t="n">
        <v>0</v>
      </c>
      <c r="P591" t="n">
        <v>0</v>
      </c>
      <c r="Q591" t="n">
        <v>0</v>
      </c>
      <c r="R591" s="2" t="inlineStr"/>
    </row>
    <row r="592" ht="15" customHeight="1">
      <c r="A592" t="inlineStr">
        <is>
          <t>A 16961-2022</t>
        </is>
      </c>
      <c r="B592" s="1" t="n">
        <v>44676</v>
      </c>
      <c r="C592" s="1" t="n">
        <v>45360</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17840-2022</t>
        </is>
      </c>
      <c r="B593" s="1" t="n">
        <v>44683</v>
      </c>
      <c r="C593" s="1" t="n">
        <v>45360</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18047-2022</t>
        </is>
      </c>
      <c r="B594" s="1" t="n">
        <v>44684</v>
      </c>
      <c r="C594" s="1" t="n">
        <v>45360</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18321-2022</t>
        </is>
      </c>
      <c r="B595" s="1" t="n">
        <v>44685</v>
      </c>
      <c r="C595" s="1" t="n">
        <v>45360</v>
      </c>
      <c r="D595" t="inlineStr">
        <is>
          <t>ÖREBRO LÄN</t>
        </is>
      </c>
      <c r="E595" t="inlineStr">
        <is>
          <t>ÖREBRO</t>
        </is>
      </c>
      <c r="G595" t="n">
        <v>2.1</v>
      </c>
      <c r="H595" t="n">
        <v>0</v>
      </c>
      <c r="I595" t="n">
        <v>0</v>
      </c>
      <c r="J595" t="n">
        <v>0</v>
      </c>
      <c r="K595" t="n">
        <v>0</v>
      </c>
      <c r="L595" t="n">
        <v>0</v>
      </c>
      <c r="M595" t="n">
        <v>0</v>
      </c>
      <c r="N595" t="n">
        <v>0</v>
      </c>
      <c r="O595" t="n">
        <v>0</v>
      </c>
      <c r="P595" t="n">
        <v>0</v>
      </c>
      <c r="Q595" t="n">
        <v>0</v>
      </c>
      <c r="R595" s="2" t="inlineStr"/>
    </row>
    <row r="596" ht="15" customHeight="1">
      <c r="A596" t="inlineStr">
        <is>
          <t>A 18498-2022</t>
        </is>
      </c>
      <c r="B596" s="1" t="n">
        <v>44686</v>
      </c>
      <c r="C596" s="1" t="n">
        <v>45360</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45360</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19049-2022</t>
        </is>
      </c>
      <c r="B598" s="1" t="n">
        <v>44691</v>
      </c>
      <c r="C598" s="1" t="n">
        <v>45360</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19458-2022</t>
        </is>
      </c>
      <c r="B599" s="1" t="n">
        <v>44693</v>
      </c>
      <c r="C599" s="1" t="n">
        <v>45360</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19832-2022</t>
        </is>
      </c>
      <c r="B600" s="1" t="n">
        <v>44695</v>
      </c>
      <c r="C600" s="1" t="n">
        <v>45360</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19863-2022</t>
        </is>
      </c>
      <c r="B601" s="1" t="n">
        <v>44696</v>
      </c>
      <c r="C601" s="1" t="n">
        <v>45360</v>
      </c>
      <c r="D601" t="inlineStr">
        <is>
          <t>ÖREBRO LÄN</t>
        </is>
      </c>
      <c r="E601" t="inlineStr">
        <is>
          <t>ÖREBRO</t>
        </is>
      </c>
      <c r="G601" t="n">
        <v>4.6</v>
      </c>
      <c r="H601" t="n">
        <v>0</v>
      </c>
      <c r="I601" t="n">
        <v>0</v>
      </c>
      <c r="J601" t="n">
        <v>0</v>
      </c>
      <c r="K601" t="n">
        <v>0</v>
      </c>
      <c r="L601" t="n">
        <v>0</v>
      </c>
      <c r="M601" t="n">
        <v>0</v>
      </c>
      <c r="N601" t="n">
        <v>0</v>
      </c>
      <c r="O601" t="n">
        <v>0</v>
      </c>
      <c r="P601" t="n">
        <v>0</v>
      </c>
      <c r="Q601" t="n">
        <v>0</v>
      </c>
      <c r="R601" s="2" t="inlineStr"/>
    </row>
    <row r="602" ht="15" customHeight="1">
      <c r="A602" t="inlineStr">
        <is>
          <t>A 20922-2022</t>
        </is>
      </c>
      <c r="B602" s="1" t="n">
        <v>44701</v>
      </c>
      <c r="C602" s="1" t="n">
        <v>45360</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21109-2022</t>
        </is>
      </c>
      <c r="B603" s="1" t="n">
        <v>44704</v>
      </c>
      <c r="C603" s="1" t="n">
        <v>45360</v>
      </c>
      <c r="D603" t="inlineStr">
        <is>
          <t>ÖREBRO LÄN</t>
        </is>
      </c>
      <c r="E603" t="inlineStr">
        <is>
          <t>ÖREBRO</t>
        </is>
      </c>
      <c r="G603" t="n">
        <v>3.2</v>
      </c>
      <c r="H603" t="n">
        <v>0</v>
      </c>
      <c r="I603" t="n">
        <v>0</v>
      </c>
      <c r="J603" t="n">
        <v>0</v>
      </c>
      <c r="K603" t="n">
        <v>0</v>
      </c>
      <c r="L603" t="n">
        <v>0</v>
      </c>
      <c r="M603" t="n">
        <v>0</v>
      </c>
      <c r="N603" t="n">
        <v>0</v>
      </c>
      <c r="O603" t="n">
        <v>0</v>
      </c>
      <c r="P603" t="n">
        <v>0</v>
      </c>
      <c r="Q603" t="n">
        <v>0</v>
      </c>
      <c r="R603" s="2" t="inlineStr"/>
    </row>
    <row r="604" ht="15" customHeight="1">
      <c r="A604" t="inlineStr">
        <is>
          <t>A 21567-2022</t>
        </is>
      </c>
      <c r="B604" s="1" t="n">
        <v>44706</v>
      </c>
      <c r="C604" s="1" t="n">
        <v>45360</v>
      </c>
      <c r="D604" t="inlineStr">
        <is>
          <t>ÖREBRO LÄN</t>
        </is>
      </c>
      <c r="E604" t="inlineStr">
        <is>
          <t>ÖREBRO</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45360</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22677-2022</t>
        </is>
      </c>
      <c r="B606" s="1" t="n">
        <v>44714</v>
      </c>
      <c r="C606" s="1" t="n">
        <v>45360</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23459-2022</t>
        </is>
      </c>
      <c r="B607" s="1" t="n">
        <v>44721</v>
      </c>
      <c r="C607" s="1" t="n">
        <v>45360</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23710-2022</t>
        </is>
      </c>
      <c r="B608" s="1" t="n">
        <v>44722</v>
      </c>
      <c r="C608" s="1" t="n">
        <v>45360</v>
      </c>
      <c r="D608" t="inlineStr">
        <is>
          <t>ÖREBRO LÄN</t>
        </is>
      </c>
      <c r="E608" t="inlineStr">
        <is>
          <t>ÖREBRO</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23741-2022</t>
        </is>
      </c>
      <c r="B609" s="1" t="n">
        <v>44722</v>
      </c>
      <c r="C609" s="1" t="n">
        <v>45360</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23939-2022</t>
        </is>
      </c>
      <c r="B610" s="1" t="n">
        <v>44722</v>
      </c>
      <c r="C610" s="1" t="n">
        <v>45360</v>
      </c>
      <c r="D610" t="inlineStr">
        <is>
          <t>ÖREBRO LÄN</t>
        </is>
      </c>
      <c r="E610" t="inlineStr">
        <is>
          <t>ÖREBRO</t>
        </is>
      </c>
      <c r="G610" t="n">
        <v>5.5</v>
      </c>
      <c r="H610" t="n">
        <v>0</v>
      </c>
      <c r="I610" t="n">
        <v>0</v>
      </c>
      <c r="J610" t="n">
        <v>0</v>
      </c>
      <c r="K610" t="n">
        <v>0</v>
      </c>
      <c r="L610" t="n">
        <v>0</v>
      </c>
      <c r="M610" t="n">
        <v>0</v>
      </c>
      <c r="N610" t="n">
        <v>0</v>
      </c>
      <c r="O610" t="n">
        <v>0</v>
      </c>
      <c r="P610" t="n">
        <v>0</v>
      </c>
      <c r="Q610" t="n">
        <v>0</v>
      </c>
      <c r="R610" s="2" t="inlineStr"/>
    </row>
    <row r="611" ht="15" customHeight="1">
      <c r="A611" t="inlineStr">
        <is>
          <t>A 24672-2022</t>
        </is>
      </c>
      <c r="B611" s="1" t="n">
        <v>44727</v>
      </c>
      <c r="C611" s="1" t="n">
        <v>45360</v>
      </c>
      <c r="D611" t="inlineStr">
        <is>
          <t>ÖREBRO LÄN</t>
        </is>
      </c>
      <c r="E611" t="inlineStr">
        <is>
          <t>ÖREBRO</t>
        </is>
      </c>
      <c r="G611" t="n">
        <v>6.9</v>
      </c>
      <c r="H611" t="n">
        <v>0</v>
      </c>
      <c r="I611" t="n">
        <v>0</v>
      </c>
      <c r="J611" t="n">
        <v>0</v>
      </c>
      <c r="K611" t="n">
        <v>0</v>
      </c>
      <c r="L611" t="n">
        <v>0</v>
      </c>
      <c r="M611" t="n">
        <v>0</v>
      </c>
      <c r="N611" t="n">
        <v>0</v>
      </c>
      <c r="O611" t="n">
        <v>0</v>
      </c>
      <c r="P611" t="n">
        <v>0</v>
      </c>
      <c r="Q611" t="n">
        <v>0</v>
      </c>
      <c r="R611" s="2" t="inlineStr"/>
    </row>
    <row r="612" ht="15" customHeight="1">
      <c r="A612" t="inlineStr">
        <is>
          <t>A 25597-2022</t>
        </is>
      </c>
      <c r="B612" s="1" t="n">
        <v>44732</v>
      </c>
      <c r="C612" s="1" t="n">
        <v>45360</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25746-2022</t>
        </is>
      </c>
      <c r="B613" s="1" t="n">
        <v>44733</v>
      </c>
      <c r="C613" s="1" t="n">
        <v>45360</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26101-2022</t>
        </is>
      </c>
      <c r="B614" s="1" t="n">
        <v>44734</v>
      </c>
      <c r="C614" s="1" t="n">
        <v>45360</v>
      </c>
      <c r="D614" t="inlineStr">
        <is>
          <t>ÖREBRO LÄN</t>
        </is>
      </c>
      <c r="E614" t="inlineStr">
        <is>
          <t>ÖREBRO</t>
        </is>
      </c>
      <c r="G614" t="n">
        <v>15.8</v>
      </c>
      <c r="H614" t="n">
        <v>0</v>
      </c>
      <c r="I614" t="n">
        <v>0</v>
      </c>
      <c r="J614" t="n">
        <v>0</v>
      </c>
      <c r="K614" t="n">
        <v>0</v>
      </c>
      <c r="L614" t="n">
        <v>0</v>
      </c>
      <c r="M614" t="n">
        <v>0</v>
      </c>
      <c r="N614" t="n">
        <v>0</v>
      </c>
      <c r="O614" t="n">
        <v>0</v>
      </c>
      <c r="P614" t="n">
        <v>0</v>
      </c>
      <c r="Q614" t="n">
        <v>0</v>
      </c>
      <c r="R614" s="2" t="inlineStr"/>
    </row>
    <row r="615" ht="15" customHeight="1">
      <c r="A615" t="inlineStr">
        <is>
          <t>A 28054-2022</t>
        </is>
      </c>
      <c r="B615" s="1" t="n">
        <v>44746</v>
      </c>
      <c r="C615" s="1" t="n">
        <v>45360</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28706-2022</t>
        </is>
      </c>
      <c r="B616" s="1" t="n">
        <v>44748</v>
      </c>
      <c r="C616" s="1" t="n">
        <v>45360</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29108-2022</t>
        </is>
      </c>
      <c r="B617" s="1" t="n">
        <v>44750</v>
      </c>
      <c r="C617" s="1" t="n">
        <v>45360</v>
      </c>
      <c r="D617" t="inlineStr">
        <is>
          <t>ÖREBRO LÄN</t>
        </is>
      </c>
      <c r="E617" t="inlineStr">
        <is>
          <t>ÖREBRO</t>
        </is>
      </c>
      <c r="G617" t="n">
        <v>5.1</v>
      </c>
      <c r="H617" t="n">
        <v>0</v>
      </c>
      <c r="I617" t="n">
        <v>0</v>
      </c>
      <c r="J617" t="n">
        <v>0</v>
      </c>
      <c r="K617" t="n">
        <v>0</v>
      </c>
      <c r="L617" t="n">
        <v>0</v>
      </c>
      <c r="M617" t="n">
        <v>0</v>
      </c>
      <c r="N617" t="n">
        <v>0</v>
      </c>
      <c r="O617" t="n">
        <v>0</v>
      </c>
      <c r="P617" t="n">
        <v>0</v>
      </c>
      <c r="Q617" t="n">
        <v>0</v>
      </c>
      <c r="R617" s="2" t="inlineStr"/>
    </row>
    <row r="618" ht="15" customHeight="1">
      <c r="A618" t="inlineStr">
        <is>
          <t>A 29138-2022</t>
        </is>
      </c>
      <c r="B618" s="1" t="n">
        <v>44750</v>
      </c>
      <c r="C618" s="1" t="n">
        <v>45360</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29243-2022</t>
        </is>
      </c>
      <c r="B619" s="1" t="n">
        <v>44750</v>
      </c>
      <c r="C619" s="1" t="n">
        <v>45360</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29246-2022</t>
        </is>
      </c>
      <c r="B620" s="1" t="n">
        <v>44750</v>
      </c>
      <c r="C620" s="1" t="n">
        <v>45360</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29143-2022</t>
        </is>
      </c>
      <c r="B621" s="1" t="n">
        <v>44750</v>
      </c>
      <c r="C621" s="1" t="n">
        <v>45360</v>
      </c>
      <c r="D621" t="inlineStr">
        <is>
          <t>ÖREBRO LÄN</t>
        </is>
      </c>
      <c r="E621" t="inlineStr">
        <is>
          <t>ÖREBRO</t>
        </is>
      </c>
      <c r="G621" t="n">
        <v>5.6</v>
      </c>
      <c r="H621" t="n">
        <v>0</v>
      </c>
      <c r="I621" t="n">
        <v>0</v>
      </c>
      <c r="J621" t="n">
        <v>0</v>
      </c>
      <c r="K621" t="n">
        <v>0</v>
      </c>
      <c r="L621" t="n">
        <v>0</v>
      </c>
      <c r="M621" t="n">
        <v>0</v>
      </c>
      <c r="N621" t="n">
        <v>0</v>
      </c>
      <c r="O621" t="n">
        <v>0</v>
      </c>
      <c r="P621" t="n">
        <v>0</v>
      </c>
      <c r="Q621" t="n">
        <v>0</v>
      </c>
      <c r="R621" s="2" t="inlineStr"/>
    </row>
    <row r="622" ht="15" customHeight="1">
      <c r="A622" t="inlineStr">
        <is>
          <t>A 29490-2022</t>
        </is>
      </c>
      <c r="B622" s="1" t="n">
        <v>44753</v>
      </c>
      <c r="C622" s="1" t="n">
        <v>45360</v>
      </c>
      <c r="D622" t="inlineStr">
        <is>
          <t>ÖREBRO LÄN</t>
        </is>
      </c>
      <c r="E622" t="inlineStr">
        <is>
          <t>ÖREBRO</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29751-2022</t>
        </is>
      </c>
      <c r="B623" s="1" t="n">
        <v>44755</v>
      </c>
      <c r="C623" s="1" t="n">
        <v>45360</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v>
      </c>
      <c r="C624" s="1" t="n">
        <v>45360</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30760-2022</t>
        </is>
      </c>
      <c r="B625" s="1" t="n">
        <v>44764</v>
      </c>
      <c r="C625" s="1" t="n">
        <v>45360</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30782-2022</t>
        </is>
      </c>
      <c r="B626" s="1" t="n">
        <v>44764</v>
      </c>
      <c r="C626" s="1" t="n">
        <v>45360</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32231-2022</t>
        </is>
      </c>
      <c r="B627" s="1" t="n">
        <v>44781</v>
      </c>
      <c r="C627" s="1" t="n">
        <v>45360</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32274-2022</t>
        </is>
      </c>
      <c r="B628" s="1" t="n">
        <v>44781</v>
      </c>
      <c r="C628" s="1" t="n">
        <v>45360</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32247-2022</t>
        </is>
      </c>
      <c r="B629" s="1" t="n">
        <v>44781</v>
      </c>
      <c r="C629" s="1" t="n">
        <v>45360</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34358-2022</t>
        </is>
      </c>
      <c r="B630" s="1" t="n">
        <v>44792</v>
      </c>
      <c r="C630" s="1" t="n">
        <v>45360</v>
      </c>
      <c r="D630" t="inlineStr">
        <is>
          <t>ÖREBRO LÄN</t>
        </is>
      </c>
      <c r="E630" t="inlineStr">
        <is>
          <t>ÖREBRO</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34578-2022</t>
        </is>
      </c>
      <c r="B631" s="1" t="n">
        <v>44795</v>
      </c>
      <c r="C631" s="1" t="n">
        <v>45360</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34874-2022</t>
        </is>
      </c>
      <c r="B632" s="1" t="n">
        <v>44796</v>
      </c>
      <c r="C632" s="1" t="n">
        <v>45360</v>
      </c>
      <c r="D632" t="inlineStr">
        <is>
          <t>ÖREBRO LÄN</t>
        </is>
      </c>
      <c r="E632" t="inlineStr">
        <is>
          <t>ÖREBRO</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45360</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36794-2022</t>
        </is>
      </c>
      <c r="B634" s="1" t="n">
        <v>44805</v>
      </c>
      <c r="C634" s="1" t="n">
        <v>45360</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37270-2022</t>
        </is>
      </c>
      <c r="B635" s="1" t="n">
        <v>44807</v>
      </c>
      <c r="C635" s="1" t="n">
        <v>45360</v>
      </c>
      <c r="D635" t="inlineStr">
        <is>
          <t>ÖREBRO LÄN</t>
        </is>
      </c>
      <c r="E635" t="inlineStr">
        <is>
          <t>ÖREBRO</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37277-2022</t>
        </is>
      </c>
      <c r="B636" s="1" t="n">
        <v>44807</v>
      </c>
      <c r="C636" s="1" t="n">
        <v>45360</v>
      </c>
      <c r="D636" t="inlineStr">
        <is>
          <t>ÖREBRO LÄN</t>
        </is>
      </c>
      <c r="E636" t="inlineStr">
        <is>
          <t>ÖREBRO</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37272-2022</t>
        </is>
      </c>
      <c r="B637" s="1" t="n">
        <v>44807</v>
      </c>
      <c r="C637" s="1" t="n">
        <v>45360</v>
      </c>
      <c r="D637" t="inlineStr">
        <is>
          <t>ÖREBRO LÄN</t>
        </is>
      </c>
      <c r="E637" t="inlineStr">
        <is>
          <t>ÖREBRO</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37271-2022</t>
        </is>
      </c>
      <c r="B638" s="1" t="n">
        <v>44807</v>
      </c>
      <c r="C638" s="1" t="n">
        <v>45360</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37268-2022</t>
        </is>
      </c>
      <c r="B639" s="1" t="n">
        <v>44807</v>
      </c>
      <c r="C639" s="1" t="n">
        <v>45360</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37276-2022</t>
        </is>
      </c>
      <c r="B640" s="1" t="n">
        <v>44807</v>
      </c>
      <c r="C640" s="1" t="n">
        <v>45360</v>
      </c>
      <c r="D640" t="inlineStr">
        <is>
          <t>ÖREBRO LÄN</t>
        </is>
      </c>
      <c r="E640" t="inlineStr">
        <is>
          <t>ÖREBRO</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38075-2022</t>
        </is>
      </c>
      <c r="B641" s="1" t="n">
        <v>44811</v>
      </c>
      <c r="C641" s="1" t="n">
        <v>45360</v>
      </c>
      <c r="D641" t="inlineStr">
        <is>
          <t>ÖREBRO LÄN</t>
        </is>
      </c>
      <c r="E641" t="inlineStr">
        <is>
          <t>ÖREBRO</t>
        </is>
      </c>
      <c r="G641" t="n">
        <v>0.2</v>
      </c>
      <c r="H641" t="n">
        <v>0</v>
      </c>
      <c r="I641" t="n">
        <v>0</v>
      </c>
      <c r="J641" t="n">
        <v>0</v>
      </c>
      <c r="K641" t="n">
        <v>0</v>
      </c>
      <c r="L641" t="n">
        <v>0</v>
      </c>
      <c r="M641" t="n">
        <v>0</v>
      </c>
      <c r="N641" t="n">
        <v>0</v>
      </c>
      <c r="O641" t="n">
        <v>0</v>
      </c>
      <c r="P641" t="n">
        <v>0</v>
      </c>
      <c r="Q641" t="n">
        <v>0</v>
      </c>
      <c r="R641" s="2" t="inlineStr"/>
    </row>
    <row r="642" ht="15" customHeight="1">
      <c r="A642" t="inlineStr">
        <is>
          <t>A 38864-2022</t>
        </is>
      </c>
      <c r="B642" s="1" t="n">
        <v>44814</v>
      </c>
      <c r="C642" s="1" t="n">
        <v>45360</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38842-2022</t>
        </is>
      </c>
      <c r="B643" s="1" t="n">
        <v>44814</v>
      </c>
      <c r="C643" s="1" t="n">
        <v>45360</v>
      </c>
      <c r="D643" t="inlineStr">
        <is>
          <t>ÖREBRO LÄN</t>
        </is>
      </c>
      <c r="E643" t="inlineStr">
        <is>
          <t>ÖREBRO</t>
        </is>
      </c>
      <c r="G643" t="n">
        <v>5</v>
      </c>
      <c r="H643" t="n">
        <v>0</v>
      </c>
      <c r="I643" t="n">
        <v>0</v>
      </c>
      <c r="J643" t="n">
        <v>0</v>
      </c>
      <c r="K643" t="n">
        <v>0</v>
      </c>
      <c r="L643" t="n">
        <v>0</v>
      </c>
      <c r="M643" t="n">
        <v>0</v>
      </c>
      <c r="N643" t="n">
        <v>0</v>
      </c>
      <c r="O643" t="n">
        <v>0</v>
      </c>
      <c r="P643" t="n">
        <v>0</v>
      </c>
      <c r="Q643" t="n">
        <v>0</v>
      </c>
      <c r="R643" s="2" t="inlineStr"/>
    </row>
    <row r="644" ht="15" customHeight="1">
      <c r="A644" t="inlineStr">
        <is>
          <t>A 40231-2022</t>
        </is>
      </c>
      <c r="B644" s="1" t="n">
        <v>44820</v>
      </c>
      <c r="C644" s="1" t="n">
        <v>45360</v>
      </c>
      <c r="D644" t="inlineStr">
        <is>
          <t>ÖREBRO LÄN</t>
        </is>
      </c>
      <c r="E644" t="inlineStr">
        <is>
          <t>ÖREBRO</t>
        </is>
      </c>
      <c r="F644" t="inlineStr">
        <is>
          <t>Allmännings- och besparingsskogar</t>
        </is>
      </c>
      <c r="G644" t="n">
        <v>2.2</v>
      </c>
      <c r="H644" t="n">
        <v>0</v>
      </c>
      <c r="I644" t="n">
        <v>0</v>
      </c>
      <c r="J644" t="n">
        <v>0</v>
      </c>
      <c r="K644" t="n">
        <v>0</v>
      </c>
      <c r="L644" t="n">
        <v>0</v>
      </c>
      <c r="M644" t="n">
        <v>0</v>
      </c>
      <c r="N644" t="n">
        <v>0</v>
      </c>
      <c r="O644" t="n">
        <v>0</v>
      </c>
      <c r="P644" t="n">
        <v>0</v>
      </c>
      <c r="Q644" t="n">
        <v>0</v>
      </c>
      <c r="R644" s="2" t="inlineStr"/>
    </row>
    <row r="645" ht="15" customHeight="1">
      <c r="A645" t="inlineStr">
        <is>
          <t>A 41553-2022</t>
        </is>
      </c>
      <c r="B645" s="1" t="n">
        <v>44827</v>
      </c>
      <c r="C645" s="1" t="n">
        <v>45360</v>
      </c>
      <c r="D645" t="inlineStr">
        <is>
          <t>ÖREBRO LÄN</t>
        </is>
      </c>
      <c r="E645" t="inlineStr">
        <is>
          <t>ÖREBRO</t>
        </is>
      </c>
      <c r="G645" t="n">
        <v>3.7</v>
      </c>
      <c r="H645" t="n">
        <v>0</v>
      </c>
      <c r="I645" t="n">
        <v>0</v>
      </c>
      <c r="J645" t="n">
        <v>0</v>
      </c>
      <c r="K645" t="n">
        <v>0</v>
      </c>
      <c r="L645" t="n">
        <v>0</v>
      </c>
      <c r="M645" t="n">
        <v>0</v>
      </c>
      <c r="N645" t="n">
        <v>0</v>
      </c>
      <c r="O645" t="n">
        <v>0</v>
      </c>
      <c r="P645" t="n">
        <v>0</v>
      </c>
      <c r="Q645" t="n">
        <v>0</v>
      </c>
      <c r="R645" s="2" t="inlineStr"/>
    </row>
    <row r="646" ht="15" customHeight="1">
      <c r="A646" t="inlineStr">
        <is>
          <t>A 41894-2022</t>
        </is>
      </c>
      <c r="B646" s="1" t="n">
        <v>44830</v>
      </c>
      <c r="C646" s="1" t="n">
        <v>45360</v>
      </c>
      <c r="D646" t="inlineStr">
        <is>
          <t>ÖREBRO LÄN</t>
        </is>
      </c>
      <c r="E646" t="inlineStr">
        <is>
          <t>ÖREBRO</t>
        </is>
      </c>
      <c r="G646" t="n">
        <v>4.7</v>
      </c>
      <c r="H646" t="n">
        <v>0</v>
      </c>
      <c r="I646" t="n">
        <v>0</v>
      </c>
      <c r="J646" t="n">
        <v>0</v>
      </c>
      <c r="K646" t="n">
        <v>0</v>
      </c>
      <c r="L646" t="n">
        <v>0</v>
      </c>
      <c r="M646" t="n">
        <v>0</v>
      </c>
      <c r="N646" t="n">
        <v>0</v>
      </c>
      <c r="O646" t="n">
        <v>0</v>
      </c>
      <c r="P646" t="n">
        <v>0</v>
      </c>
      <c r="Q646" t="n">
        <v>0</v>
      </c>
      <c r="R646" s="2" t="inlineStr"/>
    </row>
    <row r="647" ht="15" customHeight="1">
      <c r="A647" t="inlineStr">
        <is>
          <t>A 41892-2022</t>
        </is>
      </c>
      <c r="B647" s="1" t="n">
        <v>44830</v>
      </c>
      <c r="C647" s="1" t="n">
        <v>45360</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42618-2022</t>
        </is>
      </c>
      <c r="B648" s="1" t="n">
        <v>44831</v>
      </c>
      <c r="C648" s="1" t="n">
        <v>45360</v>
      </c>
      <c r="D648" t="inlineStr">
        <is>
          <t>ÖREBRO LÄN</t>
        </is>
      </c>
      <c r="E648" t="inlineStr">
        <is>
          <t>ÖREBRO</t>
        </is>
      </c>
      <c r="G648" t="n">
        <v>3</v>
      </c>
      <c r="H648" t="n">
        <v>0</v>
      </c>
      <c r="I648" t="n">
        <v>0</v>
      </c>
      <c r="J648" t="n">
        <v>0</v>
      </c>
      <c r="K648" t="n">
        <v>0</v>
      </c>
      <c r="L648" t="n">
        <v>0</v>
      </c>
      <c r="M648" t="n">
        <v>0</v>
      </c>
      <c r="N648" t="n">
        <v>0</v>
      </c>
      <c r="O648" t="n">
        <v>0</v>
      </c>
      <c r="P648" t="n">
        <v>0</v>
      </c>
      <c r="Q648" t="n">
        <v>0</v>
      </c>
      <c r="R648" s="2" t="inlineStr"/>
    </row>
    <row r="649" ht="15" customHeight="1">
      <c r="A649" t="inlineStr">
        <is>
          <t>A 42623-2022</t>
        </is>
      </c>
      <c r="B649" s="1" t="n">
        <v>44831</v>
      </c>
      <c r="C649" s="1" t="n">
        <v>45360</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43332-2022</t>
        </is>
      </c>
      <c r="B650" s="1" t="n">
        <v>44834</v>
      </c>
      <c r="C650" s="1" t="n">
        <v>45360</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row>
    <row r="651" ht="15" customHeight="1">
      <c r="A651" t="inlineStr">
        <is>
          <t>A 43391-2022</t>
        </is>
      </c>
      <c r="B651" s="1" t="n">
        <v>44834</v>
      </c>
      <c r="C651" s="1" t="n">
        <v>45360</v>
      </c>
      <c r="D651" t="inlineStr">
        <is>
          <t>ÖREBRO LÄN</t>
        </is>
      </c>
      <c r="E651" t="inlineStr">
        <is>
          <t>ÖREBRO</t>
        </is>
      </c>
      <c r="G651" t="n">
        <v>3.4</v>
      </c>
      <c r="H651" t="n">
        <v>0</v>
      </c>
      <c r="I651" t="n">
        <v>0</v>
      </c>
      <c r="J651" t="n">
        <v>0</v>
      </c>
      <c r="K651" t="n">
        <v>0</v>
      </c>
      <c r="L651" t="n">
        <v>0</v>
      </c>
      <c r="M651" t="n">
        <v>0</v>
      </c>
      <c r="N651" t="n">
        <v>0</v>
      </c>
      <c r="O651" t="n">
        <v>0</v>
      </c>
      <c r="P651" t="n">
        <v>0</v>
      </c>
      <c r="Q651" t="n">
        <v>0</v>
      </c>
      <c r="R651" s="2" t="inlineStr"/>
    </row>
    <row r="652" ht="15" customHeight="1">
      <c r="A652" t="inlineStr">
        <is>
          <t>A 43399-2022</t>
        </is>
      </c>
      <c r="B652" s="1" t="n">
        <v>44834</v>
      </c>
      <c r="C652" s="1" t="n">
        <v>45360</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43612-2022</t>
        </is>
      </c>
      <c r="B653" s="1" t="n">
        <v>44837</v>
      </c>
      <c r="C653" s="1" t="n">
        <v>45360</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44165-2022</t>
        </is>
      </c>
      <c r="B654" s="1" t="n">
        <v>44839</v>
      </c>
      <c r="C654" s="1" t="n">
        <v>45360</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44271-2022</t>
        </is>
      </c>
      <c r="B655" s="1" t="n">
        <v>44839</v>
      </c>
      <c r="C655" s="1" t="n">
        <v>45360</v>
      </c>
      <c r="D655" t="inlineStr">
        <is>
          <t>ÖREBRO LÄN</t>
        </is>
      </c>
      <c r="E655" t="inlineStr">
        <is>
          <t>ÖREBRO</t>
        </is>
      </c>
      <c r="G655" t="n">
        <v>2.9</v>
      </c>
      <c r="H655" t="n">
        <v>0</v>
      </c>
      <c r="I655" t="n">
        <v>0</v>
      </c>
      <c r="J655" t="n">
        <v>0</v>
      </c>
      <c r="K655" t="n">
        <v>0</v>
      </c>
      <c r="L655" t="n">
        <v>0</v>
      </c>
      <c r="M655" t="n">
        <v>0</v>
      </c>
      <c r="N655" t="n">
        <v>0</v>
      </c>
      <c r="O655" t="n">
        <v>0</v>
      </c>
      <c r="P655" t="n">
        <v>0</v>
      </c>
      <c r="Q655" t="n">
        <v>0</v>
      </c>
      <c r="R655" s="2" t="inlineStr"/>
    </row>
    <row r="656" ht="15" customHeight="1">
      <c r="A656" t="inlineStr">
        <is>
          <t>A 44295-2022</t>
        </is>
      </c>
      <c r="B656" s="1" t="n">
        <v>44839</v>
      </c>
      <c r="C656" s="1" t="n">
        <v>45360</v>
      </c>
      <c r="D656" t="inlineStr">
        <is>
          <t>ÖREBRO LÄN</t>
        </is>
      </c>
      <c r="E656" t="inlineStr">
        <is>
          <t>ÖREBRO</t>
        </is>
      </c>
      <c r="G656" t="n">
        <v>2.4</v>
      </c>
      <c r="H656" t="n">
        <v>0</v>
      </c>
      <c r="I656" t="n">
        <v>0</v>
      </c>
      <c r="J656" t="n">
        <v>0</v>
      </c>
      <c r="K656" t="n">
        <v>0</v>
      </c>
      <c r="L656" t="n">
        <v>0</v>
      </c>
      <c r="M656" t="n">
        <v>0</v>
      </c>
      <c r="N656" t="n">
        <v>0</v>
      </c>
      <c r="O656" t="n">
        <v>0</v>
      </c>
      <c r="P656" t="n">
        <v>0</v>
      </c>
      <c r="Q656" t="n">
        <v>0</v>
      </c>
      <c r="R656" s="2" t="inlineStr"/>
    </row>
    <row r="657" ht="15" customHeight="1">
      <c r="A657" t="inlineStr">
        <is>
          <t>A 44364-2022</t>
        </is>
      </c>
      <c r="B657" s="1" t="n">
        <v>44839</v>
      </c>
      <c r="C657" s="1" t="n">
        <v>45360</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44131-2022</t>
        </is>
      </c>
      <c r="B658" s="1" t="n">
        <v>44839</v>
      </c>
      <c r="C658" s="1" t="n">
        <v>45360</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44279-2022</t>
        </is>
      </c>
      <c r="B659" s="1" t="n">
        <v>44839</v>
      </c>
      <c r="C659" s="1" t="n">
        <v>45360</v>
      </c>
      <c r="D659" t="inlineStr">
        <is>
          <t>ÖREBRO LÄN</t>
        </is>
      </c>
      <c r="E659" t="inlineStr">
        <is>
          <t>ÖREBRO</t>
        </is>
      </c>
      <c r="G659" t="n">
        <v>2.4</v>
      </c>
      <c r="H659" t="n">
        <v>0</v>
      </c>
      <c r="I659" t="n">
        <v>0</v>
      </c>
      <c r="J659" t="n">
        <v>0</v>
      </c>
      <c r="K659" t="n">
        <v>0</v>
      </c>
      <c r="L659" t="n">
        <v>0</v>
      </c>
      <c r="M659" t="n">
        <v>0</v>
      </c>
      <c r="N659" t="n">
        <v>0</v>
      </c>
      <c r="O659" t="n">
        <v>0</v>
      </c>
      <c r="P659" t="n">
        <v>0</v>
      </c>
      <c r="Q659" t="n">
        <v>0</v>
      </c>
      <c r="R659" s="2" t="inlineStr"/>
    </row>
    <row r="660" ht="15" customHeight="1">
      <c r="A660" t="inlineStr">
        <is>
          <t>A 44284-2022</t>
        </is>
      </c>
      <c r="B660" s="1" t="n">
        <v>44839</v>
      </c>
      <c r="C660" s="1" t="n">
        <v>45360</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46266-2022</t>
        </is>
      </c>
      <c r="B661" s="1" t="n">
        <v>44847</v>
      </c>
      <c r="C661" s="1" t="n">
        <v>45360</v>
      </c>
      <c r="D661" t="inlineStr">
        <is>
          <t>ÖREBRO LÄN</t>
        </is>
      </c>
      <c r="E661" t="inlineStr">
        <is>
          <t>ÖREBRO</t>
        </is>
      </c>
      <c r="G661" t="n">
        <v>1.7</v>
      </c>
      <c r="H661" t="n">
        <v>0</v>
      </c>
      <c r="I661" t="n">
        <v>0</v>
      </c>
      <c r="J661" t="n">
        <v>0</v>
      </c>
      <c r="K661" t="n">
        <v>0</v>
      </c>
      <c r="L661" t="n">
        <v>0</v>
      </c>
      <c r="M661" t="n">
        <v>0</v>
      </c>
      <c r="N661" t="n">
        <v>0</v>
      </c>
      <c r="O661" t="n">
        <v>0</v>
      </c>
      <c r="P661" t="n">
        <v>0</v>
      </c>
      <c r="Q661" t="n">
        <v>0</v>
      </c>
      <c r="R661" s="2" t="inlineStr"/>
    </row>
    <row r="662" ht="15" customHeight="1">
      <c r="A662" t="inlineStr">
        <is>
          <t>A 46271-2022</t>
        </is>
      </c>
      <c r="B662" s="1" t="n">
        <v>44847</v>
      </c>
      <c r="C662" s="1" t="n">
        <v>45360</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46834-2022</t>
        </is>
      </c>
      <c r="B663" s="1" t="n">
        <v>44851</v>
      </c>
      <c r="C663" s="1" t="n">
        <v>45360</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47047-2022</t>
        </is>
      </c>
      <c r="B664" s="1" t="n">
        <v>44852</v>
      </c>
      <c r="C664" s="1" t="n">
        <v>45360</v>
      </c>
      <c r="D664" t="inlineStr">
        <is>
          <t>ÖREBRO LÄN</t>
        </is>
      </c>
      <c r="E664" t="inlineStr">
        <is>
          <t>ÖREBRO</t>
        </is>
      </c>
      <c r="G664" t="n">
        <v>1.6</v>
      </c>
      <c r="H664" t="n">
        <v>0</v>
      </c>
      <c r="I664" t="n">
        <v>0</v>
      </c>
      <c r="J664" t="n">
        <v>0</v>
      </c>
      <c r="K664" t="n">
        <v>0</v>
      </c>
      <c r="L664" t="n">
        <v>0</v>
      </c>
      <c r="M664" t="n">
        <v>0</v>
      </c>
      <c r="N664" t="n">
        <v>0</v>
      </c>
      <c r="O664" t="n">
        <v>0</v>
      </c>
      <c r="P664" t="n">
        <v>0</v>
      </c>
      <c r="Q664" t="n">
        <v>0</v>
      </c>
      <c r="R664" s="2" t="inlineStr"/>
    </row>
    <row r="665" ht="15" customHeight="1">
      <c r="A665" t="inlineStr">
        <is>
          <t>A 48008-2022</t>
        </is>
      </c>
      <c r="B665" s="1" t="n">
        <v>44855</v>
      </c>
      <c r="C665" s="1" t="n">
        <v>45360</v>
      </c>
      <c r="D665" t="inlineStr">
        <is>
          <t>ÖREBRO LÄN</t>
        </is>
      </c>
      <c r="E665" t="inlineStr">
        <is>
          <t>ÖREBRO</t>
        </is>
      </c>
      <c r="G665" t="n">
        <v>1.1</v>
      </c>
      <c r="H665" t="n">
        <v>0</v>
      </c>
      <c r="I665" t="n">
        <v>0</v>
      </c>
      <c r="J665" t="n">
        <v>0</v>
      </c>
      <c r="K665" t="n">
        <v>0</v>
      </c>
      <c r="L665" t="n">
        <v>0</v>
      </c>
      <c r="M665" t="n">
        <v>0</v>
      </c>
      <c r="N665" t="n">
        <v>0</v>
      </c>
      <c r="O665" t="n">
        <v>0</v>
      </c>
      <c r="P665" t="n">
        <v>0</v>
      </c>
      <c r="Q665" t="n">
        <v>0</v>
      </c>
      <c r="R665" s="2" t="inlineStr"/>
    </row>
    <row r="666" ht="15" customHeight="1">
      <c r="A666" t="inlineStr">
        <is>
          <t>A 48021-2022</t>
        </is>
      </c>
      <c r="B666" s="1" t="n">
        <v>44855</v>
      </c>
      <c r="C666" s="1" t="n">
        <v>45360</v>
      </c>
      <c r="D666" t="inlineStr">
        <is>
          <t>ÖREBRO LÄN</t>
        </is>
      </c>
      <c r="E666" t="inlineStr">
        <is>
          <t>ÖREBRO</t>
        </is>
      </c>
      <c r="G666" t="n">
        <v>4.5</v>
      </c>
      <c r="H666" t="n">
        <v>0</v>
      </c>
      <c r="I666" t="n">
        <v>0</v>
      </c>
      <c r="J666" t="n">
        <v>0</v>
      </c>
      <c r="K666" t="n">
        <v>0</v>
      </c>
      <c r="L666" t="n">
        <v>0</v>
      </c>
      <c r="M666" t="n">
        <v>0</v>
      </c>
      <c r="N666" t="n">
        <v>0</v>
      </c>
      <c r="O666" t="n">
        <v>0</v>
      </c>
      <c r="P666" t="n">
        <v>0</v>
      </c>
      <c r="Q666" t="n">
        <v>0</v>
      </c>
      <c r="R666" s="2" t="inlineStr"/>
    </row>
    <row r="667" ht="15" customHeight="1">
      <c r="A667" t="inlineStr">
        <is>
          <t>A 49228-2022</t>
        </is>
      </c>
      <c r="B667" s="1" t="n">
        <v>44861</v>
      </c>
      <c r="C667" s="1" t="n">
        <v>45360</v>
      </c>
      <c r="D667" t="inlineStr">
        <is>
          <t>ÖREBRO LÄN</t>
        </is>
      </c>
      <c r="E667" t="inlineStr">
        <is>
          <t>ÖREBRO</t>
        </is>
      </c>
      <c r="G667" t="n">
        <v>0.7</v>
      </c>
      <c r="H667" t="n">
        <v>0</v>
      </c>
      <c r="I667" t="n">
        <v>0</v>
      </c>
      <c r="J667" t="n">
        <v>0</v>
      </c>
      <c r="K667" t="n">
        <v>0</v>
      </c>
      <c r="L667" t="n">
        <v>0</v>
      </c>
      <c r="M667" t="n">
        <v>0</v>
      </c>
      <c r="N667" t="n">
        <v>0</v>
      </c>
      <c r="O667" t="n">
        <v>0</v>
      </c>
      <c r="P667" t="n">
        <v>0</v>
      </c>
      <c r="Q667" t="n">
        <v>0</v>
      </c>
      <c r="R667" s="2" t="inlineStr"/>
    </row>
    <row r="668" ht="15" customHeight="1">
      <c r="A668" t="inlineStr">
        <is>
          <t>A 49495-2022</t>
        </is>
      </c>
      <c r="B668" s="1" t="n">
        <v>44861</v>
      </c>
      <c r="C668" s="1" t="n">
        <v>45360</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50398-2022</t>
        </is>
      </c>
      <c r="B669" s="1" t="n">
        <v>44861</v>
      </c>
      <c r="C669" s="1" t="n">
        <v>45360</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49552-2022</t>
        </is>
      </c>
      <c r="B670" s="1" t="n">
        <v>44862</v>
      </c>
      <c r="C670" s="1" t="n">
        <v>45360</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51103-2022</t>
        </is>
      </c>
      <c r="B671" s="1" t="n">
        <v>44868</v>
      </c>
      <c r="C671" s="1" t="n">
        <v>45360</v>
      </c>
      <c r="D671" t="inlineStr">
        <is>
          <t>ÖREBRO LÄN</t>
        </is>
      </c>
      <c r="E671" t="inlineStr">
        <is>
          <t>ÖREBRO</t>
        </is>
      </c>
      <c r="G671" t="n">
        <v>2.4</v>
      </c>
      <c r="H671" t="n">
        <v>0</v>
      </c>
      <c r="I671" t="n">
        <v>0</v>
      </c>
      <c r="J671" t="n">
        <v>0</v>
      </c>
      <c r="K671" t="n">
        <v>0</v>
      </c>
      <c r="L671" t="n">
        <v>0</v>
      </c>
      <c r="M671" t="n">
        <v>0</v>
      </c>
      <c r="N671" t="n">
        <v>0</v>
      </c>
      <c r="O671" t="n">
        <v>0</v>
      </c>
      <c r="P671" t="n">
        <v>0</v>
      </c>
      <c r="Q671" t="n">
        <v>0</v>
      </c>
      <c r="R671" s="2" t="inlineStr"/>
    </row>
    <row r="672" ht="15" customHeight="1">
      <c r="A672" t="inlineStr">
        <is>
          <t>A 51268-2022</t>
        </is>
      </c>
      <c r="B672" s="1" t="n">
        <v>44868</v>
      </c>
      <c r="C672" s="1" t="n">
        <v>45360</v>
      </c>
      <c r="D672" t="inlineStr">
        <is>
          <t>ÖREBRO LÄN</t>
        </is>
      </c>
      <c r="E672" t="inlineStr">
        <is>
          <t>ÖREBRO</t>
        </is>
      </c>
      <c r="G672" t="n">
        <v>3.8</v>
      </c>
      <c r="H672" t="n">
        <v>0</v>
      </c>
      <c r="I672" t="n">
        <v>0</v>
      </c>
      <c r="J672" t="n">
        <v>0</v>
      </c>
      <c r="K672" t="n">
        <v>0</v>
      </c>
      <c r="L672" t="n">
        <v>0</v>
      </c>
      <c r="M672" t="n">
        <v>0</v>
      </c>
      <c r="N672" t="n">
        <v>0</v>
      </c>
      <c r="O672" t="n">
        <v>0</v>
      </c>
      <c r="P672" t="n">
        <v>0</v>
      </c>
      <c r="Q672" t="n">
        <v>0</v>
      </c>
      <c r="R672" s="2" t="inlineStr"/>
    </row>
    <row r="673" ht="15" customHeight="1">
      <c r="A673" t="inlineStr">
        <is>
          <t>A 52309-2022</t>
        </is>
      </c>
      <c r="B673" s="1" t="n">
        <v>44873</v>
      </c>
      <c r="C673" s="1" t="n">
        <v>45360</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53578-2022</t>
        </is>
      </c>
      <c r="B674" s="1" t="n">
        <v>44879</v>
      </c>
      <c r="C674" s="1" t="n">
        <v>45360</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v>
      </c>
      <c r="C675" s="1" t="n">
        <v>45360</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55593-2022</t>
        </is>
      </c>
      <c r="B676" s="1" t="n">
        <v>44888</v>
      </c>
      <c r="C676" s="1" t="n">
        <v>45360</v>
      </c>
      <c r="D676" t="inlineStr">
        <is>
          <t>ÖREBRO LÄN</t>
        </is>
      </c>
      <c r="E676" t="inlineStr">
        <is>
          <t>ÖREBRO</t>
        </is>
      </c>
      <c r="G676" t="n">
        <v>3.6</v>
      </c>
      <c r="H676" t="n">
        <v>0</v>
      </c>
      <c r="I676" t="n">
        <v>0</v>
      </c>
      <c r="J676" t="n">
        <v>0</v>
      </c>
      <c r="K676" t="n">
        <v>0</v>
      </c>
      <c r="L676" t="n">
        <v>0</v>
      </c>
      <c r="M676" t="n">
        <v>0</v>
      </c>
      <c r="N676" t="n">
        <v>0</v>
      </c>
      <c r="O676" t="n">
        <v>0</v>
      </c>
      <c r="P676" t="n">
        <v>0</v>
      </c>
      <c r="Q676" t="n">
        <v>0</v>
      </c>
      <c r="R676" s="2" t="inlineStr"/>
    </row>
    <row r="677" ht="15" customHeight="1">
      <c r="A677" t="inlineStr">
        <is>
          <t>A 56077-2022</t>
        </is>
      </c>
      <c r="B677" s="1" t="n">
        <v>44889</v>
      </c>
      <c r="C677" s="1" t="n">
        <v>45360</v>
      </c>
      <c r="D677" t="inlineStr">
        <is>
          <t>ÖREBRO LÄN</t>
        </is>
      </c>
      <c r="E677" t="inlineStr">
        <is>
          <t>ÖREBRO</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57247-2022</t>
        </is>
      </c>
      <c r="B678" s="1" t="n">
        <v>44895</v>
      </c>
      <c r="C678" s="1" t="n">
        <v>45360</v>
      </c>
      <c r="D678" t="inlineStr">
        <is>
          <t>ÖREBRO LÄN</t>
        </is>
      </c>
      <c r="E678" t="inlineStr">
        <is>
          <t>ÖREBRO</t>
        </is>
      </c>
      <c r="G678" t="n">
        <v>1.6</v>
      </c>
      <c r="H678" t="n">
        <v>0</v>
      </c>
      <c r="I678" t="n">
        <v>0</v>
      </c>
      <c r="J678" t="n">
        <v>0</v>
      </c>
      <c r="K678" t="n">
        <v>0</v>
      </c>
      <c r="L678" t="n">
        <v>0</v>
      </c>
      <c r="M678" t="n">
        <v>0</v>
      </c>
      <c r="N678" t="n">
        <v>0</v>
      </c>
      <c r="O678" t="n">
        <v>0</v>
      </c>
      <c r="P678" t="n">
        <v>0</v>
      </c>
      <c r="Q678" t="n">
        <v>0</v>
      </c>
      <c r="R678" s="2" t="inlineStr"/>
    </row>
    <row r="679" ht="15" customHeight="1">
      <c r="A679" t="inlineStr">
        <is>
          <t>A 57243-2022</t>
        </is>
      </c>
      <c r="B679" s="1" t="n">
        <v>44895</v>
      </c>
      <c r="C679" s="1" t="n">
        <v>45360</v>
      </c>
      <c r="D679" t="inlineStr">
        <is>
          <t>ÖREBRO LÄN</t>
        </is>
      </c>
      <c r="E679" t="inlineStr">
        <is>
          <t>ÖREBRO</t>
        </is>
      </c>
      <c r="G679" t="n">
        <v>6</v>
      </c>
      <c r="H679" t="n">
        <v>0</v>
      </c>
      <c r="I679" t="n">
        <v>0</v>
      </c>
      <c r="J679" t="n">
        <v>0</v>
      </c>
      <c r="K679" t="n">
        <v>0</v>
      </c>
      <c r="L679" t="n">
        <v>0</v>
      </c>
      <c r="M679" t="n">
        <v>0</v>
      </c>
      <c r="N679" t="n">
        <v>0</v>
      </c>
      <c r="O679" t="n">
        <v>0</v>
      </c>
      <c r="P679" t="n">
        <v>0</v>
      </c>
      <c r="Q679" t="n">
        <v>0</v>
      </c>
      <c r="R679" s="2" t="inlineStr"/>
    </row>
    <row r="680" ht="15" customHeight="1">
      <c r="A680" t="inlineStr">
        <is>
          <t>A 57638-2022</t>
        </is>
      </c>
      <c r="B680" s="1" t="n">
        <v>44897</v>
      </c>
      <c r="C680" s="1" t="n">
        <v>45360</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58277-2022</t>
        </is>
      </c>
      <c r="B681" s="1" t="n">
        <v>44901</v>
      </c>
      <c r="C681" s="1" t="n">
        <v>45360</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58551-2022</t>
        </is>
      </c>
      <c r="B682" s="1" t="n">
        <v>44902</v>
      </c>
      <c r="C682" s="1" t="n">
        <v>45360</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60100-2022</t>
        </is>
      </c>
      <c r="B683" s="1" t="n">
        <v>44902</v>
      </c>
      <c r="C683" s="1" t="n">
        <v>45360</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58595-2022</t>
        </is>
      </c>
      <c r="B684" s="1" t="n">
        <v>44902</v>
      </c>
      <c r="C684" s="1" t="n">
        <v>45360</v>
      </c>
      <c r="D684" t="inlineStr">
        <is>
          <t>ÖREBRO LÄN</t>
        </is>
      </c>
      <c r="E684" t="inlineStr">
        <is>
          <t>ÖREBRO</t>
        </is>
      </c>
      <c r="G684" t="n">
        <v>1.9</v>
      </c>
      <c r="H684" t="n">
        <v>0</v>
      </c>
      <c r="I684" t="n">
        <v>0</v>
      </c>
      <c r="J684" t="n">
        <v>0</v>
      </c>
      <c r="K684" t="n">
        <v>0</v>
      </c>
      <c r="L684" t="n">
        <v>0</v>
      </c>
      <c r="M684" t="n">
        <v>0</v>
      </c>
      <c r="N684" t="n">
        <v>0</v>
      </c>
      <c r="O684" t="n">
        <v>0</v>
      </c>
      <c r="P684" t="n">
        <v>0</v>
      </c>
      <c r="Q684" t="n">
        <v>0</v>
      </c>
      <c r="R684" s="2" t="inlineStr"/>
    </row>
    <row r="685" ht="15" customHeight="1">
      <c r="A685" t="inlineStr">
        <is>
          <t>A 58598-2022</t>
        </is>
      </c>
      <c r="B685" s="1" t="n">
        <v>44902</v>
      </c>
      <c r="C685" s="1" t="n">
        <v>45360</v>
      </c>
      <c r="D685" t="inlineStr">
        <is>
          <t>ÖREBRO LÄN</t>
        </is>
      </c>
      <c r="E685" t="inlineStr">
        <is>
          <t>ÖREBRO</t>
        </is>
      </c>
      <c r="G685" t="n">
        <v>0.4</v>
      </c>
      <c r="H685" t="n">
        <v>0</v>
      </c>
      <c r="I685" t="n">
        <v>0</v>
      </c>
      <c r="J685" t="n">
        <v>0</v>
      </c>
      <c r="K685" t="n">
        <v>0</v>
      </c>
      <c r="L685" t="n">
        <v>0</v>
      </c>
      <c r="M685" t="n">
        <v>0</v>
      </c>
      <c r="N685" t="n">
        <v>0</v>
      </c>
      <c r="O685" t="n">
        <v>0</v>
      </c>
      <c r="P685" t="n">
        <v>0</v>
      </c>
      <c r="Q685" t="n">
        <v>0</v>
      </c>
      <c r="R685" s="2" t="inlineStr"/>
    </row>
    <row r="686" ht="15" customHeight="1">
      <c r="A686" t="inlineStr">
        <is>
          <t>A 60262-2022</t>
        </is>
      </c>
      <c r="B686" s="1" t="n">
        <v>44910</v>
      </c>
      <c r="C686" s="1" t="n">
        <v>45360</v>
      </c>
      <c r="D686" t="inlineStr">
        <is>
          <t>ÖREBRO LÄN</t>
        </is>
      </c>
      <c r="E686" t="inlineStr">
        <is>
          <t>ÖREBRO</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60769-2022</t>
        </is>
      </c>
      <c r="B687" s="1" t="n">
        <v>44914</v>
      </c>
      <c r="C687" s="1" t="n">
        <v>45360</v>
      </c>
      <c r="D687" t="inlineStr">
        <is>
          <t>ÖREBRO LÄN</t>
        </is>
      </c>
      <c r="E687" t="inlineStr">
        <is>
          <t>ÖREBRO</t>
        </is>
      </c>
      <c r="G687" t="n">
        <v>3.4</v>
      </c>
      <c r="H687" t="n">
        <v>0</v>
      </c>
      <c r="I687" t="n">
        <v>0</v>
      </c>
      <c r="J687" t="n">
        <v>0</v>
      </c>
      <c r="K687" t="n">
        <v>0</v>
      </c>
      <c r="L687" t="n">
        <v>0</v>
      </c>
      <c r="M687" t="n">
        <v>0</v>
      </c>
      <c r="N687" t="n">
        <v>0</v>
      </c>
      <c r="O687" t="n">
        <v>0</v>
      </c>
      <c r="P687" t="n">
        <v>0</v>
      </c>
      <c r="Q687" t="n">
        <v>0</v>
      </c>
      <c r="R687" s="2" t="inlineStr"/>
    </row>
    <row r="688" ht="15" customHeight="1">
      <c r="A688" t="inlineStr">
        <is>
          <t>A 61123-2022</t>
        </is>
      </c>
      <c r="B688" s="1" t="n">
        <v>44915</v>
      </c>
      <c r="C688" s="1" t="n">
        <v>45360</v>
      </c>
      <c r="D688" t="inlineStr">
        <is>
          <t>ÖREBRO LÄN</t>
        </is>
      </c>
      <c r="E688" t="inlineStr">
        <is>
          <t>ÖREBRO</t>
        </is>
      </c>
      <c r="G688" t="n">
        <v>7.7</v>
      </c>
      <c r="H688" t="n">
        <v>0</v>
      </c>
      <c r="I688" t="n">
        <v>0</v>
      </c>
      <c r="J688" t="n">
        <v>0</v>
      </c>
      <c r="K688" t="n">
        <v>0</v>
      </c>
      <c r="L688" t="n">
        <v>0</v>
      </c>
      <c r="M688" t="n">
        <v>0</v>
      </c>
      <c r="N688" t="n">
        <v>0</v>
      </c>
      <c r="O688" t="n">
        <v>0</v>
      </c>
      <c r="P688" t="n">
        <v>0</v>
      </c>
      <c r="Q688" t="n">
        <v>0</v>
      </c>
      <c r="R688" s="2" t="inlineStr"/>
    </row>
    <row r="689" ht="15" customHeight="1">
      <c r="A689" t="inlineStr">
        <is>
          <t>A 5118-2023</t>
        </is>
      </c>
      <c r="B689" s="1" t="n">
        <v>44922</v>
      </c>
      <c r="C689" s="1" t="n">
        <v>45360</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1346-2023</t>
        </is>
      </c>
      <c r="B690" s="1" t="n">
        <v>44936</v>
      </c>
      <c r="C690" s="1" t="n">
        <v>45360</v>
      </c>
      <c r="D690" t="inlineStr">
        <is>
          <t>ÖREBRO LÄN</t>
        </is>
      </c>
      <c r="E690" t="inlineStr">
        <is>
          <t>ÖREBRO</t>
        </is>
      </c>
      <c r="G690" t="n">
        <v>4.1</v>
      </c>
      <c r="H690" t="n">
        <v>0</v>
      </c>
      <c r="I690" t="n">
        <v>0</v>
      </c>
      <c r="J690" t="n">
        <v>0</v>
      </c>
      <c r="K690" t="n">
        <v>0</v>
      </c>
      <c r="L690" t="n">
        <v>0</v>
      </c>
      <c r="M690" t="n">
        <v>0</v>
      </c>
      <c r="N690" t="n">
        <v>0</v>
      </c>
      <c r="O690" t="n">
        <v>0</v>
      </c>
      <c r="P690" t="n">
        <v>0</v>
      </c>
      <c r="Q690" t="n">
        <v>0</v>
      </c>
      <c r="R690" s="2" t="inlineStr"/>
    </row>
    <row r="691" ht="15" customHeight="1">
      <c r="A691" t="inlineStr">
        <is>
          <t>A 1767-2023</t>
        </is>
      </c>
      <c r="B691" s="1" t="n">
        <v>44938</v>
      </c>
      <c r="C691" s="1" t="n">
        <v>45360</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2077-2023</t>
        </is>
      </c>
      <c r="B692" s="1" t="n">
        <v>44939</v>
      </c>
      <c r="C692" s="1" t="n">
        <v>45360</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2152-2023</t>
        </is>
      </c>
      <c r="B693" s="1" t="n">
        <v>44941</v>
      </c>
      <c r="C693" s="1" t="n">
        <v>45360</v>
      </c>
      <c r="D693" t="inlineStr">
        <is>
          <t>ÖREBRO LÄN</t>
        </is>
      </c>
      <c r="E693" t="inlineStr">
        <is>
          <t>ÖREBRO</t>
        </is>
      </c>
      <c r="G693" t="n">
        <v>8</v>
      </c>
      <c r="H693" t="n">
        <v>0</v>
      </c>
      <c r="I693" t="n">
        <v>0</v>
      </c>
      <c r="J693" t="n">
        <v>0</v>
      </c>
      <c r="K693" t="n">
        <v>0</v>
      </c>
      <c r="L693" t="n">
        <v>0</v>
      </c>
      <c r="M693" t="n">
        <v>0</v>
      </c>
      <c r="N693" t="n">
        <v>0</v>
      </c>
      <c r="O693" t="n">
        <v>0</v>
      </c>
      <c r="P693" t="n">
        <v>0</v>
      </c>
      <c r="Q693" t="n">
        <v>0</v>
      </c>
      <c r="R693" s="2" t="inlineStr"/>
    </row>
    <row r="694" ht="15" customHeight="1">
      <c r="A694" t="inlineStr">
        <is>
          <t>A 2153-2023</t>
        </is>
      </c>
      <c r="B694" s="1" t="n">
        <v>44941</v>
      </c>
      <c r="C694" s="1" t="n">
        <v>45360</v>
      </c>
      <c r="D694" t="inlineStr">
        <is>
          <t>ÖREBRO LÄN</t>
        </is>
      </c>
      <c r="E694" t="inlineStr">
        <is>
          <t>ÖREBRO</t>
        </is>
      </c>
      <c r="G694" t="n">
        <v>6.3</v>
      </c>
      <c r="H694" t="n">
        <v>0</v>
      </c>
      <c r="I694" t="n">
        <v>0</v>
      </c>
      <c r="J694" t="n">
        <v>0</v>
      </c>
      <c r="K694" t="n">
        <v>0</v>
      </c>
      <c r="L694" t="n">
        <v>0</v>
      </c>
      <c r="M694" t="n">
        <v>0</v>
      </c>
      <c r="N694" t="n">
        <v>0</v>
      </c>
      <c r="O694" t="n">
        <v>0</v>
      </c>
      <c r="P694" t="n">
        <v>0</v>
      </c>
      <c r="Q694" t="n">
        <v>0</v>
      </c>
      <c r="R694" s="2" t="inlineStr"/>
    </row>
    <row r="695" ht="15" customHeight="1">
      <c r="A695" t="inlineStr">
        <is>
          <t>A 2318-2023</t>
        </is>
      </c>
      <c r="B695" s="1" t="n">
        <v>44942</v>
      </c>
      <c r="C695" s="1" t="n">
        <v>45360</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2288-2023</t>
        </is>
      </c>
      <c r="B696" s="1" t="n">
        <v>44942</v>
      </c>
      <c r="C696" s="1" t="n">
        <v>45360</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2630-2023</t>
        </is>
      </c>
      <c r="B697" s="1" t="n">
        <v>44944</v>
      </c>
      <c r="C697" s="1" t="n">
        <v>45360</v>
      </c>
      <c r="D697" t="inlineStr">
        <is>
          <t>ÖREBRO LÄN</t>
        </is>
      </c>
      <c r="E697" t="inlineStr">
        <is>
          <t>ÖREBRO</t>
        </is>
      </c>
      <c r="G697" t="n">
        <v>6.1</v>
      </c>
      <c r="H697" t="n">
        <v>0</v>
      </c>
      <c r="I697" t="n">
        <v>0</v>
      </c>
      <c r="J697" t="n">
        <v>0</v>
      </c>
      <c r="K697" t="n">
        <v>0</v>
      </c>
      <c r="L697" t="n">
        <v>0</v>
      </c>
      <c r="M697" t="n">
        <v>0</v>
      </c>
      <c r="N697" t="n">
        <v>0</v>
      </c>
      <c r="O697" t="n">
        <v>0</v>
      </c>
      <c r="P697" t="n">
        <v>0</v>
      </c>
      <c r="Q697" t="n">
        <v>0</v>
      </c>
      <c r="R697" s="2" t="inlineStr"/>
    </row>
    <row r="698" ht="15" customHeight="1">
      <c r="A698" t="inlineStr">
        <is>
          <t>A 2658-2023</t>
        </is>
      </c>
      <c r="B698" s="1" t="n">
        <v>44944</v>
      </c>
      <c r="C698" s="1" t="n">
        <v>45360</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2771-2023</t>
        </is>
      </c>
      <c r="B699" s="1" t="n">
        <v>44944</v>
      </c>
      <c r="C699" s="1" t="n">
        <v>45360</v>
      </c>
      <c r="D699" t="inlineStr">
        <is>
          <t>ÖREBRO LÄN</t>
        </is>
      </c>
      <c r="E699" t="inlineStr">
        <is>
          <t>ÖREBRO</t>
        </is>
      </c>
      <c r="G699" t="n">
        <v>15.4</v>
      </c>
      <c r="H699" t="n">
        <v>0</v>
      </c>
      <c r="I699" t="n">
        <v>0</v>
      </c>
      <c r="J699" t="n">
        <v>0</v>
      </c>
      <c r="K699" t="n">
        <v>0</v>
      </c>
      <c r="L699" t="n">
        <v>0</v>
      </c>
      <c r="M699" t="n">
        <v>0</v>
      </c>
      <c r="N699" t="n">
        <v>0</v>
      </c>
      <c r="O699" t="n">
        <v>0</v>
      </c>
      <c r="P699" t="n">
        <v>0</v>
      </c>
      <c r="Q699" t="n">
        <v>0</v>
      </c>
      <c r="R699" s="2" t="inlineStr"/>
    </row>
    <row r="700" ht="15" customHeight="1">
      <c r="A700" t="inlineStr">
        <is>
          <t>A 3791-2023</t>
        </is>
      </c>
      <c r="B700" s="1" t="n">
        <v>44951</v>
      </c>
      <c r="C700" s="1" t="n">
        <v>45360</v>
      </c>
      <c r="D700" t="inlineStr">
        <is>
          <t>ÖREBRO LÄN</t>
        </is>
      </c>
      <c r="E700" t="inlineStr">
        <is>
          <t>ÖREBRO</t>
        </is>
      </c>
      <c r="G700" t="n">
        <v>3.7</v>
      </c>
      <c r="H700" t="n">
        <v>0</v>
      </c>
      <c r="I700" t="n">
        <v>0</v>
      </c>
      <c r="J700" t="n">
        <v>0</v>
      </c>
      <c r="K700" t="n">
        <v>0</v>
      </c>
      <c r="L700" t="n">
        <v>0</v>
      </c>
      <c r="M700" t="n">
        <v>0</v>
      </c>
      <c r="N700" t="n">
        <v>0</v>
      </c>
      <c r="O700" t="n">
        <v>0</v>
      </c>
      <c r="P700" t="n">
        <v>0</v>
      </c>
      <c r="Q700" t="n">
        <v>0</v>
      </c>
      <c r="R700" s="2" t="inlineStr"/>
    </row>
    <row r="701" ht="15" customHeight="1">
      <c r="A701" t="inlineStr">
        <is>
          <t>A 3789-2023</t>
        </is>
      </c>
      <c r="B701" s="1" t="n">
        <v>44951</v>
      </c>
      <c r="C701" s="1" t="n">
        <v>45360</v>
      </c>
      <c r="D701" t="inlineStr">
        <is>
          <t>ÖREBRO LÄN</t>
        </is>
      </c>
      <c r="E701" t="inlineStr">
        <is>
          <t>ÖREBRO</t>
        </is>
      </c>
      <c r="G701" t="n">
        <v>7.5</v>
      </c>
      <c r="H701" t="n">
        <v>0</v>
      </c>
      <c r="I701" t="n">
        <v>0</v>
      </c>
      <c r="J701" t="n">
        <v>0</v>
      </c>
      <c r="K701" t="n">
        <v>0</v>
      </c>
      <c r="L701" t="n">
        <v>0</v>
      </c>
      <c r="M701" t="n">
        <v>0</v>
      </c>
      <c r="N701" t="n">
        <v>0</v>
      </c>
      <c r="O701" t="n">
        <v>0</v>
      </c>
      <c r="P701" t="n">
        <v>0</v>
      </c>
      <c r="Q701" t="n">
        <v>0</v>
      </c>
      <c r="R701" s="2" t="inlineStr"/>
    </row>
    <row r="702" ht="15" customHeight="1">
      <c r="A702" t="inlineStr">
        <is>
          <t>A 3835-2023</t>
        </is>
      </c>
      <c r="B702" s="1" t="n">
        <v>44951</v>
      </c>
      <c r="C702" s="1" t="n">
        <v>45360</v>
      </c>
      <c r="D702" t="inlineStr">
        <is>
          <t>ÖREBRO LÄN</t>
        </is>
      </c>
      <c r="E702" t="inlineStr">
        <is>
          <t>ÖREBRO</t>
        </is>
      </c>
      <c r="G702" t="n">
        <v>7.4</v>
      </c>
      <c r="H702" t="n">
        <v>0</v>
      </c>
      <c r="I702" t="n">
        <v>0</v>
      </c>
      <c r="J702" t="n">
        <v>0</v>
      </c>
      <c r="K702" t="n">
        <v>0</v>
      </c>
      <c r="L702" t="n">
        <v>0</v>
      </c>
      <c r="M702" t="n">
        <v>0</v>
      </c>
      <c r="N702" t="n">
        <v>0</v>
      </c>
      <c r="O702" t="n">
        <v>0</v>
      </c>
      <c r="P702" t="n">
        <v>0</v>
      </c>
      <c r="Q702" t="n">
        <v>0</v>
      </c>
      <c r="R702" s="2" t="inlineStr"/>
    </row>
    <row r="703" ht="15" customHeight="1">
      <c r="A703" t="inlineStr">
        <is>
          <t>A 3841-2023</t>
        </is>
      </c>
      <c r="B703" s="1" t="n">
        <v>44951</v>
      </c>
      <c r="C703" s="1" t="n">
        <v>45360</v>
      </c>
      <c r="D703" t="inlineStr">
        <is>
          <t>ÖREBRO LÄN</t>
        </is>
      </c>
      <c r="E703" t="inlineStr">
        <is>
          <t>ÖREBRO</t>
        </is>
      </c>
      <c r="G703" t="n">
        <v>4.3</v>
      </c>
      <c r="H703" t="n">
        <v>0</v>
      </c>
      <c r="I703" t="n">
        <v>0</v>
      </c>
      <c r="J703" t="n">
        <v>0</v>
      </c>
      <c r="K703" t="n">
        <v>0</v>
      </c>
      <c r="L703" t="n">
        <v>0</v>
      </c>
      <c r="M703" t="n">
        <v>0</v>
      </c>
      <c r="N703" t="n">
        <v>0</v>
      </c>
      <c r="O703" t="n">
        <v>0</v>
      </c>
      <c r="P703" t="n">
        <v>0</v>
      </c>
      <c r="Q703" t="n">
        <v>0</v>
      </c>
      <c r="R703" s="2" t="inlineStr"/>
    </row>
    <row r="704" ht="15" customHeight="1">
      <c r="A704" t="inlineStr">
        <is>
          <t>A 3967-2023</t>
        </is>
      </c>
      <c r="B704" s="1" t="n">
        <v>44952</v>
      </c>
      <c r="C704" s="1" t="n">
        <v>45360</v>
      </c>
      <c r="D704" t="inlineStr">
        <is>
          <t>ÖREBRO LÄN</t>
        </is>
      </c>
      <c r="E704" t="inlineStr">
        <is>
          <t>ÖREBRO</t>
        </is>
      </c>
      <c r="G704" t="n">
        <v>5.2</v>
      </c>
      <c r="H704" t="n">
        <v>0</v>
      </c>
      <c r="I704" t="n">
        <v>0</v>
      </c>
      <c r="J704" t="n">
        <v>0</v>
      </c>
      <c r="K704" t="n">
        <v>0</v>
      </c>
      <c r="L704" t="n">
        <v>0</v>
      </c>
      <c r="M704" t="n">
        <v>0</v>
      </c>
      <c r="N704" t="n">
        <v>0</v>
      </c>
      <c r="O704" t="n">
        <v>0</v>
      </c>
      <c r="P704" t="n">
        <v>0</v>
      </c>
      <c r="Q704" t="n">
        <v>0</v>
      </c>
      <c r="R704" s="2" t="inlineStr"/>
    </row>
    <row r="705" ht="15" customHeight="1">
      <c r="A705" t="inlineStr">
        <is>
          <t>A 3964-2023</t>
        </is>
      </c>
      <c r="B705" s="1" t="n">
        <v>44952</v>
      </c>
      <c r="C705" s="1" t="n">
        <v>45360</v>
      </c>
      <c r="D705" t="inlineStr">
        <is>
          <t>ÖREBRO LÄN</t>
        </is>
      </c>
      <c r="E705" t="inlineStr">
        <is>
          <t>ÖREBRO</t>
        </is>
      </c>
      <c r="G705" t="n">
        <v>9.9</v>
      </c>
      <c r="H705" t="n">
        <v>0</v>
      </c>
      <c r="I705" t="n">
        <v>0</v>
      </c>
      <c r="J705" t="n">
        <v>0</v>
      </c>
      <c r="K705" t="n">
        <v>0</v>
      </c>
      <c r="L705" t="n">
        <v>0</v>
      </c>
      <c r="M705" t="n">
        <v>0</v>
      </c>
      <c r="N705" t="n">
        <v>0</v>
      </c>
      <c r="O705" t="n">
        <v>0</v>
      </c>
      <c r="P705" t="n">
        <v>0</v>
      </c>
      <c r="Q705" t="n">
        <v>0</v>
      </c>
      <c r="R705" s="2" t="inlineStr"/>
    </row>
    <row r="706" ht="15" customHeight="1">
      <c r="A706" t="inlineStr">
        <is>
          <t>A 3968-2023</t>
        </is>
      </c>
      <c r="B706" s="1" t="n">
        <v>44952</v>
      </c>
      <c r="C706" s="1" t="n">
        <v>45360</v>
      </c>
      <c r="D706" t="inlineStr">
        <is>
          <t>ÖREBRO LÄN</t>
        </is>
      </c>
      <c r="E706" t="inlineStr">
        <is>
          <t>ÖREBRO</t>
        </is>
      </c>
      <c r="G706" t="n">
        <v>1.4</v>
      </c>
      <c r="H706" t="n">
        <v>0</v>
      </c>
      <c r="I706" t="n">
        <v>0</v>
      </c>
      <c r="J706" t="n">
        <v>0</v>
      </c>
      <c r="K706" t="n">
        <v>0</v>
      </c>
      <c r="L706" t="n">
        <v>0</v>
      </c>
      <c r="M706" t="n">
        <v>0</v>
      </c>
      <c r="N706" t="n">
        <v>0</v>
      </c>
      <c r="O706" t="n">
        <v>0</v>
      </c>
      <c r="P706" t="n">
        <v>0</v>
      </c>
      <c r="Q706" t="n">
        <v>0</v>
      </c>
      <c r="R706" s="2" t="inlineStr"/>
    </row>
    <row r="707" ht="15" customHeight="1">
      <c r="A707" t="inlineStr">
        <is>
          <t>A 3958-2023</t>
        </is>
      </c>
      <c r="B707" s="1" t="n">
        <v>44952</v>
      </c>
      <c r="C707" s="1" t="n">
        <v>45360</v>
      </c>
      <c r="D707" t="inlineStr">
        <is>
          <t>ÖREBRO LÄN</t>
        </is>
      </c>
      <c r="E707" t="inlineStr">
        <is>
          <t>ÖREBRO</t>
        </is>
      </c>
      <c r="G707" t="n">
        <v>6</v>
      </c>
      <c r="H707" t="n">
        <v>0</v>
      </c>
      <c r="I707" t="n">
        <v>0</v>
      </c>
      <c r="J707" t="n">
        <v>0</v>
      </c>
      <c r="K707" t="n">
        <v>0</v>
      </c>
      <c r="L707" t="n">
        <v>0</v>
      </c>
      <c r="M707" t="n">
        <v>0</v>
      </c>
      <c r="N707" t="n">
        <v>0</v>
      </c>
      <c r="O707" t="n">
        <v>0</v>
      </c>
      <c r="P707" t="n">
        <v>0</v>
      </c>
      <c r="Q707" t="n">
        <v>0</v>
      </c>
      <c r="R707" s="2" t="inlineStr"/>
    </row>
    <row r="708" ht="15" customHeight="1">
      <c r="A708" t="inlineStr">
        <is>
          <t>A 5120-2023</t>
        </is>
      </c>
      <c r="B708" s="1" t="n">
        <v>44953</v>
      </c>
      <c r="C708" s="1" t="n">
        <v>45360</v>
      </c>
      <c r="D708" t="inlineStr">
        <is>
          <t>ÖREBRO LÄN</t>
        </is>
      </c>
      <c r="E708" t="inlineStr">
        <is>
          <t>ÖREBRO</t>
        </is>
      </c>
      <c r="G708" t="n">
        <v>1.7</v>
      </c>
      <c r="H708" t="n">
        <v>0</v>
      </c>
      <c r="I708" t="n">
        <v>0</v>
      </c>
      <c r="J708" t="n">
        <v>0</v>
      </c>
      <c r="K708" t="n">
        <v>0</v>
      </c>
      <c r="L708" t="n">
        <v>0</v>
      </c>
      <c r="M708" t="n">
        <v>0</v>
      </c>
      <c r="N708" t="n">
        <v>0</v>
      </c>
      <c r="O708" t="n">
        <v>0</v>
      </c>
      <c r="P708" t="n">
        <v>0</v>
      </c>
      <c r="Q708" t="n">
        <v>0</v>
      </c>
      <c r="R708" s="2" t="inlineStr"/>
    </row>
    <row r="709" ht="15" customHeight="1">
      <c r="A709" t="inlineStr">
        <is>
          <t>A 4557-2023</t>
        </is>
      </c>
      <c r="B709" s="1" t="n">
        <v>44956</v>
      </c>
      <c r="C709" s="1" t="n">
        <v>45360</v>
      </c>
      <c r="D709" t="inlineStr">
        <is>
          <t>ÖREBRO LÄN</t>
        </is>
      </c>
      <c r="E709" t="inlineStr">
        <is>
          <t>ÖREBRO</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4416-2023</t>
        </is>
      </c>
      <c r="B710" s="1" t="n">
        <v>44956</v>
      </c>
      <c r="C710" s="1" t="n">
        <v>45360</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5619-2023</t>
        </is>
      </c>
      <c r="B711" s="1" t="n">
        <v>44958</v>
      </c>
      <c r="C711" s="1" t="n">
        <v>45360</v>
      </c>
      <c r="D711" t="inlineStr">
        <is>
          <t>ÖREBRO LÄN</t>
        </is>
      </c>
      <c r="E711" t="inlineStr">
        <is>
          <t>ÖREBRO</t>
        </is>
      </c>
      <c r="G711" t="n">
        <v>27</v>
      </c>
      <c r="H711" t="n">
        <v>0</v>
      </c>
      <c r="I711" t="n">
        <v>0</v>
      </c>
      <c r="J711" t="n">
        <v>0</v>
      </c>
      <c r="K711" t="n">
        <v>0</v>
      </c>
      <c r="L711" t="n">
        <v>0</v>
      </c>
      <c r="M711" t="n">
        <v>0</v>
      </c>
      <c r="N711" t="n">
        <v>0</v>
      </c>
      <c r="O711" t="n">
        <v>0</v>
      </c>
      <c r="P711" t="n">
        <v>0</v>
      </c>
      <c r="Q711" t="n">
        <v>0</v>
      </c>
      <c r="R711" s="2" t="inlineStr"/>
    </row>
    <row r="712" ht="15" customHeight="1">
      <c r="A712" t="inlineStr">
        <is>
          <t>A 5847-2023</t>
        </is>
      </c>
      <c r="B712" s="1" t="n">
        <v>44963</v>
      </c>
      <c r="C712" s="1" t="n">
        <v>45360</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5883-2023</t>
        </is>
      </c>
      <c r="B713" s="1" t="n">
        <v>44963</v>
      </c>
      <c r="C713" s="1" t="n">
        <v>45360</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6513-2023</t>
        </is>
      </c>
      <c r="B714" s="1" t="n">
        <v>44966</v>
      </c>
      <c r="C714" s="1" t="n">
        <v>45360</v>
      </c>
      <c r="D714" t="inlineStr">
        <is>
          <t>ÖREBRO LÄN</t>
        </is>
      </c>
      <c r="E714" t="inlineStr">
        <is>
          <t>ÖREBRO</t>
        </is>
      </c>
      <c r="G714" t="n">
        <v>1.4</v>
      </c>
      <c r="H714" t="n">
        <v>0</v>
      </c>
      <c r="I714" t="n">
        <v>0</v>
      </c>
      <c r="J714" t="n">
        <v>0</v>
      </c>
      <c r="K714" t="n">
        <v>0</v>
      </c>
      <c r="L714" t="n">
        <v>0</v>
      </c>
      <c r="M714" t="n">
        <v>0</v>
      </c>
      <c r="N714" t="n">
        <v>0</v>
      </c>
      <c r="O714" t="n">
        <v>0</v>
      </c>
      <c r="P714" t="n">
        <v>0</v>
      </c>
      <c r="Q714" t="n">
        <v>0</v>
      </c>
      <c r="R714" s="2" t="inlineStr"/>
    </row>
    <row r="715" ht="15" customHeight="1">
      <c r="A715" t="inlineStr">
        <is>
          <t>A 6522-2023</t>
        </is>
      </c>
      <c r="B715" s="1" t="n">
        <v>44966</v>
      </c>
      <c r="C715" s="1" t="n">
        <v>45360</v>
      </c>
      <c r="D715" t="inlineStr">
        <is>
          <t>ÖREBRO LÄN</t>
        </is>
      </c>
      <c r="E715" t="inlineStr">
        <is>
          <t>ÖREBRO</t>
        </is>
      </c>
      <c r="G715" t="n">
        <v>4.4</v>
      </c>
      <c r="H715" t="n">
        <v>0</v>
      </c>
      <c r="I715" t="n">
        <v>0</v>
      </c>
      <c r="J715" t="n">
        <v>0</v>
      </c>
      <c r="K715" t="n">
        <v>0</v>
      </c>
      <c r="L715" t="n">
        <v>0</v>
      </c>
      <c r="M715" t="n">
        <v>0</v>
      </c>
      <c r="N715" t="n">
        <v>0</v>
      </c>
      <c r="O715" t="n">
        <v>0</v>
      </c>
      <c r="P715" t="n">
        <v>0</v>
      </c>
      <c r="Q715" t="n">
        <v>0</v>
      </c>
      <c r="R715" s="2" t="inlineStr"/>
    </row>
    <row r="716" ht="15" customHeight="1">
      <c r="A716" t="inlineStr">
        <is>
          <t>A 6528-2023</t>
        </is>
      </c>
      <c r="B716" s="1" t="n">
        <v>44966</v>
      </c>
      <c r="C716" s="1" t="n">
        <v>45360</v>
      </c>
      <c r="D716" t="inlineStr">
        <is>
          <t>ÖREBRO LÄN</t>
        </is>
      </c>
      <c r="E716" t="inlineStr">
        <is>
          <t>ÖREBRO</t>
        </is>
      </c>
      <c r="G716" t="n">
        <v>2.4</v>
      </c>
      <c r="H716" t="n">
        <v>0</v>
      </c>
      <c r="I716" t="n">
        <v>0</v>
      </c>
      <c r="J716" t="n">
        <v>0</v>
      </c>
      <c r="K716" t="n">
        <v>0</v>
      </c>
      <c r="L716" t="n">
        <v>0</v>
      </c>
      <c r="M716" t="n">
        <v>0</v>
      </c>
      <c r="N716" t="n">
        <v>0</v>
      </c>
      <c r="O716" t="n">
        <v>0</v>
      </c>
      <c r="P716" t="n">
        <v>0</v>
      </c>
      <c r="Q716" t="n">
        <v>0</v>
      </c>
      <c r="R716" s="2" t="inlineStr"/>
    </row>
    <row r="717" ht="15" customHeight="1">
      <c r="A717" t="inlineStr">
        <is>
          <t>A 8584-2023</t>
        </is>
      </c>
      <c r="B717" s="1" t="n">
        <v>44977</v>
      </c>
      <c r="C717" s="1" t="n">
        <v>45360</v>
      </c>
      <c r="D717" t="inlineStr">
        <is>
          <t>ÖREBRO LÄN</t>
        </is>
      </c>
      <c r="E717" t="inlineStr">
        <is>
          <t>ÖREBRO</t>
        </is>
      </c>
      <c r="F717" t="inlineStr">
        <is>
          <t>Kommuner</t>
        </is>
      </c>
      <c r="G717" t="n">
        <v>1.2</v>
      </c>
      <c r="H717" t="n">
        <v>0</v>
      </c>
      <c r="I717" t="n">
        <v>0</v>
      </c>
      <c r="J717" t="n">
        <v>0</v>
      </c>
      <c r="K717" t="n">
        <v>0</v>
      </c>
      <c r="L717" t="n">
        <v>0</v>
      </c>
      <c r="M717" t="n">
        <v>0</v>
      </c>
      <c r="N717" t="n">
        <v>0</v>
      </c>
      <c r="O717" t="n">
        <v>0</v>
      </c>
      <c r="P717" t="n">
        <v>0</v>
      </c>
      <c r="Q717" t="n">
        <v>0</v>
      </c>
      <c r="R717" s="2" t="inlineStr"/>
    </row>
    <row r="718" ht="15" customHeight="1">
      <c r="A718" t="inlineStr">
        <is>
          <t>A 9314-2023</t>
        </is>
      </c>
      <c r="B718" s="1" t="n">
        <v>44980</v>
      </c>
      <c r="C718" s="1" t="n">
        <v>45360</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9609-2023</t>
        </is>
      </c>
      <c r="B719" s="1" t="n">
        <v>44983</v>
      </c>
      <c r="C719" s="1" t="n">
        <v>45360</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9704-2023</t>
        </is>
      </c>
      <c r="B720" s="1" t="n">
        <v>44984</v>
      </c>
      <c r="C720" s="1" t="n">
        <v>45360</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10339-2023</t>
        </is>
      </c>
      <c r="B721" s="1" t="n">
        <v>44987</v>
      </c>
      <c r="C721" s="1" t="n">
        <v>45360</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10832-2023</t>
        </is>
      </c>
      <c r="B722" s="1" t="n">
        <v>44990</v>
      </c>
      <c r="C722" s="1" t="n">
        <v>45360</v>
      </c>
      <c r="D722" t="inlineStr">
        <is>
          <t>ÖREBRO LÄN</t>
        </is>
      </c>
      <c r="E722" t="inlineStr">
        <is>
          <t>ÖREBRO</t>
        </is>
      </c>
      <c r="G722" t="n">
        <v>1.4</v>
      </c>
      <c r="H722" t="n">
        <v>0</v>
      </c>
      <c r="I722" t="n">
        <v>0</v>
      </c>
      <c r="J722" t="n">
        <v>0</v>
      </c>
      <c r="K722" t="n">
        <v>0</v>
      </c>
      <c r="L722" t="n">
        <v>0</v>
      </c>
      <c r="M722" t="n">
        <v>0</v>
      </c>
      <c r="N722" t="n">
        <v>0</v>
      </c>
      <c r="O722" t="n">
        <v>0</v>
      </c>
      <c r="P722" t="n">
        <v>0</v>
      </c>
      <c r="Q722" t="n">
        <v>0</v>
      </c>
      <c r="R722" s="2" t="inlineStr"/>
    </row>
    <row r="723" ht="15" customHeight="1">
      <c r="A723" t="inlineStr">
        <is>
          <t>A 10829-2023</t>
        </is>
      </c>
      <c r="B723" s="1" t="n">
        <v>44990</v>
      </c>
      <c r="C723" s="1" t="n">
        <v>45360</v>
      </c>
      <c r="D723" t="inlineStr">
        <is>
          <t>ÖREBRO LÄN</t>
        </is>
      </c>
      <c r="E723" t="inlineStr">
        <is>
          <t>ÖREBRO</t>
        </is>
      </c>
      <c r="G723" t="n">
        <v>4.4</v>
      </c>
      <c r="H723" t="n">
        <v>0</v>
      </c>
      <c r="I723" t="n">
        <v>0</v>
      </c>
      <c r="J723" t="n">
        <v>0</v>
      </c>
      <c r="K723" t="n">
        <v>0</v>
      </c>
      <c r="L723" t="n">
        <v>0</v>
      </c>
      <c r="M723" t="n">
        <v>0</v>
      </c>
      <c r="N723" t="n">
        <v>0</v>
      </c>
      <c r="O723" t="n">
        <v>0</v>
      </c>
      <c r="P723" t="n">
        <v>0</v>
      </c>
      <c r="Q723" t="n">
        <v>0</v>
      </c>
      <c r="R723" s="2" t="inlineStr"/>
    </row>
    <row r="724" ht="15" customHeight="1">
      <c r="A724" t="inlineStr">
        <is>
          <t>A 10831-2023</t>
        </is>
      </c>
      <c r="B724" s="1" t="n">
        <v>44990</v>
      </c>
      <c r="C724" s="1" t="n">
        <v>45360</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10830-2023</t>
        </is>
      </c>
      <c r="B725" s="1" t="n">
        <v>44990</v>
      </c>
      <c r="C725" s="1" t="n">
        <v>45360</v>
      </c>
      <c r="D725" t="inlineStr">
        <is>
          <t>ÖREBRO LÄN</t>
        </is>
      </c>
      <c r="E725" t="inlineStr">
        <is>
          <t>ÖREBRO</t>
        </is>
      </c>
      <c r="G725" t="n">
        <v>2</v>
      </c>
      <c r="H725" t="n">
        <v>0</v>
      </c>
      <c r="I725" t="n">
        <v>0</v>
      </c>
      <c r="J725" t="n">
        <v>0</v>
      </c>
      <c r="K725" t="n">
        <v>0</v>
      </c>
      <c r="L725" t="n">
        <v>0</v>
      </c>
      <c r="M725" t="n">
        <v>0</v>
      </c>
      <c r="N725" t="n">
        <v>0</v>
      </c>
      <c r="O725" t="n">
        <v>0</v>
      </c>
      <c r="P725" t="n">
        <v>0</v>
      </c>
      <c r="Q725" t="n">
        <v>0</v>
      </c>
      <c r="R725" s="2" t="inlineStr"/>
    </row>
    <row r="726" ht="15" customHeight="1">
      <c r="A726" t="inlineStr">
        <is>
          <t>A 11118-2023</t>
        </is>
      </c>
      <c r="B726" s="1" t="n">
        <v>44992</v>
      </c>
      <c r="C726" s="1" t="n">
        <v>45360</v>
      </c>
      <c r="D726" t="inlineStr">
        <is>
          <t>ÖREBRO LÄN</t>
        </is>
      </c>
      <c r="E726" t="inlineStr">
        <is>
          <t>ÖREBRO</t>
        </is>
      </c>
      <c r="G726" t="n">
        <v>2.5</v>
      </c>
      <c r="H726" t="n">
        <v>0</v>
      </c>
      <c r="I726" t="n">
        <v>0</v>
      </c>
      <c r="J726" t="n">
        <v>0</v>
      </c>
      <c r="K726" t="n">
        <v>0</v>
      </c>
      <c r="L726" t="n">
        <v>0</v>
      </c>
      <c r="M726" t="n">
        <v>0</v>
      </c>
      <c r="N726" t="n">
        <v>0</v>
      </c>
      <c r="O726" t="n">
        <v>0</v>
      </c>
      <c r="P726" t="n">
        <v>0</v>
      </c>
      <c r="Q726" t="n">
        <v>0</v>
      </c>
      <c r="R726" s="2" t="inlineStr"/>
    </row>
    <row r="727" ht="15" customHeight="1">
      <c r="A727" t="inlineStr">
        <is>
          <t>A 11473-2023</t>
        </is>
      </c>
      <c r="B727" s="1" t="n">
        <v>44993</v>
      </c>
      <c r="C727" s="1" t="n">
        <v>45360</v>
      </c>
      <c r="D727" t="inlineStr">
        <is>
          <t>ÖREBRO LÄN</t>
        </is>
      </c>
      <c r="E727" t="inlineStr">
        <is>
          <t>ÖREBRO</t>
        </is>
      </c>
      <c r="G727" t="n">
        <v>2.6</v>
      </c>
      <c r="H727" t="n">
        <v>0</v>
      </c>
      <c r="I727" t="n">
        <v>0</v>
      </c>
      <c r="J727" t="n">
        <v>0</v>
      </c>
      <c r="K727" t="n">
        <v>0</v>
      </c>
      <c r="L727" t="n">
        <v>0</v>
      </c>
      <c r="M727" t="n">
        <v>0</v>
      </c>
      <c r="N727" t="n">
        <v>0</v>
      </c>
      <c r="O727" t="n">
        <v>0</v>
      </c>
      <c r="P727" t="n">
        <v>0</v>
      </c>
      <c r="Q727" t="n">
        <v>0</v>
      </c>
      <c r="R727" s="2" t="inlineStr"/>
    </row>
    <row r="728" ht="15" customHeight="1">
      <c r="A728" t="inlineStr">
        <is>
          <t>A 11382-2023</t>
        </is>
      </c>
      <c r="B728" s="1" t="n">
        <v>44993</v>
      </c>
      <c r="C728" s="1" t="n">
        <v>45360</v>
      </c>
      <c r="D728" t="inlineStr">
        <is>
          <t>ÖREBRO LÄN</t>
        </is>
      </c>
      <c r="E728" t="inlineStr">
        <is>
          <t>ÖREBRO</t>
        </is>
      </c>
      <c r="G728" t="n">
        <v>3.3</v>
      </c>
      <c r="H728" t="n">
        <v>0</v>
      </c>
      <c r="I728" t="n">
        <v>0</v>
      </c>
      <c r="J728" t="n">
        <v>0</v>
      </c>
      <c r="K728" t="n">
        <v>0</v>
      </c>
      <c r="L728" t="n">
        <v>0</v>
      </c>
      <c r="M728" t="n">
        <v>0</v>
      </c>
      <c r="N728" t="n">
        <v>0</v>
      </c>
      <c r="O728" t="n">
        <v>0</v>
      </c>
      <c r="P728" t="n">
        <v>0</v>
      </c>
      <c r="Q728" t="n">
        <v>0</v>
      </c>
      <c r="R728" s="2" t="inlineStr"/>
    </row>
    <row r="729" ht="15" customHeight="1">
      <c r="A729" t="inlineStr">
        <is>
          <t>A 11391-2023</t>
        </is>
      </c>
      <c r="B729" s="1" t="n">
        <v>44993</v>
      </c>
      <c r="C729" s="1" t="n">
        <v>45360</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11565-2023</t>
        </is>
      </c>
      <c r="B730" s="1" t="n">
        <v>44994</v>
      </c>
      <c r="C730" s="1" t="n">
        <v>45360</v>
      </c>
      <c r="D730" t="inlineStr">
        <is>
          <t>ÖREBRO LÄN</t>
        </is>
      </c>
      <c r="E730" t="inlineStr">
        <is>
          <t>ÖREBRO</t>
        </is>
      </c>
      <c r="G730" t="n">
        <v>4.7</v>
      </c>
      <c r="H730" t="n">
        <v>0</v>
      </c>
      <c r="I730" t="n">
        <v>0</v>
      </c>
      <c r="J730" t="n">
        <v>0</v>
      </c>
      <c r="K730" t="n">
        <v>0</v>
      </c>
      <c r="L730" t="n">
        <v>0</v>
      </c>
      <c r="M730" t="n">
        <v>0</v>
      </c>
      <c r="N730" t="n">
        <v>0</v>
      </c>
      <c r="O730" t="n">
        <v>0</v>
      </c>
      <c r="P730" t="n">
        <v>0</v>
      </c>
      <c r="Q730" t="n">
        <v>0</v>
      </c>
      <c r="R730" s="2" t="inlineStr"/>
    </row>
    <row r="731" ht="15" customHeight="1">
      <c r="A731" t="inlineStr">
        <is>
          <t>A 12099-2023</t>
        </is>
      </c>
      <c r="B731" s="1" t="n">
        <v>44998</v>
      </c>
      <c r="C731" s="1" t="n">
        <v>45360</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12102-2023</t>
        </is>
      </c>
      <c r="B732" s="1" t="n">
        <v>44998</v>
      </c>
      <c r="C732" s="1" t="n">
        <v>45360</v>
      </c>
      <c r="D732" t="inlineStr">
        <is>
          <t>ÖREBRO LÄN</t>
        </is>
      </c>
      <c r="E732" t="inlineStr">
        <is>
          <t>ÖREBRO</t>
        </is>
      </c>
      <c r="G732" t="n">
        <v>3.5</v>
      </c>
      <c r="H732" t="n">
        <v>0</v>
      </c>
      <c r="I732" t="n">
        <v>0</v>
      </c>
      <c r="J732" t="n">
        <v>0</v>
      </c>
      <c r="K732" t="n">
        <v>0</v>
      </c>
      <c r="L732" t="n">
        <v>0</v>
      </c>
      <c r="M732" t="n">
        <v>0</v>
      </c>
      <c r="N732" t="n">
        <v>0</v>
      </c>
      <c r="O732" t="n">
        <v>0</v>
      </c>
      <c r="P732" t="n">
        <v>0</v>
      </c>
      <c r="Q732" t="n">
        <v>0</v>
      </c>
      <c r="R732" s="2" t="inlineStr"/>
    </row>
    <row r="733" ht="15" customHeight="1">
      <c r="A733" t="inlineStr">
        <is>
          <t>A 12245-2023</t>
        </is>
      </c>
      <c r="B733" s="1" t="n">
        <v>44998</v>
      </c>
      <c r="C733" s="1" t="n">
        <v>45360</v>
      </c>
      <c r="D733" t="inlineStr">
        <is>
          <t>ÖREBRO LÄN</t>
        </is>
      </c>
      <c r="E733" t="inlineStr">
        <is>
          <t>ÖREBRO</t>
        </is>
      </c>
      <c r="G733" t="n">
        <v>1.2</v>
      </c>
      <c r="H733" t="n">
        <v>0</v>
      </c>
      <c r="I733" t="n">
        <v>0</v>
      </c>
      <c r="J733" t="n">
        <v>0</v>
      </c>
      <c r="K733" t="n">
        <v>0</v>
      </c>
      <c r="L733" t="n">
        <v>0</v>
      </c>
      <c r="M733" t="n">
        <v>0</v>
      </c>
      <c r="N733" t="n">
        <v>0</v>
      </c>
      <c r="O733" t="n">
        <v>0</v>
      </c>
      <c r="P733" t="n">
        <v>0</v>
      </c>
      <c r="Q733" t="n">
        <v>0</v>
      </c>
      <c r="R733" s="2" t="inlineStr"/>
    </row>
    <row r="734" ht="15" customHeight="1">
      <c r="A734" t="inlineStr">
        <is>
          <t>A 12638-2023</t>
        </is>
      </c>
      <c r="B734" s="1" t="n">
        <v>45000</v>
      </c>
      <c r="C734" s="1" t="n">
        <v>45360</v>
      </c>
      <c r="D734" t="inlineStr">
        <is>
          <t>ÖREBRO LÄN</t>
        </is>
      </c>
      <c r="E734" t="inlineStr">
        <is>
          <t>ÖREBRO</t>
        </is>
      </c>
      <c r="F734" t="inlineStr">
        <is>
          <t>Övriga Aktiebolag</t>
        </is>
      </c>
      <c r="G734" t="n">
        <v>6.3</v>
      </c>
      <c r="H734" t="n">
        <v>0</v>
      </c>
      <c r="I734" t="n">
        <v>0</v>
      </c>
      <c r="J734" t="n">
        <v>0</v>
      </c>
      <c r="K734" t="n">
        <v>0</v>
      </c>
      <c r="L734" t="n">
        <v>0</v>
      </c>
      <c r="M734" t="n">
        <v>0</v>
      </c>
      <c r="N734" t="n">
        <v>0</v>
      </c>
      <c r="O734" t="n">
        <v>0</v>
      </c>
      <c r="P734" t="n">
        <v>0</v>
      </c>
      <c r="Q734" t="n">
        <v>0</v>
      </c>
      <c r="R734" s="2" t="inlineStr"/>
    </row>
    <row r="735" ht="15" customHeight="1">
      <c r="A735" t="inlineStr">
        <is>
          <t>A 12682-2023</t>
        </is>
      </c>
      <c r="B735" s="1" t="n">
        <v>45000</v>
      </c>
      <c r="C735" s="1" t="n">
        <v>45360</v>
      </c>
      <c r="D735" t="inlineStr">
        <is>
          <t>ÖREBRO LÄN</t>
        </is>
      </c>
      <c r="E735" t="inlineStr">
        <is>
          <t>ÖREBRO</t>
        </is>
      </c>
      <c r="F735" t="inlineStr">
        <is>
          <t>Övriga Aktiebolag</t>
        </is>
      </c>
      <c r="G735" t="n">
        <v>4.4</v>
      </c>
      <c r="H735" t="n">
        <v>0</v>
      </c>
      <c r="I735" t="n">
        <v>0</v>
      </c>
      <c r="J735" t="n">
        <v>0</v>
      </c>
      <c r="K735" t="n">
        <v>0</v>
      </c>
      <c r="L735" t="n">
        <v>0</v>
      </c>
      <c r="M735" t="n">
        <v>0</v>
      </c>
      <c r="N735" t="n">
        <v>0</v>
      </c>
      <c r="O735" t="n">
        <v>0</v>
      </c>
      <c r="P735" t="n">
        <v>0</v>
      </c>
      <c r="Q735" t="n">
        <v>0</v>
      </c>
      <c r="R735" s="2" t="inlineStr"/>
    </row>
    <row r="736" ht="15" customHeight="1">
      <c r="A736" t="inlineStr">
        <is>
          <t>A 13181-2023</t>
        </is>
      </c>
      <c r="B736" s="1" t="n">
        <v>45002</v>
      </c>
      <c r="C736" s="1" t="n">
        <v>45360</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13355-2023</t>
        </is>
      </c>
      <c r="B737" s="1" t="n">
        <v>45004</v>
      </c>
      <c r="C737" s="1" t="n">
        <v>45360</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13347-2023</t>
        </is>
      </c>
      <c r="B738" s="1" t="n">
        <v>45004</v>
      </c>
      <c r="C738" s="1" t="n">
        <v>45360</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13592-2023</t>
        </is>
      </c>
      <c r="B739" s="1" t="n">
        <v>45006</v>
      </c>
      <c r="C739" s="1" t="n">
        <v>45360</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13762-2023</t>
        </is>
      </c>
      <c r="B740" s="1" t="n">
        <v>45007</v>
      </c>
      <c r="C740" s="1" t="n">
        <v>45360</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13763-2023</t>
        </is>
      </c>
      <c r="B741" s="1" t="n">
        <v>45007</v>
      </c>
      <c r="C741" s="1" t="n">
        <v>45360</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13764-2023</t>
        </is>
      </c>
      <c r="B742" s="1" t="n">
        <v>45007</v>
      </c>
      <c r="C742" s="1" t="n">
        <v>45360</v>
      </c>
      <c r="D742" t="inlineStr">
        <is>
          <t>ÖREBRO LÄN</t>
        </is>
      </c>
      <c r="E742" t="inlineStr">
        <is>
          <t>ÖREBRO</t>
        </is>
      </c>
      <c r="G742" t="n">
        <v>0.9</v>
      </c>
      <c r="H742" t="n">
        <v>0</v>
      </c>
      <c r="I742" t="n">
        <v>0</v>
      </c>
      <c r="J742" t="n">
        <v>0</v>
      </c>
      <c r="K742" t="n">
        <v>0</v>
      </c>
      <c r="L742" t="n">
        <v>0</v>
      </c>
      <c r="M742" t="n">
        <v>0</v>
      </c>
      <c r="N742" t="n">
        <v>0</v>
      </c>
      <c r="O742" t="n">
        <v>0</v>
      </c>
      <c r="P742" t="n">
        <v>0</v>
      </c>
      <c r="Q742" t="n">
        <v>0</v>
      </c>
      <c r="R742" s="2" t="inlineStr"/>
    </row>
    <row r="743" ht="15" customHeight="1">
      <c r="A743" t="inlineStr">
        <is>
          <t>A 14003-2023</t>
        </is>
      </c>
      <c r="B743" s="1" t="n">
        <v>45007</v>
      </c>
      <c r="C743" s="1" t="n">
        <v>45360</v>
      </c>
      <c r="D743" t="inlineStr">
        <is>
          <t>ÖREBRO LÄN</t>
        </is>
      </c>
      <c r="E743" t="inlineStr">
        <is>
          <t>ÖREBRO</t>
        </is>
      </c>
      <c r="G743" t="n">
        <v>3.1</v>
      </c>
      <c r="H743" t="n">
        <v>0</v>
      </c>
      <c r="I743" t="n">
        <v>0</v>
      </c>
      <c r="J743" t="n">
        <v>0</v>
      </c>
      <c r="K743" t="n">
        <v>0</v>
      </c>
      <c r="L743" t="n">
        <v>0</v>
      </c>
      <c r="M743" t="n">
        <v>0</v>
      </c>
      <c r="N743" t="n">
        <v>0</v>
      </c>
      <c r="O743" t="n">
        <v>0</v>
      </c>
      <c r="P743" t="n">
        <v>0</v>
      </c>
      <c r="Q743" t="n">
        <v>0</v>
      </c>
      <c r="R743" s="2" t="inlineStr"/>
    </row>
    <row r="744" ht="15" customHeight="1">
      <c r="A744" t="inlineStr">
        <is>
          <t>A 13912-2023</t>
        </is>
      </c>
      <c r="B744" s="1" t="n">
        <v>45008</v>
      </c>
      <c r="C744" s="1" t="n">
        <v>45360</v>
      </c>
      <c r="D744" t="inlineStr">
        <is>
          <t>ÖREBRO LÄN</t>
        </is>
      </c>
      <c r="E744" t="inlineStr">
        <is>
          <t>ÖREBRO</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14289-2023</t>
        </is>
      </c>
      <c r="B745" s="1" t="n">
        <v>45010</v>
      </c>
      <c r="C745" s="1" t="n">
        <v>45360</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14291-2023</t>
        </is>
      </c>
      <c r="B746" s="1" t="n">
        <v>45010</v>
      </c>
      <c r="C746" s="1" t="n">
        <v>45360</v>
      </c>
      <c r="D746" t="inlineStr">
        <is>
          <t>ÖREBRO LÄN</t>
        </is>
      </c>
      <c r="E746" t="inlineStr">
        <is>
          <t>ÖREBRO</t>
        </is>
      </c>
      <c r="G746" t="n">
        <v>0.8</v>
      </c>
      <c r="H746" t="n">
        <v>0</v>
      </c>
      <c r="I746" t="n">
        <v>0</v>
      </c>
      <c r="J746" t="n">
        <v>0</v>
      </c>
      <c r="K746" t="n">
        <v>0</v>
      </c>
      <c r="L746" t="n">
        <v>0</v>
      </c>
      <c r="M746" t="n">
        <v>0</v>
      </c>
      <c r="N746" t="n">
        <v>0</v>
      </c>
      <c r="O746" t="n">
        <v>0</v>
      </c>
      <c r="P746" t="n">
        <v>0</v>
      </c>
      <c r="Q746" t="n">
        <v>0</v>
      </c>
      <c r="R746" s="2" t="inlineStr"/>
    </row>
    <row r="747" ht="15" customHeight="1">
      <c r="A747" t="inlineStr">
        <is>
          <t>A 14290-2023</t>
        </is>
      </c>
      <c r="B747" s="1" t="n">
        <v>45010</v>
      </c>
      <c r="C747" s="1" t="n">
        <v>45360</v>
      </c>
      <c r="D747" t="inlineStr">
        <is>
          <t>ÖREBRO LÄN</t>
        </is>
      </c>
      <c r="E747" t="inlineStr">
        <is>
          <t>ÖREBRO</t>
        </is>
      </c>
      <c r="G747" t="n">
        <v>1.2</v>
      </c>
      <c r="H747" t="n">
        <v>0</v>
      </c>
      <c r="I747" t="n">
        <v>0</v>
      </c>
      <c r="J747" t="n">
        <v>0</v>
      </c>
      <c r="K747" t="n">
        <v>0</v>
      </c>
      <c r="L747" t="n">
        <v>0</v>
      </c>
      <c r="M747" t="n">
        <v>0</v>
      </c>
      <c r="N747" t="n">
        <v>0</v>
      </c>
      <c r="O747" t="n">
        <v>0</v>
      </c>
      <c r="P747" t="n">
        <v>0</v>
      </c>
      <c r="Q747" t="n">
        <v>0</v>
      </c>
      <c r="R747" s="2" t="inlineStr"/>
    </row>
    <row r="748" ht="15" customHeight="1">
      <c r="A748" t="inlineStr">
        <is>
          <t>A 14469-2023</t>
        </is>
      </c>
      <c r="B748" s="1" t="n">
        <v>45012</v>
      </c>
      <c r="C748" s="1" t="n">
        <v>45360</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14432-2023</t>
        </is>
      </c>
      <c r="B749" s="1" t="n">
        <v>45012</v>
      </c>
      <c r="C749" s="1" t="n">
        <v>45360</v>
      </c>
      <c r="D749" t="inlineStr">
        <is>
          <t>ÖREBRO LÄN</t>
        </is>
      </c>
      <c r="E749" t="inlineStr">
        <is>
          <t>ÖREBRO</t>
        </is>
      </c>
      <c r="G749" t="n">
        <v>3.3</v>
      </c>
      <c r="H749" t="n">
        <v>0</v>
      </c>
      <c r="I749" t="n">
        <v>0</v>
      </c>
      <c r="J749" t="n">
        <v>0</v>
      </c>
      <c r="K749" t="n">
        <v>0</v>
      </c>
      <c r="L749" t="n">
        <v>0</v>
      </c>
      <c r="M749" t="n">
        <v>0</v>
      </c>
      <c r="N749" t="n">
        <v>0</v>
      </c>
      <c r="O749" t="n">
        <v>0</v>
      </c>
      <c r="P749" t="n">
        <v>0</v>
      </c>
      <c r="Q749" t="n">
        <v>0</v>
      </c>
      <c r="R749" s="2" t="inlineStr"/>
    </row>
    <row r="750" ht="15" customHeight="1">
      <c r="A750" t="inlineStr">
        <is>
          <t>A 14487-2023</t>
        </is>
      </c>
      <c r="B750" s="1" t="n">
        <v>45012</v>
      </c>
      <c r="C750" s="1" t="n">
        <v>45360</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14543-2023</t>
        </is>
      </c>
      <c r="B751" s="1" t="n">
        <v>45013</v>
      </c>
      <c r="C751" s="1" t="n">
        <v>45360</v>
      </c>
      <c r="D751" t="inlineStr">
        <is>
          <t>ÖREBRO LÄN</t>
        </is>
      </c>
      <c r="E751" t="inlineStr">
        <is>
          <t>ÖREBRO</t>
        </is>
      </c>
      <c r="G751" t="n">
        <v>4.5</v>
      </c>
      <c r="H751" t="n">
        <v>0</v>
      </c>
      <c r="I751" t="n">
        <v>0</v>
      </c>
      <c r="J751" t="n">
        <v>0</v>
      </c>
      <c r="K751" t="n">
        <v>0</v>
      </c>
      <c r="L751" t="n">
        <v>0</v>
      </c>
      <c r="M751" t="n">
        <v>0</v>
      </c>
      <c r="N751" t="n">
        <v>0</v>
      </c>
      <c r="O751" t="n">
        <v>0</v>
      </c>
      <c r="P751" t="n">
        <v>0</v>
      </c>
      <c r="Q751" t="n">
        <v>0</v>
      </c>
      <c r="R751" s="2" t="inlineStr"/>
    </row>
    <row r="752" ht="15" customHeight="1">
      <c r="A752" t="inlineStr">
        <is>
          <t>A 14544-2023</t>
        </is>
      </c>
      <c r="B752" s="1" t="n">
        <v>45013</v>
      </c>
      <c r="C752" s="1" t="n">
        <v>45360</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14571-2023</t>
        </is>
      </c>
      <c r="B753" s="1" t="n">
        <v>45013</v>
      </c>
      <c r="C753" s="1" t="n">
        <v>45360</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14545-2023</t>
        </is>
      </c>
      <c r="B754" s="1" t="n">
        <v>45013</v>
      </c>
      <c r="C754" s="1" t="n">
        <v>45360</v>
      </c>
      <c r="D754" t="inlineStr">
        <is>
          <t>ÖREBRO LÄN</t>
        </is>
      </c>
      <c r="E754" t="inlineStr">
        <is>
          <t>ÖREBRO</t>
        </is>
      </c>
      <c r="G754" t="n">
        <v>2.5</v>
      </c>
      <c r="H754" t="n">
        <v>0</v>
      </c>
      <c r="I754" t="n">
        <v>0</v>
      </c>
      <c r="J754" t="n">
        <v>0</v>
      </c>
      <c r="K754" t="n">
        <v>0</v>
      </c>
      <c r="L754" t="n">
        <v>0</v>
      </c>
      <c r="M754" t="n">
        <v>0</v>
      </c>
      <c r="N754" t="n">
        <v>0</v>
      </c>
      <c r="O754" t="n">
        <v>0</v>
      </c>
      <c r="P754" t="n">
        <v>0</v>
      </c>
      <c r="Q754" t="n">
        <v>0</v>
      </c>
      <c r="R754" s="2" t="inlineStr"/>
    </row>
    <row r="755" ht="15" customHeight="1">
      <c r="A755" t="inlineStr">
        <is>
          <t>A 14630-2023</t>
        </is>
      </c>
      <c r="B755" s="1" t="n">
        <v>45013</v>
      </c>
      <c r="C755" s="1" t="n">
        <v>45360</v>
      </c>
      <c r="D755" t="inlineStr">
        <is>
          <t>ÖREBRO LÄN</t>
        </is>
      </c>
      <c r="E755" t="inlineStr">
        <is>
          <t>ÖREBRO</t>
        </is>
      </c>
      <c r="G755" t="n">
        <v>1.1</v>
      </c>
      <c r="H755" t="n">
        <v>0</v>
      </c>
      <c r="I755" t="n">
        <v>0</v>
      </c>
      <c r="J755" t="n">
        <v>0</v>
      </c>
      <c r="K755" t="n">
        <v>0</v>
      </c>
      <c r="L755" t="n">
        <v>0</v>
      </c>
      <c r="M755" t="n">
        <v>0</v>
      </c>
      <c r="N755" t="n">
        <v>0</v>
      </c>
      <c r="O755" t="n">
        <v>0</v>
      </c>
      <c r="P755" t="n">
        <v>0</v>
      </c>
      <c r="Q755" t="n">
        <v>0</v>
      </c>
      <c r="R755" s="2" t="inlineStr"/>
    </row>
    <row r="756" ht="15" customHeight="1">
      <c r="A756" t="inlineStr">
        <is>
          <t>A 15473-2023</t>
        </is>
      </c>
      <c r="B756" s="1" t="n">
        <v>45016</v>
      </c>
      <c r="C756" s="1" t="n">
        <v>45360</v>
      </c>
      <c r="D756" t="inlineStr">
        <is>
          <t>ÖREBRO LÄN</t>
        </is>
      </c>
      <c r="E756" t="inlineStr">
        <is>
          <t>ÖREBRO</t>
        </is>
      </c>
      <c r="G756" t="n">
        <v>3.8</v>
      </c>
      <c r="H756" t="n">
        <v>0</v>
      </c>
      <c r="I756" t="n">
        <v>0</v>
      </c>
      <c r="J756" t="n">
        <v>0</v>
      </c>
      <c r="K756" t="n">
        <v>0</v>
      </c>
      <c r="L756" t="n">
        <v>0</v>
      </c>
      <c r="M756" t="n">
        <v>0</v>
      </c>
      <c r="N756" t="n">
        <v>0</v>
      </c>
      <c r="O756" t="n">
        <v>0</v>
      </c>
      <c r="P756" t="n">
        <v>0</v>
      </c>
      <c r="Q756" t="n">
        <v>0</v>
      </c>
      <c r="R756" s="2" t="inlineStr"/>
    </row>
    <row r="757" ht="15" customHeight="1">
      <c r="A757" t="inlineStr">
        <is>
          <t>A 15679-2023</t>
        </is>
      </c>
      <c r="B757" s="1" t="n">
        <v>45021</v>
      </c>
      <c r="C757" s="1" t="n">
        <v>45360</v>
      </c>
      <c r="D757" t="inlineStr">
        <is>
          <t>ÖREBRO LÄN</t>
        </is>
      </c>
      <c r="E757" t="inlineStr">
        <is>
          <t>ÖREBRO</t>
        </is>
      </c>
      <c r="G757" t="n">
        <v>4.2</v>
      </c>
      <c r="H757" t="n">
        <v>0</v>
      </c>
      <c r="I757" t="n">
        <v>0</v>
      </c>
      <c r="J757" t="n">
        <v>0</v>
      </c>
      <c r="K757" t="n">
        <v>0</v>
      </c>
      <c r="L757" t="n">
        <v>0</v>
      </c>
      <c r="M757" t="n">
        <v>0</v>
      </c>
      <c r="N757" t="n">
        <v>0</v>
      </c>
      <c r="O757" t="n">
        <v>0</v>
      </c>
      <c r="P757" t="n">
        <v>0</v>
      </c>
      <c r="Q757" t="n">
        <v>0</v>
      </c>
      <c r="R757" s="2" t="inlineStr"/>
    </row>
    <row r="758" ht="15" customHeight="1">
      <c r="A758" t="inlineStr">
        <is>
          <t>A 15789-2023</t>
        </is>
      </c>
      <c r="B758" s="1" t="n">
        <v>45021</v>
      </c>
      <c r="C758" s="1" t="n">
        <v>45360</v>
      </c>
      <c r="D758" t="inlineStr">
        <is>
          <t>ÖREBRO LÄN</t>
        </is>
      </c>
      <c r="E758" t="inlineStr">
        <is>
          <t>ÖREBRO</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15682-2023</t>
        </is>
      </c>
      <c r="B759" s="1" t="n">
        <v>45021</v>
      </c>
      <c r="C759" s="1" t="n">
        <v>45360</v>
      </c>
      <c r="D759" t="inlineStr">
        <is>
          <t>ÖREBRO LÄN</t>
        </is>
      </c>
      <c r="E759" t="inlineStr">
        <is>
          <t>ÖREBRO</t>
        </is>
      </c>
      <c r="G759" t="n">
        <v>1.3</v>
      </c>
      <c r="H759" t="n">
        <v>0</v>
      </c>
      <c r="I759" t="n">
        <v>0</v>
      </c>
      <c r="J759" t="n">
        <v>0</v>
      </c>
      <c r="K759" t="n">
        <v>0</v>
      </c>
      <c r="L759" t="n">
        <v>0</v>
      </c>
      <c r="M759" t="n">
        <v>0</v>
      </c>
      <c r="N759" t="n">
        <v>0</v>
      </c>
      <c r="O759" t="n">
        <v>0</v>
      </c>
      <c r="P759" t="n">
        <v>0</v>
      </c>
      <c r="Q759" t="n">
        <v>0</v>
      </c>
      <c r="R759" s="2" t="inlineStr"/>
    </row>
    <row r="760" ht="15" customHeight="1">
      <c r="A760" t="inlineStr">
        <is>
          <t>A 16140-2023</t>
        </is>
      </c>
      <c r="B760" s="1" t="n">
        <v>45027</v>
      </c>
      <c r="C760" s="1" t="n">
        <v>45360</v>
      </c>
      <c r="D760" t="inlineStr">
        <is>
          <t>ÖREBRO LÄN</t>
        </is>
      </c>
      <c r="E760" t="inlineStr">
        <is>
          <t>ÖREBRO</t>
        </is>
      </c>
      <c r="G760" t="n">
        <v>2</v>
      </c>
      <c r="H760" t="n">
        <v>0</v>
      </c>
      <c r="I760" t="n">
        <v>0</v>
      </c>
      <c r="J760" t="n">
        <v>0</v>
      </c>
      <c r="K760" t="n">
        <v>0</v>
      </c>
      <c r="L760" t="n">
        <v>0</v>
      </c>
      <c r="M760" t="n">
        <v>0</v>
      </c>
      <c r="N760" t="n">
        <v>0</v>
      </c>
      <c r="O760" t="n">
        <v>0</v>
      </c>
      <c r="P760" t="n">
        <v>0</v>
      </c>
      <c r="Q760" t="n">
        <v>0</v>
      </c>
      <c r="R760" s="2" t="inlineStr"/>
    </row>
    <row r="761" ht="15" customHeight="1">
      <c r="A761" t="inlineStr">
        <is>
          <t>A 16165-2023</t>
        </is>
      </c>
      <c r="B761" s="1" t="n">
        <v>45027</v>
      </c>
      <c r="C761" s="1" t="n">
        <v>45360</v>
      </c>
      <c r="D761" t="inlineStr">
        <is>
          <t>ÖREBRO LÄN</t>
        </is>
      </c>
      <c r="E761" t="inlineStr">
        <is>
          <t>ÖREBRO</t>
        </is>
      </c>
      <c r="G761" t="n">
        <v>11</v>
      </c>
      <c r="H761" t="n">
        <v>0</v>
      </c>
      <c r="I761" t="n">
        <v>0</v>
      </c>
      <c r="J761" t="n">
        <v>0</v>
      </c>
      <c r="K761" t="n">
        <v>0</v>
      </c>
      <c r="L761" t="n">
        <v>0</v>
      </c>
      <c r="M761" t="n">
        <v>0</v>
      </c>
      <c r="N761" t="n">
        <v>0</v>
      </c>
      <c r="O761" t="n">
        <v>0</v>
      </c>
      <c r="P761" t="n">
        <v>0</v>
      </c>
      <c r="Q761" t="n">
        <v>0</v>
      </c>
      <c r="R761" s="2" t="inlineStr"/>
    </row>
    <row r="762" ht="15" customHeight="1">
      <c r="A762" t="inlineStr">
        <is>
          <t>A 16908-2023</t>
        </is>
      </c>
      <c r="B762" s="1" t="n">
        <v>45028</v>
      </c>
      <c r="C762" s="1" t="n">
        <v>45360</v>
      </c>
      <c r="D762" t="inlineStr">
        <is>
          <t>ÖREBRO LÄN</t>
        </is>
      </c>
      <c r="E762" t="inlineStr">
        <is>
          <t>ÖREBRO</t>
        </is>
      </c>
      <c r="G762" t="n">
        <v>1.4</v>
      </c>
      <c r="H762" t="n">
        <v>0</v>
      </c>
      <c r="I762" t="n">
        <v>0</v>
      </c>
      <c r="J762" t="n">
        <v>0</v>
      </c>
      <c r="K762" t="n">
        <v>0</v>
      </c>
      <c r="L762" t="n">
        <v>0</v>
      </c>
      <c r="M762" t="n">
        <v>0</v>
      </c>
      <c r="N762" t="n">
        <v>0</v>
      </c>
      <c r="O762" t="n">
        <v>0</v>
      </c>
      <c r="P762" t="n">
        <v>0</v>
      </c>
      <c r="Q762" t="n">
        <v>0</v>
      </c>
      <c r="R762" s="2" t="inlineStr"/>
    </row>
    <row r="763" ht="15" customHeight="1">
      <c r="A763" t="inlineStr">
        <is>
          <t>A 16498-2023</t>
        </is>
      </c>
      <c r="B763" s="1" t="n">
        <v>45029</v>
      </c>
      <c r="C763" s="1" t="n">
        <v>45360</v>
      </c>
      <c r="D763" t="inlineStr">
        <is>
          <t>ÖREBRO LÄN</t>
        </is>
      </c>
      <c r="E763" t="inlineStr">
        <is>
          <t>ÖREBRO</t>
        </is>
      </c>
      <c r="G763" t="n">
        <v>9.1</v>
      </c>
      <c r="H763" t="n">
        <v>0</v>
      </c>
      <c r="I763" t="n">
        <v>0</v>
      </c>
      <c r="J763" t="n">
        <v>0</v>
      </c>
      <c r="K763" t="n">
        <v>0</v>
      </c>
      <c r="L763" t="n">
        <v>0</v>
      </c>
      <c r="M763" t="n">
        <v>0</v>
      </c>
      <c r="N763" t="n">
        <v>0</v>
      </c>
      <c r="O763" t="n">
        <v>0</v>
      </c>
      <c r="P763" t="n">
        <v>0</v>
      </c>
      <c r="Q763" t="n">
        <v>0</v>
      </c>
      <c r="R763" s="2" t="inlineStr"/>
    </row>
    <row r="764" ht="15" customHeight="1">
      <c r="A764" t="inlineStr">
        <is>
          <t>A 16739-2023</t>
        </is>
      </c>
      <c r="B764" s="1" t="n">
        <v>45030</v>
      </c>
      <c r="C764" s="1" t="n">
        <v>45360</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16737-2023</t>
        </is>
      </c>
      <c r="B765" s="1" t="n">
        <v>45030</v>
      </c>
      <c r="C765" s="1" t="n">
        <v>45360</v>
      </c>
      <c r="D765" t="inlineStr">
        <is>
          <t>ÖREBRO LÄN</t>
        </is>
      </c>
      <c r="E765" t="inlineStr">
        <is>
          <t>ÖREBRO</t>
        </is>
      </c>
      <c r="G765" t="n">
        <v>1.2</v>
      </c>
      <c r="H765" t="n">
        <v>0</v>
      </c>
      <c r="I765" t="n">
        <v>0</v>
      </c>
      <c r="J765" t="n">
        <v>0</v>
      </c>
      <c r="K765" t="n">
        <v>0</v>
      </c>
      <c r="L765" t="n">
        <v>0</v>
      </c>
      <c r="M765" t="n">
        <v>0</v>
      </c>
      <c r="N765" t="n">
        <v>0</v>
      </c>
      <c r="O765" t="n">
        <v>0</v>
      </c>
      <c r="P765" t="n">
        <v>0</v>
      </c>
      <c r="Q765" t="n">
        <v>0</v>
      </c>
      <c r="R765" s="2" t="inlineStr"/>
    </row>
    <row r="766" ht="15" customHeight="1">
      <c r="A766" t="inlineStr">
        <is>
          <t>A 16736-2023</t>
        </is>
      </c>
      <c r="B766" s="1" t="n">
        <v>45030</v>
      </c>
      <c r="C766" s="1" t="n">
        <v>45360</v>
      </c>
      <c r="D766" t="inlineStr">
        <is>
          <t>ÖREBRO LÄN</t>
        </is>
      </c>
      <c r="E766" t="inlineStr">
        <is>
          <t>ÖREBRO</t>
        </is>
      </c>
      <c r="G766" t="n">
        <v>4</v>
      </c>
      <c r="H766" t="n">
        <v>0</v>
      </c>
      <c r="I766" t="n">
        <v>0</v>
      </c>
      <c r="J766" t="n">
        <v>0</v>
      </c>
      <c r="K766" t="n">
        <v>0</v>
      </c>
      <c r="L766" t="n">
        <v>0</v>
      </c>
      <c r="M766" t="n">
        <v>0</v>
      </c>
      <c r="N766" t="n">
        <v>0</v>
      </c>
      <c r="O766" t="n">
        <v>0</v>
      </c>
      <c r="P766" t="n">
        <v>0</v>
      </c>
      <c r="Q766" t="n">
        <v>0</v>
      </c>
      <c r="R766" s="2" t="inlineStr"/>
    </row>
    <row r="767" ht="15" customHeight="1">
      <c r="A767" t="inlineStr">
        <is>
          <t>A 16742-2023</t>
        </is>
      </c>
      <c r="B767" s="1" t="n">
        <v>45030</v>
      </c>
      <c r="C767" s="1" t="n">
        <v>45360</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16936-2023</t>
        </is>
      </c>
      <c r="B768" s="1" t="n">
        <v>45033</v>
      </c>
      <c r="C768" s="1" t="n">
        <v>45360</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17465-2023</t>
        </is>
      </c>
      <c r="B769" s="1" t="n">
        <v>45036</v>
      </c>
      <c r="C769" s="1" t="n">
        <v>45360</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17476-2023</t>
        </is>
      </c>
      <c r="B770" s="1" t="n">
        <v>45036</v>
      </c>
      <c r="C770" s="1" t="n">
        <v>45360</v>
      </c>
      <c r="D770" t="inlineStr">
        <is>
          <t>ÖREBRO LÄN</t>
        </is>
      </c>
      <c r="E770" t="inlineStr">
        <is>
          <t>ÖREBRO</t>
        </is>
      </c>
      <c r="G770" t="n">
        <v>2.5</v>
      </c>
      <c r="H770" t="n">
        <v>0</v>
      </c>
      <c r="I770" t="n">
        <v>0</v>
      </c>
      <c r="J770" t="n">
        <v>0</v>
      </c>
      <c r="K770" t="n">
        <v>0</v>
      </c>
      <c r="L770" t="n">
        <v>0</v>
      </c>
      <c r="M770" t="n">
        <v>0</v>
      </c>
      <c r="N770" t="n">
        <v>0</v>
      </c>
      <c r="O770" t="n">
        <v>0</v>
      </c>
      <c r="P770" t="n">
        <v>0</v>
      </c>
      <c r="Q770" t="n">
        <v>0</v>
      </c>
      <c r="R770" s="2" t="inlineStr"/>
    </row>
    <row r="771" ht="15" customHeight="1">
      <c r="A771" t="inlineStr">
        <is>
          <t>A 18047-2023</t>
        </is>
      </c>
      <c r="B771" s="1" t="n">
        <v>45040</v>
      </c>
      <c r="C771" s="1" t="n">
        <v>45360</v>
      </c>
      <c r="D771" t="inlineStr">
        <is>
          <t>ÖREBRO LÄN</t>
        </is>
      </c>
      <c r="E771" t="inlineStr">
        <is>
          <t>ÖREBRO</t>
        </is>
      </c>
      <c r="G771" t="n">
        <v>3.9</v>
      </c>
      <c r="H771" t="n">
        <v>0</v>
      </c>
      <c r="I771" t="n">
        <v>0</v>
      </c>
      <c r="J771" t="n">
        <v>0</v>
      </c>
      <c r="K771" t="n">
        <v>0</v>
      </c>
      <c r="L771" t="n">
        <v>0</v>
      </c>
      <c r="M771" t="n">
        <v>0</v>
      </c>
      <c r="N771" t="n">
        <v>0</v>
      </c>
      <c r="O771" t="n">
        <v>0</v>
      </c>
      <c r="P771" t="n">
        <v>0</v>
      </c>
      <c r="Q771" t="n">
        <v>0</v>
      </c>
      <c r="R771" s="2" t="inlineStr"/>
    </row>
    <row r="772" ht="15" customHeight="1">
      <c r="A772" t="inlineStr">
        <is>
          <t>A 18449-2023</t>
        </is>
      </c>
      <c r="B772" s="1" t="n">
        <v>45042</v>
      </c>
      <c r="C772" s="1" t="n">
        <v>45360</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18480-2023</t>
        </is>
      </c>
      <c r="B773" s="1" t="n">
        <v>45042</v>
      </c>
      <c r="C773" s="1" t="n">
        <v>45360</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18396-2023</t>
        </is>
      </c>
      <c r="B774" s="1" t="n">
        <v>45042</v>
      </c>
      <c r="C774" s="1" t="n">
        <v>45360</v>
      </c>
      <c r="D774" t="inlineStr">
        <is>
          <t>ÖREBRO LÄN</t>
        </is>
      </c>
      <c r="E774" t="inlineStr">
        <is>
          <t>ÖREBRO</t>
        </is>
      </c>
      <c r="G774" t="n">
        <v>26.8</v>
      </c>
      <c r="H774" t="n">
        <v>0</v>
      </c>
      <c r="I774" t="n">
        <v>0</v>
      </c>
      <c r="J774" t="n">
        <v>0</v>
      </c>
      <c r="K774" t="n">
        <v>0</v>
      </c>
      <c r="L774" t="n">
        <v>0</v>
      </c>
      <c r="M774" t="n">
        <v>0</v>
      </c>
      <c r="N774" t="n">
        <v>0</v>
      </c>
      <c r="O774" t="n">
        <v>0</v>
      </c>
      <c r="P774" t="n">
        <v>0</v>
      </c>
      <c r="Q774" t="n">
        <v>0</v>
      </c>
      <c r="R774" s="2" t="inlineStr"/>
    </row>
    <row r="775" ht="15" customHeight="1">
      <c r="A775" t="inlineStr">
        <is>
          <t>A 18450-2023</t>
        </is>
      </c>
      <c r="B775" s="1" t="n">
        <v>45042</v>
      </c>
      <c r="C775" s="1" t="n">
        <v>45360</v>
      </c>
      <c r="D775" t="inlineStr">
        <is>
          <t>ÖREBRO LÄN</t>
        </is>
      </c>
      <c r="E775" t="inlineStr">
        <is>
          <t>ÖREBRO</t>
        </is>
      </c>
      <c r="G775" t="n">
        <v>3.3</v>
      </c>
      <c r="H775" t="n">
        <v>0</v>
      </c>
      <c r="I775" t="n">
        <v>0</v>
      </c>
      <c r="J775" t="n">
        <v>0</v>
      </c>
      <c r="K775" t="n">
        <v>0</v>
      </c>
      <c r="L775" t="n">
        <v>0</v>
      </c>
      <c r="M775" t="n">
        <v>0</v>
      </c>
      <c r="N775" t="n">
        <v>0</v>
      </c>
      <c r="O775" t="n">
        <v>0</v>
      </c>
      <c r="P775" t="n">
        <v>0</v>
      </c>
      <c r="Q775" t="n">
        <v>0</v>
      </c>
      <c r="R775" s="2" t="inlineStr"/>
    </row>
    <row r="776" ht="15" customHeight="1">
      <c r="A776" t="inlineStr">
        <is>
          <t>A 18716-2023</t>
        </is>
      </c>
      <c r="B776" s="1" t="n">
        <v>45043</v>
      </c>
      <c r="C776" s="1" t="n">
        <v>45360</v>
      </c>
      <c r="D776" t="inlineStr">
        <is>
          <t>ÖREBRO LÄN</t>
        </is>
      </c>
      <c r="E776" t="inlineStr">
        <is>
          <t>ÖREBRO</t>
        </is>
      </c>
      <c r="G776" t="n">
        <v>0.7</v>
      </c>
      <c r="H776" t="n">
        <v>0</v>
      </c>
      <c r="I776" t="n">
        <v>0</v>
      </c>
      <c r="J776" t="n">
        <v>0</v>
      </c>
      <c r="K776" t="n">
        <v>0</v>
      </c>
      <c r="L776" t="n">
        <v>0</v>
      </c>
      <c r="M776" t="n">
        <v>0</v>
      </c>
      <c r="N776" t="n">
        <v>0</v>
      </c>
      <c r="O776" t="n">
        <v>0</v>
      </c>
      <c r="P776" t="n">
        <v>0</v>
      </c>
      <c r="Q776" t="n">
        <v>0</v>
      </c>
      <c r="R776" s="2" t="inlineStr"/>
    </row>
    <row r="777" ht="15" customHeight="1">
      <c r="A777" t="inlineStr">
        <is>
          <t>A 18747-2023</t>
        </is>
      </c>
      <c r="B777" s="1" t="n">
        <v>45043</v>
      </c>
      <c r="C777" s="1" t="n">
        <v>45360</v>
      </c>
      <c r="D777" t="inlineStr">
        <is>
          <t>ÖREBRO LÄN</t>
        </is>
      </c>
      <c r="E777" t="inlineStr">
        <is>
          <t>ÖREBRO</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19553-2023</t>
        </is>
      </c>
      <c r="B778" s="1" t="n">
        <v>45050</v>
      </c>
      <c r="C778" s="1" t="n">
        <v>45360</v>
      </c>
      <c r="D778" t="inlineStr">
        <is>
          <t>ÖREBRO LÄN</t>
        </is>
      </c>
      <c r="E778" t="inlineStr">
        <is>
          <t>ÖREBRO</t>
        </is>
      </c>
      <c r="G778" t="n">
        <v>2.1</v>
      </c>
      <c r="H778" t="n">
        <v>0</v>
      </c>
      <c r="I778" t="n">
        <v>0</v>
      </c>
      <c r="J778" t="n">
        <v>0</v>
      </c>
      <c r="K778" t="n">
        <v>0</v>
      </c>
      <c r="L778" t="n">
        <v>0</v>
      </c>
      <c r="M778" t="n">
        <v>0</v>
      </c>
      <c r="N778" t="n">
        <v>0</v>
      </c>
      <c r="O778" t="n">
        <v>0</v>
      </c>
      <c r="P778" t="n">
        <v>0</v>
      </c>
      <c r="Q778" t="n">
        <v>0</v>
      </c>
      <c r="R778" s="2" t="inlineStr"/>
    </row>
    <row r="779" ht="15" customHeight="1">
      <c r="A779" t="inlineStr">
        <is>
          <t>A 20032-2023</t>
        </is>
      </c>
      <c r="B779" s="1" t="n">
        <v>45054</v>
      </c>
      <c r="C779" s="1" t="n">
        <v>45360</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20245-2023</t>
        </is>
      </c>
      <c r="B780" s="1" t="n">
        <v>45055</v>
      </c>
      <c r="C780" s="1" t="n">
        <v>45360</v>
      </c>
      <c r="D780" t="inlineStr">
        <is>
          <t>ÖREBRO LÄN</t>
        </is>
      </c>
      <c r="E780" t="inlineStr">
        <is>
          <t>ÖREBRO</t>
        </is>
      </c>
      <c r="F780" t="inlineStr">
        <is>
          <t>Övriga Aktiebolag</t>
        </is>
      </c>
      <c r="G780" t="n">
        <v>11.7</v>
      </c>
      <c r="H780" t="n">
        <v>0</v>
      </c>
      <c r="I780" t="n">
        <v>0</v>
      </c>
      <c r="J780" t="n">
        <v>0</v>
      </c>
      <c r="K780" t="n">
        <v>0</v>
      </c>
      <c r="L780" t="n">
        <v>0</v>
      </c>
      <c r="M780" t="n">
        <v>0</v>
      </c>
      <c r="N780" t="n">
        <v>0</v>
      </c>
      <c r="O780" t="n">
        <v>0</v>
      </c>
      <c r="P780" t="n">
        <v>0</v>
      </c>
      <c r="Q780" t="n">
        <v>0</v>
      </c>
      <c r="R780" s="2" t="inlineStr"/>
    </row>
    <row r="781" ht="15" customHeight="1">
      <c r="A781" t="inlineStr">
        <is>
          <t>A 20249-2023</t>
        </is>
      </c>
      <c r="B781" s="1" t="n">
        <v>45055</v>
      </c>
      <c r="C781" s="1" t="n">
        <v>45360</v>
      </c>
      <c r="D781" t="inlineStr">
        <is>
          <t>ÖREBRO LÄN</t>
        </is>
      </c>
      <c r="E781" t="inlineStr">
        <is>
          <t>ÖREBRO</t>
        </is>
      </c>
      <c r="F781" t="inlineStr">
        <is>
          <t>Övriga Aktiebolag</t>
        </is>
      </c>
      <c r="G781" t="n">
        <v>6.7</v>
      </c>
      <c r="H781" t="n">
        <v>0</v>
      </c>
      <c r="I781" t="n">
        <v>0</v>
      </c>
      <c r="J781" t="n">
        <v>0</v>
      </c>
      <c r="K781" t="n">
        <v>0</v>
      </c>
      <c r="L781" t="n">
        <v>0</v>
      </c>
      <c r="M781" t="n">
        <v>0</v>
      </c>
      <c r="N781" t="n">
        <v>0</v>
      </c>
      <c r="O781" t="n">
        <v>0</v>
      </c>
      <c r="P781" t="n">
        <v>0</v>
      </c>
      <c r="Q781" t="n">
        <v>0</v>
      </c>
      <c r="R781" s="2" t="inlineStr"/>
    </row>
    <row r="782" ht="15" customHeight="1">
      <c r="A782" t="inlineStr">
        <is>
          <t>A 20289-2023</t>
        </is>
      </c>
      <c r="B782" s="1" t="n">
        <v>45056</v>
      </c>
      <c r="C782" s="1" t="n">
        <v>45360</v>
      </c>
      <c r="D782" t="inlineStr">
        <is>
          <t>ÖREBRO LÄN</t>
        </is>
      </c>
      <c r="E782" t="inlineStr">
        <is>
          <t>ÖREBRO</t>
        </is>
      </c>
      <c r="F782" t="inlineStr">
        <is>
          <t>Allmännings- och besparingsskogar</t>
        </is>
      </c>
      <c r="G782" t="n">
        <v>3</v>
      </c>
      <c r="H782" t="n">
        <v>0</v>
      </c>
      <c r="I782" t="n">
        <v>0</v>
      </c>
      <c r="J782" t="n">
        <v>0</v>
      </c>
      <c r="K782" t="n">
        <v>0</v>
      </c>
      <c r="L782" t="n">
        <v>0</v>
      </c>
      <c r="M782" t="n">
        <v>0</v>
      </c>
      <c r="N782" t="n">
        <v>0</v>
      </c>
      <c r="O782" t="n">
        <v>0</v>
      </c>
      <c r="P782" t="n">
        <v>0</v>
      </c>
      <c r="Q782" t="n">
        <v>0</v>
      </c>
      <c r="R782" s="2" t="inlineStr"/>
    </row>
    <row r="783" ht="15" customHeight="1">
      <c r="A783" t="inlineStr">
        <is>
          <t>A 21602-2023</t>
        </is>
      </c>
      <c r="B783" s="1" t="n">
        <v>45063</v>
      </c>
      <c r="C783" s="1" t="n">
        <v>45360</v>
      </c>
      <c r="D783" t="inlineStr">
        <is>
          <t>ÖREBRO LÄN</t>
        </is>
      </c>
      <c r="E783" t="inlineStr">
        <is>
          <t>ÖREBRO</t>
        </is>
      </c>
      <c r="G783" t="n">
        <v>1.1</v>
      </c>
      <c r="H783" t="n">
        <v>0</v>
      </c>
      <c r="I783" t="n">
        <v>0</v>
      </c>
      <c r="J783" t="n">
        <v>0</v>
      </c>
      <c r="K783" t="n">
        <v>0</v>
      </c>
      <c r="L783" t="n">
        <v>0</v>
      </c>
      <c r="M783" t="n">
        <v>0</v>
      </c>
      <c r="N783" t="n">
        <v>0</v>
      </c>
      <c r="O783" t="n">
        <v>0</v>
      </c>
      <c r="P783" t="n">
        <v>0</v>
      </c>
      <c r="Q783" t="n">
        <v>0</v>
      </c>
      <c r="R783" s="2" t="inlineStr"/>
    </row>
    <row r="784" ht="15" customHeight="1">
      <c r="A784" t="inlineStr">
        <is>
          <t>A 22079-2023</t>
        </is>
      </c>
      <c r="B784" s="1" t="n">
        <v>45069</v>
      </c>
      <c r="C784" s="1" t="n">
        <v>45360</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22047-2023</t>
        </is>
      </c>
      <c r="B785" s="1" t="n">
        <v>45069</v>
      </c>
      <c r="C785" s="1" t="n">
        <v>45360</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22298-2023</t>
        </is>
      </c>
      <c r="B786" s="1" t="n">
        <v>45070</v>
      </c>
      <c r="C786" s="1" t="n">
        <v>45360</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22451-2023</t>
        </is>
      </c>
      <c r="B787" s="1" t="n">
        <v>45070</v>
      </c>
      <c r="C787" s="1" t="n">
        <v>45360</v>
      </c>
      <c r="D787" t="inlineStr">
        <is>
          <t>ÖREBRO LÄN</t>
        </is>
      </c>
      <c r="E787" t="inlineStr">
        <is>
          <t>ÖREBRO</t>
        </is>
      </c>
      <c r="G787" t="n">
        <v>8</v>
      </c>
      <c r="H787" t="n">
        <v>0</v>
      </c>
      <c r="I787" t="n">
        <v>0</v>
      </c>
      <c r="J787" t="n">
        <v>0</v>
      </c>
      <c r="K787" t="n">
        <v>0</v>
      </c>
      <c r="L787" t="n">
        <v>0</v>
      </c>
      <c r="M787" t="n">
        <v>0</v>
      </c>
      <c r="N787" t="n">
        <v>0</v>
      </c>
      <c r="O787" t="n">
        <v>0</v>
      </c>
      <c r="P787" t="n">
        <v>0</v>
      </c>
      <c r="Q787" t="n">
        <v>0</v>
      </c>
      <c r="R787" s="2" t="inlineStr"/>
    </row>
    <row r="788" ht="15" customHeight="1">
      <c r="A788" t="inlineStr">
        <is>
          <t>A 22639-2023</t>
        </is>
      </c>
      <c r="B788" s="1" t="n">
        <v>45071</v>
      </c>
      <c r="C788" s="1" t="n">
        <v>45360</v>
      </c>
      <c r="D788" t="inlineStr">
        <is>
          <t>ÖREBRO LÄN</t>
        </is>
      </c>
      <c r="E788" t="inlineStr">
        <is>
          <t>ÖREBRO</t>
        </is>
      </c>
      <c r="G788" t="n">
        <v>3.7</v>
      </c>
      <c r="H788" t="n">
        <v>0</v>
      </c>
      <c r="I788" t="n">
        <v>0</v>
      </c>
      <c r="J788" t="n">
        <v>0</v>
      </c>
      <c r="K788" t="n">
        <v>0</v>
      </c>
      <c r="L788" t="n">
        <v>0</v>
      </c>
      <c r="M788" t="n">
        <v>0</v>
      </c>
      <c r="N788" t="n">
        <v>0</v>
      </c>
      <c r="O788" t="n">
        <v>0</v>
      </c>
      <c r="P788" t="n">
        <v>0</v>
      </c>
      <c r="Q788" t="n">
        <v>0</v>
      </c>
      <c r="R788" s="2" t="inlineStr"/>
    </row>
    <row r="789" ht="15" customHeight="1">
      <c r="A789" t="inlineStr">
        <is>
          <t>A 23179-2023</t>
        </is>
      </c>
      <c r="B789" s="1" t="n">
        <v>45075</v>
      </c>
      <c r="C789" s="1" t="n">
        <v>45360</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23573-2023</t>
        </is>
      </c>
      <c r="B790" s="1" t="n">
        <v>45077</v>
      </c>
      <c r="C790" s="1" t="n">
        <v>45360</v>
      </c>
      <c r="D790" t="inlineStr">
        <is>
          <t>ÖREBRO LÄN</t>
        </is>
      </c>
      <c r="E790" t="inlineStr">
        <is>
          <t>ÖREBRO</t>
        </is>
      </c>
      <c r="G790" t="n">
        <v>2.9</v>
      </c>
      <c r="H790" t="n">
        <v>0</v>
      </c>
      <c r="I790" t="n">
        <v>0</v>
      </c>
      <c r="J790" t="n">
        <v>0</v>
      </c>
      <c r="K790" t="n">
        <v>0</v>
      </c>
      <c r="L790" t="n">
        <v>0</v>
      </c>
      <c r="M790" t="n">
        <v>0</v>
      </c>
      <c r="N790" t="n">
        <v>0</v>
      </c>
      <c r="O790" t="n">
        <v>0</v>
      </c>
      <c r="P790" t="n">
        <v>0</v>
      </c>
      <c r="Q790" t="n">
        <v>0</v>
      </c>
      <c r="R790" s="2" t="inlineStr"/>
    </row>
    <row r="791" ht="15" customHeight="1">
      <c r="A791" t="inlineStr">
        <is>
          <t>A 23594-2023</t>
        </is>
      </c>
      <c r="B791" s="1" t="n">
        <v>45077</v>
      </c>
      <c r="C791" s="1" t="n">
        <v>45360</v>
      </c>
      <c r="D791" t="inlineStr">
        <is>
          <t>ÖREBRO LÄN</t>
        </is>
      </c>
      <c r="E791" t="inlineStr">
        <is>
          <t>ÖREBRO</t>
        </is>
      </c>
      <c r="G791" t="n">
        <v>9.9</v>
      </c>
      <c r="H791" t="n">
        <v>0</v>
      </c>
      <c r="I791" t="n">
        <v>0</v>
      </c>
      <c r="J791" t="n">
        <v>0</v>
      </c>
      <c r="K791" t="n">
        <v>0</v>
      </c>
      <c r="L791" t="n">
        <v>0</v>
      </c>
      <c r="M791" t="n">
        <v>0</v>
      </c>
      <c r="N791" t="n">
        <v>0</v>
      </c>
      <c r="O791" t="n">
        <v>0</v>
      </c>
      <c r="P791" t="n">
        <v>0</v>
      </c>
      <c r="Q791" t="n">
        <v>0</v>
      </c>
      <c r="R791" s="2" t="inlineStr"/>
    </row>
    <row r="792" ht="15" customHeight="1">
      <c r="A792" t="inlineStr">
        <is>
          <t>A 23732-2023</t>
        </is>
      </c>
      <c r="B792" s="1" t="n">
        <v>45077</v>
      </c>
      <c r="C792" s="1" t="n">
        <v>45360</v>
      </c>
      <c r="D792" t="inlineStr">
        <is>
          <t>ÖREBRO LÄN</t>
        </is>
      </c>
      <c r="E792" t="inlineStr">
        <is>
          <t>ÖREBRO</t>
        </is>
      </c>
      <c r="F792" t="inlineStr">
        <is>
          <t>Övriga Aktiebolag</t>
        </is>
      </c>
      <c r="G792" t="n">
        <v>7.4</v>
      </c>
      <c r="H792" t="n">
        <v>0</v>
      </c>
      <c r="I792" t="n">
        <v>0</v>
      </c>
      <c r="J792" t="n">
        <v>0</v>
      </c>
      <c r="K792" t="n">
        <v>0</v>
      </c>
      <c r="L792" t="n">
        <v>0</v>
      </c>
      <c r="M792" t="n">
        <v>0</v>
      </c>
      <c r="N792" t="n">
        <v>0</v>
      </c>
      <c r="O792" t="n">
        <v>0</v>
      </c>
      <c r="P792" t="n">
        <v>0</v>
      </c>
      <c r="Q792" t="n">
        <v>0</v>
      </c>
      <c r="R792" s="2" t="inlineStr"/>
    </row>
    <row r="793" ht="15" customHeight="1">
      <c r="A793" t="inlineStr">
        <is>
          <t>A 23738-2023</t>
        </is>
      </c>
      <c r="B793" s="1" t="n">
        <v>45077</v>
      </c>
      <c r="C793" s="1" t="n">
        <v>45360</v>
      </c>
      <c r="D793" t="inlineStr">
        <is>
          <t>ÖREBRO LÄN</t>
        </is>
      </c>
      <c r="E793" t="inlineStr">
        <is>
          <t>ÖREBRO</t>
        </is>
      </c>
      <c r="F793" t="inlineStr">
        <is>
          <t>Övriga Aktiebolag</t>
        </is>
      </c>
      <c r="G793" t="n">
        <v>4.7</v>
      </c>
      <c r="H793" t="n">
        <v>0</v>
      </c>
      <c r="I793" t="n">
        <v>0</v>
      </c>
      <c r="J793" t="n">
        <v>0</v>
      </c>
      <c r="K793" t="n">
        <v>0</v>
      </c>
      <c r="L793" t="n">
        <v>0</v>
      </c>
      <c r="M793" t="n">
        <v>0</v>
      </c>
      <c r="N793" t="n">
        <v>0</v>
      </c>
      <c r="O793" t="n">
        <v>0</v>
      </c>
      <c r="P793" t="n">
        <v>0</v>
      </c>
      <c r="Q793" t="n">
        <v>0</v>
      </c>
      <c r="R793" s="2" t="inlineStr"/>
    </row>
    <row r="794" ht="15" customHeight="1">
      <c r="A794" t="inlineStr">
        <is>
          <t>A 23863-2023</t>
        </is>
      </c>
      <c r="B794" s="1" t="n">
        <v>45078</v>
      </c>
      <c r="C794" s="1" t="n">
        <v>45360</v>
      </c>
      <c r="D794" t="inlineStr">
        <is>
          <t>ÖREBRO LÄN</t>
        </is>
      </c>
      <c r="E794" t="inlineStr">
        <is>
          <t>ÖREBRO</t>
        </is>
      </c>
      <c r="F794" t="inlineStr">
        <is>
          <t>Övriga Aktiebolag</t>
        </is>
      </c>
      <c r="G794" t="n">
        <v>5.9</v>
      </c>
      <c r="H794" t="n">
        <v>0</v>
      </c>
      <c r="I794" t="n">
        <v>0</v>
      </c>
      <c r="J794" t="n">
        <v>0</v>
      </c>
      <c r="K794" t="n">
        <v>0</v>
      </c>
      <c r="L794" t="n">
        <v>0</v>
      </c>
      <c r="M794" t="n">
        <v>0</v>
      </c>
      <c r="N794" t="n">
        <v>0</v>
      </c>
      <c r="O794" t="n">
        <v>0</v>
      </c>
      <c r="P794" t="n">
        <v>0</v>
      </c>
      <c r="Q794" t="n">
        <v>0</v>
      </c>
      <c r="R794" s="2" t="inlineStr"/>
    </row>
    <row r="795" ht="15" customHeight="1">
      <c r="A795" t="inlineStr">
        <is>
          <t>A 24143-2023</t>
        </is>
      </c>
      <c r="B795" s="1" t="n">
        <v>45079</v>
      </c>
      <c r="C795" s="1" t="n">
        <v>45360</v>
      </c>
      <c r="D795" t="inlineStr">
        <is>
          <t>ÖREBRO LÄN</t>
        </is>
      </c>
      <c r="E795" t="inlineStr">
        <is>
          <t>ÖREBRO</t>
        </is>
      </c>
      <c r="G795" t="n">
        <v>2</v>
      </c>
      <c r="H795" t="n">
        <v>0</v>
      </c>
      <c r="I795" t="n">
        <v>0</v>
      </c>
      <c r="J795" t="n">
        <v>0</v>
      </c>
      <c r="K795" t="n">
        <v>0</v>
      </c>
      <c r="L795" t="n">
        <v>0</v>
      </c>
      <c r="M795" t="n">
        <v>0</v>
      </c>
      <c r="N795" t="n">
        <v>0</v>
      </c>
      <c r="O795" t="n">
        <v>0</v>
      </c>
      <c r="P795" t="n">
        <v>0</v>
      </c>
      <c r="Q795" t="n">
        <v>0</v>
      </c>
      <c r="R795" s="2" t="inlineStr"/>
    </row>
    <row r="796" ht="15" customHeight="1">
      <c r="A796" t="inlineStr">
        <is>
          <t>A 25247-2023</t>
        </is>
      </c>
      <c r="B796" s="1" t="n">
        <v>45086</v>
      </c>
      <c r="C796" s="1" t="n">
        <v>45360</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25487-2023</t>
        </is>
      </c>
      <c r="B797" s="1" t="n">
        <v>45089</v>
      </c>
      <c r="C797" s="1" t="n">
        <v>45360</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26765-2023</t>
        </is>
      </c>
      <c r="B798" s="1" t="n">
        <v>45093</v>
      </c>
      <c r="C798" s="1" t="n">
        <v>45360</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27112-2023</t>
        </is>
      </c>
      <c r="B799" s="1" t="n">
        <v>45096</v>
      </c>
      <c r="C799" s="1" t="n">
        <v>45360</v>
      </c>
      <c r="D799" t="inlineStr">
        <is>
          <t>ÖREBRO LÄN</t>
        </is>
      </c>
      <c r="E799" t="inlineStr">
        <is>
          <t>ÖREBRO</t>
        </is>
      </c>
      <c r="G799" t="n">
        <v>0.7</v>
      </c>
      <c r="H799" t="n">
        <v>0</v>
      </c>
      <c r="I799" t="n">
        <v>0</v>
      </c>
      <c r="J799" t="n">
        <v>0</v>
      </c>
      <c r="K799" t="n">
        <v>0</v>
      </c>
      <c r="L799" t="n">
        <v>0</v>
      </c>
      <c r="M799" t="n">
        <v>0</v>
      </c>
      <c r="N799" t="n">
        <v>0</v>
      </c>
      <c r="O799" t="n">
        <v>0</v>
      </c>
      <c r="P799" t="n">
        <v>0</v>
      </c>
      <c r="Q799" t="n">
        <v>0</v>
      </c>
      <c r="R799" s="2" t="inlineStr"/>
    </row>
    <row r="800" ht="15" customHeight="1">
      <c r="A800" t="inlineStr">
        <is>
          <t>A 27956-2023</t>
        </is>
      </c>
      <c r="B800" s="1" t="n">
        <v>45098</v>
      </c>
      <c r="C800" s="1" t="n">
        <v>45360</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28632-2023</t>
        </is>
      </c>
      <c r="B801" s="1" t="n">
        <v>45103</v>
      </c>
      <c r="C801" s="1" t="n">
        <v>45360</v>
      </c>
      <c r="D801" t="inlineStr">
        <is>
          <t>ÖREBRO LÄN</t>
        </is>
      </c>
      <c r="E801" t="inlineStr">
        <is>
          <t>ÖREBRO</t>
        </is>
      </c>
      <c r="G801" t="n">
        <v>4.8</v>
      </c>
      <c r="H801" t="n">
        <v>0</v>
      </c>
      <c r="I801" t="n">
        <v>0</v>
      </c>
      <c r="J801" t="n">
        <v>0</v>
      </c>
      <c r="K801" t="n">
        <v>0</v>
      </c>
      <c r="L801" t="n">
        <v>0</v>
      </c>
      <c r="M801" t="n">
        <v>0</v>
      </c>
      <c r="N801" t="n">
        <v>0</v>
      </c>
      <c r="O801" t="n">
        <v>0</v>
      </c>
      <c r="P801" t="n">
        <v>0</v>
      </c>
      <c r="Q801" t="n">
        <v>0</v>
      </c>
      <c r="R801" s="2" t="inlineStr"/>
    </row>
    <row r="802" ht="15" customHeight="1">
      <c r="A802" t="inlineStr">
        <is>
          <t>A 29012-2023</t>
        </is>
      </c>
      <c r="B802" s="1" t="n">
        <v>45104</v>
      </c>
      <c r="C802" s="1" t="n">
        <v>45360</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30015-2023</t>
        </is>
      </c>
      <c r="B803" s="1" t="n">
        <v>45109</v>
      </c>
      <c r="C803" s="1" t="n">
        <v>45360</v>
      </c>
      <c r="D803" t="inlineStr">
        <is>
          <t>ÖREBRO LÄN</t>
        </is>
      </c>
      <c r="E803" t="inlineStr">
        <is>
          <t>ÖREBRO</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30362-2023</t>
        </is>
      </c>
      <c r="B804" s="1" t="n">
        <v>45111</v>
      </c>
      <c r="C804" s="1" t="n">
        <v>45360</v>
      </c>
      <c r="D804" t="inlineStr">
        <is>
          <t>ÖREBRO LÄN</t>
        </is>
      </c>
      <c r="E804" t="inlineStr">
        <is>
          <t>ÖREBRO</t>
        </is>
      </c>
      <c r="F804" t="inlineStr">
        <is>
          <t>Övriga Aktiebolag</t>
        </is>
      </c>
      <c r="G804" t="n">
        <v>6.8</v>
      </c>
      <c r="H804" t="n">
        <v>0</v>
      </c>
      <c r="I804" t="n">
        <v>0</v>
      </c>
      <c r="J804" t="n">
        <v>0</v>
      </c>
      <c r="K804" t="n">
        <v>0</v>
      </c>
      <c r="L804" t="n">
        <v>0</v>
      </c>
      <c r="M804" t="n">
        <v>0</v>
      </c>
      <c r="N804" t="n">
        <v>0</v>
      </c>
      <c r="O804" t="n">
        <v>0</v>
      </c>
      <c r="P804" t="n">
        <v>0</v>
      </c>
      <c r="Q804" t="n">
        <v>0</v>
      </c>
      <c r="R804" s="2" t="inlineStr"/>
    </row>
    <row r="805" ht="15" customHeight="1">
      <c r="A805" t="inlineStr">
        <is>
          <t>A 30403-2023</t>
        </is>
      </c>
      <c r="B805" s="1" t="n">
        <v>45111</v>
      </c>
      <c r="C805" s="1" t="n">
        <v>45360</v>
      </c>
      <c r="D805" t="inlineStr">
        <is>
          <t>ÖREBRO LÄN</t>
        </is>
      </c>
      <c r="E805" t="inlineStr">
        <is>
          <t>ÖREBRO</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30374-2023</t>
        </is>
      </c>
      <c r="B806" s="1" t="n">
        <v>45111</v>
      </c>
      <c r="C806" s="1" t="n">
        <v>45360</v>
      </c>
      <c r="D806" t="inlineStr">
        <is>
          <t>ÖREBRO LÄN</t>
        </is>
      </c>
      <c r="E806" t="inlineStr">
        <is>
          <t>ÖREBRO</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30708-2023</t>
        </is>
      </c>
      <c r="B807" s="1" t="n">
        <v>45112</v>
      </c>
      <c r="C807" s="1" t="n">
        <v>45360</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30725-2023</t>
        </is>
      </c>
      <c r="B808" s="1" t="n">
        <v>45112</v>
      </c>
      <c r="C808" s="1" t="n">
        <v>45360</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30665-2023</t>
        </is>
      </c>
      <c r="B809" s="1" t="n">
        <v>45112</v>
      </c>
      <c r="C809" s="1" t="n">
        <v>45360</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31247-2023</t>
        </is>
      </c>
      <c r="B810" s="1" t="n">
        <v>45114</v>
      </c>
      <c r="C810" s="1" t="n">
        <v>45360</v>
      </c>
      <c r="D810" t="inlineStr">
        <is>
          <t>ÖREBRO LÄN</t>
        </is>
      </c>
      <c r="E810" t="inlineStr">
        <is>
          <t>ÖREBRO</t>
        </is>
      </c>
      <c r="F810" t="inlineStr">
        <is>
          <t>Allmännings- och besparingsskogar</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31267-2023</t>
        </is>
      </c>
      <c r="B811" s="1" t="n">
        <v>45114</v>
      </c>
      <c r="C811" s="1" t="n">
        <v>45360</v>
      </c>
      <c r="D811" t="inlineStr">
        <is>
          <t>ÖREBRO LÄN</t>
        </is>
      </c>
      <c r="E811" t="inlineStr">
        <is>
          <t>ÖREBRO</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31258-2023</t>
        </is>
      </c>
      <c r="B812" s="1" t="n">
        <v>45114</v>
      </c>
      <c r="C812" s="1" t="n">
        <v>45360</v>
      </c>
      <c r="D812" t="inlineStr">
        <is>
          <t>ÖREBRO LÄN</t>
        </is>
      </c>
      <c r="E812" t="inlineStr">
        <is>
          <t>ÖREBRO</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31270-2023</t>
        </is>
      </c>
      <c r="B813" s="1" t="n">
        <v>45114</v>
      </c>
      <c r="C813" s="1" t="n">
        <v>45360</v>
      </c>
      <c r="D813" t="inlineStr">
        <is>
          <t>ÖREBRO LÄN</t>
        </is>
      </c>
      <c r="E813" t="inlineStr">
        <is>
          <t>ÖREBRO</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31240-2023</t>
        </is>
      </c>
      <c r="B814" s="1" t="n">
        <v>45114</v>
      </c>
      <c r="C814" s="1" t="n">
        <v>45360</v>
      </c>
      <c r="D814" t="inlineStr">
        <is>
          <t>ÖREBRO LÄN</t>
        </is>
      </c>
      <c r="E814" t="inlineStr">
        <is>
          <t>ÖREBRO</t>
        </is>
      </c>
      <c r="F814" t="inlineStr">
        <is>
          <t>Allmännings- och besparingsskogar</t>
        </is>
      </c>
      <c r="G814" t="n">
        <v>6.2</v>
      </c>
      <c r="H814" t="n">
        <v>0</v>
      </c>
      <c r="I814" t="n">
        <v>0</v>
      </c>
      <c r="J814" t="n">
        <v>0</v>
      </c>
      <c r="K814" t="n">
        <v>0</v>
      </c>
      <c r="L814" t="n">
        <v>0</v>
      </c>
      <c r="M814" t="n">
        <v>0</v>
      </c>
      <c r="N814" t="n">
        <v>0</v>
      </c>
      <c r="O814" t="n">
        <v>0</v>
      </c>
      <c r="P814" t="n">
        <v>0</v>
      </c>
      <c r="Q814" t="n">
        <v>0</v>
      </c>
      <c r="R814" s="2" t="inlineStr"/>
    </row>
    <row r="815" ht="15" customHeight="1">
      <c r="A815" t="inlineStr">
        <is>
          <t>A 31447-2023</t>
        </is>
      </c>
      <c r="B815" s="1" t="n">
        <v>45114</v>
      </c>
      <c r="C815" s="1" t="n">
        <v>45360</v>
      </c>
      <c r="D815" t="inlineStr">
        <is>
          <t>ÖREBRO LÄN</t>
        </is>
      </c>
      <c r="E815" t="inlineStr">
        <is>
          <t>ÖREBRO</t>
        </is>
      </c>
      <c r="F815" t="inlineStr">
        <is>
          <t>Övriga Aktiebolag</t>
        </is>
      </c>
      <c r="G815" t="n">
        <v>6.7</v>
      </c>
      <c r="H815" t="n">
        <v>0</v>
      </c>
      <c r="I815" t="n">
        <v>0</v>
      </c>
      <c r="J815" t="n">
        <v>0</v>
      </c>
      <c r="K815" t="n">
        <v>0</v>
      </c>
      <c r="L815" t="n">
        <v>0</v>
      </c>
      <c r="M815" t="n">
        <v>0</v>
      </c>
      <c r="N815" t="n">
        <v>0</v>
      </c>
      <c r="O815" t="n">
        <v>0</v>
      </c>
      <c r="P815" t="n">
        <v>0</v>
      </c>
      <c r="Q815" t="n">
        <v>0</v>
      </c>
      <c r="R815" s="2" t="inlineStr"/>
    </row>
    <row r="816" ht="15" customHeight="1">
      <c r="A816" t="inlineStr">
        <is>
          <t>A 31905-2023</t>
        </is>
      </c>
      <c r="B816" s="1" t="n">
        <v>45118</v>
      </c>
      <c r="C816" s="1" t="n">
        <v>45360</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31906-2023</t>
        </is>
      </c>
      <c r="B817" s="1" t="n">
        <v>45118</v>
      </c>
      <c r="C817" s="1" t="n">
        <v>45360</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31904-2023</t>
        </is>
      </c>
      <c r="B818" s="1" t="n">
        <v>45118</v>
      </c>
      <c r="C818" s="1" t="n">
        <v>45360</v>
      </c>
      <c r="D818" t="inlineStr">
        <is>
          <t>ÖREBRO LÄN</t>
        </is>
      </c>
      <c r="E818" t="inlineStr">
        <is>
          <t>ÖREBRO</t>
        </is>
      </c>
      <c r="G818" t="n">
        <v>2.3</v>
      </c>
      <c r="H818" t="n">
        <v>0</v>
      </c>
      <c r="I818" t="n">
        <v>0</v>
      </c>
      <c r="J818" t="n">
        <v>0</v>
      </c>
      <c r="K818" t="n">
        <v>0</v>
      </c>
      <c r="L818" t="n">
        <v>0</v>
      </c>
      <c r="M818" t="n">
        <v>0</v>
      </c>
      <c r="N818" t="n">
        <v>0</v>
      </c>
      <c r="O818" t="n">
        <v>0</v>
      </c>
      <c r="P818" t="n">
        <v>0</v>
      </c>
      <c r="Q818" t="n">
        <v>0</v>
      </c>
      <c r="R818" s="2" t="inlineStr"/>
    </row>
    <row r="819" ht="15" customHeight="1">
      <c r="A819" t="inlineStr">
        <is>
          <t>A 32113-2023</t>
        </is>
      </c>
      <c r="B819" s="1" t="n">
        <v>45119</v>
      </c>
      <c r="C819" s="1" t="n">
        <v>45360</v>
      </c>
      <c r="D819" t="inlineStr">
        <is>
          <t>ÖREBRO LÄN</t>
        </is>
      </c>
      <c r="E819" t="inlineStr">
        <is>
          <t>ÖREBRO</t>
        </is>
      </c>
      <c r="G819" t="n">
        <v>2.2</v>
      </c>
      <c r="H819" t="n">
        <v>0</v>
      </c>
      <c r="I819" t="n">
        <v>0</v>
      </c>
      <c r="J819" t="n">
        <v>0</v>
      </c>
      <c r="K819" t="n">
        <v>0</v>
      </c>
      <c r="L819" t="n">
        <v>0</v>
      </c>
      <c r="M819" t="n">
        <v>0</v>
      </c>
      <c r="N819" t="n">
        <v>0</v>
      </c>
      <c r="O819" t="n">
        <v>0</v>
      </c>
      <c r="P819" t="n">
        <v>0</v>
      </c>
      <c r="Q819" t="n">
        <v>0</v>
      </c>
      <c r="R819" s="2" t="inlineStr"/>
    </row>
    <row r="820" ht="15" customHeight="1">
      <c r="A820" t="inlineStr">
        <is>
          <t>A 32152-2023</t>
        </is>
      </c>
      <c r="B820" s="1" t="n">
        <v>45119</v>
      </c>
      <c r="C820" s="1" t="n">
        <v>45360</v>
      </c>
      <c r="D820" t="inlineStr">
        <is>
          <t>ÖREBRO LÄN</t>
        </is>
      </c>
      <c r="E820" t="inlineStr">
        <is>
          <t>ÖREBRO</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32157-2023</t>
        </is>
      </c>
      <c r="B821" s="1" t="n">
        <v>45119</v>
      </c>
      <c r="C821" s="1" t="n">
        <v>45360</v>
      </c>
      <c r="D821" t="inlineStr">
        <is>
          <t>ÖREBRO LÄN</t>
        </is>
      </c>
      <c r="E821" t="inlineStr">
        <is>
          <t>ÖREBRO</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32176-2023</t>
        </is>
      </c>
      <c r="B822" s="1" t="n">
        <v>45119</v>
      </c>
      <c r="C822" s="1" t="n">
        <v>45360</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32076-2023</t>
        </is>
      </c>
      <c r="B823" s="1" t="n">
        <v>45119</v>
      </c>
      <c r="C823" s="1" t="n">
        <v>45360</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32086-2023</t>
        </is>
      </c>
      <c r="B824" s="1" t="n">
        <v>45119</v>
      </c>
      <c r="C824" s="1" t="n">
        <v>45360</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32125-2023</t>
        </is>
      </c>
      <c r="B825" s="1" t="n">
        <v>45119</v>
      </c>
      <c r="C825" s="1" t="n">
        <v>45360</v>
      </c>
      <c r="D825" t="inlineStr">
        <is>
          <t>ÖREBRO LÄN</t>
        </is>
      </c>
      <c r="E825" t="inlineStr">
        <is>
          <t>ÖREBRO</t>
        </is>
      </c>
      <c r="G825" t="n">
        <v>10.6</v>
      </c>
      <c r="H825" t="n">
        <v>0</v>
      </c>
      <c r="I825" t="n">
        <v>0</v>
      </c>
      <c r="J825" t="n">
        <v>0</v>
      </c>
      <c r="K825" t="n">
        <v>0</v>
      </c>
      <c r="L825" t="n">
        <v>0</v>
      </c>
      <c r="M825" t="n">
        <v>0</v>
      </c>
      <c r="N825" t="n">
        <v>0</v>
      </c>
      <c r="O825" t="n">
        <v>0</v>
      </c>
      <c r="P825" t="n">
        <v>0</v>
      </c>
      <c r="Q825" t="n">
        <v>0</v>
      </c>
      <c r="R825" s="2" t="inlineStr"/>
    </row>
    <row r="826" ht="15" customHeight="1">
      <c r="A826" t="inlineStr">
        <is>
          <t>A 32067-2023</t>
        </is>
      </c>
      <c r="B826" s="1" t="n">
        <v>45119</v>
      </c>
      <c r="C826" s="1" t="n">
        <v>45360</v>
      </c>
      <c r="D826" t="inlineStr">
        <is>
          <t>ÖREBRO LÄN</t>
        </is>
      </c>
      <c r="E826" t="inlineStr">
        <is>
          <t>ÖREBRO</t>
        </is>
      </c>
      <c r="G826" t="n">
        <v>2.9</v>
      </c>
      <c r="H826" t="n">
        <v>0</v>
      </c>
      <c r="I826" t="n">
        <v>0</v>
      </c>
      <c r="J826" t="n">
        <v>0</v>
      </c>
      <c r="K826" t="n">
        <v>0</v>
      </c>
      <c r="L826" t="n">
        <v>0</v>
      </c>
      <c r="M826" t="n">
        <v>0</v>
      </c>
      <c r="N826" t="n">
        <v>0</v>
      </c>
      <c r="O826" t="n">
        <v>0</v>
      </c>
      <c r="P826" t="n">
        <v>0</v>
      </c>
      <c r="Q826" t="n">
        <v>0</v>
      </c>
      <c r="R826" s="2" t="inlineStr"/>
    </row>
    <row r="827" ht="15" customHeight="1">
      <c r="A827" t="inlineStr">
        <is>
          <t>A 32321-2023</t>
        </is>
      </c>
      <c r="B827" s="1" t="n">
        <v>45120</v>
      </c>
      <c r="C827" s="1" t="n">
        <v>45360</v>
      </c>
      <c r="D827" t="inlineStr">
        <is>
          <t>ÖREBRO LÄN</t>
        </is>
      </c>
      <c r="E827" t="inlineStr">
        <is>
          <t>ÖREBRO</t>
        </is>
      </c>
      <c r="G827" t="n">
        <v>3.4</v>
      </c>
      <c r="H827" t="n">
        <v>0</v>
      </c>
      <c r="I827" t="n">
        <v>0</v>
      </c>
      <c r="J827" t="n">
        <v>0</v>
      </c>
      <c r="K827" t="n">
        <v>0</v>
      </c>
      <c r="L827" t="n">
        <v>0</v>
      </c>
      <c r="M827" t="n">
        <v>0</v>
      </c>
      <c r="N827" t="n">
        <v>0</v>
      </c>
      <c r="O827" t="n">
        <v>0</v>
      </c>
      <c r="P827" t="n">
        <v>0</v>
      </c>
      <c r="Q827" t="n">
        <v>0</v>
      </c>
      <c r="R827" s="2" t="inlineStr"/>
    </row>
    <row r="828" ht="15" customHeight="1">
      <c r="A828" t="inlineStr">
        <is>
          <t>A 33005-2023</t>
        </is>
      </c>
      <c r="B828" s="1" t="n">
        <v>45125</v>
      </c>
      <c r="C828" s="1" t="n">
        <v>45360</v>
      </c>
      <c r="D828" t="inlineStr">
        <is>
          <t>ÖREBRO LÄN</t>
        </is>
      </c>
      <c r="E828" t="inlineStr">
        <is>
          <t>ÖREBRO</t>
        </is>
      </c>
      <c r="F828" t="inlineStr">
        <is>
          <t>Övriga Aktiebolag</t>
        </is>
      </c>
      <c r="G828" t="n">
        <v>14.9</v>
      </c>
      <c r="H828" t="n">
        <v>0</v>
      </c>
      <c r="I828" t="n">
        <v>0</v>
      </c>
      <c r="J828" t="n">
        <v>0</v>
      </c>
      <c r="K828" t="n">
        <v>0</v>
      </c>
      <c r="L828" t="n">
        <v>0</v>
      </c>
      <c r="M828" t="n">
        <v>0</v>
      </c>
      <c r="N828" t="n">
        <v>0</v>
      </c>
      <c r="O828" t="n">
        <v>0</v>
      </c>
      <c r="P828" t="n">
        <v>0</v>
      </c>
      <c r="Q828" t="n">
        <v>0</v>
      </c>
      <c r="R828" s="2" t="inlineStr"/>
    </row>
    <row r="829" ht="15" customHeight="1">
      <c r="A829" t="inlineStr">
        <is>
          <t>A 33292-2023</t>
        </is>
      </c>
      <c r="B829" s="1" t="n">
        <v>45127</v>
      </c>
      <c r="C829" s="1" t="n">
        <v>45360</v>
      </c>
      <c r="D829" t="inlineStr">
        <is>
          <t>ÖREBRO LÄN</t>
        </is>
      </c>
      <c r="E829" t="inlineStr">
        <is>
          <t>ÖREBRO</t>
        </is>
      </c>
      <c r="F829" t="inlineStr">
        <is>
          <t>Övriga Aktiebolag</t>
        </is>
      </c>
      <c r="G829" t="n">
        <v>2.1</v>
      </c>
      <c r="H829" t="n">
        <v>0</v>
      </c>
      <c r="I829" t="n">
        <v>0</v>
      </c>
      <c r="J829" t="n">
        <v>0</v>
      </c>
      <c r="K829" t="n">
        <v>0</v>
      </c>
      <c r="L829" t="n">
        <v>0</v>
      </c>
      <c r="M829" t="n">
        <v>0</v>
      </c>
      <c r="N829" t="n">
        <v>0</v>
      </c>
      <c r="O829" t="n">
        <v>0</v>
      </c>
      <c r="P829" t="n">
        <v>0</v>
      </c>
      <c r="Q829" t="n">
        <v>0</v>
      </c>
      <c r="R829" s="2" t="inlineStr"/>
    </row>
    <row r="830" ht="15" customHeight="1">
      <c r="A830" t="inlineStr">
        <is>
          <t>A 33294-2023</t>
        </is>
      </c>
      <c r="B830" s="1" t="n">
        <v>45127</v>
      </c>
      <c r="C830" s="1" t="n">
        <v>45360</v>
      </c>
      <c r="D830" t="inlineStr">
        <is>
          <t>ÖREBRO LÄN</t>
        </is>
      </c>
      <c r="E830" t="inlineStr">
        <is>
          <t>ÖREBRO</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33282-2023</t>
        </is>
      </c>
      <c r="B831" s="1" t="n">
        <v>45127</v>
      </c>
      <c r="C831" s="1" t="n">
        <v>45360</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33456-2023</t>
        </is>
      </c>
      <c r="B832" s="1" t="n">
        <v>45131</v>
      </c>
      <c r="C832" s="1" t="n">
        <v>45360</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33455-2023</t>
        </is>
      </c>
      <c r="B833" s="1" t="n">
        <v>45131</v>
      </c>
      <c r="C833" s="1" t="n">
        <v>45360</v>
      </c>
      <c r="D833" t="inlineStr">
        <is>
          <t>ÖREBRO LÄN</t>
        </is>
      </c>
      <c r="E833" t="inlineStr">
        <is>
          <t>ÖREBRO</t>
        </is>
      </c>
      <c r="G833" t="n">
        <v>0.7</v>
      </c>
      <c r="H833" t="n">
        <v>0</v>
      </c>
      <c r="I833" t="n">
        <v>0</v>
      </c>
      <c r="J833" t="n">
        <v>0</v>
      </c>
      <c r="K833" t="n">
        <v>0</v>
      </c>
      <c r="L833" t="n">
        <v>0</v>
      </c>
      <c r="M833" t="n">
        <v>0</v>
      </c>
      <c r="N833" t="n">
        <v>0</v>
      </c>
      <c r="O833" t="n">
        <v>0</v>
      </c>
      <c r="P833" t="n">
        <v>0</v>
      </c>
      <c r="Q833" t="n">
        <v>0</v>
      </c>
      <c r="R833" s="2" t="inlineStr"/>
    </row>
    <row r="834" ht="15" customHeight="1">
      <c r="A834" t="inlineStr">
        <is>
          <t>A 33457-2023</t>
        </is>
      </c>
      <c r="B834" s="1" t="n">
        <v>45131</v>
      </c>
      <c r="C834" s="1" t="n">
        <v>45360</v>
      </c>
      <c r="D834" t="inlineStr">
        <is>
          <t>ÖREBRO LÄN</t>
        </is>
      </c>
      <c r="E834" t="inlineStr">
        <is>
          <t>ÖREBRO</t>
        </is>
      </c>
      <c r="G834" t="n">
        <v>0.5</v>
      </c>
      <c r="H834" t="n">
        <v>0</v>
      </c>
      <c r="I834" t="n">
        <v>0</v>
      </c>
      <c r="J834" t="n">
        <v>0</v>
      </c>
      <c r="K834" t="n">
        <v>0</v>
      </c>
      <c r="L834" t="n">
        <v>0</v>
      </c>
      <c r="M834" t="n">
        <v>0</v>
      </c>
      <c r="N834" t="n">
        <v>0</v>
      </c>
      <c r="O834" t="n">
        <v>0</v>
      </c>
      <c r="P834" t="n">
        <v>0</v>
      </c>
      <c r="Q834" t="n">
        <v>0</v>
      </c>
      <c r="R834" s="2" t="inlineStr"/>
    </row>
    <row r="835" ht="15" customHeight="1">
      <c r="A835" t="inlineStr">
        <is>
          <t>A 33522-2023</t>
        </is>
      </c>
      <c r="B835" s="1" t="n">
        <v>45131</v>
      </c>
      <c r="C835" s="1" t="n">
        <v>45360</v>
      </c>
      <c r="D835" t="inlineStr">
        <is>
          <t>ÖREBRO LÄN</t>
        </is>
      </c>
      <c r="E835" t="inlineStr">
        <is>
          <t>ÖREBRO</t>
        </is>
      </c>
      <c r="F835" t="inlineStr">
        <is>
          <t>Övriga Aktiebolag</t>
        </is>
      </c>
      <c r="G835" t="n">
        <v>14.9</v>
      </c>
      <c r="H835" t="n">
        <v>0</v>
      </c>
      <c r="I835" t="n">
        <v>0</v>
      </c>
      <c r="J835" t="n">
        <v>0</v>
      </c>
      <c r="K835" t="n">
        <v>0</v>
      </c>
      <c r="L835" t="n">
        <v>0</v>
      </c>
      <c r="M835" t="n">
        <v>0</v>
      </c>
      <c r="N835" t="n">
        <v>0</v>
      </c>
      <c r="O835" t="n">
        <v>0</v>
      </c>
      <c r="P835" t="n">
        <v>0</v>
      </c>
      <c r="Q835" t="n">
        <v>0</v>
      </c>
      <c r="R835" s="2" t="inlineStr"/>
    </row>
    <row r="836" ht="15" customHeight="1">
      <c r="A836" t="inlineStr">
        <is>
          <t>A 33577-2023</t>
        </is>
      </c>
      <c r="B836" s="1" t="n">
        <v>45131</v>
      </c>
      <c r="C836" s="1" t="n">
        <v>45360</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33634-2023</t>
        </is>
      </c>
      <c r="B837" s="1" t="n">
        <v>45132</v>
      </c>
      <c r="C837" s="1" t="n">
        <v>45360</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33628-2023</t>
        </is>
      </c>
      <c r="B838" s="1" t="n">
        <v>45132</v>
      </c>
      <c r="C838" s="1" t="n">
        <v>45360</v>
      </c>
      <c r="D838" t="inlineStr">
        <is>
          <t>ÖREBRO LÄN</t>
        </is>
      </c>
      <c r="E838" t="inlineStr">
        <is>
          <t>ÖREBRO</t>
        </is>
      </c>
      <c r="G838" t="n">
        <v>0.8</v>
      </c>
      <c r="H838" t="n">
        <v>0</v>
      </c>
      <c r="I838" t="n">
        <v>0</v>
      </c>
      <c r="J838" t="n">
        <v>0</v>
      </c>
      <c r="K838" t="n">
        <v>0</v>
      </c>
      <c r="L838" t="n">
        <v>0</v>
      </c>
      <c r="M838" t="n">
        <v>0</v>
      </c>
      <c r="N838" t="n">
        <v>0</v>
      </c>
      <c r="O838" t="n">
        <v>0</v>
      </c>
      <c r="P838" t="n">
        <v>0</v>
      </c>
      <c r="Q838" t="n">
        <v>0</v>
      </c>
      <c r="R838" s="2" t="inlineStr"/>
    </row>
    <row r="839" ht="15" customHeight="1">
      <c r="A839" t="inlineStr">
        <is>
          <t>A 33632-2023</t>
        </is>
      </c>
      <c r="B839" s="1" t="n">
        <v>45132</v>
      </c>
      <c r="C839" s="1" t="n">
        <v>45360</v>
      </c>
      <c r="D839" t="inlineStr">
        <is>
          <t>ÖREBRO LÄN</t>
        </is>
      </c>
      <c r="E839" t="inlineStr">
        <is>
          <t>ÖREBRO</t>
        </is>
      </c>
      <c r="G839" t="n">
        <v>4.4</v>
      </c>
      <c r="H839" t="n">
        <v>0</v>
      </c>
      <c r="I839" t="n">
        <v>0</v>
      </c>
      <c r="J839" t="n">
        <v>0</v>
      </c>
      <c r="K839" t="n">
        <v>0</v>
      </c>
      <c r="L839" t="n">
        <v>0</v>
      </c>
      <c r="M839" t="n">
        <v>0</v>
      </c>
      <c r="N839" t="n">
        <v>0</v>
      </c>
      <c r="O839" t="n">
        <v>0</v>
      </c>
      <c r="P839" t="n">
        <v>0</v>
      </c>
      <c r="Q839" t="n">
        <v>0</v>
      </c>
      <c r="R839" s="2" t="inlineStr"/>
    </row>
    <row r="840" ht="15" customHeight="1">
      <c r="A840" t="inlineStr">
        <is>
          <t>A 33980-2023</t>
        </is>
      </c>
      <c r="B840" s="1" t="n">
        <v>45134</v>
      </c>
      <c r="C840" s="1" t="n">
        <v>45360</v>
      </c>
      <c r="D840" t="inlineStr">
        <is>
          <t>ÖREBRO LÄN</t>
        </is>
      </c>
      <c r="E840" t="inlineStr">
        <is>
          <t>ÖREBRO</t>
        </is>
      </c>
      <c r="F840" t="inlineStr">
        <is>
          <t>Övriga Aktiebolag</t>
        </is>
      </c>
      <c r="G840" t="n">
        <v>3.4</v>
      </c>
      <c r="H840" t="n">
        <v>0</v>
      </c>
      <c r="I840" t="n">
        <v>0</v>
      </c>
      <c r="J840" t="n">
        <v>0</v>
      </c>
      <c r="K840" t="n">
        <v>0</v>
      </c>
      <c r="L840" t="n">
        <v>0</v>
      </c>
      <c r="M840" t="n">
        <v>0</v>
      </c>
      <c r="N840" t="n">
        <v>0</v>
      </c>
      <c r="O840" t="n">
        <v>0</v>
      </c>
      <c r="P840" t="n">
        <v>0</v>
      </c>
      <c r="Q840" t="n">
        <v>0</v>
      </c>
      <c r="R840" s="2" t="inlineStr"/>
    </row>
    <row r="841" ht="15" customHeight="1">
      <c r="A841" t="inlineStr">
        <is>
          <t>A 33984-2023</t>
        </is>
      </c>
      <c r="B841" s="1" t="n">
        <v>45134</v>
      </c>
      <c r="C841" s="1" t="n">
        <v>45360</v>
      </c>
      <c r="D841" t="inlineStr">
        <is>
          <t>ÖREBRO LÄN</t>
        </is>
      </c>
      <c r="E841" t="inlineStr">
        <is>
          <t>ÖREBRO</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34056-2023</t>
        </is>
      </c>
      <c r="B842" s="1" t="n">
        <v>45135</v>
      </c>
      <c r="C842" s="1" t="n">
        <v>45360</v>
      </c>
      <c r="D842" t="inlineStr">
        <is>
          <t>ÖREBRO LÄN</t>
        </is>
      </c>
      <c r="E842" t="inlineStr">
        <is>
          <t>ÖREBRO</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34076-2023</t>
        </is>
      </c>
      <c r="B843" s="1" t="n">
        <v>45135</v>
      </c>
      <c r="C843" s="1" t="n">
        <v>45360</v>
      </c>
      <c r="D843" t="inlineStr">
        <is>
          <t>ÖREBRO LÄN</t>
        </is>
      </c>
      <c r="E843" t="inlineStr">
        <is>
          <t>ÖREBRO</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34037-2023</t>
        </is>
      </c>
      <c r="B844" s="1" t="n">
        <v>45135</v>
      </c>
      <c r="C844" s="1" t="n">
        <v>45360</v>
      </c>
      <c r="D844" t="inlineStr">
        <is>
          <t>ÖREBRO LÄN</t>
        </is>
      </c>
      <c r="E844" t="inlineStr">
        <is>
          <t>ÖREBRO</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34251-2023</t>
        </is>
      </c>
      <c r="B845" s="1" t="n">
        <v>45138</v>
      </c>
      <c r="C845" s="1" t="n">
        <v>45360</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34769-2023</t>
        </is>
      </c>
      <c r="B846" s="1" t="n">
        <v>45141</v>
      </c>
      <c r="C846" s="1" t="n">
        <v>45360</v>
      </c>
      <c r="D846" t="inlineStr">
        <is>
          <t>ÖREBRO LÄN</t>
        </is>
      </c>
      <c r="E846" t="inlineStr">
        <is>
          <t>ÖREBRO</t>
        </is>
      </c>
      <c r="G846" t="n">
        <v>0.7</v>
      </c>
      <c r="H846" t="n">
        <v>0</v>
      </c>
      <c r="I846" t="n">
        <v>0</v>
      </c>
      <c r="J846" t="n">
        <v>0</v>
      </c>
      <c r="K846" t="n">
        <v>0</v>
      </c>
      <c r="L846" t="n">
        <v>0</v>
      </c>
      <c r="M846" t="n">
        <v>0</v>
      </c>
      <c r="N846" t="n">
        <v>0</v>
      </c>
      <c r="O846" t="n">
        <v>0</v>
      </c>
      <c r="P846" t="n">
        <v>0</v>
      </c>
      <c r="Q846" t="n">
        <v>0</v>
      </c>
      <c r="R846" s="2" t="inlineStr"/>
    </row>
    <row r="847" ht="15" customHeight="1">
      <c r="A847" t="inlineStr">
        <is>
          <t>A 35187-2023</t>
        </is>
      </c>
      <c r="B847" s="1" t="n">
        <v>45145</v>
      </c>
      <c r="C847" s="1" t="n">
        <v>45360</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35707-2023</t>
        </is>
      </c>
      <c r="B848" s="1" t="n">
        <v>45147</v>
      </c>
      <c r="C848" s="1" t="n">
        <v>45360</v>
      </c>
      <c r="D848" t="inlineStr">
        <is>
          <t>ÖREBRO LÄN</t>
        </is>
      </c>
      <c r="E848" t="inlineStr">
        <is>
          <t>ÖREBRO</t>
        </is>
      </c>
      <c r="F848" t="inlineStr">
        <is>
          <t>Övriga Aktiebolag</t>
        </is>
      </c>
      <c r="G848" t="n">
        <v>2.5</v>
      </c>
      <c r="H848" t="n">
        <v>0</v>
      </c>
      <c r="I848" t="n">
        <v>0</v>
      </c>
      <c r="J848" t="n">
        <v>0</v>
      </c>
      <c r="K848" t="n">
        <v>0</v>
      </c>
      <c r="L848" t="n">
        <v>0</v>
      </c>
      <c r="M848" t="n">
        <v>0</v>
      </c>
      <c r="N848" t="n">
        <v>0</v>
      </c>
      <c r="O848" t="n">
        <v>0</v>
      </c>
      <c r="P848" t="n">
        <v>0</v>
      </c>
      <c r="Q848" t="n">
        <v>0</v>
      </c>
      <c r="R848" s="2" t="inlineStr"/>
    </row>
    <row r="849" ht="15" customHeight="1">
      <c r="A849" t="inlineStr">
        <is>
          <t>A 35717-2023</t>
        </is>
      </c>
      <c r="B849" s="1" t="n">
        <v>45147</v>
      </c>
      <c r="C849" s="1" t="n">
        <v>45360</v>
      </c>
      <c r="D849" t="inlineStr">
        <is>
          <t>ÖREBRO LÄN</t>
        </is>
      </c>
      <c r="E849" t="inlineStr">
        <is>
          <t>ÖREBRO</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36080-2023</t>
        </is>
      </c>
      <c r="B850" s="1" t="n">
        <v>45149</v>
      </c>
      <c r="C850" s="1" t="n">
        <v>45360</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36445-2023</t>
        </is>
      </c>
      <c r="B851" s="1" t="n">
        <v>45152</v>
      </c>
      <c r="C851" s="1" t="n">
        <v>45360</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36635-2023</t>
        </is>
      </c>
      <c r="B852" s="1" t="n">
        <v>45153</v>
      </c>
      <c r="C852" s="1" t="n">
        <v>45360</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38223-2023</t>
        </is>
      </c>
      <c r="B853" s="1" t="n">
        <v>45161</v>
      </c>
      <c r="C853" s="1" t="n">
        <v>45360</v>
      </c>
      <c r="D853" t="inlineStr">
        <is>
          <t>ÖREBRO LÄN</t>
        </is>
      </c>
      <c r="E853" t="inlineStr">
        <is>
          <t>ÖREBRO</t>
        </is>
      </c>
      <c r="G853" t="n">
        <v>1.9</v>
      </c>
      <c r="H853" t="n">
        <v>0</v>
      </c>
      <c r="I853" t="n">
        <v>0</v>
      </c>
      <c r="J853" t="n">
        <v>0</v>
      </c>
      <c r="K853" t="n">
        <v>0</v>
      </c>
      <c r="L853" t="n">
        <v>0</v>
      </c>
      <c r="M853" t="n">
        <v>0</v>
      </c>
      <c r="N853" t="n">
        <v>0</v>
      </c>
      <c r="O853" t="n">
        <v>0</v>
      </c>
      <c r="P853" t="n">
        <v>0</v>
      </c>
      <c r="Q853" t="n">
        <v>0</v>
      </c>
      <c r="R853" s="2" t="inlineStr"/>
    </row>
    <row r="854" ht="15" customHeight="1">
      <c r="A854" t="inlineStr">
        <is>
          <t>A 38415-2023</t>
        </is>
      </c>
      <c r="B854" s="1" t="n">
        <v>45162</v>
      </c>
      <c r="C854" s="1" t="n">
        <v>45360</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38422-2023</t>
        </is>
      </c>
      <c r="B855" s="1" t="n">
        <v>45162</v>
      </c>
      <c r="C855" s="1" t="n">
        <v>45360</v>
      </c>
      <c r="D855" t="inlineStr">
        <is>
          <t>ÖREBRO LÄN</t>
        </is>
      </c>
      <c r="E855" t="inlineStr">
        <is>
          <t>ÖREBRO</t>
        </is>
      </c>
      <c r="G855" t="n">
        <v>8</v>
      </c>
      <c r="H855" t="n">
        <v>0</v>
      </c>
      <c r="I855" t="n">
        <v>0</v>
      </c>
      <c r="J855" t="n">
        <v>0</v>
      </c>
      <c r="K855" t="n">
        <v>0</v>
      </c>
      <c r="L855" t="n">
        <v>0</v>
      </c>
      <c r="M855" t="n">
        <v>0</v>
      </c>
      <c r="N855" t="n">
        <v>0</v>
      </c>
      <c r="O855" t="n">
        <v>0</v>
      </c>
      <c r="P855" t="n">
        <v>0</v>
      </c>
      <c r="Q855" t="n">
        <v>0</v>
      </c>
      <c r="R855" s="2" t="inlineStr"/>
    </row>
    <row r="856" ht="15" customHeight="1">
      <c r="A856" t="inlineStr">
        <is>
          <t>A 38489-2023</t>
        </is>
      </c>
      <c r="B856" s="1" t="n">
        <v>45162</v>
      </c>
      <c r="C856" s="1" t="n">
        <v>45360</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38573-2023</t>
        </is>
      </c>
      <c r="B857" s="1" t="n">
        <v>45162</v>
      </c>
      <c r="C857" s="1" t="n">
        <v>45360</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38583-2023</t>
        </is>
      </c>
      <c r="B858" s="1" t="n">
        <v>45162</v>
      </c>
      <c r="C858" s="1" t="n">
        <v>45360</v>
      </c>
      <c r="D858" t="inlineStr">
        <is>
          <t>ÖREBRO LÄN</t>
        </is>
      </c>
      <c r="E858" t="inlineStr">
        <is>
          <t>ÖREBRO</t>
        </is>
      </c>
      <c r="G858" t="n">
        <v>5.7</v>
      </c>
      <c r="H858" t="n">
        <v>0</v>
      </c>
      <c r="I858" t="n">
        <v>0</v>
      </c>
      <c r="J858" t="n">
        <v>0</v>
      </c>
      <c r="K858" t="n">
        <v>0</v>
      </c>
      <c r="L858" t="n">
        <v>0</v>
      </c>
      <c r="M858" t="n">
        <v>0</v>
      </c>
      <c r="N858" t="n">
        <v>0</v>
      </c>
      <c r="O858" t="n">
        <v>0</v>
      </c>
      <c r="P858" t="n">
        <v>0</v>
      </c>
      <c r="Q858" t="n">
        <v>0</v>
      </c>
      <c r="R858" s="2" t="inlineStr"/>
    </row>
    <row r="859" ht="15" customHeight="1">
      <c r="A859" t="inlineStr">
        <is>
          <t>A 38898-2023</t>
        </is>
      </c>
      <c r="B859" s="1" t="n">
        <v>45163</v>
      </c>
      <c r="C859" s="1" t="n">
        <v>45360</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39130-2023</t>
        </is>
      </c>
      <c r="B860" s="1" t="n">
        <v>45165</v>
      </c>
      <c r="C860" s="1" t="n">
        <v>45360</v>
      </c>
      <c r="D860" t="inlineStr">
        <is>
          <t>ÖREBRO LÄN</t>
        </is>
      </c>
      <c r="E860" t="inlineStr">
        <is>
          <t>ÖREBRO</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39696-2023</t>
        </is>
      </c>
      <c r="B861" s="1" t="n">
        <v>45167</v>
      </c>
      <c r="C861" s="1" t="n">
        <v>45360</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39782-2023</t>
        </is>
      </c>
      <c r="B862" s="1" t="n">
        <v>45167</v>
      </c>
      <c r="C862" s="1" t="n">
        <v>45360</v>
      </c>
      <c r="D862" t="inlineStr">
        <is>
          <t>ÖREBRO LÄN</t>
        </is>
      </c>
      <c r="E862" t="inlineStr">
        <is>
          <t>ÖREBRO</t>
        </is>
      </c>
      <c r="G862" t="n">
        <v>1.4</v>
      </c>
      <c r="H862" t="n">
        <v>0</v>
      </c>
      <c r="I862" t="n">
        <v>0</v>
      </c>
      <c r="J862" t="n">
        <v>0</v>
      </c>
      <c r="K862" t="n">
        <v>0</v>
      </c>
      <c r="L862" t="n">
        <v>0</v>
      </c>
      <c r="M862" t="n">
        <v>0</v>
      </c>
      <c r="N862" t="n">
        <v>0</v>
      </c>
      <c r="O862" t="n">
        <v>0</v>
      </c>
      <c r="P862" t="n">
        <v>0</v>
      </c>
      <c r="Q862" t="n">
        <v>0</v>
      </c>
      <c r="R862" s="2" t="inlineStr"/>
    </row>
    <row r="863" ht="15" customHeight="1">
      <c r="A863" t="inlineStr">
        <is>
          <t>A 40656-2023</t>
        </is>
      </c>
      <c r="B863" s="1" t="n">
        <v>45170</v>
      </c>
      <c r="C863" s="1" t="n">
        <v>45360</v>
      </c>
      <c r="D863" t="inlineStr">
        <is>
          <t>ÖREBRO LÄN</t>
        </is>
      </c>
      <c r="E863" t="inlineStr">
        <is>
          <t>ÖREBRO</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41255-2023</t>
        </is>
      </c>
      <c r="B864" s="1" t="n">
        <v>45174</v>
      </c>
      <c r="C864" s="1" t="n">
        <v>45360</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41455-2023</t>
        </is>
      </c>
      <c r="B865" s="1" t="n">
        <v>45175</v>
      </c>
      <c r="C865" s="1" t="n">
        <v>45360</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41593-2023</t>
        </is>
      </c>
      <c r="B866" s="1" t="n">
        <v>45175</v>
      </c>
      <c r="C866" s="1" t="n">
        <v>45360</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41466-2023</t>
        </is>
      </c>
      <c r="B867" s="1" t="n">
        <v>45175</v>
      </c>
      <c r="C867" s="1" t="n">
        <v>45360</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41974-2023</t>
        </is>
      </c>
      <c r="B868" s="1" t="n">
        <v>45177</v>
      </c>
      <c r="C868" s="1" t="n">
        <v>45360</v>
      </c>
      <c r="D868" t="inlineStr">
        <is>
          <t>ÖREBRO LÄN</t>
        </is>
      </c>
      <c r="E868" t="inlineStr">
        <is>
          <t>ÖREBRO</t>
        </is>
      </c>
      <c r="G868" t="n">
        <v>3.4</v>
      </c>
      <c r="H868" t="n">
        <v>0</v>
      </c>
      <c r="I868" t="n">
        <v>0</v>
      </c>
      <c r="J868" t="n">
        <v>0</v>
      </c>
      <c r="K868" t="n">
        <v>0</v>
      </c>
      <c r="L868" t="n">
        <v>0</v>
      </c>
      <c r="M868" t="n">
        <v>0</v>
      </c>
      <c r="N868" t="n">
        <v>0</v>
      </c>
      <c r="O868" t="n">
        <v>0</v>
      </c>
      <c r="P868" t="n">
        <v>0</v>
      </c>
      <c r="Q868" t="n">
        <v>0</v>
      </c>
      <c r="R868" s="2" t="inlineStr"/>
    </row>
    <row r="869" ht="15" customHeight="1">
      <c r="A869" t="inlineStr">
        <is>
          <t>A 41992-2023</t>
        </is>
      </c>
      <c r="B869" s="1" t="n">
        <v>45177</v>
      </c>
      <c r="C869" s="1" t="n">
        <v>45360</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43273-2023</t>
        </is>
      </c>
      <c r="B870" s="1" t="n">
        <v>45180</v>
      </c>
      <c r="C870" s="1" t="n">
        <v>45360</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43255-2023</t>
        </is>
      </c>
      <c r="B871" s="1" t="n">
        <v>45180</v>
      </c>
      <c r="C871" s="1" t="n">
        <v>45360</v>
      </c>
      <c r="D871" t="inlineStr">
        <is>
          <t>ÖREBRO LÄN</t>
        </is>
      </c>
      <c r="E871" t="inlineStr">
        <is>
          <t>ÖREBRO</t>
        </is>
      </c>
      <c r="G871" t="n">
        <v>4.8</v>
      </c>
      <c r="H871" t="n">
        <v>0</v>
      </c>
      <c r="I871" t="n">
        <v>0</v>
      </c>
      <c r="J871" t="n">
        <v>0</v>
      </c>
      <c r="K871" t="n">
        <v>0</v>
      </c>
      <c r="L871" t="n">
        <v>0</v>
      </c>
      <c r="M871" t="n">
        <v>0</v>
      </c>
      <c r="N871" t="n">
        <v>0</v>
      </c>
      <c r="O871" t="n">
        <v>0</v>
      </c>
      <c r="P871" t="n">
        <v>0</v>
      </c>
      <c r="Q871" t="n">
        <v>0</v>
      </c>
      <c r="R871" s="2" t="inlineStr"/>
    </row>
    <row r="872" ht="15" customHeight="1">
      <c r="A872" t="inlineStr">
        <is>
          <t>A 42636-2023</t>
        </is>
      </c>
      <c r="B872" s="1" t="n">
        <v>45181</v>
      </c>
      <c r="C872" s="1" t="n">
        <v>45360</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43520-2023</t>
        </is>
      </c>
      <c r="B873" s="1" t="n">
        <v>45184</v>
      </c>
      <c r="C873" s="1" t="n">
        <v>45360</v>
      </c>
      <c r="D873" t="inlineStr">
        <is>
          <t>ÖREBRO LÄN</t>
        </is>
      </c>
      <c r="E873" t="inlineStr">
        <is>
          <t>ÖREBRO</t>
        </is>
      </c>
      <c r="G873" t="n">
        <v>5.1</v>
      </c>
      <c r="H873" t="n">
        <v>0</v>
      </c>
      <c r="I873" t="n">
        <v>0</v>
      </c>
      <c r="J873" t="n">
        <v>0</v>
      </c>
      <c r="K873" t="n">
        <v>0</v>
      </c>
      <c r="L873" t="n">
        <v>0</v>
      </c>
      <c r="M873" t="n">
        <v>0</v>
      </c>
      <c r="N873" t="n">
        <v>0</v>
      </c>
      <c r="O873" t="n">
        <v>0</v>
      </c>
      <c r="P873" t="n">
        <v>0</v>
      </c>
      <c r="Q873" t="n">
        <v>0</v>
      </c>
      <c r="R873" s="2" t="inlineStr"/>
    </row>
    <row r="874" ht="15" customHeight="1">
      <c r="A874" t="inlineStr">
        <is>
          <t>A 43803-2023</t>
        </is>
      </c>
      <c r="B874" s="1" t="n">
        <v>45187</v>
      </c>
      <c r="C874" s="1" t="n">
        <v>45360</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44511-2023</t>
        </is>
      </c>
      <c r="B875" s="1" t="n">
        <v>45189</v>
      </c>
      <c r="C875" s="1" t="n">
        <v>45360</v>
      </c>
      <c r="D875" t="inlineStr">
        <is>
          <t>ÖREBRO LÄN</t>
        </is>
      </c>
      <c r="E875" t="inlineStr">
        <is>
          <t>ÖREBRO</t>
        </is>
      </c>
      <c r="F875" t="inlineStr">
        <is>
          <t>Allmännings- och besparingsskogar</t>
        </is>
      </c>
      <c r="G875" t="n">
        <v>2.7</v>
      </c>
      <c r="H875" t="n">
        <v>0</v>
      </c>
      <c r="I875" t="n">
        <v>0</v>
      </c>
      <c r="J875" t="n">
        <v>0</v>
      </c>
      <c r="K875" t="n">
        <v>0</v>
      </c>
      <c r="L875" t="n">
        <v>0</v>
      </c>
      <c r="M875" t="n">
        <v>0</v>
      </c>
      <c r="N875" t="n">
        <v>0</v>
      </c>
      <c r="O875" t="n">
        <v>0</v>
      </c>
      <c r="P875" t="n">
        <v>0</v>
      </c>
      <c r="Q875" t="n">
        <v>0</v>
      </c>
      <c r="R875" s="2" t="inlineStr"/>
    </row>
    <row r="876" ht="15" customHeight="1">
      <c r="A876" t="inlineStr">
        <is>
          <t>A 45897-2023</t>
        </is>
      </c>
      <c r="B876" s="1" t="n">
        <v>45189</v>
      </c>
      <c r="C876" s="1" t="n">
        <v>45360</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45237-2023</t>
        </is>
      </c>
      <c r="B877" s="1" t="n">
        <v>45191</v>
      </c>
      <c r="C877" s="1" t="n">
        <v>45360</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45517-2023</t>
        </is>
      </c>
      <c r="B878" s="1" t="n">
        <v>45194</v>
      </c>
      <c r="C878" s="1" t="n">
        <v>45360</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46182-2023</t>
        </is>
      </c>
      <c r="B879" s="1" t="n">
        <v>45196</v>
      </c>
      <c r="C879" s="1" t="n">
        <v>45360</v>
      </c>
      <c r="D879" t="inlineStr">
        <is>
          <t>ÖREBRO LÄN</t>
        </is>
      </c>
      <c r="E879" t="inlineStr">
        <is>
          <t>ÖREBRO</t>
        </is>
      </c>
      <c r="G879" t="n">
        <v>1</v>
      </c>
      <c r="H879" t="n">
        <v>0</v>
      </c>
      <c r="I879" t="n">
        <v>0</v>
      </c>
      <c r="J879" t="n">
        <v>0</v>
      </c>
      <c r="K879" t="n">
        <v>0</v>
      </c>
      <c r="L879" t="n">
        <v>0</v>
      </c>
      <c r="M879" t="n">
        <v>0</v>
      </c>
      <c r="N879" t="n">
        <v>0</v>
      </c>
      <c r="O879" t="n">
        <v>0</v>
      </c>
      <c r="P879" t="n">
        <v>0</v>
      </c>
      <c r="Q879" t="n">
        <v>0</v>
      </c>
      <c r="R879" s="2" t="inlineStr"/>
    </row>
    <row r="880" ht="15" customHeight="1">
      <c r="A880" t="inlineStr">
        <is>
          <t>A 46496-2023</t>
        </is>
      </c>
      <c r="B880" s="1" t="n">
        <v>45197</v>
      </c>
      <c r="C880" s="1" t="n">
        <v>45360</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46502-2023</t>
        </is>
      </c>
      <c r="B881" s="1" t="n">
        <v>45197</v>
      </c>
      <c r="C881" s="1" t="n">
        <v>45360</v>
      </c>
      <c r="D881" t="inlineStr">
        <is>
          <t>ÖREBRO LÄN</t>
        </is>
      </c>
      <c r="E881" t="inlineStr">
        <is>
          <t>ÖREBRO</t>
        </is>
      </c>
      <c r="G881" t="n">
        <v>7.7</v>
      </c>
      <c r="H881" t="n">
        <v>0</v>
      </c>
      <c r="I881" t="n">
        <v>0</v>
      </c>
      <c r="J881" t="n">
        <v>0</v>
      </c>
      <c r="K881" t="n">
        <v>0</v>
      </c>
      <c r="L881" t="n">
        <v>0</v>
      </c>
      <c r="M881" t="n">
        <v>0</v>
      </c>
      <c r="N881" t="n">
        <v>0</v>
      </c>
      <c r="O881" t="n">
        <v>0</v>
      </c>
      <c r="P881" t="n">
        <v>0</v>
      </c>
      <c r="Q881" t="n">
        <v>0</v>
      </c>
      <c r="R881" s="2" t="inlineStr"/>
    </row>
    <row r="882" ht="15" customHeight="1">
      <c r="A882" t="inlineStr">
        <is>
          <t>A 46514-2023</t>
        </is>
      </c>
      <c r="B882" s="1" t="n">
        <v>45197</v>
      </c>
      <c r="C882" s="1" t="n">
        <v>45360</v>
      </c>
      <c r="D882" t="inlineStr">
        <is>
          <t>ÖREBRO LÄN</t>
        </is>
      </c>
      <c r="E882" t="inlineStr">
        <is>
          <t>ÖREBRO</t>
        </is>
      </c>
      <c r="G882" t="n">
        <v>10.9</v>
      </c>
      <c r="H882" t="n">
        <v>0</v>
      </c>
      <c r="I882" t="n">
        <v>0</v>
      </c>
      <c r="J882" t="n">
        <v>0</v>
      </c>
      <c r="K882" t="n">
        <v>0</v>
      </c>
      <c r="L882" t="n">
        <v>0</v>
      </c>
      <c r="M882" t="n">
        <v>0</v>
      </c>
      <c r="N882" t="n">
        <v>0</v>
      </c>
      <c r="O882" t="n">
        <v>0</v>
      </c>
      <c r="P882" t="n">
        <v>0</v>
      </c>
      <c r="Q882" t="n">
        <v>0</v>
      </c>
      <c r="R882" s="2" t="inlineStr"/>
    </row>
    <row r="883" ht="15" customHeight="1">
      <c r="A883" t="inlineStr">
        <is>
          <t>A 46518-2023</t>
        </is>
      </c>
      <c r="B883" s="1" t="n">
        <v>45197</v>
      </c>
      <c r="C883" s="1" t="n">
        <v>45360</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47193-2023</t>
        </is>
      </c>
      <c r="B884" s="1" t="n">
        <v>45202</v>
      </c>
      <c r="C884" s="1" t="n">
        <v>45360</v>
      </c>
      <c r="D884" t="inlineStr">
        <is>
          <t>ÖREBRO LÄN</t>
        </is>
      </c>
      <c r="E884" t="inlineStr">
        <is>
          <t>ÖREBRO</t>
        </is>
      </c>
      <c r="G884" t="n">
        <v>2.4</v>
      </c>
      <c r="H884" t="n">
        <v>0</v>
      </c>
      <c r="I884" t="n">
        <v>0</v>
      </c>
      <c r="J884" t="n">
        <v>0</v>
      </c>
      <c r="K884" t="n">
        <v>0</v>
      </c>
      <c r="L884" t="n">
        <v>0</v>
      </c>
      <c r="M884" t="n">
        <v>0</v>
      </c>
      <c r="N884" t="n">
        <v>0</v>
      </c>
      <c r="O884" t="n">
        <v>0</v>
      </c>
      <c r="P884" t="n">
        <v>0</v>
      </c>
      <c r="Q884" t="n">
        <v>0</v>
      </c>
      <c r="R884" s="2" t="inlineStr"/>
    </row>
    <row r="885" ht="15" customHeight="1">
      <c r="A885" t="inlineStr">
        <is>
          <t>A 48350-2023</t>
        </is>
      </c>
      <c r="B885" s="1" t="n">
        <v>45205</v>
      </c>
      <c r="C885" s="1" t="n">
        <v>45360</v>
      </c>
      <c r="D885" t="inlineStr">
        <is>
          <t>ÖREBRO LÄN</t>
        </is>
      </c>
      <c r="E885" t="inlineStr">
        <is>
          <t>ÖREBRO</t>
        </is>
      </c>
      <c r="G885" t="n">
        <v>3.2</v>
      </c>
      <c r="H885" t="n">
        <v>0</v>
      </c>
      <c r="I885" t="n">
        <v>0</v>
      </c>
      <c r="J885" t="n">
        <v>0</v>
      </c>
      <c r="K885" t="n">
        <v>0</v>
      </c>
      <c r="L885" t="n">
        <v>0</v>
      </c>
      <c r="M885" t="n">
        <v>0</v>
      </c>
      <c r="N885" t="n">
        <v>0</v>
      </c>
      <c r="O885" t="n">
        <v>0</v>
      </c>
      <c r="P885" t="n">
        <v>0</v>
      </c>
      <c r="Q885" t="n">
        <v>0</v>
      </c>
      <c r="R885" s="2" t="inlineStr"/>
    </row>
    <row r="886" ht="15" customHeight="1">
      <c r="A886" t="inlineStr">
        <is>
          <t>A 49062-2023</t>
        </is>
      </c>
      <c r="B886" s="1" t="n">
        <v>45210</v>
      </c>
      <c r="C886" s="1" t="n">
        <v>45360</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49215-2023</t>
        </is>
      </c>
      <c r="B887" s="1" t="n">
        <v>45210</v>
      </c>
      <c r="C887" s="1" t="n">
        <v>45360</v>
      </c>
      <c r="D887" t="inlineStr">
        <is>
          <t>ÖREBRO LÄN</t>
        </is>
      </c>
      <c r="E887" t="inlineStr">
        <is>
          <t>ÖREBRO</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51373-2023</t>
        </is>
      </c>
      <c r="B888" s="1" t="n">
        <v>45213</v>
      </c>
      <c r="C888" s="1" t="n">
        <v>45360</v>
      </c>
      <c r="D888" t="inlineStr">
        <is>
          <t>ÖREBRO LÄN</t>
        </is>
      </c>
      <c r="E888" t="inlineStr">
        <is>
          <t>ÖREBRO</t>
        </is>
      </c>
      <c r="G888" t="n">
        <v>5.9</v>
      </c>
      <c r="H888" t="n">
        <v>0</v>
      </c>
      <c r="I888" t="n">
        <v>0</v>
      </c>
      <c r="J888" t="n">
        <v>0</v>
      </c>
      <c r="K888" t="n">
        <v>0</v>
      </c>
      <c r="L888" t="n">
        <v>0</v>
      </c>
      <c r="M888" t="n">
        <v>0</v>
      </c>
      <c r="N888" t="n">
        <v>0</v>
      </c>
      <c r="O888" t="n">
        <v>0</v>
      </c>
      <c r="P888" t="n">
        <v>0</v>
      </c>
      <c r="Q888" t="n">
        <v>0</v>
      </c>
      <c r="R888" s="2" t="inlineStr"/>
    </row>
    <row r="889" ht="15" customHeight="1">
      <c r="A889" t="inlineStr">
        <is>
          <t>A 50450-2023</t>
        </is>
      </c>
      <c r="B889" s="1" t="n">
        <v>45216</v>
      </c>
      <c r="C889" s="1" t="n">
        <v>45360</v>
      </c>
      <c r="D889" t="inlineStr">
        <is>
          <t>ÖREBRO LÄN</t>
        </is>
      </c>
      <c r="E889" t="inlineStr">
        <is>
          <t>ÖREBRO</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50446-2023</t>
        </is>
      </c>
      <c r="B890" s="1" t="n">
        <v>45216</v>
      </c>
      <c r="C890" s="1" t="n">
        <v>45360</v>
      </c>
      <c r="D890" t="inlineStr">
        <is>
          <t>ÖREBRO LÄN</t>
        </is>
      </c>
      <c r="E890" t="inlineStr">
        <is>
          <t>ÖREBRO</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51315-2023</t>
        </is>
      </c>
      <c r="B891" s="1" t="n">
        <v>45219</v>
      </c>
      <c r="C891" s="1" t="n">
        <v>45360</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51180-2023</t>
        </is>
      </c>
      <c r="B892" s="1" t="n">
        <v>45219</v>
      </c>
      <c r="C892" s="1" t="n">
        <v>45360</v>
      </c>
      <c r="D892" t="inlineStr">
        <is>
          <t>ÖREBRO LÄN</t>
        </is>
      </c>
      <c r="E892" t="inlineStr">
        <is>
          <t>ÖREBRO</t>
        </is>
      </c>
      <c r="G892" t="n">
        <v>6.5</v>
      </c>
      <c r="H892" t="n">
        <v>0</v>
      </c>
      <c r="I892" t="n">
        <v>0</v>
      </c>
      <c r="J892" t="n">
        <v>0</v>
      </c>
      <c r="K892" t="n">
        <v>0</v>
      </c>
      <c r="L892" t="n">
        <v>0</v>
      </c>
      <c r="M892" t="n">
        <v>0</v>
      </c>
      <c r="N892" t="n">
        <v>0</v>
      </c>
      <c r="O892" t="n">
        <v>0</v>
      </c>
      <c r="P892" t="n">
        <v>0</v>
      </c>
      <c r="Q892" t="n">
        <v>0</v>
      </c>
      <c r="R892" s="2" t="inlineStr"/>
    </row>
    <row r="893" ht="15" customHeight="1">
      <c r="A893" t="inlineStr">
        <is>
          <t>A 51297-2023</t>
        </is>
      </c>
      <c r="B893" s="1" t="n">
        <v>45219</v>
      </c>
      <c r="C893" s="1" t="n">
        <v>45360</v>
      </c>
      <c r="D893" t="inlineStr">
        <is>
          <t>ÖREBRO LÄN</t>
        </is>
      </c>
      <c r="E893" t="inlineStr">
        <is>
          <t>ÖREBRO</t>
        </is>
      </c>
      <c r="G893" t="n">
        <v>3.6</v>
      </c>
      <c r="H893" t="n">
        <v>0</v>
      </c>
      <c r="I893" t="n">
        <v>0</v>
      </c>
      <c r="J893" t="n">
        <v>0</v>
      </c>
      <c r="K893" t="n">
        <v>0</v>
      </c>
      <c r="L893" t="n">
        <v>0</v>
      </c>
      <c r="M893" t="n">
        <v>0</v>
      </c>
      <c r="N893" t="n">
        <v>0</v>
      </c>
      <c r="O893" t="n">
        <v>0</v>
      </c>
      <c r="P893" t="n">
        <v>0</v>
      </c>
      <c r="Q893" t="n">
        <v>0</v>
      </c>
      <c r="R893" s="2" t="inlineStr"/>
    </row>
    <row r="894" ht="15" customHeight="1">
      <c r="A894" t="inlineStr">
        <is>
          <t>A 51327-2023</t>
        </is>
      </c>
      <c r="B894" s="1" t="n">
        <v>45219</v>
      </c>
      <c r="C894" s="1" t="n">
        <v>45360</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51331-2023</t>
        </is>
      </c>
      <c r="B895" s="1" t="n">
        <v>45219</v>
      </c>
      <c r="C895" s="1" t="n">
        <v>45360</v>
      </c>
      <c r="D895" t="inlineStr">
        <is>
          <t>ÖREBRO LÄN</t>
        </is>
      </c>
      <c r="E895" t="inlineStr">
        <is>
          <t>ÖREBRO</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51962-2023</t>
        </is>
      </c>
      <c r="B896" s="1" t="n">
        <v>45223</v>
      </c>
      <c r="C896" s="1" t="n">
        <v>45360</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52005-2023</t>
        </is>
      </c>
      <c r="B897" s="1" t="n">
        <v>45223</v>
      </c>
      <c r="C897" s="1" t="n">
        <v>45360</v>
      </c>
      <c r="D897" t="inlineStr">
        <is>
          <t>ÖREBRO LÄN</t>
        </is>
      </c>
      <c r="E897" t="inlineStr">
        <is>
          <t>ÖREBRO</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52256-2023</t>
        </is>
      </c>
      <c r="B898" s="1" t="n">
        <v>45224</v>
      </c>
      <c r="C898" s="1" t="n">
        <v>45360</v>
      </c>
      <c r="D898" t="inlineStr">
        <is>
          <t>ÖREBRO LÄN</t>
        </is>
      </c>
      <c r="E898" t="inlineStr">
        <is>
          <t>ÖREBRO</t>
        </is>
      </c>
      <c r="G898" t="n">
        <v>2.8</v>
      </c>
      <c r="H898" t="n">
        <v>0</v>
      </c>
      <c r="I898" t="n">
        <v>0</v>
      </c>
      <c r="J898" t="n">
        <v>0</v>
      </c>
      <c r="K898" t="n">
        <v>0</v>
      </c>
      <c r="L898" t="n">
        <v>0</v>
      </c>
      <c r="M898" t="n">
        <v>0</v>
      </c>
      <c r="N898" t="n">
        <v>0</v>
      </c>
      <c r="O898" t="n">
        <v>0</v>
      </c>
      <c r="P898" t="n">
        <v>0</v>
      </c>
      <c r="Q898" t="n">
        <v>0</v>
      </c>
      <c r="R898" s="2" t="inlineStr"/>
    </row>
    <row r="899" ht="15" customHeight="1">
      <c r="A899" t="inlineStr">
        <is>
          <t>A 53234-2023</t>
        </is>
      </c>
      <c r="B899" s="1" t="n">
        <v>45229</v>
      </c>
      <c r="C899" s="1" t="n">
        <v>45360</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53143-2023</t>
        </is>
      </c>
      <c r="B900" s="1" t="n">
        <v>45229</v>
      </c>
      <c r="C900" s="1" t="n">
        <v>45360</v>
      </c>
      <c r="D900" t="inlineStr">
        <is>
          <t>ÖREBRO LÄN</t>
        </is>
      </c>
      <c r="E900" t="inlineStr">
        <is>
          <t>ÖREBRO</t>
        </is>
      </c>
      <c r="G900" t="n">
        <v>3.3</v>
      </c>
      <c r="H900" t="n">
        <v>0</v>
      </c>
      <c r="I900" t="n">
        <v>0</v>
      </c>
      <c r="J900" t="n">
        <v>0</v>
      </c>
      <c r="K900" t="n">
        <v>0</v>
      </c>
      <c r="L900" t="n">
        <v>0</v>
      </c>
      <c r="M900" t="n">
        <v>0</v>
      </c>
      <c r="N900" t="n">
        <v>0</v>
      </c>
      <c r="O900" t="n">
        <v>0</v>
      </c>
      <c r="P900" t="n">
        <v>0</v>
      </c>
      <c r="Q900" t="n">
        <v>0</v>
      </c>
      <c r="R900" s="2" t="inlineStr"/>
    </row>
    <row r="901" ht="15" customHeight="1">
      <c r="A901" t="inlineStr">
        <is>
          <t>A 53170-2023</t>
        </is>
      </c>
      <c r="B901" s="1" t="n">
        <v>45229</v>
      </c>
      <c r="C901" s="1" t="n">
        <v>45360</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54925-2023</t>
        </is>
      </c>
      <c r="B902" s="1" t="n">
        <v>45229</v>
      </c>
      <c r="C902" s="1" t="n">
        <v>45360</v>
      </c>
      <c r="D902" t="inlineStr">
        <is>
          <t>ÖREBRO LÄN</t>
        </is>
      </c>
      <c r="E902" t="inlineStr">
        <is>
          <t>ÖREBRO</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54917-2023</t>
        </is>
      </c>
      <c r="B903" s="1" t="n">
        <v>45229</v>
      </c>
      <c r="C903" s="1" t="n">
        <v>45360</v>
      </c>
      <c r="D903" t="inlineStr">
        <is>
          <t>ÖREBRO LÄN</t>
        </is>
      </c>
      <c r="E903" t="inlineStr">
        <is>
          <t>ÖREBRO</t>
        </is>
      </c>
      <c r="G903" t="n">
        <v>3.1</v>
      </c>
      <c r="H903" t="n">
        <v>0</v>
      </c>
      <c r="I903" t="n">
        <v>0</v>
      </c>
      <c r="J903" t="n">
        <v>0</v>
      </c>
      <c r="K903" t="n">
        <v>0</v>
      </c>
      <c r="L903" t="n">
        <v>0</v>
      </c>
      <c r="M903" t="n">
        <v>0</v>
      </c>
      <c r="N903" t="n">
        <v>0</v>
      </c>
      <c r="O903" t="n">
        <v>0</v>
      </c>
      <c r="P903" t="n">
        <v>0</v>
      </c>
      <c r="Q903" t="n">
        <v>0</v>
      </c>
      <c r="R903" s="2" t="inlineStr"/>
    </row>
    <row r="904" ht="15" customHeight="1">
      <c r="A904" t="inlineStr">
        <is>
          <t>A 53598-2023</t>
        </is>
      </c>
      <c r="B904" s="1" t="n">
        <v>45230</v>
      </c>
      <c r="C904" s="1" t="n">
        <v>45360</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53802-2023</t>
        </is>
      </c>
      <c r="B905" s="1" t="n">
        <v>45230</v>
      </c>
      <c r="C905" s="1" t="n">
        <v>45360</v>
      </c>
      <c r="D905" t="inlineStr">
        <is>
          <t>ÖREBRO LÄN</t>
        </is>
      </c>
      <c r="E905" t="inlineStr">
        <is>
          <t>ÖREBRO</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53558-2023</t>
        </is>
      </c>
      <c r="B906" s="1" t="n">
        <v>45230</v>
      </c>
      <c r="C906" s="1" t="n">
        <v>45360</v>
      </c>
      <c r="D906" t="inlineStr">
        <is>
          <t>ÖREBRO LÄN</t>
        </is>
      </c>
      <c r="E906" t="inlineStr">
        <is>
          <t>ÖREBRO</t>
        </is>
      </c>
      <c r="F906" t="inlineStr">
        <is>
          <t>Övriga Aktiebolag</t>
        </is>
      </c>
      <c r="G906" t="n">
        <v>4.7</v>
      </c>
      <c r="H906" t="n">
        <v>0</v>
      </c>
      <c r="I906" t="n">
        <v>0</v>
      </c>
      <c r="J906" t="n">
        <v>0</v>
      </c>
      <c r="K906" t="n">
        <v>0</v>
      </c>
      <c r="L906" t="n">
        <v>0</v>
      </c>
      <c r="M906" t="n">
        <v>0</v>
      </c>
      <c r="N906" t="n">
        <v>0</v>
      </c>
      <c r="O906" t="n">
        <v>0</v>
      </c>
      <c r="P906" t="n">
        <v>0</v>
      </c>
      <c r="Q906" t="n">
        <v>0</v>
      </c>
      <c r="R906" s="2" t="inlineStr"/>
    </row>
    <row r="907" ht="15" customHeight="1">
      <c r="A907" t="inlineStr">
        <is>
          <t>A 54561-2023</t>
        </is>
      </c>
      <c r="B907" s="1" t="n">
        <v>45233</v>
      </c>
      <c r="C907" s="1" t="n">
        <v>45360</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54505-2023</t>
        </is>
      </c>
      <c r="B908" s="1" t="n">
        <v>45233</v>
      </c>
      <c r="C908" s="1" t="n">
        <v>45360</v>
      </c>
      <c r="D908" t="inlineStr">
        <is>
          <t>ÖREBRO LÄN</t>
        </is>
      </c>
      <c r="E908" t="inlineStr">
        <is>
          <t>ÖREBRO</t>
        </is>
      </c>
      <c r="F908" t="inlineStr">
        <is>
          <t>Övriga Aktiebolag</t>
        </is>
      </c>
      <c r="G908" t="n">
        <v>7.2</v>
      </c>
      <c r="H908" t="n">
        <v>0</v>
      </c>
      <c r="I908" t="n">
        <v>0</v>
      </c>
      <c r="J908" t="n">
        <v>0</v>
      </c>
      <c r="K908" t="n">
        <v>0</v>
      </c>
      <c r="L908" t="n">
        <v>0</v>
      </c>
      <c r="M908" t="n">
        <v>0</v>
      </c>
      <c r="N908" t="n">
        <v>0</v>
      </c>
      <c r="O908" t="n">
        <v>0</v>
      </c>
      <c r="P908" t="n">
        <v>0</v>
      </c>
      <c r="Q908" t="n">
        <v>0</v>
      </c>
      <c r="R908" s="2" t="inlineStr"/>
    </row>
    <row r="909" ht="15" customHeight="1">
      <c r="A909" t="inlineStr">
        <is>
          <t>A 54558-2023</t>
        </is>
      </c>
      <c r="B909" s="1" t="n">
        <v>45233</v>
      </c>
      <c r="C909" s="1" t="n">
        <v>45360</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54678-2023</t>
        </is>
      </c>
      <c r="B910" s="1" t="n">
        <v>45235</v>
      </c>
      <c r="C910" s="1" t="n">
        <v>45360</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54865-2023</t>
        </is>
      </c>
      <c r="B911" s="1" t="n">
        <v>45236</v>
      </c>
      <c r="C911" s="1" t="n">
        <v>45360</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55008-2023</t>
        </is>
      </c>
      <c r="B912" s="1" t="n">
        <v>45236</v>
      </c>
      <c r="C912" s="1" t="n">
        <v>45360</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55472-2023</t>
        </is>
      </c>
      <c r="B913" s="1" t="n">
        <v>45238</v>
      </c>
      <c r="C913" s="1" t="n">
        <v>45360</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55692-2023</t>
        </is>
      </c>
      <c r="B914" s="1" t="n">
        <v>45239</v>
      </c>
      <c r="C914" s="1" t="n">
        <v>45360</v>
      </c>
      <c r="D914" t="inlineStr">
        <is>
          <t>ÖREBRO LÄN</t>
        </is>
      </c>
      <c r="E914" t="inlineStr">
        <is>
          <t>ÖREBRO</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55745-2023</t>
        </is>
      </c>
      <c r="B915" s="1" t="n">
        <v>45239</v>
      </c>
      <c r="C915" s="1" t="n">
        <v>45360</v>
      </c>
      <c r="D915" t="inlineStr">
        <is>
          <t>ÖREBRO LÄN</t>
        </is>
      </c>
      <c r="E915" t="inlineStr">
        <is>
          <t>ÖREBRO</t>
        </is>
      </c>
      <c r="G915" t="n">
        <v>13.3</v>
      </c>
      <c r="H915" t="n">
        <v>0</v>
      </c>
      <c r="I915" t="n">
        <v>0</v>
      </c>
      <c r="J915" t="n">
        <v>0</v>
      </c>
      <c r="K915" t="n">
        <v>0</v>
      </c>
      <c r="L915" t="n">
        <v>0</v>
      </c>
      <c r="M915" t="n">
        <v>0</v>
      </c>
      <c r="N915" t="n">
        <v>0</v>
      </c>
      <c r="O915" t="n">
        <v>0</v>
      </c>
      <c r="P915" t="n">
        <v>0</v>
      </c>
      <c r="Q915" t="n">
        <v>0</v>
      </c>
      <c r="R915" s="2" t="inlineStr"/>
    </row>
    <row r="916" ht="15" customHeight="1">
      <c r="A916" t="inlineStr">
        <is>
          <t>A 57312-2023</t>
        </is>
      </c>
      <c r="B916" s="1" t="n">
        <v>45245</v>
      </c>
      <c r="C916" s="1" t="n">
        <v>45360</v>
      </c>
      <c r="D916" t="inlineStr">
        <is>
          <t>ÖREBRO LÄN</t>
        </is>
      </c>
      <c r="E916" t="inlineStr">
        <is>
          <t>ÖREBRO</t>
        </is>
      </c>
      <c r="G916" t="n">
        <v>12.5</v>
      </c>
      <c r="H916" t="n">
        <v>0</v>
      </c>
      <c r="I916" t="n">
        <v>0</v>
      </c>
      <c r="J916" t="n">
        <v>0</v>
      </c>
      <c r="K916" t="n">
        <v>0</v>
      </c>
      <c r="L916" t="n">
        <v>0</v>
      </c>
      <c r="M916" t="n">
        <v>0</v>
      </c>
      <c r="N916" t="n">
        <v>0</v>
      </c>
      <c r="O916" t="n">
        <v>0</v>
      </c>
      <c r="P916" t="n">
        <v>0</v>
      </c>
      <c r="Q916" t="n">
        <v>0</v>
      </c>
      <c r="R916" s="2" t="inlineStr"/>
    </row>
    <row r="917" ht="15" customHeight="1">
      <c r="A917" t="inlineStr">
        <is>
          <t>A 57604-2023</t>
        </is>
      </c>
      <c r="B917" s="1" t="n">
        <v>45246</v>
      </c>
      <c r="C917" s="1" t="n">
        <v>45360</v>
      </c>
      <c r="D917" t="inlineStr">
        <is>
          <t>ÖREBRO LÄN</t>
        </is>
      </c>
      <c r="E917" t="inlineStr">
        <is>
          <t>ÖREBRO</t>
        </is>
      </c>
      <c r="G917" t="n">
        <v>3.7</v>
      </c>
      <c r="H917" t="n">
        <v>0</v>
      </c>
      <c r="I917" t="n">
        <v>0</v>
      </c>
      <c r="J917" t="n">
        <v>0</v>
      </c>
      <c r="K917" t="n">
        <v>0</v>
      </c>
      <c r="L917" t="n">
        <v>0</v>
      </c>
      <c r="M917" t="n">
        <v>0</v>
      </c>
      <c r="N917" t="n">
        <v>0</v>
      </c>
      <c r="O917" t="n">
        <v>0</v>
      </c>
      <c r="P917" t="n">
        <v>0</v>
      </c>
      <c r="Q917" t="n">
        <v>0</v>
      </c>
      <c r="R917" s="2" t="inlineStr"/>
    </row>
    <row r="918" ht="15" customHeight="1">
      <c r="A918" t="inlineStr">
        <is>
          <t>A 57485-2023</t>
        </is>
      </c>
      <c r="B918" s="1" t="n">
        <v>45246</v>
      </c>
      <c r="C918" s="1" t="n">
        <v>45360</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57553-2023</t>
        </is>
      </c>
      <c r="B919" s="1" t="n">
        <v>45246</v>
      </c>
      <c r="C919" s="1" t="n">
        <v>45360</v>
      </c>
      <c r="D919" t="inlineStr">
        <is>
          <t>ÖREBRO LÄN</t>
        </is>
      </c>
      <c r="E919" t="inlineStr">
        <is>
          <t>ÖREBRO</t>
        </is>
      </c>
      <c r="G919" t="n">
        <v>4.5</v>
      </c>
      <c r="H919" t="n">
        <v>0</v>
      </c>
      <c r="I919" t="n">
        <v>0</v>
      </c>
      <c r="J919" t="n">
        <v>0</v>
      </c>
      <c r="K919" t="n">
        <v>0</v>
      </c>
      <c r="L919" t="n">
        <v>0</v>
      </c>
      <c r="M919" t="n">
        <v>0</v>
      </c>
      <c r="N919" t="n">
        <v>0</v>
      </c>
      <c r="O919" t="n">
        <v>0</v>
      </c>
      <c r="P919" t="n">
        <v>0</v>
      </c>
      <c r="Q919" t="n">
        <v>0</v>
      </c>
      <c r="R919" s="2" t="inlineStr"/>
    </row>
    <row r="920" ht="15" customHeight="1">
      <c r="A920" t="inlineStr">
        <is>
          <t>A 58032-2023</t>
        </is>
      </c>
      <c r="B920" s="1" t="n">
        <v>45247</v>
      </c>
      <c r="C920" s="1" t="n">
        <v>45360</v>
      </c>
      <c r="D920" t="inlineStr">
        <is>
          <t>ÖREBRO LÄN</t>
        </is>
      </c>
      <c r="E920" t="inlineStr">
        <is>
          <t>ÖREBRO</t>
        </is>
      </c>
      <c r="G920" t="n">
        <v>1.1</v>
      </c>
      <c r="H920" t="n">
        <v>0</v>
      </c>
      <c r="I920" t="n">
        <v>0</v>
      </c>
      <c r="J920" t="n">
        <v>0</v>
      </c>
      <c r="K920" t="n">
        <v>0</v>
      </c>
      <c r="L920" t="n">
        <v>0</v>
      </c>
      <c r="M920" t="n">
        <v>0</v>
      </c>
      <c r="N920" t="n">
        <v>0</v>
      </c>
      <c r="O920" t="n">
        <v>0</v>
      </c>
      <c r="P920" t="n">
        <v>0</v>
      </c>
      <c r="Q920" t="n">
        <v>0</v>
      </c>
      <c r="R920" s="2" t="inlineStr"/>
    </row>
    <row r="921" ht="15" customHeight="1">
      <c r="A921" t="inlineStr">
        <is>
          <t>A 58035-2023</t>
        </is>
      </c>
      <c r="B921" s="1" t="n">
        <v>45247</v>
      </c>
      <c r="C921" s="1" t="n">
        <v>45360</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58516-2023</t>
        </is>
      </c>
      <c r="B922" s="1" t="n">
        <v>45251</v>
      </c>
      <c r="C922" s="1" t="n">
        <v>45360</v>
      </c>
      <c r="D922" t="inlineStr">
        <is>
          <t>ÖREBRO LÄN</t>
        </is>
      </c>
      <c r="E922" t="inlineStr">
        <is>
          <t>ÖREBRO</t>
        </is>
      </c>
      <c r="G922" t="n">
        <v>1.4</v>
      </c>
      <c r="H922" t="n">
        <v>0</v>
      </c>
      <c r="I922" t="n">
        <v>0</v>
      </c>
      <c r="J922" t="n">
        <v>0</v>
      </c>
      <c r="K922" t="n">
        <v>0</v>
      </c>
      <c r="L922" t="n">
        <v>0</v>
      </c>
      <c r="M922" t="n">
        <v>0</v>
      </c>
      <c r="N922" t="n">
        <v>0</v>
      </c>
      <c r="O922" t="n">
        <v>0</v>
      </c>
      <c r="P922" t="n">
        <v>0</v>
      </c>
      <c r="Q922" t="n">
        <v>0</v>
      </c>
      <c r="R922" s="2" t="inlineStr"/>
    </row>
    <row r="923" ht="15" customHeight="1">
      <c r="A923" t="inlineStr">
        <is>
          <t>A 58504-2023</t>
        </is>
      </c>
      <c r="B923" s="1" t="n">
        <v>45251</v>
      </c>
      <c r="C923" s="1" t="n">
        <v>45360</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58644-2023</t>
        </is>
      </c>
      <c r="B924" s="1" t="n">
        <v>45251</v>
      </c>
      <c r="C924" s="1" t="n">
        <v>45360</v>
      </c>
      <c r="D924" t="inlineStr">
        <is>
          <t>ÖREBRO LÄN</t>
        </is>
      </c>
      <c r="E924" t="inlineStr">
        <is>
          <t>ÖREBRO</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58682-2023</t>
        </is>
      </c>
      <c r="B925" s="1" t="n">
        <v>45251</v>
      </c>
      <c r="C925" s="1" t="n">
        <v>45360</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58684-2023</t>
        </is>
      </c>
      <c r="B926" s="1" t="n">
        <v>45251</v>
      </c>
      <c r="C926" s="1" t="n">
        <v>45360</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58889-2023</t>
        </is>
      </c>
      <c r="B927" s="1" t="n">
        <v>45252</v>
      </c>
      <c r="C927" s="1" t="n">
        <v>45360</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59037-2023</t>
        </is>
      </c>
      <c r="B928" s="1" t="n">
        <v>45252</v>
      </c>
      <c r="C928" s="1" t="n">
        <v>45360</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59623-2023</t>
        </is>
      </c>
      <c r="B929" s="1" t="n">
        <v>45254</v>
      </c>
      <c r="C929" s="1" t="n">
        <v>45360</v>
      </c>
      <c r="D929" t="inlineStr">
        <is>
          <t>ÖREBRO LÄN</t>
        </is>
      </c>
      <c r="E929" t="inlineStr">
        <is>
          <t>ÖREBRO</t>
        </is>
      </c>
      <c r="G929" t="n">
        <v>4.6</v>
      </c>
      <c r="H929" t="n">
        <v>0</v>
      </c>
      <c r="I929" t="n">
        <v>0</v>
      </c>
      <c r="J929" t="n">
        <v>0</v>
      </c>
      <c r="K929" t="n">
        <v>0</v>
      </c>
      <c r="L929" t="n">
        <v>0</v>
      </c>
      <c r="M929" t="n">
        <v>0</v>
      </c>
      <c r="N929" t="n">
        <v>0</v>
      </c>
      <c r="O929" t="n">
        <v>0</v>
      </c>
      <c r="P929" t="n">
        <v>0</v>
      </c>
      <c r="Q929" t="n">
        <v>0</v>
      </c>
      <c r="R929" s="2" t="inlineStr"/>
    </row>
    <row r="930" ht="15" customHeight="1">
      <c r="A930" t="inlineStr">
        <is>
          <t>A 59736-2023</t>
        </is>
      </c>
      <c r="B930" s="1" t="n">
        <v>45257</v>
      </c>
      <c r="C930" s="1" t="n">
        <v>45360</v>
      </c>
      <c r="D930" t="inlineStr">
        <is>
          <t>ÖREBRO LÄN</t>
        </is>
      </c>
      <c r="E930" t="inlineStr">
        <is>
          <t>ÖREBRO</t>
        </is>
      </c>
      <c r="G930" t="n">
        <v>1.1</v>
      </c>
      <c r="H930" t="n">
        <v>0</v>
      </c>
      <c r="I930" t="n">
        <v>0</v>
      </c>
      <c r="J930" t="n">
        <v>0</v>
      </c>
      <c r="K930" t="n">
        <v>0</v>
      </c>
      <c r="L930" t="n">
        <v>0</v>
      </c>
      <c r="M930" t="n">
        <v>0</v>
      </c>
      <c r="N930" t="n">
        <v>0</v>
      </c>
      <c r="O930" t="n">
        <v>0</v>
      </c>
      <c r="P930" t="n">
        <v>0</v>
      </c>
      <c r="Q930" t="n">
        <v>0</v>
      </c>
      <c r="R930" s="2" t="inlineStr"/>
    </row>
    <row r="931" ht="15" customHeight="1">
      <c r="A931" t="inlineStr">
        <is>
          <t>A 59749-2023</t>
        </is>
      </c>
      <c r="B931" s="1" t="n">
        <v>45257</v>
      </c>
      <c r="C931" s="1" t="n">
        <v>45360</v>
      </c>
      <c r="D931" t="inlineStr">
        <is>
          <t>ÖREBRO LÄN</t>
        </is>
      </c>
      <c r="E931" t="inlineStr">
        <is>
          <t>ÖREBRO</t>
        </is>
      </c>
      <c r="G931" t="n">
        <v>4.4</v>
      </c>
      <c r="H931" t="n">
        <v>0</v>
      </c>
      <c r="I931" t="n">
        <v>0</v>
      </c>
      <c r="J931" t="n">
        <v>0</v>
      </c>
      <c r="K931" t="n">
        <v>0</v>
      </c>
      <c r="L931" t="n">
        <v>0</v>
      </c>
      <c r="M931" t="n">
        <v>0</v>
      </c>
      <c r="N931" t="n">
        <v>0</v>
      </c>
      <c r="O931" t="n">
        <v>0</v>
      </c>
      <c r="P931" t="n">
        <v>0</v>
      </c>
      <c r="Q931" t="n">
        <v>0</v>
      </c>
      <c r="R931" s="2" t="inlineStr"/>
    </row>
    <row r="932" ht="15" customHeight="1">
      <c r="A932" t="inlineStr">
        <is>
          <t>A 59757-2023</t>
        </is>
      </c>
      <c r="B932" s="1" t="n">
        <v>45257</v>
      </c>
      <c r="C932" s="1" t="n">
        <v>45360</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59873-2023</t>
        </is>
      </c>
      <c r="B933" s="1" t="n">
        <v>45257</v>
      </c>
      <c r="C933" s="1" t="n">
        <v>45360</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60289-2023</t>
        </is>
      </c>
      <c r="B934" s="1" t="n">
        <v>45257</v>
      </c>
      <c r="C934" s="1" t="n">
        <v>45360</v>
      </c>
      <c r="D934" t="inlineStr">
        <is>
          <t>ÖREBRO LÄN</t>
        </is>
      </c>
      <c r="E934" t="inlineStr">
        <is>
          <t>ÖREBRO</t>
        </is>
      </c>
      <c r="G934" t="n">
        <v>10.9</v>
      </c>
      <c r="H934" t="n">
        <v>0</v>
      </c>
      <c r="I934" t="n">
        <v>0</v>
      </c>
      <c r="J934" t="n">
        <v>0</v>
      </c>
      <c r="K934" t="n">
        <v>0</v>
      </c>
      <c r="L934" t="n">
        <v>0</v>
      </c>
      <c r="M934" t="n">
        <v>0</v>
      </c>
      <c r="N934" t="n">
        <v>0</v>
      </c>
      <c r="O934" t="n">
        <v>0</v>
      </c>
      <c r="P934" t="n">
        <v>0</v>
      </c>
      <c r="Q934" t="n">
        <v>0</v>
      </c>
      <c r="R934" s="2" t="inlineStr"/>
    </row>
    <row r="935" ht="15" customHeight="1">
      <c r="A935" t="inlineStr">
        <is>
          <t>A 60126-2023</t>
        </is>
      </c>
      <c r="B935" s="1" t="n">
        <v>45258</v>
      </c>
      <c r="C935" s="1" t="n">
        <v>45360</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60059-2023</t>
        </is>
      </c>
      <c r="B936" s="1" t="n">
        <v>45258</v>
      </c>
      <c r="C936" s="1" t="n">
        <v>45360</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60128-2023</t>
        </is>
      </c>
      <c r="B937" s="1" t="n">
        <v>45258</v>
      </c>
      <c r="C937" s="1" t="n">
        <v>45360</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60312-2023</t>
        </is>
      </c>
      <c r="B938" s="1" t="n">
        <v>45258</v>
      </c>
      <c r="C938" s="1" t="n">
        <v>45360</v>
      </c>
      <c r="D938" t="inlineStr">
        <is>
          <t>ÖREBRO LÄN</t>
        </is>
      </c>
      <c r="E938" t="inlineStr">
        <is>
          <t>ÖREBRO</t>
        </is>
      </c>
      <c r="G938" t="n">
        <v>2</v>
      </c>
      <c r="H938" t="n">
        <v>0</v>
      </c>
      <c r="I938" t="n">
        <v>0</v>
      </c>
      <c r="J938" t="n">
        <v>0</v>
      </c>
      <c r="K938" t="n">
        <v>0</v>
      </c>
      <c r="L938" t="n">
        <v>0</v>
      </c>
      <c r="M938" t="n">
        <v>0</v>
      </c>
      <c r="N938" t="n">
        <v>0</v>
      </c>
      <c r="O938" t="n">
        <v>0</v>
      </c>
      <c r="P938" t="n">
        <v>0</v>
      </c>
      <c r="Q938" t="n">
        <v>0</v>
      </c>
      <c r="R938" s="2" t="inlineStr"/>
    </row>
    <row r="939" ht="15" customHeight="1">
      <c r="A939" t="inlineStr">
        <is>
          <t>A 60352-2023</t>
        </is>
      </c>
      <c r="B939" s="1" t="n">
        <v>45258</v>
      </c>
      <c r="C939" s="1" t="n">
        <v>45360</v>
      </c>
      <c r="D939" t="inlineStr">
        <is>
          <t>ÖREBRO LÄN</t>
        </is>
      </c>
      <c r="E939" t="inlineStr">
        <is>
          <t>ÖREBRO</t>
        </is>
      </c>
      <c r="G939" t="n">
        <v>13.7</v>
      </c>
      <c r="H939" t="n">
        <v>0</v>
      </c>
      <c r="I939" t="n">
        <v>0</v>
      </c>
      <c r="J939" t="n">
        <v>0</v>
      </c>
      <c r="K939" t="n">
        <v>0</v>
      </c>
      <c r="L939" t="n">
        <v>0</v>
      </c>
      <c r="M939" t="n">
        <v>0</v>
      </c>
      <c r="N939" t="n">
        <v>0</v>
      </c>
      <c r="O939" t="n">
        <v>0</v>
      </c>
      <c r="P939" t="n">
        <v>0</v>
      </c>
      <c r="Q939" t="n">
        <v>0</v>
      </c>
      <c r="R939" s="2" t="inlineStr"/>
    </row>
    <row r="940" ht="15" customHeight="1">
      <c r="A940" t="inlineStr">
        <is>
          <t>A 61593-2023</t>
        </is>
      </c>
      <c r="B940" s="1" t="n">
        <v>45265</v>
      </c>
      <c r="C940" s="1" t="n">
        <v>45360</v>
      </c>
      <c r="D940" t="inlineStr">
        <is>
          <t>ÖREBRO LÄN</t>
        </is>
      </c>
      <c r="E940" t="inlineStr">
        <is>
          <t>ÖREBRO</t>
        </is>
      </c>
      <c r="G940" t="n">
        <v>2.5</v>
      </c>
      <c r="H940" t="n">
        <v>0</v>
      </c>
      <c r="I940" t="n">
        <v>0</v>
      </c>
      <c r="J940" t="n">
        <v>0</v>
      </c>
      <c r="K940" t="n">
        <v>0</v>
      </c>
      <c r="L940" t="n">
        <v>0</v>
      </c>
      <c r="M940" t="n">
        <v>0</v>
      </c>
      <c r="N940" t="n">
        <v>0</v>
      </c>
      <c r="O940" t="n">
        <v>0</v>
      </c>
      <c r="P940" t="n">
        <v>0</v>
      </c>
      <c r="Q940" t="n">
        <v>0</v>
      </c>
      <c r="R940" s="2" t="inlineStr"/>
    </row>
    <row r="941" ht="15" customHeight="1">
      <c r="A941" t="inlineStr">
        <is>
          <t>A 62511-2023</t>
        </is>
      </c>
      <c r="B941" s="1" t="n">
        <v>45268</v>
      </c>
      <c r="C941" s="1" t="n">
        <v>45360</v>
      </c>
      <c r="D941" t="inlineStr">
        <is>
          <t>ÖREBRO LÄN</t>
        </is>
      </c>
      <c r="E941" t="inlineStr">
        <is>
          <t>ÖREBRO</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62497-2023</t>
        </is>
      </c>
      <c r="B942" s="1" t="n">
        <v>45268</v>
      </c>
      <c r="C942" s="1" t="n">
        <v>45360</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62995-2023</t>
        </is>
      </c>
      <c r="B943" s="1" t="n">
        <v>45272</v>
      </c>
      <c r="C943" s="1" t="n">
        <v>45360</v>
      </c>
      <c r="D943" t="inlineStr">
        <is>
          <t>ÖREBRO LÄN</t>
        </is>
      </c>
      <c r="E943" t="inlineStr">
        <is>
          <t>ÖREBRO</t>
        </is>
      </c>
      <c r="G943" t="n">
        <v>2.6</v>
      </c>
      <c r="H943" t="n">
        <v>0</v>
      </c>
      <c r="I943" t="n">
        <v>0</v>
      </c>
      <c r="J943" t="n">
        <v>0</v>
      </c>
      <c r="K943" t="n">
        <v>0</v>
      </c>
      <c r="L943" t="n">
        <v>0</v>
      </c>
      <c r="M943" t="n">
        <v>0</v>
      </c>
      <c r="N943" t="n">
        <v>0</v>
      </c>
      <c r="O943" t="n">
        <v>0</v>
      </c>
      <c r="P943" t="n">
        <v>0</v>
      </c>
      <c r="Q943" t="n">
        <v>0</v>
      </c>
      <c r="R943" s="2" t="inlineStr"/>
    </row>
    <row r="944" ht="15" customHeight="1">
      <c r="A944" t="inlineStr">
        <is>
          <t>A 63142-2023</t>
        </is>
      </c>
      <c r="B944" s="1" t="n">
        <v>45273</v>
      </c>
      <c r="C944" s="1" t="n">
        <v>45360</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63342-2023</t>
        </is>
      </c>
      <c r="B945" s="1" t="n">
        <v>45274</v>
      </c>
      <c r="C945" s="1" t="n">
        <v>45360</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64730-2023</t>
        </is>
      </c>
      <c r="B946" s="1" t="n">
        <v>45281</v>
      </c>
      <c r="C946" s="1" t="n">
        <v>45360</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64611-2023</t>
        </is>
      </c>
      <c r="B947" s="1" t="n">
        <v>45281</v>
      </c>
      <c r="C947" s="1" t="n">
        <v>45360</v>
      </c>
      <c r="D947" t="inlineStr">
        <is>
          <t>ÖREBRO LÄN</t>
        </is>
      </c>
      <c r="E947" t="inlineStr">
        <is>
          <t>ÖREBRO</t>
        </is>
      </c>
      <c r="G947" t="n">
        <v>9.4</v>
      </c>
      <c r="H947" t="n">
        <v>0</v>
      </c>
      <c r="I947" t="n">
        <v>0</v>
      </c>
      <c r="J947" t="n">
        <v>0</v>
      </c>
      <c r="K947" t="n">
        <v>0</v>
      </c>
      <c r="L947" t="n">
        <v>0</v>
      </c>
      <c r="M947" t="n">
        <v>0</v>
      </c>
      <c r="N947" t="n">
        <v>0</v>
      </c>
      <c r="O947" t="n">
        <v>0</v>
      </c>
      <c r="P947" t="n">
        <v>0</v>
      </c>
      <c r="Q947" t="n">
        <v>0</v>
      </c>
      <c r="R947" s="2" t="inlineStr"/>
    </row>
    <row r="948" ht="15" customHeight="1">
      <c r="A948" t="inlineStr">
        <is>
          <t>A 64968-2023</t>
        </is>
      </c>
      <c r="B948" s="1" t="n">
        <v>45283</v>
      </c>
      <c r="C948" s="1" t="n">
        <v>45360</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65025-2023</t>
        </is>
      </c>
      <c r="B949" s="1" t="n">
        <v>45287</v>
      </c>
      <c r="C949" s="1" t="n">
        <v>45360</v>
      </c>
      <c r="D949" t="inlineStr">
        <is>
          <t>ÖREBRO LÄN</t>
        </is>
      </c>
      <c r="E949" t="inlineStr">
        <is>
          <t>ÖREBRO</t>
        </is>
      </c>
      <c r="G949" t="n">
        <v>8.9</v>
      </c>
      <c r="H949" t="n">
        <v>0</v>
      </c>
      <c r="I949" t="n">
        <v>0</v>
      </c>
      <c r="J949" t="n">
        <v>0</v>
      </c>
      <c r="K949" t="n">
        <v>0</v>
      </c>
      <c r="L949" t="n">
        <v>0</v>
      </c>
      <c r="M949" t="n">
        <v>0</v>
      </c>
      <c r="N949" t="n">
        <v>0</v>
      </c>
      <c r="O949" t="n">
        <v>0</v>
      </c>
      <c r="P949" t="n">
        <v>0</v>
      </c>
      <c r="Q949" t="n">
        <v>0</v>
      </c>
      <c r="R949" s="2" t="inlineStr"/>
    </row>
    <row r="950" ht="15" customHeight="1">
      <c r="A950" t="inlineStr">
        <is>
          <t>A 65256-2023</t>
        </is>
      </c>
      <c r="B950" s="1" t="n">
        <v>45290</v>
      </c>
      <c r="C950" s="1" t="n">
        <v>45360</v>
      </c>
      <c r="D950" t="inlineStr">
        <is>
          <t>ÖREBRO LÄN</t>
        </is>
      </c>
      <c r="E950" t="inlineStr">
        <is>
          <t>ÖREBRO</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65257-2023</t>
        </is>
      </c>
      <c r="B951" s="1" t="n">
        <v>45290</v>
      </c>
      <c r="C951" s="1" t="n">
        <v>45360</v>
      </c>
      <c r="D951" t="inlineStr">
        <is>
          <t>ÖREBRO LÄN</t>
        </is>
      </c>
      <c r="E951" t="inlineStr">
        <is>
          <t>ÖREBRO</t>
        </is>
      </c>
      <c r="F951" t="inlineStr">
        <is>
          <t>Övriga Aktiebolag</t>
        </is>
      </c>
      <c r="G951" t="n">
        <v>2.4</v>
      </c>
      <c r="H951" t="n">
        <v>0</v>
      </c>
      <c r="I951" t="n">
        <v>0</v>
      </c>
      <c r="J951" t="n">
        <v>0</v>
      </c>
      <c r="K951" t="n">
        <v>0</v>
      </c>
      <c r="L951" t="n">
        <v>0</v>
      </c>
      <c r="M951" t="n">
        <v>0</v>
      </c>
      <c r="N951" t="n">
        <v>0</v>
      </c>
      <c r="O951" t="n">
        <v>0</v>
      </c>
      <c r="P951" t="n">
        <v>0</v>
      </c>
      <c r="Q951" t="n">
        <v>0</v>
      </c>
      <c r="R951" s="2" t="inlineStr"/>
    </row>
    <row r="952" ht="15" customHeight="1">
      <c r="A952" t="inlineStr">
        <is>
          <t>A 3-2024</t>
        </is>
      </c>
      <c r="B952" s="1" t="n">
        <v>45292</v>
      </c>
      <c r="C952" s="1" t="n">
        <v>45360</v>
      </c>
      <c r="D952" t="inlineStr">
        <is>
          <t>ÖREBRO LÄN</t>
        </is>
      </c>
      <c r="E952" t="inlineStr">
        <is>
          <t>ÖREBRO</t>
        </is>
      </c>
      <c r="G952" t="n">
        <v>2.7</v>
      </c>
      <c r="H952" t="n">
        <v>0</v>
      </c>
      <c r="I952" t="n">
        <v>0</v>
      </c>
      <c r="J952" t="n">
        <v>0</v>
      </c>
      <c r="K952" t="n">
        <v>0</v>
      </c>
      <c r="L952" t="n">
        <v>0</v>
      </c>
      <c r="M952" t="n">
        <v>0</v>
      </c>
      <c r="N952" t="n">
        <v>0</v>
      </c>
      <c r="O952" t="n">
        <v>0</v>
      </c>
      <c r="P952" t="n">
        <v>0</v>
      </c>
      <c r="Q952" t="n">
        <v>0</v>
      </c>
      <c r="R952" s="2" t="inlineStr"/>
    </row>
    <row r="953" ht="15" customHeight="1">
      <c r="A953" t="inlineStr">
        <is>
          <t>A 187-2024</t>
        </is>
      </c>
      <c r="B953" s="1" t="n">
        <v>45294</v>
      </c>
      <c r="C953" s="1" t="n">
        <v>45360</v>
      </c>
      <c r="D953" t="inlineStr">
        <is>
          <t>ÖREBRO LÄN</t>
        </is>
      </c>
      <c r="E953" t="inlineStr">
        <is>
          <t>ÖREBRO</t>
        </is>
      </c>
      <c r="G953" t="n">
        <v>5.9</v>
      </c>
      <c r="H953" t="n">
        <v>0</v>
      </c>
      <c r="I953" t="n">
        <v>0</v>
      </c>
      <c r="J953" t="n">
        <v>0</v>
      </c>
      <c r="K953" t="n">
        <v>0</v>
      </c>
      <c r="L953" t="n">
        <v>0</v>
      </c>
      <c r="M953" t="n">
        <v>0</v>
      </c>
      <c r="N953" t="n">
        <v>0</v>
      </c>
      <c r="O953" t="n">
        <v>0</v>
      </c>
      <c r="P953" t="n">
        <v>0</v>
      </c>
      <c r="Q953" t="n">
        <v>0</v>
      </c>
      <c r="R953" s="2" t="inlineStr"/>
    </row>
    <row r="954" ht="15" customHeight="1">
      <c r="A954" t="inlineStr">
        <is>
          <t>A 190-2024</t>
        </is>
      </c>
      <c r="B954" s="1" t="n">
        <v>45294</v>
      </c>
      <c r="C954" s="1" t="n">
        <v>45360</v>
      </c>
      <c r="D954" t="inlineStr">
        <is>
          <t>ÖREBRO LÄN</t>
        </is>
      </c>
      <c r="E954" t="inlineStr">
        <is>
          <t>ÖREBRO</t>
        </is>
      </c>
      <c r="G954" t="n">
        <v>2.4</v>
      </c>
      <c r="H954" t="n">
        <v>0</v>
      </c>
      <c r="I954" t="n">
        <v>0</v>
      </c>
      <c r="J954" t="n">
        <v>0</v>
      </c>
      <c r="K954" t="n">
        <v>0</v>
      </c>
      <c r="L954" t="n">
        <v>0</v>
      </c>
      <c r="M954" t="n">
        <v>0</v>
      </c>
      <c r="N954" t="n">
        <v>0</v>
      </c>
      <c r="O954" t="n">
        <v>0</v>
      </c>
      <c r="P954" t="n">
        <v>0</v>
      </c>
      <c r="Q954" t="n">
        <v>0</v>
      </c>
      <c r="R954" s="2" t="inlineStr"/>
    </row>
    <row r="955" ht="15" customHeight="1">
      <c r="A955" t="inlineStr">
        <is>
          <t>A 575-2024</t>
        </is>
      </c>
      <c r="B955" s="1" t="n">
        <v>45299</v>
      </c>
      <c r="C955" s="1" t="n">
        <v>45360</v>
      </c>
      <c r="D955" t="inlineStr">
        <is>
          <t>ÖREBRO LÄN</t>
        </is>
      </c>
      <c r="E955" t="inlineStr">
        <is>
          <t>ÖREBRO</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587-2024</t>
        </is>
      </c>
      <c r="B956" s="1" t="n">
        <v>45299</v>
      </c>
      <c r="C956" s="1" t="n">
        <v>45360</v>
      </c>
      <c r="D956" t="inlineStr">
        <is>
          <t>ÖREBRO LÄN</t>
        </is>
      </c>
      <c r="E956" t="inlineStr">
        <is>
          <t>ÖREBRO</t>
        </is>
      </c>
      <c r="F956" t="inlineStr">
        <is>
          <t>Övriga Aktiebolag</t>
        </is>
      </c>
      <c r="G956" t="n">
        <v>6.4</v>
      </c>
      <c r="H956" t="n">
        <v>0</v>
      </c>
      <c r="I956" t="n">
        <v>0</v>
      </c>
      <c r="J956" t="n">
        <v>0</v>
      </c>
      <c r="K956" t="n">
        <v>0</v>
      </c>
      <c r="L956" t="n">
        <v>0</v>
      </c>
      <c r="M956" t="n">
        <v>0</v>
      </c>
      <c r="N956" t="n">
        <v>0</v>
      </c>
      <c r="O956" t="n">
        <v>0</v>
      </c>
      <c r="P956" t="n">
        <v>0</v>
      </c>
      <c r="Q956" t="n">
        <v>0</v>
      </c>
      <c r="R956" s="2" t="inlineStr"/>
    </row>
    <row r="957" ht="15" customHeight="1">
      <c r="A957" t="inlineStr">
        <is>
          <t>A 764-2024</t>
        </is>
      </c>
      <c r="B957" s="1" t="n">
        <v>45300</v>
      </c>
      <c r="C957" s="1" t="n">
        <v>45360</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681-2024</t>
        </is>
      </c>
      <c r="B958" s="1" t="n">
        <v>45300</v>
      </c>
      <c r="C958" s="1" t="n">
        <v>45360</v>
      </c>
      <c r="D958" t="inlineStr">
        <is>
          <t>ÖREBRO LÄN</t>
        </is>
      </c>
      <c r="E958" t="inlineStr">
        <is>
          <t>ÖREBRO</t>
        </is>
      </c>
      <c r="G958" t="n">
        <v>3.3</v>
      </c>
      <c r="H958" t="n">
        <v>0</v>
      </c>
      <c r="I958" t="n">
        <v>0</v>
      </c>
      <c r="J958" t="n">
        <v>0</v>
      </c>
      <c r="K958" t="n">
        <v>0</v>
      </c>
      <c r="L958" t="n">
        <v>0</v>
      </c>
      <c r="M958" t="n">
        <v>0</v>
      </c>
      <c r="N958" t="n">
        <v>0</v>
      </c>
      <c r="O958" t="n">
        <v>0</v>
      </c>
      <c r="P958" t="n">
        <v>0</v>
      </c>
      <c r="Q958" t="n">
        <v>0</v>
      </c>
      <c r="R958" s="2" t="inlineStr"/>
    </row>
    <row r="959" ht="15" customHeight="1">
      <c r="A959" t="inlineStr">
        <is>
          <t>A 767-2024</t>
        </is>
      </c>
      <c r="B959" s="1" t="n">
        <v>45300</v>
      </c>
      <c r="C959" s="1" t="n">
        <v>45360</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1014-2024</t>
        </is>
      </c>
      <c r="B960" s="1" t="n">
        <v>45301</v>
      </c>
      <c r="C960" s="1" t="n">
        <v>45360</v>
      </c>
      <c r="D960" t="inlineStr">
        <is>
          <t>ÖREBRO LÄN</t>
        </is>
      </c>
      <c r="E960" t="inlineStr">
        <is>
          <t>ÖREBRO</t>
        </is>
      </c>
      <c r="G960" t="n">
        <v>1.4</v>
      </c>
      <c r="H960" t="n">
        <v>0</v>
      </c>
      <c r="I960" t="n">
        <v>0</v>
      </c>
      <c r="J960" t="n">
        <v>0</v>
      </c>
      <c r="K960" t="n">
        <v>0</v>
      </c>
      <c r="L960" t="n">
        <v>0</v>
      </c>
      <c r="M960" t="n">
        <v>0</v>
      </c>
      <c r="N960" t="n">
        <v>0</v>
      </c>
      <c r="O960" t="n">
        <v>0</v>
      </c>
      <c r="P960" t="n">
        <v>0</v>
      </c>
      <c r="Q960" t="n">
        <v>0</v>
      </c>
      <c r="R960" s="2" t="inlineStr"/>
    </row>
    <row r="961" ht="15" customHeight="1">
      <c r="A961" t="inlineStr">
        <is>
          <t>A 1013-2024</t>
        </is>
      </c>
      <c r="B961" s="1" t="n">
        <v>45301</v>
      </c>
      <c r="C961" s="1" t="n">
        <v>45360</v>
      </c>
      <c r="D961" t="inlineStr">
        <is>
          <t>ÖREBRO LÄN</t>
        </is>
      </c>
      <c r="E961" t="inlineStr">
        <is>
          <t>ÖREBRO</t>
        </is>
      </c>
      <c r="G961" t="n">
        <v>2.6</v>
      </c>
      <c r="H961" t="n">
        <v>0</v>
      </c>
      <c r="I961" t="n">
        <v>0</v>
      </c>
      <c r="J961" t="n">
        <v>0</v>
      </c>
      <c r="K961" t="n">
        <v>0</v>
      </c>
      <c r="L961" t="n">
        <v>0</v>
      </c>
      <c r="M961" t="n">
        <v>0</v>
      </c>
      <c r="N961" t="n">
        <v>0</v>
      </c>
      <c r="O961" t="n">
        <v>0</v>
      </c>
      <c r="P961" t="n">
        <v>0</v>
      </c>
      <c r="Q961" t="n">
        <v>0</v>
      </c>
      <c r="R961" s="2" t="inlineStr"/>
    </row>
    <row r="962" ht="15" customHeight="1">
      <c r="A962" t="inlineStr">
        <is>
          <t>A 1261-2024</t>
        </is>
      </c>
      <c r="B962" s="1" t="n">
        <v>45302</v>
      </c>
      <c r="C962" s="1" t="n">
        <v>45360</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1260-2024</t>
        </is>
      </c>
      <c r="B963" s="1" t="n">
        <v>45302</v>
      </c>
      <c r="C963" s="1" t="n">
        <v>45360</v>
      </c>
      <c r="D963" t="inlineStr">
        <is>
          <t>ÖREBRO LÄN</t>
        </is>
      </c>
      <c r="E963" t="inlineStr">
        <is>
          <t>ÖREBRO</t>
        </is>
      </c>
      <c r="G963" t="n">
        <v>0.9</v>
      </c>
      <c r="H963" t="n">
        <v>0</v>
      </c>
      <c r="I963" t="n">
        <v>0</v>
      </c>
      <c r="J963" t="n">
        <v>0</v>
      </c>
      <c r="K963" t="n">
        <v>0</v>
      </c>
      <c r="L963" t="n">
        <v>0</v>
      </c>
      <c r="M963" t="n">
        <v>0</v>
      </c>
      <c r="N963" t="n">
        <v>0</v>
      </c>
      <c r="O963" t="n">
        <v>0</v>
      </c>
      <c r="P963" t="n">
        <v>0</v>
      </c>
      <c r="Q963" t="n">
        <v>0</v>
      </c>
      <c r="R963" s="2" t="inlineStr"/>
    </row>
    <row r="964" ht="15" customHeight="1">
      <c r="A964" t="inlineStr">
        <is>
          <t>A 1262-2024</t>
        </is>
      </c>
      <c r="B964" s="1" t="n">
        <v>45302</v>
      </c>
      <c r="C964" s="1" t="n">
        <v>45360</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1647-2024</t>
        </is>
      </c>
      <c r="B965" s="1" t="n">
        <v>45306</v>
      </c>
      <c r="C965" s="1" t="n">
        <v>45360</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1800-2024</t>
        </is>
      </c>
      <c r="B966" s="1" t="n">
        <v>45307</v>
      </c>
      <c r="C966" s="1" t="n">
        <v>45360</v>
      </c>
      <c r="D966" t="inlineStr">
        <is>
          <t>ÖREBRO LÄN</t>
        </is>
      </c>
      <c r="E966" t="inlineStr">
        <is>
          <t>ÖREBRO</t>
        </is>
      </c>
      <c r="G966" t="n">
        <v>1.5</v>
      </c>
      <c r="H966" t="n">
        <v>0</v>
      </c>
      <c r="I966" t="n">
        <v>0</v>
      </c>
      <c r="J966" t="n">
        <v>0</v>
      </c>
      <c r="K966" t="n">
        <v>0</v>
      </c>
      <c r="L966" t="n">
        <v>0</v>
      </c>
      <c r="M966" t="n">
        <v>0</v>
      </c>
      <c r="N966" t="n">
        <v>0</v>
      </c>
      <c r="O966" t="n">
        <v>0</v>
      </c>
      <c r="P966" t="n">
        <v>0</v>
      </c>
      <c r="Q966" t="n">
        <v>0</v>
      </c>
      <c r="R966" s="2" t="inlineStr"/>
    </row>
    <row r="967" ht="15" customHeight="1">
      <c r="A967" t="inlineStr">
        <is>
          <t>A 3767-2024</t>
        </is>
      </c>
      <c r="B967" s="1" t="n">
        <v>45321</v>
      </c>
      <c r="C967" s="1" t="n">
        <v>45360</v>
      </c>
      <c r="D967" t="inlineStr">
        <is>
          <t>ÖREBRO LÄN</t>
        </is>
      </c>
      <c r="E967" t="inlineStr">
        <is>
          <t>ÖREBRO</t>
        </is>
      </c>
      <c r="G967" t="n">
        <v>5.2</v>
      </c>
      <c r="H967" t="n">
        <v>0</v>
      </c>
      <c r="I967" t="n">
        <v>0</v>
      </c>
      <c r="J967" t="n">
        <v>0</v>
      </c>
      <c r="K967" t="n">
        <v>0</v>
      </c>
      <c r="L967" t="n">
        <v>0</v>
      </c>
      <c r="M967" t="n">
        <v>0</v>
      </c>
      <c r="N967" t="n">
        <v>0</v>
      </c>
      <c r="O967" t="n">
        <v>0</v>
      </c>
      <c r="P967" t="n">
        <v>0</v>
      </c>
      <c r="Q967" t="n">
        <v>0</v>
      </c>
      <c r="R967" s="2" t="inlineStr"/>
    </row>
    <row r="968" ht="15" customHeight="1">
      <c r="A968" t="inlineStr">
        <is>
          <t>A 3891-2024</t>
        </is>
      </c>
      <c r="B968" s="1" t="n">
        <v>45322</v>
      </c>
      <c r="C968" s="1" t="n">
        <v>45360</v>
      </c>
      <c r="D968" t="inlineStr">
        <is>
          <t>ÖREBRO LÄN</t>
        </is>
      </c>
      <c r="E968" t="inlineStr">
        <is>
          <t>ÖREBRO</t>
        </is>
      </c>
      <c r="F968" t="inlineStr">
        <is>
          <t>Övriga Aktiebolag</t>
        </is>
      </c>
      <c r="G968" t="n">
        <v>5.3</v>
      </c>
      <c r="H968" t="n">
        <v>0</v>
      </c>
      <c r="I968" t="n">
        <v>0</v>
      </c>
      <c r="J968" t="n">
        <v>0</v>
      </c>
      <c r="K968" t="n">
        <v>0</v>
      </c>
      <c r="L968" t="n">
        <v>0</v>
      </c>
      <c r="M968" t="n">
        <v>0</v>
      </c>
      <c r="N968" t="n">
        <v>0</v>
      </c>
      <c r="O968" t="n">
        <v>0</v>
      </c>
      <c r="P968" t="n">
        <v>0</v>
      </c>
      <c r="Q968" t="n">
        <v>0</v>
      </c>
      <c r="R968" s="2" t="inlineStr"/>
    </row>
    <row r="969" ht="15" customHeight="1">
      <c r="A969" t="inlineStr">
        <is>
          <t>A 4757-2024</t>
        </is>
      </c>
      <c r="B969" s="1" t="n">
        <v>45328</v>
      </c>
      <c r="C969" s="1" t="n">
        <v>45360</v>
      </c>
      <c r="D969" t="inlineStr">
        <is>
          <t>ÖREBRO LÄN</t>
        </is>
      </c>
      <c r="E969" t="inlineStr">
        <is>
          <t>ÖREBRO</t>
        </is>
      </c>
      <c r="G969" t="n">
        <v>1.9</v>
      </c>
      <c r="H969" t="n">
        <v>0</v>
      </c>
      <c r="I969" t="n">
        <v>0</v>
      </c>
      <c r="J969" t="n">
        <v>0</v>
      </c>
      <c r="K969" t="n">
        <v>0</v>
      </c>
      <c r="L969" t="n">
        <v>0</v>
      </c>
      <c r="M969" t="n">
        <v>0</v>
      </c>
      <c r="N969" t="n">
        <v>0</v>
      </c>
      <c r="O969" t="n">
        <v>0</v>
      </c>
      <c r="P969" t="n">
        <v>0</v>
      </c>
      <c r="Q969" t="n">
        <v>0</v>
      </c>
      <c r="R969" s="2" t="inlineStr"/>
    </row>
    <row r="970" ht="15" customHeight="1">
      <c r="A970" t="inlineStr">
        <is>
          <t>A 5127-2024</t>
        </is>
      </c>
      <c r="B970" s="1" t="n">
        <v>45330</v>
      </c>
      <c r="C970" s="1" t="n">
        <v>45360</v>
      </c>
      <c r="D970" t="inlineStr">
        <is>
          <t>ÖREBRO LÄN</t>
        </is>
      </c>
      <c r="E970" t="inlineStr">
        <is>
          <t>ÖREBRO</t>
        </is>
      </c>
      <c r="G970" t="n">
        <v>2.2</v>
      </c>
      <c r="H970" t="n">
        <v>0</v>
      </c>
      <c r="I970" t="n">
        <v>0</v>
      </c>
      <c r="J970" t="n">
        <v>0</v>
      </c>
      <c r="K970" t="n">
        <v>0</v>
      </c>
      <c r="L970" t="n">
        <v>0</v>
      </c>
      <c r="M970" t="n">
        <v>0</v>
      </c>
      <c r="N970" t="n">
        <v>0</v>
      </c>
      <c r="O970" t="n">
        <v>0</v>
      </c>
      <c r="P970" t="n">
        <v>0</v>
      </c>
      <c r="Q970" t="n">
        <v>0</v>
      </c>
      <c r="R970" s="2" t="inlineStr"/>
    </row>
    <row r="971" ht="15" customHeight="1">
      <c r="A971" t="inlineStr">
        <is>
          <t>A 5136-2024</t>
        </is>
      </c>
      <c r="B971" s="1" t="n">
        <v>45330</v>
      </c>
      <c r="C971" s="1" t="n">
        <v>45360</v>
      </c>
      <c r="D971" t="inlineStr">
        <is>
          <t>ÖREBRO LÄN</t>
        </is>
      </c>
      <c r="E971" t="inlineStr">
        <is>
          <t>ÖREBRO</t>
        </is>
      </c>
      <c r="G971" t="n">
        <v>2.1</v>
      </c>
      <c r="H971" t="n">
        <v>0</v>
      </c>
      <c r="I971" t="n">
        <v>0</v>
      </c>
      <c r="J971" t="n">
        <v>0</v>
      </c>
      <c r="K971" t="n">
        <v>0</v>
      </c>
      <c r="L971" t="n">
        <v>0</v>
      </c>
      <c r="M971" t="n">
        <v>0</v>
      </c>
      <c r="N971" t="n">
        <v>0</v>
      </c>
      <c r="O971" t="n">
        <v>0</v>
      </c>
      <c r="P971" t="n">
        <v>0</v>
      </c>
      <c r="Q971" t="n">
        <v>0</v>
      </c>
      <c r="R971" s="2" t="inlineStr"/>
    </row>
    <row r="972" ht="15" customHeight="1">
      <c r="A972" t="inlineStr">
        <is>
          <t>A 5135-2024</t>
        </is>
      </c>
      <c r="B972" s="1" t="n">
        <v>45330</v>
      </c>
      <c r="C972" s="1" t="n">
        <v>45360</v>
      </c>
      <c r="D972" t="inlineStr">
        <is>
          <t>ÖREBRO LÄN</t>
        </is>
      </c>
      <c r="E972" t="inlineStr">
        <is>
          <t>ÖREBRO</t>
        </is>
      </c>
      <c r="G972" t="n">
        <v>0.8</v>
      </c>
      <c r="H972" t="n">
        <v>0</v>
      </c>
      <c r="I972" t="n">
        <v>0</v>
      </c>
      <c r="J972" t="n">
        <v>0</v>
      </c>
      <c r="K972" t="n">
        <v>0</v>
      </c>
      <c r="L972" t="n">
        <v>0</v>
      </c>
      <c r="M972" t="n">
        <v>0</v>
      </c>
      <c r="N972" t="n">
        <v>0</v>
      </c>
      <c r="O972" t="n">
        <v>0</v>
      </c>
      <c r="P972" t="n">
        <v>0</v>
      </c>
      <c r="Q972" t="n">
        <v>0</v>
      </c>
      <c r="R972" s="2" t="inlineStr"/>
    </row>
    <row r="973" ht="15" customHeight="1">
      <c r="A973" t="inlineStr">
        <is>
          <t>A 5113-2024</t>
        </is>
      </c>
      <c r="B973" s="1" t="n">
        <v>45330</v>
      </c>
      <c r="C973" s="1" t="n">
        <v>45360</v>
      </c>
      <c r="D973" t="inlineStr">
        <is>
          <t>ÖREBRO LÄN</t>
        </is>
      </c>
      <c r="E973" t="inlineStr">
        <is>
          <t>ÖREBRO</t>
        </is>
      </c>
      <c r="G973" t="n">
        <v>1.7</v>
      </c>
      <c r="H973" t="n">
        <v>0</v>
      </c>
      <c r="I973" t="n">
        <v>0</v>
      </c>
      <c r="J973" t="n">
        <v>0</v>
      </c>
      <c r="K973" t="n">
        <v>0</v>
      </c>
      <c r="L973" t="n">
        <v>0</v>
      </c>
      <c r="M973" t="n">
        <v>0</v>
      </c>
      <c r="N973" t="n">
        <v>0</v>
      </c>
      <c r="O973" t="n">
        <v>0</v>
      </c>
      <c r="P973" t="n">
        <v>0</v>
      </c>
      <c r="Q973" t="n">
        <v>0</v>
      </c>
      <c r="R973" s="2" t="inlineStr"/>
    </row>
    <row r="974" ht="15" customHeight="1">
      <c r="A974" t="inlineStr">
        <is>
          <t>A 5125-2024</t>
        </is>
      </c>
      <c r="B974" s="1" t="n">
        <v>45330</v>
      </c>
      <c r="C974" s="1" t="n">
        <v>45360</v>
      </c>
      <c r="D974" t="inlineStr">
        <is>
          <t>ÖREBRO LÄN</t>
        </is>
      </c>
      <c r="E974" t="inlineStr">
        <is>
          <t>ÖREBRO</t>
        </is>
      </c>
      <c r="G974" t="n">
        <v>0.7</v>
      </c>
      <c r="H974" t="n">
        <v>0</v>
      </c>
      <c r="I974" t="n">
        <v>0</v>
      </c>
      <c r="J974" t="n">
        <v>0</v>
      </c>
      <c r="K974" t="n">
        <v>0</v>
      </c>
      <c r="L974" t="n">
        <v>0</v>
      </c>
      <c r="M974" t="n">
        <v>0</v>
      </c>
      <c r="N974" t="n">
        <v>0</v>
      </c>
      <c r="O974" t="n">
        <v>0</v>
      </c>
      <c r="P974" t="n">
        <v>0</v>
      </c>
      <c r="Q974" t="n">
        <v>0</v>
      </c>
      <c r="R974" s="2" t="inlineStr"/>
    </row>
    <row r="975" ht="15" customHeight="1">
      <c r="A975" t="inlineStr">
        <is>
          <t>A 5129-2024</t>
        </is>
      </c>
      <c r="B975" s="1" t="n">
        <v>45330</v>
      </c>
      <c r="C975" s="1" t="n">
        <v>45360</v>
      </c>
      <c r="D975" t="inlineStr">
        <is>
          <t>ÖREBRO LÄN</t>
        </is>
      </c>
      <c r="E975" t="inlineStr">
        <is>
          <t>ÖREBRO</t>
        </is>
      </c>
      <c r="G975" t="n">
        <v>0.5</v>
      </c>
      <c r="H975" t="n">
        <v>0</v>
      </c>
      <c r="I975" t="n">
        <v>0</v>
      </c>
      <c r="J975" t="n">
        <v>0</v>
      </c>
      <c r="K975" t="n">
        <v>0</v>
      </c>
      <c r="L975" t="n">
        <v>0</v>
      </c>
      <c r="M975" t="n">
        <v>0</v>
      </c>
      <c r="N975" t="n">
        <v>0</v>
      </c>
      <c r="O975" t="n">
        <v>0</v>
      </c>
      <c r="P975" t="n">
        <v>0</v>
      </c>
      <c r="Q975" t="n">
        <v>0</v>
      </c>
      <c r="R975" s="2" t="inlineStr"/>
    </row>
    <row r="976" ht="15" customHeight="1">
      <c r="A976" t="inlineStr">
        <is>
          <t>A 5133-2024</t>
        </is>
      </c>
      <c r="B976" s="1" t="n">
        <v>45330</v>
      </c>
      <c r="C976" s="1" t="n">
        <v>45360</v>
      </c>
      <c r="D976" t="inlineStr">
        <is>
          <t>ÖREBRO LÄN</t>
        </is>
      </c>
      <c r="E976" t="inlineStr">
        <is>
          <t>ÖREBRO</t>
        </is>
      </c>
      <c r="G976" t="n">
        <v>0.5</v>
      </c>
      <c r="H976" t="n">
        <v>0</v>
      </c>
      <c r="I976" t="n">
        <v>0</v>
      </c>
      <c r="J976" t="n">
        <v>0</v>
      </c>
      <c r="K976" t="n">
        <v>0</v>
      </c>
      <c r="L976" t="n">
        <v>0</v>
      </c>
      <c r="M976" t="n">
        <v>0</v>
      </c>
      <c r="N976" t="n">
        <v>0</v>
      </c>
      <c r="O976" t="n">
        <v>0</v>
      </c>
      <c r="P976" t="n">
        <v>0</v>
      </c>
      <c r="Q976" t="n">
        <v>0</v>
      </c>
      <c r="R976" s="2" t="inlineStr"/>
    </row>
    <row r="977" ht="15" customHeight="1">
      <c r="A977" t="inlineStr">
        <is>
          <t>A 5330-2024</t>
        </is>
      </c>
      <c r="B977" s="1" t="n">
        <v>45331</v>
      </c>
      <c r="C977" s="1" t="n">
        <v>45360</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5338-2024</t>
        </is>
      </c>
      <c r="B978" s="1" t="n">
        <v>45331</v>
      </c>
      <c r="C978" s="1" t="n">
        <v>45360</v>
      </c>
      <c r="D978" t="inlineStr">
        <is>
          <t>ÖREBRO LÄN</t>
        </is>
      </c>
      <c r="E978" t="inlineStr">
        <is>
          <t>ÖREBRO</t>
        </is>
      </c>
      <c r="G978" t="n">
        <v>0.6</v>
      </c>
      <c r="H978" t="n">
        <v>0</v>
      </c>
      <c r="I978" t="n">
        <v>0</v>
      </c>
      <c r="J978" t="n">
        <v>0</v>
      </c>
      <c r="K978" t="n">
        <v>0</v>
      </c>
      <c r="L978" t="n">
        <v>0</v>
      </c>
      <c r="M978" t="n">
        <v>0</v>
      </c>
      <c r="N978" t="n">
        <v>0</v>
      </c>
      <c r="O978" t="n">
        <v>0</v>
      </c>
      <c r="P978" t="n">
        <v>0</v>
      </c>
      <c r="Q978" t="n">
        <v>0</v>
      </c>
      <c r="R978" s="2" t="inlineStr"/>
    </row>
    <row r="979" ht="15" customHeight="1">
      <c r="A979" t="inlineStr">
        <is>
          <t>A 5357-2024</t>
        </is>
      </c>
      <c r="B979" s="1" t="n">
        <v>45331</v>
      </c>
      <c r="C979" s="1" t="n">
        <v>45360</v>
      </c>
      <c r="D979" t="inlineStr">
        <is>
          <t>ÖREBRO LÄN</t>
        </is>
      </c>
      <c r="E979" t="inlineStr">
        <is>
          <t>ÖREBRO</t>
        </is>
      </c>
      <c r="G979" t="n">
        <v>0.7</v>
      </c>
      <c r="H979" t="n">
        <v>0</v>
      </c>
      <c r="I979" t="n">
        <v>0</v>
      </c>
      <c r="J979" t="n">
        <v>0</v>
      </c>
      <c r="K979" t="n">
        <v>0</v>
      </c>
      <c r="L979" t="n">
        <v>0</v>
      </c>
      <c r="M979" t="n">
        <v>0</v>
      </c>
      <c r="N979" t="n">
        <v>0</v>
      </c>
      <c r="O979" t="n">
        <v>0</v>
      </c>
      <c r="P979" t="n">
        <v>0</v>
      </c>
      <c r="Q979" t="n">
        <v>0</v>
      </c>
      <c r="R979" s="2" t="inlineStr"/>
    </row>
    <row r="980" ht="15" customHeight="1">
      <c r="A980" t="inlineStr">
        <is>
          <t>A 5324-2024</t>
        </is>
      </c>
      <c r="B980" s="1" t="n">
        <v>45331</v>
      </c>
      <c r="C980" s="1" t="n">
        <v>45360</v>
      </c>
      <c r="D980" t="inlineStr">
        <is>
          <t>ÖREBRO LÄN</t>
        </is>
      </c>
      <c r="E980" t="inlineStr">
        <is>
          <t>ÖREBRO</t>
        </is>
      </c>
      <c r="G980" t="n">
        <v>1.5</v>
      </c>
      <c r="H980" t="n">
        <v>0</v>
      </c>
      <c r="I980" t="n">
        <v>0</v>
      </c>
      <c r="J980" t="n">
        <v>0</v>
      </c>
      <c r="K980" t="n">
        <v>0</v>
      </c>
      <c r="L980" t="n">
        <v>0</v>
      </c>
      <c r="M980" t="n">
        <v>0</v>
      </c>
      <c r="N980" t="n">
        <v>0</v>
      </c>
      <c r="O980" t="n">
        <v>0</v>
      </c>
      <c r="P980" t="n">
        <v>0</v>
      </c>
      <c r="Q980" t="n">
        <v>0</v>
      </c>
      <c r="R980" s="2" t="inlineStr"/>
    </row>
    <row r="981" ht="15" customHeight="1">
      <c r="A981" t="inlineStr">
        <is>
          <t>A 5342-2024</t>
        </is>
      </c>
      <c r="B981" s="1" t="n">
        <v>45331</v>
      </c>
      <c r="C981" s="1" t="n">
        <v>45360</v>
      </c>
      <c r="D981" t="inlineStr">
        <is>
          <t>ÖREBRO LÄN</t>
        </is>
      </c>
      <c r="E981" t="inlineStr">
        <is>
          <t>ÖREBRO</t>
        </is>
      </c>
      <c r="G981" t="n">
        <v>2.5</v>
      </c>
      <c r="H981" t="n">
        <v>0</v>
      </c>
      <c r="I981" t="n">
        <v>0</v>
      </c>
      <c r="J981" t="n">
        <v>0</v>
      </c>
      <c r="K981" t="n">
        <v>0</v>
      </c>
      <c r="L981" t="n">
        <v>0</v>
      </c>
      <c r="M981" t="n">
        <v>0</v>
      </c>
      <c r="N981" t="n">
        <v>0</v>
      </c>
      <c r="O981" t="n">
        <v>0</v>
      </c>
      <c r="P981" t="n">
        <v>0</v>
      </c>
      <c r="Q981" t="n">
        <v>0</v>
      </c>
      <c r="R981" s="2" t="inlineStr"/>
    </row>
    <row r="982" ht="15" customHeight="1">
      <c r="A982" t="inlineStr">
        <is>
          <t>A 5352-2024</t>
        </is>
      </c>
      <c r="B982" s="1" t="n">
        <v>45331</v>
      </c>
      <c r="C982" s="1" t="n">
        <v>45360</v>
      </c>
      <c r="D982" t="inlineStr">
        <is>
          <t>ÖREBRO LÄN</t>
        </is>
      </c>
      <c r="E982" t="inlineStr">
        <is>
          <t>ÖREBRO</t>
        </is>
      </c>
      <c r="G982" t="n">
        <v>1.6</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45360</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5581-2024</t>
        </is>
      </c>
      <c r="B984" s="1" t="n">
        <v>45334</v>
      </c>
      <c r="C984" s="1" t="n">
        <v>45360</v>
      </c>
      <c r="D984" t="inlineStr">
        <is>
          <t>ÖREBRO LÄN</t>
        </is>
      </c>
      <c r="E984" t="inlineStr">
        <is>
          <t>ÖREBRO</t>
        </is>
      </c>
      <c r="G984" t="n">
        <v>2.3</v>
      </c>
      <c r="H984" t="n">
        <v>0</v>
      </c>
      <c r="I984" t="n">
        <v>0</v>
      </c>
      <c r="J984" t="n">
        <v>0</v>
      </c>
      <c r="K984" t="n">
        <v>0</v>
      </c>
      <c r="L984" t="n">
        <v>0</v>
      </c>
      <c r="M984" t="n">
        <v>0</v>
      </c>
      <c r="N984" t="n">
        <v>0</v>
      </c>
      <c r="O984" t="n">
        <v>0</v>
      </c>
      <c r="P984" t="n">
        <v>0</v>
      </c>
      <c r="Q984" t="n">
        <v>0</v>
      </c>
      <c r="R984" s="2" t="inlineStr"/>
    </row>
    <row r="985" ht="15" customHeight="1">
      <c r="A985" t="inlineStr">
        <is>
          <t>A 5795-2024</t>
        </is>
      </c>
      <c r="B985" s="1" t="n">
        <v>45335</v>
      </c>
      <c r="C985" s="1" t="n">
        <v>45360</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45360</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ht="15" customHeight="1">
      <c r="A987" t="inlineStr">
        <is>
          <t>A 6586-2024</t>
        </is>
      </c>
      <c r="B987" s="1" t="n">
        <v>45341</v>
      </c>
      <c r="C987" s="1" t="n">
        <v>45360</v>
      </c>
      <c r="D987" t="inlineStr">
        <is>
          <t>ÖREBRO LÄN</t>
        </is>
      </c>
      <c r="E987" t="inlineStr">
        <is>
          <t>ÖREBRO</t>
        </is>
      </c>
      <c r="F987" t="inlineStr">
        <is>
          <t>Övriga Aktiebolag</t>
        </is>
      </c>
      <c r="G987" t="n">
        <v>6.9</v>
      </c>
      <c r="H987" t="n">
        <v>0</v>
      </c>
      <c r="I987" t="n">
        <v>0</v>
      </c>
      <c r="J987" t="n">
        <v>0</v>
      </c>
      <c r="K987" t="n">
        <v>0</v>
      </c>
      <c r="L987" t="n">
        <v>0</v>
      </c>
      <c r="M987" t="n">
        <v>0</v>
      </c>
      <c r="N987" t="n">
        <v>0</v>
      </c>
      <c r="O987" t="n">
        <v>0</v>
      </c>
      <c r="P987" t="n">
        <v>0</v>
      </c>
      <c r="Q987" t="n">
        <v>0</v>
      </c>
      <c r="R987" s="2" t="inlineStr"/>
    </row>
    <row r="988" ht="15" customHeight="1">
      <c r="A988" t="inlineStr">
        <is>
          <t>A 6879-2024</t>
        </is>
      </c>
      <c r="B988" s="1" t="n">
        <v>45342</v>
      </c>
      <c r="C988" s="1" t="n">
        <v>45360</v>
      </c>
      <c r="D988" t="inlineStr">
        <is>
          <t>ÖREBRO LÄN</t>
        </is>
      </c>
      <c r="E988" t="inlineStr">
        <is>
          <t>ÖREBRO</t>
        </is>
      </c>
      <c r="G988" t="n">
        <v>1.6</v>
      </c>
      <c r="H988" t="n">
        <v>0</v>
      </c>
      <c r="I988" t="n">
        <v>0</v>
      </c>
      <c r="J988" t="n">
        <v>0</v>
      </c>
      <c r="K988" t="n">
        <v>0</v>
      </c>
      <c r="L988" t="n">
        <v>0</v>
      </c>
      <c r="M988" t="n">
        <v>0</v>
      </c>
      <c r="N988" t="n">
        <v>0</v>
      </c>
      <c r="O988" t="n">
        <v>0</v>
      </c>
      <c r="P988" t="n">
        <v>0</v>
      </c>
      <c r="Q988" t="n">
        <v>0</v>
      </c>
      <c r="R988" s="2" t="inlineStr"/>
    </row>
    <row r="989" ht="15" customHeight="1">
      <c r="A989" t="inlineStr">
        <is>
          <t>A 7611-2024</t>
        </is>
      </c>
      <c r="B989" s="1" t="n">
        <v>45348</v>
      </c>
      <c r="C989" s="1" t="n">
        <v>45360</v>
      </c>
      <c r="D989" t="inlineStr">
        <is>
          <t>ÖREBRO LÄN</t>
        </is>
      </c>
      <c r="E989" t="inlineStr">
        <is>
          <t>ÖREBRO</t>
        </is>
      </c>
      <c r="G989" t="n">
        <v>4.2</v>
      </c>
      <c r="H989" t="n">
        <v>0</v>
      </c>
      <c r="I989" t="n">
        <v>0</v>
      </c>
      <c r="J989" t="n">
        <v>0</v>
      </c>
      <c r="K989" t="n">
        <v>0</v>
      </c>
      <c r="L989" t="n">
        <v>0</v>
      </c>
      <c r="M989" t="n">
        <v>0</v>
      </c>
      <c r="N989" t="n">
        <v>0</v>
      </c>
      <c r="O989" t="n">
        <v>0</v>
      </c>
      <c r="P989" t="n">
        <v>0</v>
      </c>
      <c r="Q989" t="n">
        <v>0</v>
      </c>
      <c r="R989" s="2" t="inlineStr"/>
    </row>
    <row r="990" ht="15" customHeight="1">
      <c r="A990" t="inlineStr">
        <is>
          <t>A 7608-2024</t>
        </is>
      </c>
      <c r="B990" s="1" t="n">
        <v>45348</v>
      </c>
      <c r="C990" s="1" t="n">
        <v>45360</v>
      </c>
      <c r="D990" t="inlineStr">
        <is>
          <t>ÖREBRO LÄN</t>
        </is>
      </c>
      <c r="E990" t="inlineStr">
        <is>
          <t>ÖREBRO</t>
        </is>
      </c>
      <c r="G990" t="n">
        <v>4.3</v>
      </c>
      <c r="H990" t="n">
        <v>0</v>
      </c>
      <c r="I990" t="n">
        <v>0</v>
      </c>
      <c r="J990" t="n">
        <v>0</v>
      </c>
      <c r="K990" t="n">
        <v>0</v>
      </c>
      <c r="L990" t="n">
        <v>0</v>
      </c>
      <c r="M990" t="n">
        <v>0</v>
      </c>
      <c r="N990" t="n">
        <v>0</v>
      </c>
      <c r="O990" t="n">
        <v>0</v>
      </c>
      <c r="P990" t="n">
        <v>0</v>
      </c>
      <c r="Q990" t="n">
        <v>0</v>
      </c>
      <c r="R990" s="2" t="inlineStr"/>
    </row>
    <row r="991" ht="15" customHeight="1">
      <c r="A991" t="inlineStr">
        <is>
          <t>A 7609-2024</t>
        </is>
      </c>
      <c r="B991" s="1" t="n">
        <v>45348</v>
      </c>
      <c r="C991" s="1" t="n">
        <v>45360</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7634-2024</t>
        </is>
      </c>
      <c r="B992" s="1" t="n">
        <v>45348</v>
      </c>
      <c r="C992" s="1" t="n">
        <v>45360</v>
      </c>
      <c r="D992" t="inlineStr">
        <is>
          <t>ÖREBRO LÄN</t>
        </is>
      </c>
      <c r="E992" t="inlineStr">
        <is>
          <t>ÖREBRO</t>
        </is>
      </c>
      <c r="G992" t="n">
        <v>1.8</v>
      </c>
      <c r="H992" t="n">
        <v>0</v>
      </c>
      <c r="I992" t="n">
        <v>0</v>
      </c>
      <c r="J992" t="n">
        <v>0</v>
      </c>
      <c r="K992" t="n">
        <v>0</v>
      </c>
      <c r="L992" t="n">
        <v>0</v>
      </c>
      <c r="M992" t="n">
        <v>0</v>
      </c>
      <c r="N992" t="n">
        <v>0</v>
      </c>
      <c r="O992" t="n">
        <v>0</v>
      </c>
      <c r="P992" t="n">
        <v>0</v>
      </c>
      <c r="Q992" t="n">
        <v>0</v>
      </c>
      <c r="R992" s="2" t="inlineStr"/>
    </row>
    <row r="993" ht="15" customHeight="1">
      <c r="A993" t="inlineStr">
        <is>
          <t>A 8008-2024</t>
        </is>
      </c>
      <c r="B993" s="1" t="n">
        <v>45350</v>
      </c>
      <c r="C993" s="1" t="n">
        <v>45360</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row r="994" ht="15" customHeight="1">
      <c r="A994" t="inlineStr">
        <is>
          <t>A 8005-2024</t>
        </is>
      </c>
      <c r="B994" s="1" t="n">
        <v>45350</v>
      </c>
      <c r="C994" s="1" t="n">
        <v>45360</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row r="995" ht="15" customHeight="1">
      <c r="A995" t="inlineStr">
        <is>
          <t>A 9379-2024</t>
        </is>
      </c>
      <c r="B995" s="1" t="n">
        <v>45359</v>
      </c>
      <c r="C995" s="1" t="n">
        <v>45360</v>
      </c>
      <c r="D995" t="inlineStr">
        <is>
          <t>ÖREBRO LÄN</t>
        </is>
      </c>
      <c r="E995" t="inlineStr">
        <is>
          <t>ÖREBRO</t>
        </is>
      </c>
      <c r="G995" t="n">
        <v>2.4</v>
      </c>
      <c r="H995" t="n">
        <v>0</v>
      </c>
      <c r="I995" t="n">
        <v>0</v>
      </c>
      <c r="J995" t="n">
        <v>0</v>
      </c>
      <c r="K995" t="n">
        <v>0</v>
      </c>
      <c r="L995" t="n">
        <v>0</v>
      </c>
      <c r="M995" t="n">
        <v>0</v>
      </c>
      <c r="N995" t="n">
        <v>0</v>
      </c>
      <c r="O995" t="n">
        <v>0</v>
      </c>
      <c r="P995" t="n">
        <v>0</v>
      </c>
      <c r="Q995" t="n">
        <v>0</v>
      </c>
      <c r="R995" s="2" t="inlineStr"/>
    </row>
    <row r="996">
      <c r="A996" t="inlineStr">
        <is>
          <t>A 9458-2024</t>
        </is>
      </c>
      <c r="B996" s="1" t="n">
        <v>45359</v>
      </c>
      <c r="C996" s="1" t="n">
        <v>45360</v>
      </c>
      <c r="D996" t="inlineStr">
        <is>
          <t>ÖREBRO LÄN</t>
        </is>
      </c>
      <c r="E996" t="inlineStr">
        <is>
          <t>ÖREBRO</t>
        </is>
      </c>
      <c r="G996" t="n">
        <v>1.7</v>
      </c>
      <c r="H996" t="n">
        <v>0</v>
      </c>
      <c r="I996" t="n">
        <v>0</v>
      </c>
      <c r="J996" t="n">
        <v>0</v>
      </c>
      <c r="K996" t="n">
        <v>0</v>
      </c>
      <c r="L996" t="n">
        <v>0</v>
      </c>
      <c r="M996" t="n">
        <v>0</v>
      </c>
      <c r="N996" t="n">
        <v>0</v>
      </c>
      <c r="O996" t="n">
        <v>0</v>
      </c>
      <c r="P996" t="n">
        <v>0</v>
      </c>
      <c r="Q996" t="n">
        <v>0</v>
      </c>
      <c r="R9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2024-03-09T14:02:35Z</dcterms:created>
  <dcterms:modified xmlns:dcterms="http://purl.org/dc/terms/" xmlns:xsi="http://www.w3.org/2001/XMLSchema-instance" xsi:type="dcterms:W3CDTF">2024-03-09T14:02:36Z</dcterms:modified>
</cp:coreProperties>
</file>