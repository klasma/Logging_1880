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46037</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46037</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46037</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15758-2023</t>
        </is>
      </c>
      <c r="B9" s="1" t="n">
        <v>45021</v>
      </c>
      <c r="C9" s="1" t="n">
        <v>46037</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46037</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59520-2025</t>
        </is>
      </c>
      <c r="B11" s="1" t="n">
        <v>45989.65600694445</v>
      </c>
      <c r="C11" s="1" t="n">
        <v>46037</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46037</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33069-2025</t>
        </is>
      </c>
      <c r="B13" s="1" t="n">
        <v>45840</v>
      </c>
      <c r="C13" s="1" t="n">
        <v>46037</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46037</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58832-2025</t>
        </is>
      </c>
      <c r="B15" s="1" t="n">
        <v>45987</v>
      </c>
      <c r="C15" s="1" t="n">
        <v>46037</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46037</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46037</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46037</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46037</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46037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46037</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17074-2024</t>
        </is>
      </c>
      <c r="B22" s="1" t="n">
        <v>45412</v>
      </c>
      <c r="C22" s="1" t="n">
        <v>46037</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46037</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46037</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46037</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46037</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46037</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46037</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46037</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46037</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46037</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46037</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46037</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46037</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46037</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46037</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51550-2025</t>
        </is>
      </c>
      <c r="B38" s="1" t="n">
        <v>45950.83359953704</v>
      </c>
      <c r="C38" s="1" t="n">
        <v>46037</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60557-2025</t>
        </is>
      </c>
      <c r="B39" s="1" t="n">
        <v>45995.74444444444</v>
      </c>
      <c r="C39" s="1" t="n">
        <v>46037</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13395-2024</t>
        </is>
      </c>
      <c r="B40" s="1" t="n">
        <v>45387.42296296296</v>
      </c>
      <c r="C40" s="1" t="n">
        <v>46037</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8267-2021</t>
        </is>
      </c>
      <c r="B41" s="1" t="n">
        <v>44244</v>
      </c>
      <c r="C41" s="1" t="n">
        <v>46037</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46037</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46037</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46037</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46037</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46037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46037</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46037</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46037</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46037</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46037</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11501-2025</t>
        </is>
      </c>
      <c r="B52" s="1" t="n">
        <v>45726</v>
      </c>
      <c r="C52" s="1" t="n">
        <v>46037</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28936-2025</t>
        </is>
      </c>
      <c r="B53" s="1" t="n">
        <v>45820.69287037037</v>
      </c>
      <c r="C53" s="1" t="n">
        <v>46037</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32226-2025</t>
        </is>
      </c>
      <c r="B54" s="1" t="n">
        <v>45835.59478009259</v>
      </c>
      <c r="C54" s="1" t="n">
        <v>46037</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46037</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4014-2021</t>
        </is>
      </c>
      <c r="B56" s="1" t="n">
        <v>44218</v>
      </c>
      <c r="C56" s="1" t="n">
        <v>46037</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50499-2025</t>
        </is>
      </c>
      <c r="B57" s="1" t="n">
        <v>45945.41712962963</v>
      </c>
      <c r="C57" s="1" t="n">
        <v>46037</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32105-2023</t>
        </is>
      </c>
      <c r="B58" s="1" t="n">
        <v>45119</v>
      </c>
      <c r="C58" s="1" t="n">
        <v>46037</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63199-2025</t>
        </is>
      </c>
      <c r="B59" s="1" t="n">
        <v>46010.46091435185</v>
      </c>
      <c r="C59" s="1" t="n">
        <v>46037</v>
      </c>
      <c r="D59" t="inlineStr">
        <is>
          <t>ÖREBRO LÄN</t>
        </is>
      </c>
      <c r="E59" t="inlineStr">
        <is>
          <t>ÖREBRO</t>
        </is>
      </c>
      <c r="F59" t="inlineStr">
        <is>
          <t>Sveaskog</t>
        </is>
      </c>
      <c r="G59" t="n">
        <v>0.9</v>
      </c>
      <c r="H59" t="n">
        <v>1</v>
      </c>
      <c r="I59" t="n">
        <v>0</v>
      </c>
      <c r="J59" t="n">
        <v>0</v>
      </c>
      <c r="K59" t="n">
        <v>0</v>
      </c>
      <c r="L59" t="n">
        <v>0</v>
      </c>
      <c r="M59" t="n">
        <v>0</v>
      </c>
      <c r="N59" t="n">
        <v>0</v>
      </c>
      <c r="O59" t="n">
        <v>0</v>
      </c>
      <c r="P59" t="n">
        <v>0</v>
      </c>
      <c r="Q59" t="n">
        <v>1</v>
      </c>
      <c r="R59" s="2" t="inlineStr">
        <is>
          <t>Gullviva</t>
        </is>
      </c>
      <c r="S59">
        <f>HYPERLINK("https://klasma.github.io/Logging_1880/artfynd/A 63199-2025 artfynd.xlsx", "A 63199-2025")</f>
        <v/>
      </c>
      <c r="T59">
        <f>HYPERLINK("https://klasma.github.io/Logging_1880/kartor/A 63199-2025 karta.png", "A 63199-2025")</f>
        <v/>
      </c>
      <c r="V59">
        <f>HYPERLINK("https://klasma.github.io/Logging_1880/klagomål/A 63199-2025 FSC-klagomål.docx", "A 63199-2025")</f>
        <v/>
      </c>
      <c r="W59">
        <f>HYPERLINK("https://klasma.github.io/Logging_1880/klagomålsmail/A 63199-2025 FSC-klagomål mail.docx", "A 63199-2025")</f>
        <v/>
      </c>
      <c r="X59">
        <f>HYPERLINK("https://klasma.github.io/Logging_1880/tillsyn/A 63199-2025 tillsynsbegäran.docx", "A 63199-2025")</f>
        <v/>
      </c>
      <c r="Y59">
        <f>HYPERLINK("https://klasma.github.io/Logging_1880/tillsynsmail/A 63199-2025 tillsynsbegäran mail.docx", "A 63199-2025")</f>
        <v/>
      </c>
    </row>
    <row r="60" ht="15" customHeight="1">
      <c r="A60" t="inlineStr">
        <is>
          <t>A 63196-2025</t>
        </is>
      </c>
      <c r="B60" s="1" t="n">
        <v>46010.45872685185</v>
      </c>
      <c r="C60" s="1" t="n">
        <v>46037</v>
      </c>
      <c r="D60" t="inlineStr">
        <is>
          <t>ÖREBRO LÄN</t>
        </is>
      </c>
      <c r="E60" t="inlineStr">
        <is>
          <t>ÖREBRO</t>
        </is>
      </c>
      <c r="F60" t="inlineStr">
        <is>
          <t>Sveaskog</t>
        </is>
      </c>
      <c r="G60" t="n">
        <v>1.4</v>
      </c>
      <c r="H60" t="n">
        <v>0</v>
      </c>
      <c r="I60" t="n">
        <v>1</v>
      </c>
      <c r="J60" t="n">
        <v>0</v>
      </c>
      <c r="K60" t="n">
        <v>0</v>
      </c>
      <c r="L60" t="n">
        <v>0</v>
      </c>
      <c r="M60" t="n">
        <v>0</v>
      </c>
      <c r="N60" t="n">
        <v>0</v>
      </c>
      <c r="O60" t="n">
        <v>0</v>
      </c>
      <c r="P60" t="n">
        <v>0</v>
      </c>
      <c r="Q60" t="n">
        <v>1</v>
      </c>
      <c r="R60" s="2" t="inlineStr">
        <is>
          <t>Tibast</t>
        </is>
      </c>
      <c r="S60">
        <f>HYPERLINK("https://klasma.github.io/Logging_1880/artfynd/A 63196-2025 artfynd.xlsx", "A 63196-2025")</f>
        <v/>
      </c>
      <c r="T60">
        <f>HYPERLINK("https://klasma.github.io/Logging_1880/kartor/A 63196-2025 karta.png", "A 63196-2025")</f>
        <v/>
      </c>
      <c r="V60">
        <f>HYPERLINK("https://klasma.github.io/Logging_1880/klagomål/A 63196-2025 FSC-klagomål.docx", "A 63196-2025")</f>
        <v/>
      </c>
      <c r="W60">
        <f>HYPERLINK("https://klasma.github.io/Logging_1880/klagomålsmail/A 63196-2025 FSC-klagomål mail.docx", "A 63196-2025")</f>
        <v/>
      </c>
      <c r="X60">
        <f>HYPERLINK("https://klasma.github.io/Logging_1880/tillsyn/A 63196-2025 tillsynsbegäran.docx", "A 63196-2025")</f>
        <v/>
      </c>
      <c r="Y60">
        <f>HYPERLINK("https://klasma.github.io/Logging_1880/tillsynsmail/A 63196-2025 tillsynsbegäran mail.docx", "A 63196-2025")</f>
        <v/>
      </c>
    </row>
    <row r="61" ht="15" customHeight="1">
      <c r="A61" t="inlineStr">
        <is>
          <t>A 20032-2023</t>
        </is>
      </c>
      <c r="B61" s="1" t="n">
        <v>45054</v>
      </c>
      <c r="C61" s="1" t="n">
        <v>46037</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58838-2025</t>
        </is>
      </c>
      <c r="B62" s="1" t="n">
        <v>45987.35973379629</v>
      </c>
      <c r="C62" s="1" t="n">
        <v>46037</v>
      </c>
      <c r="D62" t="inlineStr">
        <is>
          <t>ÖREBRO LÄN</t>
        </is>
      </c>
      <c r="E62" t="inlineStr">
        <is>
          <t>ÖREBRO</t>
        </is>
      </c>
      <c r="G62" t="n">
        <v>1.7</v>
      </c>
      <c r="H62" t="n">
        <v>0</v>
      </c>
      <c r="I62" t="n">
        <v>1</v>
      </c>
      <c r="J62" t="n">
        <v>0</v>
      </c>
      <c r="K62" t="n">
        <v>0</v>
      </c>
      <c r="L62" t="n">
        <v>0</v>
      </c>
      <c r="M62" t="n">
        <v>0</v>
      </c>
      <c r="N62" t="n">
        <v>0</v>
      </c>
      <c r="O62" t="n">
        <v>0</v>
      </c>
      <c r="P62" t="n">
        <v>0</v>
      </c>
      <c r="Q62" t="n">
        <v>1</v>
      </c>
      <c r="R62" s="2" t="inlineStr">
        <is>
          <t>Grönpyrola</t>
        </is>
      </c>
      <c r="S62">
        <f>HYPERLINK("https://klasma.github.io/Logging_1880/artfynd/A 58838-2025 artfynd.xlsx", "A 58838-2025")</f>
        <v/>
      </c>
      <c r="T62">
        <f>HYPERLINK("https://klasma.github.io/Logging_1880/kartor/A 58838-2025 karta.png", "A 58838-2025")</f>
        <v/>
      </c>
      <c r="V62">
        <f>HYPERLINK("https://klasma.github.io/Logging_1880/klagomål/A 58838-2025 FSC-klagomål.docx", "A 58838-2025")</f>
        <v/>
      </c>
      <c r="W62">
        <f>HYPERLINK("https://klasma.github.io/Logging_1880/klagomålsmail/A 58838-2025 FSC-klagomål mail.docx", "A 58838-2025")</f>
        <v/>
      </c>
      <c r="X62">
        <f>HYPERLINK("https://klasma.github.io/Logging_1880/tillsyn/A 58838-2025 tillsynsbegäran.docx", "A 58838-2025")</f>
        <v/>
      </c>
      <c r="Y62">
        <f>HYPERLINK("https://klasma.github.io/Logging_1880/tillsynsmail/A 58838-2025 tillsynsbegäran mail.docx", "A 58838-2025")</f>
        <v/>
      </c>
    </row>
    <row r="63" ht="15" customHeight="1">
      <c r="A63" t="inlineStr">
        <is>
          <t>A 22604-2024</t>
        </is>
      </c>
      <c r="B63" s="1" t="n">
        <v>45447</v>
      </c>
      <c r="C63" s="1" t="n">
        <v>46037</v>
      </c>
      <c r="D63" t="inlineStr">
        <is>
          <t>ÖREBRO LÄN</t>
        </is>
      </c>
      <c r="E63" t="inlineStr">
        <is>
          <t>ÖREBRO</t>
        </is>
      </c>
      <c r="G63" t="n">
        <v>4.4</v>
      </c>
      <c r="H63" t="n">
        <v>0</v>
      </c>
      <c r="I63" t="n">
        <v>0</v>
      </c>
      <c r="J63" t="n">
        <v>1</v>
      </c>
      <c r="K63" t="n">
        <v>0</v>
      </c>
      <c r="L63" t="n">
        <v>0</v>
      </c>
      <c r="M63" t="n">
        <v>0</v>
      </c>
      <c r="N63" t="n">
        <v>0</v>
      </c>
      <c r="O63" t="n">
        <v>1</v>
      </c>
      <c r="P63" t="n">
        <v>0</v>
      </c>
      <c r="Q63" t="n">
        <v>1</v>
      </c>
      <c r="R63" s="2" t="inlineStr">
        <is>
          <t>Månlåsbräken</t>
        </is>
      </c>
      <c r="S63">
        <f>HYPERLINK("https://klasma.github.io/Logging_1880/artfynd/A 22604-2024 artfynd.xlsx", "A 22604-2024")</f>
        <v/>
      </c>
      <c r="T63">
        <f>HYPERLINK("https://klasma.github.io/Logging_1880/kartor/A 22604-2024 karta.png", "A 22604-2024")</f>
        <v/>
      </c>
      <c r="V63">
        <f>HYPERLINK("https://klasma.github.io/Logging_1880/klagomål/A 22604-2024 FSC-klagomål.docx", "A 22604-2024")</f>
        <v/>
      </c>
      <c r="W63">
        <f>HYPERLINK("https://klasma.github.io/Logging_1880/klagomålsmail/A 22604-2024 FSC-klagomål mail.docx", "A 22604-2024")</f>
        <v/>
      </c>
      <c r="X63">
        <f>HYPERLINK("https://klasma.github.io/Logging_1880/tillsyn/A 22604-2024 tillsynsbegäran.docx", "A 22604-2024")</f>
        <v/>
      </c>
      <c r="Y63">
        <f>HYPERLINK("https://klasma.github.io/Logging_1880/tillsynsmail/A 22604-2024 tillsynsbegäran mail.docx", "A 22604-2024")</f>
        <v/>
      </c>
    </row>
    <row r="64" ht="15" customHeight="1">
      <c r="A64" t="inlineStr">
        <is>
          <t>A 59516-2025</t>
        </is>
      </c>
      <c r="B64" s="1" t="n">
        <v>45989.65396990741</v>
      </c>
      <c r="C64" s="1" t="n">
        <v>46037</v>
      </c>
      <c r="D64" t="inlineStr">
        <is>
          <t>ÖREBRO LÄN</t>
        </is>
      </c>
      <c r="E64" t="inlineStr">
        <is>
          <t>ÖREBRO</t>
        </is>
      </c>
      <c r="F64" t="inlineStr">
        <is>
          <t>Sveaskog</t>
        </is>
      </c>
      <c r="G64" t="n">
        <v>1.9</v>
      </c>
      <c r="H64" t="n">
        <v>0</v>
      </c>
      <c r="I64" t="n">
        <v>1</v>
      </c>
      <c r="J64" t="n">
        <v>0</v>
      </c>
      <c r="K64" t="n">
        <v>0</v>
      </c>
      <c r="L64" t="n">
        <v>0</v>
      </c>
      <c r="M64" t="n">
        <v>0</v>
      </c>
      <c r="N64" t="n">
        <v>0</v>
      </c>
      <c r="O64" t="n">
        <v>0</v>
      </c>
      <c r="P64" t="n">
        <v>0</v>
      </c>
      <c r="Q64" t="n">
        <v>1</v>
      </c>
      <c r="R64" s="2" t="inlineStr">
        <is>
          <t>Tibast</t>
        </is>
      </c>
      <c r="S64">
        <f>HYPERLINK("https://klasma.github.io/Logging_1880/artfynd/A 59516-2025 artfynd.xlsx", "A 59516-2025")</f>
        <v/>
      </c>
      <c r="T64">
        <f>HYPERLINK("https://klasma.github.io/Logging_1880/kartor/A 59516-2025 karta.png", "A 59516-2025")</f>
        <v/>
      </c>
      <c r="V64">
        <f>HYPERLINK("https://klasma.github.io/Logging_1880/klagomål/A 59516-2025 FSC-klagomål.docx", "A 59516-2025")</f>
        <v/>
      </c>
      <c r="W64">
        <f>HYPERLINK("https://klasma.github.io/Logging_1880/klagomålsmail/A 59516-2025 FSC-klagomål mail.docx", "A 59516-2025")</f>
        <v/>
      </c>
      <c r="X64">
        <f>HYPERLINK("https://klasma.github.io/Logging_1880/tillsyn/A 59516-2025 tillsynsbegäran.docx", "A 59516-2025")</f>
        <v/>
      </c>
      <c r="Y64">
        <f>HYPERLINK("https://klasma.github.io/Logging_1880/tillsynsmail/A 59516-2025 tillsynsbegäran mail.docx", "A 59516-2025")</f>
        <v/>
      </c>
    </row>
    <row r="65" ht="15" customHeight="1">
      <c r="A65" t="inlineStr">
        <is>
          <t>A 30725-2023</t>
        </is>
      </c>
      <c r="B65" s="1" t="n">
        <v>45112.61451388889</v>
      </c>
      <c r="C65" s="1" t="n">
        <v>46037</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46037</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46037</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46037</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46037</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46037</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46037</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46037</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42636-2023</t>
        </is>
      </c>
      <c r="B73" s="1" t="n">
        <v>45181.49559027778</v>
      </c>
      <c r="C73" s="1" t="n">
        <v>46037</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46037</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46037</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46037</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46037</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46037</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46037</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46037</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3081-2021</t>
        </is>
      </c>
      <c r="B81" s="1" t="n">
        <v>44216</v>
      </c>
      <c r="C81" s="1" t="n">
        <v>46037</v>
      </c>
      <c r="D81" t="inlineStr">
        <is>
          <t>ÖREBRO LÄN</t>
        </is>
      </c>
      <c r="E81" t="inlineStr">
        <is>
          <t>ÖREBRO</t>
        </is>
      </c>
      <c r="G81" t="n">
        <v>4.2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46037</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46037</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13760-2021</t>
        </is>
      </c>
      <c r="B84" s="1" t="n">
        <v>44274</v>
      </c>
      <c r="C84" s="1" t="n">
        <v>46037</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46037</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46037</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46037</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46037</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46037</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46037</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46037</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46037</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46037</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46037</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46037</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46037</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46037</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46037</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46037</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46037</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46037</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46037</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46037</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46037</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46037</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46037</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46037</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46037</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46037</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46037</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4021-2021</t>
        </is>
      </c>
      <c r="B111" s="1" t="n">
        <v>44218</v>
      </c>
      <c r="C111" s="1" t="n">
        <v>46037</v>
      </c>
      <c r="D111" t="inlineStr">
        <is>
          <t>ÖREBRO LÄN</t>
        </is>
      </c>
      <c r="E111" t="inlineStr">
        <is>
          <t>ÖREBRO</t>
        </is>
      </c>
      <c r="G111" t="n">
        <v>5.3</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46037</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46037</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46037</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46037</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46037</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46037</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46037</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46037</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46037</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46037</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46037</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46037</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46037</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46037</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46037</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46037</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46037</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46037</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46037</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46037</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46037</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46037</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46037</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46037</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46037</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46037</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46037</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46037</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46037</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33814-2021</t>
        </is>
      </c>
      <c r="B141" s="1" t="n">
        <v>44378</v>
      </c>
      <c r="C141" s="1" t="n">
        <v>46037</v>
      </c>
      <c r="D141" t="inlineStr">
        <is>
          <t>ÖREBRO LÄN</t>
        </is>
      </c>
      <c r="E141" t="inlineStr">
        <is>
          <t>ÖREBRO</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46037</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46037</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46037</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9362-2022</t>
        </is>
      </c>
      <c r="B145" s="1" t="n">
        <v>44616.59946759259</v>
      </c>
      <c r="C145" s="1" t="n">
        <v>46037</v>
      </c>
      <c r="D145" t="inlineStr">
        <is>
          <t>ÖREBRO LÄN</t>
        </is>
      </c>
      <c r="E145" t="inlineStr">
        <is>
          <t>ÖREBRO</t>
        </is>
      </c>
      <c r="G145" t="n">
        <v>1.3</v>
      </c>
      <c r="H145" t="n">
        <v>0</v>
      </c>
      <c r="I145" t="n">
        <v>0</v>
      </c>
      <c r="J145" t="n">
        <v>0</v>
      </c>
      <c r="K145" t="n">
        <v>0</v>
      </c>
      <c r="L145" t="n">
        <v>0</v>
      </c>
      <c r="M145" t="n">
        <v>0</v>
      </c>
      <c r="N145" t="n">
        <v>0</v>
      </c>
      <c r="O145" t="n">
        <v>0</v>
      </c>
      <c r="P145" t="n">
        <v>0</v>
      </c>
      <c r="Q145" t="n">
        <v>0</v>
      </c>
      <c r="R145" s="2" t="inlineStr"/>
    </row>
    <row r="146" ht="15" customHeight="1">
      <c r="A146" t="inlineStr">
        <is>
          <t>A 19468-2021</t>
        </is>
      </c>
      <c r="B146" s="1" t="n">
        <v>44311</v>
      </c>
      <c r="C146" s="1" t="n">
        <v>46037</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44165-2022</t>
        </is>
      </c>
      <c r="B147" s="1" t="n">
        <v>44839</v>
      </c>
      <c r="C147" s="1" t="n">
        <v>46037</v>
      </c>
      <c r="D147" t="inlineStr">
        <is>
          <t>ÖREBRO LÄN</t>
        </is>
      </c>
      <c r="E147" t="inlineStr">
        <is>
          <t>ÖREBRO</t>
        </is>
      </c>
      <c r="G147" t="n">
        <v>0.5</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46037</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46037</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46037</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46037</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46037</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46037</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46037</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46037</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46037</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46037</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19978-2025</t>
        </is>
      </c>
      <c r="B158" s="1" t="n">
        <v>45771.7062037037</v>
      </c>
      <c r="C158" s="1" t="n">
        <v>46037</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15354-2024</t>
        </is>
      </c>
      <c r="B159" s="1" t="n">
        <v>45400.85319444445</v>
      </c>
      <c r="C159" s="1" t="n">
        <v>46037</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11067-2025</t>
        </is>
      </c>
      <c r="B160" s="1" t="n">
        <v>45723</v>
      </c>
      <c r="C160" s="1" t="n">
        <v>46037</v>
      </c>
      <c r="D160" t="inlineStr">
        <is>
          <t>ÖREBRO LÄN</t>
        </is>
      </c>
      <c r="E160" t="inlineStr">
        <is>
          <t>ÖREBRO</t>
        </is>
      </c>
      <c r="G160" t="n">
        <v>3.1</v>
      </c>
      <c r="H160" t="n">
        <v>0</v>
      </c>
      <c r="I160" t="n">
        <v>0</v>
      </c>
      <c r="J160" t="n">
        <v>0</v>
      </c>
      <c r="K160" t="n">
        <v>0</v>
      </c>
      <c r="L160" t="n">
        <v>0</v>
      </c>
      <c r="M160" t="n">
        <v>0</v>
      </c>
      <c r="N160" t="n">
        <v>0</v>
      </c>
      <c r="O160" t="n">
        <v>0</v>
      </c>
      <c r="P160" t="n">
        <v>0</v>
      </c>
      <c r="Q160" t="n">
        <v>0</v>
      </c>
      <c r="R160" s="2" t="inlineStr"/>
    </row>
    <row r="161" ht="15" customHeight="1">
      <c r="A161" t="inlineStr">
        <is>
          <t>A 19831-2021</t>
        </is>
      </c>
      <c r="B161" s="1" t="n">
        <v>44313</v>
      </c>
      <c r="C161" s="1" t="n">
        <v>46037</v>
      </c>
      <c r="D161" t="inlineStr">
        <is>
          <t>ÖREBRO LÄN</t>
        </is>
      </c>
      <c r="E161" t="inlineStr">
        <is>
          <t>ÖREBRO</t>
        </is>
      </c>
      <c r="G161" t="n">
        <v>3.2</v>
      </c>
      <c r="H161" t="n">
        <v>0</v>
      </c>
      <c r="I161" t="n">
        <v>0</v>
      </c>
      <c r="J161" t="n">
        <v>0</v>
      </c>
      <c r="K161" t="n">
        <v>0</v>
      </c>
      <c r="L161" t="n">
        <v>0</v>
      </c>
      <c r="M161" t="n">
        <v>0</v>
      </c>
      <c r="N161" t="n">
        <v>0</v>
      </c>
      <c r="O161" t="n">
        <v>0</v>
      </c>
      <c r="P161" t="n">
        <v>0</v>
      </c>
      <c r="Q161" t="n">
        <v>0</v>
      </c>
      <c r="R161" s="2" t="inlineStr"/>
    </row>
    <row r="162" ht="15" customHeight="1">
      <c r="A162" t="inlineStr">
        <is>
          <t>A 13169-2024</t>
        </is>
      </c>
      <c r="B162" s="1" t="n">
        <v>45386.40489583334</v>
      </c>
      <c r="C162" s="1" t="n">
        <v>46037</v>
      </c>
      <c r="D162" t="inlineStr">
        <is>
          <t>ÖREBRO LÄN</t>
        </is>
      </c>
      <c r="E162" t="inlineStr">
        <is>
          <t>ÖREBRO</t>
        </is>
      </c>
      <c r="G162" t="n">
        <v>4.3</v>
      </c>
      <c r="H162" t="n">
        <v>0</v>
      </c>
      <c r="I162" t="n">
        <v>0</v>
      </c>
      <c r="J162" t="n">
        <v>0</v>
      </c>
      <c r="K162" t="n">
        <v>0</v>
      </c>
      <c r="L162" t="n">
        <v>0</v>
      </c>
      <c r="M162" t="n">
        <v>0</v>
      </c>
      <c r="N162" t="n">
        <v>0</v>
      </c>
      <c r="O162" t="n">
        <v>0</v>
      </c>
      <c r="P162" t="n">
        <v>0</v>
      </c>
      <c r="Q162" t="n">
        <v>0</v>
      </c>
      <c r="R162" s="2" t="inlineStr"/>
    </row>
    <row r="163" ht="15" customHeight="1">
      <c r="A163" t="inlineStr">
        <is>
          <t>A 9585-2025</t>
        </is>
      </c>
      <c r="B163" s="1" t="n">
        <v>45715.63409722222</v>
      </c>
      <c r="C163" s="1" t="n">
        <v>46037</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5357-2024</t>
        </is>
      </c>
      <c r="B164" s="1" t="n">
        <v>45331</v>
      </c>
      <c r="C164" s="1" t="n">
        <v>46037</v>
      </c>
      <c r="D164" t="inlineStr">
        <is>
          <t>ÖREBRO LÄN</t>
        </is>
      </c>
      <c r="E164" t="inlineStr">
        <is>
          <t>ÖREBRO</t>
        </is>
      </c>
      <c r="G164" t="n">
        <v>0.7</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46037</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681-2024</t>
        </is>
      </c>
      <c r="B166" s="1" t="n">
        <v>45300</v>
      </c>
      <c r="C166" s="1" t="n">
        <v>46037</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5125-2024</t>
        </is>
      </c>
      <c r="B167" s="1" t="n">
        <v>45330</v>
      </c>
      <c r="C167" s="1" t="n">
        <v>46037</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14234-2024</t>
        </is>
      </c>
      <c r="B168" s="1" t="n">
        <v>45393.46980324074</v>
      </c>
      <c r="C168" s="1" t="n">
        <v>46037</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52256-2023</t>
        </is>
      </c>
      <c r="B169" s="1" t="n">
        <v>45224.51471064815</v>
      </c>
      <c r="C169" s="1" t="n">
        <v>46037</v>
      </c>
      <c r="D169" t="inlineStr">
        <is>
          <t>ÖREBRO LÄN</t>
        </is>
      </c>
      <c r="E169" t="inlineStr">
        <is>
          <t>ÖREBRO</t>
        </is>
      </c>
      <c r="G169" t="n">
        <v>2.8</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46037</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43612-2022</t>
        </is>
      </c>
      <c r="B171" s="1" t="n">
        <v>44837</v>
      </c>
      <c r="C171" s="1" t="n">
        <v>46037</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46037</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46037</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34874-2022</t>
        </is>
      </c>
      <c r="B174" s="1" t="n">
        <v>44796</v>
      </c>
      <c r="C174" s="1" t="n">
        <v>46037</v>
      </c>
      <c r="D174" t="inlineStr">
        <is>
          <t>ÖREBRO LÄN</t>
        </is>
      </c>
      <c r="E174" t="inlineStr">
        <is>
          <t>ÖREBRO</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61593-2023</t>
        </is>
      </c>
      <c r="B175" s="1" t="n">
        <v>45265</v>
      </c>
      <c r="C175" s="1" t="n">
        <v>46037</v>
      </c>
      <c r="D175" t="inlineStr">
        <is>
          <t>ÖREBRO LÄN</t>
        </is>
      </c>
      <c r="E175" t="inlineStr">
        <is>
          <t>ÖREBRO</t>
        </is>
      </c>
      <c r="G175" t="n">
        <v>2.5</v>
      </c>
      <c r="H175" t="n">
        <v>0</v>
      </c>
      <c r="I175" t="n">
        <v>0</v>
      </c>
      <c r="J175" t="n">
        <v>0</v>
      </c>
      <c r="K175" t="n">
        <v>0</v>
      </c>
      <c r="L175" t="n">
        <v>0</v>
      </c>
      <c r="M175" t="n">
        <v>0</v>
      </c>
      <c r="N175" t="n">
        <v>0</v>
      </c>
      <c r="O175" t="n">
        <v>0</v>
      </c>
      <c r="P175" t="n">
        <v>0</v>
      </c>
      <c r="Q175" t="n">
        <v>0</v>
      </c>
      <c r="R175" s="2" t="inlineStr"/>
    </row>
    <row r="176" ht="15" customHeight="1">
      <c r="A176" t="inlineStr">
        <is>
          <t>A 42138-2024</t>
        </is>
      </c>
      <c r="B176" s="1" t="n">
        <v>45562.41854166667</v>
      </c>
      <c r="C176" s="1" t="n">
        <v>46037</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22719-2025</t>
        </is>
      </c>
      <c r="B177" s="1" t="n">
        <v>45789</v>
      </c>
      <c r="C177" s="1" t="n">
        <v>46037</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30316-2024</t>
        </is>
      </c>
      <c r="B178" s="1" t="n">
        <v>45490</v>
      </c>
      <c r="C178" s="1" t="n">
        <v>46037</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38790-2024</t>
        </is>
      </c>
      <c r="B179" s="1" t="n">
        <v>45547.48450231482</v>
      </c>
      <c r="C179" s="1" t="n">
        <v>46037</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40597-2021</t>
        </is>
      </c>
      <c r="B180" s="1" t="n">
        <v>44420</v>
      </c>
      <c r="C180" s="1" t="n">
        <v>46037</v>
      </c>
      <c r="D180" t="inlineStr">
        <is>
          <t>ÖREBRO LÄN</t>
        </is>
      </c>
      <c r="E180" t="inlineStr">
        <is>
          <t>ÖREBRO</t>
        </is>
      </c>
      <c r="G180" t="n">
        <v>2.1</v>
      </c>
      <c r="H180" t="n">
        <v>0</v>
      </c>
      <c r="I180" t="n">
        <v>0</v>
      </c>
      <c r="J180" t="n">
        <v>0</v>
      </c>
      <c r="K180" t="n">
        <v>0</v>
      </c>
      <c r="L180" t="n">
        <v>0</v>
      </c>
      <c r="M180" t="n">
        <v>0</v>
      </c>
      <c r="N180" t="n">
        <v>0</v>
      </c>
      <c r="O180" t="n">
        <v>0</v>
      </c>
      <c r="P180" t="n">
        <v>0</v>
      </c>
      <c r="Q180" t="n">
        <v>0</v>
      </c>
      <c r="R180" s="2" t="inlineStr"/>
    </row>
    <row r="181" ht="15" customHeight="1">
      <c r="A181" t="inlineStr">
        <is>
          <t>A 61279-2024</t>
        </is>
      </c>
      <c r="B181" s="1" t="n">
        <v>45645</v>
      </c>
      <c r="C181" s="1" t="n">
        <v>46037</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38842-2022</t>
        </is>
      </c>
      <c r="B182" s="1" t="n">
        <v>44814</v>
      </c>
      <c r="C182" s="1" t="n">
        <v>46037</v>
      </c>
      <c r="D182" t="inlineStr">
        <is>
          <t>ÖREBRO LÄN</t>
        </is>
      </c>
      <c r="E182" t="inlineStr">
        <is>
          <t>ÖREBRO</t>
        </is>
      </c>
      <c r="G182" t="n">
        <v>5</v>
      </c>
      <c r="H182" t="n">
        <v>0</v>
      </c>
      <c r="I182" t="n">
        <v>0</v>
      </c>
      <c r="J182" t="n">
        <v>0</v>
      </c>
      <c r="K182" t="n">
        <v>0</v>
      </c>
      <c r="L182" t="n">
        <v>0</v>
      </c>
      <c r="M182" t="n">
        <v>0</v>
      </c>
      <c r="N182" t="n">
        <v>0</v>
      </c>
      <c r="O182" t="n">
        <v>0</v>
      </c>
      <c r="P182" t="n">
        <v>0</v>
      </c>
      <c r="Q182" t="n">
        <v>0</v>
      </c>
      <c r="R182" s="2" t="inlineStr"/>
    </row>
    <row r="183" ht="15" customHeight="1">
      <c r="A183" t="inlineStr">
        <is>
          <t>A 71269-2021</t>
        </is>
      </c>
      <c r="B183" s="1" t="n">
        <v>44539</v>
      </c>
      <c r="C183" s="1" t="n">
        <v>46037</v>
      </c>
      <c r="D183" t="inlineStr">
        <is>
          <t>ÖREBRO LÄN</t>
        </is>
      </c>
      <c r="E183" t="inlineStr">
        <is>
          <t>ÖREBRO</t>
        </is>
      </c>
      <c r="G183" t="n">
        <v>1.4</v>
      </c>
      <c r="H183" t="n">
        <v>0</v>
      </c>
      <c r="I183" t="n">
        <v>0</v>
      </c>
      <c r="J183" t="n">
        <v>0</v>
      </c>
      <c r="K183" t="n">
        <v>0</v>
      </c>
      <c r="L183" t="n">
        <v>0</v>
      </c>
      <c r="M183" t="n">
        <v>0</v>
      </c>
      <c r="N183" t="n">
        <v>0</v>
      </c>
      <c r="O183" t="n">
        <v>0</v>
      </c>
      <c r="P183" t="n">
        <v>0</v>
      </c>
      <c r="Q183" t="n">
        <v>0</v>
      </c>
      <c r="R183" s="2" t="inlineStr"/>
    </row>
    <row r="184" ht="15" customHeight="1">
      <c r="A184" t="inlineStr">
        <is>
          <t>A 15555-2025</t>
        </is>
      </c>
      <c r="B184" s="1" t="n">
        <v>45747.67768518518</v>
      </c>
      <c r="C184" s="1" t="n">
        <v>46037</v>
      </c>
      <c r="D184" t="inlineStr">
        <is>
          <t>ÖREBRO LÄN</t>
        </is>
      </c>
      <c r="E184" t="inlineStr">
        <is>
          <t>ÖREBRO</t>
        </is>
      </c>
      <c r="G184" t="n">
        <v>1.7</v>
      </c>
      <c r="H184" t="n">
        <v>0</v>
      </c>
      <c r="I184" t="n">
        <v>0</v>
      </c>
      <c r="J184" t="n">
        <v>0</v>
      </c>
      <c r="K184" t="n">
        <v>0</v>
      </c>
      <c r="L184" t="n">
        <v>0</v>
      </c>
      <c r="M184" t="n">
        <v>0</v>
      </c>
      <c r="N184" t="n">
        <v>0</v>
      </c>
      <c r="O184" t="n">
        <v>0</v>
      </c>
      <c r="P184" t="n">
        <v>0</v>
      </c>
      <c r="Q184" t="n">
        <v>0</v>
      </c>
      <c r="R184" s="2" t="inlineStr"/>
    </row>
    <row r="185" ht="15" customHeight="1">
      <c r="A185" t="inlineStr">
        <is>
          <t>A 8575-2021</t>
        </is>
      </c>
      <c r="B185" s="1" t="n">
        <v>44245</v>
      </c>
      <c r="C185" s="1" t="n">
        <v>46037</v>
      </c>
      <c r="D185" t="inlineStr">
        <is>
          <t>ÖREBRO LÄN</t>
        </is>
      </c>
      <c r="E185" t="inlineStr">
        <is>
          <t>ÖREBRO</t>
        </is>
      </c>
      <c r="G185" t="n">
        <v>3.4</v>
      </c>
      <c r="H185" t="n">
        <v>0</v>
      </c>
      <c r="I185" t="n">
        <v>0</v>
      </c>
      <c r="J185" t="n">
        <v>0</v>
      </c>
      <c r="K185" t="n">
        <v>0</v>
      </c>
      <c r="L185" t="n">
        <v>0</v>
      </c>
      <c r="M185" t="n">
        <v>0</v>
      </c>
      <c r="N185" t="n">
        <v>0</v>
      </c>
      <c r="O185" t="n">
        <v>0</v>
      </c>
      <c r="P185" t="n">
        <v>0</v>
      </c>
      <c r="Q185" t="n">
        <v>0</v>
      </c>
      <c r="R185" s="2" t="inlineStr"/>
    </row>
    <row r="186" ht="15" customHeight="1">
      <c r="A186" t="inlineStr">
        <is>
          <t>A 26338-2021</t>
        </is>
      </c>
      <c r="B186" s="1" t="n">
        <v>44347</v>
      </c>
      <c r="C186" s="1" t="n">
        <v>46037</v>
      </c>
      <c r="D186" t="inlineStr">
        <is>
          <t>ÖREBRO LÄN</t>
        </is>
      </c>
      <c r="E186" t="inlineStr">
        <is>
          <t>ÖREBRO</t>
        </is>
      </c>
      <c r="G186" t="n">
        <v>0.5</v>
      </c>
      <c r="H186" t="n">
        <v>0</v>
      </c>
      <c r="I186" t="n">
        <v>0</v>
      </c>
      <c r="J186" t="n">
        <v>0</v>
      </c>
      <c r="K186" t="n">
        <v>0</v>
      </c>
      <c r="L186" t="n">
        <v>0</v>
      </c>
      <c r="M186" t="n">
        <v>0</v>
      </c>
      <c r="N186" t="n">
        <v>0</v>
      </c>
      <c r="O186" t="n">
        <v>0</v>
      </c>
      <c r="P186" t="n">
        <v>0</v>
      </c>
      <c r="Q186" t="n">
        <v>0</v>
      </c>
      <c r="R186" s="2" t="inlineStr"/>
    </row>
    <row r="187" ht="15" customHeight="1">
      <c r="A187" t="inlineStr">
        <is>
          <t>A 5136-2024</t>
        </is>
      </c>
      <c r="B187" s="1" t="n">
        <v>45330</v>
      </c>
      <c r="C187" s="1" t="n">
        <v>46037</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71266-2021</t>
        </is>
      </c>
      <c r="B188" s="1" t="n">
        <v>44539</v>
      </c>
      <c r="C188" s="1" t="n">
        <v>46037</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71267-2021</t>
        </is>
      </c>
      <c r="B189" s="1" t="n">
        <v>44539</v>
      </c>
      <c r="C189" s="1" t="n">
        <v>46037</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71280-2021</t>
        </is>
      </c>
      <c r="B190" s="1" t="n">
        <v>44539</v>
      </c>
      <c r="C190" s="1" t="n">
        <v>46037</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4380-2025</t>
        </is>
      </c>
      <c r="B191" s="1" t="n">
        <v>45686.3959375</v>
      </c>
      <c r="C191" s="1" t="n">
        <v>46037</v>
      </c>
      <c r="D191" t="inlineStr">
        <is>
          <t>ÖREBRO LÄN</t>
        </is>
      </c>
      <c r="E191" t="inlineStr">
        <is>
          <t>ÖREBRO</t>
        </is>
      </c>
      <c r="G191" t="n">
        <v>3.2</v>
      </c>
      <c r="H191" t="n">
        <v>0</v>
      </c>
      <c r="I191" t="n">
        <v>0</v>
      </c>
      <c r="J191" t="n">
        <v>0</v>
      </c>
      <c r="K191" t="n">
        <v>0</v>
      </c>
      <c r="L191" t="n">
        <v>0</v>
      </c>
      <c r="M191" t="n">
        <v>0</v>
      </c>
      <c r="N191" t="n">
        <v>0</v>
      </c>
      <c r="O191" t="n">
        <v>0</v>
      </c>
      <c r="P191" t="n">
        <v>0</v>
      </c>
      <c r="Q191" t="n">
        <v>0</v>
      </c>
      <c r="R191" s="2" t="inlineStr"/>
    </row>
    <row r="192" ht="15" customHeight="1">
      <c r="A192" t="inlineStr">
        <is>
          <t>A 34358-2022</t>
        </is>
      </c>
      <c r="B192" s="1" t="n">
        <v>44792.45494212963</v>
      </c>
      <c r="C192" s="1" t="n">
        <v>46037</v>
      </c>
      <c r="D192" t="inlineStr">
        <is>
          <t>ÖREBRO LÄN</t>
        </is>
      </c>
      <c r="E192" t="inlineStr">
        <is>
          <t>ÖREBRO</t>
        </is>
      </c>
      <c r="F192" t="inlineStr">
        <is>
          <t>Övriga Aktiebolag</t>
        </is>
      </c>
      <c r="G192" t="n">
        <v>3.4</v>
      </c>
      <c r="H192" t="n">
        <v>0</v>
      </c>
      <c r="I192" t="n">
        <v>0</v>
      </c>
      <c r="J192" t="n">
        <v>0</v>
      </c>
      <c r="K192" t="n">
        <v>0</v>
      </c>
      <c r="L192" t="n">
        <v>0</v>
      </c>
      <c r="M192" t="n">
        <v>0</v>
      </c>
      <c r="N192" t="n">
        <v>0</v>
      </c>
      <c r="O192" t="n">
        <v>0</v>
      </c>
      <c r="P192" t="n">
        <v>0</v>
      </c>
      <c r="Q192" t="n">
        <v>0</v>
      </c>
      <c r="R192" s="2" t="inlineStr"/>
    </row>
    <row r="193" ht="15" customHeight="1">
      <c r="A193" t="inlineStr">
        <is>
          <t>A 15695-2024</t>
        </is>
      </c>
      <c r="B193" s="1" t="n">
        <v>45404.45487268519</v>
      </c>
      <c r="C193" s="1" t="n">
        <v>46037</v>
      </c>
      <c r="D193" t="inlineStr">
        <is>
          <t>ÖREBRO LÄN</t>
        </is>
      </c>
      <c r="E193" t="inlineStr">
        <is>
          <t>ÖREBRO</t>
        </is>
      </c>
      <c r="G193" t="n">
        <v>2.7</v>
      </c>
      <c r="H193" t="n">
        <v>0</v>
      </c>
      <c r="I193" t="n">
        <v>0</v>
      </c>
      <c r="J193" t="n">
        <v>0</v>
      </c>
      <c r="K193" t="n">
        <v>0</v>
      </c>
      <c r="L193" t="n">
        <v>0</v>
      </c>
      <c r="M193" t="n">
        <v>0</v>
      </c>
      <c r="N193" t="n">
        <v>0</v>
      </c>
      <c r="O193" t="n">
        <v>0</v>
      </c>
      <c r="P193" t="n">
        <v>0</v>
      </c>
      <c r="Q193" t="n">
        <v>0</v>
      </c>
      <c r="R193" s="2" t="inlineStr"/>
    </row>
    <row r="194" ht="15" customHeight="1">
      <c r="A194" t="inlineStr">
        <is>
          <t>A 5406-2025</t>
        </is>
      </c>
      <c r="B194" s="1" t="n">
        <v>45692.64821759259</v>
      </c>
      <c r="C194" s="1" t="n">
        <v>46037</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22348-2024</t>
        </is>
      </c>
      <c r="B195" s="1" t="n">
        <v>45446.61256944444</v>
      </c>
      <c r="C195" s="1" t="n">
        <v>46037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52018-2024</t>
        </is>
      </c>
      <c r="B196" s="1" t="n">
        <v>45607.82974537037</v>
      </c>
      <c r="C196" s="1" t="n">
        <v>46037</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30089-2024</t>
        </is>
      </c>
      <c r="B197" s="1" t="n">
        <v>45485</v>
      </c>
      <c r="C197" s="1" t="n">
        <v>46037</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71295-2021</t>
        </is>
      </c>
      <c r="B198" s="1" t="n">
        <v>44539.63009259259</v>
      </c>
      <c r="C198" s="1" t="n">
        <v>46037</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row>
    <row r="199" ht="15" customHeight="1">
      <c r="A199" t="inlineStr">
        <is>
          <t>A 46030-2024</t>
        </is>
      </c>
      <c r="B199" s="1" t="n">
        <v>45580.70377314815</v>
      </c>
      <c r="C199" s="1" t="n">
        <v>46037</v>
      </c>
      <c r="D199" t="inlineStr">
        <is>
          <t>ÖREBRO LÄN</t>
        </is>
      </c>
      <c r="E199" t="inlineStr">
        <is>
          <t>ÖREBRO</t>
        </is>
      </c>
      <c r="G199" t="n">
        <v>3.9</v>
      </c>
      <c r="H199" t="n">
        <v>0</v>
      </c>
      <c r="I199" t="n">
        <v>0</v>
      </c>
      <c r="J199" t="n">
        <v>0</v>
      </c>
      <c r="K199" t="n">
        <v>0</v>
      </c>
      <c r="L199" t="n">
        <v>0</v>
      </c>
      <c r="M199" t="n">
        <v>0</v>
      </c>
      <c r="N199" t="n">
        <v>0</v>
      </c>
      <c r="O199" t="n">
        <v>0</v>
      </c>
      <c r="P199" t="n">
        <v>0</v>
      </c>
      <c r="Q199" t="n">
        <v>0</v>
      </c>
      <c r="R199" s="2" t="inlineStr"/>
    </row>
    <row r="200" ht="15" customHeight="1">
      <c r="A200" t="inlineStr">
        <is>
          <t>A 5643-2025</t>
        </is>
      </c>
      <c r="B200" s="1" t="n">
        <v>45693</v>
      </c>
      <c r="C200" s="1" t="n">
        <v>46037</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11516-2024</t>
        </is>
      </c>
      <c r="B201" s="1" t="n">
        <v>45372</v>
      </c>
      <c r="C201" s="1" t="n">
        <v>46037</v>
      </c>
      <c r="D201" t="inlineStr">
        <is>
          <t>ÖREBRO LÄN</t>
        </is>
      </c>
      <c r="E201" t="inlineStr">
        <is>
          <t>ÖREBRO</t>
        </is>
      </c>
      <c r="G201" t="n">
        <v>10.7</v>
      </c>
      <c r="H201" t="n">
        <v>0</v>
      </c>
      <c r="I201" t="n">
        <v>0</v>
      </c>
      <c r="J201" t="n">
        <v>0</v>
      </c>
      <c r="K201" t="n">
        <v>0</v>
      </c>
      <c r="L201" t="n">
        <v>0</v>
      </c>
      <c r="M201" t="n">
        <v>0</v>
      </c>
      <c r="N201" t="n">
        <v>0</v>
      </c>
      <c r="O201" t="n">
        <v>0</v>
      </c>
      <c r="P201" t="n">
        <v>0</v>
      </c>
      <c r="Q201" t="n">
        <v>0</v>
      </c>
      <c r="R201" s="2" t="inlineStr"/>
    </row>
    <row r="202" ht="15" customHeight="1">
      <c r="A202" t="inlineStr">
        <is>
          <t>A 5342-2024</t>
        </is>
      </c>
      <c r="B202" s="1" t="n">
        <v>45331.44145833333</v>
      </c>
      <c r="C202" s="1" t="n">
        <v>46037</v>
      </c>
      <c r="D202" t="inlineStr">
        <is>
          <t>ÖREBRO LÄN</t>
        </is>
      </c>
      <c r="E202" t="inlineStr">
        <is>
          <t>ÖREBRO</t>
        </is>
      </c>
      <c r="G202" t="n">
        <v>2.5</v>
      </c>
      <c r="H202" t="n">
        <v>0</v>
      </c>
      <c r="I202" t="n">
        <v>0</v>
      </c>
      <c r="J202" t="n">
        <v>0</v>
      </c>
      <c r="K202" t="n">
        <v>0</v>
      </c>
      <c r="L202" t="n">
        <v>0</v>
      </c>
      <c r="M202" t="n">
        <v>0</v>
      </c>
      <c r="N202" t="n">
        <v>0</v>
      </c>
      <c r="O202" t="n">
        <v>0</v>
      </c>
      <c r="P202" t="n">
        <v>0</v>
      </c>
      <c r="Q202" t="n">
        <v>0</v>
      </c>
      <c r="R202" s="2" t="inlineStr"/>
    </row>
    <row r="203" ht="15" customHeight="1">
      <c r="A203" t="inlineStr">
        <is>
          <t>A 48581-2024</t>
        </is>
      </c>
      <c r="B203" s="1" t="n">
        <v>45593.41642361111</v>
      </c>
      <c r="C203" s="1" t="n">
        <v>46037</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41678-2024</t>
        </is>
      </c>
      <c r="B204" s="1" t="n">
        <v>45560</v>
      </c>
      <c r="C204" s="1" t="n">
        <v>46037</v>
      </c>
      <c r="D204" t="inlineStr">
        <is>
          <t>ÖREBRO LÄN</t>
        </is>
      </c>
      <c r="E204" t="inlineStr">
        <is>
          <t>ÖREBRO</t>
        </is>
      </c>
      <c r="G204" t="n">
        <v>11.3</v>
      </c>
      <c r="H204" t="n">
        <v>0</v>
      </c>
      <c r="I204" t="n">
        <v>0</v>
      </c>
      <c r="J204" t="n">
        <v>0</v>
      </c>
      <c r="K204" t="n">
        <v>0</v>
      </c>
      <c r="L204" t="n">
        <v>0</v>
      </c>
      <c r="M204" t="n">
        <v>0</v>
      </c>
      <c r="N204" t="n">
        <v>0</v>
      </c>
      <c r="O204" t="n">
        <v>0</v>
      </c>
      <c r="P204" t="n">
        <v>0</v>
      </c>
      <c r="Q204" t="n">
        <v>0</v>
      </c>
      <c r="R204" s="2" t="inlineStr"/>
    </row>
    <row r="205" ht="15" customHeight="1">
      <c r="A205" t="inlineStr">
        <is>
          <t>A 18550-2025</t>
        </is>
      </c>
      <c r="B205" s="1" t="n">
        <v>45763.43422453704</v>
      </c>
      <c r="C205" s="1" t="n">
        <v>46037</v>
      </c>
      <c r="D205" t="inlineStr">
        <is>
          <t>ÖREBRO LÄN</t>
        </is>
      </c>
      <c r="E205" t="inlineStr">
        <is>
          <t>ÖREBRO</t>
        </is>
      </c>
      <c r="G205" t="n">
        <v>11.5</v>
      </c>
      <c r="H205" t="n">
        <v>0</v>
      </c>
      <c r="I205" t="n">
        <v>0</v>
      </c>
      <c r="J205" t="n">
        <v>0</v>
      </c>
      <c r="K205" t="n">
        <v>0</v>
      </c>
      <c r="L205" t="n">
        <v>0</v>
      </c>
      <c r="M205" t="n">
        <v>0</v>
      </c>
      <c r="N205" t="n">
        <v>0</v>
      </c>
      <c r="O205" t="n">
        <v>0</v>
      </c>
      <c r="P205" t="n">
        <v>0</v>
      </c>
      <c r="Q205" t="n">
        <v>0</v>
      </c>
      <c r="R205" s="2" t="inlineStr"/>
    </row>
    <row r="206" ht="15" customHeight="1">
      <c r="A206" t="inlineStr">
        <is>
          <t>A 47047-2022</t>
        </is>
      </c>
      <c r="B206" s="1" t="n">
        <v>44852.39063657408</v>
      </c>
      <c r="C206" s="1" t="n">
        <v>46037</v>
      </c>
      <c r="D206" t="inlineStr">
        <is>
          <t>ÖREBRO LÄN</t>
        </is>
      </c>
      <c r="E206" t="inlineStr">
        <is>
          <t>ÖREBRO</t>
        </is>
      </c>
      <c r="G206" t="n">
        <v>1.6</v>
      </c>
      <c r="H206" t="n">
        <v>0</v>
      </c>
      <c r="I206" t="n">
        <v>0</v>
      </c>
      <c r="J206" t="n">
        <v>0</v>
      </c>
      <c r="K206" t="n">
        <v>0</v>
      </c>
      <c r="L206" t="n">
        <v>0</v>
      </c>
      <c r="M206" t="n">
        <v>0</v>
      </c>
      <c r="N206" t="n">
        <v>0</v>
      </c>
      <c r="O206" t="n">
        <v>0</v>
      </c>
      <c r="P206" t="n">
        <v>0</v>
      </c>
      <c r="Q206" t="n">
        <v>0</v>
      </c>
      <c r="R206" s="2" t="inlineStr"/>
    </row>
    <row r="207" ht="15" customHeight="1">
      <c r="A207" t="inlineStr">
        <is>
          <t>A 39003-2025</t>
        </is>
      </c>
      <c r="B207" s="1" t="n">
        <v>45888.34467592592</v>
      </c>
      <c r="C207" s="1" t="n">
        <v>46037</v>
      </c>
      <c r="D207" t="inlineStr">
        <is>
          <t>ÖREBRO LÄN</t>
        </is>
      </c>
      <c r="E207" t="inlineStr">
        <is>
          <t>ÖREBRO</t>
        </is>
      </c>
      <c r="G207" t="n">
        <v>3.7</v>
      </c>
      <c r="H207" t="n">
        <v>0</v>
      </c>
      <c r="I207" t="n">
        <v>0</v>
      </c>
      <c r="J207" t="n">
        <v>0</v>
      </c>
      <c r="K207" t="n">
        <v>0</v>
      </c>
      <c r="L207" t="n">
        <v>0</v>
      </c>
      <c r="M207" t="n">
        <v>0</v>
      </c>
      <c r="N207" t="n">
        <v>0</v>
      </c>
      <c r="O207" t="n">
        <v>0</v>
      </c>
      <c r="P207" t="n">
        <v>0</v>
      </c>
      <c r="Q207" t="n">
        <v>0</v>
      </c>
      <c r="R207" s="2" t="inlineStr"/>
    </row>
    <row r="208" ht="15" customHeight="1">
      <c r="A208" t="inlineStr">
        <is>
          <t>A 15422-2022</t>
        </is>
      </c>
      <c r="B208" s="1" t="n">
        <v>44659.63753472222</v>
      </c>
      <c r="C208" s="1" t="n">
        <v>46037</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13418-2024</t>
        </is>
      </c>
      <c r="B209" s="1" t="n">
        <v>45387.46482638889</v>
      </c>
      <c r="C209" s="1" t="n">
        <v>46037</v>
      </c>
      <c r="D209" t="inlineStr">
        <is>
          <t>ÖREBRO LÄN</t>
        </is>
      </c>
      <c r="E209" t="inlineStr">
        <is>
          <t>ÖREBRO</t>
        </is>
      </c>
      <c r="G209" t="n">
        <v>4.2</v>
      </c>
      <c r="H209" t="n">
        <v>0</v>
      </c>
      <c r="I209" t="n">
        <v>0</v>
      </c>
      <c r="J209" t="n">
        <v>0</v>
      </c>
      <c r="K209" t="n">
        <v>0</v>
      </c>
      <c r="L209" t="n">
        <v>0</v>
      </c>
      <c r="M209" t="n">
        <v>0</v>
      </c>
      <c r="N209" t="n">
        <v>0</v>
      </c>
      <c r="O209" t="n">
        <v>0</v>
      </c>
      <c r="P209" t="n">
        <v>0</v>
      </c>
      <c r="Q209" t="n">
        <v>0</v>
      </c>
      <c r="R209" s="2" t="inlineStr"/>
    </row>
    <row r="210" ht="15" customHeight="1">
      <c r="A210" t="inlineStr">
        <is>
          <t>A 46323-2024</t>
        </is>
      </c>
      <c r="B210" s="1" t="n">
        <v>45581.84538194445</v>
      </c>
      <c r="C210" s="1" t="n">
        <v>46037</v>
      </c>
      <c r="D210" t="inlineStr">
        <is>
          <t>ÖREBRO LÄN</t>
        </is>
      </c>
      <c r="E210" t="inlineStr">
        <is>
          <t>ÖREBRO</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21036-2024</t>
        </is>
      </c>
      <c r="B211" s="1" t="n">
        <v>45439.65954861111</v>
      </c>
      <c r="C211" s="1" t="n">
        <v>46037</v>
      </c>
      <c r="D211" t="inlineStr">
        <is>
          <t>ÖREBRO LÄN</t>
        </is>
      </c>
      <c r="E211" t="inlineStr">
        <is>
          <t>ÖREBRO</t>
        </is>
      </c>
      <c r="F211" t="inlineStr">
        <is>
          <t>Övriga Aktiebolag</t>
        </is>
      </c>
      <c r="G211" t="n">
        <v>5.7</v>
      </c>
      <c r="H211" t="n">
        <v>0</v>
      </c>
      <c r="I211" t="n">
        <v>0</v>
      </c>
      <c r="J211" t="n">
        <v>0</v>
      </c>
      <c r="K211" t="n">
        <v>0</v>
      </c>
      <c r="L211" t="n">
        <v>0</v>
      </c>
      <c r="M211" t="n">
        <v>0</v>
      </c>
      <c r="N211" t="n">
        <v>0</v>
      </c>
      <c r="O211" t="n">
        <v>0</v>
      </c>
      <c r="P211" t="n">
        <v>0</v>
      </c>
      <c r="Q211" t="n">
        <v>0</v>
      </c>
      <c r="R211" s="2" t="inlineStr"/>
    </row>
    <row r="212" ht="15" customHeight="1">
      <c r="A212" t="inlineStr">
        <is>
          <t>A 25578-2025</t>
        </is>
      </c>
      <c r="B212" s="1" t="n">
        <v>45803.47803240741</v>
      </c>
      <c r="C212" s="1" t="n">
        <v>46037</v>
      </c>
      <c r="D212" t="inlineStr">
        <is>
          <t>ÖREBRO LÄN</t>
        </is>
      </c>
      <c r="E212" t="inlineStr">
        <is>
          <t>ÖREBRO</t>
        </is>
      </c>
      <c r="G212" t="n">
        <v>0.9</v>
      </c>
      <c r="H212" t="n">
        <v>0</v>
      </c>
      <c r="I212" t="n">
        <v>0</v>
      </c>
      <c r="J212" t="n">
        <v>0</v>
      </c>
      <c r="K212" t="n">
        <v>0</v>
      </c>
      <c r="L212" t="n">
        <v>0</v>
      </c>
      <c r="M212" t="n">
        <v>0</v>
      </c>
      <c r="N212" t="n">
        <v>0</v>
      </c>
      <c r="O212" t="n">
        <v>0</v>
      </c>
      <c r="P212" t="n">
        <v>0</v>
      </c>
      <c r="Q212" t="n">
        <v>0</v>
      </c>
      <c r="R212" s="2" t="inlineStr"/>
    </row>
    <row r="213" ht="15" customHeight="1">
      <c r="A213" t="inlineStr">
        <is>
          <t>A 39446-2025</t>
        </is>
      </c>
      <c r="B213" s="1" t="n">
        <v>45889.70388888889</v>
      </c>
      <c r="C213" s="1" t="n">
        <v>46037</v>
      </c>
      <c r="D213" t="inlineStr">
        <is>
          <t>ÖREBRO LÄN</t>
        </is>
      </c>
      <c r="E213" t="inlineStr">
        <is>
          <t>ÖREBRO</t>
        </is>
      </c>
      <c r="F213" t="inlineStr">
        <is>
          <t>Kyrkan</t>
        </is>
      </c>
      <c r="G213" t="n">
        <v>3.2</v>
      </c>
      <c r="H213" t="n">
        <v>0</v>
      </c>
      <c r="I213" t="n">
        <v>0</v>
      </c>
      <c r="J213" t="n">
        <v>0</v>
      </c>
      <c r="K213" t="n">
        <v>0</v>
      </c>
      <c r="L213" t="n">
        <v>0</v>
      </c>
      <c r="M213" t="n">
        <v>0</v>
      </c>
      <c r="N213" t="n">
        <v>0</v>
      </c>
      <c r="O213" t="n">
        <v>0</v>
      </c>
      <c r="P213" t="n">
        <v>0</v>
      </c>
      <c r="Q213" t="n">
        <v>0</v>
      </c>
      <c r="R213" s="2" t="inlineStr"/>
    </row>
    <row r="214" ht="15" customHeight="1">
      <c r="A214" t="inlineStr">
        <is>
          <t>A 39479-2025</t>
        </is>
      </c>
      <c r="B214" s="1" t="n">
        <v>45890.34752314815</v>
      </c>
      <c r="C214" s="1" t="n">
        <v>46037</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25519-2025</t>
        </is>
      </c>
      <c r="B215" s="1" t="n">
        <v>45803.38447916666</v>
      </c>
      <c r="C215" s="1" t="n">
        <v>46037</v>
      </c>
      <c r="D215" t="inlineStr">
        <is>
          <t>ÖREBRO LÄN</t>
        </is>
      </c>
      <c r="E215" t="inlineStr">
        <is>
          <t>ÖREBRO</t>
        </is>
      </c>
      <c r="G215" t="n">
        <v>7.4</v>
      </c>
      <c r="H215" t="n">
        <v>0</v>
      </c>
      <c r="I215" t="n">
        <v>0</v>
      </c>
      <c r="J215" t="n">
        <v>0</v>
      </c>
      <c r="K215" t="n">
        <v>0</v>
      </c>
      <c r="L215" t="n">
        <v>0</v>
      </c>
      <c r="M215" t="n">
        <v>0</v>
      </c>
      <c r="N215" t="n">
        <v>0</v>
      </c>
      <c r="O215" t="n">
        <v>0</v>
      </c>
      <c r="P215" t="n">
        <v>0</v>
      </c>
      <c r="Q215" t="n">
        <v>0</v>
      </c>
      <c r="R215" s="2" t="inlineStr"/>
    </row>
    <row r="216" ht="15" customHeight="1">
      <c r="A216" t="inlineStr">
        <is>
          <t>A 48644-2024</t>
        </is>
      </c>
      <c r="B216" s="1" t="n">
        <v>45593.47466435185</v>
      </c>
      <c r="C216" s="1" t="n">
        <v>46037</v>
      </c>
      <c r="D216" t="inlineStr">
        <is>
          <t>ÖREBRO LÄN</t>
        </is>
      </c>
      <c r="E216" t="inlineStr">
        <is>
          <t>ÖREBRO</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16739-2023</t>
        </is>
      </c>
      <c r="B217" s="1" t="n">
        <v>45030.72627314815</v>
      </c>
      <c r="C217" s="1" t="n">
        <v>46037</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2771-2023</t>
        </is>
      </c>
      <c r="B218" s="1" t="n">
        <v>44944.64704861111</v>
      </c>
      <c r="C218" s="1" t="n">
        <v>46037</v>
      </c>
      <c r="D218" t="inlineStr">
        <is>
          <t>ÖREBRO LÄN</t>
        </is>
      </c>
      <c r="E218" t="inlineStr">
        <is>
          <t>ÖREBRO</t>
        </is>
      </c>
      <c r="G218" t="n">
        <v>15.4</v>
      </c>
      <c r="H218" t="n">
        <v>0</v>
      </c>
      <c r="I218" t="n">
        <v>0</v>
      </c>
      <c r="J218" t="n">
        <v>0</v>
      </c>
      <c r="K218" t="n">
        <v>0</v>
      </c>
      <c r="L218" t="n">
        <v>0</v>
      </c>
      <c r="M218" t="n">
        <v>0</v>
      </c>
      <c r="N218" t="n">
        <v>0</v>
      </c>
      <c r="O218" t="n">
        <v>0</v>
      </c>
      <c r="P218" t="n">
        <v>0</v>
      </c>
      <c r="Q218" t="n">
        <v>0</v>
      </c>
      <c r="R218" s="2" t="inlineStr"/>
    </row>
    <row r="219" ht="15" customHeight="1">
      <c r="A219" t="inlineStr">
        <is>
          <t>A 40330-2025</t>
        </is>
      </c>
      <c r="B219" s="1" t="n">
        <v>45895.4531712963</v>
      </c>
      <c r="C219" s="1" t="n">
        <v>46037</v>
      </c>
      <c r="D219" t="inlineStr">
        <is>
          <t>ÖREBRO LÄN</t>
        </is>
      </c>
      <c r="E219" t="inlineStr">
        <is>
          <t>ÖREBRO</t>
        </is>
      </c>
      <c r="G219" t="n">
        <v>0.9</v>
      </c>
      <c r="H219" t="n">
        <v>0</v>
      </c>
      <c r="I219" t="n">
        <v>0</v>
      </c>
      <c r="J219" t="n">
        <v>0</v>
      </c>
      <c r="K219" t="n">
        <v>0</v>
      </c>
      <c r="L219" t="n">
        <v>0</v>
      </c>
      <c r="M219" t="n">
        <v>0</v>
      </c>
      <c r="N219" t="n">
        <v>0</v>
      </c>
      <c r="O219" t="n">
        <v>0</v>
      </c>
      <c r="P219" t="n">
        <v>0</v>
      </c>
      <c r="Q219" t="n">
        <v>0</v>
      </c>
      <c r="R219" s="2" t="inlineStr"/>
    </row>
    <row r="220" ht="15" customHeight="1">
      <c r="A220" t="inlineStr">
        <is>
          <t>A 40332-2025</t>
        </is>
      </c>
      <c r="B220" s="1" t="n">
        <v>45895.46060185185</v>
      </c>
      <c r="C220" s="1" t="n">
        <v>46037</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12017-2024</t>
        </is>
      </c>
      <c r="B221" s="1" t="n">
        <v>45377</v>
      </c>
      <c r="C221" s="1" t="n">
        <v>46037</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56077-2022</t>
        </is>
      </c>
      <c r="B222" s="1" t="n">
        <v>44889.60872685185</v>
      </c>
      <c r="C222" s="1" t="n">
        <v>46037</v>
      </c>
      <c r="D222" t="inlineStr">
        <is>
          <t>ÖREBRO LÄN</t>
        </is>
      </c>
      <c r="E222" t="inlineStr">
        <is>
          <t>ÖREBRO</t>
        </is>
      </c>
      <c r="F222" t="inlineStr">
        <is>
          <t>Övriga Aktiebolag</t>
        </is>
      </c>
      <c r="G222" t="n">
        <v>2.5</v>
      </c>
      <c r="H222" t="n">
        <v>0</v>
      </c>
      <c r="I222" t="n">
        <v>0</v>
      </c>
      <c r="J222" t="n">
        <v>0</v>
      </c>
      <c r="K222" t="n">
        <v>0</v>
      </c>
      <c r="L222" t="n">
        <v>0</v>
      </c>
      <c r="M222" t="n">
        <v>0</v>
      </c>
      <c r="N222" t="n">
        <v>0</v>
      </c>
      <c r="O222" t="n">
        <v>0</v>
      </c>
      <c r="P222" t="n">
        <v>0</v>
      </c>
      <c r="Q222" t="n">
        <v>0</v>
      </c>
      <c r="R222" s="2" t="inlineStr"/>
    </row>
    <row r="223" ht="15" customHeight="1">
      <c r="A223" t="inlineStr">
        <is>
          <t>A 9609-2023</t>
        </is>
      </c>
      <c r="B223" s="1" t="n">
        <v>44983.93344907407</v>
      </c>
      <c r="C223" s="1" t="n">
        <v>46037</v>
      </c>
      <c r="D223" t="inlineStr">
        <is>
          <t>ÖREBRO LÄN</t>
        </is>
      </c>
      <c r="E223" t="inlineStr">
        <is>
          <t>ÖREBRO</t>
        </is>
      </c>
      <c r="G223" t="n">
        <v>2</v>
      </c>
      <c r="H223" t="n">
        <v>0</v>
      </c>
      <c r="I223" t="n">
        <v>0</v>
      </c>
      <c r="J223" t="n">
        <v>0</v>
      </c>
      <c r="K223" t="n">
        <v>0</v>
      </c>
      <c r="L223" t="n">
        <v>0</v>
      </c>
      <c r="M223" t="n">
        <v>0</v>
      </c>
      <c r="N223" t="n">
        <v>0</v>
      </c>
      <c r="O223" t="n">
        <v>0</v>
      </c>
      <c r="P223" t="n">
        <v>0</v>
      </c>
      <c r="Q223" t="n">
        <v>0</v>
      </c>
      <c r="R223" s="2" t="inlineStr"/>
    </row>
    <row r="224" ht="15" customHeight="1">
      <c r="A224" t="inlineStr">
        <is>
          <t>A 70707-2021</t>
        </is>
      </c>
      <c r="B224" s="1" t="n">
        <v>44537</v>
      </c>
      <c r="C224" s="1" t="n">
        <v>46037</v>
      </c>
      <c r="D224" t="inlineStr">
        <is>
          <t>ÖREBRO LÄN</t>
        </is>
      </c>
      <c r="E224" t="inlineStr">
        <is>
          <t>ÖREBRO</t>
        </is>
      </c>
      <c r="G224" t="n">
        <v>13.2</v>
      </c>
      <c r="H224" t="n">
        <v>0</v>
      </c>
      <c r="I224" t="n">
        <v>0</v>
      </c>
      <c r="J224" t="n">
        <v>0</v>
      </c>
      <c r="K224" t="n">
        <v>0</v>
      </c>
      <c r="L224" t="n">
        <v>0</v>
      </c>
      <c r="M224" t="n">
        <v>0</v>
      </c>
      <c r="N224" t="n">
        <v>0</v>
      </c>
      <c r="O224" t="n">
        <v>0</v>
      </c>
      <c r="P224" t="n">
        <v>0</v>
      </c>
      <c r="Q224" t="n">
        <v>0</v>
      </c>
      <c r="R224" s="2" t="inlineStr"/>
    </row>
    <row r="225" ht="15" customHeight="1">
      <c r="A225" t="inlineStr">
        <is>
          <t>A 57243-2022</t>
        </is>
      </c>
      <c r="B225" s="1" t="n">
        <v>44895.71835648148</v>
      </c>
      <c r="C225" s="1" t="n">
        <v>46037</v>
      </c>
      <c r="D225" t="inlineStr">
        <is>
          <t>ÖREBRO LÄN</t>
        </is>
      </c>
      <c r="E225" t="inlineStr">
        <is>
          <t>ÖREBRO</t>
        </is>
      </c>
      <c r="G225" t="n">
        <v>6</v>
      </c>
      <c r="H225" t="n">
        <v>0</v>
      </c>
      <c r="I225" t="n">
        <v>0</v>
      </c>
      <c r="J225" t="n">
        <v>0</v>
      </c>
      <c r="K225" t="n">
        <v>0</v>
      </c>
      <c r="L225" t="n">
        <v>0</v>
      </c>
      <c r="M225" t="n">
        <v>0</v>
      </c>
      <c r="N225" t="n">
        <v>0</v>
      </c>
      <c r="O225" t="n">
        <v>0</v>
      </c>
      <c r="P225" t="n">
        <v>0</v>
      </c>
      <c r="Q225" t="n">
        <v>0</v>
      </c>
      <c r="R225" s="2" t="inlineStr"/>
    </row>
    <row r="226" ht="15" customHeight="1">
      <c r="A226" t="inlineStr">
        <is>
          <t>A 27220-2025</t>
        </is>
      </c>
      <c r="B226" s="1" t="n">
        <v>45812.42293981482</v>
      </c>
      <c r="C226" s="1" t="n">
        <v>46037</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58621-2024</t>
        </is>
      </c>
      <c r="B227" s="1" t="n">
        <v>45635.56321759259</v>
      </c>
      <c r="C227" s="1" t="n">
        <v>46037</v>
      </c>
      <c r="D227" t="inlineStr">
        <is>
          <t>ÖREBRO LÄN</t>
        </is>
      </c>
      <c r="E227" t="inlineStr">
        <is>
          <t>ÖREBRO</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58216-2024</t>
        </is>
      </c>
      <c r="B228" s="1" t="n">
        <v>45632</v>
      </c>
      <c r="C228" s="1" t="n">
        <v>46037</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27180-2025</t>
        </is>
      </c>
      <c r="B229" s="1" t="n">
        <v>45812.35736111111</v>
      </c>
      <c r="C229" s="1" t="n">
        <v>46037</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27215-2025</t>
        </is>
      </c>
      <c r="B230" s="1" t="n">
        <v>45812.41869212963</v>
      </c>
      <c r="C230" s="1" t="n">
        <v>46037</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27225-2025</t>
        </is>
      </c>
      <c r="B231" s="1" t="n">
        <v>45812.42856481481</v>
      </c>
      <c r="C231" s="1" t="n">
        <v>46037</v>
      </c>
      <c r="D231" t="inlineStr">
        <is>
          <t>ÖREBRO LÄN</t>
        </is>
      </c>
      <c r="E231" t="inlineStr">
        <is>
          <t>ÖREBRO</t>
        </is>
      </c>
      <c r="G231" t="n">
        <v>4</v>
      </c>
      <c r="H231" t="n">
        <v>0</v>
      </c>
      <c r="I231" t="n">
        <v>0</v>
      </c>
      <c r="J231" t="n">
        <v>0</v>
      </c>
      <c r="K231" t="n">
        <v>0</v>
      </c>
      <c r="L231" t="n">
        <v>0</v>
      </c>
      <c r="M231" t="n">
        <v>0</v>
      </c>
      <c r="N231" t="n">
        <v>0</v>
      </c>
      <c r="O231" t="n">
        <v>0</v>
      </c>
      <c r="P231" t="n">
        <v>0</v>
      </c>
      <c r="Q231" t="n">
        <v>0</v>
      </c>
      <c r="R231" s="2" t="inlineStr"/>
    </row>
    <row r="232" ht="15" customHeight="1">
      <c r="A232" t="inlineStr">
        <is>
          <t>A 41669-2025</t>
        </is>
      </c>
      <c r="B232" s="1" t="n">
        <v>45902.36149305556</v>
      </c>
      <c r="C232" s="1" t="n">
        <v>46037</v>
      </c>
      <c r="D232" t="inlineStr">
        <is>
          <t>ÖREBRO LÄN</t>
        </is>
      </c>
      <c r="E232" t="inlineStr">
        <is>
          <t>ÖREBRO</t>
        </is>
      </c>
      <c r="G232" t="n">
        <v>2.8</v>
      </c>
      <c r="H232" t="n">
        <v>0</v>
      </c>
      <c r="I232" t="n">
        <v>0</v>
      </c>
      <c r="J232" t="n">
        <v>0</v>
      </c>
      <c r="K232" t="n">
        <v>0</v>
      </c>
      <c r="L232" t="n">
        <v>0</v>
      </c>
      <c r="M232" t="n">
        <v>0</v>
      </c>
      <c r="N232" t="n">
        <v>0</v>
      </c>
      <c r="O232" t="n">
        <v>0</v>
      </c>
      <c r="P232" t="n">
        <v>0</v>
      </c>
      <c r="Q232" t="n">
        <v>0</v>
      </c>
      <c r="R232" s="2" t="inlineStr"/>
    </row>
    <row r="233" ht="15" customHeight="1">
      <c r="A233" t="inlineStr">
        <is>
          <t>A 41412-2025</t>
        </is>
      </c>
      <c r="B233" s="1" t="n">
        <v>45901.3549537037</v>
      </c>
      <c r="C233" s="1" t="n">
        <v>46037</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28120-2025</t>
        </is>
      </c>
      <c r="B234" s="1" t="n">
        <v>45818.30459490741</v>
      </c>
      <c r="C234" s="1" t="n">
        <v>46037</v>
      </c>
      <c r="D234" t="inlineStr">
        <is>
          <t>ÖREBRO LÄN</t>
        </is>
      </c>
      <c r="E234" t="inlineStr">
        <is>
          <t>ÖREBRO</t>
        </is>
      </c>
      <c r="G234" t="n">
        <v>1.5</v>
      </c>
      <c r="H234" t="n">
        <v>0</v>
      </c>
      <c r="I234" t="n">
        <v>0</v>
      </c>
      <c r="J234" t="n">
        <v>0</v>
      </c>
      <c r="K234" t="n">
        <v>0</v>
      </c>
      <c r="L234" t="n">
        <v>0</v>
      </c>
      <c r="M234" t="n">
        <v>0</v>
      </c>
      <c r="N234" t="n">
        <v>0</v>
      </c>
      <c r="O234" t="n">
        <v>0</v>
      </c>
      <c r="P234" t="n">
        <v>0</v>
      </c>
      <c r="Q234" t="n">
        <v>0</v>
      </c>
      <c r="R234" s="2" t="inlineStr"/>
    </row>
    <row r="235" ht="15" customHeight="1">
      <c r="A235" t="inlineStr">
        <is>
          <t>A 37012-2024</t>
        </is>
      </c>
      <c r="B235" s="1" t="n">
        <v>45539</v>
      </c>
      <c r="C235" s="1" t="n">
        <v>46037</v>
      </c>
      <c r="D235" t="inlineStr">
        <is>
          <t>ÖREBRO LÄN</t>
        </is>
      </c>
      <c r="E235" t="inlineStr">
        <is>
          <t>ÖREBRO</t>
        </is>
      </c>
      <c r="G235" t="n">
        <v>4.1</v>
      </c>
      <c r="H235" t="n">
        <v>0</v>
      </c>
      <c r="I235" t="n">
        <v>0</v>
      </c>
      <c r="J235" t="n">
        <v>0</v>
      </c>
      <c r="K235" t="n">
        <v>0</v>
      </c>
      <c r="L235" t="n">
        <v>0</v>
      </c>
      <c r="M235" t="n">
        <v>0</v>
      </c>
      <c r="N235" t="n">
        <v>0</v>
      </c>
      <c r="O235" t="n">
        <v>0</v>
      </c>
      <c r="P235" t="n">
        <v>0</v>
      </c>
      <c r="Q235" t="n">
        <v>0</v>
      </c>
      <c r="R235" s="2" t="inlineStr"/>
    </row>
    <row r="236" ht="15" customHeight="1">
      <c r="A236" t="inlineStr">
        <is>
          <t>A 37020-2024</t>
        </is>
      </c>
      <c r="B236" s="1" t="n">
        <v>45539.38059027777</v>
      </c>
      <c r="C236" s="1" t="n">
        <v>46037</v>
      </c>
      <c r="D236" t="inlineStr">
        <is>
          <t>ÖREBRO LÄN</t>
        </is>
      </c>
      <c r="E236" t="inlineStr">
        <is>
          <t>ÖREBRO</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55353-2024</t>
        </is>
      </c>
      <c r="B237" s="1" t="n">
        <v>45621.79526620371</v>
      </c>
      <c r="C237" s="1" t="n">
        <v>46037</v>
      </c>
      <c r="D237" t="inlineStr">
        <is>
          <t>ÖREBRO LÄN</t>
        </is>
      </c>
      <c r="E237" t="inlineStr">
        <is>
          <t>ÖREBRO</t>
        </is>
      </c>
      <c r="G237" t="n">
        <v>0.5</v>
      </c>
      <c r="H237" t="n">
        <v>0</v>
      </c>
      <c r="I237" t="n">
        <v>0</v>
      </c>
      <c r="J237" t="n">
        <v>0</v>
      </c>
      <c r="K237" t="n">
        <v>0</v>
      </c>
      <c r="L237" t="n">
        <v>0</v>
      </c>
      <c r="M237" t="n">
        <v>0</v>
      </c>
      <c r="N237" t="n">
        <v>0</v>
      </c>
      <c r="O237" t="n">
        <v>0</v>
      </c>
      <c r="P237" t="n">
        <v>0</v>
      </c>
      <c r="Q237" t="n">
        <v>0</v>
      </c>
      <c r="R237" s="2" t="inlineStr"/>
    </row>
    <row r="238" ht="15" customHeight="1">
      <c r="A238" t="inlineStr">
        <is>
          <t>A 541-2025</t>
        </is>
      </c>
      <c r="B238" s="1" t="n">
        <v>45664.52034722222</v>
      </c>
      <c r="C238" s="1" t="n">
        <v>46037</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19553-2023</t>
        </is>
      </c>
      <c r="B239" s="1" t="n">
        <v>45050</v>
      </c>
      <c r="C239" s="1" t="n">
        <v>46037</v>
      </c>
      <c r="D239" t="inlineStr">
        <is>
          <t>ÖREBRO LÄN</t>
        </is>
      </c>
      <c r="E239" t="inlineStr">
        <is>
          <t>ÖREBRO</t>
        </is>
      </c>
      <c r="G239" t="n">
        <v>2.1</v>
      </c>
      <c r="H239" t="n">
        <v>0</v>
      </c>
      <c r="I239" t="n">
        <v>0</v>
      </c>
      <c r="J239" t="n">
        <v>0</v>
      </c>
      <c r="K239" t="n">
        <v>0</v>
      </c>
      <c r="L239" t="n">
        <v>0</v>
      </c>
      <c r="M239" t="n">
        <v>0</v>
      </c>
      <c r="N239" t="n">
        <v>0</v>
      </c>
      <c r="O239" t="n">
        <v>0</v>
      </c>
      <c r="P239" t="n">
        <v>0</v>
      </c>
      <c r="Q239" t="n">
        <v>0</v>
      </c>
      <c r="R239" s="2" t="inlineStr"/>
    </row>
    <row r="240" ht="15" customHeight="1">
      <c r="A240" t="inlineStr">
        <is>
          <t>A 37025-2024</t>
        </is>
      </c>
      <c r="B240" s="1" t="n">
        <v>45539.3840162037</v>
      </c>
      <c r="C240" s="1" t="n">
        <v>46037</v>
      </c>
      <c r="D240" t="inlineStr">
        <is>
          <t>ÖREBRO LÄN</t>
        </is>
      </c>
      <c r="E240" t="inlineStr">
        <is>
          <t>ÖREBRO</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37027-2024</t>
        </is>
      </c>
      <c r="B241" s="1" t="n">
        <v>45539.38487268519</v>
      </c>
      <c r="C241" s="1" t="n">
        <v>46037</v>
      </c>
      <c r="D241" t="inlineStr">
        <is>
          <t>ÖREBRO LÄN</t>
        </is>
      </c>
      <c r="E241" t="inlineStr">
        <is>
          <t>ÖREBRO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23594-2023</t>
        </is>
      </c>
      <c r="B242" s="1" t="n">
        <v>45077</v>
      </c>
      <c r="C242" s="1" t="n">
        <v>46037</v>
      </c>
      <c r="D242" t="inlineStr">
        <is>
          <t>ÖREBRO LÄN</t>
        </is>
      </c>
      <c r="E242" t="inlineStr">
        <is>
          <t>ÖREBRO</t>
        </is>
      </c>
      <c r="G242" t="n">
        <v>9.9</v>
      </c>
      <c r="H242" t="n">
        <v>0</v>
      </c>
      <c r="I242" t="n">
        <v>0</v>
      </c>
      <c r="J242" t="n">
        <v>0</v>
      </c>
      <c r="K242" t="n">
        <v>0</v>
      </c>
      <c r="L242" t="n">
        <v>0</v>
      </c>
      <c r="M242" t="n">
        <v>0</v>
      </c>
      <c r="N242" t="n">
        <v>0</v>
      </c>
      <c r="O242" t="n">
        <v>0</v>
      </c>
      <c r="P242" t="n">
        <v>0</v>
      </c>
      <c r="Q242" t="n">
        <v>0</v>
      </c>
      <c r="R242" s="2" t="inlineStr"/>
    </row>
    <row r="243" ht="15" customHeight="1">
      <c r="A243" t="inlineStr">
        <is>
          <t>A 8022-2022</t>
        </is>
      </c>
      <c r="B243" s="1" t="n">
        <v>44609</v>
      </c>
      <c r="C243" s="1" t="n">
        <v>46037</v>
      </c>
      <c r="D243" t="inlineStr">
        <is>
          <t>ÖREBRO LÄN</t>
        </is>
      </c>
      <c r="E243" t="inlineStr">
        <is>
          <t>ÖREBRO</t>
        </is>
      </c>
      <c r="G243" t="n">
        <v>5.6</v>
      </c>
      <c r="H243" t="n">
        <v>0</v>
      </c>
      <c r="I243" t="n">
        <v>0</v>
      </c>
      <c r="J243" t="n">
        <v>0</v>
      </c>
      <c r="K243" t="n">
        <v>0</v>
      </c>
      <c r="L243" t="n">
        <v>0</v>
      </c>
      <c r="M243" t="n">
        <v>0</v>
      </c>
      <c r="N243" t="n">
        <v>0</v>
      </c>
      <c r="O243" t="n">
        <v>0</v>
      </c>
      <c r="P243" t="n">
        <v>0</v>
      </c>
      <c r="Q243" t="n">
        <v>0</v>
      </c>
      <c r="R243" s="2" t="inlineStr"/>
    </row>
    <row r="244" ht="15" customHeight="1">
      <c r="A244" t="inlineStr">
        <is>
          <t>A 28938-2025</t>
        </is>
      </c>
      <c r="B244" s="1" t="n">
        <v>45820.70626157407</v>
      </c>
      <c r="C244" s="1" t="n">
        <v>46037</v>
      </c>
      <c r="D244" t="inlineStr">
        <is>
          <t>ÖREBRO LÄN</t>
        </is>
      </c>
      <c r="E244" t="inlineStr">
        <is>
          <t>ÖREBRO</t>
        </is>
      </c>
      <c r="G244" t="n">
        <v>1.9</v>
      </c>
      <c r="H244" t="n">
        <v>0</v>
      </c>
      <c r="I244" t="n">
        <v>0</v>
      </c>
      <c r="J244" t="n">
        <v>0</v>
      </c>
      <c r="K244" t="n">
        <v>0</v>
      </c>
      <c r="L244" t="n">
        <v>0</v>
      </c>
      <c r="M244" t="n">
        <v>0</v>
      </c>
      <c r="N244" t="n">
        <v>0</v>
      </c>
      <c r="O244" t="n">
        <v>0</v>
      </c>
      <c r="P244" t="n">
        <v>0</v>
      </c>
      <c r="Q244" t="n">
        <v>0</v>
      </c>
      <c r="R244" s="2" t="inlineStr"/>
    </row>
    <row r="245" ht="15" customHeight="1">
      <c r="A245" t="inlineStr">
        <is>
          <t>A 47193-2023</t>
        </is>
      </c>
      <c r="B245" s="1" t="n">
        <v>45202.3074537037</v>
      </c>
      <c r="C245" s="1" t="n">
        <v>46037</v>
      </c>
      <c r="D245" t="inlineStr">
        <is>
          <t>ÖREBRO LÄN</t>
        </is>
      </c>
      <c r="E245" t="inlineStr">
        <is>
          <t>ÖREBRO</t>
        </is>
      </c>
      <c r="G245" t="n">
        <v>2.4</v>
      </c>
      <c r="H245" t="n">
        <v>0</v>
      </c>
      <c r="I245" t="n">
        <v>0</v>
      </c>
      <c r="J245" t="n">
        <v>0</v>
      </c>
      <c r="K245" t="n">
        <v>0</v>
      </c>
      <c r="L245" t="n">
        <v>0</v>
      </c>
      <c r="M245" t="n">
        <v>0</v>
      </c>
      <c r="N245" t="n">
        <v>0</v>
      </c>
      <c r="O245" t="n">
        <v>0</v>
      </c>
      <c r="P245" t="n">
        <v>0</v>
      </c>
      <c r="Q245" t="n">
        <v>0</v>
      </c>
      <c r="R245" s="2" t="inlineStr"/>
    </row>
    <row r="246" ht="15" customHeight="1">
      <c r="A246" t="inlineStr">
        <is>
          <t>A 28920-2025</t>
        </is>
      </c>
      <c r="B246" s="1" t="n">
        <v>45820.66532407407</v>
      </c>
      <c r="C246" s="1" t="n">
        <v>46037</v>
      </c>
      <c r="D246" t="inlineStr">
        <is>
          <t>ÖREBRO LÄN</t>
        </is>
      </c>
      <c r="E246" t="inlineStr">
        <is>
          <t>ÖREBRO</t>
        </is>
      </c>
      <c r="G246" t="n">
        <v>3</v>
      </c>
      <c r="H246" t="n">
        <v>0</v>
      </c>
      <c r="I246" t="n">
        <v>0</v>
      </c>
      <c r="J246" t="n">
        <v>0</v>
      </c>
      <c r="K246" t="n">
        <v>0</v>
      </c>
      <c r="L246" t="n">
        <v>0</v>
      </c>
      <c r="M246" t="n">
        <v>0</v>
      </c>
      <c r="N246" t="n">
        <v>0</v>
      </c>
      <c r="O246" t="n">
        <v>0</v>
      </c>
      <c r="P246" t="n">
        <v>0</v>
      </c>
      <c r="Q246" t="n">
        <v>0</v>
      </c>
      <c r="R246" s="2" t="inlineStr"/>
    </row>
    <row r="247" ht="15" customHeight="1">
      <c r="A247" t="inlineStr">
        <is>
          <t>A 58598-2022</t>
        </is>
      </c>
      <c r="B247" s="1" t="n">
        <v>44902</v>
      </c>
      <c r="C247" s="1" t="n">
        <v>46037</v>
      </c>
      <c r="D247" t="inlineStr">
        <is>
          <t>ÖREBRO LÄN</t>
        </is>
      </c>
      <c r="E247" t="inlineStr">
        <is>
          <t>ÖREBRO</t>
        </is>
      </c>
      <c r="G247" t="n">
        <v>0.4</v>
      </c>
      <c r="H247" t="n">
        <v>0</v>
      </c>
      <c r="I247" t="n">
        <v>0</v>
      </c>
      <c r="J247" t="n">
        <v>0</v>
      </c>
      <c r="K247" t="n">
        <v>0</v>
      </c>
      <c r="L247" t="n">
        <v>0</v>
      </c>
      <c r="M247" t="n">
        <v>0</v>
      </c>
      <c r="N247" t="n">
        <v>0</v>
      </c>
      <c r="O247" t="n">
        <v>0</v>
      </c>
      <c r="P247" t="n">
        <v>0</v>
      </c>
      <c r="Q247" t="n">
        <v>0</v>
      </c>
      <c r="R247" s="2" t="inlineStr"/>
    </row>
    <row r="248" ht="15" customHeight="1">
      <c r="A248" t="inlineStr">
        <is>
          <t>A 29286-2025</t>
        </is>
      </c>
      <c r="B248" s="1" t="n">
        <v>45824.43502314815</v>
      </c>
      <c r="C248" s="1" t="n">
        <v>46037</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29339-2025</t>
        </is>
      </c>
      <c r="B249" s="1" t="n">
        <v>45824.5044212963</v>
      </c>
      <c r="C249" s="1" t="n">
        <v>46037</v>
      </c>
      <c r="D249" t="inlineStr">
        <is>
          <t>ÖREBRO LÄN</t>
        </is>
      </c>
      <c r="E249" t="inlineStr">
        <is>
          <t>ÖREBRO</t>
        </is>
      </c>
      <c r="G249" t="n">
        <v>4.3</v>
      </c>
      <c r="H249" t="n">
        <v>0</v>
      </c>
      <c r="I249" t="n">
        <v>0</v>
      </c>
      <c r="J249" t="n">
        <v>0</v>
      </c>
      <c r="K249" t="n">
        <v>0</v>
      </c>
      <c r="L249" t="n">
        <v>0</v>
      </c>
      <c r="M249" t="n">
        <v>0</v>
      </c>
      <c r="N249" t="n">
        <v>0</v>
      </c>
      <c r="O249" t="n">
        <v>0</v>
      </c>
      <c r="P249" t="n">
        <v>0</v>
      </c>
      <c r="Q249" t="n">
        <v>0</v>
      </c>
      <c r="R249" s="2" t="inlineStr"/>
    </row>
    <row r="250" ht="15" customHeight="1">
      <c r="A250" t="inlineStr">
        <is>
          <t>A 71206-2021</t>
        </is>
      </c>
      <c r="B250" s="1" t="n">
        <v>44539</v>
      </c>
      <c r="C250" s="1" t="n">
        <v>46037</v>
      </c>
      <c r="D250" t="inlineStr">
        <is>
          <t>ÖREBRO LÄN</t>
        </is>
      </c>
      <c r="E250" t="inlineStr">
        <is>
          <t>ÖREBRO</t>
        </is>
      </c>
      <c r="G250" t="n">
        <v>2.5</v>
      </c>
      <c r="H250" t="n">
        <v>0</v>
      </c>
      <c r="I250" t="n">
        <v>0</v>
      </c>
      <c r="J250" t="n">
        <v>0</v>
      </c>
      <c r="K250" t="n">
        <v>0</v>
      </c>
      <c r="L250" t="n">
        <v>0</v>
      </c>
      <c r="M250" t="n">
        <v>0</v>
      </c>
      <c r="N250" t="n">
        <v>0</v>
      </c>
      <c r="O250" t="n">
        <v>0</v>
      </c>
      <c r="P250" t="n">
        <v>0</v>
      </c>
      <c r="Q250" t="n">
        <v>0</v>
      </c>
      <c r="R250" s="2" t="inlineStr"/>
    </row>
    <row r="251" ht="15" customHeight="1">
      <c r="A251" t="inlineStr">
        <is>
          <t>A 60059-2023</t>
        </is>
      </c>
      <c r="B251" s="1" t="n">
        <v>45258.38157407408</v>
      </c>
      <c r="C251" s="1" t="n">
        <v>46037</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26858-2024</t>
        </is>
      </c>
      <c r="B252" s="1" t="n">
        <v>45470</v>
      </c>
      <c r="C252" s="1" t="n">
        <v>46037</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16739-2022</t>
        </is>
      </c>
      <c r="B253" s="1" t="n">
        <v>44673</v>
      </c>
      <c r="C253" s="1" t="n">
        <v>46037</v>
      </c>
      <c r="D253" t="inlineStr">
        <is>
          <t>ÖREBRO LÄN</t>
        </is>
      </c>
      <c r="E253" t="inlineStr">
        <is>
          <t>ÖREBRO</t>
        </is>
      </c>
      <c r="G253" t="n">
        <v>4.7</v>
      </c>
      <c r="H253" t="n">
        <v>0</v>
      </c>
      <c r="I253" t="n">
        <v>0</v>
      </c>
      <c r="J253" t="n">
        <v>0</v>
      </c>
      <c r="K253" t="n">
        <v>0</v>
      </c>
      <c r="L253" t="n">
        <v>0</v>
      </c>
      <c r="M253" t="n">
        <v>0</v>
      </c>
      <c r="N253" t="n">
        <v>0</v>
      </c>
      <c r="O253" t="n">
        <v>0</v>
      </c>
      <c r="P253" t="n">
        <v>0</v>
      </c>
      <c r="Q253" t="n">
        <v>0</v>
      </c>
      <c r="R253" s="2" t="inlineStr"/>
    </row>
    <row r="254" ht="15" customHeight="1">
      <c r="A254" t="inlineStr">
        <is>
          <t>A 29701-2025</t>
        </is>
      </c>
      <c r="B254" s="1" t="n">
        <v>45825.55261574074</v>
      </c>
      <c r="C254" s="1" t="n">
        <v>46037</v>
      </c>
      <c r="D254" t="inlineStr">
        <is>
          <t>ÖREBRO LÄN</t>
        </is>
      </c>
      <c r="E254" t="inlineStr">
        <is>
          <t>ÖREBRO</t>
        </is>
      </c>
      <c r="G254" t="n">
        <v>5.8</v>
      </c>
      <c r="H254" t="n">
        <v>0</v>
      </c>
      <c r="I254" t="n">
        <v>0</v>
      </c>
      <c r="J254" t="n">
        <v>0</v>
      </c>
      <c r="K254" t="n">
        <v>0</v>
      </c>
      <c r="L254" t="n">
        <v>0</v>
      </c>
      <c r="M254" t="n">
        <v>0</v>
      </c>
      <c r="N254" t="n">
        <v>0</v>
      </c>
      <c r="O254" t="n">
        <v>0</v>
      </c>
      <c r="P254" t="n">
        <v>0</v>
      </c>
      <c r="Q254" t="n">
        <v>0</v>
      </c>
      <c r="R254" s="2" t="inlineStr"/>
    </row>
    <row r="255" ht="15" customHeight="1">
      <c r="A255" t="inlineStr">
        <is>
          <t>A 9379-2024</t>
        </is>
      </c>
      <c r="B255" s="1" t="n">
        <v>45359.37298611111</v>
      </c>
      <c r="C255" s="1" t="n">
        <v>46037</v>
      </c>
      <c r="D255" t="inlineStr">
        <is>
          <t>ÖREBRO LÄN</t>
        </is>
      </c>
      <c r="E255" t="inlineStr">
        <is>
          <t>ÖREBRO</t>
        </is>
      </c>
      <c r="G255" t="n">
        <v>2.4</v>
      </c>
      <c r="H255" t="n">
        <v>0</v>
      </c>
      <c r="I255" t="n">
        <v>0</v>
      </c>
      <c r="J255" t="n">
        <v>0</v>
      </c>
      <c r="K255" t="n">
        <v>0</v>
      </c>
      <c r="L255" t="n">
        <v>0</v>
      </c>
      <c r="M255" t="n">
        <v>0</v>
      </c>
      <c r="N255" t="n">
        <v>0</v>
      </c>
      <c r="O255" t="n">
        <v>0</v>
      </c>
      <c r="P255" t="n">
        <v>0</v>
      </c>
      <c r="Q255" t="n">
        <v>0</v>
      </c>
      <c r="R255" s="2" t="inlineStr"/>
    </row>
    <row r="256" ht="15" customHeight="1">
      <c r="A256" t="inlineStr">
        <is>
          <t>A 5398-2022</t>
        </is>
      </c>
      <c r="B256" s="1" t="n">
        <v>44595.3353587963</v>
      </c>
      <c r="C256" s="1" t="n">
        <v>46037</v>
      </c>
      <c r="D256" t="inlineStr">
        <is>
          <t>ÖREBRO LÄN</t>
        </is>
      </c>
      <c r="E256" t="inlineStr">
        <is>
          <t>ÖREBRO</t>
        </is>
      </c>
      <c r="G256" t="n">
        <v>2.1</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46037</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30550-2025</t>
        </is>
      </c>
      <c r="B258" s="1" t="n">
        <v>45831.38224537037</v>
      </c>
      <c r="C258" s="1" t="n">
        <v>46037</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30731-2025</t>
        </is>
      </c>
      <c r="B259" s="1" t="n">
        <v>45831.57280092593</v>
      </c>
      <c r="C259" s="1" t="n">
        <v>46037</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44960-2025</t>
        </is>
      </c>
      <c r="B260" s="1" t="n">
        <v>45918.61577546296</v>
      </c>
      <c r="C260" s="1" t="n">
        <v>46037</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30951-2025</t>
        </is>
      </c>
      <c r="B261" s="1" t="n">
        <v>45832.43225694444</v>
      </c>
      <c r="C261" s="1" t="n">
        <v>46037</v>
      </c>
      <c r="D261" t="inlineStr">
        <is>
          <t>ÖREBRO LÄN</t>
        </is>
      </c>
      <c r="E261" t="inlineStr">
        <is>
          <t>ÖREBRO</t>
        </is>
      </c>
      <c r="F261" t="inlineStr">
        <is>
          <t>Övriga Aktiebolag</t>
        </is>
      </c>
      <c r="G261" t="n">
        <v>2.3</v>
      </c>
      <c r="H261" t="n">
        <v>0</v>
      </c>
      <c r="I261" t="n">
        <v>0</v>
      </c>
      <c r="J261" t="n">
        <v>0</v>
      </c>
      <c r="K261" t="n">
        <v>0</v>
      </c>
      <c r="L261" t="n">
        <v>0</v>
      </c>
      <c r="M261" t="n">
        <v>0</v>
      </c>
      <c r="N261" t="n">
        <v>0</v>
      </c>
      <c r="O261" t="n">
        <v>0</v>
      </c>
      <c r="P261" t="n">
        <v>0</v>
      </c>
      <c r="Q261" t="n">
        <v>0</v>
      </c>
      <c r="R261" s="2" t="inlineStr"/>
    </row>
    <row r="262" ht="15" customHeight="1">
      <c r="A262" t="inlineStr">
        <is>
          <t>A 31066-2025</t>
        </is>
      </c>
      <c r="B262" s="1" t="n">
        <v>45832</v>
      </c>
      <c r="C262" s="1" t="n">
        <v>46037</v>
      </c>
      <c r="D262" t="inlineStr">
        <is>
          <t>ÖREBRO LÄN</t>
        </is>
      </c>
      <c r="E262" t="inlineStr">
        <is>
          <t>ÖREBRO</t>
        </is>
      </c>
      <c r="G262" t="n">
        <v>11.1</v>
      </c>
      <c r="H262" t="n">
        <v>0</v>
      </c>
      <c r="I262" t="n">
        <v>0</v>
      </c>
      <c r="J262" t="n">
        <v>0</v>
      </c>
      <c r="K262" t="n">
        <v>0</v>
      </c>
      <c r="L262" t="n">
        <v>0</v>
      </c>
      <c r="M262" t="n">
        <v>0</v>
      </c>
      <c r="N262" t="n">
        <v>0</v>
      </c>
      <c r="O262" t="n">
        <v>0</v>
      </c>
      <c r="P262" t="n">
        <v>0</v>
      </c>
      <c r="Q262" t="n">
        <v>0</v>
      </c>
      <c r="R262" s="2" t="inlineStr"/>
    </row>
    <row r="263" ht="15" customHeight="1">
      <c r="A263" t="inlineStr">
        <is>
          <t>A 41995-2024</t>
        </is>
      </c>
      <c r="B263" s="1" t="n">
        <v>45561.6475462963</v>
      </c>
      <c r="C263" s="1" t="n">
        <v>46037</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16737-2023</t>
        </is>
      </c>
      <c r="B264" s="1" t="n">
        <v>45030.72472222222</v>
      </c>
      <c r="C264" s="1" t="n">
        <v>46037</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46037</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15866-2022</t>
        </is>
      </c>
      <c r="B266" s="1" t="n">
        <v>44664</v>
      </c>
      <c r="C266" s="1" t="n">
        <v>46037</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2318-2023</t>
        </is>
      </c>
      <c r="B267" s="1" t="n">
        <v>44942</v>
      </c>
      <c r="C267" s="1" t="n">
        <v>46037</v>
      </c>
      <c r="D267" t="inlineStr">
        <is>
          <t>ÖREBRO LÄN</t>
        </is>
      </c>
      <c r="E267" t="inlineStr">
        <is>
          <t>ÖREBRO</t>
        </is>
      </c>
      <c r="G267" t="n">
        <v>1.9</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46037</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31237-2025</t>
        </is>
      </c>
      <c r="B269" s="1" t="n">
        <v>45832.84313657408</v>
      </c>
      <c r="C269" s="1" t="n">
        <v>46037</v>
      </c>
      <c r="D269" t="inlineStr">
        <is>
          <t>ÖREBRO LÄN</t>
        </is>
      </c>
      <c r="E269" t="inlineStr">
        <is>
          <t>ÖREBRO</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5764-2022</t>
        </is>
      </c>
      <c r="B270" s="1" t="n">
        <v>44596</v>
      </c>
      <c r="C270" s="1" t="n">
        <v>46037</v>
      </c>
      <c r="D270" t="inlineStr">
        <is>
          <t>ÖREBRO LÄN</t>
        </is>
      </c>
      <c r="E270" t="inlineStr">
        <is>
          <t>ÖREBRO</t>
        </is>
      </c>
      <c r="G270" t="n">
        <v>3.5</v>
      </c>
      <c r="H270" t="n">
        <v>0</v>
      </c>
      <c r="I270" t="n">
        <v>0</v>
      </c>
      <c r="J270" t="n">
        <v>0</v>
      </c>
      <c r="K270" t="n">
        <v>0</v>
      </c>
      <c r="L270" t="n">
        <v>0</v>
      </c>
      <c r="M270" t="n">
        <v>0</v>
      </c>
      <c r="N270" t="n">
        <v>0</v>
      </c>
      <c r="O270" t="n">
        <v>0</v>
      </c>
      <c r="P270" t="n">
        <v>0</v>
      </c>
      <c r="Q270" t="n">
        <v>0</v>
      </c>
      <c r="R270" s="2" t="inlineStr"/>
    </row>
    <row r="271" ht="15" customHeight="1">
      <c r="A271" t="inlineStr">
        <is>
          <t>A 45027-2024</t>
        </is>
      </c>
      <c r="B271" s="1" t="n">
        <v>45575</v>
      </c>
      <c r="C271" s="1" t="n">
        <v>46037</v>
      </c>
      <c r="D271" t="inlineStr">
        <is>
          <t>ÖREBRO LÄN</t>
        </is>
      </c>
      <c r="E271" t="inlineStr">
        <is>
          <t>ÖREBRO</t>
        </is>
      </c>
      <c r="G271" t="n">
        <v>6.3</v>
      </c>
      <c r="H271" t="n">
        <v>0</v>
      </c>
      <c r="I271" t="n">
        <v>0</v>
      </c>
      <c r="J271" t="n">
        <v>0</v>
      </c>
      <c r="K271" t="n">
        <v>0</v>
      </c>
      <c r="L271" t="n">
        <v>0</v>
      </c>
      <c r="M271" t="n">
        <v>0</v>
      </c>
      <c r="N271" t="n">
        <v>0</v>
      </c>
      <c r="O271" t="n">
        <v>0</v>
      </c>
      <c r="P271" t="n">
        <v>0</v>
      </c>
      <c r="Q271" t="n">
        <v>0</v>
      </c>
      <c r="R271" s="2" t="inlineStr"/>
    </row>
    <row r="272" ht="15" customHeight="1">
      <c r="A272" t="inlineStr">
        <is>
          <t>A 40051-2024</t>
        </is>
      </c>
      <c r="B272" s="1" t="n">
        <v>45553</v>
      </c>
      <c r="C272" s="1" t="n">
        <v>46037</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41543-2024</t>
        </is>
      </c>
      <c r="B273" s="1" t="n">
        <v>45560</v>
      </c>
      <c r="C273" s="1" t="n">
        <v>46037</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10799-2024</t>
        </is>
      </c>
      <c r="B274" s="1" t="n">
        <v>45369</v>
      </c>
      <c r="C274" s="1" t="n">
        <v>46037</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16694-2025</t>
        </is>
      </c>
      <c r="B275" s="1" t="n">
        <v>45754.46480324074</v>
      </c>
      <c r="C275" s="1" t="n">
        <v>46037</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49465-2024</t>
        </is>
      </c>
      <c r="B276" s="1" t="n">
        <v>45596</v>
      </c>
      <c r="C276" s="1" t="n">
        <v>46037</v>
      </c>
      <c r="D276" t="inlineStr">
        <is>
          <t>ÖREBRO LÄN</t>
        </is>
      </c>
      <c r="E276" t="inlineStr">
        <is>
          <t>ÖREBRO</t>
        </is>
      </c>
      <c r="F276" t="inlineStr">
        <is>
          <t>Övriga Aktiebolag</t>
        </is>
      </c>
      <c r="G276" t="n">
        <v>21</v>
      </c>
      <c r="H276" t="n">
        <v>0</v>
      </c>
      <c r="I276" t="n">
        <v>0</v>
      </c>
      <c r="J276" t="n">
        <v>0</v>
      </c>
      <c r="K276" t="n">
        <v>0</v>
      </c>
      <c r="L276" t="n">
        <v>0</v>
      </c>
      <c r="M276" t="n">
        <v>0</v>
      </c>
      <c r="N276" t="n">
        <v>0</v>
      </c>
      <c r="O276" t="n">
        <v>0</v>
      </c>
      <c r="P276" t="n">
        <v>0</v>
      </c>
      <c r="Q276" t="n">
        <v>0</v>
      </c>
      <c r="R276" s="2" t="inlineStr"/>
    </row>
    <row r="277" ht="15" customHeight="1">
      <c r="A277" t="inlineStr">
        <is>
          <t>A 32218-2025</t>
        </is>
      </c>
      <c r="B277" s="1" t="n">
        <v>45835.58880787037</v>
      </c>
      <c r="C277" s="1" t="n">
        <v>46037</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32188-2025</t>
        </is>
      </c>
      <c r="B278" s="1" t="n">
        <v>45835.56965277778</v>
      </c>
      <c r="C278" s="1" t="n">
        <v>46037</v>
      </c>
      <c r="D278" t="inlineStr">
        <is>
          <t>ÖREBRO LÄN</t>
        </is>
      </c>
      <c r="E278" t="inlineStr">
        <is>
          <t>ÖREBRO</t>
        </is>
      </c>
      <c r="G278" t="n">
        <v>2.9</v>
      </c>
      <c r="H278" t="n">
        <v>0</v>
      </c>
      <c r="I278" t="n">
        <v>0</v>
      </c>
      <c r="J278" t="n">
        <v>0</v>
      </c>
      <c r="K278" t="n">
        <v>0</v>
      </c>
      <c r="L278" t="n">
        <v>0</v>
      </c>
      <c r="M278" t="n">
        <v>0</v>
      </c>
      <c r="N278" t="n">
        <v>0</v>
      </c>
      <c r="O278" t="n">
        <v>0</v>
      </c>
      <c r="P278" t="n">
        <v>0</v>
      </c>
      <c r="Q278" t="n">
        <v>0</v>
      </c>
      <c r="R278" s="2" t="inlineStr"/>
    </row>
    <row r="279" ht="15" customHeight="1">
      <c r="A279" t="inlineStr">
        <is>
          <t>A 32195-2025</t>
        </is>
      </c>
      <c r="B279" s="1" t="n">
        <v>45835.57407407407</v>
      </c>
      <c r="C279" s="1" t="n">
        <v>46037</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33191-2025</t>
        </is>
      </c>
      <c r="B280" s="1" t="n">
        <v>45840.6003587963</v>
      </c>
      <c r="C280" s="1" t="n">
        <v>46037</v>
      </c>
      <c r="D280" t="inlineStr">
        <is>
          <t>ÖREBRO LÄN</t>
        </is>
      </c>
      <c r="E280" t="inlineStr">
        <is>
          <t>ÖREBRO</t>
        </is>
      </c>
      <c r="G280" t="n">
        <v>2.6</v>
      </c>
      <c r="H280" t="n">
        <v>0</v>
      </c>
      <c r="I280" t="n">
        <v>0</v>
      </c>
      <c r="J280" t="n">
        <v>0</v>
      </c>
      <c r="K280" t="n">
        <v>0</v>
      </c>
      <c r="L280" t="n">
        <v>0</v>
      </c>
      <c r="M280" t="n">
        <v>0</v>
      </c>
      <c r="N280" t="n">
        <v>0</v>
      </c>
      <c r="O280" t="n">
        <v>0</v>
      </c>
      <c r="P280" t="n">
        <v>0</v>
      </c>
      <c r="Q280" t="n">
        <v>0</v>
      </c>
      <c r="R280" s="2" t="inlineStr"/>
    </row>
    <row r="281" ht="15" customHeight="1">
      <c r="A281" t="inlineStr">
        <is>
          <t>A 59121-2024</t>
        </is>
      </c>
      <c r="B281" s="1" t="n">
        <v>45637.37755787037</v>
      </c>
      <c r="C281" s="1" t="n">
        <v>46037</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49215-2023</t>
        </is>
      </c>
      <c r="B282" s="1" t="n">
        <v>45210.61050925926</v>
      </c>
      <c r="C282" s="1" t="n">
        <v>46037</v>
      </c>
      <c r="D282" t="inlineStr">
        <is>
          <t>ÖREBRO LÄN</t>
        </is>
      </c>
      <c r="E282" t="inlineStr">
        <is>
          <t>ÖREBRO</t>
        </is>
      </c>
      <c r="F282" t="inlineStr">
        <is>
          <t>Övriga Aktiebolag</t>
        </is>
      </c>
      <c r="G282" t="n">
        <v>4.2</v>
      </c>
      <c r="H282" t="n">
        <v>0</v>
      </c>
      <c r="I282" t="n">
        <v>0</v>
      </c>
      <c r="J282" t="n">
        <v>0</v>
      </c>
      <c r="K282" t="n">
        <v>0</v>
      </c>
      <c r="L282" t="n">
        <v>0</v>
      </c>
      <c r="M282" t="n">
        <v>0</v>
      </c>
      <c r="N282" t="n">
        <v>0</v>
      </c>
      <c r="O282" t="n">
        <v>0</v>
      </c>
      <c r="P282" t="n">
        <v>0</v>
      </c>
      <c r="Q282" t="n">
        <v>0</v>
      </c>
      <c r="R282" s="2" t="inlineStr"/>
    </row>
    <row r="283" ht="15" customHeight="1">
      <c r="A283" t="inlineStr">
        <is>
          <t>A 32426-2025</t>
        </is>
      </c>
      <c r="B283" s="1" t="n">
        <v>45838.36179398148</v>
      </c>
      <c r="C283" s="1" t="n">
        <v>46037</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17983-2025</t>
        </is>
      </c>
      <c r="B284" s="1" t="n">
        <v>45761.38829861111</v>
      </c>
      <c r="C284" s="1" t="n">
        <v>46037</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32904-2025</t>
        </is>
      </c>
      <c r="B285" s="1" t="n">
        <v>45839</v>
      </c>
      <c r="C285" s="1" t="n">
        <v>46037</v>
      </c>
      <c r="D285" t="inlineStr">
        <is>
          <t>ÖREBRO LÄN</t>
        </is>
      </c>
      <c r="E285" t="inlineStr">
        <is>
          <t>ÖREBRO</t>
        </is>
      </c>
      <c r="G285" t="n">
        <v>0.6</v>
      </c>
      <c r="H285" t="n">
        <v>0</v>
      </c>
      <c r="I285" t="n">
        <v>0</v>
      </c>
      <c r="J285" t="n">
        <v>0</v>
      </c>
      <c r="K285" t="n">
        <v>0</v>
      </c>
      <c r="L285" t="n">
        <v>0</v>
      </c>
      <c r="M285" t="n">
        <v>0</v>
      </c>
      <c r="N285" t="n">
        <v>0</v>
      </c>
      <c r="O285" t="n">
        <v>0</v>
      </c>
      <c r="P285" t="n">
        <v>0</v>
      </c>
      <c r="Q285" t="n">
        <v>0</v>
      </c>
      <c r="R285" s="2" t="inlineStr"/>
    </row>
    <row r="286" ht="15" customHeight="1">
      <c r="A286" t="inlineStr">
        <is>
          <t>A 8571-2021</t>
        </is>
      </c>
      <c r="B286" s="1" t="n">
        <v>44245</v>
      </c>
      <c r="C286" s="1" t="n">
        <v>46037</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11663-2024</t>
        </is>
      </c>
      <c r="B287" s="1" t="n">
        <v>45373</v>
      </c>
      <c r="C287" s="1" t="n">
        <v>46037</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55692-2023</t>
        </is>
      </c>
      <c r="B288" s="1" t="n">
        <v>45239</v>
      </c>
      <c r="C288" s="1" t="n">
        <v>46037</v>
      </c>
      <c r="D288" t="inlineStr">
        <is>
          <t>ÖREBRO LÄN</t>
        </is>
      </c>
      <c r="E288" t="inlineStr">
        <is>
          <t>ÖREBRO</t>
        </is>
      </c>
      <c r="F288" t="inlineStr">
        <is>
          <t>Övriga Aktiebolag</t>
        </is>
      </c>
      <c r="G288" t="n">
        <v>0.4</v>
      </c>
      <c r="H288" t="n">
        <v>0</v>
      </c>
      <c r="I288" t="n">
        <v>0</v>
      </c>
      <c r="J288" t="n">
        <v>0</v>
      </c>
      <c r="K288" t="n">
        <v>0</v>
      </c>
      <c r="L288" t="n">
        <v>0</v>
      </c>
      <c r="M288" t="n">
        <v>0</v>
      </c>
      <c r="N288" t="n">
        <v>0</v>
      </c>
      <c r="O288" t="n">
        <v>0</v>
      </c>
      <c r="P288" t="n">
        <v>0</v>
      </c>
      <c r="Q288" t="n">
        <v>0</v>
      </c>
      <c r="R288" s="2" t="inlineStr"/>
    </row>
    <row r="289" ht="15" customHeight="1">
      <c r="A289" t="inlineStr">
        <is>
          <t>A 14715-2024</t>
        </is>
      </c>
      <c r="B289" s="1" t="n">
        <v>45397.5500462963</v>
      </c>
      <c r="C289" s="1" t="n">
        <v>46037</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48454-2025</t>
        </is>
      </c>
      <c r="B290" s="1" t="n">
        <v>45935.80164351852</v>
      </c>
      <c r="C290" s="1" t="n">
        <v>46037</v>
      </c>
      <c r="D290" t="inlineStr">
        <is>
          <t>ÖREBRO LÄN</t>
        </is>
      </c>
      <c r="E290" t="inlineStr">
        <is>
          <t>ÖREBRO</t>
        </is>
      </c>
      <c r="F290" t="inlineStr">
        <is>
          <t>Övriga Aktiebolag</t>
        </is>
      </c>
      <c r="G290" t="n">
        <v>18.1</v>
      </c>
      <c r="H290" t="n">
        <v>0</v>
      </c>
      <c r="I290" t="n">
        <v>0</v>
      </c>
      <c r="J290" t="n">
        <v>0</v>
      </c>
      <c r="K290" t="n">
        <v>0</v>
      </c>
      <c r="L290" t="n">
        <v>0</v>
      </c>
      <c r="M290" t="n">
        <v>0</v>
      </c>
      <c r="N290" t="n">
        <v>0</v>
      </c>
      <c r="O290" t="n">
        <v>0</v>
      </c>
      <c r="P290" t="n">
        <v>0</v>
      </c>
      <c r="Q290" t="n">
        <v>0</v>
      </c>
      <c r="R290" s="2" t="inlineStr"/>
    </row>
    <row r="291" ht="15" customHeight="1">
      <c r="A291" t="inlineStr">
        <is>
          <t>A 12682-2023</t>
        </is>
      </c>
      <c r="B291" s="1" t="n">
        <v>45000.6115625</v>
      </c>
      <c r="C291" s="1" t="n">
        <v>46037</v>
      </c>
      <c r="D291" t="inlineStr">
        <is>
          <t>ÖREBRO LÄN</t>
        </is>
      </c>
      <c r="E291" t="inlineStr">
        <is>
          <t>ÖREBRO</t>
        </is>
      </c>
      <c r="F291" t="inlineStr">
        <is>
          <t>Övriga Aktiebolag</t>
        </is>
      </c>
      <c r="G291" t="n">
        <v>4.4</v>
      </c>
      <c r="H291" t="n">
        <v>0</v>
      </c>
      <c r="I291" t="n">
        <v>0</v>
      </c>
      <c r="J291" t="n">
        <v>0</v>
      </c>
      <c r="K291" t="n">
        <v>0</v>
      </c>
      <c r="L291" t="n">
        <v>0</v>
      </c>
      <c r="M291" t="n">
        <v>0</v>
      </c>
      <c r="N291" t="n">
        <v>0</v>
      </c>
      <c r="O291" t="n">
        <v>0</v>
      </c>
      <c r="P291" t="n">
        <v>0</v>
      </c>
      <c r="Q291" t="n">
        <v>0</v>
      </c>
      <c r="R291" s="2" t="inlineStr"/>
    </row>
    <row r="292" ht="15" customHeight="1">
      <c r="A292" t="inlineStr">
        <is>
          <t>A 13592-2023</t>
        </is>
      </c>
      <c r="B292" s="1" t="n">
        <v>45006.56870370371</v>
      </c>
      <c r="C292" s="1" t="n">
        <v>46037</v>
      </c>
      <c r="D292" t="inlineStr">
        <is>
          <t>ÖREBRO LÄN</t>
        </is>
      </c>
      <c r="E292" t="inlineStr">
        <is>
          <t>ÖREBRO</t>
        </is>
      </c>
      <c r="G292" t="n">
        <v>2</v>
      </c>
      <c r="H292" t="n">
        <v>0</v>
      </c>
      <c r="I292" t="n">
        <v>0</v>
      </c>
      <c r="J292" t="n">
        <v>0</v>
      </c>
      <c r="K292" t="n">
        <v>0</v>
      </c>
      <c r="L292" t="n">
        <v>0</v>
      </c>
      <c r="M292" t="n">
        <v>0</v>
      </c>
      <c r="N292" t="n">
        <v>0</v>
      </c>
      <c r="O292" t="n">
        <v>0</v>
      </c>
      <c r="P292" t="n">
        <v>0</v>
      </c>
      <c r="Q292" t="n">
        <v>0</v>
      </c>
      <c r="R292" s="2" t="inlineStr"/>
    </row>
    <row r="293" ht="15" customHeight="1">
      <c r="A293" t="inlineStr">
        <is>
          <t>A 48687-2024</t>
        </is>
      </c>
      <c r="B293" s="1" t="n">
        <v>45593.49899305555</v>
      </c>
      <c r="C293" s="1" t="n">
        <v>46037</v>
      </c>
      <c r="D293" t="inlineStr">
        <is>
          <t>ÖREBRO LÄN</t>
        </is>
      </c>
      <c r="E293" t="inlineStr">
        <is>
          <t>ÖREBRO</t>
        </is>
      </c>
      <c r="F293" t="inlineStr">
        <is>
          <t>Övriga Aktiebolag</t>
        </is>
      </c>
      <c r="G293" t="n">
        <v>3.8</v>
      </c>
      <c r="H293" t="n">
        <v>0</v>
      </c>
      <c r="I293" t="n">
        <v>0</v>
      </c>
      <c r="J293" t="n">
        <v>0</v>
      </c>
      <c r="K293" t="n">
        <v>0</v>
      </c>
      <c r="L293" t="n">
        <v>0</v>
      </c>
      <c r="M293" t="n">
        <v>0</v>
      </c>
      <c r="N293" t="n">
        <v>0</v>
      </c>
      <c r="O293" t="n">
        <v>0</v>
      </c>
      <c r="P293" t="n">
        <v>0</v>
      </c>
      <c r="Q293" t="n">
        <v>0</v>
      </c>
      <c r="R293" s="2" t="inlineStr"/>
    </row>
    <row r="294" ht="15" customHeight="1">
      <c r="A294" t="inlineStr">
        <is>
          <t>A 10368-2021</t>
        </is>
      </c>
      <c r="B294" s="1" t="n">
        <v>44257</v>
      </c>
      <c r="C294" s="1" t="n">
        <v>46037</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59736-2023</t>
        </is>
      </c>
      <c r="B295" s="1" t="n">
        <v>45257.374375</v>
      </c>
      <c r="C295" s="1" t="n">
        <v>46037</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35062-2025</t>
        </is>
      </c>
      <c r="B296" s="1" t="n">
        <v>45852</v>
      </c>
      <c r="C296" s="1" t="n">
        <v>46037</v>
      </c>
      <c r="D296" t="inlineStr">
        <is>
          <t>ÖREBRO LÄN</t>
        </is>
      </c>
      <c r="E296" t="inlineStr">
        <is>
          <t>ÖREBRO</t>
        </is>
      </c>
      <c r="G296" t="n">
        <v>2.8</v>
      </c>
      <c r="H296" t="n">
        <v>0</v>
      </c>
      <c r="I296" t="n">
        <v>0</v>
      </c>
      <c r="J296" t="n">
        <v>0</v>
      </c>
      <c r="K296" t="n">
        <v>0</v>
      </c>
      <c r="L296" t="n">
        <v>0</v>
      </c>
      <c r="M296" t="n">
        <v>0</v>
      </c>
      <c r="N296" t="n">
        <v>0</v>
      </c>
      <c r="O296" t="n">
        <v>0</v>
      </c>
      <c r="P296" t="n">
        <v>0</v>
      </c>
      <c r="Q296" t="n">
        <v>0</v>
      </c>
      <c r="R296" s="2" t="inlineStr"/>
    </row>
    <row r="297" ht="15" customHeight="1">
      <c r="A297" t="inlineStr">
        <is>
          <t>A 55355-2024</t>
        </is>
      </c>
      <c r="B297" s="1" t="n">
        <v>45621.80475694445</v>
      </c>
      <c r="C297" s="1" t="n">
        <v>46037</v>
      </c>
      <c r="D297" t="inlineStr">
        <is>
          <t>ÖREBRO LÄN</t>
        </is>
      </c>
      <c r="E297" t="inlineStr">
        <is>
          <t>ÖREBRO</t>
        </is>
      </c>
      <c r="G297" t="n">
        <v>1.6</v>
      </c>
      <c r="H297" t="n">
        <v>0</v>
      </c>
      <c r="I297" t="n">
        <v>0</v>
      </c>
      <c r="J297" t="n">
        <v>0</v>
      </c>
      <c r="K297" t="n">
        <v>0</v>
      </c>
      <c r="L297" t="n">
        <v>0</v>
      </c>
      <c r="M297" t="n">
        <v>0</v>
      </c>
      <c r="N297" t="n">
        <v>0</v>
      </c>
      <c r="O297" t="n">
        <v>0</v>
      </c>
      <c r="P297" t="n">
        <v>0</v>
      </c>
      <c r="Q297" t="n">
        <v>0</v>
      </c>
      <c r="R297" s="2" t="inlineStr"/>
    </row>
    <row r="298" ht="15" customHeight="1">
      <c r="A298" t="inlineStr">
        <is>
          <t>A 49029-2024</t>
        </is>
      </c>
      <c r="B298" s="1" t="n">
        <v>45594</v>
      </c>
      <c r="C298" s="1" t="n">
        <v>46037</v>
      </c>
      <c r="D298" t="inlineStr">
        <is>
          <t>ÖREBRO LÄN</t>
        </is>
      </c>
      <c r="E298" t="inlineStr">
        <is>
          <t>ÖREBRO</t>
        </is>
      </c>
      <c r="G298" t="n">
        <v>3.7</v>
      </c>
      <c r="H298" t="n">
        <v>0</v>
      </c>
      <c r="I298" t="n">
        <v>0</v>
      </c>
      <c r="J298" t="n">
        <v>0</v>
      </c>
      <c r="K298" t="n">
        <v>0</v>
      </c>
      <c r="L298" t="n">
        <v>0</v>
      </c>
      <c r="M298" t="n">
        <v>0</v>
      </c>
      <c r="N298" t="n">
        <v>0</v>
      </c>
      <c r="O298" t="n">
        <v>0</v>
      </c>
      <c r="P298" t="n">
        <v>0</v>
      </c>
      <c r="Q298" t="n">
        <v>0</v>
      </c>
      <c r="R298" s="2" t="inlineStr"/>
    </row>
    <row r="299" ht="15" customHeight="1">
      <c r="A299" t="inlineStr">
        <is>
          <t>A 20115-2024</t>
        </is>
      </c>
      <c r="B299" s="1" t="n">
        <v>45434</v>
      </c>
      <c r="C299" s="1" t="n">
        <v>46037</v>
      </c>
      <c r="D299" t="inlineStr">
        <is>
          <t>ÖREBRO LÄN</t>
        </is>
      </c>
      <c r="E299" t="inlineStr">
        <is>
          <t>ÖREBRO</t>
        </is>
      </c>
      <c r="G299" t="n">
        <v>1.7</v>
      </c>
      <c r="H299" t="n">
        <v>0</v>
      </c>
      <c r="I299" t="n">
        <v>0</v>
      </c>
      <c r="J299" t="n">
        <v>0</v>
      </c>
      <c r="K299" t="n">
        <v>0</v>
      </c>
      <c r="L299" t="n">
        <v>0</v>
      </c>
      <c r="M299" t="n">
        <v>0</v>
      </c>
      <c r="N299" t="n">
        <v>0</v>
      </c>
      <c r="O299" t="n">
        <v>0</v>
      </c>
      <c r="P299" t="n">
        <v>0</v>
      </c>
      <c r="Q299" t="n">
        <v>0</v>
      </c>
      <c r="R299" s="2" t="inlineStr"/>
    </row>
    <row r="300" ht="15" customHeight="1">
      <c r="A300" t="inlineStr">
        <is>
          <t>A 55875-2024</t>
        </is>
      </c>
      <c r="B300" s="1" t="n">
        <v>45623.55375</v>
      </c>
      <c r="C300" s="1" t="n">
        <v>46037</v>
      </c>
      <c r="D300" t="inlineStr">
        <is>
          <t>ÖREBRO LÄN</t>
        </is>
      </c>
      <c r="E300" t="inlineStr">
        <is>
          <t>ÖREBRO</t>
        </is>
      </c>
      <c r="G300" t="n">
        <v>3.5</v>
      </c>
      <c r="H300" t="n">
        <v>0</v>
      </c>
      <c r="I300" t="n">
        <v>0</v>
      </c>
      <c r="J300" t="n">
        <v>0</v>
      </c>
      <c r="K300" t="n">
        <v>0</v>
      </c>
      <c r="L300" t="n">
        <v>0</v>
      </c>
      <c r="M300" t="n">
        <v>0</v>
      </c>
      <c r="N300" t="n">
        <v>0</v>
      </c>
      <c r="O300" t="n">
        <v>0</v>
      </c>
      <c r="P300" t="n">
        <v>0</v>
      </c>
      <c r="Q300" t="n">
        <v>0</v>
      </c>
      <c r="R300" s="2" t="inlineStr"/>
    </row>
    <row r="301" ht="15" customHeight="1">
      <c r="A301" t="inlineStr">
        <is>
          <t>A 28821-2025</t>
        </is>
      </c>
      <c r="B301" s="1" t="n">
        <v>45820</v>
      </c>
      <c r="C301" s="1" t="n">
        <v>46037</v>
      </c>
      <c r="D301" t="inlineStr">
        <is>
          <t>ÖREBRO LÄN</t>
        </is>
      </c>
      <c r="E301" t="inlineStr">
        <is>
          <t>ÖREBRO</t>
        </is>
      </c>
      <c r="G301" t="n">
        <v>12.6</v>
      </c>
      <c r="H301" t="n">
        <v>0</v>
      </c>
      <c r="I301" t="n">
        <v>0</v>
      </c>
      <c r="J301" t="n">
        <v>0</v>
      </c>
      <c r="K301" t="n">
        <v>0</v>
      </c>
      <c r="L301" t="n">
        <v>0</v>
      </c>
      <c r="M301" t="n">
        <v>0</v>
      </c>
      <c r="N301" t="n">
        <v>0</v>
      </c>
      <c r="O301" t="n">
        <v>0</v>
      </c>
      <c r="P301" t="n">
        <v>0</v>
      </c>
      <c r="Q301" t="n">
        <v>0</v>
      </c>
      <c r="R301" s="2" t="inlineStr"/>
    </row>
    <row r="302" ht="15" customHeight="1">
      <c r="A302" t="inlineStr">
        <is>
          <t>A 23710-2022</t>
        </is>
      </c>
      <c r="B302" s="1" t="n">
        <v>44722</v>
      </c>
      <c r="C302" s="1" t="n">
        <v>46037</v>
      </c>
      <c r="D302" t="inlineStr">
        <is>
          <t>ÖREBRO LÄN</t>
        </is>
      </c>
      <c r="E302" t="inlineStr">
        <is>
          <t>ÖREBRO</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35637-2025</t>
        </is>
      </c>
      <c r="B303" s="1" t="n">
        <v>45859.46859953704</v>
      </c>
      <c r="C303" s="1" t="n">
        <v>46037</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10470-2025</t>
        </is>
      </c>
      <c r="B304" s="1" t="n">
        <v>45720</v>
      </c>
      <c r="C304" s="1" t="n">
        <v>46037</v>
      </c>
      <c r="D304" t="inlineStr">
        <is>
          <t>ÖREBRO LÄN</t>
        </is>
      </c>
      <c r="E304" t="inlineStr">
        <is>
          <t>ÖREBRO</t>
        </is>
      </c>
      <c r="G304" t="n">
        <v>11.5</v>
      </c>
      <c r="H304" t="n">
        <v>0</v>
      </c>
      <c r="I304" t="n">
        <v>0</v>
      </c>
      <c r="J304" t="n">
        <v>0</v>
      </c>
      <c r="K304" t="n">
        <v>0</v>
      </c>
      <c r="L304" t="n">
        <v>0</v>
      </c>
      <c r="M304" t="n">
        <v>0</v>
      </c>
      <c r="N304" t="n">
        <v>0</v>
      </c>
      <c r="O304" t="n">
        <v>0</v>
      </c>
      <c r="P304" t="n">
        <v>0</v>
      </c>
      <c r="Q304" t="n">
        <v>0</v>
      </c>
      <c r="R304" s="2" t="inlineStr"/>
    </row>
    <row r="305" ht="15" customHeight="1">
      <c r="A305" t="inlineStr">
        <is>
          <t>A 46056-2024</t>
        </is>
      </c>
      <c r="B305" s="1" t="n">
        <v>45580.91502314815</v>
      </c>
      <c r="C305" s="1" t="n">
        <v>46037</v>
      </c>
      <c r="D305" t="inlineStr">
        <is>
          <t>ÖREBRO LÄN</t>
        </is>
      </c>
      <c r="E305" t="inlineStr">
        <is>
          <t>ÖREBRO</t>
        </is>
      </c>
      <c r="F305" t="inlineStr">
        <is>
          <t>Övriga Aktiebolag</t>
        </is>
      </c>
      <c r="G305" t="n">
        <v>4.5</v>
      </c>
      <c r="H305" t="n">
        <v>0</v>
      </c>
      <c r="I305" t="n">
        <v>0</v>
      </c>
      <c r="J305" t="n">
        <v>0</v>
      </c>
      <c r="K305" t="n">
        <v>0</v>
      </c>
      <c r="L305" t="n">
        <v>0</v>
      </c>
      <c r="M305" t="n">
        <v>0</v>
      </c>
      <c r="N305" t="n">
        <v>0</v>
      </c>
      <c r="O305" t="n">
        <v>0</v>
      </c>
      <c r="P305" t="n">
        <v>0</v>
      </c>
      <c r="Q305" t="n">
        <v>0</v>
      </c>
      <c r="R305" s="2" t="inlineStr"/>
    </row>
    <row r="306" ht="15" customHeight="1">
      <c r="A306" t="inlineStr">
        <is>
          <t>A 13355-2023</t>
        </is>
      </c>
      <c r="B306" s="1" t="n">
        <v>45004</v>
      </c>
      <c r="C306" s="1" t="n">
        <v>46037</v>
      </c>
      <c r="D306" t="inlineStr">
        <is>
          <t>ÖREBRO LÄN</t>
        </is>
      </c>
      <c r="E306" t="inlineStr">
        <is>
          <t>ÖREBRO</t>
        </is>
      </c>
      <c r="G306" t="n">
        <v>2.3</v>
      </c>
      <c r="H306" t="n">
        <v>0</v>
      </c>
      <c r="I306" t="n">
        <v>0</v>
      </c>
      <c r="J306" t="n">
        <v>0</v>
      </c>
      <c r="K306" t="n">
        <v>0</v>
      </c>
      <c r="L306" t="n">
        <v>0</v>
      </c>
      <c r="M306" t="n">
        <v>0</v>
      </c>
      <c r="N306" t="n">
        <v>0</v>
      </c>
      <c r="O306" t="n">
        <v>0</v>
      </c>
      <c r="P306" t="n">
        <v>0</v>
      </c>
      <c r="Q306" t="n">
        <v>0</v>
      </c>
      <c r="R306" s="2" t="inlineStr"/>
    </row>
    <row r="307" ht="15" customHeight="1">
      <c r="A307" t="inlineStr">
        <is>
          <t>A 6522-2023</t>
        </is>
      </c>
      <c r="B307" s="1" t="n">
        <v>44966</v>
      </c>
      <c r="C307" s="1" t="n">
        <v>46037</v>
      </c>
      <c r="D307" t="inlineStr">
        <is>
          <t>ÖREBRO LÄN</t>
        </is>
      </c>
      <c r="E307" t="inlineStr">
        <is>
          <t>ÖREBRO</t>
        </is>
      </c>
      <c r="G307" t="n">
        <v>4.4</v>
      </c>
      <c r="H307" t="n">
        <v>0</v>
      </c>
      <c r="I307" t="n">
        <v>0</v>
      </c>
      <c r="J307" t="n">
        <v>0</v>
      </c>
      <c r="K307" t="n">
        <v>0</v>
      </c>
      <c r="L307" t="n">
        <v>0</v>
      </c>
      <c r="M307" t="n">
        <v>0</v>
      </c>
      <c r="N307" t="n">
        <v>0</v>
      </c>
      <c r="O307" t="n">
        <v>0</v>
      </c>
      <c r="P307" t="n">
        <v>0</v>
      </c>
      <c r="Q307" t="n">
        <v>0</v>
      </c>
      <c r="R307" s="2" t="inlineStr"/>
    </row>
    <row r="308" ht="15" customHeight="1">
      <c r="A308" t="inlineStr">
        <is>
          <t>A 35928-2025</t>
        </is>
      </c>
      <c r="B308" s="1" t="n">
        <v>45862</v>
      </c>
      <c r="C308" s="1" t="n">
        <v>46037</v>
      </c>
      <c r="D308" t="inlineStr">
        <is>
          <t>ÖREBRO LÄN</t>
        </is>
      </c>
      <c r="E308" t="inlineStr">
        <is>
          <t>ÖREBRO</t>
        </is>
      </c>
      <c r="G308" t="n">
        <v>4.4</v>
      </c>
      <c r="H308" t="n">
        <v>0</v>
      </c>
      <c r="I308" t="n">
        <v>0</v>
      </c>
      <c r="J308" t="n">
        <v>0</v>
      </c>
      <c r="K308" t="n">
        <v>0</v>
      </c>
      <c r="L308" t="n">
        <v>0</v>
      </c>
      <c r="M308" t="n">
        <v>0</v>
      </c>
      <c r="N308" t="n">
        <v>0</v>
      </c>
      <c r="O308" t="n">
        <v>0</v>
      </c>
      <c r="P308" t="n">
        <v>0</v>
      </c>
      <c r="Q308" t="n">
        <v>0</v>
      </c>
      <c r="R308" s="2" t="inlineStr"/>
    </row>
    <row r="309" ht="15" customHeight="1">
      <c r="A309" t="inlineStr">
        <is>
          <t>A 55453-2024</t>
        </is>
      </c>
      <c r="B309" s="1" t="n">
        <v>45622.42097222222</v>
      </c>
      <c r="C309" s="1" t="n">
        <v>46037</v>
      </c>
      <c r="D309" t="inlineStr">
        <is>
          <t>ÖREBRO LÄN</t>
        </is>
      </c>
      <c r="E309" t="inlineStr">
        <is>
          <t>ÖREBRO</t>
        </is>
      </c>
      <c r="G309" t="n">
        <v>8.5</v>
      </c>
      <c r="H309" t="n">
        <v>0</v>
      </c>
      <c r="I309" t="n">
        <v>0</v>
      </c>
      <c r="J309" t="n">
        <v>0</v>
      </c>
      <c r="K309" t="n">
        <v>0</v>
      </c>
      <c r="L309" t="n">
        <v>0</v>
      </c>
      <c r="M309" t="n">
        <v>0</v>
      </c>
      <c r="N309" t="n">
        <v>0</v>
      </c>
      <c r="O309" t="n">
        <v>0</v>
      </c>
      <c r="P309" t="n">
        <v>0</v>
      </c>
      <c r="Q309" t="n">
        <v>0</v>
      </c>
      <c r="R309" s="2" t="inlineStr"/>
    </row>
    <row r="310" ht="15" customHeight="1">
      <c r="A310" t="inlineStr">
        <is>
          <t>A 56040-2024</t>
        </is>
      </c>
      <c r="B310" s="1" t="n">
        <v>45624.3344212963</v>
      </c>
      <c r="C310" s="1" t="n">
        <v>46037</v>
      </c>
      <c r="D310" t="inlineStr">
        <is>
          <t>ÖREBRO LÄN</t>
        </is>
      </c>
      <c r="E310" t="inlineStr">
        <is>
          <t>ÖREBRO</t>
        </is>
      </c>
      <c r="G310" t="n">
        <v>1.2</v>
      </c>
      <c r="H310" t="n">
        <v>0</v>
      </c>
      <c r="I310" t="n">
        <v>0</v>
      </c>
      <c r="J310" t="n">
        <v>0</v>
      </c>
      <c r="K310" t="n">
        <v>0</v>
      </c>
      <c r="L310" t="n">
        <v>0</v>
      </c>
      <c r="M310" t="n">
        <v>0</v>
      </c>
      <c r="N310" t="n">
        <v>0</v>
      </c>
      <c r="O310" t="n">
        <v>0</v>
      </c>
      <c r="P310" t="n">
        <v>0</v>
      </c>
      <c r="Q310" t="n">
        <v>0</v>
      </c>
      <c r="R310" s="2" t="inlineStr"/>
    </row>
    <row r="311" ht="15" customHeight="1">
      <c r="A311" t="inlineStr">
        <is>
          <t>A 52444-2024</t>
        </is>
      </c>
      <c r="B311" s="1" t="n">
        <v>45609.48894675926</v>
      </c>
      <c r="C311" s="1" t="n">
        <v>46037</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50311-2025</t>
        </is>
      </c>
      <c r="B312" s="1" t="n">
        <v>45944</v>
      </c>
      <c r="C312" s="1" t="n">
        <v>46037</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32025-2024</t>
        </is>
      </c>
      <c r="B313" s="1" t="n">
        <v>45510.65754629629</v>
      </c>
      <c r="C313" s="1" t="n">
        <v>46037</v>
      </c>
      <c r="D313" t="inlineStr">
        <is>
          <t>ÖREBRO LÄN</t>
        </is>
      </c>
      <c r="E313" t="inlineStr">
        <is>
          <t>ÖREBRO</t>
        </is>
      </c>
      <c r="G313" t="n">
        <v>4</v>
      </c>
      <c r="H313" t="n">
        <v>0</v>
      </c>
      <c r="I313" t="n">
        <v>0</v>
      </c>
      <c r="J313" t="n">
        <v>0</v>
      </c>
      <c r="K313" t="n">
        <v>0</v>
      </c>
      <c r="L313" t="n">
        <v>0</v>
      </c>
      <c r="M313" t="n">
        <v>0</v>
      </c>
      <c r="N313" t="n">
        <v>0</v>
      </c>
      <c r="O313" t="n">
        <v>0</v>
      </c>
      <c r="P313" t="n">
        <v>0</v>
      </c>
      <c r="Q313" t="n">
        <v>0</v>
      </c>
      <c r="R313" s="2" t="inlineStr"/>
    </row>
    <row r="314" ht="15" customHeight="1">
      <c r="A314" t="inlineStr">
        <is>
          <t>A 60128-2023</t>
        </is>
      </c>
      <c r="B314" s="1" t="n">
        <v>45258</v>
      </c>
      <c r="C314" s="1" t="n">
        <v>46037</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16140-2023</t>
        </is>
      </c>
      <c r="B315" s="1" t="n">
        <v>45027.6433912037</v>
      </c>
      <c r="C315" s="1" t="n">
        <v>46037</v>
      </c>
      <c r="D315" t="inlineStr">
        <is>
          <t>ÖREBRO LÄN</t>
        </is>
      </c>
      <c r="E315" t="inlineStr">
        <is>
          <t>ÖREBRO</t>
        </is>
      </c>
      <c r="G315" t="n">
        <v>2</v>
      </c>
      <c r="H315" t="n">
        <v>0</v>
      </c>
      <c r="I315" t="n">
        <v>0</v>
      </c>
      <c r="J315" t="n">
        <v>0</v>
      </c>
      <c r="K315" t="n">
        <v>0</v>
      </c>
      <c r="L315" t="n">
        <v>0</v>
      </c>
      <c r="M315" t="n">
        <v>0</v>
      </c>
      <c r="N315" t="n">
        <v>0</v>
      </c>
      <c r="O315" t="n">
        <v>0</v>
      </c>
      <c r="P315" t="n">
        <v>0</v>
      </c>
      <c r="Q315" t="n">
        <v>0</v>
      </c>
      <c r="R315" s="2" t="inlineStr"/>
    </row>
    <row r="316" ht="15" customHeight="1">
      <c r="A316" t="inlineStr">
        <is>
          <t>A 51249-2025</t>
        </is>
      </c>
      <c r="B316" s="1" t="n">
        <v>45948.45704861111</v>
      </c>
      <c r="C316" s="1" t="n">
        <v>46037</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36448-2025</t>
        </is>
      </c>
      <c r="B317" s="1" t="n">
        <v>45869.41929398148</v>
      </c>
      <c r="C317" s="1" t="n">
        <v>46037</v>
      </c>
      <c r="D317" t="inlineStr">
        <is>
          <t>ÖREBRO LÄN</t>
        </is>
      </c>
      <c r="E317" t="inlineStr">
        <is>
          <t>ÖREBRO</t>
        </is>
      </c>
      <c r="F317" t="inlineStr">
        <is>
          <t>Övriga Aktiebolag</t>
        </is>
      </c>
      <c r="G317" t="n">
        <v>4.3</v>
      </c>
      <c r="H317" t="n">
        <v>0</v>
      </c>
      <c r="I317" t="n">
        <v>0</v>
      </c>
      <c r="J317" t="n">
        <v>0</v>
      </c>
      <c r="K317" t="n">
        <v>0</v>
      </c>
      <c r="L317" t="n">
        <v>0</v>
      </c>
      <c r="M317" t="n">
        <v>0</v>
      </c>
      <c r="N317" t="n">
        <v>0</v>
      </c>
      <c r="O317" t="n">
        <v>0</v>
      </c>
      <c r="P317" t="n">
        <v>0</v>
      </c>
      <c r="Q317" t="n">
        <v>0</v>
      </c>
      <c r="R317" s="2" t="inlineStr"/>
    </row>
    <row r="318" ht="15" customHeight="1">
      <c r="A318" t="inlineStr">
        <is>
          <t>A 36447-2025</t>
        </is>
      </c>
      <c r="B318" s="1" t="n">
        <v>45869.41387731482</v>
      </c>
      <c r="C318" s="1" t="n">
        <v>46037</v>
      </c>
      <c r="D318" t="inlineStr">
        <is>
          <t>ÖREBRO LÄN</t>
        </is>
      </c>
      <c r="E318" t="inlineStr">
        <is>
          <t>ÖREBRO</t>
        </is>
      </c>
      <c r="F318" t="inlineStr">
        <is>
          <t>Övriga Aktiebolag</t>
        </is>
      </c>
      <c r="G318" t="n">
        <v>12.6</v>
      </c>
      <c r="H318" t="n">
        <v>0</v>
      </c>
      <c r="I318" t="n">
        <v>0</v>
      </c>
      <c r="J318" t="n">
        <v>0</v>
      </c>
      <c r="K318" t="n">
        <v>0</v>
      </c>
      <c r="L318" t="n">
        <v>0</v>
      </c>
      <c r="M318" t="n">
        <v>0</v>
      </c>
      <c r="N318" t="n">
        <v>0</v>
      </c>
      <c r="O318" t="n">
        <v>0</v>
      </c>
      <c r="P318" t="n">
        <v>0</v>
      </c>
      <c r="Q318" t="n">
        <v>0</v>
      </c>
      <c r="R318" s="2" t="inlineStr"/>
    </row>
    <row r="319" ht="15" customHeight="1">
      <c r="A319" t="inlineStr">
        <is>
          <t>A 51248-2025</t>
        </is>
      </c>
      <c r="B319" s="1" t="n">
        <v>45948.450625</v>
      </c>
      <c r="C319" s="1" t="n">
        <v>46037</v>
      </c>
      <c r="D319" t="inlineStr">
        <is>
          <t>ÖREBRO LÄN</t>
        </is>
      </c>
      <c r="E319" t="inlineStr">
        <is>
          <t>ÖREBRO</t>
        </is>
      </c>
      <c r="G319" t="n">
        <v>4.4</v>
      </c>
      <c r="H319" t="n">
        <v>0</v>
      </c>
      <c r="I319" t="n">
        <v>0</v>
      </c>
      <c r="J319" t="n">
        <v>0</v>
      </c>
      <c r="K319" t="n">
        <v>0</v>
      </c>
      <c r="L319" t="n">
        <v>0</v>
      </c>
      <c r="M319" t="n">
        <v>0</v>
      </c>
      <c r="N319" t="n">
        <v>0</v>
      </c>
      <c r="O319" t="n">
        <v>0</v>
      </c>
      <c r="P319" t="n">
        <v>0</v>
      </c>
      <c r="Q319" t="n">
        <v>0</v>
      </c>
      <c r="R319" s="2" t="inlineStr"/>
    </row>
    <row r="320" ht="15" customHeight="1">
      <c r="A320" t="inlineStr">
        <is>
          <t>A 6752-2022</t>
        </is>
      </c>
      <c r="B320" s="1" t="n">
        <v>44602.48082175926</v>
      </c>
      <c r="C320" s="1" t="n">
        <v>46037</v>
      </c>
      <c r="D320" t="inlineStr">
        <is>
          <t>ÖREBRO LÄN</t>
        </is>
      </c>
      <c r="E320" t="inlineStr">
        <is>
          <t>ÖREBRO</t>
        </is>
      </c>
      <c r="G320" t="n">
        <v>3.1</v>
      </c>
      <c r="H320" t="n">
        <v>0</v>
      </c>
      <c r="I320" t="n">
        <v>0</v>
      </c>
      <c r="J320" t="n">
        <v>0</v>
      </c>
      <c r="K320" t="n">
        <v>0</v>
      </c>
      <c r="L320" t="n">
        <v>0</v>
      </c>
      <c r="M320" t="n">
        <v>0</v>
      </c>
      <c r="N320" t="n">
        <v>0</v>
      </c>
      <c r="O320" t="n">
        <v>0</v>
      </c>
      <c r="P320" t="n">
        <v>0</v>
      </c>
      <c r="Q320" t="n">
        <v>0</v>
      </c>
      <c r="R320" s="2" t="inlineStr"/>
    </row>
    <row r="321" ht="15" customHeight="1">
      <c r="A321" t="inlineStr">
        <is>
          <t>A 34056-2023</t>
        </is>
      </c>
      <c r="B321" s="1" t="n">
        <v>45135</v>
      </c>
      <c r="C321" s="1" t="n">
        <v>46037</v>
      </c>
      <c r="D321" t="inlineStr">
        <is>
          <t>ÖREBRO LÄN</t>
        </is>
      </c>
      <c r="E321" t="inlineStr">
        <is>
          <t>ÖREBRO</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33457-2023</t>
        </is>
      </c>
      <c r="B322" s="1" t="n">
        <v>45131</v>
      </c>
      <c r="C322" s="1" t="n">
        <v>46037</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45237-2023</t>
        </is>
      </c>
      <c r="B323" s="1" t="n">
        <v>45191</v>
      </c>
      <c r="C323" s="1" t="n">
        <v>46037</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5946-2021</t>
        </is>
      </c>
      <c r="B324" s="1" t="n">
        <v>44230</v>
      </c>
      <c r="C324" s="1" t="n">
        <v>46037</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51180-2023</t>
        </is>
      </c>
      <c r="B325" s="1" t="n">
        <v>45219</v>
      </c>
      <c r="C325" s="1" t="n">
        <v>46037</v>
      </c>
      <c r="D325" t="inlineStr">
        <is>
          <t>ÖREBRO LÄN</t>
        </is>
      </c>
      <c r="E325" t="inlineStr">
        <is>
          <t>ÖREBRO</t>
        </is>
      </c>
      <c r="G325" t="n">
        <v>6.5</v>
      </c>
      <c r="H325" t="n">
        <v>0</v>
      </c>
      <c r="I325" t="n">
        <v>0</v>
      </c>
      <c r="J325" t="n">
        <v>0</v>
      </c>
      <c r="K325" t="n">
        <v>0</v>
      </c>
      <c r="L325" t="n">
        <v>0</v>
      </c>
      <c r="M325" t="n">
        <v>0</v>
      </c>
      <c r="N325" t="n">
        <v>0</v>
      </c>
      <c r="O325" t="n">
        <v>0</v>
      </c>
      <c r="P325" t="n">
        <v>0</v>
      </c>
      <c r="Q325" t="n">
        <v>0</v>
      </c>
      <c r="R325" s="2" t="inlineStr"/>
    </row>
    <row r="326" ht="15" customHeight="1">
      <c r="A326" t="inlineStr">
        <is>
          <t>A 60028-2024</t>
        </is>
      </c>
      <c r="B326" s="1" t="n">
        <v>45642</v>
      </c>
      <c r="C326" s="1" t="n">
        <v>46037</v>
      </c>
      <c r="D326" t="inlineStr">
        <is>
          <t>ÖREBRO LÄN</t>
        </is>
      </c>
      <c r="E326" t="inlineStr">
        <is>
          <t>ÖREBRO</t>
        </is>
      </c>
      <c r="G326" t="n">
        <v>1.7</v>
      </c>
      <c r="H326" t="n">
        <v>0</v>
      </c>
      <c r="I326" t="n">
        <v>0</v>
      </c>
      <c r="J326" t="n">
        <v>0</v>
      </c>
      <c r="K326" t="n">
        <v>0</v>
      </c>
      <c r="L326" t="n">
        <v>0</v>
      </c>
      <c r="M326" t="n">
        <v>0</v>
      </c>
      <c r="N326" t="n">
        <v>0</v>
      </c>
      <c r="O326" t="n">
        <v>0</v>
      </c>
      <c r="P326" t="n">
        <v>0</v>
      </c>
      <c r="Q326" t="n">
        <v>0</v>
      </c>
      <c r="R326" s="2" t="inlineStr"/>
    </row>
    <row r="327" ht="15" customHeight="1">
      <c r="A327" t="inlineStr">
        <is>
          <t>A 33294-2023</t>
        </is>
      </c>
      <c r="B327" s="1" t="n">
        <v>45127</v>
      </c>
      <c r="C327" s="1" t="n">
        <v>46037</v>
      </c>
      <c r="D327" t="inlineStr">
        <is>
          <t>ÖREBRO LÄN</t>
        </is>
      </c>
      <c r="E327" t="inlineStr">
        <is>
          <t>ÖREBRO</t>
        </is>
      </c>
      <c r="F327" t="inlineStr">
        <is>
          <t>Övriga Aktiebolag</t>
        </is>
      </c>
      <c r="G327" t="n">
        <v>6.7</v>
      </c>
      <c r="H327" t="n">
        <v>0</v>
      </c>
      <c r="I327" t="n">
        <v>0</v>
      </c>
      <c r="J327" t="n">
        <v>0</v>
      </c>
      <c r="K327" t="n">
        <v>0</v>
      </c>
      <c r="L327" t="n">
        <v>0</v>
      </c>
      <c r="M327" t="n">
        <v>0</v>
      </c>
      <c r="N327" t="n">
        <v>0</v>
      </c>
      <c r="O327" t="n">
        <v>0</v>
      </c>
      <c r="P327" t="n">
        <v>0</v>
      </c>
      <c r="Q327" t="n">
        <v>0</v>
      </c>
      <c r="R327" s="2" t="inlineStr"/>
    </row>
    <row r="328" ht="15" customHeight="1">
      <c r="A328" t="inlineStr">
        <is>
          <t>A 51925-2025</t>
        </is>
      </c>
      <c r="B328" s="1" t="n">
        <v>45952.49476851852</v>
      </c>
      <c r="C328" s="1" t="n">
        <v>46037</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13857-2022</t>
        </is>
      </c>
      <c r="B329" s="1" t="n">
        <v>44649</v>
      </c>
      <c r="C329" s="1" t="n">
        <v>46037</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61078-2024</t>
        </is>
      </c>
      <c r="B330" s="1" t="n">
        <v>45645.51034722223</v>
      </c>
      <c r="C330" s="1" t="n">
        <v>46037</v>
      </c>
      <c r="D330" t="inlineStr">
        <is>
          <t>ÖREBRO LÄN</t>
        </is>
      </c>
      <c r="E330" t="inlineStr">
        <is>
          <t>ÖREBRO</t>
        </is>
      </c>
      <c r="G330" t="n">
        <v>4.1</v>
      </c>
      <c r="H330" t="n">
        <v>0</v>
      </c>
      <c r="I330" t="n">
        <v>0</v>
      </c>
      <c r="J330" t="n">
        <v>0</v>
      </c>
      <c r="K330" t="n">
        <v>0</v>
      </c>
      <c r="L330" t="n">
        <v>0</v>
      </c>
      <c r="M330" t="n">
        <v>0</v>
      </c>
      <c r="N330" t="n">
        <v>0</v>
      </c>
      <c r="O330" t="n">
        <v>0</v>
      </c>
      <c r="P330" t="n">
        <v>0</v>
      </c>
      <c r="Q330" t="n">
        <v>0</v>
      </c>
      <c r="R330" s="2" t="inlineStr"/>
    </row>
    <row r="331" ht="15" customHeight="1">
      <c r="A331" t="inlineStr">
        <is>
          <t>A 51923-2025</t>
        </is>
      </c>
      <c r="B331" s="1" t="n">
        <v>45952.49300925926</v>
      </c>
      <c r="C331" s="1" t="n">
        <v>46037</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51937-2025</t>
        </is>
      </c>
      <c r="B332" s="1" t="n">
        <v>45952.51270833334</v>
      </c>
      <c r="C332" s="1" t="n">
        <v>46037</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60717-2025</t>
        </is>
      </c>
      <c r="B333" s="1" t="n">
        <v>45996.63673611111</v>
      </c>
      <c r="C333" s="1" t="n">
        <v>46037</v>
      </c>
      <c r="D333" t="inlineStr">
        <is>
          <t>ÖREBRO LÄN</t>
        </is>
      </c>
      <c r="E333" t="inlineStr">
        <is>
          <t>ÖREBRO</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60553-2025</t>
        </is>
      </c>
      <c r="B334" s="1" t="n">
        <v>45995.72620370371</v>
      </c>
      <c r="C334" s="1" t="n">
        <v>46037</v>
      </c>
      <c r="D334" t="inlineStr">
        <is>
          <t>ÖREBRO LÄN</t>
        </is>
      </c>
      <c r="E334" t="inlineStr">
        <is>
          <t>ÖREBRO</t>
        </is>
      </c>
      <c r="G334" t="n">
        <v>3.3</v>
      </c>
      <c r="H334" t="n">
        <v>0</v>
      </c>
      <c r="I334" t="n">
        <v>0</v>
      </c>
      <c r="J334" t="n">
        <v>0</v>
      </c>
      <c r="K334" t="n">
        <v>0</v>
      </c>
      <c r="L334" t="n">
        <v>0</v>
      </c>
      <c r="M334" t="n">
        <v>0</v>
      </c>
      <c r="N334" t="n">
        <v>0</v>
      </c>
      <c r="O334" t="n">
        <v>0</v>
      </c>
      <c r="P334" t="n">
        <v>0</v>
      </c>
      <c r="Q334" t="n">
        <v>0</v>
      </c>
      <c r="R334" s="2" t="inlineStr"/>
    </row>
    <row r="335" ht="15" customHeight="1">
      <c r="A335" t="inlineStr">
        <is>
          <t>A 60466-2025</t>
        </is>
      </c>
      <c r="B335" s="1" t="n">
        <v>45995.55927083334</v>
      </c>
      <c r="C335" s="1" t="n">
        <v>46037</v>
      </c>
      <c r="D335" t="inlineStr">
        <is>
          <t>ÖREBRO LÄN</t>
        </is>
      </c>
      <c r="E335" t="inlineStr">
        <is>
          <t>ÖREBRO</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12871-2021</t>
        </is>
      </c>
      <c r="B336" s="1" t="n">
        <v>44271.42121527778</v>
      </c>
      <c r="C336" s="1" t="n">
        <v>46037</v>
      </c>
      <c r="D336" t="inlineStr">
        <is>
          <t>ÖREBRO LÄN</t>
        </is>
      </c>
      <c r="E336" t="inlineStr">
        <is>
          <t>ÖREBRO</t>
        </is>
      </c>
      <c r="G336" t="n">
        <v>0.9</v>
      </c>
      <c r="H336" t="n">
        <v>0</v>
      </c>
      <c r="I336" t="n">
        <v>0</v>
      </c>
      <c r="J336" t="n">
        <v>0</v>
      </c>
      <c r="K336" t="n">
        <v>0</v>
      </c>
      <c r="L336" t="n">
        <v>0</v>
      </c>
      <c r="M336" t="n">
        <v>0</v>
      </c>
      <c r="N336" t="n">
        <v>0</v>
      </c>
      <c r="O336" t="n">
        <v>0</v>
      </c>
      <c r="P336" t="n">
        <v>0</v>
      </c>
      <c r="Q336" t="n">
        <v>0</v>
      </c>
      <c r="R336" s="2" t="inlineStr"/>
    </row>
    <row r="337" ht="15" customHeight="1">
      <c r="A337" t="inlineStr">
        <is>
          <t>A 13158-2024</t>
        </is>
      </c>
      <c r="B337" s="1" t="n">
        <v>45386.38728009259</v>
      </c>
      <c r="C337" s="1" t="n">
        <v>46037</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52135-2025</t>
        </is>
      </c>
      <c r="B338" s="1" t="n">
        <v>45952.84231481481</v>
      </c>
      <c r="C338" s="1" t="n">
        <v>46037</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60718-2025</t>
        </is>
      </c>
      <c r="B339" s="1" t="n">
        <v>45996.6384375</v>
      </c>
      <c r="C339" s="1" t="n">
        <v>46037</v>
      </c>
      <c r="D339" t="inlineStr">
        <is>
          <t>ÖREBRO LÄN</t>
        </is>
      </c>
      <c r="E339" t="inlineStr">
        <is>
          <t>ÖREBRO</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29554-2025</t>
        </is>
      </c>
      <c r="B340" s="1" t="n">
        <v>45825</v>
      </c>
      <c r="C340" s="1" t="n">
        <v>46037</v>
      </c>
      <c r="D340" t="inlineStr">
        <is>
          <t>ÖREBRO LÄN</t>
        </is>
      </c>
      <c r="E340" t="inlineStr">
        <is>
          <t>ÖREBRO</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13181-2023</t>
        </is>
      </c>
      <c r="B341" s="1" t="n">
        <v>45002.60659722222</v>
      </c>
      <c r="C341" s="1" t="n">
        <v>46037</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25996-2024</t>
        </is>
      </c>
      <c r="B342" s="1" t="n">
        <v>45467.89081018518</v>
      </c>
      <c r="C342" s="1" t="n">
        <v>46037</v>
      </c>
      <c r="D342" t="inlineStr">
        <is>
          <t>ÖREBRO LÄN</t>
        </is>
      </c>
      <c r="E342" t="inlineStr">
        <is>
          <t>ÖREBRO</t>
        </is>
      </c>
      <c r="G342" t="n">
        <v>4.7</v>
      </c>
      <c r="H342" t="n">
        <v>0</v>
      </c>
      <c r="I342" t="n">
        <v>0</v>
      </c>
      <c r="J342" t="n">
        <v>0</v>
      </c>
      <c r="K342" t="n">
        <v>0</v>
      </c>
      <c r="L342" t="n">
        <v>0</v>
      </c>
      <c r="M342" t="n">
        <v>0</v>
      </c>
      <c r="N342" t="n">
        <v>0</v>
      </c>
      <c r="O342" t="n">
        <v>0</v>
      </c>
      <c r="P342" t="n">
        <v>0</v>
      </c>
      <c r="Q342" t="n">
        <v>0</v>
      </c>
      <c r="R342" s="2" t="inlineStr"/>
    </row>
    <row r="343" ht="15" customHeight="1">
      <c r="A343" t="inlineStr">
        <is>
          <t>A 16676-2025</t>
        </is>
      </c>
      <c r="B343" s="1" t="n">
        <v>45754.44658564815</v>
      </c>
      <c r="C343" s="1" t="n">
        <v>46037</v>
      </c>
      <c r="D343" t="inlineStr">
        <is>
          <t>ÖREBRO LÄN</t>
        </is>
      </c>
      <c r="E343" t="inlineStr">
        <is>
          <t>ÖREBRO</t>
        </is>
      </c>
      <c r="G343" t="n">
        <v>5.8</v>
      </c>
      <c r="H343" t="n">
        <v>0</v>
      </c>
      <c r="I343" t="n">
        <v>0</v>
      </c>
      <c r="J343" t="n">
        <v>0</v>
      </c>
      <c r="K343" t="n">
        <v>0</v>
      </c>
      <c r="L343" t="n">
        <v>0</v>
      </c>
      <c r="M343" t="n">
        <v>0</v>
      </c>
      <c r="N343" t="n">
        <v>0</v>
      </c>
      <c r="O343" t="n">
        <v>0</v>
      </c>
      <c r="P343" t="n">
        <v>0</v>
      </c>
      <c r="Q343" t="n">
        <v>0</v>
      </c>
      <c r="R343" s="2" t="inlineStr"/>
    </row>
    <row r="344" ht="15" customHeight="1">
      <c r="A344" t="inlineStr">
        <is>
          <t>A 60555-2025</t>
        </is>
      </c>
      <c r="B344" s="1" t="n">
        <v>45995.73722222223</v>
      </c>
      <c r="C344" s="1" t="n">
        <v>46037</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23741-2022</t>
        </is>
      </c>
      <c r="B345" s="1" t="n">
        <v>44722</v>
      </c>
      <c r="C345" s="1" t="n">
        <v>46037</v>
      </c>
      <c r="D345" t="inlineStr">
        <is>
          <t>ÖREBRO LÄN</t>
        </is>
      </c>
      <c r="E345" t="inlineStr">
        <is>
          <t>ÖREBRO</t>
        </is>
      </c>
      <c r="G345" t="n">
        <v>1.3</v>
      </c>
      <c r="H345" t="n">
        <v>0</v>
      </c>
      <c r="I345" t="n">
        <v>0</v>
      </c>
      <c r="J345" t="n">
        <v>0</v>
      </c>
      <c r="K345" t="n">
        <v>0</v>
      </c>
      <c r="L345" t="n">
        <v>0</v>
      </c>
      <c r="M345" t="n">
        <v>0</v>
      </c>
      <c r="N345" t="n">
        <v>0</v>
      </c>
      <c r="O345" t="n">
        <v>0</v>
      </c>
      <c r="P345" t="n">
        <v>0</v>
      </c>
      <c r="Q345" t="n">
        <v>0</v>
      </c>
      <c r="R345" s="2" t="inlineStr"/>
    </row>
    <row r="346" ht="15" customHeight="1">
      <c r="A346" t="inlineStr">
        <is>
          <t>A 60720-2025</t>
        </is>
      </c>
      <c r="B346" s="1" t="n">
        <v>45996.64050925926</v>
      </c>
      <c r="C346" s="1" t="n">
        <v>46037</v>
      </c>
      <c r="D346" t="inlineStr">
        <is>
          <t>ÖREBRO LÄN</t>
        </is>
      </c>
      <c r="E346" t="inlineStr">
        <is>
          <t>ÖREBRO</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8274-2025</t>
        </is>
      </c>
      <c r="B347" s="1" t="n">
        <v>45708</v>
      </c>
      <c r="C347" s="1" t="n">
        <v>46037</v>
      </c>
      <c r="D347" t="inlineStr">
        <is>
          <t>ÖREBRO LÄN</t>
        </is>
      </c>
      <c r="E347" t="inlineStr">
        <is>
          <t>ÖREBRO</t>
        </is>
      </c>
      <c r="G347" t="n">
        <v>5.8</v>
      </c>
      <c r="H347" t="n">
        <v>0</v>
      </c>
      <c r="I347" t="n">
        <v>0</v>
      </c>
      <c r="J347" t="n">
        <v>0</v>
      </c>
      <c r="K347" t="n">
        <v>0</v>
      </c>
      <c r="L347" t="n">
        <v>0</v>
      </c>
      <c r="M347" t="n">
        <v>0</v>
      </c>
      <c r="N347" t="n">
        <v>0</v>
      </c>
      <c r="O347" t="n">
        <v>0</v>
      </c>
      <c r="P347" t="n">
        <v>0</v>
      </c>
      <c r="Q347" t="n">
        <v>0</v>
      </c>
      <c r="R347" s="2" t="inlineStr"/>
    </row>
    <row r="348" ht="15" customHeight="1">
      <c r="A348" t="inlineStr">
        <is>
          <t>A 58620-2024</t>
        </is>
      </c>
      <c r="B348" s="1" t="n">
        <v>45635.56246527778</v>
      </c>
      <c r="C348" s="1" t="n">
        <v>46037</v>
      </c>
      <c r="D348" t="inlineStr">
        <is>
          <t>ÖREBRO LÄN</t>
        </is>
      </c>
      <c r="E348" t="inlineStr">
        <is>
          <t>ÖREBRO</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30743-2025</t>
        </is>
      </c>
      <c r="B349" s="1" t="n">
        <v>45831</v>
      </c>
      <c r="C349" s="1" t="n">
        <v>46037</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60551-2025</t>
        </is>
      </c>
      <c r="B350" s="1" t="n">
        <v>45995</v>
      </c>
      <c r="C350" s="1" t="n">
        <v>46037</v>
      </c>
      <c r="D350" t="inlineStr">
        <is>
          <t>ÖREBRO LÄN</t>
        </is>
      </c>
      <c r="E350" t="inlineStr">
        <is>
          <t>ÖREBRO</t>
        </is>
      </c>
      <c r="G350" t="n">
        <v>1.3</v>
      </c>
      <c r="H350" t="n">
        <v>0</v>
      </c>
      <c r="I350" t="n">
        <v>0</v>
      </c>
      <c r="J350" t="n">
        <v>0</v>
      </c>
      <c r="K350" t="n">
        <v>0</v>
      </c>
      <c r="L350" t="n">
        <v>0</v>
      </c>
      <c r="M350" t="n">
        <v>0</v>
      </c>
      <c r="N350" t="n">
        <v>0</v>
      </c>
      <c r="O350" t="n">
        <v>0</v>
      </c>
      <c r="P350" t="n">
        <v>0</v>
      </c>
      <c r="Q350" t="n">
        <v>0</v>
      </c>
      <c r="R350" s="2" t="inlineStr"/>
    </row>
    <row r="351" ht="15" customHeight="1">
      <c r="A351" t="inlineStr">
        <is>
          <t>A 7141-2025</t>
        </is>
      </c>
      <c r="B351" s="1" t="n">
        <v>45702</v>
      </c>
      <c r="C351" s="1" t="n">
        <v>46037</v>
      </c>
      <c r="D351" t="inlineStr">
        <is>
          <t>ÖREBRO LÄN</t>
        </is>
      </c>
      <c r="E351" t="inlineStr">
        <is>
          <t>ÖREBRO</t>
        </is>
      </c>
      <c r="G351" t="n">
        <v>2.9</v>
      </c>
      <c r="H351" t="n">
        <v>0</v>
      </c>
      <c r="I351" t="n">
        <v>0</v>
      </c>
      <c r="J351" t="n">
        <v>0</v>
      </c>
      <c r="K351" t="n">
        <v>0</v>
      </c>
      <c r="L351" t="n">
        <v>0</v>
      </c>
      <c r="M351" t="n">
        <v>0</v>
      </c>
      <c r="N351" t="n">
        <v>0</v>
      </c>
      <c r="O351" t="n">
        <v>0</v>
      </c>
      <c r="P351" t="n">
        <v>0</v>
      </c>
      <c r="Q351" t="n">
        <v>0</v>
      </c>
      <c r="R351" s="2" t="inlineStr"/>
    </row>
    <row r="352" ht="15" customHeight="1">
      <c r="A352" t="inlineStr">
        <is>
          <t>A 59024-2024</t>
        </is>
      </c>
      <c r="B352" s="1" t="n">
        <v>45636.68505787037</v>
      </c>
      <c r="C352" s="1" t="n">
        <v>46037</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60840-2025</t>
        </is>
      </c>
      <c r="B353" s="1" t="n">
        <v>45999.48547453704</v>
      </c>
      <c r="C353" s="1" t="n">
        <v>46037</v>
      </c>
      <c r="D353" t="inlineStr">
        <is>
          <t>ÖREBRO LÄN</t>
        </is>
      </c>
      <c r="E353" t="inlineStr">
        <is>
          <t>ÖREBRO</t>
        </is>
      </c>
      <c r="G353" t="n">
        <v>3.5</v>
      </c>
      <c r="H353" t="n">
        <v>0</v>
      </c>
      <c r="I353" t="n">
        <v>0</v>
      </c>
      <c r="J353" t="n">
        <v>0</v>
      </c>
      <c r="K353" t="n">
        <v>0</v>
      </c>
      <c r="L353" t="n">
        <v>0</v>
      </c>
      <c r="M353" t="n">
        <v>0</v>
      </c>
      <c r="N353" t="n">
        <v>0</v>
      </c>
      <c r="O353" t="n">
        <v>0</v>
      </c>
      <c r="P353" t="n">
        <v>0</v>
      </c>
      <c r="Q353" t="n">
        <v>0</v>
      </c>
      <c r="R353" s="2" t="inlineStr"/>
    </row>
    <row r="354" ht="15" customHeight="1">
      <c r="A354" t="inlineStr">
        <is>
          <t>A 13657-2025</t>
        </is>
      </c>
      <c r="B354" s="1" t="n">
        <v>45736.7427662037</v>
      </c>
      <c r="C354" s="1" t="n">
        <v>46037</v>
      </c>
      <c r="D354" t="inlineStr">
        <is>
          <t>ÖREBRO LÄN</t>
        </is>
      </c>
      <c r="E354" t="inlineStr">
        <is>
          <t>ÖREBRO</t>
        </is>
      </c>
      <c r="G354" t="n">
        <v>3.8</v>
      </c>
      <c r="H354" t="n">
        <v>0</v>
      </c>
      <c r="I354" t="n">
        <v>0</v>
      </c>
      <c r="J354" t="n">
        <v>0</v>
      </c>
      <c r="K354" t="n">
        <v>0</v>
      </c>
      <c r="L354" t="n">
        <v>0</v>
      </c>
      <c r="M354" t="n">
        <v>0</v>
      </c>
      <c r="N354" t="n">
        <v>0</v>
      </c>
      <c r="O354" t="n">
        <v>0</v>
      </c>
      <c r="P354" t="n">
        <v>0</v>
      </c>
      <c r="Q354" t="n">
        <v>0</v>
      </c>
      <c r="R354" s="2" t="inlineStr"/>
    </row>
    <row r="355" ht="15" customHeight="1">
      <c r="A355" t="inlineStr">
        <is>
          <t>A 57867-2024</t>
        </is>
      </c>
      <c r="B355" s="1" t="n">
        <v>45631.43864583333</v>
      </c>
      <c r="C355" s="1" t="n">
        <v>46037</v>
      </c>
      <c r="D355" t="inlineStr">
        <is>
          <t>ÖREBRO LÄN</t>
        </is>
      </c>
      <c r="E355" t="inlineStr">
        <is>
          <t>ÖREBRO</t>
        </is>
      </c>
      <c r="G355" t="n">
        <v>1.5</v>
      </c>
      <c r="H355" t="n">
        <v>0</v>
      </c>
      <c r="I355" t="n">
        <v>0</v>
      </c>
      <c r="J355" t="n">
        <v>0</v>
      </c>
      <c r="K355" t="n">
        <v>0</v>
      </c>
      <c r="L355" t="n">
        <v>0</v>
      </c>
      <c r="M355" t="n">
        <v>0</v>
      </c>
      <c r="N355" t="n">
        <v>0</v>
      </c>
      <c r="O355" t="n">
        <v>0</v>
      </c>
      <c r="P355" t="n">
        <v>0</v>
      </c>
      <c r="Q355" t="n">
        <v>0</v>
      </c>
      <c r="R355" s="2" t="inlineStr"/>
    </row>
    <row r="356" ht="15" customHeight="1">
      <c r="A356" t="inlineStr">
        <is>
          <t>A 52382-2025</t>
        </is>
      </c>
      <c r="B356" s="1" t="n">
        <v>45953.9559837963</v>
      </c>
      <c r="C356" s="1" t="n">
        <v>46037</v>
      </c>
      <c r="D356" t="inlineStr">
        <is>
          <t>ÖREBRO LÄN</t>
        </is>
      </c>
      <c r="E356" t="inlineStr">
        <is>
          <t>ÖREBRO</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29138-2022</t>
        </is>
      </c>
      <c r="B357" s="1" t="n">
        <v>44750</v>
      </c>
      <c r="C357" s="1" t="n">
        <v>46037</v>
      </c>
      <c r="D357" t="inlineStr">
        <is>
          <t>ÖREBRO LÄN</t>
        </is>
      </c>
      <c r="E357" t="inlineStr">
        <is>
          <t>ÖREBRO</t>
        </is>
      </c>
      <c r="G357" t="n">
        <v>3.3</v>
      </c>
      <c r="H357" t="n">
        <v>0</v>
      </c>
      <c r="I357" t="n">
        <v>0</v>
      </c>
      <c r="J357" t="n">
        <v>0</v>
      </c>
      <c r="K357" t="n">
        <v>0</v>
      </c>
      <c r="L357" t="n">
        <v>0</v>
      </c>
      <c r="M357" t="n">
        <v>0</v>
      </c>
      <c r="N357" t="n">
        <v>0</v>
      </c>
      <c r="O357" t="n">
        <v>0</v>
      </c>
      <c r="P357" t="n">
        <v>0</v>
      </c>
      <c r="Q357" t="n">
        <v>0</v>
      </c>
      <c r="R357" s="2" t="inlineStr"/>
    </row>
    <row r="358" ht="15" customHeight="1">
      <c r="A358" t="inlineStr">
        <is>
          <t>A 29143-2022</t>
        </is>
      </c>
      <c r="B358" s="1" t="n">
        <v>44750</v>
      </c>
      <c r="C358" s="1" t="n">
        <v>46037</v>
      </c>
      <c r="D358" t="inlineStr">
        <is>
          <t>ÖREBRO LÄN</t>
        </is>
      </c>
      <c r="E358" t="inlineStr">
        <is>
          <t>ÖREBRO</t>
        </is>
      </c>
      <c r="G358" t="n">
        <v>5.6</v>
      </c>
      <c r="H358" t="n">
        <v>0</v>
      </c>
      <c r="I358" t="n">
        <v>0</v>
      </c>
      <c r="J358" t="n">
        <v>0</v>
      </c>
      <c r="K358" t="n">
        <v>0</v>
      </c>
      <c r="L358" t="n">
        <v>0</v>
      </c>
      <c r="M358" t="n">
        <v>0</v>
      </c>
      <c r="N358" t="n">
        <v>0</v>
      </c>
      <c r="O358" t="n">
        <v>0</v>
      </c>
      <c r="P358" t="n">
        <v>0</v>
      </c>
      <c r="Q358" t="n">
        <v>0</v>
      </c>
      <c r="R358" s="2" t="inlineStr"/>
    </row>
    <row r="359" ht="15" customHeight="1">
      <c r="A359" t="inlineStr">
        <is>
          <t>A 21983-2021</t>
        </is>
      </c>
      <c r="B359" s="1" t="n">
        <v>44323</v>
      </c>
      <c r="C359" s="1" t="n">
        <v>46037</v>
      </c>
      <c r="D359" t="inlineStr">
        <is>
          <t>ÖREBRO LÄN</t>
        </is>
      </c>
      <c r="E359" t="inlineStr">
        <is>
          <t>ÖREBRO</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3120-2022</t>
        </is>
      </c>
      <c r="B360" s="1" t="n">
        <v>44582</v>
      </c>
      <c r="C360" s="1" t="n">
        <v>46037</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58606-2024</t>
        </is>
      </c>
      <c r="B361" s="1" t="n">
        <v>45635.54747685185</v>
      </c>
      <c r="C361" s="1" t="n">
        <v>46037</v>
      </c>
      <c r="D361" t="inlineStr">
        <is>
          <t>ÖREBRO LÄN</t>
        </is>
      </c>
      <c r="E361" t="inlineStr">
        <is>
          <t>ÖREBRO</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26101-2022</t>
        </is>
      </c>
      <c r="B362" s="1" t="n">
        <v>44734</v>
      </c>
      <c r="C362" s="1" t="n">
        <v>46037</v>
      </c>
      <c r="D362" t="inlineStr">
        <is>
          <t>ÖREBRO LÄN</t>
        </is>
      </c>
      <c r="E362" t="inlineStr">
        <is>
          <t>ÖREBRO</t>
        </is>
      </c>
      <c r="G362" t="n">
        <v>15.8</v>
      </c>
      <c r="H362" t="n">
        <v>0</v>
      </c>
      <c r="I362" t="n">
        <v>0</v>
      </c>
      <c r="J362" t="n">
        <v>0</v>
      </c>
      <c r="K362" t="n">
        <v>0</v>
      </c>
      <c r="L362" t="n">
        <v>0</v>
      </c>
      <c r="M362" t="n">
        <v>0</v>
      </c>
      <c r="N362" t="n">
        <v>0</v>
      </c>
      <c r="O362" t="n">
        <v>0</v>
      </c>
      <c r="P362" t="n">
        <v>0</v>
      </c>
      <c r="Q362" t="n">
        <v>0</v>
      </c>
      <c r="R362" s="2" t="inlineStr"/>
    </row>
    <row r="363" ht="15" customHeight="1">
      <c r="A363" t="inlineStr">
        <is>
          <t>A 53350-2025</t>
        </is>
      </c>
      <c r="B363" s="1" t="n">
        <v>45959.43827546296</v>
      </c>
      <c r="C363" s="1" t="n">
        <v>46037</v>
      </c>
      <c r="D363" t="inlineStr">
        <is>
          <t>ÖREBRO LÄN</t>
        </is>
      </c>
      <c r="E363" t="inlineStr">
        <is>
          <t>ÖREBRO</t>
        </is>
      </c>
      <c r="G363" t="n">
        <v>4.1</v>
      </c>
      <c r="H363" t="n">
        <v>0</v>
      </c>
      <c r="I363" t="n">
        <v>0</v>
      </c>
      <c r="J363" t="n">
        <v>0</v>
      </c>
      <c r="K363" t="n">
        <v>0</v>
      </c>
      <c r="L363" t="n">
        <v>0</v>
      </c>
      <c r="M363" t="n">
        <v>0</v>
      </c>
      <c r="N363" t="n">
        <v>0</v>
      </c>
      <c r="O363" t="n">
        <v>0</v>
      </c>
      <c r="P363" t="n">
        <v>0</v>
      </c>
      <c r="Q363" t="n">
        <v>0</v>
      </c>
      <c r="R363" s="2" t="inlineStr"/>
    </row>
    <row r="364" ht="15" customHeight="1">
      <c r="A364" t="inlineStr">
        <is>
          <t>A 53715-2025</t>
        </is>
      </c>
      <c r="B364" s="1" t="n">
        <v>45960.61763888889</v>
      </c>
      <c r="C364" s="1" t="n">
        <v>46037</v>
      </c>
      <c r="D364" t="inlineStr">
        <is>
          <t>ÖREBRO LÄN</t>
        </is>
      </c>
      <c r="E364" t="inlineStr">
        <is>
          <t>ÖREBRO</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53719-2025</t>
        </is>
      </c>
      <c r="B365" s="1" t="n">
        <v>45960.62042824074</v>
      </c>
      <c r="C365" s="1" t="n">
        <v>46037</v>
      </c>
      <c r="D365" t="inlineStr">
        <is>
          <t>ÖREBRO LÄN</t>
        </is>
      </c>
      <c r="E365" t="inlineStr">
        <is>
          <t>ÖREBRO</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53343-2025</t>
        </is>
      </c>
      <c r="B366" s="1" t="n">
        <v>45959.42025462963</v>
      </c>
      <c r="C366" s="1" t="n">
        <v>46037</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61525-2025</t>
        </is>
      </c>
      <c r="B367" s="1" t="n">
        <v>46001</v>
      </c>
      <c r="C367" s="1" t="n">
        <v>46037</v>
      </c>
      <c r="D367" t="inlineStr">
        <is>
          <t>ÖREBRO LÄN</t>
        </is>
      </c>
      <c r="E367" t="inlineStr">
        <is>
          <t>ÖREBRO</t>
        </is>
      </c>
      <c r="G367" t="n">
        <v>2.6</v>
      </c>
      <c r="H367" t="n">
        <v>0</v>
      </c>
      <c r="I367" t="n">
        <v>0</v>
      </c>
      <c r="J367" t="n">
        <v>0</v>
      </c>
      <c r="K367" t="n">
        <v>0</v>
      </c>
      <c r="L367" t="n">
        <v>0</v>
      </c>
      <c r="M367" t="n">
        <v>0</v>
      </c>
      <c r="N367" t="n">
        <v>0</v>
      </c>
      <c r="O367" t="n">
        <v>0</v>
      </c>
      <c r="P367" t="n">
        <v>0</v>
      </c>
      <c r="Q367" t="n">
        <v>0</v>
      </c>
      <c r="R367" s="2" t="inlineStr"/>
    </row>
    <row r="368" ht="15" customHeight="1">
      <c r="A368" t="inlineStr">
        <is>
          <t>A 58486-2024</t>
        </is>
      </c>
      <c r="B368" s="1" t="n">
        <v>45635</v>
      </c>
      <c r="C368" s="1" t="n">
        <v>46037</v>
      </c>
      <c r="D368" t="inlineStr">
        <is>
          <t>ÖREBRO LÄN</t>
        </is>
      </c>
      <c r="E368" t="inlineStr">
        <is>
          <t>ÖREBRO</t>
        </is>
      </c>
      <c r="G368" t="n">
        <v>1.7</v>
      </c>
      <c r="H368" t="n">
        <v>0</v>
      </c>
      <c r="I368" t="n">
        <v>0</v>
      </c>
      <c r="J368" t="n">
        <v>0</v>
      </c>
      <c r="K368" t="n">
        <v>0</v>
      </c>
      <c r="L368" t="n">
        <v>0</v>
      </c>
      <c r="M368" t="n">
        <v>0</v>
      </c>
      <c r="N368" t="n">
        <v>0</v>
      </c>
      <c r="O368" t="n">
        <v>0</v>
      </c>
      <c r="P368" t="n">
        <v>0</v>
      </c>
      <c r="Q368" t="n">
        <v>0</v>
      </c>
      <c r="R368" s="2" t="inlineStr"/>
    </row>
    <row r="369" ht="15" customHeight="1">
      <c r="A369" t="inlineStr">
        <is>
          <t>A 14053-2025</t>
        </is>
      </c>
      <c r="B369" s="1" t="n">
        <v>45739</v>
      </c>
      <c r="C369" s="1" t="n">
        <v>46037</v>
      </c>
      <c r="D369" t="inlineStr">
        <is>
          <t>ÖREBRO LÄN</t>
        </is>
      </c>
      <c r="E369" t="inlineStr">
        <is>
          <t>ÖREBRO</t>
        </is>
      </c>
      <c r="G369" t="n">
        <v>3.5</v>
      </c>
      <c r="H369" t="n">
        <v>0</v>
      </c>
      <c r="I369" t="n">
        <v>0</v>
      </c>
      <c r="J369" t="n">
        <v>0</v>
      </c>
      <c r="K369" t="n">
        <v>0</v>
      </c>
      <c r="L369" t="n">
        <v>0</v>
      </c>
      <c r="M369" t="n">
        <v>0</v>
      </c>
      <c r="N369" t="n">
        <v>0</v>
      </c>
      <c r="O369" t="n">
        <v>0</v>
      </c>
      <c r="P369" t="n">
        <v>0</v>
      </c>
      <c r="Q369" t="n">
        <v>0</v>
      </c>
      <c r="R369" s="2" t="inlineStr"/>
    </row>
    <row r="370" ht="15" customHeight="1">
      <c r="A370" t="inlineStr">
        <is>
          <t>A 53437-2025</t>
        </is>
      </c>
      <c r="B370" s="1" t="n">
        <v>45959.63440972222</v>
      </c>
      <c r="C370" s="1" t="n">
        <v>46037</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53342-2025</t>
        </is>
      </c>
      <c r="B371" s="1" t="n">
        <v>45959.41769675926</v>
      </c>
      <c r="C371" s="1" t="n">
        <v>46037</v>
      </c>
      <c r="D371" t="inlineStr">
        <is>
          <t>ÖREBRO LÄN</t>
        </is>
      </c>
      <c r="E371" t="inlineStr">
        <is>
          <t>ÖREBRO</t>
        </is>
      </c>
      <c r="G371" t="n">
        <v>4.1</v>
      </c>
      <c r="H371" t="n">
        <v>0</v>
      </c>
      <c r="I371" t="n">
        <v>0</v>
      </c>
      <c r="J371" t="n">
        <v>0</v>
      </c>
      <c r="K371" t="n">
        <v>0</v>
      </c>
      <c r="L371" t="n">
        <v>0</v>
      </c>
      <c r="M371" t="n">
        <v>0</v>
      </c>
      <c r="N371" t="n">
        <v>0</v>
      </c>
      <c r="O371" t="n">
        <v>0</v>
      </c>
      <c r="P371" t="n">
        <v>0</v>
      </c>
      <c r="Q371" t="n">
        <v>0</v>
      </c>
      <c r="R371" s="2" t="inlineStr"/>
    </row>
    <row r="372" ht="15" customHeight="1">
      <c r="A372" t="inlineStr">
        <is>
          <t>A 35345-2024</t>
        </is>
      </c>
      <c r="B372" s="1" t="n">
        <v>45530</v>
      </c>
      <c r="C372" s="1" t="n">
        <v>46037</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123-2025</t>
        </is>
      </c>
      <c r="B373" s="1" t="n">
        <v>45659.54851851852</v>
      </c>
      <c r="C373" s="1" t="n">
        <v>46037</v>
      </c>
      <c r="D373" t="inlineStr">
        <is>
          <t>ÖREBRO LÄN</t>
        </is>
      </c>
      <c r="E373" t="inlineStr">
        <is>
          <t>ÖREBRO</t>
        </is>
      </c>
      <c r="G373" t="n">
        <v>1.6</v>
      </c>
      <c r="H373" t="n">
        <v>0</v>
      </c>
      <c r="I373" t="n">
        <v>0</v>
      </c>
      <c r="J373" t="n">
        <v>0</v>
      </c>
      <c r="K373" t="n">
        <v>0</v>
      </c>
      <c r="L373" t="n">
        <v>0</v>
      </c>
      <c r="M373" t="n">
        <v>0</v>
      </c>
      <c r="N373" t="n">
        <v>0</v>
      </c>
      <c r="O373" t="n">
        <v>0</v>
      </c>
      <c r="P373" t="n">
        <v>0</v>
      </c>
      <c r="Q373" t="n">
        <v>0</v>
      </c>
      <c r="R373" s="2" t="inlineStr"/>
    </row>
    <row r="374" ht="15" customHeight="1">
      <c r="A374" t="inlineStr">
        <is>
          <t>A 53443-2025</t>
        </is>
      </c>
      <c r="B374" s="1" t="n">
        <v>45959.6444675926</v>
      </c>
      <c r="C374" s="1" t="n">
        <v>46037</v>
      </c>
      <c r="D374" t="inlineStr">
        <is>
          <t>ÖREBRO LÄN</t>
        </is>
      </c>
      <c r="E374" t="inlineStr">
        <is>
          <t>ÖREBRO</t>
        </is>
      </c>
      <c r="G374" t="n">
        <v>2.8</v>
      </c>
      <c r="H374" t="n">
        <v>0</v>
      </c>
      <c r="I374" t="n">
        <v>0</v>
      </c>
      <c r="J374" t="n">
        <v>0</v>
      </c>
      <c r="K374" t="n">
        <v>0</v>
      </c>
      <c r="L374" t="n">
        <v>0</v>
      </c>
      <c r="M374" t="n">
        <v>0</v>
      </c>
      <c r="N374" t="n">
        <v>0</v>
      </c>
      <c r="O374" t="n">
        <v>0</v>
      </c>
      <c r="P374" t="n">
        <v>0</v>
      </c>
      <c r="Q374" t="n">
        <v>0</v>
      </c>
      <c r="R374" s="2" t="inlineStr"/>
    </row>
    <row r="375" ht="15" customHeight="1">
      <c r="A375" t="inlineStr">
        <is>
          <t>A 30472-2022</t>
        </is>
      </c>
      <c r="B375" s="1" t="n">
        <v>44761.70467592592</v>
      </c>
      <c r="C375" s="1" t="n">
        <v>46037</v>
      </c>
      <c r="D375" t="inlineStr">
        <is>
          <t>ÖREBRO LÄN</t>
        </is>
      </c>
      <c r="E375" t="inlineStr">
        <is>
          <t>ÖREBRO</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6869-2025</t>
        </is>
      </c>
      <c r="B376" s="1" t="n">
        <v>45700</v>
      </c>
      <c r="C376" s="1" t="n">
        <v>46037</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57869-2024</t>
        </is>
      </c>
      <c r="B377" s="1" t="n">
        <v>45631.44207175926</v>
      </c>
      <c r="C377" s="1" t="n">
        <v>46037</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38057-2025</t>
        </is>
      </c>
      <c r="B378" s="1" t="n">
        <v>45882.42570601852</v>
      </c>
      <c r="C378" s="1" t="n">
        <v>46037</v>
      </c>
      <c r="D378" t="inlineStr">
        <is>
          <t>ÖREBRO LÄN</t>
        </is>
      </c>
      <c r="E378" t="inlineStr">
        <is>
          <t>ÖREBRO</t>
        </is>
      </c>
      <c r="G378" t="n">
        <v>3</v>
      </c>
      <c r="H378" t="n">
        <v>0</v>
      </c>
      <c r="I378" t="n">
        <v>0</v>
      </c>
      <c r="J378" t="n">
        <v>0</v>
      </c>
      <c r="K378" t="n">
        <v>0</v>
      </c>
      <c r="L378" t="n">
        <v>0</v>
      </c>
      <c r="M378" t="n">
        <v>0</v>
      </c>
      <c r="N378" t="n">
        <v>0</v>
      </c>
      <c r="O378" t="n">
        <v>0</v>
      </c>
      <c r="P378" t="n">
        <v>0</v>
      </c>
      <c r="Q378" t="n">
        <v>0</v>
      </c>
      <c r="R378" s="2" t="inlineStr"/>
    </row>
    <row r="379" ht="15" customHeight="1">
      <c r="A379" t="inlineStr">
        <is>
          <t>A 61930-2025</t>
        </is>
      </c>
      <c r="B379" s="1" t="n">
        <v>46003</v>
      </c>
      <c r="C379" s="1" t="n">
        <v>46037</v>
      </c>
      <c r="D379" t="inlineStr">
        <is>
          <t>ÖREBRO LÄN</t>
        </is>
      </c>
      <c r="E379" t="inlineStr">
        <is>
          <t>ÖREBRO</t>
        </is>
      </c>
      <c r="G379" t="n">
        <v>2.3</v>
      </c>
      <c r="H379" t="n">
        <v>0</v>
      </c>
      <c r="I379" t="n">
        <v>0</v>
      </c>
      <c r="J379" t="n">
        <v>0</v>
      </c>
      <c r="K379" t="n">
        <v>0</v>
      </c>
      <c r="L379" t="n">
        <v>0</v>
      </c>
      <c r="M379" t="n">
        <v>0</v>
      </c>
      <c r="N379" t="n">
        <v>0</v>
      </c>
      <c r="O379" t="n">
        <v>0</v>
      </c>
      <c r="P379" t="n">
        <v>0</v>
      </c>
      <c r="Q379" t="n">
        <v>0</v>
      </c>
      <c r="R379" s="2" t="inlineStr"/>
    </row>
    <row r="380" ht="15" customHeight="1">
      <c r="A380" t="inlineStr">
        <is>
          <t>A 37277-2022</t>
        </is>
      </c>
      <c r="B380" s="1" t="n">
        <v>44807.49150462963</v>
      </c>
      <c r="C380" s="1" t="n">
        <v>46037</v>
      </c>
      <c r="D380" t="inlineStr">
        <is>
          <t>ÖREBRO LÄN</t>
        </is>
      </c>
      <c r="E380" t="inlineStr">
        <is>
          <t>ÖREBRO</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27956-2023</t>
        </is>
      </c>
      <c r="B381" s="1" t="n">
        <v>45098</v>
      </c>
      <c r="C381" s="1" t="n">
        <v>46037</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51331-2023</t>
        </is>
      </c>
      <c r="B382" s="1" t="n">
        <v>45219</v>
      </c>
      <c r="C382" s="1" t="n">
        <v>46037</v>
      </c>
      <c r="D382" t="inlineStr">
        <is>
          <t>ÖREBRO LÄN</t>
        </is>
      </c>
      <c r="E382" t="inlineStr">
        <is>
          <t>ÖREBRO</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40588-2021</t>
        </is>
      </c>
      <c r="B383" s="1" t="n">
        <v>44420</v>
      </c>
      <c r="C383" s="1" t="n">
        <v>46037</v>
      </c>
      <c r="D383" t="inlineStr">
        <is>
          <t>ÖREBRO LÄN</t>
        </is>
      </c>
      <c r="E383" t="inlineStr">
        <is>
          <t>ÖREBRO</t>
        </is>
      </c>
      <c r="G383" t="n">
        <v>1.1</v>
      </c>
      <c r="H383" t="n">
        <v>0</v>
      </c>
      <c r="I383" t="n">
        <v>0</v>
      </c>
      <c r="J383" t="n">
        <v>0</v>
      </c>
      <c r="K383" t="n">
        <v>0</v>
      </c>
      <c r="L383" t="n">
        <v>0</v>
      </c>
      <c r="M383" t="n">
        <v>0</v>
      </c>
      <c r="N383" t="n">
        <v>0</v>
      </c>
      <c r="O383" t="n">
        <v>0</v>
      </c>
      <c r="P383" t="n">
        <v>0</v>
      </c>
      <c r="Q383" t="n">
        <v>0</v>
      </c>
      <c r="R383" s="2" t="inlineStr"/>
    </row>
    <row r="384" ht="15" customHeight="1">
      <c r="A384" t="inlineStr">
        <is>
          <t>A 54205-2025</t>
        </is>
      </c>
      <c r="B384" s="1" t="n">
        <v>45964.58512731481</v>
      </c>
      <c r="C384" s="1" t="n">
        <v>46037</v>
      </c>
      <c r="D384" t="inlineStr">
        <is>
          <t>ÖREBRO LÄN</t>
        </is>
      </c>
      <c r="E384" t="inlineStr">
        <is>
          <t>ÖREBRO</t>
        </is>
      </c>
      <c r="G384" t="n">
        <v>24.3</v>
      </c>
      <c r="H384" t="n">
        <v>0</v>
      </c>
      <c r="I384" t="n">
        <v>0</v>
      </c>
      <c r="J384" t="n">
        <v>0</v>
      </c>
      <c r="K384" t="n">
        <v>0</v>
      </c>
      <c r="L384" t="n">
        <v>0</v>
      </c>
      <c r="M384" t="n">
        <v>0</v>
      </c>
      <c r="N384" t="n">
        <v>0</v>
      </c>
      <c r="O384" t="n">
        <v>0</v>
      </c>
      <c r="P384" t="n">
        <v>0</v>
      </c>
      <c r="Q384" t="n">
        <v>0</v>
      </c>
      <c r="R384" s="2" t="inlineStr"/>
    </row>
    <row r="385" ht="15" customHeight="1">
      <c r="A385" t="inlineStr">
        <is>
          <t>A 40231-2022</t>
        </is>
      </c>
      <c r="B385" s="1" t="n">
        <v>44820</v>
      </c>
      <c r="C385" s="1" t="n">
        <v>46037</v>
      </c>
      <c r="D385" t="inlineStr">
        <is>
          <t>ÖREBRO LÄN</t>
        </is>
      </c>
      <c r="E385" t="inlineStr">
        <is>
          <t>ÖREBRO</t>
        </is>
      </c>
      <c r="F385" t="inlineStr">
        <is>
          <t>Allmännings- och besparingsskogar</t>
        </is>
      </c>
      <c r="G385" t="n">
        <v>2.2</v>
      </c>
      <c r="H385" t="n">
        <v>0</v>
      </c>
      <c r="I385" t="n">
        <v>0</v>
      </c>
      <c r="J385" t="n">
        <v>0</v>
      </c>
      <c r="K385" t="n">
        <v>0</v>
      </c>
      <c r="L385" t="n">
        <v>0</v>
      </c>
      <c r="M385" t="n">
        <v>0</v>
      </c>
      <c r="N385" t="n">
        <v>0</v>
      </c>
      <c r="O385" t="n">
        <v>0</v>
      </c>
      <c r="P385" t="n">
        <v>0</v>
      </c>
      <c r="Q385" t="n">
        <v>0</v>
      </c>
      <c r="R385" s="2" t="inlineStr"/>
    </row>
    <row r="386" ht="15" customHeight="1">
      <c r="A386" t="inlineStr">
        <is>
          <t>A 54485-2025</t>
        </is>
      </c>
      <c r="B386" s="1" t="n">
        <v>45965.59295138889</v>
      </c>
      <c r="C386" s="1" t="n">
        <v>46037</v>
      </c>
      <c r="D386" t="inlineStr">
        <is>
          <t>ÖREBRO LÄN</t>
        </is>
      </c>
      <c r="E386" t="inlineStr">
        <is>
          <t>ÖREBRO</t>
        </is>
      </c>
      <c r="F386" t="inlineStr">
        <is>
          <t>Allmännings- och besparingsskogar</t>
        </is>
      </c>
      <c r="G386" t="n">
        <v>1.7</v>
      </c>
      <c r="H386" t="n">
        <v>0</v>
      </c>
      <c r="I386" t="n">
        <v>0</v>
      </c>
      <c r="J386" t="n">
        <v>0</v>
      </c>
      <c r="K386" t="n">
        <v>0</v>
      </c>
      <c r="L386" t="n">
        <v>0</v>
      </c>
      <c r="M386" t="n">
        <v>0</v>
      </c>
      <c r="N386" t="n">
        <v>0</v>
      </c>
      <c r="O386" t="n">
        <v>0</v>
      </c>
      <c r="P386" t="n">
        <v>0</v>
      </c>
      <c r="Q386" t="n">
        <v>0</v>
      </c>
      <c r="R386" s="2" t="inlineStr"/>
    </row>
    <row r="387" ht="15" customHeight="1">
      <c r="A387" t="inlineStr">
        <is>
          <t>A 4284-2025</t>
        </is>
      </c>
      <c r="B387" s="1" t="n">
        <v>45685</v>
      </c>
      <c r="C387" s="1" t="n">
        <v>46037</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8331-2021</t>
        </is>
      </c>
      <c r="B388" s="1" t="n">
        <v>44244</v>
      </c>
      <c r="C388" s="1" t="n">
        <v>46037</v>
      </c>
      <c r="D388" t="inlineStr">
        <is>
          <t>ÖREBRO LÄN</t>
        </is>
      </c>
      <c r="E388" t="inlineStr">
        <is>
          <t>ÖREBRO</t>
        </is>
      </c>
      <c r="G388" t="n">
        <v>9.1</v>
      </c>
      <c r="H388" t="n">
        <v>0</v>
      </c>
      <c r="I388" t="n">
        <v>0</v>
      </c>
      <c r="J388" t="n">
        <v>0</v>
      </c>
      <c r="K388" t="n">
        <v>0</v>
      </c>
      <c r="L388" t="n">
        <v>0</v>
      </c>
      <c r="M388" t="n">
        <v>0</v>
      </c>
      <c r="N388" t="n">
        <v>0</v>
      </c>
      <c r="O388" t="n">
        <v>0</v>
      </c>
      <c r="P388" t="n">
        <v>0</v>
      </c>
      <c r="Q388" t="n">
        <v>0</v>
      </c>
      <c r="R388" s="2" t="inlineStr"/>
    </row>
    <row r="389" ht="15" customHeight="1">
      <c r="A389" t="inlineStr">
        <is>
          <t>A 8332-2021</t>
        </is>
      </c>
      <c r="B389" s="1" t="n">
        <v>44244</v>
      </c>
      <c r="C389" s="1" t="n">
        <v>46037</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25443-2021</t>
        </is>
      </c>
      <c r="B390" s="1" t="n">
        <v>44342</v>
      </c>
      <c r="C390" s="1" t="n">
        <v>46037</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62683-2025</t>
        </is>
      </c>
      <c r="B391" s="1" t="n">
        <v>46008.45796296297</v>
      </c>
      <c r="C391" s="1" t="n">
        <v>46037</v>
      </c>
      <c r="D391" t="inlineStr">
        <is>
          <t>ÖREBRO LÄN</t>
        </is>
      </c>
      <c r="E391" t="inlineStr">
        <is>
          <t>ÖREBRO</t>
        </is>
      </c>
      <c r="G391" t="n">
        <v>5.1</v>
      </c>
      <c r="H391" t="n">
        <v>0</v>
      </c>
      <c r="I391" t="n">
        <v>0</v>
      </c>
      <c r="J391" t="n">
        <v>0</v>
      </c>
      <c r="K391" t="n">
        <v>0</v>
      </c>
      <c r="L391" t="n">
        <v>0</v>
      </c>
      <c r="M391" t="n">
        <v>0</v>
      </c>
      <c r="N391" t="n">
        <v>0</v>
      </c>
      <c r="O391" t="n">
        <v>0</v>
      </c>
      <c r="P391" t="n">
        <v>0</v>
      </c>
      <c r="Q391" t="n">
        <v>0</v>
      </c>
      <c r="R391" s="2" t="inlineStr"/>
    </row>
    <row r="392" ht="15" customHeight="1">
      <c r="A392" t="inlineStr">
        <is>
          <t>A 42623-2022</t>
        </is>
      </c>
      <c r="B392" s="1" t="n">
        <v>44831</v>
      </c>
      <c r="C392" s="1" t="n">
        <v>46037</v>
      </c>
      <c r="D392" t="inlineStr">
        <is>
          <t>ÖREBRO LÄN</t>
        </is>
      </c>
      <c r="E392" t="inlineStr">
        <is>
          <t>ÖREBRO</t>
        </is>
      </c>
      <c r="G392" t="n">
        <v>3.6</v>
      </c>
      <c r="H392" t="n">
        <v>0</v>
      </c>
      <c r="I392" t="n">
        <v>0</v>
      </c>
      <c r="J392" t="n">
        <v>0</v>
      </c>
      <c r="K392" t="n">
        <v>0</v>
      </c>
      <c r="L392" t="n">
        <v>0</v>
      </c>
      <c r="M392" t="n">
        <v>0</v>
      </c>
      <c r="N392" t="n">
        <v>0</v>
      </c>
      <c r="O392" t="n">
        <v>0</v>
      </c>
      <c r="P392" t="n">
        <v>0</v>
      </c>
      <c r="Q392" t="n">
        <v>0</v>
      </c>
      <c r="R392" s="2" t="inlineStr"/>
    </row>
    <row r="393" ht="15" customHeight="1">
      <c r="A393" t="inlineStr">
        <is>
          <t>A 3763-2025</t>
        </is>
      </c>
      <c r="B393" s="1" t="n">
        <v>45681</v>
      </c>
      <c r="C393" s="1" t="n">
        <v>46037</v>
      </c>
      <c r="D393" t="inlineStr">
        <is>
          <t>ÖREBRO LÄN</t>
        </is>
      </c>
      <c r="E393" t="inlineStr">
        <is>
          <t>ÖREBRO</t>
        </is>
      </c>
      <c r="G393" t="n">
        <v>10.1</v>
      </c>
      <c r="H393" t="n">
        <v>0</v>
      </c>
      <c r="I393" t="n">
        <v>0</v>
      </c>
      <c r="J393" t="n">
        <v>0</v>
      </c>
      <c r="K393" t="n">
        <v>0</v>
      </c>
      <c r="L393" t="n">
        <v>0</v>
      </c>
      <c r="M393" t="n">
        <v>0</v>
      </c>
      <c r="N393" t="n">
        <v>0</v>
      </c>
      <c r="O393" t="n">
        <v>0</v>
      </c>
      <c r="P393" t="n">
        <v>0</v>
      </c>
      <c r="Q393" t="n">
        <v>0</v>
      </c>
      <c r="R393" s="2" t="inlineStr"/>
    </row>
    <row r="394" ht="15" customHeight="1">
      <c r="A394" t="inlineStr">
        <is>
          <t>A 60721-2025</t>
        </is>
      </c>
      <c r="B394" s="1" t="n">
        <v>45996</v>
      </c>
      <c r="C394" s="1" t="n">
        <v>46037</v>
      </c>
      <c r="D394" t="inlineStr">
        <is>
          <t>ÖREBRO LÄN</t>
        </is>
      </c>
      <c r="E394" t="inlineStr">
        <is>
          <t>ÖREBRO</t>
        </is>
      </c>
      <c r="G394" t="n">
        <v>1.3</v>
      </c>
      <c r="H394" t="n">
        <v>0</v>
      </c>
      <c r="I394" t="n">
        <v>0</v>
      </c>
      <c r="J394" t="n">
        <v>0</v>
      </c>
      <c r="K394" t="n">
        <v>0</v>
      </c>
      <c r="L394" t="n">
        <v>0</v>
      </c>
      <c r="M394" t="n">
        <v>0</v>
      </c>
      <c r="N394" t="n">
        <v>0</v>
      </c>
      <c r="O394" t="n">
        <v>0</v>
      </c>
      <c r="P394" t="n">
        <v>0</v>
      </c>
      <c r="Q394" t="n">
        <v>0</v>
      </c>
      <c r="R394" s="2" t="inlineStr"/>
    </row>
    <row r="395" ht="15" customHeight="1">
      <c r="A395" t="inlineStr">
        <is>
          <t>A 55003-2025</t>
        </is>
      </c>
      <c r="B395" s="1" t="n">
        <v>45967</v>
      </c>
      <c r="C395" s="1" t="n">
        <v>46037</v>
      </c>
      <c r="D395" t="inlineStr">
        <is>
          <t>ÖREBRO LÄN</t>
        </is>
      </c>
      <c r="E395" t="inlineStr">
        <is>
          <t>ÖREBRO</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10829-2023</t>
        </is>
      </c>
      <c r="B396" s="1" t="n">
        <v>44990.88512731482</v>
      </c>
      <c r="C396" s="1" t="n">
        <v>46037</v>
      </c>
      <c r="D396" t="inlineStr">
        <is>
          <t>ÖREBRO LÄN</t>
        </is>
      </c>
      <c r="E396" t="inlineStr">
        <is>
          <t>ÖREBRO</t>
        </is>
      </c>
      <c r="G396" t="n">
        <v>4.4</v>
      </c>
      <c r="H396" t="n">
        <v>0</v>
      </c>
      <c r="I396" t="n">
        <v>0</v>
      </c>
      <c r="J396" t="n">
        <v>0</v>
      </c>
      <c r="K396" t="n">
        <v>0</v>
      </c>
      <c r="L396" t="n">
        <v>0</v>
      </c>
      <c r="M396" t="n">
        <v>0</v>
      </c>
      <c r="N396" t="n">
        <v>0</v>
      </c>
      <c r="O396" t="n">
        <v>0</v>
      </c>
      <c r="P396" t="n">
        <v>0</v>
      </c>
      <c r="Q396" t="n">
        <v>0</v>
      </c>
      <c r="R396" s="2" t="inlineStr"/>
    </row>
    <row r="397" ht="15" customHeight="1">
      <c r="A397" t="inlineStr">
        <is>
          <t>A 10831-2023</t>
        </is>
      </c>
      <c r="B397" s="1" t="n">
        <v>44990.90357638889</v>
      </c>
      <c r="C397" s="1" t="n">
        <v>46037</v>
      </c>
      <c r="D397" t="inlineStr">
        <is>
          <t>ÖREBRO LÄN</t>
        </is>
      </c>
      <c r="E397" t="inlineStr">
        <is>
          <t>ÖREBRO</t>
        </is>
      </c>
      <c r="G397" t="n">
        <v>1.9</v>
      </c>
      <c r="H397" t="n">
        <v>0</v>
      </c>
      <c r="I397" t="n">
        <v>0</v>
      </c>
      <c r="J397" t="n">
        <v>0</v>
      </c>
      <c r="K397" t="n">
        <v>0</v>
      </c>
      <c r="L397" t="n">
        <v>0</v>
      </c>
      <c r="M397" t="n">
        <v>0</v>
      </c>
      <c r="N397" t="n">
        <v>0</v>
      </c>
      <c r="O397" t="n">
        <v>0</v>
      </c>
      <c r="P397" t="n">
        <v>0</v>
      </c>
      <c r="Q397" t="n">
        <v>0</v>
      </c>
      <c r="R397" s="2" t="inlineStr"/>
    </row>
    <row r="398" ht="15" customHeight="1">
      <c r="A398" t="inlineStr">
        <is>
          <t>A 16165-2023</t>
        </is>
      </c>
      <c r="B398" s="1" t="n">
        <v>45027</v>
      </c>
      <c r="C398" s="1" t="n">
        <v>46037</v>
      </c>
      <c r="D398" t="inlineStr">
        <is>
          <t>ÖREBRO LÄN</t>
        </is>
      </c>
      <c r="E398" t="inlineStr">
        <is>
          <t>ÖREBRO</t>
        </is>
      </c>
      <c r="G398" t="n">
        <v>11</v>
      </c>
      <c r="H398" t="n">
        <v>0</v>
      </c>
      <c r="I398" t="n">
        <v>0</v>
      </c>
      <c r="J398" t="n">
        <v>0</v>
      </c>
      <c r="K398" t="n">
        <v>0</v>
      </c>
      <c r="L398" t="n">
        <v>0</v>
      </c>
      <c r="M398" t="n">
        <v>0</v>
      </c>
      <c r="N398" t="n">
        <v>0</v>
      </c>
      <c r="O398" t="n">
        <v>0</v>
      </c>
      <c r="P398" t="n">
        <v>0</v>
      </c>
      <c r="Q398" t="n">
        <v>0</v>
      </c>
      <c r="R398" s="2" t="inlineStr"/>
    </row>
    <row r="399" ht="15" customHeight="1">
      <c r="A399" t="inlineStr">
        <is>
          <t>A 57247-2022</t>
        </is>
      </c>
      <c r="B399" s="1" t="n">
        <v>44895.73065972222</v>
      </c>
      <c r="C399" s="1" t="n">
        <v>46037</v>
      </c>
      <c r="D399" t="inlineStr">
        <is>
          <t>ÖREBRO LÄN</t>
        </is>
      </c>
      <c r="E399" t="inlineStr">
        <is>
          <t>ÖREBRO</t>
        </is>
      </c>
      <c r="G399" t="n">
        <v>1.6</v>
      </c>
      <c r="H399" t="n">
        <v>0</v>
      </c>
      <c r="I399" t="n">
        <v>0</v>
      </c>
      <c r="J399" t="n">
        <v>0</v>
      </c>
      <c r="K399" t="n">
        <v>0</v>
      </c>
      <c r="L399" t="n">
        <v>0</v>
      </c>
      <c r="M399" t="n">
        <v>0</v>
      </c>
      <c r="N399" t="n">
        <v>0</v>
      </c>
      <c r="O399" t="n">
        <v>0</v>
      </c>
      <c r="P399" t="n">
        <v>0</v>
      </c>
      <c r="Q399" t="n">
        <v>0</v>
      </c>
      <c r="R399" s="2" t="inlineStr"/>
    </row>
    <row r="400" ht="15" customHeight="1">
      <c r="A400" t="inlineStr">
        <is>
          <t>A 63666-2025</t>
        </is>
      </c>
      <c r="B400" s="1" t="n">
        <v>46014.45650462963</v>
      </c>
      <c r="C400" s="1" t="n">
        <v>46037</v>
      </c>
      <c r="D400" t="inlineStr">
        <is>
          <t>ÖREBRO LÄN</t>
        </is>
      </c>
      <c r="E400" t="inlineStr">
        <is>
          <t>ÖREBRO</t>
        </is>
      </c>
      <c r="F400" t="inlineStr">
        <is>
          <t>Allmännings- och besparingsskogar</t>
        </is>
      </c>
      <c r="G400" t="n">
        <v>2.6</v>
      </c>
      <c r="H400" t="n">
        <v>0</v>
      </c>
      <c r="I400" t="n">
        <v>0</v>
      </c>
      <c r="J400" t="n">
        <v>0</v>
      </c>
      <c r="K400" t="n">
        <v>0</v>
      </c>
      <c r="L400" t="n">
        <v>0</v>
      </c>
      <c r="M400" t="n">
        <v>0</v>
      </c>
      <c r="N400" t="n">
        <v>0</v>
      </c>
      <c r="O400" t="n">
        <v>0</v>
      </c>
      <c r="P400" t="n">
        <v>0</v>
      </c>
      <c r="Q400" t="n">
        <v>0</v>
      </c>
      <c r="R400" s="2" t="inlineStr"/>
    </row>
    <row r="401" ht="15" customHeight="1">
      <c r="A401" t="inlineStr">
        <is>
          <t>A 55748-2025</t>
        </is>
      </c>
      <c r="B401" s="1" t="n">
        <v>45972.57893518519</v>
      </c>
      <c r="C401" s="1" t="n">
        <v>46037</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55750-2025</t>
        </is>
      </c>
      <c r="B402" s="1" t="n">
        <v>45972.58171296296</v>
      </c>
      <c r="C402" s="1" t="n">
        <v>46037</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63657-2025</t>
        </is>
      </c>
      <c r="B403" s="1" t="n">
        <v>46014.44479166667</v>
      </c>
      <c r="C403" s="1" t="n">
        <v>46037</v>
      </c>
      <c r="D403" t="inlineStr">
        <is>
          <t>ÖREBRO LÄN</t>
        </is>
      </c>
      <c r="E403" t="inlineStr">
        <is>
          <t>ÖREBRO</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63662-2025</t>
        </is>
      </c>
      <c r="B404" s="1" t="n">
        <v>46014.45055555556</v>
      </c>
      <c r="C404" s="1" t="n">
        <v>46037</v>
      </c>
      <c r="D404" t="inlineStr">
        <is>
          <t>ÖREBRO LÄN</t>
        </is>
      </c>
      <c r="E404" t="inlineStr">
        <is>
          <t>ÖREBRO</t>
        </is>
      </c>
      <c r="F404" t="inlineStr">
        <is>
          <t>Allmännings- och besparingsskogar</t>
        </is>
      </c>
      <c r="G404" t="n">
        <v>3.2</v>
      </c>
      <c r="H404" t="n">
        <v>0</v>
      </c>
      <c r="I404" t="n">
        <v>0</v>
      </c>
      <c r="J404" t="n">
        <v>0</v>
      </c>
      <c r="K404" t="n">
        <v>0</v>
      </c>
      <c r="L404" t="n">
        <v>0</v>
      </c>
      <c r="M404" t="n">
        <v>0</v>
      </c>
      <c r="N404" t="n">
        <v>0</v>
      </c>
      <c r="O404" t="n">
        <v>0</v>
      </c>
      <c r="P404" t="n">
        <v>0</v>
      </c>
      <c r="Q404" t="n">
        <v>0</v>
      </c>
      <c r="R404" s="2" t="inlineStr"/>
    </row>
    <row r="405" ht="15" customHeight="1">
      <c r="A405" t="inlineStr">
        <is>
          <t>A 55879-2025</t>
        </is>
      </c>
      <c r="B405" s="1" t="n">
        <v>45973.36508101852</v>
      </c>
      <c r="C405" s="1" t="n">
        <v>46037</v>
      </c>
      <c r="D405" t="inlineStr">
        <is>
          <t>ÖREBRO LÄN</t>
        </is>
      </c>
      <c r="E405" t="inlineStr">
        <is>
          <t>ÖREBRO</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46037</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55888-2025</t>
        </is>
      </c>
      <c r="B407" s="1" t="n">
        <v>45973.37163194444</v>
      </c>
      <c r="C407" s="1" t="n">
        <v>46037</v>
      </c>
      <c r="D407" t="inlineStr">
        <is>
          <t>ÖREBRO LÄN</t>
        </is>
      </c>
      <c r="E407" t="inlineStr">
        <is>
          <t>ÖREBRO</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30374-2023</t>
        </is>
      </c>
      <c r="B408" s="1" t="n">
        <v>45111</v>
      </c>
      <c r="C408" s="1" t="n">
        <v>46037</v>
      </c>
      <c r="D408" t="inlineStr">
        <is>
          <t>ÖREBRO LÄN</t>
        </is>
      </c>
      <c r="E408" t="inlineStr">
        <is>
          <t>ÖREBRO</t>
        </is>
      </c>
      <c r="F408" t="inlineStr">
        <is>
          <t>Övriga Aktiebolag</t>
        </is>
      </c>
      <c r="G408" t="n">
        <v>2.3</v>
      </c>
      <c r="H408" t="n">
        <v>0</v>
      </c>
      <c r="I408" t="n">
        <v>0</v>
      </c>
      <c r="J408" t="n">
        <v>0</v>
      </c>
      <c r="K408" t="n">
        <v>0</v>
      </c>
      <c r="L408" t="n">
        <v>0</v>
      </c>
      <c r="M408" t="n">
        <v>0</v>
      </c>
      <c r="N408" t="n">
        <v>0</v>
      </c>
      <c r="O408" t="n">
        <v>0</v>
      </c>
      <c r="P408" t="n">
        <v>0</v>
      </c>
      <c r="Q408" t="n">
        <v>0</v>
      </c>
      <c r="R408" s="2" t="inlineStr"/>
    </row>
    <row r="409" ht="15" customHeight="1">
      <c r="A409" t="inlineStr">
        <is>
          <t>A 64018-2025</t>
        </is>
      </c>
      <c r="B409" s="1" t="n">
        <v>46021.4546412037</v>
      </c>
      <c r="C409" s="1" t="n">
        <v>46037</v>
      </c>
      <c r="D409" t="inlineStr">
        <is>
          <t>ÖREBRO LÄN</t>
        </is>
      </c>
      <c r="E409" t="inlineStr">
        <is>
          <t>ÖREBRO</t>
        </is>
      </c>
      <c r="G409" t="n">
        <v>2.9</v>
      </c>
      <c r="H409" t="n">
        <v>0</v>
      </c>
      <c r="I409" t="n">
        <v>0</v>
      </c>
      <c r="J409" t="n">
        <v>0</v>
      </c>
      <c r="K409" t="n">
        <v>0</v>
      </c>
      <c r="L409" t="n">
        <v>0</v>
      </c>
      <c r="M409" t="n">
        <v>0</v>
      </c>
      <c r="N409" t="n">
        <v>0</v>
      </c>
      <c r="O409" t="n">
        <v>0</v>
      </c>
      <c r="P409" t="n">
        <v>0</v>
      </c>
      <c r="Q409" t="n">
        <v>0</v>
      </c>
      <c r="R409" s="2" t="inlineStr"/>
    </row>
    <row r="410" ht="15" customHeight="1">
      <c r="A410" t="inlineStr">
        <is>
          <t>A 54678-2023</t>
        </is>
      </c>
      <c r="B410" s="1" t="n">
        <v>45235</v>
      </c>
      <c r="C410" s="1" t="n">
        <v>46037</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64019-2025</t>
        </is>
      </c>
      <c r="B411" s="1" t="n">
        <v>46021.45914351852</v>
      </c>
      <c r="C411" s="1" t="n">
        <v>46037</v>
      </c>
      <c r="D411" t="inlineStr">
        <is>
          <t>ÖREBRO LÄN</t>
        </is>
      </c>
      <c r="E411" t="inlineStr">
        <is>
          <t>ÖREBRO</t>
        </is>
      </c>
      <c r="G411" t="n">
        <v>2</v>
      </c>
      <c r="H411" t="n">
        <v>0</v>
      </c>
      <c r="I411" t="n">
        <v>0</v>
      </c>
      <c r="J411" t="n">
        <v>0</v>
      </c>
      <c r="K411" t="n">
        <v>0</v>
      </c>
      <c r="L411" t="n">
        <v>0</v>
      </c>
      <c r="M411" t="n">
        <v>0</v>
      </c>
      <c r="N411" t="n">
        <v>0</v>
      </c>
      <c r="O411" t="n">
        <v>0</v>
      </c>
      <c r="P411" t="n">
        <v>0</v>
      </c>
      <c r="Q411" t="n">
        <v>0</v>
      </c>
      <c r="R411" s="2" t="inlineStr"/>
    </row>
    <row r="412" ht="15" customHeight="1">
      <c r="A412" t="inlineStr">
        <is>
          <t>A 57537-2025</t>
        </is>
      </c>
      <c r="B412" s="1" t="n">
        <v>45980.6446875</v>
      </c>
      <c r="C412" s="1" t="n">
        <v>46037</v>
      </c>
      <c r="D412" t="inlineStr">
        <is>
          <t>ÖREBRO LÄN</t>
        </is>
      </c>
      <c r="E412" t="inlineStr">
        <is>
          <t>ÖREBRO</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58219-2024</t>
        </is>
      </c>
      <c r="B413" s="1" t="n">
        <v>45632</v>
      </c>
      <c r="C413" s="1" t="n">
        <v>46037</v>
      </c>
      <c r="D413" t="inlineStr">
        <is>
          <t>ÖREBRO LÄN</t>
        </is>
      </c>
      <c r="E413" t="inlineStr">
        <is>
          <t>ÖREBRO</t>
        </is>
      </c>
      <c r="G413" t="n">
        <v>1.1</v>
      </c>
      <c r="H413" t="n">
        <v>0</v>
      </c>
      <c r="I413" t="n">
        <v>0</v>
      </c>
      <c r="J413" t="n">
        <v>0</v>
      </c>
      <c r="K413" t="n">
        <v>0</v>
      </c>
      <c r="L413" t="n">
        <v>0</v>
      </c>
      <c r="M413" t="n">
        <v>0</v>
      </c>
      <c r="N413" t="n">
        <v>0</v>
      </c>
      <c r="O413" t="n">
        <v>0</v>
      </c>
      <c r="P413" t="n">
        <v>0</v>
      </c>
      <c r="Q413" t="n">
        <v>0</v>
      </c>
      <c r="R413" s="2" t="inlineStr"/>
    </row>
    <row r="414" ht="15" customHeight="1">
      <c r="A414" t="inlineStr">
        <is>
          <t>A 58587-2025</t>
        </is>
      </c>
      <c r="B414" s="1" t="n">
        <v>45986.40208333333</v>
      </c>
      <c r="C414" s="1" t="n">
        <v>46037</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42518-2021</t>
        </is>
      </c>
      <c r="B415" s="1" t="n">
        <v>44427.81496527778</v>
      </c>
      <c r="C415" s="1" t="n">
        <v>46037</v>
      </c>
      <c r="D415" t="inlineStr">
        <is>
          <t>ÖREBRO LÄN</t>
        </is>
      </c>
      <c r="E415" t="inlineStr">
        <is>
          <t>ÖREBRO</t>
        </is>
      </c>
      <c r="G415" t="n">
        <v>4.5</v>
      </c>
      <c r="H415" t="n">
        <v>0</v>
      </c>
      <c r="I415" t="n">
        <v>0</v>
      </c>
      <c r="J415" t="n">
        <v>0</v>
      </c>
      <c r="K415" t="n">
        <v>0</v>
      </c>
      <c r="L415" t="n">
        <v>0</v>
      </c>
      <c r="M415" t="n">
        <v>0</v>
      </c>
      <c r="N415" t="n">
        <v>0</v>
      </c>
      <c r="O415" t="n">
        <v>0</v>
      </c>
      <c r="P415" t="n">
        <v>0</v>
      </c>
      <c r="Q415" t="n">
        <v>0</v>
      </c>
      <c r="R415" s="2" t="inlineStr"/>
    </row>
    <row r="416" ht="15" customHeight="1">
      <c r="A416" t="inlineStr">
        <is>
          <t>A 14545-2023</t>
        </is>
      </c>
      <c r="B416" s="1" t="n">
        <v>45013.34895833334</v>
      </c>
      <c r="C416" s="1" t="n">
        <v>46037</v>
      </c>
      <c r="D416" t="inlineStr">
        <is>
          <t>ÖREBRO LÄN</t>
        </is>
      </c>
      <c r="E416" t="inlineStr">
        <is>
          <t>ÖREBRO</t>
        </is>
      </c>
      <c r="G416" t="n">
        <v>2.5</v>
      </c>
      <c r="H416" t="n">
        <v>0</v>
      </c>
      <c r="I416" t="n">
        <v>0</v>
      </c>
      <c r="J416" t="n">
        <v>0</v>
      </c>
      <c r="K416" t="n">
        <v>0</v>
      </c>
      <c r="L416" t="n">
        <v>0</v>
      </c>
      <c r="M416" t="n">
        <v>0</v>
      </c>
      <c r="N416" t="n">
        <v>0</v>
      </c>
      <c r="O416" t="n">
        <v>0</v>
      </c>
      <c r="P416" t="n">
        <v>0</v>
      </c>
      <c r="Q416" t="n">
        <v>0</v>
      </c>
      <c r="R416" s="2" t="inlineStr"/>
    </row>
    <row r="417" ht="15" customHeight="1">
      <c r="A417" t="inlineStr">
        <is>
          <t>A 27112-2023</t>
        </is>
      </c>
      <c r="B417" s="1" t="n">
        <v>45096</v>
      </c>
      <c r="C417" s="1" t="n">
        <v>46037</v>
      </c>
      <c r="D417" t="inlineStr">
        <is>
          <t>ÖREBRO LÄN</t>
        </is>
      </c>
      <c r="E417" t="inlineStr">
        <is>
          <t>ÖREBRO</t>
        </is>
      </c>
      <c r="G417" t="n">
        <v>0.7</v>
      </c>
      <c r="H417" t="n">
        <v>0</v>
      </c>
      <c r="I417" t="n">
        <v>0</v>
      </c>
      <c r="J417" t="n">
        <v>0</v>
      </c>
      <c r="K417" t="n">
        <v>0</v>
      </c>
      <c r="L417" t="n">
        <v>0</v>
      </c>
      <c r="M417" t="n">
        <v>0</v>
      </c>
      <c r="N417" t="n">
        <v>0</v>
      </c>
      <c r="O417" t="n">
        <v>0</v>
      </c>
      <c r="P417" t="n">
        <v>0</v>
      </c>
      <c r="Q417" t="n">
        <v>0</v>
      </c>
      <c r="R417" s="2" t="inlineStr"/>
    </row>
    <row r="418" ht="15" customHeight="1">
      <c r="A418" t="inlineStr">
        <is>
          <t>A 58230-2025</t>
        </is>
      </c>
      <c r="B418" s="1" t="n">
        <v>45985.38037037037</v>
      </c>
      <c r="C418" s="1" t="n">
        <v>46037</v>
      </c>
      <c r="D418" t="inlineStr">
        <is>
          <t>ÖREBRO LÄN</t>
        </is>
      </c>
      <c r="E418" t="inlineStr">
        <is>
          <t>ÖREBRO</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14524-2025</t>
        </is>
      </c>
      <c r="B419" s="1" t="n">
        <v>45741.64815972222</v>
      </c>
      <c r="C419" s="1" t="n">
        <v>46037</v>
      </c>
      <c r="D419" t="inlineStr">
        <is>
          <t>ÖREBRO LÄN</t>
        </is>
      </c>
      <c r="E419" t="inlineStr">
        <is>
          <t>ÖREBRO</t>
        </is>
      </c>
      <c r="G419" t="n">
        <v>2.8</v>
      </c>
      <c r="H419" t="n">
        <v>0</v>
      </c>
      <c r="I419" t="n">
        <v>0</v>
      </c>
      <c r="J419" t="n">
        <v>0</v>
      </c>
      <c r="K419" t="n">
        <v>0</v>
      </c>
      <c r="L419" t="n">
        <v>0</v>
      </c>
      <c r="M419" t="n">
        <v>0</v>
      </c>
      <c r="N419" t="n">
        <v>0</v>
      </c>
      <c r="O419" t="n">
        <v>0</v>
      </c>
      <c r="P419" t="n">
        <v>0</v>
      </c>
      <c r="Q419" t="n">
        <v>0</v>
      </c>
      <c r="R419" s="2" t="inlineStr"/>
    </row>
    <row r="420" ht="15" customHeight="1">
      <c r="A420" t="inlineStr">
        <is>
          <t>A 46834-2022</t>
        </is>
      </c>
      <c r="B420" s="1" t="n">
        <v>44851</v>
      </c>
      <c r="C420" s="1" t="n">
        <v>46037</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57638-2022</t>
        </is>
      </c>
      <c r="B421" s="1" t="n">
        <v>44897</v>
      </c>
      <c r="C421" s="1" t="n">
        <v>46037</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2152-2023</t>
        </is>
      </c>
      <c r="B422" s="1" t="n">
        <v>44941.55056712963</v>
      </c>
      <c r="C422" s="1" t="n">
        <v>46037</v>
      </c>
      <c r="D422" t="inlineStr">
        <is>
          <t>ÖREBRO LÄN</t>
        </is>
      </c>
      <c r="E422" t="inlineStr">
        <is>
          <t>ÖREBRO</t>
        </is>
      </c>
      <c r="G422" t="n">
        <v>8</v>
      </c>
      <c r="H422" t="n">
        <v>0</v>
      </c>
      <c r="I422" t="n">
        <v>0</v>
      </c>
      <c r="J422" t="n">
        <v>0</v>
      </c>
      <c r="K422" t="n">
        <v>0</v>
      </c>
      <c r="L422" t="n">
        <v>0</v>
      </c>
      <c r="M422" t="n">
        <v>0</v>
      </c>
      <c r="N422" t="n">
        <v>0</v>
      </c>
      <c r="O422" t="n">
        <v>0</v>
      </c>
      <c r="P422" t="n">
        <v>0</v>
      </c>
      <c r="Q422" t="n">
        <v>0</v>
      </c>
      <c r="R422" s="2" t="inlineStr"/>
    </row>
    <row r="423" ht="15" customHeight="1">
      <c r="A423" t="inlineStr">
        <is>
          <t>A 59145-2025</t>
        </is>
      </c>
      <c r="B423" s="1" t="n">
        <v>45988.52015046297</v>
      </c>
      <c r="C423" s="1" t="n">
        <v>46037</v>
      </c>
      <c r="D423" t="inlineStr">
        <is>
          <t>ÖREBRO LÄN</t>
        </is>
      </c>
      <c r="E423" t="inlineStr">
        <is>
          <t>ÖREBRO</t>
        </is>
      </c>
      <c r="G423" t="n">
        <v>0.8</v>
      </c>
      <c r="H423" t="n">
        <v>0</v>
      </c>
      <c r="I423" t="n">
        <v>0</v>
      </c>
      <c r="J423" t="n">
        <v>0</v>
      </c>
      <c r="K423" t="n">
        <v>0</v>
      </c>
      <c r="L423" t="n">
        <v>0</v>
      </c>
      <c r="M423" t="n">
        <v>0</v>
      </c>
      <c r="N423" t="n">
        <v>0</v>
      </c>
      <c r="O423" t="n">
        <v>0</v>
      </c>
      <c r="P423" t="n">
        <v>0</v>
      </c>
      <c r="Q423" t="n">
        <v>0</v>
      </c>
      <c r="R423" s="2" t="inlineStr"/>
    </row>
    <row r="424" ht="15" customHeight="1">
      <c r="A424" t="inlineStr">
        <is>
          <t>A 55745-2023</t>
        </is>
      </c>
      <c r="B424" s="1" t="n">
        <v>45239.44811342593</v>
      </c>
      <c r="C424" s="1" t="n">
        <v>46037</v>
      </c>
      <c r="D424" t="inlineStr">
        <is>
          <t>ÖREBRO LÄN</t>
        </is>
      </c>
      <c r="E424" t="inlineStr">
        <is>
          <t>ÖREBRO</t>
        </is>
      </c>
      <c r="G424" t="n">
        <v>13.3</v>
      </c>
      <c r="H424" t="n">
        <v>0</v>
      </c>
      <c r="I424" t="n">
        <v>0</v>
      </c>
      <c r="J424" t="n">
        <v>0</v>
      </c>
      <c r="K424" t="n">
        <v>0</v>
      </c>
      <c r="L424" t="n">
        <v>0</v>
      </c>
      <c r="M424" t="n">
        <v>0</v>
      </c>
      <c r="N424" t="n">
        <v>0</v>
      </c>
      <c r="O424" t="n">
        <v>0</v>
      </c>
      <c r="P424" t="n">
        <v>0</v>
      </c>
      <c r="Q424" t="n">
        <v>0</v>
      </c>
      <c r="R424" s="2" t="inlineStr"/>
    </row>
    <row r="425" ht="15" customHeight="1">
      <c r="A425" t="inlineStr">
        <is>
          <t>A 58835-2025</t>
        </is>
      </c>
      <c r="B425" s="1" t="n">
        <v>45987.35519675926</v>
      </c>
      <c r="C425" s="1" t="n">
        <v>46037</v>
      </c>
      <c r="D425" t="inlineStr">
        <is>
          <t>ÖREBRO LÄN</t>
        </is>
      </c>
      <c r="E425" t="inlineStr">
        <is>
          <t>ÖREBRO</t>
        </is>
      </c>
      <c r="G425" t="n">
        <v>2.1</v>
      </c>
      <c r="H425" t="n">
        <v>0</v>
      </c>
      <c r="I425" t="n">
        <v>0</v>
      </c>
      <c r="J425" t="n">
        <v>0</v>
      </c>
      <c r="K425" t="n">
        <v>0</v>
      </c>
      <c r="L425" t="n">
        <v>0</v>
      </c>
      <c r="M425" t="n">
        <v>0</v>
      </c>
      <c r="N425" t="n">
        <v>0</v>
      </c>
      <c r="O425" t="n">
        <v>0</v>
      </c>
      <c r="P425" t="n">
        <v>0</v>
      </c>
      <c r="Q425" t="n">
        <v>0</v>
      </c>
      <c r="R425" s="2" t="inlineStr"/>
    </row>
    <row r="426" ht="15" customHeight="1">
      <c r="A426" t="inlineStr">
        <is>
          <t>A 71285-2021</t>
        </is>
      </c>
      <c r="B426" s="1" t="n">
        <v>44539.62236111111</v>
      </c>
      <c r="C426" s="1" t="n">
        <v>46037</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60289-2023</t>
        </is>
      </c>
      <c r="B427" s="1" t="n">
        <v>45257</v>
      </c>
      <c r="C427" s="1" t="n">
        <v>46037</v>
      </c>
      <c r="D427" t="inlineStr">
        <is>
          <t>ÖREBRO LÄN</t>
        </is>
      </c>
      <c r="E427" t="inlineStr">
        <is>
          <t>ÖREBRO</t>
        </is>
      </c>
      <c r="G427" t="n">
        <v>10.9</v>
      </c>
      <c r="H427" t="n">
        <v>0</v>
      </c>
      <c r="I427" t="n">
        <v>0</v>
      </c>
      <c r="J427" t="n">
        <v>0</v>
      </c>
      <c r="K427" t="n">
        <v>0</v>
      </c>
      <c r="L427" t="n">
        <v>0</v>
      </c>
      <c r="M427" t="n">
        <v>0</v>
      </c>
      <c r="N427" t="n">
        <v>0</v>
      </c>
      <c r="O427" t="n">
        <v>0</v>
      </c>
      <c r="P427" t="n">
        <v>0</v>
      </c>
      <c r="Q427" t="n">
        <v>0</v>
      </c>
      <c r="R427" s="2" t="inlineStr"/>
    </row>
    <row r="428" ht="15" customHeight="1">
      <c r="A428" t="inlineStr">
        <is>
          <t>A 12099-2023</t>
        </is>
      </c>
      <c r="B428" s="1" t="n">
        <v>44998.37043981482</v>
      </c>
      <c r="C428" s="1" t="n">
        <v>46037</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59312-2025</t>
        </is>
      </c>
      <c r="B429" s="1" t="n">
        <v>45989.30467592592</v>
      </c>
      <c r="C429" s="1" t="n">
        <v>46037</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59313-2025</t>
        </is>
      </c>
      <c r="B430" s="1" t="n">
        <v>45989.30920138889</v>
      </c>
      <c r="C430" s="1" t="n">
        <v>46037</v>
      </c>
      <c r="D430" t="inlineStr">
        <is>
          <t>ÖREBRO LÄN</t>
        </is>
      </c>
      <c r="E430" t="inlineStr">
        <is>
          <t>ÖREBRO</t>
        </is>
      </c>
      <c r="G430" t="n">
        <v>1.6</v>
      </c>
      <c r="H430" t="n">
        <v>0</v>
      </c>
      <c r="I430" t="n">
        <v>0</v>
      </c>
      <c r="J430" t="n">
        <v>0</v>
      </c>
      <c r="K430" t="n">
        <v>0</v>
      </c>
      <c r="L430" t="n">
        <v>0</v>
      </c>
      <c r="M430" t="n">
        <v>0</v>
      </c>
      <c r="N430" t="n">
        <v>0</v>
      </c>
      <c r="O430" t="n">
        <v>0</v>
      </c>
      <c r="P430" t="n">
        <v>0</v>
      </c>
      <c r="Q430" t="n">
        <v>0</v>
      </c>
      <c r="R430" s="2" t="inlineStr"/>
    </row>
    <row r="431" ht="15" customHeight="1">
      <c r="A431" t="inlineStr">
        <is>
          <t>A 59856-2025</t>
        </is>
      </c>
      <c r="B431" s="1" t="n">
        <v>45992.74891203704</v>
      </c>
      <c r="C431" s="1" t="n">
        <v>46037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1153-2026</t>
        </is>
      </c>
      <c r="B432" s="1" t="n">
        <v>46031.30899305556</v>
      </c>
      <c r="C432" s="1" t="n">
        <v>46037</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58277-2022</t>
        </is>
      </c>
      <c r="B433" s="1" t="n">
        <v>44901.48108796297</v>
      </c>
      <c r="C433" s="1" t="n">
        <v>46037</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31906-2023</t>
        </is>
      </c>
      <c r="B434" s="1" t="n">
        <v>45118.8353125</v>
      </c>
      <c r="C434" s="1" t="n">
        <v>46037</v>
      </c>
      <c r="D434" t="inlineStr">
        <is>
          <t>ÖREBRO LÄN</t>
        </is>
      </c>
      <c r="E434" t="inlineStr">
        <is>
          <t>ÖREBRO</t>
        </is>
      </c>
      <c r="G434" t="n">
        <v>9</v>
      </c>
      <c r="H434" t="n">
        <v>0</v>
      </c>
      <c r="I434" t="n">
        <v>0</v>
      </c>
      <c r="J434" t="n">
        <v>0</v>
      </c>
      <c r="K434" t="n">
        <v>0</v>
      </c>
      <c r="L434" t="n">
        <v>0</v>
      </c>
      <c r="M434" t="n">
        <v>0</v>
      </c>
      <c r="N434" t="n">
        <v>0</v>
      </c>
      <c r="O434" t="n">
        <v>0</v>
      </c>
      <c r="P434" t="n">
        <v>0</v>
      </c>
      <c r="Q434" t="n">
        <v>0</v>
      </c>
      <c r="R434" s="2" t="inlineStr"/>
    </row>
    <row r="435" ht="15" customHeight="1">
      <c r="A435" t="inlineStr">
        <is>
          <t>A 59515-2025</t>
        </is>
      </c>
      <c r="B435" s="1" t="n">
        <v>45989.65238425926</v>
      </c>
      <c r="C435" s="1" t="n">
        <v>46037</v>
      </c>
      <c r="D435" t="inlineStr">
        <is>
          <t>ÖREBRO LÄN</t>
        </is>
      </c>
      <c r="E435" t="inlineStr">
        <is>
          <t>ÖREBRO</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6387-2021</t>
        </is>
      </c>
      <c r="B436" s="1" t="n">
        <v>44235</v>
      </c>
      <c r="C436" s="1" t="n">
        <v>46037</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59857-2025</t>
        </is>
      </c>
      <c r="B437" s="1" t="n">
        <v>45992.75820601852</v>
      </c>
      <c r="C437" s="1" t="n">
        <v>46037</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10937-2024</t>
        </is>
      </c>
      <c r="B438" s="1" t="n">
        <v>45370.44461805555</v>
      </c>
      <c r="C438" s="1" t="n">
        <v>46037</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59858-2025</t>
        </is>
      </c>
      <c r="B439" s="1" t="n">
        <v>45992.76758101852</v>
      </c>
      <c r="C439" s="1" t="n">
        <v>46037</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59859-2025</t>
        </is>
      </c>
      <c r="B440" s="1" t="n">
        <v>45992.7803125</v>
      </c>
      <c r="C440" s="1" t="n">
        <v>46037</v>
      </c>
      <c r="D440" t="inlineStr">
        <is>
          <t>ÖREBRO LÄN</t>
        </is>
      </c>
      <c r="E440" t="inlineStr">
        <is>
          <t>ÖREBRO</t>
        </is>
      </c>
      <c r="G440" t="n">
        <v>0.4</v>
      </c>
      <c r="H440" t="n">
        <v>0</v>
      </c>
      <c r="I440" t="n">
        <v>0</v>
      </c>
      <c r="J440" t="n">
        <v>0</v>
      </c>
      <c r="K440" t="n">
        <v>0</v>
      </c>
      <c r="L440" t="n">
        <v>0</v>
      </c>
      <c r="M440" t="n">
        <v>0</v>
      </c>
      <c r="N440" t="n">
        <v>0</v>
      </c>
      <c r="O440" t="n">
        <v>0</v>
      </c>
      <c r="P440" t="n">
        <v>0</v>
      </c>
      <c r="Q440" t="n">
        <v>0</v>
      </c>
      <c r="R440" s="2" t="inlineStr"/>
    </row>
    <row r="441" ht="15" customHeight="1">
      <c r="A441" t="inlineStr">
        <is>
          <t>A 22079-2023</t>
        </is>
      </c>
      <c r="B441" s="1" t="n">
        <v>45069</v>
      </c>
      <c r="C441" s="1" t="n">
        <v>46037</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52447-2024</t>
        </is>
      </c>
      <c r="B442" s="1" t="n">
        <v>45609.49157407408</v>
      </c>
      <c r="C442" s="1" t="n">
        <v>46037</v>
      </c>
      <c r="D442" t="inlineStr">
        <is>
          <t>ÖREBRO LÄN</t>
        </is>
      </c>
      <c r="E442" t="inlineStr">
        <is>
          <t>ÖREBRO</t>
        </is>
      </c>
      <c r="G442" t="n">
        <v>1.4</v>
      </c>
      <c r="H442" t="n">
        <v>0</v>
      </c>
      <c r="I442" t="n">
        <v>0</v>
      </c>
      <c r="J442" t="n">
        <v>0</v>
      </c>
      <c r="K442" t="n">
        <v>0</v>
      </c>
      <c r="L442" t="n">
        <v>0</v>
      </c>
      <c r="M442" t="n">
        <v>0</v>
      </c>
      <c r="N442" t="n">
        <v>0</v>
      </c>
      <c r="O442" t="n">
        <v>0</v>
      </c>
      <c r="P442" t="n">
        <v>0</v>
      </c>
      <c r="Q442" t="n">
        <v>0</v>
      </c>
      <c r="R442" s="2" t="inlineStr"/>
    </row>
    <row r="443" ht="15" customHeight="1">
      <c r="A443" t="inlineStr">
        <is>
          <t>A 3841-2023</t>
        </is>
      </c>
      <c r="B443" s="1" t="n">
        <v>44951</v>
      </c>
      <c r="C443" s="1" t="n">
        <v>46037</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59937-2025</t>
        </is>
      </c>
      <c r="B444" s="1" t="n">
        <v>45993.41934027777</v>
      </c>
      <c r="C444" s="1" t="n">
        <v>46037</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59938-2025</t>
        </is>
      </c>
      <c r="B445" s="1" t="n">
        <v>45993.42108796296</v>
      </c>
      <c r="C445" s="1" t="n">
        <v>46037</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59860-2025</t>
        </is>
      </c>
      <c r="B446" s="1" t="n">
        <v>45992.78351851852</v>
      </c>
      <c r="C446" s="1" t="n">
        <v>46037</v>
      </c>
      <c r="D446" t="inlineStr">
        <is>
          <t>ÖREBRO LÄN</t>
        </is>
      </c>
      <c r="E446" t="inlineStr">
        <is>
          <t>ÖREBRO</t>
        </is>
      </c>
      <c r="G446" t="n">
        <v>0.8</v>
      </c>
      <c r="H446" t="n">
        <v>0</v>
      </c>
      <c r="I446" t="n">
        <v>0</v>
      </c>
      <c r="J446" t="n">
        <v>0</v>
      </c>
      <c r="K446" t="n">
        <v>0</v>
      </c>
      <c r="L446" t="n">
        <v>0</v>
      </c>
      <c r="M446" t="n">
        <v>0</v>
      </c>
      <c r="N446" t="n">
        <v>0</v>
      </c>
      <c r="O446" t="n">
        <v>0</v>
      </c>
      <c r="P446" t="n">
        <v>0</v>
      </c>
      <c r="Q446" t="n">
        <v>0</v>
      </c>
      <c r="R446" s="2" t="inlineStr"/>
    </row>
    <row r="447" ht="15" customHeight="1">
      <c r="A447" t="inlineStr">
        <is>
          <t>A 38489-2023</t>
        </is>
      </c>
      <c r="B447" s="1" t="n">
        <v>45162</v>
      </c>
      <c r="C447" s="1" t="n">
        <v>46037</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2162-2026</t>
        </is>
      </c>
      <c r="B448" s="1" t="n">
        <v>46036.43479166667</v>
      </c>
      <c r="C448" s="1" t="n">
        <v>46037</v>
      </c>
      <c r="D448" t="inlineStr">
        <is>
          <t>ÖREBRO LÄN</t>
        </is>
      </c>
      <c r="E448" t="inlineStr">
        <is>
          <t>ÖREBRO</t>
        </is>
      </c>
      <c r="G448" t="n">
        <v>0.5</v>
      </c>
      <c r="H448" t="n">
        <v>0</v>
      </c>
      <c r="I448" t="n">
        <v>0</v>
      </c>
      <c r="J448" t="n">
        <v>0</v>
      </c>
      <c r="K448" t="n">
        <v>0</v>
      </c>
      <c r="L448" t="n">
        <v>0</v>
      </c>
      <c r="M448" t="n">
        <v>0</v>
      </c>
      <c r="N448" t="n">
        <v>0</v>
      </c>
      <c r="O448" t="n">
        <v>0</v>
      </c>
      <c r="P448" t="n">
        <v>0</v>
      </c>
      <c r="Q448" t="n">
        <v>0</v>
      </c>
      <c r="R448" s="2" t="inlineStr"/>
    </row>
    <row r="449" ht="15" customHeight="1">
      <c r="A449" t="inlineStr">
        <is>
          <t>A 70719-2021</t>
        </is>
      </c>
      <c r="B449" s="1" t="n">
        <v>44537</v>
      </c>
      <c r="C449" s="1" t="n">
        <v>46037</v>
      </c>
      <c r="D449" t="inlineStr">
        <is>
          <t>ÖREBRO LÄN</t>
        </is>
      </c>
      <c r="E449" t="inlineStr">
        <is>
          <t>ÖREBRO</t>
        </is>
      </c>
      <c r="G449" t="n">
        <v>4.3</v>
      </c>
      <c r="H449" t="n">
        <v>0</v>
      </c>
      <c r="I449" t="n">
        <v>0</v>
      </c>
      <c r="J449" t="n">
        <v>0</v>
      </c>
      <c r="K449" t="n">
        <v>0</v>
      </c>
      <c r="L449" t="n">
        <v>0</v>
      </c>
      <c r="M449" t="n">
        <v>0</v>
      </c>
      <c r="N449" t="n">
        <v>0</v>
      </c>
      <c r="O449" t="n">
        <v>0</v>
      </c>
      <c r="P449" t="n">
        <v>0</v>
      </c>
      <c r="Q449" t="n">
        <v>0</v>
      </c>
      <c r="R449" s="2" t="inlineStr"/>
    </row>
    <row r="450" ht="15" customHeight="1">
      <c r="A450" t="inlineStr">
        <is>
          <t>A 38573-2023</t>
        </is>
      </c>
      <c r="B450" s="1" t="n">
        <v>45162.61837962963</v>
      </c>
      <c r="C450" s="1" t="n">
        <v>46037</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4757-2024</t>
        </is>
      </c>
      <c r="B451" s="1" t="n">
        <v>45328</v>
      </c>
      <c r="C451" s="1" t="n">
        <v>46037</v>
      </c>
      <c r="D451" t="inlineStr">
        <is>
          <t>ÖREBRO LÄN</t>
        </is>
      </c>
      <c r="E451" t="inlineStr">
        <is>
          <t>ÖREBRO</t>
        </is>
      </c>
      <c r="G451" t="n">
        <v>1.9</v>
      </c>
      <c r="H451" t="n">
        <v>0</v>
      </c>
      <c r="I451" t="n">
        <v>0</v>
      </c>
      <c r="J451" t="n">
        <v>0</v>
      </c>
      <c r="K451" t="n">
        <v>0</v>
      </c>
      <c r="L451" t="n">
        <v>0</v>
      </c>
      <c r="M451" t="n">
        <v>0</v>
      </c>
      <c r="N451" t="n">
        <v>0</v>
      </c>
      <c r="O451" t="n">
        <v>0</v>
      </c>
      <c r="P451" t="n">
        <v>0</v>
      </c>
      <c r="Q451" t="n">
        <v>0</v>
      </c>
      <c r="R451" s="2" t="inlineStr"/>
    </row>
    <row r="452" ht="15" customHeight="1">
      <c r="A452" t="inlineStr">
        <is>
          <t>A 48140-2024</t>
        </is>
      </c>
      <c r="B452" s="1" t="n">
        <v>45589.66474537037</v>
      </c>
      <c r="C452" s="1" t="n">
        <v>46037</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2658-2023</t>
        </is>
      </c>
      <c r="B453" s="1" t="n">
        <v>44944</v>
      </c>
      <c r="C453" s="1" t="n">
        <v>46037</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11565-2023</t>
        </is>
      </c>
      <c r="B454" s="1" t="n">
        <v>44994</v>
      </c>
      <c r="C454" s="1" t="n">
        <v>46037</v>
      </c>
      <c r="D454" t="inlineStr">
        <is>
          <t>ÖREBRO LÄN</t>
        </is>
      </c>
      <c r="E454" t="inlineStr">
        <is>
          <t>ÖREBRO</t>
        </is>
      </c>
      <c r="G454" t="n">
        <v>4.7</v>
      </c>
      <c r="H454" t="n">
        <v>0</v>
      </c>
      <c r="I454" t="n">
        <v>0</v>
      </c>
      <c r="J454" t="n">
        <v>0</v>
      </c>
      <c r="K454" t="n">
        <v>0</v>
      </c>
      <c r="L454" t="n">
        <v>0</v>
      </c>
      <c r="M454" t="n">
        <v>0</v>
      </c>
      <c r="N454" t="n">
        <v>0</v>
      </c>
      <c r="O454" t="n">
        <v>0</v>
      </c>
      <c r="P454" t="n">
        <v>0</v>
      </c>
      <c r="Q454" t="n">
        <v>0</v>
      </c>
      <c r="R454" s="2" t="inlineStr"/>
    </row>
    <row r="455" ht="15" customHeight="1">
      <c r="A455" t="inlineStr">
        <is>
          <t>A 16736-2023</t>
        </is>
      </c>
      <c r="B455" s="1" t="n">
        <v>45030.72328703704</v>
      </c>
      <c r="C455" s="1" t="n">
        <v>46037</v>
      </c>
      <c r="D455" t="inlineStr">
        <is>
          <t>ÖREBRO LÄN</t>
        </is>
      </c>
      <c r="E455" t="inlineStr">
        <is>
          <t>ÖREBRO</t>
        </is>
      </c>
      <c r="G455" t="n">
        <v>4</v>
      </c>
      <c r="H455" t="n">
        <v>0</v>
      </c>
      <c r="I455" t="n">
        <v>0</v>
      </c>
      <c r="J455" t="n">
        <v>0</v>
      </c>
      <c r="K455" t="n">
        <v>0</v>
      </c>
      <c r="L455" t="n">
        <v>0</v>
      </c>
      <c r="M455" t="n">
        <v>0</v>
      </c>
      <c r="N455" t="n">
        <v>0</v>
      </c>
      <c r="O455" t="n">
        <v>0</v>
      </c>
      <c r="P455" t="n">
        <v>0</v>
      </c>
      <c r="Q455" t="n">
        <v>0</v>
      </c>
      <c r="R455" s="2" t="inlineStr"/>
    </row>
    <row r="456" ht="15" customHeight="1">
      <c r="A456" t="inlineStr">
        <is>
          <t>A 2630-2023</t>
        </is>
      </c>
      <c r="B456" s="1" t="n">
        <v>44944.39105324074</v>
      </c>
      <c r="C456" s="1" t="n">
        <v>46037</v>
      </c>
      <c r="D456" t="inlineStr">
        <is>
          <t>ÖREBRO LÄN</t>
        </is>
      </c>
      <c r="E456" t="inlineStr">
        <is>
          <t>ÖREBRO</t>
        </is>
      </c>
      <c r="G456" t="n">
        <v>6.1</v>
      </c>
      <c r="H456" t="n">
        <v>0</v>
      </c>
      <c r="I456" t="n">
        <v>0</v>
      </c>
      <c r="J456" t="n">
        <v>0</v>
      </c>
      <c r="K456" t="n">
        <v>0</v>
      </c>
      <c r="L456" t="n">
        <v>0</v>
      </c>
      <c r="M456" t="n">
        <v>0</v>
      </c>
      <c r="N456" t="n">
        <v>0</v>
      </c>
      <c r="O456" t="n">
        <v>0</v>
      </c>
      <c r="P456" t="n">
        <v>0</v>
      </c>
      <c r="Q456" t="n">
        <v>0</v>
      </c>
      <c r="R456" s="2" t="inlineStr"/>
    </row>
    <row r="457" ht="15" customHeight="1">
      <c r="A457" t="inlineStr">
        <is>
          <t>A 30015-2023</t>
        </is>
      </c>
      <c r="B457" s="1" t="n">
        <v>45109</v>
      </c>
      <c r="C457" s="1" t="n">
        <v>46037</v>
      </c>
      <c r="D457" t="inlineStr">
        <is>
          <t>ÖREBRO LÄN</t>
        </is>
      </c>
      <c r="E457" t="inlineStr">
        <is>
          <t>ÖREBRO</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37968-2024</t>
        </is>
      </c>
      <c r="B458" s="1" t="n">
        <v>45544</v>
      </c>
      <c r="C458" s="1" t="n">
        <v>46037</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31326-2024</t>
        </is>
      </c>
      <c r="B459" s="1" t="n">
        <v>45504.5934375</v>
      </c>
      <c r="C459" s="1" t="n">
        <v>46037</v>
      </c>
      <c r="D459" t="inlineStr">
        <is>
          <t>ÖREBRO LÄN</t>
        </is>
      </c>
      <c r="E459" t="inlineStr">
        <is>
          <t>ÖREBRO</t>
        </is>
      </c>
      <c r="G459" t="n">
        <v>6.4</v>
      </c>
      <c r="H459" t="n">
        <v>0</v>
      </c>
      <c r="I459" t="n">
        <v>0</v>
      </c>
      <c r="J459" t="n">
        <v>0</v>
      </c>
      <c r="K459" t="n">
        <v>0</v>
      </c>
      <c r="L459" t="n">
        <v>0</v>
      </c>
      <c r="M459" t="n">
        <v>0</v>
      </c>
      <c r="N459" t="n">
        <v>0</v>
      </c>
      <c r="O459" t="n">
        <v>0</v>
      </c>
      <c r="P459" t="n">
        <v>0</v>
      </c>
      <c r="Q459" t="n">
        <v>0</v>
      </c>
      <c r="R459" s="2" t="inlineStr"/>
    </row>
    <row r="460" ht="15" customHeight="1">
      <c r="A460" t="inlineStr">
        <is>
          <t>A 22045-2024</t>
        </is>
      </c>
      <c r="B460" s="1" t="n">
        <v>45443.61171296296</v>
      </c>
      <c r="C460" s="1" t="n">
        <v>46037</v>
      </c>
      <c r="D460" t="inlineStr">
        <is>
          <t>ÖREBRO LÄN</t>
        </is>
      </c>
      <c r="E460" t="inlineStr">
        <is>
          <t>ÖREBRO</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58684-2023</t>
        </is>
      </c>
      <c r="B461" s="1" t="n">
        <v>45251</v>
      </c>
      <c r="C461" s="1" t="n">
        <v>46037</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38898-2023</t>
        </is>
      </c>
      <c r="B462" s="1" t="n">
        <v>45163</v>
      </c>
      <c r="C462" s="1" t="n">
        <v>46037</v>
      </c>
      <c r="D462" t="inlineStr">
        <is>
          <t>ÖREBRO LÄN</t>
        </is>
      </c>
      <c r="E462" t="inlineStr">
        <is>
          <t>ÖREBRO</t>
        </is>
      </c>
      <c r="G462" t="n">
        <v>5.1</v>
      </c>
      <c r="H462" t="n">
        <v>0</v>
      </c>
      <c r="I462" t="n">
        <v>0</v>
      </c>
      <c r="J462" t="n">
        <v>0</v>
      </c>
      <c r="K462" t="n">
        <v>0</v>
      </c>
      <c r="L462" t="n">
        <v>0</v>
      </c>
      <c r="M462" t="n">
        <v>0</v>
      </c>
      <c r="N462" t="n">
        <v>0</v>
      </c>
      <c r="O462" t="n">
        <v>0</v>
      </c>
      <c r="P462" t="n">
        <v>0</v>
      </c>
      <c r="Q462" t="n">
        <v>0</v>
      </c>
      <c r="R462" s="2" t="inlineStr"/>
    </row>
    <row r="463" ht="15" customHeight="1">
      <c r="A463" t="inlineStr">
        <is>
          <t>A 13321-2024</t>
        </is>
      </c>
      <c r="B463" s="1" t="n">
        <v>45386.83142361111</v>
      </c>
      <c r="C463" s="1" t="n">
        <v>46037</v>
      </c>
      <c r="D463" t="inlineStr">
        <is>
          <t>ÖREBRO LÄN</t>
        </is>
      </c>
      <c r="E463" t="inlineStr">
        <is>
          <t>ÖREBRO</t>
        </is>
      </c>
      <c r="G463" t="n">
        <v>13.1</v>
      </c>
      <c r="H463" t="n">
        <v>0</v>
      </c>
      <c r="I463" t="n">
        <v>0</v>
      </c>
      <c r="J463" t="n">
        <v>0</v>
      </c>
      <c r="K463" t="n">
        <v>0</v>
      </c>
      <c r="L463" t="n">
        <v>0</v>
      </c>
      <c r="M463" t="n">
        <v>0</v>
      </c>
      <c r="N463" t="n">
        <v>0</v>
      </c>
      <c r="O463" t="n">
        <v>0</v>
      </c>
      <c r="P463" t="n">
        <v>0</v>
      </c>
      <c r="Q463" t="n">
        <v>0</v>
      </c>
      <c r="R463" s="2" t="inlineStr"/>
    </row>
    <row r="464" ht="15" customHeight="1">
      <c r="A464" t="inlineStr">
        <is>
          <t>A 38583-2023</t>
        </is>
      </c>
      <c r="B464" s="1" t="n">
        <v>45162.62861111111</v>
      </c>
      <c r="C464" s="1" t="n">
        <v>46037</v>
      </c>
      <c r="D464" t="inlineStr">
        <is>
          <t>ÖREBRO LÄN</t>
        </is>
      </c>
      <c r="E464" t="inlineStr">
        <is>
          <t>ÖREBRO</t>
        </is>
      </c>
      <c r="G464" t="n">
        <v>5.7</v>
      </c>
      <c r="H464" t="n">
        <v>0</v>
      </c>
      <c r="I464" t="n">
        <v>0</v>
      </c>
      <c r="J464" t="n">
        <v>0</v>
      </c>
      <c r="K464" t="n">
        <v>0</v>
      </c>
      <c r="L464" t="n">
        <v>0</v>
      </c>
      <c r="M464" t="n">
        <v>0</v>
      </c>
      <c r="N464" t="n">
        <v>0</v>
      </c>
      <c r="O464" t="n">
        <v>0</v>
      </c>
      <c r="P464" t="n">
        <v>0</v>
      </c>
      <c r="Q464" t="n">
        <v>0</v>
      </c>
      <c r="R464" s="2" t="inlineStr"/>
    </row>
    <row r="465" ht="15" customHeight="1">
      <c r="A465" t="inlineStr">
        <is>
          <t>A 14291-2023</t>
        </is>
      </c>
      <c r="B465" s="1" t="n">
        <v>45010</v>
      </c>
      <c r="C465" s="1" t="n">
        <v>46037</v>
      </c>
      <c r="D465" t="inlineStr">
        <is>
          <t>ÖREBRO LÄN</t>
        </is>
      </c>
      <c r="E465" t="inlineStr">
        <is>
          <t>ÖREBRO</t>
        </is>
      </c>
      <c r="G465" t="n">
        <v>0.8</v>
      </c>
      <c r="H465" t="n">
        <v>0</v>
      </c>
      <c r="I465" t="n">
        <v>0</v>
      </c>
      <c r="J465" t="n">
        <v>0</v>
      </c>
      <c r="K465" t="n">
        <v>0</v>
      </c>
      <c r="L465" t="n">
        <v>0</v>
      </c>
      <c r="M465" t="n">
        <v>0</v>
      </c>
      <c r="N465" t="n">
        <v>0</v>
      </c>
      <c r="O465" t="n">
        <v>0</v>
      </c>
      <c r="P465" t="n">
        <v>0</v>
      </c>
      <c r="Q465" t="n">
        <v>0</v>
      </c>
      <c r="R465" s="2" t="inlineStr"/>
    </row>
    <row r="466" ht="15" customHeight="1">
      <c r="A466" t="inlineStr">
        <is>
          <t>A 9314-2023</t>
        </is>
      </c>
      <c r="B466" s="1" t="n">
        <v>44980.67747685185</v>
      </c>
      <c r="C466" s="1" t="n">
        <v>46037</v>
      </c>
      <c r="D466" t="inlineStr">
        <is>
          <t>ÖREBRO LÄN</t>
        </is>
      </c>
      <c r="E466" t="inlineStr">
        <is>
          <t>ÖREBRO</t>
        </is>
      </c>
      <c r="G466" t="n">
        <v>0.8</v>
      </c>
      <c r="H466" t="n">
        <v>0</v>
      </c>
      <c r="I466" t="n">
        <v>0</v>
      </c>
      <c r="J466" t="n">
        <v>0</v>
      </c>
      <c r="K466" t="n">
        <v>0</v>
      </c>
      <c r="L466" t="n">
        <v>0</v>
      </c>
      <c r="M466" t="n">
        <v>0</v>
      </c>
      <c r="N466" t="n">
        <v>0</v>
      </c>
      <c r="O466" t="n">
        <v>0</v>
      </c>
      <c r="P466" t="n">
        <v>0</v>
      </c>
      <c r="Q466" t="n">
        <v>0</v>
      </c>
      <c r="R466" s="2" t="inlineStr"/>
    </row>
    <row r="467" ht="15" customHeight="1">
      <c r="A467" t="inlineStr">
        <is>
          <t>A 33455-2023</t>
        </is>
      </c>
      <c r="B467" s="1" t="n">
        <v>45130.98962962963</v>
      </c>
      <c r="C467" s="1" t="n">
        <v>46037</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21306-2024</t>
        </is>
      </c>
      <c r="B468" s="1" t="n">
        <v>45440.67883101852</v>
      </c>
      <c r="C468" s="1" t="n">
        <v>46037</v>
      </c>
      <c r="D468" t="inlineStr">
        <is>
          <t>ÖREBRO LÄN</t>
        </is>
      </c>
      <c r="E468" t="inlineStr">
        <is>
          <t>ÖREBRO</t>
        </is>
      </c>
      <c r="F468" t="inlineStr">
        <is>
          <t>Övriga Aktiebolag</t>
        </is>
      </c>
      <c r="G468" t="n">
        <v>2</v>
      </c>
      <c r="H468" t="n">
        <v>0</v>
      </c>
      <c r="I468" t="n">
        <v>0</v>
      </c>
      <c r="J468" t="n">
        <v>0</v>
      </c>
      <c r="K468" t="n">
        <v>0</v>
      </c>
      <c r="L468" t="n">
        <v>0</v>
      </c>
      <c r="M468" t="n">
        <v>0</v>
      </c>
      <c r="N468" t="n">
        <v>0</v>
      </c>
      <c r="O468" t="n">
        <v>0</v>
      </c>
      <c r="P468" t="n">
        <v>0</v>
      </c>
      <c r="Q468" t="n">
        <v>0</v>
      </c>
      <c r="R468" s="2" t="inlineStr"/>
    </row>
    <row r="469" ht="15" customHeight="1">
      <c r="A469" t="inlineStr">
        <is>
          <t>A 7634-2024</t>
        </is>
      </c>
      <c r="B469" s="1" t="n">
        <v>45348</v>
      </c>
      <c r="C469" s="1" t="n">
        <v>46037</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5324-2024</t>
        </is>
      </c>
      <c r="B470" s="1" t="n">
        <v>45331</v>
      </c>
      <c r="C470" s="1" t="n">
        <v>46037</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52401-2024</t>
        </is>
      </c>
      <c r="B471" s="1" t="n">
        <v>45609.44553240741</v>
      </c>
      <c r="C471" s="1" t="n">
        <v>46037</v>
      </c>
      <c r="D471" t="inlineStr">
        <is>
          <t>ÖREBRO LÄN</t>
        </is>
      </c>
      <c r="E471" t="inlineStr">
        <is>
          <t>ÖREBRO</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14963-2025</t>
        </is>
      </c>
      <c r="B472" s="1" t="n">
        <v>45743.58699074074</v>
      </c>
      <c r="C472" s="1" t="n">
        <v>46037</v>
      </c>
      <c r="D472" t="inlineStr">
        <is>
          <t>ÖREBRO LÄN</t>
        </is>
      </c>
      <c r="E472" t="inlineStr">
        <is>
          <t>ÖREBRO</t>
        </is>
      </c>
      <c r="G472" t="n">
        <v>9.1</v>
      </c>
      <c r="H472" t="n">
        <v>0</v>
      </c>
      <c r="I472" t="n">
        <v>0</v>
      </c>
      <c r="J472" t="n">
        <v>0</v>
      </c>
      <c r="K472" t="n">
        <v>0</v>
      </c>
      <c r="L472" t="n">
        <v>0</v>
      </c>
      <c r="M472" t="n">
        <v>0</v>
      </c>
      <c r="N472" t="n">
        <v>0</v>
      </c>
      <c r="O472" t="n">
        <v>0</v>
      </c>
      <c r="P472" t="n">
        <v>0</v>
      </c>
      <c r="Q472" t="n">
        <v>0</v>
      </c>
      <c r="R472" s="2" t="inlineStr"/>
    </row>
    <row r="473" ht="15" customHeight="1">
      <c r="A473" t="inlineStr">
        <is>
          <t>A 55357-2024</t>
        </is>
      </c>
      <c r="B473" s="1" t="n">
        <v>45621.81126157408</v>
      </c>
      <c r="C473" s="1" t="n">
        <v>46037</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38422-2023</t>
        </is>
      </c>
      <c r="B474" s="1" t="n">
        <v>45162.36422453704</v>
      </c>
      <c r="C474" s="1" t="n">
        <v>46037</v>
      </c>
      <c r="D474" t="inlineStr">
        <is>
          <t>ÖREBRO LÄN</t>
        </is>
      </c>
      <c r="E474" t="inlineStr">
        <is>
          <t>ÖREBRO</t>
        </is>
      </c>
      <c r="G474" t="n">
        <v>8</v>
      </c>
      <c r="H474" t="n">
        <v>0</v>
      </c>
      <c r="I474" t="n">
        <v>0</v>
      </c>
      <c r="J474" t="n">
        <v>0</v>
      </c>
      <c r="K474" t="n">
        <v>0</v>
      </c>
      <c r="L474" t="n">
        <v>0</v>
      </c>
      <c r="M474" t="n">
        <v>0</v>
      </c>
      <c r="N474" t="n">
        <v>0</v>
      </c>
      <c r="O474" t="n">
        <v>0</v>
      </c>
      <c r="P474" t="n">
        <v>0</v>
      </c>
      <c r="Q474" t="n">
        <v>0</v>
      </c>
      <c r="R474" s="2" t="inlineStr"/>
    </row>
    <row r="475" ht="15" customHeight="1">
      <c r="A475" t="inlineStr">
        <is>
          <t>A 46518-2023</t>
        </is>
      </c>
      <c r="B475" s="1" t="n">
        <v>45197.72777777778</v>
      </c>
      <c r="C475" s="1" t="n">
        <v>46037</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41703-2024</t>
        </is>
      </c>
      <c r="B476" s="1" t="n">
        <v>45560</v>
      </c>
      <c r="C476" s="1" t="n">
        <v>46037</v>
      </c>
      <c r="D476" t="inlineStr">
        <is>
          <t>ÖREBRO LÄN</t>
        </is>
      </c>
      <c r="E476" t="inlineStr">
        <is>
          <t>ÖREBRO</t>
        </is>
      </c>
      <c r="G476" t="n">
        <v>6.4</v>
      </c>
      <c r="H476" t="n">
        <v>0</v>
      </c>
      <c r="I476" t="n">
        <v>0</v>
      </c>
      <c r="J476" t="n">
        <v>0</v>
      </c>
      <c r="K476" t="n">
        <v>0</v>
      </c>
      <c r="L476" t="n">
        <v>0</v>
      </c>
      <c r="M476" t="n">
        <v>0</v>
      </c>
      <c r="N476" t="n">
        <v>0</v>
      </c>
      <c r="O476" t="n">
        <v>0</v>
      </c>
      <c r="P476" t="n">
        <v>0</v>
      </c>
      <c r="Q476" t="n">
        <v>0</v>
      </c>
      <c r="R476" s="2" t="inlineStr"/>
    </row>
    <row r="477" ht="15" customHeight="1">
      <c r="A477" t="inlineStr">
        <is>
          <t>A 19763-2024</t>
        </is>
      </c>
      <c r="B477" s="1" t="n">
        <v>45432</v>
      </c>
      <c r="C477" s="1" t="n">
        <v>46037</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31247-2023</t>
        </is>
      </c>
      <c r="B478" s="1" t="n">
        <v>45114</v>
      </c>
      <c r="C478" s="1" t="n">
        <v>46037</v>
      </c>
      <c r="D478" t="inlineStr">
        <is>
          <t>ÖREBRO LÄN</t>
        </is>
      </c>
      <c r="E478" t="inlineStr">
        <is>
          <t>ÖREBRO</t>
        </is>
      </c>
      <c r="F478" t="inlineStr">
        <is>
          <t>Allmännings- och besparingsskogar</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36635-2023</t>
        </is>
      </c>
      <c r="B479" s="1" t="n">
        <v>45153</v>
      </c>
      <c r="C479" s="1" t="n">
        <v>46037</v>
      </c>
      <c r="D479" t="inlineStr">
        <is>
          <t>ÖREBRO LÄN</t>
        </is>
      </c>
      <c r="E479" t="inlineStr">
        <is>
          <t>ÖREBRO</t>
        </is>
      </c>
      <c r="G479" t="n">
        <v>1.9</v>
      </c>
      <c r="H479" t="n">
        <v>0</v>
      </c>
      <c r="I479" t="n">
        <v>0</v>
      </c>
      <c r="J479" t="n">
        <v>0</v>
      </c>
      <c r="K479" t="n">
        <v>0</v>
      </c>
      <c r="L479" t="n">
        <v>0</v>
      </c>
      <c r="M479" t="n">
        <v>0</v>
      </c>
      <c r="N479" t="n">
        <v>0</v>
      </c>
      <c r="O479" t="n">
        <v>0</v>
      </c>
      <c r="P479" t="n">
        <v>0</v>
      </c>
      <c r="Q479" t="n">
        <v>0</v>
      </c>
      <c r="R479" s="2" t="inlineStr"/>
    </row>
    <row r="480" ht="15" customHeight="1">
      <c r="A480" t="inlineStr">
        <is>
          <t>A 54149-2024</t>
        </is>
      </c>
      <c r="B480" s="1" t="n">
        <v>45616</v>
      </c>
      <c r="C480" s="1" t="n">
        <v>46037</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49797-2024</t>
        </is>
      </c>
      <c r="B481" s="1" t="n">
        <v>45597.37265046296</v>
      </c>
      <c r="C481" s="1" t="n">
        <v>46037</v>
      </c>
      <c r="D481" t="inlineStr">
        <is>
          <t>ÖREBRO LÄN</t>
        </is>
      </c>
      <c r="E481" t="inlineStr">
        <is>
          <t>ÖREBRO</t>
        </is>
      </c>
      <c r="G481" t="n">
        <v>11.6</v>
      </c>
      <c r="H481" t="n">
        <v>0</v>
      </c>
      <c r="I481" t="n">
        <v>0</v>
      </c>
      <c r="J481" t="n">
        <v>0</v>
      </c>
      <c r="K481" t="n">
        <v>0</v>
      </c>
      <c r="L481" t="n">
        <v>0</v>
      </c>
      <c r="M481" t="n">
        <v>0</v>
      </c>
      <c r="N481" t="n">
        <v>0</v>
      </c>
      <c r="O481" t="n">
        <v>0</v>
      </c>
      <c r="P481" t="n">
        <v>0</v>
      </c>
      <c r="Q481" t="n">
        <v>0</v>
      </c>
      <c r="R481" s="2" t="inlineStr"/>
    </row>
    <row r="482" ht="15" customHeight="1">
      <c r="A482" t="inlineStr">
        <is>
          <t>A 32086-2023</t>
        </is>
      </c>
      <c r="B482" s="1" t="n">
        <v>45119.59789351852</v>
      </c>
      <c r="C482" s="1" t="n">
        <v>46037</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13856-2022</t>
        </is>
      </c>
      <c r="B483" s="1" t="n">
        <v>44649.6965162037</v>
      </c>
      <c r="C483" s="1" t="n">
        <v>46037</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23863-2023</t>
        </is>
      </c>
      <c r="B484" s="1" t="n">
        <v>45078.48994212963</v>
      </c>
      <c r="C484" s="1" t="n">
        <v>46037</v>
      </c>
      <c r="D484" t="inlineStr">
        <is>
          <t>ÖREBRO LÄN</t>
        </is>
      </c>
      <c r="E484" t="inlineStr">
        <is>
          <t>ÖREBRO</t>
        </is>
      </c>
      <c r="F484" t="inlineStr">
        <is>
          <t>Övriga Aktiebolag</t>
        </is>
      </c>
      <c r="G484" t="n">
        <v>5.9</v>
      </c>
      <c r="H484" t="n">
        <v>0</v>
      </c>
      <c r="I484" t="n">
        <v>0</v>
      </c>
      <c r="J484" t="n">
        <v>0</v>
      </c>
      <c r="K484" t="n">
        <v>0</v>
      </c>
      <c r="L484" t="n">
        <v>0</v>
      </c>
      <c r="M484" t="n">
        <v>0</v>
      </c>
      <c r="N484" t="n">
        <v>0</v>
      </c>
      <c r="O484" t="n">
        <v>0</v>
      </c>
      <c r="P484" t="n">
        <v>0</v>
      </c>
      <c r="Q484" t="n">
        <v>0</v>
      </c>
      <c r="R484" s="2" t="inlineStr"/>
    </row>
    <row r="485" ht="15" customHeight="1">
      <c r="A485" t="inlineStr">
        <is>
          <t>A 39130-2023</t>
        </is>
      </c>
      <c r="B485" s="1" t="n">
        <v>45165</v>
      </c>
      <c r="C485" s="1" t="n">
        <v>46037</v>
      </c>
      <c r="D485" t="inlineStr">
        <is>
          <t>ÖREBRO LÄN</t>
        </is>
      </c>
      <c r="E485" t="inlineStr">
        <is>
          <t>ÖREBRO</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13599-2025</t>
        </is>
      </c>
      <c r="B486" s="1" t="n">
        <v>45736.60597222222</v>
      </c>
      <c r="C486" s="1" t="n">
        <v>46037</v>
      </c>
      <c r="D486" t="inlineStr">
        <is>
          <t>ÖREBRO LÄN</t>
        </is>
      </c>
      <c r="E486" t="inlineStr">
        <is>
          <t>ÖREBRO</t>
        </is>
      </c>
      <c r="G486" t="n">
        <v>1.9</v>
      </c>
      <c r="H486" t="n">
        <v>0</v>
      </c>
      <c r="I486" t="n">
        <v>0</v>
      </c>
      <c r="J486" t="n">
        <v>0</v>
      </c>
      <c r="K486" t="n">
        <v>0</v>
      </c>
      <c r="L486" t="n">
        <v>0</v>
      </c>
      <c r="M486" t="n">
        <v>0</v>
      </c>
      <c r="N486" t="n">
        <v>0</v>
      </c>
      <c r="O486" t="n">
        <v>0</v>
      </c>
      <c r="P486" t="n">
        <v>0</v>
      </c>
      <c r="Q486" t="n">
        <v>0</v>
      </c>
      <c r="R486" s="2" t="inlineStr"/>
    </row>
    <row r="487" ht="15" customHeight="1">
      <c r="A487" t="inlineStr">
        <is>
          <t>A 50375-2024</t>
        </is>
      </c>
      <c r="B487" s="1" t="n">
        <v>45601.29311342593</v>
      </c>
      <c r="C487" s="1" t="n">
        <v>46037</v>
      </c>
      <c r="D487" t="inlineStr">
        <is>
          <t>ÖREBRO LÄN</t>
        </is>
      </c>
      <c r="E487" t="inlineStr">
        <is>
          <t>ÖREBRO</t>
        </is>
      </c>
      <c r="G487" t="n">
        <v>5</v>
      </c>
      <c r="H487" t="n">
        <v>0</v>
      </c>
      <c r="I487" t="n">
        <v>0</v>
      </c>
      <c r="J487" t="n">
        <v>0</v>
      </c>
      <c r="K487" t="n">
        <v>0</v>
      </c>
      <c r="L487" t="n">
        <v>0</v>
      </c>
      <c r="M487" t="n">
        <v>0</v>
      </c>
      <c r="N487" t="n">
        <v>0</v>
      </c>
      <c r="O487" t="n">
        <v>0</v>
      </c>
      <c r="P487" t="n">
        <v>0</v>
      </c>
      <c r="Q487" t="n">
        <v>0</v>
      </c>
      <c r="R487" s="2" t="inlineStr"/>
    </row>
    <row r="488" ht="15" customHeight="1">
      <c r="A488" t="inlineStr">
        <is>
          <t>A 52391-2024</t>
        </is>
      </c>
      <c r="B488" s="1" t="n">
        <v>45609.43180555556</v>
      </c>
      <c r="C488" s="1" t="n">
        <v>46037</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58532-2024</t>
        </is>
      </c>
      <c r="B489" s="1" t="n">
        <v>45635.44899305556</v>
      </c>
      <c r="C489" s="1" t="n">
        <v>46037</v>
      </c>
      <c r="D489" t="inlineStr">
        <is>
          <t>ÖREBRO LÄN</t>
        </is>
      </c>
      <c r="E489" t="inlineStr">
        <is>
          <t>ÖREBRO</t>
        </is>
      </c>
      <c r="F489" t="inlineStr">
        <is>
          <t>Sveaskog</t>
        </is>
      </c>
      <c r="G489" t="n">
        <v>5.2</v>
      </c>
      <c r="H489" t="n">
        <v>0</v>
      </c>
      <c r="I489" t="n">
        <v>0</v>
      </c>
      <c r="J489" t="n">
        <v>0</v>
      </c>
      <c r="K489" t="n">
        <v>0</v>
      </c>
      <c r="L489" t="n">
        <v>0</v>
      </c>
      <c r="M489" t="n">
        <v>0</v>
      </c>
      <c r="N489" t="n">
        <v>0</v>
      </c>
      <c r="O489" t="n">
        <v>0</v>
      </c>
      <c r="P489" t="n">
        <v>0</v>
      </c>
      <c r="Q489" t="n">
        <v>0</v>
      </c>
      <c r="R489" s="2" t="inlineStr"/>
    </row>
    <row r="490" ht="15" customHeight="1">
      <c r="A490" t="inlineStr">
        <is>
          <t>A 20150-2024</t>
        </is>
      </c>
      <c r="B490" s="1" t="n">
        <v>45434.57969907407</v>
      </c>
      <c r="C490" s="1" t="n">
        <v>46037</v>
      </c>
      <c r="D490" t="inlineStr">
        <is>
          <t>ÖREBRO LÄN</t>
        </is>
      </c>
      <c r="E490" t="inlineStr">
        <is>
          <t>ÖREBRO</t>
        </is>
      </c>
      <c r="G490" t="n">
        <v>0.5</v>
      </c>
      <c r="H490" t="n">
        <v>0</v>
      </c>
      <c r="I490" t="n">
        <v>0</v>
      </c>
      <c r="J490" t="n">
        <v>0</v>
      </c>
      <c r="K490" t="n">
        <v>0</v>
      </c>
      <c r="L490" t="n">
        <v>0</v>
      </c>
      <c r="M490" t="n">
        <v>0</v>
      </c>
      <c r="N490" t="n">
        <v>0</v>
      </c>
      <c r="O490" t="n">
        <v>0</v>
      </c>
      <c r="P490" t="n">
        <v>0</v>
      </c>
      <c r="Q490" t="n">
        <v>0</v>
      </c>
      <c r="R490" s="2" t="inlineStr"/>
    </row>
    <row r="491" ht="15" customHeight="1">
      <c r="A491" t="inlineStr">
        <is>
          <t>A 58208-2024</t>
        </is>
      </c>
      <c r="B491" s="1" t="n">
        <v>45632</v>
      </c>
      <c r="C491" s="1" t="n">
        <v>46037</v>
      </c>
      <c r="D491" t="inlineStr">
        <is>
          <t>ÖREBRO LÄN</t>
        </is>
      </c>
      <c r="E491" t="inlineStr">
        <is>
          <t>ÖREBRO</t>
        </is>
      </c>
      <c r="G491" t="n">
        <v>3.1</v>
      </c>
      <c r="H491" t="n">
        <v>0</v>
      </c>
      <c r="I491" t="n">
        <v>0</v>
      </c>
      <c r="J491" t="n">
        <v>0</v>
      </c>
      <c r="K491" t="n">
        <v>0</v>
      </c>
      <c r="L491" t="n">
        <v>0</v>
      </c>
      <c r="M491" t="n">
        <v>0</v>
      </c>
      <c r="N491" t="n">
        <v>0</v>
      </c>
      <c r="O491" t="n">
        <v>0</v>
      </c>
      <c r="P491" t="n">
        <v>0</v>
      </c>
      <c r="Q491" t="n">
        <v>0</v>
      </c>
      <c r="R491" s="2" t="inlineStr"/>
    </row>
    <row r="492" ht="15" customHeight="1">
      <c r="A492" t="inlineStr">
        <is>
          <t>A 19388-2024</t>
        </is>
      </c>
      <c r="B492" s="1" t="n">
        <v>45429.37775462963</v>
      </c>
      <c r="C492" s="1" t="n">
        <v>46037</v>
      </c>
      <c r="D492" t="inlineStr">
        <is>
          <t>ÖREBRO LÄN</t>
        </is>
      </c>
      <c r="E492" t="inlineStr">
        <is>
          <t>ÖREBRO</t>
        </is>
      </c>
      <c r="G492" t="n">
        <v>4.3</v>
      </c>
      <c r="H492" t="n">
        <v>0</v>
      </c>
      <c r="I492" t="n">
        <v>0</v>
      </c>
      <c r="J492" t="n">
        <v>0</v>
      </c>
      <c r="K492" t="n">
        <v>0</v>
      </c>
      <c r="L492" t="n">
        <v>0</v>
      </c>
      <c r="M492" t="n">
        <v>0</v>
      </c>
      <c r="N492" t="n">
        <v>0</v>
      </c>
      <c r="O492" t="n">
        <v>0</v>
      </c>
      <c r="P492" t="n">
        <v>0</v>
      </c>
      <c r="Q492" t="n">
        <v>0</v>
      </c>
      <c r="R492" s="2" t="inlineStr"/>
    </row>
    <row r="493" ht="15" customHeight="1">
      <c r="A493" t="inlineStr">
        <is>
          <t>A 7506-2025</t>
        </is>
      </c>
      <c r="B493" s="1" t="n">
        <v>45705</v>
      </c>
      <c r="C493" s="1" t="n">
        <v>46037</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4344-2025</t>
        </is>
      </c>
      <c r="B494" s="1" t="n">
        <v>45685</v>
      </c>
      <c r="C494" s="1" t="n">
        <v>46037</v>
      </c>
      <c r="D494" t="inlineStr">
        <is>
          <t>ÖREBRO LÄN</t>
        </is>
      </c>
      <c r="E494" t="inlineStr">
        <is>
          <t>ÖREBRO</t>
        </is>
      </c>
      <c r="G494" t="n">
        <v>1.6</v>
      </c>
      <c r="H494" t="n">
        <v>0</v>
      </c>
      <c r="I494" t="n">
        <v>0</v>
      </c>
      <c r="J494" t="n">
        <v>0</v>
      </c>
      <c r="K494" t="n">
        <v>0</v>
      </c>
      <c r="L494" t="n">
        <v>0</v>
      </c>
      <c r="M494" t="n">
        <v>0</v>
      </c>
      <c r="N494" t="n">
        <v>0</v>
      </c>
      <c r="O494" t="n">
        <v>0</v>
      </c>
      <c r="P494" t="n">
        <v>0</v>
      </c>
      <c r="Q494" t="n">
        <v>0</v>
      </c>
      <c r="R494" s="2" t="inlineStr"/>
    </row>
    <row r="495" ht="15" customHeight="1">
      <c r="A495" t="inlineStr">
        <is>
          <t>A 16300-2022</t>
        </is>
      </c>
      <c r="B495" s="1" t="n">
        <v>44670</v>
      </c>
      <c r="C495" s="1" t="n">
        <v>46037</v>
      </c>
      <c r="D495" t="inlineStr">
        <is>
          <t>ÖREBRO LÄN</t>
        </is>
      </c>
      <c r="E495" t="inlineStr">
        <is>
          <t>ÖREBRO</t>
        </is>
      </c>
      <c r="G495" t="n">
        <v>0.8</v>
      </c>
      <c r="H495" t="n">
        <v>0</v>
      </c>
      <c r="I495" t="n">
        <v>0</v>
      </c>
      <c r="J495" t="n">
        <v>0</v>
      </c>
      <c r="K495" t="n">
        <v>0</v>
      </c>
      <c r="L495" t="n">
        <v>0</v>
      </c>
      <c r="M495" t="n">
        <v>0</v>
      </c>
      <c r="N495" t="n">
        <v>0</v>
      </c>
      <c r="O495" t="n">
        <v>0</v>
      </c>
      <c r="P495" t="n">
        <v>0</v>
      </c>
      <c r="Q495" t="n">
        <v>0</v>
      </c>
      <c r="R495" s="2" t="inlineStr"/>
    </row>
    <row r="496" ht="15" customHeight="1">
      <c r="A496" t="inlineStr">
        <is>
          <t>A 16958-2022</t>
        </is>
      </c>
      <c r="B496" s="1" t="n">
        <v>44676.50481481481</v>
      </c>
      <c r="C496" s="1" t="n">
        <v>46037</v>
      </c>
      <c r="D496" t="inlineStr">
        <is>
          <t>ÖREBRO LÄN</t>
        </is>
      </c>
      <c r="E496" t="inlineStr">
        <is>
          <t>ÖREBRO</t>
        </is>
      </c>
      <c r="G496" t="n">
        <v>3.1</v>
      </c>
      <c r="H496" t="n">
        <v>0</v>
      </c>
      <c r="I496" t="n">
        <v>0</v>
      </c>
      <c r="J496" t="n">
        <v>0</v>
      </c>
      <c r="K496" t="n">
        <v>0</v>
      </c>
      <c r="L496" t="n">
        <v>0</v>
      </c>
      <c r="M496" t="n">
        <v>0</v>
      </c>
      <c r="N496" t="n">
        <v>0</v>
      </c>
      <c r="O496" t="n">
        <v>0</v>
      </c>
      <c r="P496" t="n">
        <v>0</v>
      </c>
      <c r="Q496" t="n">
        <v>0</v>
      </c>
      <c r="R496" s="2" t="inlineStr"/>
    </row>
    <row r="497" ht="15" customHeight="1">
      <c r="A497" t="inlineStr">
        <is>
          <t>A 55472-2023</t>
        </is>
      </c>
      <c r="B497" s="1" t="n">
        <v>45238</v>
      </c>
      <c r="C497" s="1" t="n">
        <v>46037</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54925-2023</t>
        </is>
      </c>
      <c r="B498" s="1" t="n">
        <v>45229</v>
      </c>
      <c r="C498" s="1" t="n">
        <v>46037</v>
      </c>
      <c r="D498" t="inlineStr">
        <is>
          <t>ÖREBRO LÄN</t>
        </is>
      </c>
      <c r="E498" t="inlineStr">
        <is>
          <t>ÖREBRO</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8568-2021</t>
        </is>
      </c>
      <c r="B499" s="1" t="n">
        <v>44245</v>
      </c>
      <c r="C499" s="1" t="n">
        <v>46037</v>
      </c>
      <c r="D499" t="inlineStr">
        <is>
          <t>ÖREBRO LÄN</t>
        </is>
      </c>
      <c r="E499" t="inlineStr">
        <is>
          <t>ÖREBRO</t>
        </is>
      </c>
      <c r="G499" t="n">
        <v>4.8</v>
      </c>
      <c r="H499" t="n">
        <v>0</v>
      </c>
      <c r="I499" t="n">
        <v>0</v>
      </c>
      <c r="J499" t="n">
        <v>0</v>
      </c>
      <c r="K499" t="n">
        <v>0</v>
      </c>
      <c r="L499" t="n">
        <v>0</v>
      </c>
      <c r="M499" t="n">
        <v>0</v>
      </c>
      <c r="N499" t="n">
        <v>0</v>
      </c>
      <c r="O499" t="n">
        <v>0</v>
      </c>
      <c r="P499" t="n">
        <v>0</v>
      </c>
      <c r="Q499" t="n">
        <v>0</v>
      </c>
      <c r="R499" s="2" t="inlineStr"/>
    </row>
    <row r="500" ht="15" customHeight="1">
      <c r="A500" t="inlineStr">
        <is>
          <t>A 16961-2022</t>
        </is>
      </c>
      <c r="B500" s="1" t="n">
        <v>44676</v>
      </c>
      <c r="C500" s="1" t="n">
        <v>46037</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46037</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13700-2024</t>
        </is>
      </c>
      <c r="B502" s="1" t="n">
        <v>45390.59277777778</v>
      </c>
      <c r="C502" s="1" t="n">
        <v>46037</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3659-2025</t>
        </is>
      </c>
      <c r="B503" s="1" t="n">
        <v>45681</v>
      </c>
      <c r="C503" s="1" t="n">
        <v>46037</v>
      </c>
      <c r="D503" t="inlineStr">
        <is>
          <t>ÖREBRO LÄN</t>
        </is>
      </c>
      <c r="E503" t="inlineStr">
        <is>
          <t>ÖREBRO</t>
        </is>
      </c>
      <c r="G503" t="n">
        <v>15.8</v>
      </c>
      <c r="H503" t="n">
        <v>0</v>
      </c>
      <c r="I503" t="n">
        <v>0</v>
      </c>
      <c r="J503" t="n">
        <v>0</v>
      </c>
      <c r="K503" t="n">
        <v>0</v>
      </c>
      <c r="L503" t="n">
        <v>0</v>
      </c>
      <c r="M503" t="n">
        <v>0</v>
      </c>
      <c r="N503" t="n">
        <v>0</v>
      </c>
      <c r="O503" t="n">
        <v>0</v>
      </c>
      <c r="P503" t="n">
        <v>0</v>
      </c>
      <c r="Q503" t="n">
        <v>0</v>
      </c>
      <c r="R503" s="2" t="inlineStr"/>
    </row>
    <row r="504" ht="15" customHeight="1">
      <c r="A504" t="inlineStr">
        <is>
          <t>A 1014-2024</t>
        </is>
      </c>
      <c r="B504" s="1" t="n">
        <v>45301</v>
      </c>
      <c r="C504" s="1" t="n">
        <v>46037</v>
      </c>
      <c r="D504" t="inlineStr">
        <is>
          <t>ÖREBRO LÄN</t>
        </is>
      </c>
      <c r="E504" t="inlineStr">
        <is>
          <t>ÖREBRO</t>
        </is>
      </c>
      <c r="G504" t="n">
        <v>1.4</v>
      </c>
      <c r="H504" t="n">
        <v>0</v>
      </c>
      <c r="I504" t="n">
        <v>0</v>
      </c>
      <c r="J504" t="n">
        <v>0</v>
      </c>
      <c r="K504" t="n">
        <v>0</v>
      </c>
      <c r="L504" t="n">
        <v>0</v>
      </c>
      <c r="M504" t="n">
        <v>0</v>
      </c>
      <c r="N504" t="n">
        <v>0</v>
      </c>
      <c r="O504" t="n">
        <v>0</v>
      </c>
      <c r="P504" t="n">
        <v>0</v>
      </c>
      <c r="Q504" t="n">
        <v>0</v>
      </c>
      <c r="R504" s="2" t="inlineStr"/>
    </row>
    <row r="505" ht="15" customHeight="1">
      <c r="A505" t="inlineStr">
        <is>
          <t>A 8374-2021</t>
        </is>
      </c>
      <c r="B505" s="1" t="n">
        <v>44244</v>
      </c>
      <c r="C505" s="1" t="n">
        <v>46037</v>
      </c>
      <c r="D505" t="inlineStr">
        <is>
          <t>ÖREBRO LÄN</t>
        </is>
      </c>
      <c r="E505" t="inlineStr">
        <is>
          <t>ÖREBRO</t>
        </is>
      </c>
      <c r="G505" t="n">
        <v>0.6</v>
      </c>
      <c r="H505" t="n">
        <v>0</v>
      </c>
      <c r="I505" t="n">
        <v>0</v>
      </c>
      <c r="J505" t="n">
        <v>0</v>
      </c>
      <c r="K505" t="n">
        <v>0</v>
      </c>
      <c r="L505" t="n">
        <v>0</v>
      </c>
      <c r="M505" t="n">
        <v>0</v>
      </c>
      <c r="N505" t="n">
        <v>0</v>
      </c>
      <c r="O505" t="n">
        <v>0</v>
      </c>
      <c r="P505" t="n">
        <v>0</v>
      </c>
      <c r="Q505" t="n">
        <v>0</v>
      </c>
      <c r="R505" s="2" t="inlineStr"/>
    </row>
    <row r="506" ht="15" customHeight="1">
      <c r="A506" t="inlineStr">
        <is>
          <t>A 767-2024</t>
        </is>
      </c>
      <c r="B506" s="1" t="n">
        <v>45300.51892361111</v>
      </c>
      <c r="C506" s="1" t="n">
        <v>46037</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44511-2023</t>
        </is>
      </c>
      <c r="B507" s="1" t="n">
        <v>45189</v>
      </c>
      <c r="C507" s="1" t="n">
        <v>46037</v>
      </c>
      <c r="D507" t="inlineStr">
        <is>
          <t>ÖREBRO LÄN</t>
        </is>
      </c>
      <c r="E507" t="inlineStr">
        <is>
          <t>ÖREBRO</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53234-2023</t>
        </is>
      </c>
      <c r="B508" s="1" t="n">
        <v>45229</v>
      </c>
      <c r="C508" s="1" t="n">
        <v>46037</v>
      </c>
      <c r="D508" t="inlineStr">
        <is>
          <t>ÖREBRO LÄN</t>
        </is>
      </c>
      <c r="E508" t="inlineStr">
        <is>
          <t>ÖREBRO</t>
        </is>
      </c>
      <c r="G508" t="n">
        <v>1.8</v>
      </c>
      <c r="H508" t="n">
        <v>0</v>
      </c>
      <c r="I508" t="n">
        <v>0</v>
      </c>
      <c r="J508" t="n">
        <v>0</v>
      </c>
      <c r="K508" t="n">
        <v>0</v>
      </c>
      <c r="L508" t="n">
        <v>0</v>
      </c>
      <c r="M508" t="n">
        <v>0</v>
      </c>
      <c r="N508" t="n">
        <v>0</v>
      </c>
      <c r="O508" t="n">
        <v>0</v>
      </c>
      <c r="P508" t="n">
        <v>0</v>
      </c>
      <c r="Q508" t="n">
        <v>0</v>
      </c>
      <c r="R508" s="2" t="inlineStr"/>
    </row>
    <row r="509" ht="15" customHeight="1">
      <c r="A509" t="inlineStr">
        <is>
          <t>A 8512-2025</t>
        </is>
      </c>
      <c r="B509" s="1" t="n">
        <v>45709.54873842592</v>
      </c>
      <c r="C509" s="1" t="n">
        <v>46037</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28054-2022</t>
        </is>
      </c>
      <c r="B510" s="1" t="n">
        <v>44746.41938657407</v>
      </c>
      <c r="C510" s="1" t="n">
        <v>46037</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1647-2024</t>
        </is>
      </c>
      <c r="B511" s="1" t="n">
        <v>45306</v>
      </c>
      <c r="C511" s="1" t="n">
        <v>46037</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57485-2023</t>
        </is>
      </c>
      <c r="B512" s="1" t="n">
        <v>45246</v>
      </c>
      <c r="C512" s="1" t="n">
        <v>46037</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58032-2023</t>
        </is>
      </c>
      <c r="B513" s="1" t="n">
        <v>45247</v>
      </c>
      <c r="C513" s="1" t="n">
        <v>46037</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58035-2023</t>
        </is>
      </c>
      <c r="B514" s="1" t="n">
        <v>45247</v>
      </c>
      <c r="C514" s="1" t="n">
        <v>46037</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35829-2024</t>
        </is>
      </c>
      <c r="B515" s="1" t="n">
        <v>45532</v>
      </c>
      <c r="C515" s="1" t="n">
        <v>46037</v>
      </c>
      <c r="D515" t="inlineStr">
        <is>
          <t>ÖREBRO LÄN</t>
        </is>
      </c>
      <c r="E515" t="inlineStr">
        <is>
          <t>ÖREBRO</t>
        </is>
      </c>
      <c r="G515" t="n">
        <v>4.6</v>
      </c>
      <c r="H515" t="n">
        <v>0</v>
      </c>
      <c r="I515" t="n">
        <v>0</v>
      </c>
      <c r="J515" t="n">
        <v>0</v>
      </c>
      <c r="K515" t="n">
        <v>0</v>
      </c>
      <c r="L515" t="n">
        <v>0</v>
      </c>
      <c r="M515" t="n">
        <v>0</v>
      </c>
      <c r="N515" t="n">
        <v>0</v>
      </c>
      <c r="O515" t="n">
        <v>0</v>
      </c>
      <c r="P515" t="n">
        <v>0</v>
      </c>
      <c r="Q515" t="n">
        <v>0</v>
      </c>
      <c r="R515" s="2" t="inlineStr"/>
    </row>
    <row r="516" ht="15" customHeight="1">
      <c r="A516" t="inlineStr">
        <is>
          <t>A 35833-2024</t>
        </is>
      </c>
      <c r="B516" s="1" t="n">
        <v>45532.68699074074</v>
      </c>
      <c r="C516" s="1" t="n">
        <v>46037</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14717-2024</t>
        </is>
      </c>
      <c r="B517" s="1" t="n">
        <v>45397.55104166667</v>
      </c>
      <c r="C517" s="1" t="n">
        <v>46037</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5133-2024</t>
        </is>
      </c>
      <c r="B518" s="1" t="n">
        <v>45330</v>
      </c>
      <c r="C518" s="1" t="n">
        <v>46037</v>
      </c>
      <c r="D518" t="inlineStr">
        <is>
          <t>ÖREBRO LÄN</t>
        </is>
      </c>
      <c r="E518" t="inlineStr">
        <is>
          <t>ÖREBRO</t>
        </is>
      </c>
      <c r="G518" t="n">
        <v>0.5</v>
      </c>
      <c r="H518" t="n">
        <v>0</v>
      </c>
      <c r="I518" t="n">
        <v>0</v>
      </c>
      <c r="J518" t="n">
        <v>0</v>
      </c>
      <c r="K518" t="n">
        <v>0</v>
      </c>
      <c r="L518" t="n">
        <v>0</v>
      </c>
      <c r="M518" t="n">
        <v>0</v>
      </c>
      <c r="N518" t="n">
        <v>0</v>
      </c>
      <c r="O518" t="n">
        <v>0</v>
      </c>
      <c r="P518" t="n">
        <v>0</v>
      </c>
      <c r="Q518" t="n">
        <v>0</v>
      </c>
      <c r="R518" s="2" t="inlineStr"/>
    </row>
    <row r="519" ht="15" customHeight="1">
      <c r="A519" t="inlineStr">
        <is>
          <t>A 14432-2023</t>
        </is>
      </c>
      <c r="B519" s="1" t="n">
        <v>45012</v>
      </c>
      <c r="C519" s="1" t="n">
        <v>46037</v>
      </c>
      <c r="D519" t="inlineStr">
        <is>
          <t>ÖREBRO LÄN</t>
        </is>
      </c>
      <c r="E519" t="inlineStr">
        <is>
          <t>ÖREBRO</t>
        </is>
      </c>
      <c r="G519" t="n">
        <v>3.3</v>
      </c>
      <c r="H519" t="n">
        <v>0</v>
      </c>
      <c r="I519" t="n">
        <v>0</v>
      </c>
      <c r="J519" t="n">
        <v>0</v>
      </c>
      <c r="K519" t="n">
        <v>0</v>
      </c>
      <c r="L519" t="n">
        <v>0</v>
      </c>
      <c r="M519" t="n">
        <v>0</v>
      </c>
      <c r="N519" t="n">
        <v>0</v>
      </c>
      <c r="O519" t="n">
        <v>0</v>
      </c>
      <c r="P519" t="n">
        <v>0</v>
      </c>
      <c r="Q519" t="n">
        <v>0</v>
      </c>
      <c r="R519" s="2" t="inlineStr"/>
    </row>
    <row r="520" ht="15" customHeight="1">
      <c r="A520" t="inlineStr">
        <is>
          <t>A 10339-2023</t>
        </is>
      </c>
      <c r="B520" s="1" t="n">
        <v>44987</v>
      </c>
      <c r="C520" s="1" t="n">
        <v>46037</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190-2024</t>
        </is>
      </c>
      <c r="B521" s="1" t="n">
        <v>45294.61858796296</v>
      </c>
      <c r="C521" s="1" t="n">
        <v>46037</v>
      </c>
      <c r="D521" t="inlineStr">
        <is>
          <t>ÖREBRO LÄN</t>
        </is>
      </c>
      <c r="E521" t="inlineStr">
        <is>
          <t>ÖREBRO</t>
        </is>
      </c>
      <c r="G521" t="n">
        <v>2.4</v>
      </c>
      <c r="H521" t="n">
        <v>0</v>
      </c>
      <c r="I521" t="n">
        <v>0</v>
      </c>
      <c r="J521" t="n">
        <v>0</v>
      </c>
      <c r="K521" t="n">
        <v>0</v>
      </c>
      <c r="L521" t="n">
        <v>0</v>
      </c>
      <c r="M521" t="n">
        <v>0</v>
      </c>
      <c r="N521" t="n">
        <v>0</v>
      </c>
      <c r="O521" t="n">
        <v>0</v>
      </c>
      <c r="P521" t="n">
        <v>0</v>
      </c>
      <c r="Q521" t="n">
        <v>0</v>
      </c>
      <c r="R521" s="2" t="inlineStr"/>
    </row>
    <row r="522" ht="15" customHeight="1">
      <c r="A522" t="inlineStr">
        <is>
          <t>A 62497-2023</t>
        </is>
      </c>
      <c r="B522" s="1" t="n">
        <v>45268.59935185185</v>
      </c>
      <c r="C522" s="1" t="n">
        <v>46037</v>
      </c>
      <c r="D522" t="inlineStr">
        <is>
          <t>ÖREBRO LÄN</t>
        </is>
      </c>
      <c r="E522" t="inlineStr">
        <is>
          <t>ÖREBRO</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43399-2022</t>
        </is>
      </c>
      <c r="B523" s="1" t="n">
        <v>44834</v>
      </c>
      <c r="C523" s="1" t="n">
        <v>46037</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63142-2023</t>
        </is>
      </c>
      <c r="B524" s="1" t="n">
        <v>45273</v>
      </c>
      <c r="C524" s="1" t="n">
        <v>46037</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37021-2024</t>
        </is>
      </c>
      <c r="B525" s="1" t="n">
        <v>45539.38146990741</v>
      </c>
      <c r="C525" s="1" t="n">
        <v>46037</v>
      </c>
      <c r="D525" t="inlineStr">
        <is>
          <t>ÖREBRO LÄN</t>
        </is>
      </c>
      <c r="E525" t="inlineStr">
        <is>
          <t>ÖREBRO</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23573-2023</t>
        </is>
      </c>
      <c r="B526" s="1" t="n">
        <v>45077.41672453703</v>
      </c>
      <c r="C526" s="1" t="n">
        <v>46037</v>
      </c>
      <c r="D526" t="inlineStr">
        <is>
          <t>ÖREBRO LÄN</t>
        </is>
      </c>
      <c r="E526" t="inlineStr">
        <is>
          <t>ÖREBRO</t>
        </is>
      </c>
      <c r="G526" t="n">
        <v>2.9</v>
      </c>
      <c r="H526" t="n">
        <v>0</v>
      </c>
      <c r="I526" t="n">
        <v>0</v>
      </c>
      <c r="J526" t="n">
        <v>0</v>
      </c>
      <c r="K526" t="n">
        <v>0</v>
      </c>
      <c r="L526" t="n">
        <v>0</v>
      </c>
      <c r="M526" t="n">
        <v>0</v>
      </c>
      <c r="N526" t="n">
        <v>0</v>
      </c>
      <c r="O526" t="n">
        <v>0</v>
      </c>
      <c r="P526" t="n">
        <v>0</v>
      </c>
      <c r="Q526" t="n">
        <v>0</v>
      </c>
      <c r="R526" s="2" t="inlineStr"/>
    </row>
    <row r="527" ht="15" customHeight="1">
      <c r="A527" t="inlineStr">
        <is>
          <t>A 13762-2023</t>
        </is>
      </c>
      <c r="B527" s="1" t="n">
        <v>45007.43729166667</v>
      </c>
      <c r="C527" s="1" t="n">
        <v>46037</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5129-2024</t>
        </is>
      </c>
      <c r="B528" s="1" t="n">
        <v>45330</v>
      </c>
      <c r="C528" s="1" t="n">
        <v>46037</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1492-2022</t>
        </is>
      </c>
      <c r="B529" s="1" t="n">
        <v>44573</v>
      </c>
      <c r="C529" s="1" t="n">
        <v>46037</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59026-2024</t>
        </is>
      </c>
      <c r="B530" s="1" t="n">
        <v>45636.6875</v>
      </c>
      <c r="C530" s="1" t="n">
        <v>46037</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52623-2024</t>
        </is>
      </c>
      <c r="B531" s="1" t="n">
        <v>45609</v>
      </c>
      <c r="C531" s="1" t="n">
        <v>46037</v>
      </c>
      <c r="D531" t="inlineStr">
        <is>
          <t>ÖREBRO LÄN</t>
        </is>
      </c>
      <c r="E531" t="inlineStr">
        <is>
          <t>ÖREBRO</t>
        </is>
      </c>
      <c r="F531" t="inlineStr">
        <is>
          <t>Kommuner</t>
        </is>
      </c>
      <c r="G531" t="n">
        <v>1.7</v>
      </c>
      <c r="H531" t="n">
        <v>0</v>
      </c>
      <c r="I531" t="n">
        <v>0</v>
      </c>
      <c r="J531" t="n">
        <v>0</v>
      </c>
      <c r="K531" t="n">
        <v>0</v>
      </c>
      <c r="L531" t="n">
        <v>0</v>
      </c>
      <c r="M531" t="n">
        <v>0</v>
      </c>
      <c r="N531" t="n">
        <v>0</v>
      </c>
      <c r="O531" t="n">
        <v>0</v>
      </c>
      <c r="P531" t="n">
        <v>0</v>
      </c>
      <c r="Q531" t="n">
        <v>0</v>
      </c>
      <c r="R531" s="2" t="inlineStr"/>
    </row>
    <row r="532" ht="15" customHeight="1">
      <c r="A532" t="inlineStr">
        <is>
          <t>A 62511-2023</t>
        </is>
      </c>
      <c r="B532" s="1" t="n">
        <v>45268.61855324074</v>
      </c>
      <c r="C532" s="1" t="n">
        <v>46037</v>
      </c>
      <c r="D532" t="inlineStr">
        <is>
          <t>ÖREBRO LÄN</t>
        </is>
      </c>
      <c r="E532" t="inlineStr">
        <is>
          <t>ÖREBRO</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40522-2024</t>
        </is>
      </c>
      <c r="B533" s="1" t="n">
        <v>45555.59717592593</v>
      </c>
      <c r="C533" s="1" t="n">
        <v>46037</v>
      </c>
      <c r="D533" t="inlineStr">
        <is>
          <t>ÖREBRO LÄN</t>
        </is>
      </c>
      <c r="E533" t="inlineStr">
        <is>
          <t>ÖREBRO</t>
        </is>
      </c>
      <c r="G533" t="n">
        <v>5.1</v>
      </c>
      <c r="H533" t="n">
        <v>0</v>
      </c>
      <c r="I533" t="n">
        <v>0</v>
      </c>
      <c r="J533" t="n">
        <v>0</v>
      </c>
      <c r="K533" t="n">
        <v>0</v>
      </c>
      <c r="L533" t="n">
        <v>0</v>
      </c>
      <c r="M533" t="n">
        <v>0</v>
      </c>
      <c r="N533" t="n">
        <v>0</v>
      </c>
      <c r="O533" t="n">
        <v>0</v>
      </c>
      <c r="P533" t="n">
        <v>0</v>
      </c>
      <c r="Q533" t="n">
        <v>0</v>
      </c>
      <c r="R533" s="2" t="inlineStr"/>
    </row>
    <row r="534" ht="15" customHeight="1">
      <c r="A534" t="inlineStr">
        <is>
          <t>A 33577-2023</t>
        </is>
      </c>
      <c r="B534" s="1" t="n">
        <v>45131</v>
      </c>
      <c r="C534" s="1" t="n">
        <v>46037</v>
      </c>
      <c r="D534" t="inlineStr">
        <is>
          <t>ÖREBRO LÄN</t>
        </is>
      </c>
      <c r="E534" t="inlineStr">
        <is>
          <t>ÖREBRO</t>
        </is>
      </c>
      <c r="G534" t="n">
        <v>2</v>
      </c>
      <c r="H534" t="n">
        <v>0</v>
      </c>
      <c r="I534" t="n">
        <v>0</v>
      </c>
      <c r="J534" t="n">
        <v>0</v>
      </c>
      <c r="K534" t="n">
        <v>0</v>
      </c>
      <c r="L534" t="n">
        <v>0</v>
      </c>
      <c r="M534" t="n">
        <v>0</v>
      </c>
      <c r="N534" t="n">
        <v>0</v>
      </c>
      <c r="O534" t="n">
        <v>0</v>
      </c>
      <c r="P534" t="n">
        <v>0</v>
      </c>
      <c r="Q534" t="n">
        <v>0</v>
      </c>
      <c r="R534" s="2" t="inlineStr"/>
    </row>
    <row r="535" ht="15" customHeight="1">
      <c r="A535" t="inlineStr">
        <is>
          <t>A 18360-2024</t>
        </is>
      </c>
      <c r="B535" s="1" t="n">
        <v>45422</v>
      </c>
      <c r="C535" s="1" t="n">
        <v>46037</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7611-2024</t>
        </is>
      </c>
      <c r="B536" s="1" t="n">
        <v>45348.58864583333</v>
      </c>
      <c r="C536" s="1" t="n">
        <v>46037</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13347-2023</t>
        </is>
      </c>
      <c r="B537" s="1" t="n">
        <v>45004</v>
      </c>
      <c r="C537" s="1" t="n">
        <v>46037</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187-2024</t>
        </is>
      </c>
      <c r="B538" s="1" t="n">
        <v>45294</v>
      </c>
      <c r="C538" s="1" t="n">
        <v>46037</v>
      </c>
      <c r="D538" t="inlineStr">
        <is>
          <t>ÖREBRO LÄN</t>
        </is>
      </c>
      <c r="E538" t="inlineStr">
        <is>
          <t>ÖREBRO</t>
        </is>
      </c>
      <c r="G538" t="n">
        <v>5.9</v>
      </c>
      <c r="H538" t="n">
        <v>0</v>
      </c>
      <c r="I538" t="n">
        <v>0</v>
      </c>
      <c r="J538" t="n">
        <v>0</v>
      </c>
      <c r="K538" t="n">
        <v>0</v>
      </c>
      <c r="L538" t="n">
        <v>0</v>
      </c>
      <c r="M538" t="n">
        <v>0</v>
      </c>
      <c r="N538" t="n">
        <v>0</v>
      </c>
      <c r="O538" t="n">
        <v>0</v>
      </c>
      <c r="P538" t="n">
        <v>0</v>
      </c>
      <c r="Q538" t="n">
        <v>0</v>
      </c>
      <c r="R538" s="2" t="inlineStr"/>
    </row>
    <row r="539" ht="15" customHeight="1">
      <c r="A539" t="inlineStr">
        <is>
          <t>A 10832-2023</t>
        </is>
      </c>
      <c r="B539" s="1" t="n">
        <v>44990.91711805556</v>
      </c>
      <c r="C539" s="1" t="n">
        <v>46037</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2596-2022</t>
        </is>
      </c>
      <c r="B540" s="1" t="n">
        <v>44580</v>
      </c>
      <c r="C540" s="1" t="n">
        <v>46037</v>
      </c>
      <c r="D540" t="inlineStr">
        <is>
          <t>ÖREBRO LÄN</t>
        </is>
      </c>
      <c r="E540" t="inlineStr">
        <is>
          <t>ÖREBRO</t>
        </is>
      </c>
      <c r="G540" t="n">
        <v>4.3</v>
      </c>
      <c r="H540" t="n">
        <v>0</v>
      </c>
      <c r="I540" t="n">
        <v>0</v>
      </c>
      <c r="J540" t="n">
        <v>0</v>
      </c>
      <c r="K540" t="n">
        <v>0</v>
      </c>
      <c r="L540" t="n">
        <v>0</v>
      </c>
      <c r="M540" t="n">
        <v>0</v>
      </c>
      <c r="N540" t="n">
        <v>0</v>
      </c>
      <c r="O540" t="n">
        <v>0</v>
      </c>
      <c r="P540" t="n">
        <v>0</v>
      </c>
      <c r="Q540" t="n">
        <v>0</v>
      </c>
      <c r="R540" s="2" t="inlineStr"/>
    </row>
    <row r="541" ht="15" customHeight="1">
      <c r="A541" t="inlineStr">
        <is>
          <t>A 5338-2024</t>
        </is>
      </c>
      <c r="B541" s="1" t="n">
        <v>45331</v>
      </c>
      <c r="C541" s="1" t="n">
        <v>46037</v>
      </c>
      <c r="D541" t="inlineStr">
        <is>
          <t>ÖREBRO LÄN</t>
        </is>
      </c>
      <c r="E541" t="inlineStr">
        <is>
          <t>ÖREBRO</t>
        </is>
      </c>
      <c r="G541" t="n">
        <v>0.6</v>
      </c>
      <c r="H541" t="n">
        <v>0</v>
      </c>
      <c r="I541" t="n">
        <v>0</v>
      </c>
      <c r="J541" t="n">
        <v>0</v>
      </c>
      <c r="K541" t="n">
        <v>0</v>
      </c>
      <c r="L541" t="n">
        <v>0</v>
      </c>
      <c r="M541" t="n">
        <v>0</v>
      </c>
      <c r="N541" t="n">
        <v>0</v>
      </c>
      <c r="O541" t="n">
        <v>0</v>
      </c>
      <c r="P541" t="n">
        <v>0</v>
      </c>
      <c r="Q541" t="n">
        <v>0</v>
      </c>
      <c r="R541" s="2" t="inlineStr"/>
    </row>
    <row r="542" ht="15" customHeight="1">
      <c r="A542" t="inlineStr">
        <is>
          <t>A 14487-2023</t>
        </is>
      </c>
      <c r="B542" s="1" t="n">
        <v>45012</v>
      </c>
      <c r="C542" s="1" t="n">
        <v>46037</v>
      </c>
      <c r="D542" t="inlineStr">
        <is>
          <t>ÖREBRO LÄN</t>
        </is>
      </c>
      <c r="E542" t="inlineStr">
        <is>
          <t>ÖREBRO</t>
        </is>
      </c>
      <c r="G542" t="n">
        <v>0.5</v>
      </c>
      <c r="H542" t="n">
        <v>0</v>
      </c>
      <c r="I542" t="n">
        <v>0</v>
      </c>
      <c r="J542" t="n">
        <v>0</v>
      </c>
      <c r="K542" t="n">
        <v>0</v>
      </c>
      <c r="L542" t="n">
        <v>0</v>
      </c>
      <c r="M542" t="n">
        <v>0</v>
      </c>
      <c r="N542" t="n">
        <v>0</v>
      </c>
      <c r="O542" t="n">
        <v>0</v>
      </c>
      <c r="P542" t="n">
        <v>0</v>
      </c>
      <c r="Q542" t="n">
        <v>0</v>
      </c>
      <c r="R542" s="2" t="inlineStr"/>
    </row>
    <row r="543" ht="15" customHeight="1">
      <c r="A543" t="inlineStr">
        <is>
          <t>A 8565-2021</t>
        </is>
      </c>
      <c r="B543" s="1" t="n">
        <v>44245</v>
      </c>
      <c r="C543" s="1" t="n">
        <v>46037</v>
      </c>
      <c r="D543" t="inlineStr">
        <is>
          <t>ÖREBRO LÄN</t>
        </is>
      </c>
      <c r="E543" t="inlineStr">
        <is>
          <t>ÖREBRO</t>
        </is>
      </c>
      <c r="G543" t="n">
        <v>0.6</v>
      </c>
      <c r="H543" t="n">
        <v>0</v>
      </c>
      <c r="I543" t="n">
        <v>0</v>
      </c>
      <c r="J543" t="n">
        <v>0</v>
      </c>
      <c r="K543" t="n">
        <v>0</v>
      </c>
      <c r="L543" t="n">
        <v>0</v>
      </c>
      <c r="M543" t="n">
        <v>0</v>
      </c>
      <c r="N543" t="n">
        <v>0</v>
      </c>
      <c r="O543" t="n">
        <v>0</v>
      </c>
      <c r="P543" t="n">
        <v>0</v>
      </c>
      <c r="Q543" t="n">
        <v>0</v>
      </c>
      <c r="R543" s="2" t="inlineStr"/>
    </row>
    <row r="544" ht="15" customHeight="1">
      <c r="A544" t="inlineStr">
        <is>
          <t>A 4970-2022</t>
        </is>
      </c>
      <c r="B544" s="1" t="n">
        <v>44593.51175925926</v>
      </c>
      <c r="C544" s="1" t="n">
        <v>46037</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18047-2023</t>
        </is>
      </c>
      <c r="B545" s="1" t="n">
        <v>45040</v>
      </c>
      <c r="C545" s="1" t="n">
        <v>46037</v>
      </c>
      <c r="D545" t="inlineStr">
        <is>
          <t>ÖREBRO LÄN</t>
        </is>
      </c>
      <c r="E545" t="inlineStr">
        <is>
          <t>ÖREBRO</t>
        </is>
      </c>
      <c r="G545" t="n">
        <v>3.9</v>
      </c>
      <c r="H545" t="n">
        <v>0</v>
      </c>
      <c r="I545" t="n">
        <v>0</v>
      </c>
      <c r="J545" t="n">
        <v>0</v>
      </c>
      <c r="K545" t="n">
        <v>0</v>
      </c>
      <c r="L545" t="n">
        <v>0</v>
      </c>
      <c r="M545" t="n">
        <v>0</v>
      </c>
      <c r="N545" t="n">
        <v>0</v>
      </c>
      <c r="O545" t="n">
        <v>0</v>
      </c>
      <c r="P545" t="n">
        <v>0</v>
      </c>
      <c r="Q545" t="n">
        <v>0</v>
      </c>
      <c r="R545" s="2" t="inlineStr"/>
    </row>
    <row r="546" ht="15" customHeight="1">
      <c r="A546" t="inlineStr">
        <is>
          <t>A 3789-2023</t>
        </is>
      </c>
      <c r="B546" s="1" t="n">
        <v>44951</v>
      </c>
      <c r="C546" s="1" t="n">
        <v>46037</v>
      </c>
      <c r="D546" t="inlineStr">
        <is>
          <t>ÖREBRO LÄN</t>
        </is>
      </c>
      <c r="E546" t="inlineStr">
        <is>
          <t>ÖREBRO</t>
        </is>
      </c>
      <c r="G546" t="n">
        <v>7.5</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44593.63974537037</v>
      </c>
      <c r="C547" s="1" t="n">
        <v>46037</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54917-2023</t>
        </is>
      </c>
      <c r="B548" s="1" t="n">
        <v>45229</v>
      </c>
      <c r="C548" s="1" t="n">
        <v>46037</v>
      </c>
      <c r="D548" t="inlineStr">
        <is>
          <t>ÖREBRO LÄN</t>
        </is>
      </c>
      <c r="E548" t="inlineStr">
        <is>
          <t>ÖREBRO</t>
        </is>
      </c>
      <c r="G548" t="n">
        <v>3.1</v>
      </c>
      <c r="H548" t="n">
        <v>0</v>
      </c>
      <c r="I548" t="n">
        <v>0</v>
      </c>
      <c r="J548" t="n">
        <v>0</v>
      </c>
      <c r="K548" t="n">
        <v>0</v>
      </c>
      <c r="L548" t="n">
        <v>0</v>
      </c>
      <c r="M548" t="n">
        <v>0</v>
      </c>
      <c r="N548" t="n">
        <v>0</v>
      </c>
      <c r="O548" t="n">
        <v>0</v>
      </c>
      <c r="P548" t="n">
        <v>0</v>
      </c>
      <c r="Q548" t="n">
        <v>0</v>
      </c>
      <c r="R548" s="2" t="inlineStr"/>
    </row>
    <row r="549" ht="15" customHeight="1">
      <c r="A549" t="inlineStr">
        <is>
          <t>A 72329-2021</t>
        </is>
      </c>
      <c r="B549" s="1" t="n">
        <v>44545.46072916667</v>
      </c>
      <c r="C549" s="1" t="n">
        <v>46037</v>
      </c>
      <c r="D549" t="inlineStr">
        <is>
          <t>ÖREBRO LÄN</t>
        </is>
      </c>
      <c r="E549" t="inlineStr">
        <is>
          <t>ÖREBRO</t>
        </is>
      </c>
      <c r="G549" t="n">
        <v>0.5</v>
      </c>
      <c r="H549" t="n">
        <v>0</v>
      </c>
      <c r="I549" t="n">
        <v>0</v>
      </c>
      <c r="J549" t="n">
        <v>0</v>
      </c>
      <c r="K549" t="n">
        <v>0</v>
      </c>
      <c r="L549" t="n">
        <v>0</v>
      </c>
      <c r="M549" t="n">
        <v>0</v>
      </c>
      <c r="N549" t="n">
        <v>0</v>
      </c>
      <c r="O549" t="n">
        <v>0</v>
      </c>
      <c r="P549" t="n">
        <v>0</v>
      </c>
      <c r="Q549" t="n">
        <v>0</v>
      </c>
      <c r="R549" s="2" t="inlineStr"/>
    </row>
    <row r="550" ht="15" customHeight="1">
      <c r="A550" t="inlineStr">
        <is>
          <t>A 43803-2023</t>
        </is>
      </c>
      <c r="B550" s="1" t="n">
        <v>45187</v>
      </c>
      <c r="C550" s="1" t="n">
        <v>46037</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15789-2023</t>
        </is>
      </c>
      <c r="B551" s="1" t="n">
        <v>45021.71539351852</v>
      </c>
      <c r="C551" s="1" t="n">
        <v>46037</v>
      </c>
      <c r="D551" t="inlineStr">
        <is>
          <t>ÖREBRO LÄN</t>
        </is>
      </c>
      <c r="E551" t="inlineStr">
        <is>
          <t>ÖREBRO</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58539-2024</t>
        </is>
      </c>
      <c r="B552" s="1" t="n">
        <v>45635.45157407408</v>
      </c>
      <c r="C552" s="1" t="n">
        <v>46037</v>
      </c>
      <c r="D552" t="inlineStr">
        <is>
          <t>ÖREBRO LÄN</t>
        </is>
      </c>
      <c r="E552" t="inlineStr">
        <is>
          <t>ÖREBRO</t>
        </is>
      </c>
      <c r="F552" t="inlineStr">
        <is>
          <t>Sveaskog</t>
        </is>
      </c>
      <c r="G552" t="n">
        <v>4.1</v>
      </c>
      <c r="H552" t="n">
        <v>0</v>
      </c>
      <c r="I552" t="n">
        <v>0</v>
      </c>
      <c r="J552" t="n">
        <v>0</v>
      </c>
      <c r="K552" t="n">
        <v>0</v>
      </c>
      <c r="L552" t="n">
        <v>0</v>
      </c>
      <c r="M552" t="n">
        <v>0</v>
      </c>
      <c r="N552" t="n">
        <v>0</v>
      </c>
      <c r="O552" t="n">
        <v>0</v>
      </c>
      <c r="P552" t="n">
        <v>0</v>
      </c>
      <c r="Q552" t="n">
        <v>0</v>
      </c>
      <c r="R552" s="2" t="inlineStr"/>
    </row>
    <row r="553" ht="15" customHeight="1">
      <c r="A553" t="inlineStr">
        <is>
          <t>A 59757-2023</t>
        </is>
      </c>
      <c r="B553" s="1" t="n">
        <v>45257.40833333333</v>
      </c>
      <c r="C553" s="1" t="n">
        <v>46037</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17869-2024</t>
        </is>
      </c>
      <c r="B554" s="1" t="n">
        <v>45419</v>
      </c>
      <c r="C554" s="1" t="n">
        <v>46037</v>
      </c>
      <c r="D554" t="inlineStr">
        <is>
          <t>ÖREBRO LÄN</t>
        </is>
      </c>
      <c r="E554" t="inlineStr">
        <is>
          <t>ÖREBRO</t>
        </is>
      </c>
      <c r="G554" t="n">
        <v>3.7</v>
      </c>
      <c r="H554" t="n">
        <v>0</v>
      </c>
      <c r="I554" t="n">
        <v>0</v>
      </c>
      <c r="J554" t="n">
        <v>0</v>
      </c>
      <c r="K554" t="n">
        <v>0</v>
      </c>
      <c r="L554" t="n">
        <v>0</v>
      </c>
      <c r="M554" t="n">
        <v>0</v>
      </c>
      <c r="N554" t="n">
        <v>0</v>
      </c>
      <c r="O554" t="n">
        <v>0</v>
      </c>
      <c r="P554" t="n">
        <v>0</v>
      </c>
      <c r="Q554" t="n">
        <v>0</v>
      </c>
      <c r="R554" s="2" t="inlineStr"/>
    </row>
    <row r="555" ht="15" customHeight="1">
      <c r="A555" t="inlineStr">
        <is>
          <t>A 71272-2021</t>
        </is>
      </c>
      <c r="B555" s="1" t="n">
        <v>44539.61571759259</v>
      </c>
      <c r="C555" s="1" t="n">
        <v>46037</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4557-2023</t>
        </is>
      </c>
      <c r="B556" s="1" t="n">
        <v>44956.6655787037</v>
      </c>
      <c r="C556" s="1" t="n">
        <v>46037</v>
      </c>
      <c r="D556" t="inlineStr">
        <is>
          <t>ÖREBRO LÄN</t>
        </is>
      </c>
      <c r="E556" t="inlineStr">
        <is>
          <t>ÖREBRO</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60100-2022</t>
        </is>
      </c>
      <c r="B557" s="1" t="n">
        <v>44902</v>
      </c>
      <c r="C557" s="1" t="n">
        <v>46037</v>
      </c>
      <c r="D557" t="inlineStr">
        <is>
          <t>ÖREBRO LÄN</t>
        </is>
      </c>
      <c r="E557" t="inlineStr">
        <is>
          <t>ÖREBRO</t>
        </is>
      </c>
      <c r="G557" t="n">
        <v>1.4</v>
      </c>
      <c r="H557" t="n">
        <v>0</v>
      </c>
      <c r="I557" t="n">
        <v>0</v>
      </c>
      <c r="J557" t="n">
        <v>0</v>
      </c>
      <c r="K557" t="n">
        <v>0</v>
      </c>
      <c r="L557" t="n">
        <v>0</v>
      </c>
      <c r="M557" t="n">
        <v>0</v>
      </c>
      <c r="N557" t="n">
        <v>0</v>
      </c>
      <c r="O557" t="n">
        <v>0</v>
      </c>
      <c r="P557" t="n">
        <v>0</v>
      </c>
      <c r="Q557" t="n">
        <v>0</v>
      </c>
      <c r="R557" s="2" t="inlineStr"/>
    </row>
    <row r="558" ht="15" customHeight="1">
      <c r="A558" t="inlineStr">
        <is>
          <t>A 17465-2023</t>
        </is>
      </c>
      <c r="B558" s="1" t="n">
        <v>45036</v>
      </c>
      <c r="C558" s="1" t="n">
        <v>46037</v>
      </c>
      <c r="D558" t="inlineStr">
        <is>
          <t>ÖREBRO LÄN</t>
        </is>
      </c>
      <c r="E558" t="inlineStr">
        <is>
          <t>ÖREBRO</t>
        </is>
      </c>
      <c r="G558" t="n">
        <v>0.8</v>
      </c>
      <c r="H558" t="n">
        <v>0</v>
      </c>
      <c r="I558" t="n">
        <v>0</v>
      </c>
      <c r="J558" t="n">
        <v>0</v>
      </c>
      <c r="K558" t="n">
        <v>0</v>
      </c>
      <c r="L558" t="n">
        <v>0</v>
      </c>
      <c r="M558" t="n">
        <v>0</v>
      </c>
      <c r="N558" t="n">
        <v>0</v>
      </c>
      <c r="O558" t="n">
        <v>0</v>
      </c>
      <c r="P558" t="n">
        <v>0</v>
      </c>
      <c r="Q558" t="n">
        <v>0</v>
      </c>
      <c r="R558" s="2" t="inlineStr"/>
    </row>
    <row r="559" ht="15" customHeight="1">
      <c r="A559" t="inlineStr">
        <is>
          <t>A 6213-2021</t>
        </is>
      </c>
      <c r="B559" s="1" t="n">
        <v>44232</v>
      </c>
      <c r="C559" s="1" t="n">
        <v>46037</v>
      </c>
      <c r="D559" t="inlineStr">
        <is>
          <t>ÖREBRO LÄN</t>
        </is>
      </c>
      <c r="E559" t="inlineStr">
        <is>
          <t>ÖREBRO</t>
        </is>
      </c>
      <c r="G559" t="n">
        <v>4</v>
      </c>
      <c r="H559" t="n">
        <v>0</v>
      </c>
      <c r="I559" t="n">
        <v>0</v>
      </c>
      <c r="J559" t="n">
        <v>0</v>
      </c>
      <c r="K559" t="n">
        <v>0</v>
      </c>
      <c r="L559" t="n">
        <v>0</v>
      </c>
      <c r="M559" t="n">
        <v>0</v>
      </c>
      <c r="N559" t="n">
        <v>0</v>
      </c>
      <c r="O559" t="n">
        <v>0</v>
      </c>
      <c r="P559" t="n">
        <v>0</v>
      </c>
      <c r="Q559" t="n">
        <v>0</v>
      </c>
      <c r="R559" s="2" t="inlineStr"/>
    </row>
    <row r="560" ht="15" customHeight="1">
      <c r="A560" t="inlineStr">
        <is>
          <t>A 52016-2024</t>
        </is>
      </c>
      <c r="B560" s="1" t="n">
        <v>45607.81917824074</v>
      </c>
      <c r="C560" s="1" t="n">
        <v>46037</v>
      </c>
      <c r="D560" t="inlineStr">
        <is>
          <t>ÖREBRO LÄN</t>
        </is>
      </c>
      <c r="E560" t="inlineStr">
        <is>
          <t>ÖREBRO</t>
        </is>
      </c>
      <c r="G560" t="n">
        <v>1.9</v>
      </c>
      <c r="H560" t="n">
        <v>0</v>
      </c>
      <c r="I560" t="n">
        <v>0</v>
      </c>
      <c r="J560" t="n">
        <v>0</v>
      </c>
      <c r="K560" t="n">
        <v>0</v>
      </c>
      <c r="L560" t="n">
        <v>0</v>
      </c>
      <c r="M560" t="n">
        <v>0</v>
      </c>
      <c r="N560" t="n">
        <v>0</v>
      </c>
      <c r="O560" t="n">
        <v>0</v>
      </c>
      <c r="P560" t="n">
        <v>0</v>
      </c>
      <c r="Q560" t="n">
        <v>0</v>
      </c>
      <c r="R560" s="2" t="inlineStr"/>
    </row>
    <row r="561" ht="15" customHeight="1">
      <c r="A561" t="inlineStr">
        <is>
          <t>A 52477-2024</t>
        </is>
      </c>
      <c r="B561" s="1" t="n">
        <v>45609</v>
      </c>
      <c r="C561" s="1" t="n">
        <v>46037</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53558-2023</t>
        </is>
      </c>
      <c r="B562" s="1" t="n">
        <v>45230.47266203703</v>
      </c>
      <c r="C562" s="1" t="n">
        <v>46037</v>
      </c>
      <c r="D562" t="inlineStr">
        <is>
          <t>ÖREBRO LÄN</t>
        </is>
      </c>
      <c r="E562" t="inlineStr">
        <is>
          <t>ÖREBRO</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35843-2022</t>
        </is>
      </c>
      <c r="B563" s="1" t="n">
        <v>44802</v>
      </c>
      <c r="C563" s="1" t="n">
        <v>46037</v>
      </c>
      <c r="D563" t="inlineStr">
        <is>
          <t>ÖREBRO LÄN</t>
        </is>
      </c>
      <c r="E563" t="inlineStr">
        <is>
          <t>ÖREBRO</t>
        </is>
      </c>
      <c r="G563" t="n">
        <v>2.4</v>
      </c>
      <c r="H563" t="n">
        <v>0</v>
      </c>
      <c r="I563" t="n">
        <v>0</v>
      </c>
      <c r="J563" t="n">
        <v>0</v>
      </c>
      <c r="K563" t="n">
        <v>0</v>
      </c>
      <c r="L563" t="n">
        <v>0</v>
      </c>
      <c r="M563" t="n">
        <v>0</v>
      </c>
      <c r="N563" t="n">
        <v>0</v>
      </c>
      <c r="O563" t="n">
        <v>0</v>
      </c>
      <c r="P563" t="n">
        <v>0</v>
      </c>
      <c r="Q563" t="n">
        <v>0</v>
      </c>
      <c r="R563" s="2" t="inlineStr"/>
    </row>
    <row r="564" ht="15" customHeight="1">
      <c r="A564" t="inlineStr">
        <is>
          <t>A 51373-2023</t>
        </is>
      </c>
      <c r="B564" s="1" t="n">
        <v>45213</v>
      </c>
      <c r="C564" s="1" t="n">
        <v>46037</v>
      </c>
      <c r="D564" t="inlineStr">
        <is>
          <t>ÖREBRO LÄN</t>
        </is>
      </c>
      <c r="E564" t="inlineStr">
        <is>
          <t>ÖREBRO</t>
        </is>
      </c>
      <c r="G564" t="n">
        <v>5.9</v>
      </c>
      <c r="H564" t="n">
        <v>0</v>
      </c>
      <c r="I564" t="n">
        <v>0</v>
      </c>
      <c r="J564" t="n">
        <v>0</v>
      </c>
      <c r="K564" t="n">
        <v>0</v>
      </c>
      <c r="L564" t="n">
        <v>0</v>
      </c>
      <c r="M564" t="n">
        <v>0</v>
      </c>
      <c r="N564" t="n">
        <v>0</v>
      </c>
      <c r="O564" t="n">
        <v>0</v>
      </c>
      <c r="P564" t="n">
        <v>0</v>
      </c>
      <c r="Q564" t="n">
        <v>0</v>
      </c>
      <c r="R564" s="2" t="inlineStr"/>
    </row>
    <row r="565" ht="15" customHeight="1">
      <c r="A565" t="inlineStr">
        <is>
          <t>A 1257-2022</t>
        </is>
      </c>
      <c r="B565" s="1" t="n">
        <v>44572</v>
      </c>
      <c r="C565" s="1" t="n">
        <v>46037</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40656-2023</t>
        </is>
      </c>
      <c r="B566" s="1" t="n">
        <v>45170</v>
      </c>
      <c r="C566" s="1" t="n">
        <v>46037</v>
      </c>
      <c r="D566" t="inlineStr">
        <is>
          <t>ÖREBRO LÄN</t>
        </is>
      </c>
      <c r="E566" t="inlineStr">
        <is>
          <t>ÖREBRO</t>
        </is>
      </c>
      <c r="F566" t="inlineStr">
        <is>
          <t>Övriga Aktiebolag</t>
        </is>
      </c>
      <c r="G566" t="n">
        <v>0.8</v>
      </c>
      <c r="H566" t="n">
        <v>0</v>
      </c>
      <c r="I566" t="n">
        <v>0</v>
      </c>
      <c r="J566" t="n">
        <v>0</v>
      </c>
      <c r="K566" t="n">
        <v>0</v>
      </c>
      <c r="L566" t="n">
        <v>0</v>
      </c>
      <c r="M566" t="n">
        <v>0</v>
      </c>
      <c r="N566" t="n">
        <v>0</v>
      </c>
      <c r="O566" t="n">
        <v>0</v>
      </c>
      <c r="P566" t="n">
        <v>0</v>
      </c>
      <c r="Q566" t="n">
        <v>0</v>
      </c>
      <c r="R566" s="2" t="inlineStr"/>
    </row>
    <row r="567" ht="15" customHeight="1">
      <c r="A567" t="inlineStr">
        <is>
          <t>A 22677-2022</t>
        </is>
      </c>
      <c r="B567" s="1" t="n">
        <v>44714</v>
      </c>
      <c r="C567" s="1" t="n">
        <v>46037</v>
      </c>
      <c r="D567" t="inlineStr">
        <is>
          <t>ÖREBRO LÄN</t>
        </is>
      </c>
      <c r="E567" t="inlineStr">
        <is>
          <t>ÖREBRO</t>
        </is>
      </c>
      <c r="G567" t="n">
        <v>2.3</v>
      </c>
      <c r="H567" t="n">
        <v>0</v>
      </c>
      <c r="I567" t="n">
        <v>0</v>
      </c>
      <c r="J567" t="n">
        <v>0</v>
      </c>
      <c r="K567" t="n">
        <v>0</v>
      </c>
      <c r="L567" t="n">
        <v>0</v>
      </c>
      <c r="M567" t="n">
        <v>0</v>
      </c>
      <c r="N567" t="n">
        <v>0</v>
      </c>
      <c r="O567" t="n">
        <v>0</v>
      </c>
      <c r="P567" t="n">
        <v>0</v>
      </c>
      <c r="Q567" t="n">
        <v>0</v>
      </c>
      <c r="R567" s="2" t="inlineStr"/>
    </row>
    <row r="568" ht="15" customHeight="1">
      <c r="A568" t="inlineStr">
        <is>
          <t>A 71288-2021</t>
        </is>
      </c>
      <c r="B568" s="1" t="n">
        <v>44539.62481481482</v>
      </c>
      <c r="C568" s="1" t="n">
        <v>46037</v>
      </c>
      <c r="D568" t="inlineStr">
        <is>
          <t>ÖREBRO LÄN</t>
        </is>
      </c>
      <c r="E568" t="inlineStr">
        <is>
          <t>ÖREBRO</t>
        </is>
      </c>
      <c r="G568" t="n">
        <v>3.9</v>
      </c>
      <c r="H568" t="n">
        <v>0</v>
      </c>
      <c r="I568" t="n">
        <v>0</v>
      </c>
      <c r="J568" t="n">
        <v>0</v>
      </c>
      <c r="K568" t="n">
        <v>0</v>
      </c>
      <c r="L568" t="n">
        <v>0</v>
      </c>
      <c r="M568" t="n">
        <v>0</v>
      </c>
      <c r="N568" t="n">
        <v>0</v>
      </c>
      <c r="O568" t="n">
        <v>0</v>
      </c>
      <c r="P568" t="n">
        <v>0</v>
      </c>
      <c r="Q568" t="n">
        <v>0</v>
      </c>
      <c r="R568" s="2" t="inlineStr"/>
    </row>
    <row r="569" ht="15" customHeight="1">
      <c r="A569" t="inlineStr">
        <is>
          <t>A 10830-2023</t>
        </is>
      </c>
      <c r="B569" s="1" t="n">
        <v>44990.89752314815</v>
      </c>
      <c r="C569" s="1" t="n">
        <v>46037</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7692-2023</t>
        </is>
      </c>
      <c r="B570" s="1" t="n">
        <v>44972.7762962963</v>
      </c>
      <c r="C570" s="1" t="n">
        <v>46037</v>
      </c>
      <c r="D570" t="inlineStr">
        <is>
          <t>ÖREBRO LÄN</t>
        </is>
      </c>
      <c r="E570" t="inlineStr">
        <is>
          <t>ÖREBRO</t>
        </is>
      </c>
      <c r="G570" t="n">
        <v>1.5</v>
      </c>
      <c r="H570" t="n">
        <v>0</v>
      </c>
      <c r="I570" t="n">
        <v>0</v>
      </c>
      <c r="J570" t="n">
        <v>0</v>
      </c>
      <c r="K570" t="n">
        <v>0</v>
      </c>
      <c r="L570" t="n">
        <v>0</v>
      </c>
      <c r="M570" t="n">
        <v>0</v>
      </c>
      <c r="N570" t="n">
        <v>0</v>
      </c>
      <c r="O570" t="n">
        <v>0</v>
      </c>
      <c r="P570" t="n">
        <v>0</v>
      </c>
      <c r="Q570" t="n">
        <v>0</v>
      </c>
      <c r="R570" s="2" t="inlineStr"/>
    </row>
    <row r="571" ht="15" customHeight="1">
      <c r="A571" t="inlineStr">
        <is>
          <t>A 31240-2023</t>
        </is>
      </c>
      <c r="B571" s="1" t="n">
        <v>45114</v>
      </c>
      <c r="C571" s="1" t="n">
        <v>46037</v>
      </c>
      <c r="D571" t="inlineStr">
        <is>
          <t>ÖREBRO LÄN</t>
        </is>
      </c>
      <c r="E571" t="inlineStr">
        <is>
          <t>ÖREBRO</t>
        </is>
      </c>
      <c r="F571" t="inlineStr">
        <is>
          <t>Allmännings- och besparingsskogar</t>
        </is>
      </c>
      <c r="G571" t="n">
        <v>6.2</v>
      </c>
      <c r="H571" t="n">
        <v>0</v>
      </c>
      <c r="I571" t="n">
        <v>0</v>
      </c>
      <c r="J571" t="n">
        <v>0</v>
      </c>
      <c r="K571" t="n">
        <v>0</v>
      </c>
      <c r="L571" t="n">
        <v>0</v>
      </c>
      <c r="M571" t="n">
        <v>0</v>
      </c>
      <c r="N571" t="n">
        <v>0</v>
      </c>
      <c r="O571" t="n">
        <v>0</v>
      </c>
      <c r="P571" t="n">
        <v>0</v>
      </c>
      <c r="Q571" t="n">
        <v>0</v>
      </c>
      <c r="R571" s="2" t="inlineStr"/>
    </row>
    <row r="572" ht="15" customHeight="1">
      <c r="A572" t="inlineStr">
        <is>
          <t>A 50026-2024</t>
        </is>
      </c>
      <c r="B572" s="1" t="n">
        <v>45599.60541666667</v>
      </c>
      <c r="C572" s="1" t="n">
        <v>46037</v>
      </c>
      <c r="D572" t="inlineStr">
        <is>
          <t>ÖREBRO LÄN</t>
        </is>
      </c>
      <c r="E572" t="inlineStr">
        <is>
          <t>ÖREBRO</t>
        </is>
      </c>
      <c r="G572" t="n">
        <v>2.2</v>
      </c>
      <c r="H572" t="n">
        <v>0</v>
      </c>
      <c r="I572" t="n">
        <v>0</v>
      </c>
      <c r="J572" t="n">
        <v>0</v>
      </c>
      <c r="K572" t="n">
        <v>0</v>
      </c>
      <c r="L572" t="n">
        <v>0</v>
      </c>
      <c r="M572" t="n">
        <v>0</v>
      </c>
      <c r="N572" t="n">
        <v>0</v>
      </c>
      <c r="O572" t="n">
        <v>0</v>
      </c>
      <c r="P572" t="n">
        <v>0</v>
      </c>
      <c r="Q572" t="n">
        <v>0</v>
      </c>
      <c r="R572" s="2" t="inlineStr"/>
    </row>
    <row r="573" ht="15" customHeight="1">
      <c r="A573" t="inlineStr">
        <is>
          <t>A 18449-2023</t>
        </is>
      </c>
      <c r="B573" s="1" t="n">
        <v>45042.5203125</v>
      </c>
      <c r="C573" s="1" t="n">
        <v>46037</v>
      </c>
      <c r="D573" t="inlineStr">
        <is>
          <t>ÖREBRO LÄN</t>
        </is>
      </c>
      <c r="E573" t="inlineStr">
        <is>
          <t>ÖREBRO</t>
        </is>
      </c>
      <c r="G573" t="n">
        <v>1.5</v>
      </c>
      <c r="H573" t="n">
        <v>0</v>
      </c>
      <c r="I573" t="n">
        <v>0</v>
      </c>
      <c r="J573" t="n">
        <v>0</v>
      </c>
      <c r="K573" t="n">
        <v>0</v>
      </c>
      <c r="L573" t="n">
        <v>0</v>
      </c>
      <c r="M573" t="n">
        <v>0</v>
      </c>
      <c r="N573" t="n">
        <v>0</v>
      </c>
      <c r="O573" t="n">
        <v>0</v>
      </c>
      <c r="P573" t="n">
        <v>0</v>
      </c>
      <c r="Q573" t="n">
        <v>0</v>
      </c>
      <c r="R573" s="2" t="inlineStr"/>
    </row>
    <row r="574" ht="15" customHeight="1">
      <c r="A574" t="inlineStr">
        <is>
          <t>A 16936-2023</t>
        </is>
      </c>
      <c r="B574" s="1" t="n">
        <v>45033.63005787037</v>
      </c>
      <c r="C574" s="1" t="n">
        <v>46037</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58145-2024</t>
        </is>
      </c>
      <c r="B575" s="1" t="n">
        <v>45632.43230324074</v>
      </c>
      <c r="C575" s="1" t="n">
        <v>46037</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64730-2023</t>
        </is>
      </c>
      <c r="B576" s="1" t="n">
        <v>45281</v>
      </c>
      <c r="C576" s="1" t="n">
        <v>46037</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44284-2022</t>
        </is>
      </c>
      <c r="B577" s="1" t="n">
        <v>44839.59194444444</v>
      </c>
      <c r="C577" s="1" t="n">
        <v>46037</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14544-2023</t>
        </is>
      </c>
      <c r="B578" s="1" t="n">
        <v>45013</v>
      </c>
      <c r="C578" s="1" t="n">
        <v>46037</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15682-2023</t>
        </is>
      </c>
      <c r="B579" s="1" t="n">
        <v>45021</v>
      </c>
      <c r="C579" s="1" t="n">
        <v>46037</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4416-2023</t>
        </is>
      </c>
      <c r="B580" s="1" t="n">
        <v>44956</v>
      </c>
      <c r="C580" s="1" t="n">
        <v>46037</v>
      </c>
      <c r="D580" t="inlineStr">
        <is>
          <t>ÖREBRO LÄN</t>
        </is>
      </c>
      <c r="E580" t="inlineStr">
        <is>
          <t>ÖREBRO</t>
        </is>
      </c>
      <c r="G580" t="n">
        <v>0.7</v>
      </c>
      <c r="H580" t="n">
        <v>0</v>
      </c>
      <c r="I580" t="n">
        <v>0</v>
      </c>
      <c r="J580" t="n">
        <v>0</v>
      </c>
      <c r="K580" t="n">
        <v>0</v>
      </c>
      <c r="L580" t="n">
        <v>0</v>
      </c>
      <c r="M580" t="n">
        <v>0</v>
      </c>
      <c r="N580" t="n">
        <v>0</v>
      </c>
      <c r="O580" t="n">
        <v>0</v>
      </c>
      <c r="P580" t="n">
        <v>0</v>
      </c>
      <c r="Q580" t="n">
        <v>0</v>
      </c>
      <c r="R580" s="2" t="inlineStr"/>
    </row>
    <row r="581" ht="15" customHeight="1">
      <c r="A581" t="inlineStr">
        <is>
          <t>A 49062-2023</t>
        </is>
      </c>
      <c r="B581" s="1" t="n">
        <v>45210.35119212963</v>
      </c>
      <c r="C581" s="1" t="n">
        <v>46037</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32321-2023</t>
        </is>
      </c>
      <c r="B582" s="1" t="n">
        <v>45120</v>
      </c>
      <c r="C582" s="1" t="n">
        <v>46037</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2095-2025</t>
        </is>
      </c>
      <c r="B583" s="1" t="n">
        <v>45672</v>
      </c>
      <c r="C583" s="1" t="n">
        <v>46037</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71275-2021</t>
        </is>
      </c>
      <c r="B584" s="1" t="n">
        <v>44539</v>
      </c>
      <c r="C584" s="1" t="n">
        <v>46037</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58608-2024</t>
        </is>
      </c>
      <c r="B585" s="1" t="n">
        <v>45635.55185185185</v>
      </c>
      <c r="C585" s="1" t="n">
        <v>46037</v>
      </c>
      <c r="D585" t="inlineStr">
        <is>
          <t>ÖREBRO LÄN</t>
        </is>
      </c>
      <c r="E585" t="inlineStr">
        <is>
          <t>ÖREBRO</t>
        </is>
      </c>
      <c r="F585" t="inlineStr">
        <is>
          <t>Sveaskog</t>
        </is>
      </c>
      <c r="G585" t="n">
        <v>0.3</v>
      </c>
      <c r="H585" t="n">
        <v>0</v>
      </c>
      <c r="I585" t="n">
        <v>0</v>
      </c>
      <c r="J585" t="n">
        <v>0</v>
      </c>
      <c r="K585" t="n">
        <v>0</v>
      </c>
      <c r="L585" t="n">
        <v>0</v>
      </c>
      <c r="M585" t="n">
        <v>0</v>
      </c>
      <c r="N585" t="n">
        <v>0</v>
      </c>
      <c r="O585" t="n">
        <v>0</v>
      </c>
      <c r="P585" t="n">
        <v>0</v>
      </c>
      <c r="Q585" t="n">
        <v>0</v>
      </c>
      <c r="R585" s="2" t="inlineStr"/>
    </row>
    <row r="586" ht="15" customHeight="1">
      <c r="A586" t="inlineStr">
        <is>
          <t>A 2153-2023</t>
        </is>
      </c>
      <c r="B586" s="1" t="n">
        <v>44941</v>
      </c>
      <c r="C586" s="1" t="n">
        <v>46037</v>
      </c>
      <c r="D586" t="inlineStr">
        <is>
          <t>ÖREBRO LÄN</t>
        </is>
      </c>
      <c r="E586" t="inlineStr">
        <is>
          <t>ÖREBRO</t>
        </is>
      </c>
      <c r="G586" t="n">
        <v>6.3</v>
      </c>
      <c r="H586" t="n">
        <v>0</v>
      </c>
      <c r="I586" t="n">
        <v>0</v>
      </c>
      <c r="J586" t="n">
        <v>0</v>
      </c>
      <c r="K586" t="n">
        <v>0</v>
      </c>
      <c r="L586" t="n">
        <v>0</v>
      </c>
      <c r="M586" t="n">
        <v>0</v>
      </c>
      <c r="N586" t="n">
        <v>0</v>
      </c>
      <c r="O586" t="n">
        <v>0</v>
      </c>
      <c r="P586" t="n">
        <v>0</v>
      </c>
      <c r="Q586" t="n">
        <v>0</v>
      </c>
      <c r="R586" s="2" t="inlineStr"/>
    </row>
    <row r="587" ht="15" customHeight="1">
      <c r="A587" t="inlineStr">
        <is>
          <t>A 2069-2025</t>
        </is>
      </c>
      <c r="B587" s="1" t="n">
        <v>45672.56614583333</v>
      </c>
      <c r="C587" s="1" t="n">
        <v>46037</v>
      </c>
      <c r="D587" t="inlineStr">
        <is>
          <t>ÖREBRO LÄN</t>
        </is>
      </c>
      <c r="E587" t="inlineStr">
        <is>
          <t>ÖREBRO</t>
        </is>
      </c>
      <c r="G587" t="n">
        <v>3.8</v>
      </c>
      <c r="H587" t="n">
        <v>0</v>
      </c>
      <c r="I587" t="n">
        <v>0</v>
      </c>
      <c r="J587" t="n">
        <v>0</v>
      </c>
      <c r="K587" t="n">
        <v>0</v>
      </c>
      <c r="L587" t="n">
        <v>0</v>
      </c>
      <c r="M587" t="n">
        <v>0</v>
      </c>
      <c r="N587" t="n">
        <v>0</v>
      </c>
      <c r="O587" t="n">
        <v>0</v>
      </c>
      <c r="P587" t="n">
        <v>0</v>
      </c>
      <c r="Q587" t="n">
        <v>0</v>
      </c>
      <c r="R587" s="2" t="inlineStr"/>
    </row>
    <row r="588" ht="15" customHeight="1">
      <c r="A588" t="inlineStr">
        <is>
          <t>A 852-2025</t>
        </is>
      </c>
      <c r="B588" s="1" t="n">
        <v>45665.60148148148</v>
      </c>
      <c r="C588" s="1" t="n">
        <v>46037</v>
      </c>
      <c r="D588" t="inlineStr">
        <is>
          <t>ÖREBRO LÄN</t>
        </is>
      </c>
      <c r="E588" t="inlineStr">
        <is>
          <t>ÖREBRO</t>
        </is>
      </c>
      <c r="G588" t="n">
        <v>2.9</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46037</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52441-2024</t>
        </is>
      </c>
      <c r="B590" s="1" t="n">
        <v>45609.48451388889</v>
      </c>
      <c r="C590" s="1" t="n">
        <v>46037</v>
      </c>
      <c r="D590" t="inlineStr">
        <is>
          <t>ÖREBRO LÄN</t>
        </is>
      </c>
      <c r="E590" t="inlineStr">
        <is>
          <t>ÖREBRO</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52499-2024</t>
        </is>
      </c>
      <c r="B591" s="1" t="n">
        <v>45609.58422453704</v>
      </c>
      <c r="C591" s="1" t="n">
        <v>46037</v>
      </c>
      <c r="D591" t="inlineStr">
        <is>
          <t>ÖREBRO LÄN</t>
        </is>
      </c>
      <c r="E591" t="inlineStr">
        <is>
          <t>ÖREBRO</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8008-2024</t>
        </is>
      </c>
      <c r="B592" s="1" t="n">
        <v>45350.6794212963</v>
      </c>
      <c r="C592" s="1" t="n">
        <v>46037</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18181-2024</t>
        </is>
      </c>
      <c r="B593" s="1" t="n">
        <v>45420.64561342593</v>
      </c>
      <c r="C593" s="1" t="n">
        <v>46037</v>
      </c>
      <c r="D593" t="inlineStr">
        <is>
          <t>ÖREBRO LÄN</t>
        </is>
      </c>
      <c r="E593" t="inlineStr">
        <is>
          <t>ÖREBRO</t>
        </is>
      </c>
      <c r="G593" t="n">
        <v>7.6</v>
      </c>
      <c r="H593" t="n">
        <v>0</v>
      </c>
      <c r="I593" t="n">
        <v>0</v>
      </c>
      <c r="J593" t="n">
        <v>0</v>
      </c>
      <c r="K593" t="n">
        <v>0</v>
      </c>
      <c r="L593" t="n">
        <v>0</v>
      </c>
      <c r="M593" t="n">
        <v>0</v>
      </c>
      <c r="N593" t="n">
        <v>0</v>
      </c>
      <c r="O593" t="n">
        <v>0</v>
      </c>
      <c r="P593" t="n">
        <v>0</v>
      </c>
      <c r="Q593" t="n">
        <v>0</v>
      </c>
      <c r="R593" s="2" t="inlineStr"/>
    </row>
    <row r="594" ht="15" customHeight="1">
      <c r="A594" t="inlineStr">
        <is>
          <t>A 38415-2023</t>
        </is>
      </c>
      <c r="B594" s="1" t="n">
        <v>45162.35502314815</v>
      </c>
      <c r="C594" s="1" t="n">
        <v>46037</v>
      </c>
      <c r="D594" t="inlineStr">
        <is>
          <t>ÖREBRO LÄN</t>
        </is>
      </c>
      <c r="E594" t="inlineStr">
        <is>
          <t>ÖREBRO</t>
        </is>
      </c>
      <c r="G594" t="n">
        <v>2.6</v>
      </c>
      <c r="H594" t="n">
        <v>0</v>
      </c>
      <c r="I594" t="n">
        <v>0</v>
      </c>
      <c r="J594" t="n">
        <v>0</v>
      </c>
      <c r="K594" t="n">
        <v>0</v>
      </c>
      <c r="L594" t="n">
        <v>0</v>
      </c>
      <c r="M594" t="n">
        <v>0</v>
      </c>
      <c r="N594" t="n">
        <v>0</v>
      </c>
      <c r="O594" t="n">
        <v>0</v>
      </c>
      <c r="P594" t="n">
        <v>0</v>
      </c>
      <c r="Q594" t="n">
        <v>0</v>
      </c>
      <c r="R594" s="2" t="inlineStr"/>
    </row>
    <row r="595" ht="15" customHeight="1">
      <c r="A595" t="inlineStr">
        <is>
          <t>A 16374-2022</t>
        </is>
      </c>
      <c r="B595" s="1" t="n">
        <v>44671</v>
      </c>
      <c r="C595" s="1" t="n">
        <v>46037</v>
      </c>
      <c r="D595" t="inlineStr">
        <is>
          <t>ÖREBRO LÄN</t>
        </is>
      </c>
      <c r="E595" t="inlineStr">
        <is>
          <t>ÖREBRO</t>
        </is>
      </c>
      <c r="F595" t="inlineStr">
        <is>
          <t>Övriga Aktiebolag</t>
        </is>
      </c>
      <c r="G595" t="n">
        <v>30.3</v>
      </c>
      <c r="H595" t="n">
        <v>0</v>
      </c>
      <c r="I595" t="n">
        <v>0</v>
      </c>
      <c r="J595" t="n">
        <v>0</v>
      </c>
      <c r="K595" t="n">
        <v>0</v>
      </c>
      <c r="L595" t="n">
        <v>0</v>
      </c>
      <c r="M595" t="n">
        <v>0</v>
      </c>
      <c r="N595" t="n">
        <v>0</v>
      </c>
      <c r="O595" t="n">
        <v>0</v>
      </c>
      <c r="P595" t="n">
        <v>0</v>
      </c>
      <c r="Q595" t="n">
        <v>0</v>
      </c>
      <c r="R595" s="2" t="inlineStr"/>
    </row>
    <row r="596" ht="15" customHeight="1">
      <c r="A596" t="inlineStr">
        <is>
          <t>A 9704-2023</t>
        </is>
      </c>
      <c r="B596" s="1" t="n">
        <v>44984</v>
      </c>
      <c r="C596" s="1" t="n">
        <v>46037</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19180-2025</t>
        </is>
      </c>
      <c r="B597" s="1" t="n">
        <v>45769.40133101852</v>
      </c>
      <c r="C597" s="1" t="n">
        <v>46037</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46052-2024</t>
        </is>
      </c>
      <c r="B598" s="1" t="n">
        <v>45580.89116898148</v>
      </c>
      <c r="C598" s="1" t="n">
        <v>46037</v>
      </c>
      <c r="D598" t="inlineStr">
        <is>
          <t>ÖREBRO LÄN</t>
        </is>
      </c>
      <c r="E598" t="inlineStr">
        <is>
          <t>ÖREBRO</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58527-2024</t>
        </is>
      </c>
      <c r="B599" s="1" t="n">
        <v>45635.44388888889</v>
      </c>
      <c r="C599" s="1" t="n">
        <v>46037</v>
      </c>
      <c r="D599" t="inlineStr">
        <is>
          <t>ÖREBRO LÄN</t>
        </is>
      </c>
      <c r="E599" t="inlineStr">
        <is>
          <t>ÖREBRO</t>
        </is>
      </c>
      <c r="F599" t="inlineStr">
        <is>
          <t>Sveaskog</t>
        </is>
      </c>
      <c r="G599" t="n">
        <v>6.4</v>
      </c>
      <c r="H599" t="n">
        <v>0</v>
      </c>
      <c r="I599" t="n">
        <v>0</v>
      </c>
      <c r="J599" t="n">
        <v>0</v>
      </c>
      <c r="K599" t="n">
        <v>0</v>
      </c>
      <c r="L599" t="n">
        <v>0</v>
      </c>
      <c r="M599" t="n">
        <v>0</v>
      </c>
      <c r="N599" t="n">
        <v>0</v>
      </c>
      <c r="O599" t="n">
        <v>0</v>
      </c>
      <c r="P599" t="n">
        <v>0</v>
      </c>
      <c r="Q599" t="n">
        <v>0</v>
      </c>
      <c r="R599" s="2" t="inlineStr"/>
    </row>
    <row r="600" ht="15" customHeight="1">
      <c r="A600" t="inlineStr">
        <is>
          <t>A 37022-2024</t>
        </is>
      </c>
      <c r="B600" s="1" t="n">
        <v>45539.3822337963</v>
      </c>
      <c r="C600" s="1" t="n">
        <v>46037</v>
      </c>
      <c r="D600" t="inlineStr">
        <is>
          <t>ÖREBRO LÄN</t>
        </is>
      </c>
      <c r="E600" t="inlineStr">
        <is>
          <t>ÖREBRO</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37024-2024</t>
        </is>
      </c>
      <c r="B601" s="1" t="n">
        <v>45539.38329861111</v>
      </c>
      <c r="C601" s="1" t="n">
        <v>46037</v>
      </c>
      <c r="D601" t="inlineStr">
        <is>
          <t>ÖREBRO LÄN</t>
        </is>
      </c>
      <c r="E601" t="inlineStr">
        <is>
          <t>ÖREBRO</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38075-2022</t>
        </is>
      </c>
      <c r="B602" s="1" t="n">
        <v>44811</v>
      </c>
      <c r="C602" s="1" t="n">
        <v>46037</v>
      </c>
      <c r="D602" t="inlineStr">
        <is>
          <t>ÖREBRO LÄN</t>
        </is>
      </c>
      <c r="E602" t="inlineStr">
        <is>
          <t>ÖREBRO</t>
        </is>
      </c>
      <c r="G602" t="n">
        <v>0.2</v>
      </c>
      <c r="H602" t="n">
        <v>0</v>
      </c>
      <c r="I602" t="n">
        <v>0</v>
      </c>
      <c r="J602" t="n">
        <v>0</v>
      </c>
      <c r="K602" t="n">
        <v>0</v>
      </c>
      <c r="L602" t="n">
        <v>0</v>
      </c>
      <c r="M602" t="n">
        <v>0</v>
      </c>
      <c r="N602" t="n">
        <v>0</v>
      </c>
      <c r="O602" t="n">
        <v>0</v>
      </c>
      <c r="P602" t="n">
        <v>0</v>
      </c>
      <c r="Q602" t="n">
        <v>0</v>
      </c>
      <c r="R602" s="2" t="inlineStr"/>
    </row>
    <row r="603" ht="15" customHeight="1">
      <c r="A603" t="inlineStr">
        <is>
          <t>A 11382-2023</t>
        </is>
      </c>
      <c r="B603" s="1" t="n">
        <v>44993.45635416666</v>
      </c>
      <c r="C603" s="1" t="n">
        <v>46037</v>
      </c>
      <c r="D603" t="inlineStr">
        <is>
          <t>ÖREBRO LÄN</t>
        </is>
      </c>
      <c r="E603" t="inlineStr">
        <is>
          <t>ÖREBRO</t>
        </is>
      </c>
      <c r="G603" t="n">
        <v>3.3</v>
      </c>
      <c r="H603" t="n">
        <v>0</v>
      </c>
      <c r="I603" t="n">
        <v>0</v>
      </c>
      <c r="J603" t="n">
        <v>0</v>
      </c>
      <c r="K603" t="n">
        <v>0</v>
      </c>
      <c r="L603" t="n">
        <v>0</v>
      </c>
      <c r="M603" t="n">
        <v>0</v>
      </c>
      <c r="N603" t="n">
        <v>0</v>
      </c>
      <c r="O603" t="n">
        <v>0</v>
      </c>
      <c r="P603" t="n">
        <v>0</v>
      </c>
      <c r="Q603" t="n">
        <v>0</v>
      </c>
      <c r="R603" s="2" t="inlineStr"/>
    </row>
    <row r="604" ht="15" customHeight="1">
      <c r="A604" t="inlineStr">
        <is>
          <t>A 20121-2024</t>
        </is>
      </c>
      <c r="B604" s="1" t="n">
        <v>45434</v>
      </c>
      <c r="C604" s="1" t="n">
        <v>46037</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26117-2021</t>
        </is>
      </c>
      <c r="B605" s="1" t="n">
        <v>44345</v>
      </c>
      <c r="C605" s="1" t="n">
        <v>46037</v>
      </c>
      <c r="D605" t="inlineStr">
        <is>
          <t>ÖREBRO LÄN</t>
        </is>
      </c>
      <c r="E605" t="inlineStr">
        <is>
          <t>ÖREBRO</t>
        </is>
      </c>
      <c r="G605" t="n">
        <v>8.1</v>
      </c>
      <c r="H605" t="n">
        <v>0</v>
      </c>
      <c r="I605" t="n">
        <v>0</v>
      </c>
      <c r="J605" t="n">
        <v>0</v>
      </c>
      <c r="K605" t="n">
        <v>0</v>
      </c>
      <c r="L605" t="n">
        <v>0</v>
      </c>
      <c r="M605" t="n">
        <v>0</v>
      </c>
      <c r="N605" t="n">
        <v>0</v>
      </c>
      <c r="O605" t="n">
        <v>0</v>
      </c>
      <c r="P605" t="n">
        <v>0</v>
      </c>
      <c r="Q605" t="n">
        <v>0</v>
      </c>
      <c r="R605" s="2" t="inlineStr"/>
    </row>
    <row r="606" ht="15" customHeight="1">
      <c r="A606" t="inlineStr">
        <is>
          <t>A 55943-2024</t>
        </is>
      </c>
      <c r="B606" s="1" t="n">
        <v>45623.61278935185</v>
      </c>
      <c r="C606" s="1" t="n">
        <v>46037</v>
      </c>
      <c r="D606" t="inlineStr">
        <is>
          <t>ÖREBRO LÄN</t>
        </is>
      </c>
      <c r="E606" t="inlineStr">
        <is>
          <t>ÖREBRO</t>
        </is>
      </c>
      <c r="G606" t="n">
        <v>4.8</v>
      </c>
      <c r="H606" t="n">
        <v>0</v>
      </c>
      <c r="I606" t="n">
        <v>0</v>
      </c>
      <c r="J606" t="n">
        <v>0</v>
      </c>
      <c r="K606" t="n">
        <v>0</v>
      </c>
      <c r="L606" t="n">
        <v>0</v>
      </c>
      <c r="M606" t="n">
        <v>0</v>
      </c>
      <c r="N606" t="n">
        <v>0</v>
      </c>
      <c r="O606" t="n">
        <v>0</v>
      </c>
      <c r="P606" t="n">
        <v>0</v>
      </c>
      <c r="Q606" t="n">
        <v>0</v>
      </c>
      <c r="R606" s="2" t="inlineStr"/>
    </row>
    <row r="607" ht="15" customHeight="1">
      <c r="A607" t="inlineStr">
        <is>
          <t>A 1013-2024</t>
        </is>
      </c>
      <c r="B607" s="1" t="n">
        <v>45301</v>
      </c>
      <c r="C607" s="1" t="n">
        <v>46037</v>
      </c>
      <c r="D607" t="inlineStr">
        <is>
          <t>ÖREBRO LÄN</t>
        </is>
      </c>
      <c r="E607" t="inlineStr">
        <is>
          <t>ÖREBRO</t>
        </is>
      </c>
      <c r="G607" t="n">
        <v>2.6</v>
      </c>
      <c r="H607" t="n">
        <v>0</v>
      </c>
      <c r="I607" t="n">
        <v>0</v>
      </c>
      <c r="J607" t="n">
        <v>0</v>
      </c>
      <c r="K607" t="n">
        <v>0</v>
      </c>
      <c r="L607" t="n">
        <v>0</v>
      </c>
      <c r="M607" t="n">
        <v>0</v>
      </c>
      <c r="N607" t="n">
        <v>0</v>
      </c>
      <c r="O607" t="n">
        <v>0</v>
      </c>
      <c r="P607" t="n">
        <v>0</v>
      </c>
      <c r="Q607" t="n">
        <v>0</v>
      </c>
      <c r="R607" s="2" t="inlineStr"/>
    </row>
    <row r="608" ht="15" customHeight="1">
      <c r="A608" t="inlineStr">
        <is>
          <t>A 13623-2024</t>
        </is>
      </c>
      <c r="B608" s="1" t="n">
        <v>45390.38626157407</v>
      </c>
      <c r="C608" s="1" t="n">
        <v>46037</v>
      </c>
      <c r="D608" t="inlineStr">
        <is>
          <t>ÖREBRO LÄN</t>
        </is>
      </c>
      <c r="E608" t="inlineStr">
        <is>
          <t>ÖREBRO</t>
        </is>
      </c>
      <c r="G608" t="n">
        <v>1.1</v>
      </c>
      <c r="H608" t="n">
        <v>0</v>
      </c>
      <c r="I608" t="n">
        <v>0</v>
      </c>
      <c r="J608" t="n">
        <v>0</v>
      </c>
      <c r="K608" t="n">
        <v>0</v>
      </c>
      <c r="L608" t="n">
        <v>0</v>
      </c>
      <c r="M608" t="n">
        <v>0</v>
      </c>
      <c r="N608" t="n">
        <v>0</v>
      </c>
      <c r="O608" t="n">
        <v>0</v>
      </c>
      <c r="P608" t="n">
        <v>0</v>
      </c>
      <c r="Q608" t="n">
        <v>0</v>
      </c>
      <c r="R608" s="2" t="inlineStr"/>
    </row>
    <row r="609" ht="15" customHeight="1">
      <c r="A609" t="inlineStr">
        <is>
          <t>A 5330-2024</t>
        </is>
      </c>
      <c r="B609" s="1" t="n">
        <v>45331.4187962963</v>
      </c>
      <c r="C609" s="1" t="n">
        <v>46037</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6794-2025</t>
        </is>
      </c>
      <c r="B610" s="1" t="n">
        <v>45700.66429398148</v>
      </c>
      <c r="C610" s="1" t="n">
        <v>46037</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3-2024</t>
        </is>
      </c>
      <c r="B611" s="1" t="n">
        <v>45292</v>
      </c>
      <c r="C611" s="1" t="n">
        <v>46037</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46037</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5578-2024</t>
        </is>
      </c>
      <c r="B613" s="1" t="n">
        <v>45334.49104166667</v>
      </c>
      <c r="C613" s="1" t="n">
        <v>46037</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37786-2024</t>
        </is>
      </c>
      <c r="B614" s="1" t="n">
        <v>45542.82987268519</v>
      </c>
      <c r="C614" s="1" t="n">
        <v>46037</v>
      </c>
      <c r="D614" t="inlineStr">
        <is>
          <t>ÖREBRO LÄN</t>
        </is>
      </c>
      <c r="E614" t="inlineStr">
        <is>
          <t>ÖREBRO</t>
        </is>
      </c>
      <c r="G614" t="n">
        <v>3.1</v>
      </c>
      <c r="H614" t="n">
        <v>0</v>
      </c>
      <c r="I614" t="n">
        <v>0</v>
      </c>
      <c r="J614" t="n">
        <v>0</v>
      </c>
      <c r="K614" t="n">
        <v>0</v>
      </c>
      <c r="L614" t="n">
        <v>0</v>
      </c>
      <c r="M614" t="n">
        <v>0</v>
      </c>
      <c r="N614" t="n">
        <v>0</v>
      </c>
      <c r="O614" t="n">
        <v>0</v>
      </c>
      <c r="P614" t="n">
        <v>0</v>
      </c>
      <c r="Q614" t="n">
        <v>0</v>
      </c>
      <c r="R614" s="2" t="inlineStr"/>
    </row>
    <row r="615" ht="15" customHeight="1">
      <c r="A615" t="inlineStr">
        <is>
          <t>A 58615-2024</t>
        </is>
      </c>
      <c r="B615" s="1" t="n">
        <v>45635.5587037037</v>
      </c>
      <c r="C615" s="1" t="n">
        <v>46037</v>
      </c>
      <c r="D615" t="inlineStr">
        <is>
          <t>ÖREBRO LÄN</t>
        </is>
      </c>
      <c r="E615" t="inlineStr">
        <is>
          <t>ÖREBRO</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45517-2023</t>
        </is>
      </c>
      <c r="B616" s="1" t="n">
        <v>45194.49594907407</v>
      </c>
      <c r="C616" s="1" t="n">
        <v>46037</v>
      </c>
      <c r="D616" t="inlineStr">
        <is>
          <t>ÖREBRO LÄN</t>
        </is>
      </c>
      <c r="E616" t="inlineStr">
        <is>
          <t>ÖREBRO</t>
        </is>
      </c>
      <c r="G616" t="n">
        <v>1.8</v>
      </c>
      <c r="H616" t="n">
        <v>0</v>
      </c>
      <c r="I616" t="n">
        <v>0</v>
      </c>
      <c r="J616" t="n">
        <v>0</v>
      </c>
      <c r="K616" t="n">
        <v>0</v>
      </c>
      <c r="L616" t="n">
        <v>0</v>
      </c>
      <c r="M616" t="n">
        <v>0</v>
      </c>
      <c r="N616" t="n">
        <v>0</v>
      </c>
      <c r="O616" t="n">
        <v>0</v>
      </c>
      <c r="P616" t="n">
        <v>0</v>
      </c>
      <c r="Q616" t="n">
        <v>0</v>
      </c>
      <c r="R616" s="2" t="inlineStr"/>
    </row>
    <row r="617" ht="15" customHeight="1">
      <c r="A617" t="inlineStr">
        <is>
          <t>A 3652-2022</t>
        </is>
      </c>
      <c r="B617" s="1" t="n">
        <v>44586.46921296296</v>
      </c>
      <c r="C617" s="1" t="n">
        <v>46037</v>
      </c>
      <c r="D617" t="inlineStr">
        <is>
          <t>ÖREBRO LÄN</t>
        </is>
      </c>
      <c r="E617" t="inlineStr">
        <is>
          <t>ÖREBRO</t>
        </is>
      </c>
      <c r="G617" t="n">
        <v>1.6</v>
      </c>
      <c r="H617" t="n">
        <v>0</v>
      </c>
      <c r="I617" t="n">
        <v>0</v>
      </c>
      <c r="J617" t="n">
        <v>0</v>
      </c>
      <c r="K617" t="n">
        <v>0</v>
      </c>
      <c r="L617" t="n">
        <v>0</v>
      </c>
      <c r="M617" t="n">
        <v>0</v>
      </c>
      <c r="N617" t="n">
        <v>0</v>
      </c>
      <c r="O617" t="n">
        <v>0</v>
      </c>
      <c r="P617" t="n">
        <v>0</v>
      </c>
      <c r="Q617" t="n">
        <v>0</v>
      </c>
      <c r="R617" s="2" t="inlineStr"/>
    </row>
    <row r="618" ht="15" customHeight="1">
      <c r="A618" t="inlineStr">
        <is>
          <t>A 25407-2021</t>
        </is>
      </c>
      <c r="B618" s="1" t="n">
        <v>44342</v>
      </c>
      <c r="C618" s="1" t="n">
        <v>46037</v>
      </c>
      <c r="D618" t="inlineStr">
        <is>
          <t>ÖREBRO LÄN</t>
        </is>
      </c>
      <c r="E618" t="inlineStr">
        <is>
          <t>ÖREBRO</t>
        </is>
      </c>
      <c r="F618" t="inlineStr">
        <is>
          <t>Kommuner</t>
        </is>
      </c>
      <c r="G618" t="n">
        <v>7.2</v>
      </c>
      <c r="H618" t="n">
        <v>0</v>
      </c>
      <c r="I618" t="n">
        <v>0</v>
      </c>
      <c r="J618" t="n">
        <v>0</v>
      </c>
      <c r="K618" t="n">
        <v>0</v>
      </c>
      <c r="L618" t="n">
        <v>0</v>
      </c>
      <c r="M618" t="n">
        <v>0</v>
      </c>
      <c r="N618" t="n">
        <v>0</v>
      </c>
      <c r="O618" t="n">
        <v>0</v>
      </c>
      <c r="P618" t="n">
        <v>0</v>
      </c>
      <c r="Q618" t="n">
        <v>0</v>
      </c>
      <c r="R618" s="2" t="inlineStr"/>
    </row>
    <row r="619" ht="15" customHeight="1">
      <c r="A619" t="inlineStr">
        <is>
          <t>A 12245-2023</t>
        </is>
      </c>
      <c r="B619" s="1" t="n">
        <v>44998.64402777778</v>
      </c>
      <c r="C619" s="1" t="n">
        <v>46037</v>
      </c>
      <c r="D619" t="inlineStr">
        <is>
          <t>ÖREBRO LÄN</t>
        </is>
      </c>
      <c r="E619" t="inlineStr">
        <is>
          <t>ÖREBRO</t>
        </is>
      </c>
      <c r="G619" t="n">
        <v>1.2</v>
      </c>
      <c r="H619" t="n">
        <v>0</v>
      </c>
      <c r="I619" t="n">
        <v>0</v>
      </c>
      <c r="J619" t="n">
        <v>0</v>
      </c>
      <c r="K619" t="n">
        <v>0</v>
      </c>
      <c r="L619" t="n">
        <v>0</v>
      </c>
      <c r="M619" t="n">
        <v>0</v>
      </c>
      <c r="N619" t="n">
        <v>0</v>
      </c>
      <c r="O619" t="n">
        <v>0</v>
      </c>
      <c r="P619" t="n">
        <v>0</v>
      </c>
      <c r="Q619" t="n">
        <v>0</v>
      </c>
      <c r="R619" s="2" t="inlineStr"/>
    </row>
    <row r="620" ht="15" customHeight="1">
      <c r="A620" t="inlineStr">
        <is>
          <t>A 7134-2025</t>
        </is>
      </c>
      <c r="B620" s="1" t="n">
        <v>45702</v>
      </c>
      <c r="C620" s="1" t="n">
        <v>46037</v>
      </c>
      <c r="D620" t="inlineStr">
        <is>
          <t>ÖREBRO LÄN</t>
        </is>
      </c>
      <c r="E620" t="inlineStr">
        <is>
          <t>ÖREBRO</t>
        </is>
      </c>
      <c r="F620" t="inlineStr">
        <is>
          <t>Övriga Aktiebolag</t>
        </is>
      </c>
      <c r="G620" t="n">
        <v>2.1</v>
      </c>
      <c r="H620" t="n">
        <v>0</v>
      </c>
      <c r="I620" t="n">
        <v>0</v>
      </c>
      <c r="J620" t="n">
        <v>0</v>
      </c>
      <c r="K620" t="n">
        <v>0</v>
      </c>
      <c r="L620" t="n">
        <v>0</v>
      </c>
      <c r="M620" t="n">
        <v>0</v>
      </c>
      <c r="N620" t="n">
        <v>0</v>
      </c>
      <c r="O620" t="n">
        <v>0</v>
      </c>
      <c r="P620" t="n">
        <v>0</v>
      </c>
      <c r="Q620" t="n">
        <v>0</v>
      </c>
      <c r="R620" s="2" t="inlineStr"/>
    </row>
    <row r="621" ht="15" customHeight="1">
      <c r="A621" t="inlineStr">
        <is>
          <t>A 60506-2024</t>
        </is>
      </c>
      <c r="B621" s="1" t="n">
        <v>45643.66630787037</v>
      </c>
      <c r="C621" s="1" t="n">
        <v>46037</v>
      </c>
      <c r="D621" t="inlineStr">
        <is>
          <t>ÖREBRO LÄN</t>
        </is>
      </c>
      <c r="E621" t="inlineStr">
        <is>
          <t>ÖREBRO</t>
        </is>
      </c>
      <c r="G621" t="n">
        <v>5.8</v>
      </c>
      <c r="H621" t="n">
        <v>0</v>
      </c>
      <c r="I621" t="n">
        <v>0</v>
      </c>
      <c r="J621" t="n">
        <v>0</v>
      </c>
      <c r="K621" t="n">
        <v>0</v>
      </c>
      <c r="L621" t="n">
        <v>0</v>
      </c>
      <c r="M621" t="n">
        <v>0</v>
      </c>
      <c r="N621" t="n">
        <v>0</v>
      </c>
      <c r="O621" t="n">
        <v>0</v>
      </c>
      <c r="P621" t="n">
        <v>0</v>
      </c>
      <c r="Q621" t="n">
        <v>0</v>
      </c>
      <c r="R621" s="2" t="inlineStr"/>
    </row>
    <row r="622" ht="15" customHeight="1">
      <c r="A622" t="inlineStr">
        <is>
          <t>A 29978-2024</t>
        </is>
      </c>
      <c r="B622" s="1" t="n">
        <v>45488.48340277778</v>
      </c>
      <c r="C622" s="1" t="n">
        <v>46037</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30903-2024</t>
        </is>
      </c>
      <c r="B623" s="1" t="n">
        <v>45498.49946759259</v>
      </c>
      <c r="C623" s="1" t="n">
        <v>46037</v>
      </c>
      <c r="D623" t="inlineStr">
        <is>
          <t>ÖREBRO LÄN</t>
        </is>
      </c>
      <c r="E623" t="inlineStr">
        <is>
          <t>ÖREBRO</t>
        </is>
      </c>
      <c r="G623" t="n">
        <v>1.1</v>
      </c>
      <c r="H623" t="n">
        <v>0</v>
      </c>
      <c r="I623" t="n">
        <v>0</v>
      </c>
      <c r="J623" t="n">
        <v>0</v>
      </c>
      <c r="K623" t="n">
        <v>0</v>
      </c>
      <c r="L623" t="n">
        <v>0</v>
      </c>
      <c r="M623" t="n">
        <v>0</v>
      </c>
      <c r="N623" t="n">
        <v>0</v>
      </c>
      <c r="O623" t="n">
        <v>0</v>
      </c>
      <c r="P623" t="n">
        <v>0</v>
      </c>
      <c r="Q623" t="n">
        <v>0</v>
      </c>
      <c r="R623" s="2" t="inlineStr"/>
    </row>
    <row r="624" ht="15" customHeight="1">
      <c r="A624" t="inlineStr">
        <is>
          <t>A 58611-2024</t>
        </is>
      </c>
      <c r="B624" s="1" t="n">
        <v>45635.55555555555</v>
      </c>
      <c r="C624" s="1" t="n">
        <v>46037</v>
      </c>
      <c r="D624" t="inlineStr">
        <is>
          <t>ÖREBRO LÄN</t>
        </is>
      </c>
      <c r="E624" t="inlineStr">
        <is>
          <t>ÖREBRO</t>
        </is>
      </c>
      <c r="F624" t="inlineStr">
        <is>
          <t>Sveaskog</t>
        </is>
      </c>
      <c r="G624" t="n">
        <v>0.3</v>
      </c>
      <c r="H624" t="n">
        <v>0</v>
      </c>
      <c r="I624" t="n">
        <v>0</v>
      </c>
      <c r="J624" t="n">
        <v>0</v>
      </c>
      <c r="K624" t="n">
        <v>0</v>
      </c>
      <c r="L624" t="n">
        <v>0</v>
      </c>
      <c r="M624" t="n">
        <v>0</v>
      </c>
      <c r="N624" t="n">
        <v>0</v>
      </c>
      <c r="O624" t="n">
        <v>0</v>
      </c>
      <c r="P624" t="n">
        <v>0</v>
      </c>
      <c r="Q624" t="n">
        <v>0</v>
      </c>
      <c r="R624" s="2" t="inlineStr"/>
    </row>
    <row r="625" ht="15" customHeight="1">
      <c r="A625" t="inlineStr">
        <is>
          <t>A 20146-2024</t>
        </is>
      </c>
      <c r="B625" s="1" t="n">
        <v>45434.57641203704</v>
      </c>
      <c r="C625" s="1" t="n">
        <v>46037</v>
      </c>
      <c r="D625" t="inlineStr">
        <is>
          <t>ÖREBRO LÄN</t>
        </is>
      </c>
      <c r="E625" t="inlineStr">
        <is>
          <t>ÖREBRO</t>
        </is>
      </c>
      <c r="G625" t="n">
        <v>0.5</v>
      </c>
      <c r="H625" t="n">
        <v>0</v>
      </c>
      <c r="I625" t="n">
        <v>0</v>
      </c>
      <c r="J625" t="n">
        <v>0</v>
      </c>
      <c r="K625" t="n">
        <v>0</v>
      </c>
      <c r="L625" t="n">
        <v>0</v>
      </c>
      <c r="M625" t="n">
        <v>0</v>
      </c>
      <c r="N625" t="n">
        <v>0</v>
      </c>
      <c r="O625" t="n">
        <v>0</v>
      </c>
      <c r="P625" t="n">
        <v>0</v>
      </c>
      <c r="Q625" t="n">
        <v>0</v>
      </c>
      <c r="R625" s="2" t="inlineStr"/>
    </row>
    <row r="626" ht="15" customHeight="1">
      <c r="A626" t="inlineStr">
        <is>
          <t>A 53143-2023</t>
        </is>
      </c>
      <c r="B626" s="1" t="n">
        <v>45229</v>
      </c>
      <c r="C626" s="1" t="n">
        <v>46037</v>
      </c>
      <c r="D626" t="inlineStr">
        <is>
          <t>ÖREBRO LÄN</t>
        </is>
      </c>
      <c r="E626" t="inlineStr">
        <is>
          <t>ÖREBRO</t>
        </is>
      </c>
      <c r="G626" t="n">
        <v>3.3</v>
      </c>
      <c r="H626" t="n">
        <v>0</v>
      </c>
      <c r="I626" t="n">
        <v>0</v>
      </c>
      <c r="J626" t="n">
        <v>0</v>
      </c>
      <c r="K626" t="n">
        <v>0</v>
      </c>
      <c r="L626" t="n">
        <v>0</v>
      </c>
      <c r="M626" t="n">
        <v>0</v>
      </c>
      <c r="N626" t="n">
        <v>0</v>
      </c>
      <c r="O626" t="n">
        <v>0</v>
      </c>
      <c r="P626" t="n">
        <v>0</v>
      </c>
      <c r="Q626" t="n">
        <v>0</v>
      </c>
      <c r="R626" s="2" t="inlineStr"/>
    </row>
    <row r="627" ht="15" customHeight="1">
      <c r="A627" t="inlineStr">
        <is>
          <t>A 8656-2025</t>
        </is>
      </c>
      <c r="B627" s="1" t="n">
        <v>45712.38268518518</v>
      </c>
      <c r="C627" s="1" t="n">
        <v>46037</v>
      </c>
      <c r="D627" t="inlineStr">
        <is>
          <t>ÖREBRO LÄN</t>
        </is>
      </c>
      <c r="E627" t="inlineStr">
        <is>
          <t>ÖREBRO</t>
        </is>
      </c>
      <c r="G627" t="n">
        <v>2.7</v>
      </c>
      <c r="H627" t="n">
        <v>0</v>
      </c>
      <c r="I627" t="n">
        <v>0</v>
      </c>
      <c r="J627" t="n">
        <v>0</v>
      </c>
      <c r="K627" t="n">
        <v>0</v>
      </c>
      <c r="L627" t="n">
        <v>0</v>
      </c>
      <c r="M627" t="n">
        <v>0</v>
      </c>
      <c r="N627" t="n">
        <v>0</v>
      </c>
      <c r="O627" t="n">
        <v>0</v>
      </c>
      <c r="P627" t="n">
        <v>0</v>
      </c>
      <c r="Q627" t="n">
        <v>0</v>
      </c>
      <c r="R627" s="2" t="inlineStr"/>
    </row>
    <row r="628" ht="15" customHeight="1">
      <c r="A628" t="inlineStr">
        <is>
          <t>A 5762-2025</t>
        </is>
      </c>
      <c r="B628" s="1" t="n">
        <v>45694.57181712963</v>
      </c>
      <c r="C628" s="1" t="n">
        <v>46037</v>
      </c>
      <c r="D628" t="inlineStr">
        <is>
          <t>ÖREBRO LÄN</t>
        </is>
      </c>
      <c r="E628" t="inlineStr">
        <is>
          <t>ÖREBRO</t>
        </is>
      </c>
      <c r="F628" t="inlineStr">
        <is>
          <t>Övriga Aktiebolag</t>
        </is>
      </c>
      <c r="G628" t="n">
        <v>1.5</v>
      </c>
      <c r="H628" t="n">
        <v>0</v>
      </c>
      <c r="I628" t="n">
        <v>0</v>
      </c>
      <c r="J628" t="n">
        <v>0</v>
      </c>
      <c r="K628" t="n">
        <v>0</v>
      </c>
      <c r="L628" t="n">
        <v>0</v>
      </c>
      <c r="M628" t="n">
        <v>0</v>
      </c>
      <c r="N628" t="n">
        <v>0</v>
      </c>
      <c r="O628" t="n">
        <v>0</v>
      </c>
      <c r="P628" t="n">
        <v>0</v>
      </c>
      <c r="Q628" t="n">
        <v>0</v>
      </c>
      <c r="R628" s="2" t="inlineStr"/>
    </row>
    <row r="629" ht="15" customHeight="1">
      <c r="A629" t="inlineStr">
        <is>
          <t>A 62794-2021</t>
        </is>
      </c>
      <c r="B629" s="1" t="n">
        <v>44504</v>
      </c>
      <c r="C629" s="1" t="n">
        <v>46037</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52612-2024</t>
        </is>
      </c>
      <c r="B630" s="1" t="n">
        <v>45609</v>
      </c>
      <c r="C630" s="1" t="n">
        <v>46037</v>
      </c>
      <c r="D630" t="inlineStr">
        <is>
          <t>ÖREBRO LÄN</t>
        </is>
      </c>
      <c r="E630" t="inlineStr">
        <is>
          <t>ÖREBRO</t>
        </is>
      </c>
      <c r="F630" t="inlineStr">
        <is>
          <t>Kommuner</t>
        </is>
      </c>
      <c r="G630" t="n">
        <v>5.5</v>
      </c>
      <c r="H630" t="n">
        <v>0</v>
      </c>
      <c r="I630" t="n">
        <v>0</v>
      </c>
      <c r="J630" t="n">
        <v>0</v>
      </c>
      <c r="K630" t="n">
        <v>0</v>
      </c>
      <c r="L630" t="n">
        <v>0</v>
      </c>
      <c r="M630" t="n">
        <v>0</v>
      </c>
      <c r="N630" t="n">
        <v>0</v>
      </c>
      <c r="O630" t="n">
        <v>0</v>
      </c>
      <c r="P630" t="n">
        <v>0</v>
      </c>
      <c r="Q630" t="n">
        <v>0</v>
      </c>
      <c r="R630" s="2" t="inlineStr"/>
    </row>
    <row r="631" ht="15" customHeight="1">
      <c r="A631" t="inlineStr">
        <is>
          <t>A 5795-2024</t>
        </is>
      </c>
      <c r="B631" s="1" t="n">
        <v>45335.4531712963</v>
      </c>
      <c r="C631" s="1" t="n">
        <v>46037</v>
      </c>
      <c r="D631" t="inlineStr">
        <is>
          <t>ÖREBRO LÄN</t>
        </is>
      </c>
      <c r="E631" t="inlineStr">
        <is>
          <t>ÖREBRO</t>
        </is>
      </c>
      <c r="G631" t="n">
        <v>1.8</v>
      </c>
      <c r="H631" t="n">
        <v>0</v>
      </c>
      <c r="I631" t="n">
        <v>0</v>
      </c>
      <c r="J631" t="n">
        <v>0</v>
      </c>
      <c r="K631" t="n">
        <v>0</v>
      </c>
      <c r="L631" t="n">
        <v>0</v>
      </c>
      <c r="M631" t="n">
        <v>0</v>
      </c>
      <c r="N631" t="n">
        <v>0</v>
      </c>
      <c r="O631" t="n">
        <v>0</v>
      </c>
      <c r="P631" t="n">
        <v>0</v>
      </c>
      <c r="Q631" t="n">
        <v>0</v>
      </c>
      <c r="R631" s="2" t="inlineStr"/>
    </row>
    <row r="632" ht="15" customHeight="1">
      <c r="A632" t="inlineStr">
        <is>
          <t>A 37771-2024</t>
        </is>
      </c>
      <c r="B632" s="1" t="n">
        <v>45542.31359953704</v>
      </c>
      <c r="C632" s="1" t="n">
        <v>46037</v>
      </c>
      <c r="D632" t="inlineStr">
        <is>
          <t>ÖREBRO LÄN</t>
        </is>
      </c>
      <c r="E632" t="inlineStr">
        <is>
          <t>ÖREBRO</t>
        </is>
      </c>
      <c r="G632" t="n">
        <v>1.8</v>
      </c>
      <c r="H632" t="n">
        <v>0</v>
      </c>
      <c r="I632" t="n">
        <v>0</v>
      </c>
      <c r="J632" t="n">
        <v>0</v>
      </c>
      <c r="K632" t="n">
        <v>0</v>
      </c>
      <c r="L632" t="n">
        <v>0</v>
      </c>
      <c r="M632" t="n">
        <v>0</v>
      </c>
      <c r="N632" t="n">
        <v>0</v>
      </c>
      <c r="O632" t="n">
        <v>0</v>
      </c>
      <c r="P632" t="n">
        <v>0</v>
      </c>
      <c r="Q632" t="n">
        <v>0</v>
      </c>
      <c r="R632" s="2" t="inlineStr"/>
    </row>
    <row r="633" ht="15" customHeight="1">
      <c r="A633" t="inlineStr">
        <is>
          <t>A 15652-2025</t>
        </is>
      </c>
      <c r="B633" s="1" t="n">
        <v>45748</v>
      </c>
      <c r="C633" s="1" t="n">
        <v>46037</v>
      </c>
      <c r="D633" t="inlineStr">
        <is>
          <t>ÖREBRO LÄN</t>
        </is>
      </c>
      <c r="E633" t="inlineStr">
        <is>
          <t>ÖREBRO</t>
        </is>
      </c>
      <c r="G633" t="n">
        <v>1.8</v>
      </c>
      <c r="H633" t="n">
        <v>0</v>
      </c>
      <c r="I633" t="n">
        <v>0</v>
      </c>
      <c r="J633" t="n">
        <v>0</v>
      </c>
      <c r="K633" t="n">
        <v>0</v>
      </c>
      <c r="L633" t="n">
        <v>0</v>
      </c>
      <c r="M633" t="n">
        <v>0</v>
      </c>
      <c r="N633" t="n">
        <v>0</v>
      </c>
      <c r="O633" t="n">
        <v>0</v>
      </c>
      <c r="P633" t="n">
        <v>0</v>
      </c>
      <c r="Q633" t="n">
        <v>0</v>
      </c>
      <c r="R633" s="2" t="inlineStr"/>
    </row>
    <row r="634" ht="15" customHeight="1">
      <c r="A634" t="inlineStr">
        <is>
          <t>A 2076-2025</t>
        </is>
      </c>
      <c r="B634" s="1" t="n">
        <v>45672</v>
      </c>
      <c r="C634" s="1" t="n">
        <v>46037</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14960-2025</t>
        </is>
      </c>
      <c r="B635" s="1" t="n">
        <v>45743.5853125</v>
      </c>
      <c r="C635" s="1" t="n">
        <v>46037</v>
      </c>
      <c r="D635" t="inlineStr">
        <is>
          <t>ÖREBRO LÄN</t>
        </is>
      </c>
      <c r="E635" t="inlineStr">
        <is>
          <t>ÖREBRO</t>
        </is>
      </c>
      <c r="G635" t="n">
        <v>1.6</v>
      </c>
      <c r="H635" t="n">
        <v>0</v>
      </c>
      <c r="I635" t="n">
        <v>0</v>
      </c>
      <c r="J635" t="n">
        <v>0</v>
      </c>
      <c r="K635" t="n">
        <v>0</v>
      </c>
      <c r="L635" t="n">
        <v>0</v>
      </c>
      <c r="M635" t="n">
        <v>0</v>
      </c>
      <c r="N635" t="n">
        <v>0</v>
      </c>
      <c r="O635" t="n">
        <v>0</v>
      </c>
      <c r="P635" t="n">
        <v>0</v>
      </c>
      <c r="Q635" t="n">
        <v>0</v>
      </c>
      <c r="R635" s="2" t="inlineStr"/>
    </row>
    <row r="636" ht="15" customHeight="1">
      <c r="A636" t="inlineStr">
        <is>
          <t>A 60022-2024</t>
        </is>
      </c>
      <c r="B636" s="1" t="n">
        <v>45642</v>
      </c>
      <c r="C636" s="1" t="n">
        <v>46037</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21097-2025</t>
        </is>
      </c>
      <c r="B637" s="1" t="n">
        <v>45777.63863425926</v>
      </c>
      <c r="C637" s="1" t="n">
        <v>46037</v>
      </c>
      <c r="D637" t="inlineStr">
        <is>
          <t>ÖREBRO LÄN</t>
        </is>
      </c>
      <c r="E637" t="inlineStr">
        <is>
          <t>ÖREBRO</t>
        </is>
      </c>
      <c r="G637" t="n">
        <v>2.1</v>
      </c>
      <c r="H637" t="n">
        <v>0</v>
      </c>
      <c r="I637" t="n">
        <v>0</v>
      </c>
      <c r="J637" t="n">
        <v>0</v>
      </c>
      <c r="K637" t="n">
        <v>0</v>
      </c>
      <c r="L637" t="n">
        <v>0</v>
      </c>
      <c r="M637" t="n">
        <v>0</v>
      </c>
      <c r="N637" t="n">
        <v>0</v>
      </c>
      <c r="O637" t="n">
        <v>0</v>
      </c>
      <c r="P637" t="n">
        <v>0</v>
      </c>
      <c r="Q637" t="n">
        <v>0</v>
      </c>
      <c r="R637" s="2" t="inlineStr"/>
    </row>
    <row r="638" ht="15" customHeight="1">
      <c r="A638" t="inlineStr">
        <is>
          <t>A 35819-2024</t>
        </is>
      </c>
      <c r="B638" s="1" t="n">
        <v>45532</v>
      </c>
      <c r="C638" s="1" t="n">
        <v>46037</v>
      </c>
      <c r="D638" t="inlineStr">
        <is>
          <t>ÖREBRO LÄN</t>
        </is>
      </c>
      <c r="E638" t="inlineStr">
        <is>
          <t>ÖREBRO</t>
        </is>
      </c>
      <c r="G638" t="n">
        <v>6.4</v>
      </c>
      <c r="H638" t="n">
        <v>0</v>
      </c>
      <c r="I638" t="n">
        <v>0</v>
      </c>
      <c r="J638" t="n">
        <v>0</v>
      </c>
      <c r="K638" t="n">
        <v>0</v>
      </c>
      <c r="L638" t="n">
        <v>0</v>
      </c>
      <c r="M638" t="n">
        <v>0</v>
      </c>
      <c r="N638" t="n">
        <v>0</v>
      </c>
      <c r="O638" t="n">
        <v>0</v>
      </c>
      <c r="P638" t="n">
        <v>0</v>
      </c>
      <c r="Q638" t="n">
        <v>0</v>
      </c>
      <c r="R638" s="2" t="inlineStr"/>
    </row>
    <row r="639" ht="15" customHeight="1">
      <c r="A639" t="inlineStr">
        <is>
          <t>A 32076-2023</t>
        </is>
      </c>
      <c r="B639" s="1" t="n">
        <v>45119.58324074074</v>
      </c>
      <c r="C639" s="1" t="n">
        <v>46037</v>
      </c>
      <c r="D639" t="inlineStr">
        <is>
          <t>ÖREBRO LÄN</t>
        </is>
      </c>
      <c r="E639" t="inlineStr">
        <is>
          <t>ÖREBRO</t>
        </is>
      </c>
      <c r="G639" t="n">
        <v>1.1</v>
      </c>
      <c r="H639" t="n">
        <v>0</v>
      </c>
      <c r="I639" t="n">
        <v>0</v>
      </c>
      <c r="J639" t="n">
        <v>0</v>
      </c>
      <c r="K639" t="n">
        <v>0</v>
      </c>
      <c r="L639" t="n">
        <v>0</v>
      </c>
      <c r="M639" t="n">
        <v>0</v>
      </c>
      <c r="N639" t="n">
        <v>0</v>
      </c>
      <c r="O639" t="n">
        <v>0</v>
      </c>
      <c r="P639" t="n">
        <v>0</v>
      </c>
      <c r="Q639" t="n">
        <v>0</v>
      </c>
      <c r="R639" s="2" t="inlineStr"/>
    </row>
    <row r="640" ht="15" customHeight="1">
      <c r="A640" t="inlineStr">
        <is>
          <t>A 764-2024</t>
        </is>
      </c>
      <c r="B640" s="1" t="n">
        <v>45300.51512731481</v>
      </c>
      <c r="C640" s="1" t="n">
        <v>46037</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58644-2023</t>
        </is>
      </c>
      <c r="B641" s="1" t="n">
        <v>45251.58716435185</v>
      </c>
      <c r="C641" s="1" t="n">
        <v>46037</v>
      </c>
      <c r="D641" t="inlineStr">
        <is>
          <t>ÖREBRO LÄN</t>
        </is>
      </c>
      <c r="E641" t="inlineStr">
        <is>
          <t>ÖREBRO</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21338-2025</t>
        </is>
      </c>
      <c r="B642" s="1" t="n">
        <v>45780</v>
      </c>
      <c r="C642" s="1" t="n">
        <v>46037</v>
      </c>
      <c r="D642" t="inlineStr">
        <is>
          <t>ÖREBRO LÄN</t>
        </is>
      </c>
      <c r="E642" t="inlineStr">
        <is>
          <t>ÖREBRO</t>
        </is>
      </c>
      <c r="G642" t="n">
        <v>3.2</v>
      </c>
      <c r="H642" t="n">
        <v>0</v>
      </c>
      <c r="I642" t="n">
        <v>0</v>
      </c>
      <c r="J642" t="n">
        <v>0</v>
      </c>
      <c r="K642" t="n">
        <v>0</v>
      </c>
      <c r="L642" t="n">
        <v>0</v>
      </c>
      <c r="M642" t="n">
        <v>0</v>
      </c>
      <c r="N642" t="n">
        <v>0</v>
      </c>
      <c r="O642" t="n">
        <v>0</v>
      </c>
      <c r="P642" t="n">
        <v>0</v>
      </c>
      <c r="Q642" t="n">
        <v>0</v>
      </c>
      <c r="R642" s="2" t="inlineStr"/>
    </row>
    <row r="643" ht="15" customHeight="1">
      <c r="A643" t="inlineStr">
        <is>
          <t>A 22755-2025</t>
        </is>
      </c>
      <c r="B643" s="1" t="n">
        <v>45789.61872685186</v>
      </c>
      <c r="C643" s="1" t="n">
        <v>46037</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44199-2024</t>
        </is>
      </c>
      <c r="B644" s="1" t="n">
        <v>45573</v>
      </c>
      <c r="C644" s="1" t="n">
        <v>46037</v>
      </c>
      <c r="D644" t="inlineStr">
        <is>
          <t>ÖREBRO LÄN</t>
        </is>
      </c>
      <c r="E644" t="inlineStr">
        <is>
          <t>ÖREBRO</t>
        </is>
      </c>
      <c r="G644" t="n">
        <v>4.3</v>
      </c>
      <c r="H644" t="n">
        <v>0</v>
      </c>
      <c r="I644" t="n">
        <v>0</v>
      </c>
      <c r="J644" t="n">
        <v>0</v>
      </c>
      <c r="K644" t="n">
        <v>0</v>
      </c>
      <c r="L644" t="n">
        <v>0</v>
      </c>
      <c r="M644" t="n">
        <v>0</v>
      </c>
      <c r="N644" t="n">
        <v>0</v>
      </c>
      <c r="O644" t="n">
        <v>0</v>
      </c>
      <c r="P644" t="n">
        <v>0</v>
      </c>
      <c r="Q644" t="n">
        <v>0</v>
      </c>
      <c r="R644" s="2" t="inlineStr"/>
    </row>
    <row r="645" ht="15" customHeight="1">
      <c r="A645" t="inlineStr">
        <is>
          <t>A 34336-2024</t>
        </is>
      </c>
      <c r="B645" s="1" t="n">
        <v>45524.94774305556</v>
      </c>
      <c r="C645" s="1" t="n">
        <v>46037</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26443-2024</t>
        </is>
      </c>
      <c r="B646" s="1" t="n">
        <v>45469.49901620371</v>
      </c>
      <c r="C646" s="1" t="n">
        <v>46037</v>
      </c>
      <c r="D646" t="inlineStr">
        <is>
          <t>ÖREBRO LÄN</t>
        </is>
      </c>
      <c r="E646" t="inlineStr">
        <is>
          <t>ÖREBRO</t>
        </is>
      </c>
      <c r="G646" t="n">
        <v>5.7</v>
      </c>
      <c r="H646" t="n">
        <v>0</v>
      </c>
      <c r="I646" t="n">
        <v>0</v>
      </c>
      <c r="J646" t="n">
        <v>0</v>
      </c>
      <c r="K646" t="n">
        <v>0</v>
      </c>
      <c r="L646" t="n">
        <v>0</v>
      </c>
      <c r="M646" t="n">
        <v>0</v>
      </c>
      <c r="N646" t="n">
        <v>0</v>
      </c>
      <c r="O646" t="n">
        <v>0</v>
      </c>
      <c r="P646" t="n">
        <v>0</v>
      </c>
      <c r="Q646" t="n">
        <v>0</v>
      </c>
      <c r="R646" s="2" t="inlineStr"/>
    </row>
    <row r="647">
      <c r="A647" t="inlineStr">
        <is>
          <t>A 35477-2024</t>
        </is>
      </c>
      <c r="B647" s="1" t="n">
        <v>45531</v>
      </c>
      <c r="C647" s="1" t="n">
        <v>46037</v>
      </c>
      <c r="D647" t="inlineStr">
        <is>
          <t>ÖREBRO LÄN</t>
        </is>
      </c>
      <c r="E647" t="inlineStr">
        <is>
          <t>ÖREBRO</t>
        </is>
      </c>
      <c r="G647" t="n">
        <v>2.4</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2026-01-15T10:59:52Z</dcterms:created>
  <dcterms:modified xmlns:dcterms="http://purl.org/dc/terms/" xmlns:xsi="http://www.w3.org/2001/XMLSchema-instance" xsi:type="dcterms:W3CDTF">2026-01-15T10:59:53Z</dcterms:modified>
</cp:coreProperties>
</file>