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46160</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46160</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46160</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46160</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46160</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46160</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46160</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46160</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46160</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46160</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46160</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46160</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46160</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46160</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46160</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46160</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46160</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17074-2024</t>
        </is>
      </c>
      <c r="B22" s="1" t="n">
        <v>45412</v>
      </c>
      <c r="C22" s="1" t="n">
        <v>46160</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46160</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59517-2025</t>
        </is>
      </c>
      <c r="B24" s="1" t="n">
        <v>45989.65462962963</v>
      </c>
      <c r="C24" s="1" t="n">
        <v>46160</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35098-2025</t>
        </is>
      </c>
      <c r="B25" s="1" t="n">
        <v>45852.5469212963</v>
      </c>
      <c r="C25" s="1" t="n">
        <v>46160</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58837-2025</t>
        </is>
      </c>
      <c r="B26" s="1" t="n">
        <v>45987.35875</v>
      </c>
      <c r="C26" s="1" t="n">
        <v>46160</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59519-2025</t>
        </is>
      </c>
      <c r="B27" s="1" t="n">
        <v>45989</v>
      </c>
      <c r="C27" s="1" t="n">
        <v>46160</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575-2024</t>
        </is>
      </c>
      <c r="B28" s="1" t="n">
        <v>45299</v>
      </c>
      <c r="C28" s="1" t="n">
        <v>46160</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46160</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46160</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46160</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46160</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46160</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22577-2024</t>
        </is>
      </c>
      <c r="B34" s="1" t="n">
        <v>45447</v>
      </c>
      <c r="C34" s="1" t="n">
        <v>46160</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2998-2026</t>
        </is>
      </c>
      <c r="B35" s="1" t="n">
        <v>46038.64835648148</v>
      </c>
      <c r="C35" s="1" t="n">
        <v>46160</v>
      </c>
      <c r="D35" t="inlineStr">
        <is>
          <t>ÖREBRO LÄN</t>
        </is>
      </c>
      <c r="E35" t="inlineStr">
        <is>
          <t>ÖREBRO</t>
        </is>
      </c>
      <c r="F35" t="inlineStr">
        <is>
          <t>Övriga Aktiebolag</t>
        </is>
      </c>
      <c r="G35" t="n">
        <v>6.4</v>
      </c>
      <c r="H35" t="n">
        <v>2</v>
      </c>
      <c r="I35" t="n">
        <v>0</v>
      </c>
      <c r="J35" t="n">
        <v>1</v>
      </c>
      <c r="K35" t="n">
        <v>0</v>
      </c>
      <c r="L35" t="n">
        <v>0</v>
      </c>
      <c r="M35" t="n">
        <v>0</v>
      </c>
      <c r="N35" t="n">
        <v>0</v>
      </c>
      <c r="O35" t="n">
        <v>1</v>
      </c>
      <c r="P35" t="n">
        <v>0</v>
      </c>
      <c r="Q35" t="n">
        <v>2</v>
      </c>
      <c r="R35" s="2" t="inlineStr">
        <is>
          <t>Grönsångare
Kungsfågel</t>
        </is>
      </c>
      <c r="S35">
        <f>HYPERLINK("https://klasma.github.io/Logging_1880/artfynd/A 2998-2026 artfynd.xlsx", "A 2998-2026")</f>
        <v/>
      </c>
      <c r="T35">
        <f>HYPERLINK("https://klasma.github.io/Logging_1880/kartor/A 2998-2026 karta.png", "A 2998-2026")</f>
        <v/>
      </c>
      <c r="V35">
        <f>HYPERLINK("https://klasma.github.io/Logging_1880/klagomål/A 2998-2026 FSC-klagomål.docx", "A 2998-2026")</f>
        <v/>
      </c>
      <c r="W35">
        <f>HYPERLINK("https://klasma.github.io/Logging_1880/klagomålsmail/A 2998-2026 FSC-klagomål mail.docx", "A 2998-2026")</f>
        <v/>
      </c>
      <c r="X35">
        <f>HYPERLINK("https://klasma.github.io/Logging_1880/tillsyn/A 2998-2026 tillsynsbegäran.docx", "A 2998-2026")</f>
        <v/>
      </c>
      <c r="Y35">
        <f>HYPERLINK("https://klasma.github.io/Logging_1880/tillsynsmail/A 2998-2026 tillsynsbegäran mail.docx", "A 2998-2026")</f>
        <v/>
      </c>
      <c r="Z35">
        <f>HYPERLINK("https://klasma.github.io/Logging_1880/fåglar/A 2998-2026 prioriterade fågelarter.docx", "A 2998-2026")</f>
        <v/>
      </c>
    </row>
    <row r="36" ht="15" customHeight="1">
      <c r="A36" t="inlineStr">
        <is>
          <t>A 30409-2025</t>
        </is>
      </c>
      <c r="B36" s="1" t="n">
        <v>45827.59738425926</v>
      </c>
      <c r="C36" s="1" t="n">
        <v>46160</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46160</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60557-2025</t>
        </is>
      </c>
      <c r="B38" s="1" t="n">
        <v>45995.74444444444</v>
      </c>
      <c r="C38" s="1" t="n">
        <v>46160</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13395-2024</t>
        </is>
      </c>
      <c r="B39" s="1" t="n">
        <v>45387.42296296296</v>
      </c>
      <c r="C39" s="1" t="n">
        <v>46160</v>
      </c>
      <c r="D39" t="inlineStr">
        <is>
          <t>ÖREBRO LÄN</t>
        </is>
      </c>
      <c r="E39" t="inlineStr">
        <is>
          <t>ÖREBRO</t>
        </is>
      </c>
      <c r="G39" t="n">
        <v>1.9</v>
      </c>
      <c r="H39" t="n">
        <v>2</v>
      </c>
      <c r="I39" t="n">
        <v>0</v>
      </c>
      <c r="J39" t="n">
        <v>0</v>
      </c>
      <c r="K39" t="n">
        <v>0</v>
      </c>
      <c r="L39" t="n">
        <v>0</v>
      </c>
      <c r="M39" t="n">
        <v>0</v>
      </c>
      <c r="N39" t="n">
        <v>0</v>
      </c>
      <c r="O39" t="n">
        <v>0</v>
      </c>
      <c r="P39" t="n">
        <v>0</v>
      </c>
      <c r="Q39" t="n">
        <v>2</v>
      </c>
      <c r="R39" s="2" t="inlineStr">
        <is>
          <t>Järnsparv
Kungsfågel</t>
        </is>
      </c>
      <c r="S39">
        <f>HYPERLINK("https://klasma.github.io/Logging_1880/artfynd/A 13395-2024 artfynd.xlsx", "A 13395-2024")</f>
        <v/>
      </c>
      <c r="T39">
        <f>HYPERLINK("https://klasma.github.io/Logging_1880/kartor/A 13395-2024 karta.png", "A 13395-2024")</f>
        <v/>
      </c>
      <c r="V39">
        <f>HYPERLINK("https://klasma.github.io/Logging_1880/klagomål/A 13395-2024 FSC-klagomål.docx", "A 13395-2024")</f>
        <v/>
      </c>
      <c r="W39">
        <f>HYPERLINK("https://klasma.github.io/Logging_1880/klagomålsmail/A 13395-2024 FSC-klagomål mail.docx", "A 13395-2024")</f>
        <v/>
      </c>
      <c r="X39">
        <f>HYPERLINK("https://klasma.github.io/Logging_1880/tillsyn/A 13395-2024 tillsynsbegäran.docx", "A 13395-2024")</f>
        <v/>
      </c>
      <c r="Y39">
        <f>HYPERLINK("https://klasma.github.io/Logging_1880/tillsynsmail/A 13395-2024 tillsynsbegäran mail.docx", "A 13395-2024")</f>
        <v/>
      </c>
      <c r="Z39">
        <f>HYPERLINK("https://klasma.github.io/Logging_1880/fåglar/A 13395-2024 prioriterade fågelarter.docx", "A 13395-2024")</f>
        <v/>
      </c>
    </row>
    <row r="40" ht="15" customHeight="1">
      <c r="A40" t="inlineStr">
        <is>
          <t>A 63196-2025</t>
        </is>
      </c>
      <c r="B40" s="1" t="n">
        <v>46010.45872685185</v>
      </c>
      <c r="C40" s="1" t="n">
        <v>46160</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37019-2024</t>
        </is>
      </c>
      <c r="B41" s="1" t="n">
        <v>45539.37905092593</v>
      </c>
      <c r="C41" s="1" t="n">
        <v>46160</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7608-2024</t>
        </is>
      </c>
      <c r="B42" s="1" t="n">
        <v>45348</v>
      </c>
      <c r="C42" s="1" t="n">
        <v>46160</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52400-2024</t>
        </is>
      </c>
      <c r="B43" s="1" t="n">
        <v>45609.44461805555</v>
      </c>
      <c r="C43" s="1" t="n">
        <v>46160</v>
      </c>
      <c r="D43" t="inlineStr">
        <is>
          <t>ÖREBRO LÄN</t>
        </is>
      </c>
      <c r="E43" t="inlineStr">
        <is>
          <t>ÖREBRO</t>
        </is>
      </c>
      <c r="F43" t="inlineStr">
        <is>
          <t>Sveaskog</t>
        </is>
      </c>
      <c r="G43" t="n">
        <v>7</v>
      </c>
      <c r="H43" t="n">
        <v>2</v>
      </c>
      <c r="I43" t="n">
        <v>0</v>
      </c>
      <c r="J43" t="n">
        <v>0</v>
      </c>
      <c r="K43" t="n">
        <v>1</v>
      </c>
      <c r="L43" t="n">
        <v>0</v>
      </c>
      <c r="M43" t="n">
        <v>0</v>
      </c>
      <c r="N43" t="n">
        <v>0</v>
      </c>
      <c r="O43" t="n">
        <v>1</v>
      </c>
      <c r="P43" t="n">
        <v>1</v>
      </c>
      <c r="Q43" t="n">
        <v>2</v>
      </c>
      <c r="R43" s="2" t="inlineStr">
        <is>
          <t>Väddnätfjäril
Grönvit nattviol</t>
        </is>
      </c>
      <c r="S43">
        <f>HYPERLINK("https://klasma.github.io/Logging_1880/artfynd/A 52400-2024 artfynd.xlsx", "A 52400-2024")</f>
        <v/>
      </c>
      <c r="T43">
        <f>HYPERLINK("https://klasma.github.io/Logging_1880/kartor/A 52400-2024 karta.png", "A 52400-2024")</f>
        <v/>
      </c>
      <c r="V43">
        <f>HYPERLINK("https://klasma.github.io/Logging_1880/klagomål/A 52400-2024 FSC-klagomål.docx", "A 52400-2024")</f>
        <v/>
      </c>
      <c r="W43">
        <f>HYPERLINK("https://klasma.github.io/Logging_1880/klagomålsmail/A 52400-2024 FSC-klagomål mail.docx", "A 52400-2024")</f>
        <v/>
      </c>
      <c r="X43">
        <f>HYPERLINK("https://klasma.github.io/Logging_1880/tillsyn/A 52400-2024 tillsynsbegäran.docx", "A 52400-2024")</f>
        <v/>
      </c>
      <c r="Y43">
        <f>HYPERLINK("https://klasma.github.io/Logging_1880/tillsynsmail/A 52400-2024 tillsynsbegäran mail.docx", "A 52400-2024")</f>
        <v/>
      </c>
    </row>
    <row r="44" ht="15" customHeight="1">
      <c r="A44" t="inlineStr">
        <is>
          <t>A 14956-2025</t>
        </is>
      </c>
      <c r="B44" s="1" t="n">
        <v>45743.58409722222</v>
      </c>
      <c r="C44" s="1" t="n">
        <v>46160</v>
      </c>
      <c r="D44" t="inlineStr">
        <is>
          <t>ÖREBRO LÄN</t>
        </is>
      </c>
      <c r="E44" t="inlineStr">
        <is>
          <t>ÖREBRO</t>
        </is>
      </c>
      <c r="G44" t="n">
        <v>5.2</v>
      </c>
      <c r="H44" t="n">
        <v>1</v>
      </c>
      <c r="I44" t="n">
        <v>2</v>
      </c>
      <c r="J44" t="n">
        <v>0</v>
      </c>
      <c r="K44" t="n">
        <v>0</v>
      </c>
      <c r="L44" t="n">
        <v>0</v>
      </c>
      <c r="M44" t="n">
        <v>0</v>
      </c>
      <c r="N44" t="n">
        <v>0</v>
      </c>
      <c r="O44" t="n">
        <v>0</v>
      </c>
      <c r="P44" t="n">
        <v>0</v>
      </c>
      <c r="Q44" t="n">
        <v>2</v>
      </c>
      <c r="R44" s="2" t="inlineStr">
        <is>
          <t>Kalktallört
Skogsknipprot</t>
        </is>
      </c>
      <c r="S44">
        <f>HYPERLINK("https://klasma.github.io/Logging_1880/artfynd/A 14956-2025 artfynd.xlsx", "A 14956-2025")</f>
        <v/>
      </c>
      <c r="T44">
        <f>HYPERLINK("https://klasma.github.io/Logging_1880/kartor/A 14956-2025 karta.png", "A 14956-2025")</f>
        <v/>
      </c>
      <c r="V44">
        <f>HYPERLINK("https://klasma.github.io/Logging_1880/klagomål/A 14956-2025 FSC-klagomål.docx", "A 14956-2025")</f>
        <v/>
      </c>
      <c r="W44">
        <f>HYPERLINK("https://klasma.github.io/Logging_1880/klagomålsmail/A 14956-2025 FSC-klagomål mail.docx", "A 14956-2025")</f>
        <v/>
      </c>
      <c r="X44">
        <f>HYPERLINK("https://klasma.github.io/Logging_1880/tillsyn/A 14956-2025 tillsynsbegäran.docx", "A 14956-2025")</f>
        <v/>
      </c>
      <c r="Y44">
        <f>HYPERLINK("https://klasma.github.io/Logging_1880/tillsynsmail/A 14956-2025 tillsynsbegäran mail.docx", "A 14956-2025")</f>
        <v/>
      </c>
    </row>
    <row r="45" ht="15" customHeight="1">
      <c r="A45" t="inlineStr">
        <is>
          <t>A 29704-2022</t>
        </is>
      </c>
      <c r="B45" s="1" t="n">
        <v>44755</v>
      </c>
      <c r="C45" s="1" t="n">
        <v>46160</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43332-2022</t>
        </is>
      </c>
      <c r="B46" s="1" t="n">
        <v>44834</v>
      </c>
      <c r="C46" s="1" t="n">
        <v>46160</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44744-2024</t>
        </is>
      </c>
      <c r="B47" s="1" t="n">
        <v>45574.59789351852</v>
      </c>
      <c r="C47" s="1" t="n">
        <v>46160</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23998-2025</t>
        </is>
      </c>
      <c r="B48" s="1" t="n">
        <v>45796.42209490741</v>
      </c>
      <c r="C48" s="1" t="n">
        <v>46160</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11501-2025</t>
        </is>
      </c>
      <c r="B49" s="1" t="n">
        <v>45726</v>
      </c>
      <c r="C49" s="1" t="n">
        <v>46160</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28936-2025</t>
        </is>
      </c>
      <c r="B50" s="1" t="n">
        <v>45820.69287037037</v>
      </c>
      <c r="C50" s="1" t="n">
        <v>46160</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59516-2025</t>
        </is>
      </c>
      <c r="B51" s="1" t="n">
        <v>45989.65396990741</v>
      </c>
      <c r="C51" s="1" t="n">
        <v>46160</v>
      </c>
      <c r="D51" t="inlineStr">
        <is>
          <t>ÖREBRO LÄN</t>
        </is>
      </c>
      <c r="E51" t="inlineStr">
        <is>
          <t>ÖREBRO</t>
        </is>
      </c>
      <c r="F51" t="inlineStr">
        <is>
          <t>Sveaskog</t>
        </is>
      </c>
      <c r="G51" t="n">
        <v>1.9</v>
      </c>
      <c r="H51" t="n">
        <v>0</v>
      </c>
      <c r="I51" t="n">
        <v>1</v>
      </c>
      <c r="J51" t="n">
        <v>0</v>
      </c>
      <c r="K51" t="n">
        <v>0</v>
      </c>
      <c r="L51" t="n">
        <v>0</v>
      </c>
      <c r="M51" t="n">
        <v>0</v>
      </c>
      <c r="N51" t="n">
        <v>0</v>
      </c>
      <c r="O51" t="n">
        <v>0</v>
      </c>
      <c r="P51" t="n">
        <v>0</v>
      </c>
      <c r="Q51" t="n">
        <v>1</v>
      </c>
      <c r="R51" s="2" t="inlineStr">
        <is>
          <t>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3006-2026</t>
        </is>
      </c>
      <c r="B52" s="1" t="n">
        <v>46038.65719907408</v>
      </c>
      <c r="C52" s="1" t="n">
        <v>46160</v>
      </c>
      <c r="D52" t="inlineStr">
        <is>
          <t>ÖREBRO LÄN</t>
        </is>
      </c>
      <c r="E52" t="inlineStr">
        <is>
          <t>ÖREBRO</t>
        </is>
      </c>
      <c r="F52" t="inlineStr">
        <is>
          <t>Övriga Aktiebolag</t>
        </is>
      </c>
      <c r="G52" t="n">
        <v>1</v>
      </c>
      <c r="H52" t="n">
        <v>1</v>
      </c>
      <c r="I52" t="n">
        <v>0</v>
      </c>
      <c r="J52" t="n">
        <v>1</v>
      </c>
      <c r="K52" t="n">
        <v>0</v>
      </c>
      <c r="L52" t="n">
        <v>0</v>
      </c>
      <c r="M52" t="n">
        <v>0</v>
      </c>
      <c r="N52" t="n">
        <v>0</v>
      </c>
      <c r="O52" t="n">
        <v>1</v>
      </c>
      <c r="P52" t="n">
        <v>0</v>
      </c>
      <c r="Q52" t="n">
        <v>1</v>
      </c>
      <c r="R52" s="2" t="inlineStr">
        <is>
          <t>Gulsparv</t>
        </is>
      </c>
      <c r="S52">
        <f>HYPERLINK("https://klasma.github.io/Logging_1880/artfynd/A 3006-2026 artfynd.xlsx", "A 3006-2026")</f>
        <v/>
      </c>
      <c r="T52">
        <f>HYPERLINK("https://klasma.github.io/Logging_1880/kartor/A 3006-2026 karta.png", "A 3006-2026")</f>
        <v/>
      </c>
      <c r="V52">
        <f>HYPERLINK("https://klasma.github.io/Logging_1880/klagomål/A 3006-2026 FSC-klagomål.docx", "A 3006-2026")</f>
        <v/>
      </c>
      <c r="W52">
        <f>HYPERLINK("https://klasma.github.io/Logging_1880/klagomålsmail/A 3006-2026 FSC-klagomål mail.docx", "A 3006-2026")</f>
        <v/>
      </c>
      <c r="X52">
        <f>HYPERLINK("https://klasma.github.io/Logging_1880/tillsyn/A 3006-2026 tillsynsbegäran.docx", "A 3006-2026")</f>
        <v/>
      </c>
      <c r="Y52">
        <f>HYPERLINK("https://klasma.github.io/Logging_1880/tillsynsmail/A 3006-2026 tillsynsbegäran mail.docx", "A 3006-2026")</f>
        <v/>
      </c>
      <c r="Z52">
        <f>HYPERLINK("https://klasma.github.io/Logging_1880/fåglar/A 3006-2026 prioriterade fågelarter.docx", "A 3006-2026")</f>
        <v/>
      </c>
    </row>
    <row r="53" ht="15" customHeight="1">
      <c r="A53" t="inlineStr">
        <is>
          <t>A 32226-2025</t>
        </is>
      </c>
      <c r="B53" s="1" t="n">
        <v>45835.59478009259</v>
      </c>
      <c r="C53" s="1" t="n">
        <v>46160</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32204-2025</t>
        </is>
      </c>
      <c r="B54" s="1" t="n">
        <v>45835.58074074074</v>
      </c>
      <c r="C54" s="1" t="n">
        <v>46160</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32105-2023</t>
        </is>
      </c>
      <c r="B55" s="1" t="n">
        <v>45119</v>
      </c>
      <c r="C55" s="1" t="n">
        <v>46160</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50499-2025</t>
        </is>
      </c>
      <c r="B56" s="1" t="n">
        <v>45945.41712962963</v>
      </c>
      <c r="C56" s="1" t="n">
        <v>46160</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52382-2025</t>
        </is>
      </c>
      <c r="B57" s="1" t="n">
        <v>45953.9559837963</v>
      </c>
      <c r="C57" s="1" t="n">
        <v>46160</v>
      </c>
      <c r="D57" t="inlineStr">
        <is>
          <t>ÖREBRO LÄN</t>
        </is>
      </c>
      <c r="E57" t="inlineStr">
        <is>
          <t>ÖREBRO</t>
        </is>
      </c>
      <c r="F57" t="inlineStr">
        <is>
          <t>Sveaskog</t>
        </is>
      </c>
      <c r="G57" t="n">
        <v>3.4</v>
      </c>
      <c r="H57" t="n">
        <v>0</v>
      </c>
      <c r="I57" t="n">
        <v>0</v>
      </c>
      <c r="J57" t="n">
        <v>1</v>
      </c>
      <c r="K57" t="n">
        <v>0</v>
      </c>
      <c r="L57" t="n">
        <v>0</v>
      </c>
      <c r="M57" t="n">
        <v>0</v>
      </c>
      <c r="N57" t="n">
        <v>0</v>
      </c>
      <c r="O57" t="n">
        <v>1</v>
      </c>
      <c r="P57" t="n">
        <v>0</v>
      </c>
      <c r="Q57" t="n">
        <v>1</v>
      </c>
      <c r="R57" s="2" t="inlineStr">
        <is>
          <t>Grantaggsvamp</t>
        </is>
      </c>
      <c r="S57">
        <f>HYPERLINK("https://klasma.github.io/Logging_1880/artfynd/A 52382-2025 artfynd.xlsx", "A 52382-2025")</f>
        <v/>
      </c>
      <c r="T57">
        <f>HYPERLINK("https://klasma.github.io/Logging_1880/kartor/A 52382-2025 karta.png", "A 52382-2025")</f>
        <v/>
      </c>
      <c r="V57">
        <f>HYPERLINK("https://klasma.github.io/Logging_1880/klagomål/A 52382-2025 FSC-klagomål.docx", "A 52382-2025")</f>
        <v/>
      </c>
      <c r="W57">
        <f>HYPERLINK("https://klasma.github.io/Logging_1880/klagomålsmail/A 52382-2025 FSC-klagomål mail.docx", "A 52382-2025")</f>
        <v/>
      </c>
      <c r="X57">
        <f>HYPERLINK("https://klasma.github.io/Logging_1880/tillsyn/A 52382-2025 tillsynsbegäran.docx", "A 52382-2025")</f>
        <v/>
      </c>
      <c r="Y57">
        <f>HYPERLINK("https://klasma.github.io/Logging_1880/tillsynsmail/A 52382-2025 tillsynsbegäran mail.docx", "A 52382-2025")</f>
        <v/>
      </c>
    </row>
    <row r="58" ht="15" customHeight="1">
      <c r="A58" t="inlineStr">
        <is>
          <t>A 20032-2023</t>
        </is>
      </c>
      <c r="B58" s="1" t="n">
        <v>45054</v>
      </c>
      <c r="C58" s="1" t="n">
        <v>46160</v>
      </c>
      <c r="D58" t="inlineStr">
        <is>
          <t>ÖREBRO LÄN</t>
        </is>
      </c>
      <c r="E58" t="inlineStr">
        <is>
          <t>ÖREBRO</t>
        </is>
      </c>
      <c r="G58" t="n">
        <v>2.6</v>
      </c>
      <c r="H58" t="n">
        <v>1</v>
      </c>
      <c r="I58" t="n">
        <v>0</v>
      </c>
      <c r="J58" t="n">
        <v>0</v>
      </c>
      <c r="K58" t="n">
        <v>0</v>
      </c>
      <c r="L58" t="n">
        <v>0</v>
      </c>
      <c r="M58" t="n">
        <v>0</v>
      </c>
      <c r="N58" t="n">
        <v>0</v>
      </c>
      <c r="O58" t="n">
        <v>0</v>
      </c>
      <c r="P58" t="n">
        <v>0</v>
      </c>
      <c r="Q58" t="n">
        <v>1</v>
      </c>
      <c r="R58" s="2" t="inlineStr">
        <is>
          <t>Fiskgjuse</t>
        </is>
      </c>
      <c r="S58">
        <f>HYPERLINK("https://klasma.github.io/Logging_1880/artfynd/A 20032-2023 artfynd.xlsx", "A 20032-2023")</f>
        <v/>
      </c>
      <c r="T58">
        <f>HYPERLINK("https://klasma.github.io/Logging_1880/kartor/A 20032-2023 karta.png", "A 20032-2023")</f>
        <v/>
      </c>
      <c r="V58">
        <f>HYPERLINK("https://klasma.github.io/Logging_1880/klagomål/A 20032-2023 FSC-klagomål.docx", "A 20032-2023")</f>
        <v/>
      </c>
      <c r="W58">
        <f>HYPERLINK("https://klasma.github.io/Logging_1880/klagomålsmail/A 20032-2023 FSC-klagomål mail.docx", "A 20032-2023")</f>
        <v/>
      </c>
      <c r="X58">
        <f>HYPERLINK("https://klasma.github.io/Logging_1880/tillsyn/A 20032-2023 tillsynsbegäran.docx", "A 20032-2023")</f>
        <v/>
      </c>
      <c r="Y58">
        <f>HYPERLINK("https://klasma.github.io/Logging_1880/tillsynsmail/A 20032-2023 tillsynsbegäran mail.docx", "A 20032-2023")</f>
        <v/>
      </c>
      <c r="Z58">
        <f>HYPERLINK("https://klasma.github.io/Logging_1880/fåglar/A 20032-2023 prioriterade fågelarter.docx", "A 20032-2023")</f>
        <v/>
      </c>
    </row>
    <row r="59" ht="15" customHeight="1">
      <c r="A59" t="inlineStr">
        <is>
          <t>A 58838-2025</t>
        </is>
      </c>
      <c r="B59" s="1" t="n">
        <v>45987.35973379629</v>
      </c>
      <c r="C59" s="1" t="n">
        <v>46160</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22604-2024</t>
        </is>
      </c>
      <c r="B60" s="1" t="n">
        <v>45447</v>
      </c>
      <c r="C60" s="1" t="n">
        <v>46160</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30725-2023</t>
        </is>
      </c>
      <c r="B61" s="1" t="n">
        <v>45112.61451388889</v>
      </c>
      <c r="C61" s="1" t="n">
        <v>46160</v>
      </c>
      <c r="D61" t="inlineStr">
        <is>
          <t>ÖREBRO LÄN</t>
        </is>
      </c>
      <c r="E61" t="inlineStr">
        <is>
          <t>ÖREBRO</t>
        </is>
      </c>
      <c r="G61" t="n">
        <v>1.8</v>
      </c>
      <c r="H61" t="n">
        <v>1</v>
      </c>
      <c r="I61" t="n">
        <v>0</v>
      </c>
      <c r="J61" t="n">
        <v>1</v>
      </c>
      <c r="K61" t="n">
        <v>0</v>
      </c>
      <c r="L61" t="n">
        <v>0</v>
      </c>
      <c r="M61" t="n">
        <v>0</v>
      </c>
      <c r="N61" t="n">
        <v>0</v>
      </c>
      <c r="O61" t="n">
        <v>1</v>
      </c>
      <c r="P61" t="n">
        <v>0</v>
      </c>
      <c r="Q61" t="n">
        <v>1</v>
      </c>
      <c r="R61" s="2" t="inlineStr">
        <is>
          <t>Gulsparv</t>
        </is>
      </c>
      <c r="S61">
        <f>HYPERLINK("https://klasma.github.io/Logging_1880/artfynd/A 30725-2023 artfynd.xlsx", "A 30725-2023")</f>
        <v/>
      </c>
      <c r="T61">
        <f>HYPERLINK("https://klasma.github.io/Logging_1880/kartor/A 30725-2023 karta.png", "A 30725-2023")</f>
        <v/>
      </c>
      <c r="V61">
        <f>HYPERLINK("https://klasma.github.io/Logging_1880/klagomål/A 30725-2023 FSC-klagomål.docx", "A 30725-2023")</f>
        <v/>
      </c>
      <c r="W61">
        <f>HYPERLINK("https://klasma.github.io/Logging_1880/klagomålsmail/A 30725-2023 FSC-klagomål mail.docx", "A 30725-2023")</f>
        <v/>
      </c>
      <c r="X61">
        <f>HYPERLINK("https://klasma.github.io/Logging_1880/tillsyn/A 30725-2023 tillsynsbegäran.docx", "A 30725-2023")</f>
        <v/>
      </c>
      <c r="Y61">
        <f>HYPERLINK("https://klasma.github.io/Logging_1880/tillsynsmail/A 30725-2023 tillsynsbegäran mail.docx", "A 30725-2023")</f>
        <v/>
      </c>
      <c r="Z61">
        <f>HYPERLINK("https://klasma.github.io/Logging_1880/fåglar/A 30725-2023 prioriterade fågelarter.docx", "A 30725-2023")</f>
        <v/>
      </c>
    </row>
    <row r="62" ht="15" customHeight="1">
      <c r="A62" t="inlineStr">
        <is>
          <t>A 5097-2023</t>
        </is>
      </c>
      <c r="B62" s="1" t="n">
        <v>44958</v>
      </c>
      <c r="C62" s="1" t="n">
        <v>46160</v>
      </c>
      <c r="D62" t="inlineStr">
        <is>
          <t>ÖREBRO LÄN</t>
        </is>
      </c>
      <c r="E62" t="inlineStr">
        <is>
          <t>ÖREBRO</t>
        </is>
      </c>
      <c r="G62" t="n">
        <v>3.6</v>
      </c>
      <c r="H62" t="n">
        <v>1</v>
      </c>
      <c r="I62" t="n">
        <v>0</v>
      </c>
      <c r="J62" t="n">
        <v>0</v>
      </c>
      <c r="K62" t="n">
        <v>0</v>
      </c>
      <c r="L62" t="n">
        <v>0</v>
      </c>
      <c r="M62" t="n">
        <v>0</v>
      </c>
      <c r="N62" t="n">
        <v>0</v>
      </c>
      <c r="O62" t="n">
        <v>0</v>
      </c>
      <c r="P62" t="n">
        <v>0</v>
      </c>
      <c r="Q62" t="n">
        <v>1</v>
      </c>
      <c r="R62" s="2" t="inlineStr">
        <is>
          <t>Grönvit nattviol</t>
        </is>
      </c>
      <c r="S62">
        <f>HYPERLINK("https://klasma.github.io/Logging_1880/artfynd/A 5097-2023 artfynd.xlsx", "A 5097-2023")</f>
        <v/>
      </c>
      <c r="T62">
        <f>HYPERLINK("https://klasma.github.io/Logging_1880/kartor/A 5097-2023 karta.png", "A 5097-2023")</f>
        <v/>
      </c>
      <c r="V62">
        <f>HYPERLINK("https://klasma.github.io/Logging_1880/klagomål/A 5097-2023 FSC-klagomål.docx", "A 5097-2023")</f>
        <v/>
      </c>
      <c r="W62">
        <f>HYPERLINK("https://klasma.github.io/Logging_1880/klagomålsmail/A 5097-2023 FSC-klagomål mail.docx", "A 5097-2023")</f>
        <v/>
      </c>
      <c r="X62">
        <f>HYPERLINK("https://klasma.github.io/Logging_1880/tillsyn/A 5097-2023 tillsynsbegäran.docx", "A 5097-2023")</f>
        <v/>
      </c>
      <c r="Y62">
        <f>HYPERLINK("https://klasma.github.io/Logging_1880/tillsynsmail/A 5097-2023 tillsynsbegäran mail.docx", "A 5097-2023")</f>
        <v/>
      </c>
    </row>
    <row r="63" ht="15" customHeight="1">
      <c r="A63" t="inlineStr">
        <is>
          <t>A 20247-2023</t>
        </is>
      </c>
      <c r="B63" s="1" t="n">
        <v>45055</v>
      </c>
      <c r="C63" s="1" t="n">
        <v>46160</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63199-2025</t>
        </is>
      </c>
      <c r="B64" s="1" t="n">
        <v>46010.46091435185</v>
      </c>
      <c r="C64" s="1" t="n">
        <v>46160</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26890-2022</t>
        </is>
      </c>
      <c r="B65" s="1" t="n">
        <v>44740</v>
      </c>
      <c r="C65" s="1" t="n">
        <v>46160</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57920-2024</t>
        </is>
      </c>
      <c r="B66" s="1" t="n">
        <v>45631.50894675926</v>
      </c>
      <c r="C66" s="1" t="n">
        <v>46160</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2077-2023</t>
        </is>
      </c>
      <c r="B67" s="1" t="n">
        <v>44939</v>
      </c>
      <c r="C67" s="1" t="n">
        <v>46160</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44389-2021</t>
        </is>
      </c>
      <c r="B68" s="1" t="n">
        <v>44435</v>
      </c>
      <c r="C68" s="1" t="n">
        <v>46160</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31695-2024</t>
        </is>
      </c>
      <c r="B69" s="1" t="n">
        <v>45508</v>
      </c>
      <c r="C69" s="1" t="n">
        <v>46160</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42636-2023</t>
        </is>
      </c>
      <c r="B70" s="1" t="n">
        <v>45181.49559027778</v>
      </c>
      <c r="C70" s="1" t="n">
        <v>46160</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46160</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23606-2021</t>
        </is>
      </c>
      <c r="B72" s="1" t="n">
        <v>44334</v>
      </c>
      <c r="C72" s="1" t="n">
        <v>46160</v>
      </c>
      <c r="D72" t="inlineStr">
        <is>
          <t>ÖREBRO LÄN</t>
        </is>
      </c>
      <c r="E72" t="inlineStr">
        <is>
          <t>ÖREBRO</t>
        </is>
      </c>
      <c r="G72" t="n">
        <v>2.4</v>
      </c>
      <c r="H72" t="n">
        <v>0</v>
      </c>
      <c r="I72" t="n">
        <v>0</v>
      </c>
      <c r="J72" t="n">
        <v>0</v>
      </c>
      <c r="K72" t="n">
        <v>0</v>
      </c>
      <c r="L72" t="n">
        <v>0</v>
      </c>
      <c r="M72" t="n">
        <v>0</v>
      </c>
      <c r="N72" t="n">
        <v>0</v>
      </c>
      <c r="O72" t="n">
        <v>0</v>
      </c>
      <c r="P72" t="n">
        <v>0</v>
      </c>
      <c r="Q72" t="n">
        <v>0</v>
      </c>
      <c r="R72" s="2" t="inlineStr"/>
    </row>
    <row r="73" ht="15" customHeight="1">
      <c r="A73" t="inlineStr">
        <is>
          <t>A 33865-2021</t>
        </is>
      </c>
      <c r="B73" s="1" t="n">
        <v>44378.62756944444</v>
      </c>
      <c r="C73" s="1" t="n">
        <v>46160</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46160</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70540-2021</t>
        </is>
      </c>
      <c r="B75" s="1" t="n">
        <v>44537</v>
      </c>
      <c r="C75" s="1" t="n">
        <v>46160</v>
      </c>
      <c r="D75" t="inlineStr">
        <is>
          <t>ÖREBRO LÄN</t>
        </is>
      </c>
      <c r="E75" t="inlineStr">
        <is>
          <t>ÖREBRO</t>
        </is>
      </c>
      <c r="G75" t="n">
        <v>7.1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46160</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59584-2021</t>
        </is>
      </c>
      <c r="B77" s="1" t="n">
        <v>44491</v>
      </c>
      <c r="C77" s="1" t="n">
        <v>46160</v>
      </c>
      <c r="D77" t="inlineStr">
        <is>
          <t>ÖREBRO LÄN</t>
        </is>
      </c>
      <c r="E77" t="inlineStr">
        <is>
          <t>ÖREBRO</t>
        </is>
      </c>
      <c r="G77" t="n">
        <v>1.4</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46160</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46160</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46160</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46160</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46160</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46160</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46160</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46160</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46160</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46160</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46160</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66970-2021</t>
        </is>
      </c>
      <c r="B89" s="1" t="n">
        <v>44522</v>
      </c>
      <c r="C89" s="1" t="n">
        <v>46160</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16759-2022</t>
        </is>
      </c>
      <c r="B90" s="1" t="n">
        <v>44673</v>
      </c>
      <c r="C90" s="1" t="n">
        <v>46160</v>
      </c>
      <c r="D90" t="inlineStr">
        <is>
          <t>ÖREBRO LÄN</t>
        </is>
      </c>
      <c r="E90" t="inlineStr">
        <is>
          <t>ÖREBRO</t>
        </is>
      </c>
      <c r="G90" t="n">
        <v>2</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46160</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46160</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70871-2021</t>
        </is>
      </c>
      <c r="B93" s="1" t="n">
        <v>44538</v>
      </c>
      <c r="C93" s="1" t="n">
        <v>46160</v>
      </c>
      <c r="D93" t="inlineStr">
        <is>
          <t>ÖREBRO LÄN</t>
        </is>
      </c>
      <c r="E93" t="inlineStr">
        <is>
          <t>ÖREBRO</t>
        </is>
      </c>
      <c r="G93" t="n">
        <v>0.9</v>
      </c>
      <c r="H93" t="n">
        <v>0</v>
      </c>
      <c r="I93" t="n">
        <v>0</v>
      </c>
      <c r="J93" t="n">
        <v>0</v>
      </c>
      <c r="K93" t="n">
        <v>0</v>
      </c>
      <c r="L93" t="n">
        <v>0</v>
      </c>
      <c r="M93" t="n">
        <v>0</v>
      </c>
      <c r="N93" t="n">
        <v>0</v>
      </c>
      <c r="O93" t="n">
        <v>0</v>
      </c>
      <c r="P93" t="n">
        <v>0</v>
      </c>
      <c r="Q93" t="n">
        <v>0</v>
      </c>
      <c r="R93" s="2" t="inlineStr"/>
    </row>
    <row r="94" ht="15" customHeight="1">
      <c r="A94" t="inlineStr">
        <is>
          <t>A 36794-2022</t>
        </is>
      </c>
      <c r="B94" s="1" t="n">
        <v>44805</v>
      </c>
      <c r="C94" s="1" t="n">
        <v>46160</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25660-2021</t>
        </is>
      </c>
      <c r="B95" s="1" t="n">
        <v>44343.5619212963</v>
      </c>
      <c r="C95" s="1" t="n">
        <v>46160</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46160</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26153-2021</t>
        </is>
      </c>
      <c r="B97" s="1" t="n">
        <v>44347</v>
      </c>
      <c r="C97" s="1" t="n">
        <v>46160</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51429-2021</t>
        </is>
      </c>
      <c r="B98" s="1" t="n">
        <v>44461.92744212963</v>
      </c>
      <c r="C98" s="1" t="n">
        <v>46160</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24818-2021</t>
        </is>
      </c>
      <c r="B99" s="1" t="n">
        <v>44340</v>
      </c>
      <c r="C99" s="1" t="n">
        <v>46160</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797-2022</t>
        </is>
      </c>
      <c r="B100" s="1" t="n">
        <v>44566</v>
      </c>
      <c r="C100" s="1" t="n">
        <v>46160</v>
      </c>
      <c r="D100" t="inlineStr">
        <is>
          <t>ÖREBRO LÄN</t>
        </is>
      </c>
      <c r="E100" t="inlineStr">
        <is>
          <t>ÖREBRO</t>
        </is>
      </c>
      <c r="G100" t="n">
        <v>0.1</v>
      </c>
      <c r="H100" t="n">
        <v>0</v>
      </c>
      <c r="I100" t="n">
        <v>0</v>
      </c>
      <c r="J100" t="n">
        <v>0</v>
      </c>
      <c r="K100" t="n">
        <v>0</v>
      </c>
      <c r="L100" t="n">
        <v>0</v>
      </c>
      <c r="M100" t="n">
        <v>0</v>
      </c>
      <c r="N100" t="n">
        <v>0</v>
      </c>
      <c r="O100" t="n">
        <v>0</v>
      </c>
      <c r="P100" t="n">
        <v>0</v>
      </c>
      <c r="Q100" t="n">
        <v>0</v>
      </c>
      <c r="R100" s="2" t="inlineStr"/>
    </row>
    <row r="101" ht="15" customHeight="1">
      <c r="A101" t="inlineStr">
        <is>
          <t>A 35836-2021</t>
        </is>
      </c>
      <c r="B101" s="1" t="n">
        <v>44386</v>
      </c>
      <c r="C101" s="1" t="n">
        <v>46160</v>
      </c>
      <c r="D101" t="inlineStr">
        <is>
          <t>ÖREBRO LÄN</t>
        </is>
      </c>
      <c r="E101" t="inlineStr">
        <is>
          <t>ÖREBRO</t>
        </is>
      </c>
      <c r="F101" t="inlineStr">
        <is>
          <t>Kommuner</t>
        </is>
      </c>
      <c r="G101" t="n">
        <v>2.1</v>
      </c>
      <c r="H101" t="n">
        <v>0</v>
      </c>
      <c r="I101" t="n">
        <v>0</v>
      </c>
      <c r="J101" t="n">
        <v>0</v>
      </c>
      <c r="K101" t="n">
        <v>0</v>
      </c>
      <c r="L101" t="n">
        <v>0</v>
      </c>
      <c r="M101" t="n">
        <v>0</v>
      </c>
      <c r="N101" t="n">
        <v>0</v>
      </c>
      <c r="O101" t="n">
        <v>0</v>
      </c>
      <c r="P101" t="n">
        <v>0</v>
      </c>
      <c r="Q101" t="n">
        <v>0</v>
      </c>
      <c r="R101" s="2" t="inlineStr"/>
    </row>
    <row r="102" ht="15" customHeight="1">
      <c r="A102" t="inlineStr">
        <is>
          <t>A 13045-2022</t>
        </is>
      </c>
      <c r="B102" s="1" t="n">
        <v>44643</v>
      </c>
      <c r="C102" s="1" t="n">
        <v>46160</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64523-2021</t>
        </is>
      </c>
      <c r="B103" s="1" t="n">
        <v>44511</v>
      </c>
      <c r="C103" s="1" t="n">
        <v>46160</v>
      </c>
      <c r="D103" t="inlineStr">
        <is>
          <t>ÖREBRO LÄN</t>
        </is>
      </c>
      <c r="E103" t="inlineStr">
        <is>
          <t>ÖREBRO</t>
        </is>
      </c>
      <c r="G103" t="n">
        <v>1.2</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46160</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46160</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46160</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28870-2021</t>
        </is>
      </c>
      <c r="B107" s="1" t="n">
        <v>44357.75265046296</v>
      </c>
      <c r="C107" s="1" t="n">
        <v>46160</v>
      </c>
      <c r="D107" t="inlineStr">
        <is>
          <t>ÖREBRO LÄN</t>
        </is>
      </c>
      <c r="E107" t="inlineStr">
        <is>
          <t>ÖREBRO</t>
        </is>
      </c>
      <c r="F107" t="inlineStr">
        <is>
          <t>Övriga Aktiebolag</t>
        </is>
      </c>
      <c r="G107" t="n">
        <v>2.4</v>
      </c>
      <c r="H107" t="n">
        <v>0</v>
      </c>
      <c r="I107" t="n">
        <v>0</v>
      </c>
      <c r="J107" t="n">
        <v>0</v>
      </c>
      <c r="K107" t="n">
        <v>0</v>
      </c>
      <c r="L107" t="n">
        <v>0</v>
      </c>
      <c r="M107" t="n">
        <v>0</v>
      </c>
      <c r="N107" t="n">
        <v>0</v>
      </c>
      <c r="O107" t="n">
        <v>0</v>
      </c>
      <c r="P107" t="n">
        <v>0</v>
      </c>
      <c r="Q107" t="n">
        <v>0</v>
      </c>
      <c r="R107" s="2" t="inlineStr"/>
    </row>
    <row r="108" ht="15" customHeight="1">
      <c r="A108" t="inlineStr">
        <is>
          <t>A 58138-2021</t>
        </is>
      </c>
      <c r="B108" s="1" t="n">
        <v>44487</v>
      </c>
      <c r="C108" s="1" t="n">
        <v>46160</v>
      </c>
      <c r="D108" t="inlineStr">
        <is>
          <t>ÖREBRO LÄN</t>
        </is>
      </c>
      <c r="E108" t="inlineStr">
        <is>
          <t>ÖREBRO</t>
        </is>
      </c>
      <c r="G108" t="n">
        <v>1.2</v>
      </c>
      <c r="H108" t="n">
        <v>0</v>
      </c>
      <c r="I108" t="n">
        <v>0</v>
      </c>
      <c r="J108" t="n">
        <v>0</v>
      </c>
      <c r="K108" t="n">
        <v>0</v>
      </c>
      <c r="L108" t="n">
        <v>0</v>
      </c>
      <c r="M108" t="n">
        <v>0</v>
      </c>
      <c r="N108" t="n">
        <v>0</v>
      </c>
      <c r="O108" t="n">
        <v>0</v>
      </c>
      <c r="P108" t="n">
        <v>0</v>
      </c>
      <c r="Q108" t="n">
        <v>0</v>
      </c>
      <c r="R108" s="2" t="inlineStr"/>
    </row>
    <row r="109" ht="15" customHeight="1">
      <c r="A109" t="inlineStr">
        <is>
          <t>A 63247-2021</t>
        </is>
      </c>
      <c r="B109" s="1" t="n">
        <v>44505</v>
      </c>
      <c r="C109" s="1" t="n">
        <v>46160</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6638-2022</t>
        </is>
      </c>
      <c r="B110" s="1" t="n">
        <v>44601</v>
      </c>
      <c r="C110" s="1" t="n">
        <v>46160</v>
      </c>
      <c r="D110" t="inlineStr">
        <is>
          <t>ÖREBRO LÄN</t>
        </is>
      </c>
      <c r="E110" t="inlineStr">
        <is>
          <t>ÖREBRO</t>
        </is>
      </c>
      <c r="G110" t="n">
        <v>3.3</v>
      </c>
      <c r="H110" t="n">
        <v>0</v>
      </c>
      <c r="I110" t="n">
        <v>0</v>
      </c>
      <c r="J110" t="n">
        <v>0</v>
      </c>
      <c r="K110" t="n">
        <v>0</v>
      </c>
      <c r="L110" t="n">
        <v>0</v>
      </c>
      <c r="M110" t="n">
        <v>0</v>
      </c>
      <c r="N110" t="n">
        <v>0</v>
      </c>
      <c r="O110" t="n">
        <v>0</v>
      </c>
      <c r="P110" t="n">
        <v>0</v>
      </c>
      <c r="Q110" t="n">
        <v>0</v>
      </c>
      <c r="R110" s="2" t="inlineStr"/>
    </row>
    <row r="111" ht="15" customHeight="1">
      <c r="A111" t="inlineStr">
        <is>
          <t>A 30760-2022</t>
        </is>
      </c>
      <c r="B111" s="1" t="n">
        <v>44764.51827546296</v>
      </c>
      <c r="C111" s="1" t="n">
        <v>46160</v>
      </c>
      <c r="D111" t="inlineStr">
        <is>
          <t>ÖREBRO LÄN</t>
        </is>
      </c>
      <c r="E111" t="inlineStr">
        <is>
          <t>ÖREBRO</t>
        </is>
      </c>
      <c r="G111" t="n">
        <v>4</v>
      </c>
      <c r="H111" t="n">
        <v>0</v>
      </c>
      <c r="I111" t="n">
        <v>0</v>
      </c>
      <c r="J111" t="n">
        <v>0</v>
      </c>
      <c r="K111" t="n">
        <v>0</v>
      </c>
      <c r="L111" t="n">
        <v>0</v>
      </c>
      <c r="M111" t="n">
        <v>0</v>
      </c>
      <c r="N111" t="n">
        <v>0</v>
      </c>
      <c r="O111" t="n">
        <v>0</v>
      </c>
      <c r="P111" t="n">
        <v>0</v>
      </c>
      <c r="Q111" t="n">
        <v>0</v>
      </c>
      <c r="R111" s="2" t="inlineStr"/>
    </row>
    <row r="112" ht="15" customHeight="1">
      <c r="A112" t="inlineStr">
        <is>
          <t>A 29490-2022</t>
        </is>
      </c>
      <c r="B112" s="1" t="n">
        <v>44753</v>
      </c>
      <c r="C112" s="1" t="n">
        <v>46160</v>
      </c>
      <c r="D112" t="inlineStr">
        <is>
          <t>ÖREBRO LÄN</t>
        </is>
      </c>
      <c r="E112" t="inlineStr">
        <is>
          <t>ÖREBRO</t>
        </is>
      </c>
      <c r="F112" t="inlineStr">
        <is>
          <t>Kommuner</t>
        </is>
      </c>
      <c r="G112" t="n">
        <v>0.3</v>
      </c>
      <c r="H112" t="n">
        <v>0</v>
      </c>
      <c r="I112" t="n">
        <v>0</v>
      </c>
      <c r="J112" t="n">
        <v>0</v>
      </c>
      <c r="K112" t="n">
        <v>0</v>
      </c>
      <c r="L112" t="n">
        <v>0</v>
      </c>
      <c r="M112" t="n">
        <v>0</v>
      </c>
      <c r="N112" t="n">
        <v>0</v>
      </c>
      <c r="O112" t="n">
        <v>0</v>
      </c>
      <c r="P112" t="n">
        <v>0</v>
      </c>
      <c r="Q112" t="n">
        <v>0</v>
      </c>
      <c r="R112" s="2" t="inlineStr"/>
    </row>
    <row r="113" ht="15" customHeight="1">
      <c r="A113" t="inlineStr">
        <is>
          <t>A 37395-2021</t>
        </is>
      </c>
      <c r="B113" s="1" t="n">
        <v>44398</v>
      </c>
      <c r="C113" s="1" t="n">
        <v>46160</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66936-2021</t>
        </is>
      </c>
      <c r="B114" s="1" t="n">
        <v>44522.56349537037</v>
      </c>
      <c r="C114" s="1" t="n">
        <v>46160</v>
      </c>
      <c r="D114" t="inlineStr">
        <is>
          <t>ÖREBRO LÄN</t>
        </is>
      </c>
      <c r="E114" t="inlineStr">
        <is>
          <t>ÖREBRO</t>
        </is>
      </c>
      <c r="G114" t="n">
        <v>6.8</v>
      </c>
      <c r="H114" t="n">
        <v>0</v>
      </c>
      <c r="I114" t="n">
        <v>0</v>
      </c>
      <c r="J114" t="n">
        <v>0</v>
      </c>
      <c r="K114" t="n">
        <v>0</v>
      </c>
      <c r="L114" t="n">
        <v>0</v>
      </c>
      <c r="M114" t="n">
        <v>0</v>
      </c>
      <c r="N114" t="n">
        <v>0</v>
      </c>
      <c r="O114" t="n">
        <v>0</v>
      </c>
      <c r="P114" t="n">
        <v>0</v>
      </c>
      <c r="Q114" t="n">
        <v>0</v>
      </c>
      <c r="R114" s="2" t="inlineStr"/>
    </row>
    <row r="115" ht="15" customHeight="1">
      <c r="A115" t="inlineStr">
        <is>
          <t>A 44131-2022</t>
        </is>
      </c>
      <c r="B115" s="1" t="n">
        <v>44839</v>
      </c>
      <c r="C115" s="1" t="n">
        <v>46160</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18321-2022</t>
        </is>
      </c>
      <c r="B116" s="1" t="n">
        <v>44685</v>
      </c>
      <c r="C116" s="1" t="n">
        <v>46160</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32231-2022</t>
        </is>
      </c>
      <c r="B117" s="1" t="n">
        <v>44781</v>
      </c>
      <c r="C117" s="1" t="n">
        <v>46160</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32247-2022</t>
        </is>
      </c>
      <c r="B118" s="1" t="n">
        <v>44781</v>
      </c>
      <c r="C118" s="1" t="n">
        <v>46160</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41553-2022</t>
        </is>
      </c>
      <c r="B119" s="1" t="n">
        <v>44827.3940625</v>
      </c>
      <c r="C119" s="1" t="n">
        <v>46160</v>
      </c>
      <c r="D119" t="inlineStr">
        <is>
          <t>ÖREBRO LÄN</t>
        </is>
      </c>
      <c r="E119" t="inlineStr">
        <is>
          <t>ÖREBRO</t>
        </is>
      </c>
      <c r="G119" t="n">
        <v>3.7</v>
      </c>
      <c r="H119" t="n">
        <v>0</v>
      </c>
      <c r="I119" t="n">
        <v>0</v>
      </c>
      <c r="J119" t="n">
        <v>0</v>
      </c>
      <c r="K119" t="n">
        <v>0</v>
      </c>
      <c r="L119" t="n">
        <v>0</v>
      </c>
      <c r="M119" t="n">
        <v>0</v>
      </c>
      <c r="N119" t="n">
        <v>0</v>
      </c>
      <c r="O119" t="n">
        <v>0</v>
      </c>
      <c r="P119" t="n">
        <v>0</v>
      </c>
      <c r="Q119" t="n">
        <v>0</v>
      </c>
      <c r="R119" s="2" t="inlineStr"/>
    </row>
    <row r="120" ht="15" customHeight="1">
      <c r="A120" t="inlineStr">
        <is>
          <t>A 14562-2022</t>
        </is>
      </c>
      <c r="B120" s="1" t="n">
        <v>44655</v>
      </c>
      <c r="C120" s="1" t="n">
        <v>46160</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19458-2022</t>
        </is>
      </c>
      <c r="B121" s="1" t="n">
        <v>44693</v>
      </c>
      <c r="C121" s="1" t="n">
        <v>46160</v>
      </c>
      <c r="D121" t="inlineStr">
        <is>
          <t>ÖREBRO LÄN</t>
        </is>
      </c>
      <c r="E121" t="inlineStr">
        <is>
          <t>ÖREBRO</t>
        </is>
      </c>
      <c r="G121" t="n">
        <v>0.7</v>
      </c>
      <c r="H121" t="n">
        <v>0</v>
      </c>
      <c r="I121" t="n">
        <v>0</v>
      </c>
      <c r="J121" t="n">
        <v>0</v>
      </c>
      <c r="K121" t="n">
        <v>0</v>
      </c>
      <c r="L121" t="n">
        <v>0</v>
      </c>
      <c r="M121" t="n">
        <v>0</v>
      </c>
      <c r="N121" t="n">
        <v>0</v>
      </c>
      <c r="O121" t="n">
        <v>0</v>
      </c>
      <c r="P121" t="n">
        <v>0</v>
      </c>
      <c r="Q121" t="n">
        <v>0</v>
      </c>
      <c r="R121" s="2" t="inlineStr"/>
    </row>
    <row r="122" ht="15" customHeight="1">
      <c r="A122" t="inlineStr">
        <is>
          <t>A 33814-2021</t>
        </is>
      </c>
      <c r="B122" s="1" t="n">
        <v>44378</v>
      </c>
      <c r="C122" s="1" t="n">
        <v>46160</v>
      </c>
      <c r="D122" t="inlineStr">
        <is>
          <t>ÖREBRO LÄN</t>
        </is>
      </c>
      <c r="E122" t="inlineStr">
        <is>
          <t>ÖREBRO</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13631-2022</t>
        </is>
      </c>
      <c r="B123" s="1" t="n">
        <v>44648</v>
      </c>
      <c r="C123" s="1" t="n">
        <v>46160</v>
      </c>
      <c r="D123" t="inlineStr">
        <is>
          <t>ÖREBRO LÄN</t>
        </is>
      </c>
      <c r="E123" t="inlineStr">
        <is>
          <t>ÖREBRO</t>
        </is>
      </c>
      <c r="G123" t="n">
        <v>10.4</v>
      </c>
      <c r="H123" t="n">
        <v>0</v>
      </c>
      <c r="I123" t="n">
        <v>0</v>
      </c>
      <c r="J123" t="n">
        <v>0</v>
      </c>
      <c r="K123" t="n">
        <v>0</v>
      </c>
      <c r="L123" t="n">
        <v>0</v>
      </c>
      <c r="M123" t="n">
        <v>0</v>
      </c>
      <c r="N123" t="n">
        <v>0</v>
      </c>
      <c r="O123" t="n">
        <v>0</v>
      </c>
      <c r="P123" t="n">
        <v>0</v>
      </c>
      <c r="Q123" t="n">
        <v>0</v>
      </c>
      <c r="R123" s="2" t="inlineStr"/>
    </row>
    <row r="124" ht="15" customHeight="1">
      <c r="A124" t="inlineStr">
        <is>
          <t>A 57343-2021</t>
        </is>
      </c>
      <c r="B124" s="1" t="n">
        <v>44482</v>
      </c>
      <c r="C124" s="1" t="n">
        <v>46160</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26118-2021</t>
        </is>
      </c>
      <c r="B125" s="1" t="n">
        <v>44345</v>
      </c>
      <c r="C125" s="1" t="n">
        <v>46160</v>
      </c>
      <c r="D125" t="inlineStr">
        <is>
          <t>ÖREBRO LÄN</t>
        </is>
      </c>
      <c r="E125" t="inlineStr">
        <is>
          <t>ÖREBRO</t>
        </is>
      </c>
      <c r="G125" t="n">
        <v>2.2</v>
      </c>
      <c r="H125" t="n">
        <v>0</v>
      </c>
      <c r="I125" t="n">
        <v>0</v>
      </c>
      <c r="J125" t="n">
        <v>0</v>
      </c>
      <c r="K125" t="n">
        <v>0</v>
      </c>
      <c r="L125" t="n">
        <v>0</v>
      </c>
      <c r="M125" t="n">
        <v>0</v>
      </c>
      <c r="N125" t="n">
        <v>0</v>
      </c>
      <c r="O125" t="n">
        <v>0</v>
      </c>
      <c r="P125" t="n">
        <v>0</v>
      </c>
      <c r="Q125" t="n">
        <v>0</v>
      </c>
      <c r="R125" s="2" t="inlineStr"/>
    </row>
    <row r="126" ht="15" customHeight="1">
      <c r="A126" t="inlineStr">
        <is>
          <t>A 26119-2021</t>
        </is>
      </c>
      <c r="B126" s="1" t="n">
        <v>44345.33282407407</v>
      </c>
      <c r="C126" s="1" t="n">
        <v>46160</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9362-2022</t>
        </is>
      </c>
      <c r="B127" s="1" t="n">
        <v>44616.59946759259</v>
      </c>
      <c r="C127" s="1" t="n">
        <v>46160</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16261-2022</t>
        </is>
      </c>
      <c r="B128" s="1" t="n">
        <v>44670</v>
      </c>
      <c r="C128" s="1" t="n">
        <v>46160</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44165-2022</t>
        </is>
      </c>
      <c r="B129" s="1" t="n">
        <v>44839</v>
      </c>
      <c r="C129" s="1" t="n">
        <v>46160</v>
      </c>
      <c r="D129" t="inlineStr">
        <is>
          <t>ÖREBRO LÄN</t>
        </is>
      </c>
      <c r="E129" t="inlineStr">
        <is>
          <t>ÖREBRO</t>
        </is>
      </c>
      <c r="G129" t="n">
        <v>0.5</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46160</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57498-2021</t>
        </is>
      </c>
      <c r="B131" s="1" t="n">
        <v>44483</v>
      </c>
      <c r="C131" s="1" t="n">
        <v>46160</v>
      </c>
      <c r="D131" t="inlineStr">
        <is>
          <t>ÖREBRO LÄN</t>
        </is>
      </c>
      <c r="E131" t="inlineStr">
        <is>
          <t>ÖREBRO</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51268-2022</t>
        </is>
      </c>
      <c r="B132" s="1" t="n">
        <v>44868</v>
      </c>
      <c r="C132" s="1" t="n">
        <v>46160</v>
      </c>
      <c r="D132" t="inlineStr">
        <is>
          <t>ÖREBRO LÄN</t>
        </is>
      </c>
      <c r="E132" t="inlineStr">
        <is>
          <t>ÖREBRO</t>
        </is>
      </c>
      <c r="G132" t="n">
        <v>3.8</v>
      </c>
      <c r="H132" t="n">
        <v>0</v>
      </c>
      <c r="I132" t="n">
        <v>0</v>
      </c>
      <c r="J132" t="n">
        <v>0</v>
      </c>
      <c r="K132" t="n">
        <v>0</v>
      </c>
      <c r="L132" t="n">
        <v>0</v>
      </c>
      <c r="M132" t="n">
        <v>0</v>
      </c>
      <c r="N132" t="n">
        <v>0</v>
      </c>
      <c r="O132" t="n">
        <v>0</v>
      </c>
      <c r="P132" t="n">
        <v>0</v>
      </c>
      <c r="Q132" t="n">
        <v>0</v>
      </c>
      <c r="R132" s="2" t="inlineStr"/>
    </row>
    <row r="133" ht="15" customHeight="1">
      <c r="A133" t="inlineStr">
        <is>
          <t>A 18047-2022</t>
        </is>
      </c>
      <c r="B133" s="1" t="n">
        <v>44684</v>
      </c>
      <c r="C133" s="1" t="n">
        <v>46160</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26509-2021</t>
        </is>
      </c>
      <c r="B134" s="1" t="n">
        <v>44348.45107638889</v>
      </c>
      <c r="C134" s="1" t="n">
        <v>46160</v>
      </c>
      <c r="D134" t="inlineStr">
        <is>
          <t>ÖREBRO LÄN</t>
        </is>
      </c>
      <c r="E134" t="inlineStr">
        <is>
          <t>ÖREBRO</t>
        </is>
      </c>
      <c r="G134" t="n">
        <v>2.5</v>
      </c>
      <c r="H134" t="n">
        <v>0</v>
      </c>
      <c r="I134" t="n">
        <v>0</v>
      </c>
      <c r="J134" t="n">
        <v>0</v>
      </c>
      <c r="K134" t="n">
        <v>0</v>
      </c>
      <c r="L134" t="n">
        <v>0</v>
      </c>
      <c r="M134" t="n">
        <v>0</v>
      </c>
      <c r="N134" t="n">
        <v>0</v>
      </c>
      <c r="O134" t="n">
        <v>0</v>
      </c>
      <c r="P134" t="n">
        <v>0</v>
      </c>
      <c r="Q134" t="n">
        <v>0</v>
      </c>
      <c r="R134" s="2" t="inlineStr"/>
    </row>
    <row r="135" ht="15" customHeight="1">
      <c r="A135" t="inlineStr">
        <is>
          <t>A 4766-2022</t>
        </is>
      </c>
      <c r="B135" s="1" t="n">
        <v>44592</v>
      </c>
      <c r="C135" s="1" t="n">
        <v>46160</v>
      </c>
      <c r="D135" t="inlineStr">
        <is>
          <t>ÖREBRO LÄN</t>
        </is>
      </c>
      <c r="E135" t="inlineStr">
        <is>
          <t>ÖREBRO</t>
        </is>
      </c>
      <c r="G135" t="n">
        <v>2.9</v>
      </c>
      <c r="H135" t="n">
        <v>0</v>
      </c>
      <c r="I135" t="n">
        <v>0</v>
      </c>
      <c r="J135" t="n">
        <v>0</v>
      </c>
      <c r="K135" t="n">
        <v>0</v>
      </c>
      <c r="L135" t="n">
        <v>0</v>
      </c>
      <c r="M135" t="n">
        <v>0</v>
      </c>
      <c r="N135" t="n">
        <v>0</v>
      </c>
      <c r="O135" t="n">
        <v>0</v>
      </c>
      <c r="P135" t="n">
        <v>0</v>
      </c>
      <c r="Q135" t="n">
        <v>0</v>
      </c>
      <c r="R135" s="2" t="inlineStr"/>
    </row>
    <row r="136" ht="15" customHeight="1">
      <c r="A136" t="inlineStr">
        <is>
          <t>A 40312-2021</t>
        </is>
      </c>
      <c r="B136" s="1" t="n">
        <v>44419</v>
      </c>
      <c r="C136" s="1" t="n">
        <v>46160</v>
      </c>
      <c r="D136" t="inlineStr">
        <is>
          <t>ÖREBRO LÄN</t>
        </is>
      </c>
      <c r="E136" t="inlineStr">
        <is>
          <t>ÖREBRO</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12478-2022</t>
        </is>
      </c>
      <c r="B137" s="1" t="n">
        <v>44638</v>
      </c>
      <c r="C137" s="1" t="n">
        <v>46160</v>
      </c>
      <c r="D137" t="inlineStr">
        <is>
          <t>ÖREBRO LÄN</t>
        </is>
      </c>
      <c r="E137" t="inlineStr">
        <is>
          <t>ÖREBRO</t>
        </is>
      </c>
      <c r="F137" t="inlineStr">
        <is>
          <t>Kyrkan</t>
        </is>
      </c>
      <c r="G137" t="n">
        <v>1.4</v>
      </c>
      <c r="H137" t="n">
        <v>0</v>
      </c>
      <c r="I137" t="n">
        <v>0</v>
      </c>
      <c r="J137" t="n">
        <v>0</v>
      </c>
      <c r="K137" t="n">
        <v>0</v>
      </c>
      <c r="L137" t="n">
        <v>0</v>
      </c>
      <c r="M137" t="n">
        <v>0</v>
      </c>
      <c r="N137" t="n">
        <v>0</v>
      </c>
      <c r="O137" t="n">
        <v>0</v>
      </c>
      <c r="P137" t="n">
        <v>0</v>
      </c>
      <c r="Q137" t="n">
        <v>0</v>
      </c>
      <c r="R137" s="2" t="inlineStr"/>
    </row>
    <row r="138" ht="15" customHeight="1">
      <c r="A138" t="inlineStr">
        <is>
          <t>A 5401-2022</t>
        </is>
      </c>
      <c r="B138" s="1" t="n">
        <v>44595</v>
      </c>
      <c r="C138" s="1" t="n">
        <v>46160</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row>
    <row r="139" ht="15" customHeight="1">
      <c r="A139" t="inlineStr">
        <is>
          <t>A 19978-2025</t>
        </is>
      </c>
      <c r="B139" s="1" t="n">
        <v>45771.7062037037</v>
      </c>
      <c r="C139" s="1" t="n">
        <v>46160</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13169-2024</t>
        </is>
      </c>
      <c r="B140" s="1" t="n">
        <v>45386.40489583334</v>
      </c>
      <c r="C140" s="1" t="n">
        <v>46160</v>
      </c>
      <c r="D140" t="inlineStr">
        <is>
          <t>ÖREBRO LÄN</t>
        </is>
      </c>
      <c r="E140" t="inlineStr">
        <is>
          <t>ÖREBRO</t>
        </is>
      </c>
      <c r="G140" t="n">
        <v>4.3</v>
      </c>
      <c r="H140" t="n">
        <v>0</v>
      </c>
      <c r="I140" t="n">
        <v>0</v>
      </c>
      <c r="J140" t="n">
        <v>0</v>
      </c>
      <c r="K140" t="n">
        <v>0</v>
      </c>
      <c r="L140" t="n">
        <v>0</v>
      </c>
      <c r="M140" t="n">
        <v>0</v>
      </c>
      <c r="N140" t="n">
        <v>0</v>
      </c>
      <c r="O140" t="n">
        <v>0</v>
      </c>
      <c r="P140" t="n">
        <v>0</v>
      </c>
      <c r="Q140" t="n">
        <v>0</v>
      </c>
      <c r="R140" s="2" t="inlineStr"/>
    </row>
    <row r="141" ht="15" customHeight="1">
      <c r="A141" t="inlineStr">
        <is>
          <t>A 15354-2024</t>
        </is>
      </c>
      <c r="B141" s="1" t="n">
        <v>45400.85319444445</v>
      </c>
      <c r="C141" s="1" t="n">
        <v>46160</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11067-2025</t>
        </is>
      </c>
      <c r="B142" s="1" t="n">
        <v>45723</v>
      </c>
      <c r="C142" s="1" t="n">
        <v>46160</v>
      </c>
      <c r="D142" t="inlineStr">
        <is>
          <t>ÖREBRO LÄN</t>
        </is>
      </c>
      <c r="E142" t="inlineStr">
        <is>
          <t>ÖREBRO</t>
        </is>
      </c>
      <c r="G142" t="n">
        <v>3.1</v>
      </c>
      <c r="H142" t="n">
        <v>0</v>
      </c>
      <c r="I142" t="n">
        <v>0</v>
      </c>
      <c r="J142" t="n">
        <v>0</v>
      </c>
      <c r="K142" t="n">
        <v>0</v>
      </c>
      <c r="L142" t="n">
        <v>0</v>
      </c>
      <c r="M142" t="n">
        <v>0</v>
      </c>
      <c r="N142" t="n">
        <v>0</v>
      </c>
      <c r="O142" t="n">
        <v>0</v>
      </c>
      <c r="P142" t="n">
        <v>0</v>
      </c>
      <c r="Q142" t="n">
        <v>0</v>
      </c>
      <c r="R142" s="2" t="inlineStr"/>
    </row>
    <row r="143" ht="15" customHeight="1">
      <c r="A143" t="inlineStr">
        <is>
          <t>A 9585-2025</t>
        </is>
      </c>
      <c r="B143" s="1" t="n">
        <v>45715.63409722222</v>
      </c>
      <c r="C143" s="1" t="n">
        <v>46160</v>
      </c>
      <c r="D143" t="inlineStr">
        <is>
          <t>ÖREBRO LÄN</t>
        </is>
      </c>
      <c r="E143" t="inlineStr">
        <is>
          <t>ÖREBRO</t>
        </is>
      </c>
      <c r="G143" t="n">
        <v>3.4</v>
      </c>
      <c r="H143" t="n">
        <v>0</v>
      </c>
      <c r="I143" t="n">
        <v>0</v>
      </c>
      <c r="J143" t="n">
        <v>0</v>
      </c>
      <c r="K143" t="n">
        <v>0</v>
      </c>
      <c r="L143" t="n">
        <v>0</v>
      </c>
      <c r="M143" t="n">
        <v>0</v>
      </c>
      <c r="N143" t="n">
        <v>0</v>
      </c>
      <c r="O143" t="n">
        <v>0</v>
      </c>
      <c r="P143" t="n">
        <v>0</v>
      </c>
      <c r="Q143" t="n">
        <v>0</v>
      </c>
      <c r="R143" s="2" t="inlineStr"/>
    </row>
    <row r="144" ht="15" customHeight="1">
      <c r="A144" t="inlineStr">
        <is>
          <t>A 5357-2024</t>
        </is>
      </c>
      <c r="B144" s="1" t="n">
        <v>45331</v>
      </c>
      <c r="C144" s="1" t="n">
        <v>46160</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6879-2024</t>
        </is>
      </c>
      <c r="B145" s="1" t="n">
        <v>45342.85280092592</v>
      </c>
      <c r="C145" s="1" t="n">
        <v>46160</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5125-2024</t>
        </is>
      </c>
      <c r="B146" s="1" t="n">
        <v>45330</v>
      </c>
      <c r="C146" s="1" t="n">
        <v>46160</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681-2024</t>
        </is>
      </c>
      <c r="B147" s="1" t="n">
        <v>45300</v>
      </c>
      <c r="C147" s="1" t="n">
        <v>46160</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14234-2024</t>
        </is>
      </c>
      <c r="B148" s="1" t="n">
        <v>45393.46980324074</v>
      </c>
      <c r="C148" s="1" t="n">
        <v>46160</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55593-2022</t>
        </is>
      </c>
      <c r="B149" s="1" t="n">
        <v>44888</v>
      </c>
      <c r="C149" s="1" t="n">
        <v>46160</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43612-2022</t>
        </is>
      </c>
      <c r="B150" s="1" t="n">
        <v>44837</v>
      </c>
      <c r="C150" s="1" t="n">
        <v>46160</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50446-2023</t>
        </is>
      </c>
      <c r="B151" s="1" t="n">
        <v>45216</v>
      </c>
      <c r="C151" s="1" t="n">
        <v>46160</v>
      </c>
      <c r="D151" t="inlineStr">
        <is>
          <t>ÖREBRO LÄN</t>
        </is>
      </c>
      <c r="E151" t="inlineStr">
        <is>
          <t>ÖREBRO</t>
        </is>
      </c>
      <c r="F151" t="inlineStr">
        <is>
          <t>Övriga Aktiebolag</t>
        </is>
      </c>
      <c r="G151" t="n">
        <v>2.8</v>
      </c>
      <c r="H151" t="n">
        <v>0</v>
      </c>
      <c r="I151" t="n">
        <v>0</v>
      </c>
      <c r="J151" t="n">
        <v>0</v>
      </c>
      <c r="K151" t="n">
        <v>0</v>
      </c>
      <c r="L151" t="n">
        <v>0</v>
      </c>
      <c r="M151" t="n">
        <v>0</v>
      </c>
      <c r="N151" t="n">
        <v>0</v>
      </c>
      <c r="O151" t="n">
        <v>0</v>
      </c>
      <c r="P151" t="n">
        <v>0</v>
      </c>
      <c r="Q151" t="n">
        <v>0</v>
      </c>
      <c r="R151" s="2" t="inlineStr"/>
    </row>
    <row r="152" ht="15" customHeight="1">
      <c r="A152" t="inlineStr">
        <is>
          <t>A 50450-2023</t>
        </is>
      </c>
      <c r="B152" s="1" t="n">
        <v>45216.73533564815</v>
      </c>
      <c r="C152" s="1" t="n">
        <v>46160</v>
      </c>
      <c r="D152" t="inlineStr">
        <is>
          <t>ÖREBRO LÄN</t>
        </is>
      </c>
      <c r="E152" t="inlineStr">
        <is>
          <t>ÖREBRO</t>
        </is>
      </c>
      <c r="F152" t="inlineStr">
        <is>
          <t>Övriga Aktiebolag</t>
        </is>
      </c>
      <c r="G152" t="n">
        <v>0.8</v>
      </c>
      <c r="H152" t="n">
        <v>0</v>
      </c>
      <c r="I152" t="n">
        <v>0</v>
      </c>
      <c r="J152" t="n">
        <v>0</v>
      </c>
      <c r="K152" t="n">
        <v>0</v>
      </c>
      <c r="L152" t="n">
        <v>0</v>
      </c>
      <c r="M152" t="n">
        <v>0</v>
      </c>
      <c r="N152" t="n">
        <v>0</v>
      </c>
      <c r="O152" t="n">
        <v>0</v>
      </c>
      <c r="P152" t="n">
        <v>0</v>
      </c>
      <c r="Q152" t="n">
        <v>0</v>
      </c>
      <c r="R152" s="2" t="inlineStr"/>
    </row>
    <row r="153" ht="15" customHeight="1">
      <c r="A153" t="inlineStr">
        <is>
          <t>A 42138-2024</t>
        </is>
      </c>
      <c r="B153" s="1" t="n">
        <v>45562.41854166667</v>
      </c>
      <c r="C153" s="1" t="n">
        <v>46160</v>
      </c>
      <c r="D153" t="inlineStr">
        <is>
          <t>ÖREBRO LÄN</t>
        </is>
      </c>
      <c r="E153" t="inlineStr">
        <is>
          <t>ÖREBRO</t>
        </is>
      </c>
      <c r="G153" t="n">
        <v>1.4</v>
      </c>
      <c r="H153" t="n">
        <v>0</v>
      </c>
      <c r="I153" t="n">
        <v>0</v>
      </c>
      <c r="J153" t="n">
        <v>0</v>
      </c>
      <c r="K153" t="n">
        <v>0</v>
      </c>
      <c r="L153" t="n">
        <v>0</v>
      </c>
      <c r="M153" t="n">
        <v>0</v>
      </c>
      <c r="N153" t="n">
        <v>0</v>
      </c>
      <c r="O153" t="n">
        <v>0</v>
      </c>
      <c r="P153" t="n">
        <v>0</v>
      </c>
      <c r="Q153" t="n">
        <v>0</v>
      </c>
      <c r="R153" s="2" t="inlineStr"/>
    </row>
    <row r="154" ht="15" customHeight="1">
      <c r="A154" t="inlineStr">
        <is>
          <t>A 61593-2023</t>
        </is>
      </c>
      <c r="B154" s="1" t="n">
        <v>45265</v>
      </c>
      <c r="C154" s="1" t="n">
        <v>46160</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34874-2022</t>
        </is>
      </c>
      <c r="B155" s="1" t="n">
        <v>44796</v>
      </c>
      <c r="C155" s="1" t="n">
        <v>46160</v>
      </c>
      <c r="D155" t="inlineStr">
        <is>
          <t>ÖREBRO LÄN</t>
        </is>
      </c>
      <c r="E155" t="inlineStr">
        <is>
          <t>ÖREBRO</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38842-2022</t>
        </is>
      </c>
      <c r="B156" s="1" t="n">
        <v>44814</v>
      </c>
      <c r="C156" s="1" t="n">
        <v>46160</v>
      </c>
      <c r="D156" t="inlineStr">
        <is>
          <t>ÖREBRO LÄN</t>
        </is>
      </c>
      <c r="E156" t="inlineStr">
        <is>
          <t>ÖREBRO</t>
        </is>
      </c>
      <c r="G156" t="n">
        <v>5</v>
      </c>
      <c r="H156" t="n">
        <v>0</v>
      </c>
      <c r="I156" t="n">
        <v>0</v>
      </c>
      <c r="J156" t="n">
        <v>0</v>
      </c>
      <c r="K156" t="n">
        <v>0</v>
      </c>
      <c r="L156" t="n">
        <v>0</v>
      </c>
      <c r="M156" t="n">
        <v>0</v>
      </c>
      <c r="N156" t="n">
        <v>0</v>
      </c>
      <c r="O156" t="n">
        <v>0</v>
      </c>
      <c r="P156" t="n">
        <v>0</v>
      </c>
      <c r="Q156" t="n">
        <v>0</v>
      </c>
      <c r="R156" s="2" t="inlineStr"/>
    </row>
    <row r="157" ht="15" customHeight="1">
      <c r="A157" t="inlineStr">
        <is>
          <t>A 52256-2023</t>
        </is>
      </c>
      <c r="B157" s="1" t="n">
        <v>45224.51471064815</v>
      </c>
      <c r="C157" s="1" t="n">
        <v>46160</v>
      </c>
      <c r="D157" t="inlineStr">
        <is>
          <t>ÖREBRO LÄN</t>
        </is>
      </c>
      <c r="E157" t="inlineStr">
        <is>
          <t>ÖREBRO</t>
        </is>
      </c>
      <c r="G157" t="n">
        <v>2.8</v>
      </c>
      <c r="H157" t="n">
        <v>0</v>
      </c>
      <c r="I157" t="n">
        <v>0</v>
      </c>
      <c r="J157" t="n">
        <v>0</v>
      </c>
      <c r="K157" t="n">
        <v>0</v>
      </c>
      <c r="L157" t="n">
        <v>0</v>
      </c>
      <c r="M157" t="n">
        <v>0</v>
      </c>
      <c r="N157" t="n">
        <v>0</v>
      </c>
      <c r="O157" t="n">
        <v>0</v>
      </c>
      <c r="P157" t="n">
        <v>0</v>
      </c>
      <c r="Q157" t="n">
        <v>0</v>
      </c>
      <c r="R157" s="2" t="inlineStr"/>
    </row>
    <row r="158" ht="15" customHeight="1">
      <c r="A158" t="inlineStr">
        <is>
          <t>A 26338-2021</t>
        </is>
      </c>
      <c r="B158" s="1" t="n">
        <v>44347</v>
      </c>
      <c r="C158" s="1" t="n">
        <v>46160</v>
      </c>
      <c r="D158" t="inlineStr">
        <is>
          <t>ÖREBRO LÄN</t>
        </is>
      </c>
      <c r="E158" t="inlineStr">
        <is>
          <t>ÖREBRO</t>
        </is>
      </c>
      <c r="G158" t="n">
        <v>0.5</v>
      </c>
      <c r="H158" t="n">
        <v>0</v>
      </c>
      <c r="I158" t="n">
        <v>0</v>
      </c>
      <c r="J158" t="n">
        <v>0</v>
      </c>
      <c r="K158" t="n">
        <v>0</v>
      </c>
      <c r="L158" t="n">
        <v>0</v>
      </c>
      <c r="M158" t="n">
        <v>0</v>
      </c>
      <c r="N158" t="n">
        <v>0</v>
      </c>
      <c r="O158" t="n">
        <v>0</v>
      </c>
      <c r="P158" t="n">
        <v>0</v>
      </c>
      <c r="Q158" t="n">
        <v>0</v>
      </c>
      <c r="R158" s="2" t="inlineStr"/>
    </row>
    <row r="159" ht="15" customHeight="1">
      <c r="A159" t="inlineStr">
        <is>
          <t>A 71266-2021</t>
        </is>
      </c>
      <c r="B159" s="1" t="n">
        <v>44539</v>
      </c>
      <c r="C159" s="1" t="n">
        <v>46160</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71267-2021</t>
        </is>
      </c>
      <c r="B160" s="1" t="n">
        <v>44539</v>
      </c>
      <c r="C160" s="1" t="n">
        <v>46160</v>
      </c>
      <c r="D160" t="inlineStr">
        <is>
          <t>ÖREBRO LÄN</t>
        </is>
      </c>
      <c r="E160" t="inlineStr">
        <is>
          <t>ÖREBRO</t>
        </is>
      </c>
      <c r="G160" t="n">
        <v>1.7</v>
      </c>
      <c r="H160" t="n">
        <v>0</v>
      </c>
      <c r="I160" t="n">
        <v>0</v>
      </c>
      <c r="J160" t="n">
        <v>0</v>
      </c>
      <c r="K160" t="n">
        <v>0</v>
      </c>
      <c r="L160" t="n">
        <v>0</v>
      </c>
      <c r="M160" t="n">
        <v>0</v>
      </c>
      <c r="N160" t="n">
        <v>0</v>
      </c>
      <c r="O160" t="n">
        <v>0</v>
      </c>
      <c r="P160" t="n">
        <v>0</v>
      </c>
      <c r="Q160" t="n">
        <v>0</v>
      </c>
      <c r="R160" s="2" t="inlineStr"/>
    </row>
    <row r="161" ht="15" customHeight="1">
      <c r="A161" t="inlineStr">
        <is>
          <t>A 71280-2021</t>
        </is>
      </c>
      <c r="B161" s="1" t="n">
        <v>44539</v>
      </c>
      <c r="C161" s="1" t="n">
        <v>46160</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40597-2021</t>
        </is>
      </c>
      <c r="B162" s="1" t="n">
        <v>44420</v>
      </c>
      <c r="C162" s="1" t="n">
        <v>46160</v>
      </c>
      <c r="D162" t="inlineStr">
        <is>
          <t>ÖREBRO LÄN</t>
        </is>
      </c>
      <c r="E162" t="inlineStr">
        <is>
          <t>ÖREBRO</t>
        </is>
      </c>
      <c r="G162" t="n">
        <v>2.1</v>
      </c>
      <c r="H162" t="n">
        <v>0</v>
      </c>
      <c r="I162" t="n">
        <v>0</v>
      </c>
      <c r="J162" t="n">
        <v>0</v>
      </c>
      <c r="K162" t="n">
        <v>0</v>
      </c>
      <c r="L162" t="n">
        <v>0</v>
      </c>
      <c r="M162" t="n">
        <v>0</v>
      </c>
      <c r="N162" t="n">
        <v>0</v>
      </c>
      <c r="O162" t="n">
        <v>0</v>
      </c>
      <c r="P162" t="n">
        <v>0</v>
      </c>
      <c r="Q162" t="n">
        <v>0</v>
      </c>
      <c r="R162" s="2" t="inlineStr"/>
    </row>
    <row r="163" ht="15" customHeight="1">
      <c r="A163" t="inlineStr">
        <is>
          <t>A 15555-2025</t>
        </is>
      </c>
      <c r="B163" s="1" t="n">
        <v>45747.67768518518</v>
      </c>
      <c r="C163" s="1" t="n">
        <v>46160</v>
      </c>
      <c r="D163" t="inlineStr">
        <is>
          <t>ÖREBRO LÄN</t>
        </is>
      </c>
      <c r="E163" t="inlineStr">
        <is>
          <t>ÖREBRO</t>
        </is>
      </c>
      <c r="G163" t="n">
        <v>1.7</v>
      </c>
      <c r="H163" t="n">
        <v>0</v>
      </c>
      <c r="I163" t="n">
        <v>0</v>
      </c>
      <c r="J163" t="n">
        <v>0</v>
      </c>
      <c r="K163" t="n">
        <v>0</v>
      </c>
      <c r="L163" t="n">
        <v>0</v>
      </c>
      <c r="M163" t="n">
        <v>0</v>
      </c>
      <c r="N163" t="n">
        <v>0</v>
      </c>
      <c r="O163" t="n">
        <v>0</v>
      </c>
      <c r="P163" t="n">
        <v>0</v>
      </c>
      <c r="Q163" t="n">
        <v>0</v>
      </c>
      <c r="R163" s="2" t="inlineStr"/>
    </row>
    <row r="164" ht="15" customHeight="1">
      <c r="A164" t="inlineStr">
        <is>
          <t>A 63657-2025</t>
        </is>
      </c>
      <c r="B164" s="1" t="n">
        <v>46014.44479166667</v>
      </c>
      <c r="C164" s="1" t="n">
        <v>46160</v>
      </c>
      <c r="D164" t="inlineStr">
        <is>
          <t>ÖREBRO LÄN</t>
        </is>
      </c>
      <c r="E164" t="inlineStr">
        <is>
          <t>ÖREBRO</t>
        </is>
      </c>
      <c r="F164" t="inlineStr">
        <is>
          <t>Allmännings- och besparingsskogar</t>
        </is>
      </c>
      <c r="G164" t="n">
        <v>3.9</v>
      </c>
      <c r="H164" t="n">
        <v>0</v>
      </c>
      <c r="I164" t="n">
        <v>0</v>
      </c>
      <c r="J164" t="n">
        <v>0</v>
      </c>
      <c r="K164" t="n">
        <v>0</v>
      </c>
      <c r="L164" t="n">
        <v>0</v>
      </c>
      <c r="M164" t="n">
        <v>0</v>
      </c>
      <c r="N164" t="n">
        <v>0</v>
      </c>
      <c r="O164" t="n">
        <v>0</v>
      </c>
      <c r="P164" t="n">
        <v>0</v>
      </c>
      <c r="Q164" t="n">
        <v>0</v>
      </c>
      <c r="R164" s="2" t="inlineStr"/>
    </row>
    <row r="165" ht="15" customHeight="1">
      <c r="A165" t="inlineStr">
        <is>
          <t>A 5136-2024</t>
        </is>
      </c>
      <c r="B165" s="1" t="n">
        <v>45330</v>
      </c>
      <c r="C165" s="1" t="n">
        <v>46160</v>
      </c>
      <c r="D165" t="inlineStr">
        <is>
          <t>ÖREBRO LÄN</t>
        </is>
      </c>
      <c r="E165" t="inlineStr">
        <is>
          <t>ÖREBRO</t>
        </is>
      </c>
      <c r="G165" t="n">
        <v>2.1</v>
      </c>
      <c r="H165" t="n">
        <v>0</v>
      </c>
      <c r="I165" t="n">
        <v>0</v>
      </c>
      <c r="J165" t="n">
        <v>0</v>
      </c>
      <c r="K165" t="n">
        <v>0</v>
      </c>
      <c r="L165" t="n">
        <v>0</v>
      </c>
      <c r="M165" t="n">
        <v>0</v>
      </c>
      <c r="N165" t="n">
        <v>0</v>
      </c>
      <c r="O165" t="n">
        <v>0</v>
      </c>
      <c r="P165" t="n">
        <v>0</v>
      </c>
      <c r="Q165" t="n">
        <v>0</v>
      </c>
      <c r="R165" s="2" t="inlineStr"/>
    </row>
    <row r="166" ht="15" customHeight="1">
      <c r="A166" t="inlineStr">
        <is>
          <t>A 63666-2025</t>
        </is>
      </c>
      <c r="B166" s="1" t="n">
        <v>46014.45650462963</v>
      </c>
      <c r="C166" s="1" t="n">
        <v>46160</v>
      </c>
      <c r="D166" t="inlineStr">
        <is>
          <t>ÖREBRO LÄN</t>
        </is>
      </c>
      <c r="E166" t="inlineStr">
        <is>
          <t>ÖREBRO</t>
        </is>
      </c>
      <c r="F166" t="inlineStr">
        <is>
          <t>Allmännings- och besparingsskogar</t>
        </is>
      </c>
      <c r="G166" t="n">
        <v>2.6</v>
      </c>
      <c r="H166" t="n">
        <v>0</v>
      </c>
      <c r="I166" t="n">
        <v>0</v>
      </c>
      <c r="J166" t="n">
        <v>0</v>
      </c>
      <c r="K166" t="n">
        <v>0</v>
      </c>
      <c r="L166" t="n">
        <v>0</v>
      </c>
      <c r="M166" t="n">
        <v>0</v>
      </c>
      <c r="N166" t="n">
        <v>0</v>
      </c>
      <c r="O166" t="n">
        <v>0</v>
      </c>
      <c r="P166" t="n">
        <v>0</v>
      </c>
      <c r="Q166" t="n">
        <v>0</v>
      </c>
      <c r="R166" s="2" t="inlineStr"/>
    </row>
    <row r="167" ht="15" customHeight="1">
      <c r="A167" t="inlineStr">
        <is>
          <t>A 63662-2025</t>
        </is>
      </c>
      <c r="B167" s="1" t="n">
        <v>46014.45055555556</v>
      </c>
      <c r="C167" s="1" t="n">
        <v>46160</v>
      </c>
      <c r="D167" t="inlineStr">
        <is>
          <t>ÖREBRO LÄN</t>
        </is>
      </c>
      <c r="E167" t="inlineStr">
        <is>
          <t>ÖREBRO</t>
        </is>
      </c>
      <c r="F167" t="inlineStr">
        <is>
          <t>Allmännings- och besparingsskogar</t>
        </is>
      </c>
      <c r="G167" t="n">
        <v>3.2</v>
      </c>
      <c r="H167" t="n">
        <v>0</v>
      </c>
      <c r="I167" t="n">
        <v>0</v>
      </c>
      <c r="J167" t="n">
        <v>0</v>
      </c>
      <c r="K167" t="n">
        <v>0</v>
      </c>
      <c r="L167" t="n">
        <v>0</v>
      </c>
      <c r="M167" t="n">
        <v>0</v>
      </c>
      <c r="N167" t="n">
        <v>0</v>
      </c>
      <c r="O167" t="n">
        <v>0</v>
      </c>
      <c r="P167" t="n">
        <v>0</v>
      </c>
      <c r="Q167" t="n">
        <v>0</v>
      </c>
      <c r="R167" s="2" t="inlineStr"/>
    </row>
    <row r="168" ht="15" customHeight="1">
      <c r="A168" t="inlineStr">
        <is>
          <t>A 4380-2025</t>
        </is>
      </c>
      <c r="B168" s="1" t="n">
        <v>45686.3959375</v>
      </c>
      <c r="C168" s="1" t="n">
        <v>46160</v>
      </c>
      <c r="D168" t="inlineStr">
        <is>
          <t>ÖREBRO LÄN</t>
        </is>
      </c>
      <c r="E168" t="inlineStr">
        <is>
          <t>ÖREBRO</t>
        </is>
      </c>
      <c r="G168" t="n">
        <v>3.2</v>
      </c>
      <c r="H168" t="n">
        <v>0</v>
      </c>
      <c r="I168" t="n">
        <v>0</v>
      </c>
      <c r="J168" t="n">
        <v>0</v>
      </c>
      <c r="K168" t="n">
        <v>0</v>
      </c>
      <c r="L168" t="n">
        <v>0</v>
      </c>
      <c r="M168" t="n">
        <v>0</v>
      </c>
      <c r="N168" t="n">
        <v>0</v>
      </c>
      <c r="O168" t="n">
        <v>0</v>
      </c>
      <c r="P168" t="n">
        <v>0</v>
      </c>
      <c r="Q168" t="n">
        <v>0</v>
      </c>
      <c r="R168" s="2" t="inlineStr"/>
    </row>
    <row r="169" ht="15" customHeight="1">
      <c r="A169" t="inlineStr">
        <is>
          <t>A 48581-2024</t>
        </is>
      </c>
      <c r="B169" s="1" t="n">
        <v>45593.41642361111</v>
      </c>
      <c r="C169" s="1" t="n">
        <v>46160</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34358-2022</t>
        </is>
      </c>
      <c r="B170" s="1" t="n">
        <v>44792.45494212963</v>
      </c>
      <c r="C170" s="1" t="n">
        <v>46160</v>
      </c>
      <c r="D170" t="inlineStr">
        <is>
          <t>ÖREBRO LÄN</t>
        </is>
      </c>
      <c r="E170" t="inlineStr">
        <is>
          <t>ÖREBRO</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47047-2022</t>
        </is>
      </c>
      <c r="B171" s="1" t="n">
        <v>44852.39063657408</v>
      </c>
      <c r="C171" s="1" t="n">
        <v>46160</v>
      </c>
      <c r="D171" t="inlineStr">
        <is>
          <t>ÖREBRO LÄN</t>
        </is>
      </c>
      <c r="E171" t="inlineStr">
        <is>
          <t>ÖREBRO</t>
        </is>
      </c>
      <c r="G171" t="n">
        <v>1.6</v>
      </c>
      <c r="H171" t="n">
        <v>0</v>
      </c>
      <c r="I171" t="n">
        <v>0</v>
      </c>
      <c r="J171" t="n">
        <v>0</v>
      </c>
      <c r="K171" t="n">
        <v>0</v>
      </c>
      <c r="L171" t="n">
        <v>0</v>
      </c>
      <c r="M171" t="n">
        <v>0</v>
      </c>
      <c r="N171" t="n">
        <v>0</v>
      </c>
      <c r="O171" t="n">
        <v>0</v>
      </c>
      <c r="P171" t="n">
        <v>0</v>
      </c>
      <c r="Q171" t="n">
        <v>0</v>
      </c>
      <c r="R171" s="2" t="inlineStr"/>
    </row>
    <row r="172" ht="15" customHeight="1">
      <c r="A172" t="inlineStr">
        <is>
          <t>A 15695-2024</t>
        </is>
      </c>
      <c r="B172" s="1" t="n">
        <v>45404.45487268519</v>
      </c>
      <c r="C172" s="1" t="n">
        <v>46160</v>
      </c>
      <c r="D172" t="inlineStr">
        <is>
          <t>ÖREBRO LÄN</t>
        </is>
      </c>
      <c r="E172" t="inlineStr">
        <is>
          <t>ÖREBRO</t>
        </is>
      </c>
      <c r="G172" t="n">
        <v>2.7</v>
      </c>
      <c r="H172" t="n">
        <v>0</v>
      </c>
      <c r="I172" t="n">
        <v>0</v>
      </c>
      <c r="J172" t="n">
        <v>0</v>
      </c>
      <c r="K172" t="n">
        <v>0</v>
      </c>
      <c r="L172" t="n">
        <v>0</v>
      </c>
      <c r="M172" t="n">
        <v>0</v>
      </c>
      <c r="N172" t="n">
        <v>0</v>
      </c>
      <c r="O172" t="n">
        <v>0</v>
      </c>
      <c r="P172" t="n">
        <v>0</v>
      </c>
      <c r="Q172" t="n">
        <v>0</v>
      </c>
      <c r="R172" s="2" t="inlineStr"/>
    </row>
    <row r="173" ht="15" customHeight="1">
      <c r="A173" t="inlineStr">
        <is>
          <t>A 5406-2025</t>
        </is>
      </c>
      <c r="B173" s="1" t="n">
        <v>45692.64821759259</v>
      </c>
      <c r="C173" s="1" t="n">
        <v>46160</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21036-2024</t>
        </is>
      </c>
      <c r="B174" s="1" t="n">
        <v>45439.65954861111</v>
      </c>
      <c r="C174" s="1" t="n">
        <v>46160</v>
      </c>
      <c r="D174" t="inlineStr">
        <is>
          <t>ÖREBRO LÄN</t>
        </is>
      </c>
      <c r="E174" t="inlineStr">
        <is>
          <t>ÖREBRO</t>
        </is>
      </c>
      <c r="F174" t="inlineStr">
        <is>
          <t>Övriga Aktiebolag</t>
        </is>
      </c>
      <c r="G174" t="n">
        <v>5.7</v>
      </c>
      <c r="H174" t="n">
        <v>0</v>
      </c>
      <c r="I174" t="n">
        <v>0</v>
      </c>
      <c r="J174" t="n">
        <v>0</v>
      </c>
      <c r="K174" t="n">
        <v>0</v>
      </c>
      <c r="L174" t="n">
        <v>0</v>
      </c>
      <c r="M174" t="n">
        <v>0</v>
      </c>
      <c r="N174" t="n">
        <v>0</v>
      </c>
      <c r="O174" t="n">
        <v>0</v>
      </c>
      <c r="P174" t="n">
        <v>0</v>
      </c>
      <c r="Q174" t="n">
        <v>0</v>
      </c>
      <c r="R174" s="2" t="inlineStr"/>
    </row>
    <row r="175" ht="15" customHeight="1">
      <c r="A175" t="inlineStr">
        <is>
          <t>A 64018-2025</t>
        </is>
      </c>
      <c r="B175" s="1" t="n">
        <v>46021.4546412037</v>
      </c>
      <c r="C175" s="1" t="n">
        <v>46160</v>
      </c>
      <c r="D175" t="inlineStr">
        <is>
          <t>ÖREBRO LÄN</t>
        </is>
      </c>
      <c r="E175" t="inlineStr">
        <is>
          <t>ÖREBRO</t>
        </is>
      </c>
      <c r="G175" t="n">
        <v>2.9</v>
      </c>
      <c r="H175" t="n">
        <v>0</v>
      </c>
      <c r="I175" t="n">
        <v>0</v>
      </c>
      <c r="J175" t="n">
        <v>0</v>
      </c>
      <c r="K175" t="n">
        <v>0</v>
      </c>
      <c r="L175" t="n">
        <v>0</v>
      </c>
      <c r="M175" t="n">
        <v>0</v>
      </c>
      <c r="N175" t="n">
        <v>0</v>
      </c>
      <c r="O175" t="n">
        <v>0</v>
      </c>
      <c r="P175" t="n">
        <v>0</v>
      </c>
      <c r="Q175" t="n">
        <v>0</v>
      </c>
      <c r="R175" s="2" t="inlineStr"/>
    </row>
    <row r="176" ht="15" customHeight="1">
      <c r="A176" t="inlineStr">
        <is>
          <t>A 64019-2025</t>
        </is>
      </c>
      <c r="B176" s="1" t="n">
        <v>46021.45914351852</v>
      </c>
      <c r="C176" s="1" t="n">
        <v>46160</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22348-2024</t>
        </is>
      </c>
      <c r="B177" s="1" t="n">
        <v>45446.61256944444</v>
      </c>
      <c r="C177" s="1" t="n">
        <v>46160</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52018-2024</t>
        </is>
      </c>
      <c r="B178" s="1" t="n">
        <v>45607.82974537037</v>
      </c>
      <c r="C178" s="1" t="n">
        <v>46160</v>
      </c>
      <c r="D178" t="inlineStr">
        <is>
          <t>ÖREBRO LÄN</t>
        </is>
      </c>
      <c r="E178" t="inlineStr">
        <is>
          <t>ÖREBRO</t>
        </is>
      </c>
      <c r="G178" t="n">
        <v>4.3</v>
      </c>
      <c r="H178" t="n">
        <v>0</v>
      </c>
      <c r="I178" t="n">
        <v>0</v>
      </c>
      <c r="J178" t="n">
        <v>0</v>
      </c>
      <c r="K178" t="n">
        <v>0</v>
      </c>
      <c r="L178" t="n">
        <v>0</v>
      </c>
      <c r="M178" t="n">
        <v>0</v>
      </c>
      <c r="N178" t="n">
        <v>0</v>
      </c>
      <c r="O178" t="n">
        <v>0</v>
      </c>
      <c r="P178" t="n">
        <v>0</v>
      </c>
      <c r="Q178" t="n">
        <v>0</v>
      </c>
      <c r="R178" s="2" t="inlineStr"/>
    </row>
    <row r="179" ht="15" customHeight="1">
      <c r="A179" t="inlineStr">
        <is>
          <t>A 30089-2024</t>
        </is>
      </c>
      <c r="B179" s="1" t="n">
        <v>45485</v>
      </c>
      <c r="C179" s="1" t="n">
        <v>46160</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71295-2021</t>
        </is>
      </c>
      <c r="B180" s="1" t="n">
        <v>44539.63009259259</v>
      </c>
      <c r="C180" s="1" t="n">
        <v>46160</v>
      </c>
      <c r="D180" t="inlineStr">
        <is>
          <t>ÖREBRO LÄN</t>
        </is>
      </c>
      <c r="E180" t="inlineStr">
        <is>
          <t>ÖREBRO</t>
        </is>
      </c>
      <c r="G180" t="n">
        <v>2.3</v>
      </c>
      <c r="H180" t="n">
        <v>0</v>
      </c>
      <c r="I180" t="n">
        <v>0</v>
      </c>
      <c r="J180" t="n">
        <v>0</v>
      </c>
      <c r="K180" t="n">
        <v>0</v>
      </c>
      <c r="L180" t="n">
        <v>0</v>
      </c>
      <c r="M180" t="n">
        <v>0</v>
      </c>
      <c r="N180" t="n">
        <v>0</v>
      </c>
      <c r="O180" t="n">
        <v>0</v>
      </c>
      <c r="P180" t="n">
        <v>0</v>
      </c>
      <c r="Q180" t="n">
        <v>0</v>
      </c>
      <c r="R180" s="2" t="inlineStr"/>
    </row>
    <row r="181" ht="15" customHeight="1">
      <c r="A181" t="inlineStr">
        <is>
          <t>A 46030-2024</t>
        </is>
      </c>
      <c r="B181" s="1" t="n">
        <v>45580.70377314815</v>
      </c>
      <c r="C181" s="1" t="n">
        <v>46160</v>
      </c>
      <c r="D181" t="inlineStr">
        <is>
          <t>ÖREBRO LÄN</t>
        </is>
      </c>
      <c r="E181" t="inlineStr">
        <is>
          <t>ÖREBRO</t>
        </is>
      </c>
      <c r="G181" t="n">
        <v>3.9</v>
      </c>
      <c r="H181" t="n">
        <v>0</v>
      </c>
      <c r="I181" t="n">
        <v>0</v>
      </c>
      <c r="J181" t="n">
        <v>0</v>
      </c>
      <c r="K181" t="n">
        <v>0</v>
      </c>
      <c r="L181" t="n">
        <v>0</v>
      </c>
      <c r="M181" t="n">
        <v>0</v>
      </c>
      <c r="N181" t="n">
        <v>0</v>
      </c>
      <c r="O181" t="n">
        <v>0</v>
      </c>
      <c r="P181" t="n">
        <v>0</v>
      </c>
      <c r="Q181" t="n">
        <v>0</v>
      </c>
      <c r="R181" s="2" t="inlineStr"/>
    </row>
    <row r="182" ht="15" customHeight="1">
      <c r="A182" t="inlineStr">
        <is>
          <t>A 16739-2023</t>
        </is>
      </c>
      <c r="B182" s="1" t="n">
        <v>45030.72627314815</v>
      </c>
      <c r="C182" s="1" t="n">
        <v>46160</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5643-2025</t>
        </is>
      </c>
      <c r="B183" s="1" t="n">
        <v>45693</v>
      </c>
      <c r="C183" s="1" t="n">
        <v>46160</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41678-2024</t>
        </is>
      </c>
      <c r="B184" s="1" t="n">
        <v>45560</v>
      </c>
      <c r="C184" s="1" t="n">
        <v>46160</v>
      </c>
      <c r="D184" t="inlineStr">
        <is>
          <t>ÖREBRO LÄN</t>
        </is>
      </c>
      <c r="E184" t="inlineStr">
        <is>
          <t>ÖREBRO</t>
        </is>
      </c>
      <c r="G184" t="n">
        <v>11.3</v>
      </c>
      <c r="H184" t="n">
        <v>0</v>
      </c>
      <c r="I184" t="n">
        <v>0</v>
      </c>
      <c r="J184" t="n">
        <v>0</v>
      </c>
      <c r="K184" t="n">
        <v>0</v>
      </c>
      <c r="L184" t="n">
        <v>0</v>
      </c>
      <c r="M184" t="n">
        <v>0</v>
      </c>
      <c r="N184" t="n">
        <v>0</v>
      </c>
      <c r="O184" t="n">
        <v>0</v>
      </c>
      <c r="P184" t="n">
        <v>0</v>
      </c>
      <c r="Q184" t="n">
        <v>0</v>
      </c>
      <c r="R184" s="2" t="inlineStr"/>
    </row>
    <row r="185" ht="15" customHeight="1">
      <c r="A185" t="inlineStr">
        <is>
          <t>A 11516-2024</t>
        </is>
      </c>
      <c r="B185" s="1" t="n">
        <v>45372</v>
      </c>
      <c r="C185" s="1" t="n">
        <v>46160</v>
      </c>
      <c r="D185" t="inlineStr">
        <is>
          <t>ÖREBRO LÄN</t>
        </is>
      </c>
      <c r="E185" t="inlineStr">
        <is>
          <t>ÖREBRO</t>
        </is>
      </c>
      <c r="G185" t="n">
        <v>10.7</v>
      </c>
      <c r="H185" t="n">
        <v>0</v>
      </c>
      <c r="I185" t="n">
        <v>0</v>
      </c>
      <c r="J185" t="n">
        <v>0</v>
      </c>
      <c r="K185" t="n">
        <v>0</v>
      </c>
      <c r="L185" t="n">
        <v>0</v>
      </c>
      <c r="M185" t="n">
        <v>0</v>
      </c>
      <c r="N185" t="n">
        <v>0</v>
      </c>
      <c r="O185" t="n">
        <v>0</v>
      </c>
      <c r="P185" t="n">
        <v>0</v>
      </c>
      <c r="Q185" t="n">
        <v>0</v>
      </c>
      <c r="R185" s="2" t="inlineStr"/>
    </row>
    <row r="186" ht="15" customHeight="1">
      <c r="A186" t="inlineStr">
        <is>
          <t>A 2771-2023</t>
        </is>
      </c>
      <c r="B186" s="1" t="n">
        <v>44944.64704861111</v>
      </c>
      <c r="C186" s="1" t="n">
        <v>46160</v>
      </c>
      <c r="D186" t="inlineStr">
        <is>
          <t>ÖREBRO LÄN</t>
        </is>
      </c>
      <c r="E186" t="inlineStr">
        <is>
          <t>ÖREBRO</t>
        </is>
      </c>
      <c r="G186" t="n">
        <v>15.4</v>
      </c>
      <c r="H186" t="n">
        <v>0</v>
      </c>
      <c r="I186" t="n">
        <v>0</v>
      </c>
      <c r="J186" t="n">
        <v>0</v>
      </c>
      <c r="K186" t="n">
        <v>0</v>
      </c>
      <c r="L186" t="n">
        <v>0</v>
      </c>
      <c r="M186" t="n">
        <v>0</v>
      </c>
      <c r="N186" t="n">
        <v>0</v>
      </c>
      <c r="O186" t="n">
        <v>0</v>
      </c>
      <c r="P186" t="n">
        <v>0</v>
      </c>
      <c r="Q186" t="n">
        <v>0</v>
      </c>
      <c r="R186" s="2" t="inlineStr"/>
    </row>
    <row r="187" ht="15" customHeight="1">
      <c r="A187" t="inlineStr">
        <is>
          <t>A 5342-2024</t>
        </is>
      </c>
      <c r="B187" s="1" t="n">
        <v>45331.44145833333</v>
      </c>
      <c r="C187" s="1" t="n">
        <v>46160</v>
      </c>
      <c r="D187" t="inlineStr">
        <is>
          <t>ÖREBRO LÄN</t>
        </is>
      </c>
      <c r="E187" t="inlineStr">
        <is>
          <t>ÖREBRO</t>
        </is>
      </c>
      <c r="G187" t="n">
        <v>2.5</v>
      </c>
      <c r="H187" t="n">
        <v>0</v>
      </c>
      <c r="I187" t="n">
        <v>0</v>
      </c>
      <c r="J187" t="n">
        <v>0</v>
      </c>
      <c r="K187" t="n">
        <v>0</v>
      </c>
      <c r="L187" t="n">
        <v>0</v>
      </c>
      <c r="M187" t="n">
        <v>0</v>
      </c>
      <c r="N187" t="n">
        <v>0</v>
      </c>
      <c r="O187" t="n">
        <v>0</v>
      </c>
      <c r="P187" t="n">
        <v>0</v>
      </c>
      <c r="Q187" t="n">
        <v>0</v>
      </c>
      <c r="R187" s="2" t="inlineStr"/>
    </row>
    <row r="188" ht="15" customHeight="1">
      <c r="A188" t="inlineStr">
        <is>
          <t>A 39003-2025</t>
        </is>
      </c>
      <c r="B188" s="1" t="n">
        <v>45888.34467592592</v>
      </c>
      <c r="C188" s="1" t="n">
        <v>46160</v>
      </c>
      <c r="D188" t="inlineStr">
        <is>
          <t>ÖREBRO LÄN</t>
        </is>
      </c>
      <c r="E188" t="inlineStr">
        <is>
          <t>ÖREBRO</t>
        </is>
      </c>
      <c r="G188" t="n">
        <v>3.7</v>
      </c>
      <c r="H188" t="n">
        <v>0</v>
      </c>
      <c r="I188" t="n">
        <v>0</v>
      </c>
      <c r="J188" t="n">
        <v>0</v>
      </c>
      <c r="K188" t="n">
        <v>0</v>
      </c>
      <c r="L188" t="n">
        <v>0</v>
      </c>
      <c r="M188" t="n">
        <v>0</v>
      </c>
      <c r="N188" t="n">
        <v>0</v>
      </c>
      <c r="O188" t="n">
        <v>0</v>
      </c>
      <c r="P188" t="n">
        <v>0</v>
      </c>
      <c r="Q188" t="n">
        <v>0</v>
      </c>
      <c r="R188" s="2" t="inlineStr"/>
    </row>
    <row r="189" ht="15" customHeight="1">
      <c r="A189" t="inlineStr">
        <is>
          <t>A 15422-2022</t>
        </is>
      </c>
      <c r="B189" s="1" t="n">
        <v>44659.63753472222</v>
      </c>
      <c r="C189" s="1" t="n">
        <v>46160</v>
      </c>
      <c r="D189" t="inlineStr">
        <is>
          <t>ÖREBRO LÄN</t>
        </is>
      </c>
      <c r="E189" t="inlineStr">
        <is>
          <t>ÖREBRO</t>
        </is>
      </c>
      <c r="G189" t="n">
        <v>2</v>
      </c>
      <c r="H189" t="n">
        <v>0</v>
      </c>
      <c r="I189" t="n">
        <v>0</v>
      </c>
      <c r="J189" t="n">
        <v>0</v>
      </c>
      <c r="K189" t="n">
        <v>0</v>
      </c>
      <c r="L189" t="n">
        <v>0</v>
      </c>
      <c r="M189" t="n">
        <v>0</v>
      </c>
      <c r="N189" t="n">
        <v>0</v>
      </c>
      <c r="O189" t="n">
        <v>0</v>
      </c>
      <c r="P189" t="n">
        <v>0</v>
      </c>
      <c r="Q189" t="n">
        <v>0</v>
      </c>
      <c r="R189" s="2" t="inlineStr"/>
    </row>
    <row r="190" ht="15" customHeight="1">
      <c r="A190" t="inlineStr">
        <is>
          <t>A 13418-2024</t>
        </is>
      </c>
      <c r="B190" s="1" t="n">
        <v>45387.46482638889</v>
      </c>
      <c r="C190" s="1" t="n">
        <v>46160</v>
      </c>
      <c r="D190" t="inlineStr">
        <is>
          <t>ÖREBRO LÄN</t>
        </is>
      </c>
      <c r="E190" t="inlineStr">
        <is>
          <t>ÖREBRO</t>
        </is>
      </c>
      <c r="G190" t="n">
        <v>4.2</v>
      </c>
      <c r="H190" t="n">
        <v>0</v>
      </c>
      <c r="I190" t="n">
        <v>0</v>
      </c>
      <c r="J190" t="n">
        <v>0</v>
      </c>
      <c r="K190" t="n">
        <v>0</v>
      </c>
      <c r="L190" t="n">
        <v>0</v>
      </c>
      <c r="M190" t="n">
        <v>0</v>
      </c>
      <c r="N190" t="n">
        <v>0</v>
      </c>
      <c r="O190" t="n">
        <v>0</v>
      </c>
      <c r="P190" t="n">
        <v>0</v>
      </c>
      <c r="Q190" t="n">
        <v>0</v>
      </c>
      <c r="R190" s="2" t="inlineStr"/>
    </row>
    <row r="191" ht="15" customHeight="1">
      <c r="A191" t="inlineStr">
        <is>
          <t>A 46323-2024</t>
        </is>
      </c>
      <c r="B191" s="1" t="n">
        <v>45581.84538194445</v>
      </c>
      <c r="C191" s="1" t="n">
        <v>46160</v>
      </c>
      <c r="D191" t="inlineStr">
        <is>
          <t>ÖREBRO LÄN</t>
        </is>
      </c>
      <c r="E191" t="inlineStr">
        <is>
          <t>ÖREBRO</t>
        </is>
      </c>
      <c r="F191" t="inlineStr">
        <is>
          <t>Övriga Aktiebolag</t>
        </is>
      </c>
      <c r="G191" t="n">
        <v>1.4</v>
      </c>
      <c r="H191" t="n">
        <v>0</v>
      </c>
      <c r="I191" t="n">
        <v>0</v>
      </c>
      <c r="J191" t="n">
        <v>0</v>
      </c>
      <c r="K191" t="n">
        <v>0</v>
      </c>
      <c r="L191" t="n">
        <v>0</v>
      </c>
      <c r="M191" t="n">
        <v>0</v>
      </c>
      <c r="N191" t="n">
        <v>0</v>
      </c>
      <c r="O191" t="n">
        <v>0</v>
      </c>
      <c r="P191" t="n">
        <v>0</v>
      </c>
      <c r="Q191" t="n">
        <v>0</v>
      </c>
      <c r="R191" s="2" t="inlineStr"/>
    </row>
    <row r="192" ht="15" customHeight="1">
      <c r="A192" t="inlineStr">
        <is>
          <t>A 12017-2024</t>
        </is>
      </c>
      <c r="B192" s="1" t="n">
        <v>45377</v>
      </c>
      <c r="C192" s="1" t="n">
        <v>46160</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56077-2022</t>
        </is>
      </c>
      <c r="B193" s="1" t="n">
        <v>44889.60872685185</v>
      </c>
      <c r="C193" s="1" t="n">
        <v>46160</v>
      </c>
      <c r="D193" t="inlineStr">
        <is>
          <t>ÖREBRO LÄN</t>
        </is>
      </c>
      <c r="E193" t="inlineStr">
        <is>
          <t>ÖREBRO</t>
        </is>
      </c>
      <c r="F193" t="inlineStr">
        <is>
          <t>Övriga Aktiebolag</t>
        </is>
      </c>
      <c r="G193" t="n">
        <v>2.5</v>
      </c>
      <c r="H193" t="n">
        <v>0</v>
      </c>
      <c r="I193" t="n">
        <v>0</v>
      </c>
      <c r="J193" t="n">
        <v>0</v>
      </c>
      <c r="K193" t="n">
        <v>0</v>
      </c>
      <c r="L193" t="n">
        <v>0</v>
      </c>
      <c r="M193" t="n">
        <v>0</v>
      </c>
      <c r="N193" t="n">
        <v>0</v>
      </c>
      <c r="O193" t="n">
        <v>0</v>
      </c>
      <c r="P193" t="n">
        <v>0</v>
      </c>
      <c r="Q193" t="n">
        <v>0</v>
      </c>
      <c r="R193" s="2" t="inlineStr"/>
    </row>
    <row r="194" ht="15" customHeight="1">
      <c r="A194" t="inlineStr">
        <is>
          <t>A 9609-2023</t>
        </is>
      </c>
      <c r="B194" s="1" t="n">
        <v>44983.93344907407</v>
      </c>
      <c r="C194" s="1" t="n">
        <v>46160</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39446-2025</t>
        </is>
      </c>
      <c r="B195" s="1" t="n">
        <v>45889.70388888889</v>
      </c>
      <c r="C195" s="1" t="n">
        <v>46160</v>
      </c>
      <c r="D195" t="inlineStr">
        <is>
          <t>ÖREBRO LÄN</t>
        </is>
      </c>
      <c r="E195" t="inlineStr">
        <is>
          <t>ÖREBRO</t>
        </is>
      </c>
      <c r="F195" t="inlineStr">
        <is>
          <t>Kyrkan</t>
        </is>
      </c>
      <c r="G195" t="n">
        <v>3.2</v>
      </c>
      <c r="H195" t="n">
        <v>0</v>
      </c>
      <c r="I195" t="n">
        <v>0</v>
      </c>
      <c r="J195" t="n">
        <v>0</v>
      </c>
      <c r="K195" t="n">
        <v>0</v>
      </c>
      <c r="L195" t="n">
        <v>0</v>
      </c>
      <c r="M195" t="n">
        <v>0</v>
      </c>
      <c r="N195" t="n">
        <v>0</v>
      </c>
      <c r="O195" t="n">
        <v>0</v>
      </c>
      <c r="P195" t="n">
        <v>0</v>
      </c>
      <c r="Q195" t="n">
        <v>0</v>
      </c>
      <c r="R195" s="2" t="inlineStr"/>
    </row>
    <row r="196" ht="15" customHeight="1">
      <c r="A196" t="inlineStr">
        <is>
          <t>A 70707-2021</t>
        </is>
      </c>
      <c r="B196" s="1" t="n">
        <v>44537</v>
      </c>
      <c r="C196" s="1" t="n">
        <v>46160</v>
      </c>
      <c r="D196" t="inlineStr">
        <is>
          <t>ÖREBRO LÄN</t>
        </is>
      </c>
      <c r="E196" t="inlineStr">
        <is>
          <t>ÖREBRO</t>
        </is>
      </c>
      <c r="G196" t="n">
        <v>13.2</v>
      </c>
      <c r="H196" t="n">
        <v>0</v>
      </c>
      <c r="I196" t="n">
        <v>0</v>
      </c>
      <c r="J196" t="n">
        <v>0</v>
      </c>
      <c r="K196" t="n">
        <v>0</v>
      </c>
      <c r="L196" t="n">
        <v>0</v>
      </c>
      <c r="M196" t="n">
        <v>0</v>
      </c>
      <c r="N196" t="n">
        <v>0</v>
      </c>
      <c r="O196" t="n">
        <v>0</v>
      </c>
      <c r="P196" t="n">
        <v>0</v>
      </c>
      <c r="Q196" t="n">
        <v>0</v>
      </c>
      <c r="R196" s="2" t="inlineStr"/>
    </row>
    <row r="197" ht="15" customHeight="1">
      <c r="A197" t="inlineStr">
        <is>
          <t>A 39479-2025</t>
        </is>
      </c>
      <c r="B197" s="1" t="n">
        <v>45890.34752314815</v>
      </c>
      <c r="C197" s="1" t="n">
        <v>46160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57243-2022</t>
        </is>
      </c>
      <c r="B198" s="1" t="n">
        <v>44895.71835648148</v>
      </c>
      <c r="C198" s="1" t="n">
        <v>46160</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58621-2024</t>
        </is>
      </c>
      <c r="B199" s="1" t="n">
        <v>45635.56321759259</v>
      </c>
      <c r="C199" s="1" t="n">
        <v>46160</v>
      </c>
      <c r="D199" t="inlineStr">
        <is>
          <t>ÖREBRO LÄN</t>
        </is>
      </c>
      <c r="E199" t="inlineStr">
        <is>
          <t>ÖREBRO</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58216-2024</t>
        </is>
      </c>
      <c r="B200" s="1" t="n">
        <v>45632</v>
      </c>
      <c r="C200" s="1" t="n">
        <v>46160</v>
      </c>
      <c r="D200" t="inlineStr">
        <is>
          <t>ÖREBRO LÄN</t>
        </is>
      </c>
      <c r="E200" t="inlineStr">
        <is>
          <t>ÖREBRO</t>
        </is>
      </c>
      <c r="G200" t="n">
        <v>1.9</v>
      </c>
      <c r="H200" t="n">
        <v>0</v>
      </c>
      <c r="I200" t="n">
        <v>0</v>
      </c>
      <c r="J200" t="n">
        <v>0</v>
      </c>
      <c r="K200" t="n">
        <v>0</v>
      </c>
      <c r="L200" t="n">
        <v>0</v>
      </c>
      <c r="M200" t="n">
        <v>0</v>
      </c>
      <c r="N200" t="n">
        <v>0</v>
      </c>
      <c r="O200" t="n">
        <v>0</v>
      </c>
      <c r="P200" t="n">
        <v>0</v>
      </c>
      <c r="Q200" t="n">
        <v>0</v>
      </c>
      <c r="R200" s="2" t="inlineStr"/>
    </row>
    <row r="201" ht="15" customHeight="1">
      <c r="A201" t="inlineStr">
        <is>
          <t>A 48644-2024</t>
        </is>
      </c>
      <c r="B201" s="1" t="n">
        <v>45593.47466435185</v>
      </c>
      <c r="C201" s="1" t="n">
        <v>46160</v>
      </c>
      <c r="D201" t="inlineStr">
        <is>
          <t>ÖREBRO LÄN</t>
        </is>
      </c>
      <c r="E201" t="inlineStr">
        <is>
          <t>ÖREBRO</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25578-2025</t>
        </is>
      </c>
      <c r="B202" s="1" t="n">
        <v>45803.47803240741</v>
      </c>
      <c r="C202" s="1" t="n">
        <v>46160</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25519-2025</t>
        </is>
      </c>
      <c r="B203" s="1" t="n">
        <v>45803.38447916666</v>
      </c>
      <c r="C203" s="1" t="n">
        <v>46160</v>
      </c>
      <c r="D203" t="inlineStr">
        <is>
          <t>ÖREBRO LÄN</t>
        </is>
      </c>
      <c r="E203" t="inlineStr">
        <is>
          <t>ÖREBRO</t>
        </is>
      </c>
      <c r="G203" t="n">
        <v>7.4</v>
      </c>
      <c r="H203" t="n">
        <v>0</v>
      </c>
      <c r="I203" t="n">
        <v>0</v>
      </c>
      <c r="J203" t="n">
        <v>0</v>
      </c>
      <c r="K203" t="n">
        <v>0</v>
      </c>
      <c r="L203" t="n">
        <v>0</v>
      </c>
      <c r="M203" t="n">
        <v>0</v>
      </c>
      <c r="N203" t="n">
        <v>0</v>
      </c>
      <c r="O203" t="n">
        <v>0</v>
      </c>
      <c r="P203" t="n">
        <v>0</v>
      </c>
      <c r="Q203" t="n">
        <v>0</v>
      </c>
      <c r="R203" s="2" t="inlineStr"/>
    </row>
    <row r="204" ht="15" customHeight="1">
      <c r="A204" t="inlineStr">
        <is>
          <t>A 37012-2024</t>
        </is>
      </c>
      <c r="B204" s="1" t="n">
        <v>45539</v>
      </c>
      <c r="C204" s="1" t="n">
        <v>46160</v>
      </c>
      <c r="D204" t="inlineStr">
        <is>
          <t>ÖREBRO LÄN</t>
        </is>
      </c>
      <c r="E204" t="inlineStr">
        <is>
          <t>ÖREBRO</t>
        </is>
      </c>
      <c r="G204" t="n">
        <v>4.1</v>
      </c>
      <c r="H204" t="n">
        <v>0</v>
      </c>
      <c r="I204" t="n">
        <v>0</v>
      </c>
      <c r="J204" t="n">
        <v>0</v>
      </c>
      <c r="K204" t="n">
        <v>0</v>
      </c>
      <c r="L204" t="n">
        <v>0</v>
      </c>
      <c r="M204" t="n">
        <v>0</v>
      </c>
      <c r="N204" t="n">
        <v>0</v>
      </c>
      <c r="O204" t="n">
        <v>0</v>
      </c>
      <c r="P204" t="n">
        <v>0</v>
      </c>
      <c r="Q204" t="n">
        <v>0</v>
      </c>
      <c r="R204" s="2" t="inlineStr"/>
    </row>
    <row r="205" ht="15" customHeight="1">
      <c r="A205" t="inlineStr">
        <is>
          <t>A 37020-2024</t>
        </is>
      </c>
      <c r="B205" s="1" t="n">
        <v>45539.38059027777</v>
      </c>
      <c r="C205" s="1" t="n">
        <v>46160</v>
      </c>
      <c r="D205" t="inlineStr">
        <is>
          <t>ÖREBRO LÄN</t>
        </is>
      </c>
      <c r="E205" t="inlineStr">
        <is>
          <t>ÖREBRO</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55353-2024</t>
        </is>
      </c>
      <c r="B206" s="1" t="n">
        <v>45621.79526620371</v>
      </c>
      <c r="C206" s="1" t="n">
        <v>46160</v>
      </c>
      <c r="D206" t="inlineStr">
        <is>
          <t>ÖREBRO LÄN</t>
        </is>
      </c>
      <c r="E206" t="inlineStr">
        <is>
          <t>ÖREBRO</t>
        </is>
      </c>
      <c r="G206" t="n">
        <v>0.5</v>
      </c>
      <c r="H206" t="n">
        <v>0</v>
      </c>
      <c r="I206" t="n">
        <v>0</v>
      </c>
      <c r="J206" t="n">
        <v>0</v>
      </c>
      <c r="K206" t="n">
        <v>0</v>
      </c>
      <c r="L206" t="n">
        <v>0</v>
      </c>
      <c r="M206" t="n">
        <v>0</v>
      </c>
      <c r="N206" t="n">
        <v>0</v>
      </c>
      <c r="O206" t="n">
        <v>0</v>
      </c>
      <c r="P206" t="n">
        <v>0</v>
      </c>
      <c r="Q206" t="n">
        <v>0</v>
      </c>
      <c r="R206" s="2" t="inlineStr"/>
    </row>
    <row r="207" ht="15" customHeight="1">
      <c r="A207" t="inlineStr">
        <is>
          <t>A 40330-2025</t>
        </is>
      </c>
      <c r="B207" s="1" t="n">
        <v>45895.4531712963</v>
      </c>
      <c r="C207" s="1" t="n">
        <v>46160</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40332-2025</t>
        </is>
      </c>
      <c r="B208" s="1" t="n">
        <v>45895.46060185185</v>
      </c>
      <c r="C208" s="1" t="n">
        <v>46160</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541-2025</t>
        </is>
      </c>
      <c r="B209" s="1" t="n">
        <v>45664.52034722222</v>
      </c>
      <c r="C209" s="1" t="n">
        <v>46160</v>
      </c>
      <c r="D209" t="inlineStr">
        <is>
          <t>ÖREBRO LÄN</t>
        </is>
      </c>
      <c r="E209" t="inlineStr">
        <is>
          <t>ÖREBRO</t>
        </is>
      </c>
      <c r="G209" t="n">
        <v>2.2</v>
      </c>
      <c r="H209" t="n">
        <v>0</v>
      </c>
      <c r="I209" t="n">
        <v>0</v>
      </c>
      <c r="J209" t="n">
        <v>0</v>
      </c>
      <c r="K209" t="n">
        <v>0</v>
      </c>
      <c r="L209" t="n">
        <v>0</v>
      </c>
      <c r="M209" t="n">
        <v>0</v>
      </c>
      <c r="N209" t="n">
        <v>0</v>
      </c>
      <c r="O209" t="n">
        <v>0</v>
      </c>
      <c r="P209" t="n">
        <v>0</v>
      </c>
      <c r="Q209" t="n">
        <v>0</v>
      </c>
      <c r="R209" s="2" t="inlineStr"/>
    </row>
    <row r="210" ht="15" customHeight="1">
      <c r="A210" t="inlineStr">
        <is>
          <t>A 19553-2023</t>
        </is>
      </c>
      <c r="B210" s="1" t="n">
        <v>45050</v>
      </c>
      <c r="C210" s="1" t="n">
        <v>46160</v>
      </c>
      <c r="D210" t="inlineStr">
        <is>
          <t>ÖREBRO LÄN</t>
        </is>
      </c>
      <c r="E210" t="inlineStr">
        <is>
          <t>ÖREBRO</t>
        </is>
      </c>
      <c r="G210" t="n">
        <v>2.1</v>
      </c>
      <c r="H210" t="n">
        <v>0</v>
      </c>
      <c r="I210" t="n">
        <v>0</v>
      </c>
      <c r="J210" t="n">
        <v>0</v>
      </c>
      <c r="K210" t="n">
        <v>0</v>
      </c>
      <c r="L210" t="n">
        <v>0</v>
      </c>
      <c r="M210" t="n">
        <v>0</v>
      </c>
      <c r="N210" t="n">
        <v>0</v>
      </c>
      <c r="O210" t="n">
        <v>0</v>
      </c>
      <c r="P210" t="n">
        <v>0</v>
      </c>
      <c r="Q210" t="n">
        <v>0</v>
      </c>
      <c r="R210" s="2" t="inlineStr"/>
    </row>
    <row r="211" ht="15" customHeight="1">
      <c r="A211" t="inlineStr">
        <is>
          <t>A 37025-2024</t>
        </is>
      </c>
      <c r="B211" s="1" t="n">
        <v>45539.3840162037</v>
      </c>
      <c r="C211" s="1" t="n">
        <v>46160</v>
      </c>
      <c r="D211" t="inlineStr">
        <is>
          <t>ÖREBRO LÄN</t>
        </is>
      </c>
      <c r="E211" t="inlineStr">
        <is>
          <t>ÖREBRO</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37027-2024</t>
        </is>
      </c>
      <c r="B212" s="1" t="n">
        <v>45539.38487268519</v>
      </c>
      <c r="C212" s="1" t="n">
        <v>46160</v>
      </c>
      <c r="D212" t="inlineStr">
        <is>
          <t>ÖREBRO LÄN</t>
        </is>
      </c>
      <c r="E212" t="inlineStr">
        <is>
          <t>ÖREBRO</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23594-2023</t>
        </is>
      </c>
      <c r="B213" s="1" t="n">
        <v>45077</v>
      </c>
      <c r="C213" s="1" t="n">
        <v>46160</v>
      </c>
      <c r="D213" t="inlineStr">
        <is>
          <t>ÖREBRO LÄN</t>
        </is>
      </c>
      <c r="E213" t="inlineStr">
        <is>
          <t>ÖREBRO</t>
        </is>
      </c>
      <c r="G213" t="n">
        <v>9.9</v>
      </c>
      <c r="H213" t="n">
        <v>0</v>
      </c>
      <c r="I213" t="n">
        <v>0</v>
      </c>
      <c r="J213" t="n">
        <v>0</v>
      </c>
      <c r="K213" t="n">
        <v>0</v>
      </c>
      <c r="L213" t="n">
        <v>0</v>
      </c>
      <c r="M213" t="n">
        <v>0</v>
      </c>
      <c r="N213" t="n">
        <v>0</v>
      </c>
      <c r="O213" t="n">
        <v>0</v>
      </c>
      <c r="P213" t="n">
        <v>0</v>
      </c>
      <c r="Q213" t="n">
        <v>0</v>
      </c>
      <c r="R213" s="2" t="inlineStr"/>
    </row>
    <row r="214" ht="15" customHeight="1">
      <c r="A214" t="inlineStr">
        <is>
          <t>A 8022-2022</t>
        </is>
      </c>
      <c r="B214" s="1" t="n">
        <v>44609</v>
      </c>
      <c r="C214" s="1" t="n">
        <v>46160</v>
      </c>
      <c r="D214" t="inlineStr">
        <is>
          <t>ÖREBRO LÄN</t>
        </is>
      </c>
      <c r="E214" t="inlineStr">
        <is>
          <t>ÖREBRO</t>
        </is>
      </c>
      <c r="G214" t="n">
        <v>5.6</v>
      </c>
      <c r="H214" t="n">
        <v>0</v>
      </c>
      <c r="I214" t="n">
        <v>0</v>
      </c>
      <c r="J214" t="n">
        <v>0</v>
      </c>
      <c r="K214" t="n">
        <v>0</v>
      </c>
      <c r="L214" t="n">
        <v>0</v>
      </c>
      <c r="M214" t="n">
        <v>0</v>
      </c>
      <c r="N214" t="n">
        <v>0</v>
      </c>
      <c r="O214" t="n">
        <v>0</v>
      </c>
      <c r="P214" t="n">
        <v>0</v>
      </c>
      <c r="Q214" t="n">
        <v>0</v>
      </c>
      <c r="R214" s="2" t="inlineStr"/>
    </row>
    <row r="215" ht="15" customHeight="1">
      <c r="A215" t="inlineStr">
        <is>
          <t>A 47193-2023</t>
        </is>
      </c>
      <c r="B215" s="1" t="n">
        <v>45202.3074537037</v>
      </c>
      <c r="C215" s="1" t="n">
        <v>46160</v>
      </c>
      <c r="D215" t="inlineStr">
        <is>
          <t>ÖREBRO LÄN</t>
        </is>
      </c>
      <c r="E215" t="inlineStr">
        <is>
          <t>ÖREBRO</t>
        </is>
      </c>
      <c r="G215" t="n">
        <v>2.4</v>
      </c>
      <c r="H215" t="n">
        <v>0</v>
      </c>
      <c r="I215" t="n">
        <v>0</v>
      </c>
      <c r="J215" t="n">
        <v>0</v>
      </c>
      <c r="K215" t="n">
        <v>0</v>
      </c>
      <c r="L215" t="n">
        <v>0</v>
      </c>
      <c r="M215" t="n">
        <v>0</v>
      </c>
      <c r="N215" t="n">
        <v>0</v>
      </c>
      <c r="O215" t="n">
        <v>0</v>
      </c>
      <c r="P215" t="n">
        <v>0</v>
      </c>
      <c r="Q215" t="n">
        <v>0</v>
      </c>
      <c r="R215" s="2" t="inlineStr"/>
    </row>
    <row r="216" ht="15" customHeight="1">
      <c r="A216" t="inlineStr">
        <is>
          <t>A 58598-2022</t>
        </is>
      </c>
      <c r="B216" s="1" t="n">
        <v>44902</v>
      </c>
      <c r="C216" s="1" t="n">
        <v>46160</v>
      </c>
      <c r="D216" t="inlineStr">
        <is>
          <t>ÖREBRO LÄN</t>
        </is>
      </c>
      <c r="E216" t="inlineStr">
        <is>
          <t>ÖREBRO</t>
        </is>
      </c>
      <c r="G216" t="n">
        <v>0.4</v>
      </c>
      <c r="H216" t="n">
        <v>0</v>
      </c>
      <c r="I216" t="n">
        <v>0</v>
      </c>
      <c r="J216" t="n">
        <v>0</v>
      </c>
      <c r="K216" t="n">
        <v>0</v>
      </c>
      <c r="L216" t="n">
        <v>0</v>
      </c>
      <c r="M216" t="n">
        <v>0</v>
      </c>
      <c r="N216" t="n">
        <v>0</v>
      </c>
      <c r="O216" t="n">
        <v>0</v>
      </c>
      <c r="P216" t="n">
        <v>0</v>
      </c>
      <c r="Q216" t="n">
        <v>0</v>
      </c>
      <c r="R216" s="2" t="inlineStr"/>
    </row>
    <row r="217" ht="15" customHeight="1">
      <c r="A217" t="inlineStr">
        <is>
          <t>A 27220-2025</t>
        </is>
      </c>
      <c r="B217" s="1" t="n">
        <v>45812.42293981482</v>
      </c>
      <c r="C217" s="1" t="n">
        <v>46160</v>
      </c>
      <c r="D217" t="inlineStr">
        <is>
          <t>ÖREBRO LÄN</t>
        </is>
      </c>
      <c r="E217" t="inlineStr">
        <is>
          <t>ÖREBRO</t>
        </is>
      </c>
      <c r="G217" t="n">
        <v>0.6</v>
      </c>
      <c r="H217" t="n">
        <v>0</v>
      </c>
      <c r="I217" t="n">
        <v>0</v>
      </c>
      <c r="J217" t="n">
        <v>0</v>
      </c>
      <c r="K217" t="n">
        <v>0</v>
      </c>
      <c r="L217" t="n">
        <v>0</v>
      </c>
      <c r="M217" t="n">
        <v>0</v>
      </c>
      <c r="N217" t="n">
        <v>0</v>
      </c>
      <c r="O217" t="n">
        <v>0</v>
      </c>
      <c r="P217" t="n">
        <v>0</v>
      </c>
      <c r="Q217" t="n">
        <v>0</v>
      </c>
      <c r="R217" s="2" t="inlineStr"/>
    </row>
    <row r="218" ht="15" customHeight="1">
      <c r="A218" t="inlineStr">
        <is>
          <t>A 71206-2021</t>
        </is>
      </c>
      <c r="B218" s="1" t="n">
        <v>44539</v>
      </c>
      <c r="C218" s="1" t="n">
        <v>46160</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27180-2025</t>
        </is>
      </c>
      <c r="B219" s="1" t="n">
        <v>45812.35736111111</v>
      </c>
      <c r="C219" s="1" t="n">
        <v>46160</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27215-2025</t>
        </is>
      </c>
      <c r="B220" s="1" t="n">
        <v>45812.41869212963</v>
      </c>
      <c r="C220" s="1" t="n">
        <v>46160</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27225-2025</t>
        </is>
      </c>
      <c r="B221" s="1" t="n">
        <v>45812.42856481481</v>
      </c>
      <c r="C221" s="1" t="n">
        <v>46160</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16739-2022</t>
        </is>
      </c>
      <c r="B222" s="1" t="n">
        <v>44673</v>
      </c>
      <c r="C222" s="1" t="n">
        <v>46160</v>
      </c>
      <c r="D222" t="inlineStr">
        <is>
          <t>ÖREBRO LÄN</t>
        </is>
      </c>
      <c r="E222" t="inlineStr">
        <is>
          <t>ÖREBRO</t>
        </is>
      </c>
      <c r="G222" t="n">
        <v>4.7</v>
      </c>
      <c r="H222" t="n">
        <v>0</v>
      </c>
      <c r="I222" t="n">
        <v>0</v>
      </c>
      <c r="J222" t="n">
        <v>0</v>
      </c>
      <c r="K222" t="n">
        <v>0</v>
      </c>
      <c r="L222" t="n">
        <v>0</v>
      </c>
      <c r="M222" t="n">
        <v>0</v>
      </c>
      <c r="N222" t="n">
        <v>0</v>
      </c>
      <c r="O222" t="n">
        <v>0</v>
      </c>
      <c r="P222" t="n">
        <v>0</v>
      </c>
      <c r="Q222" t="n">
        <v>0</v>
      </c>
      <c r="R222" s="2" t="inlineStr"/>
    </row>
    <row r="223" ht="15" customHeight="1">
      <c r="A223" t="inlineStr">
        <is>
          <t>A 41669-2025</t>
        </is>
      </c>
      <c r="B223" s="1" t="n">
        <v>45902.36149305556</v>
      </c>
      <c r="C223" s="1" t="n">
        <v>46160</v>
      </c>
      <c r="D223" t="inlineStr">
        <is>
          <t>ÖREBRO LÄN</t>
        </is>
      </c>
      <c r="E223" t="inlineStr">
        <is>
          <t>ÖREBRO</t>
        </is>
      </c>
      <c r="G223" t="n">
        <v>2.8</v>
      </c>
      <c r="H223" t="n">
        <v>0</v>
      </c>
      <c r="I223" t="n">
        <v>0</v>
      </c>
      <c r="J223" t="n">
        <v>0</v>
      </c>
      <c r="K223" t="n">
        <v>0</v>
      </c>
      <c r="L223" t="n">
        <v>0</v>
      </c>
      <c r="M223" t="n">
        <v>0</v>
      </c>
      <c r="N223" t="n">
        <v>0</v>
      </c>
      <c r="O223" t="n">
        <v>0</v>
      </c>
      <c r="P223" t="n">
        <v>0</v>
      </c>
      <c r="Q223" t="n">
        <v>0</v>
      </c>
      <c r="R223" s="2" t="inlineStr"/>
    </row>
    <row r="224" ht="15" customHeight="1">
      <c r="A224" t="inlineStr">
        <is>
          <t>A 41412-2025</t>
        </is>
      </c>
      <c r="B224" s="1" t="n">
        <v>45901.3549537037</v>
      </c>
      <c r="C224" s="1" t="n">
        <v>46160</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28120-2025</t>
        </is>
      </c>
      <c r="B225" s="1" t="n">
        <v>45818.30459490741</v>
      </c>
      <c r="C225" s="1" t="n">
        <v>46160</v>
      </c>
      <c r="D225" t="inlineStr">
        <is>
          <t>ÖREBRO LÄN</t>
        </is>
      </c>
      <c r="E225" t="inlineStr">
        <is>
          <t>ÖREBRO</t>
        </is>
      </c>
      <c r="G225" t="n">
        <v>1.5</v>
      </c>
      <c r="H225" t="n">
        <v>0</v>
      </c>
      <c r="I225" t="n">
        <v>0</v>
      </c>
      <c r="J225" t="n">
        <v>0</v>
      </c>
      <c r="K225" t="n">
        <v>0</v>
      </c>
      <c r="L225" t="n">
        <v>0</v>
      </c>
      <c r="M225" t="n">
        <v>0</v>
      </c>
      <c r="N225" t="n">
        <v>0</v>
      </c>
      <c r="O225" t="n">
        <v>0</v>
      </c>
      <c r="P225" t="n">
        <v>0</v>
      </c>
      <c r="Q225" t="n">
        <v>0</v>
      </c>
      <c r="R225" s="2" t="inlineStr"/>
    </row>
    <row r="226" ht="15" customHeight="1">
      <c r="A226" t="inlineStr">
        <is>
          <t>A 9379-2024</t>
        </is>
      </c>
      <c r="B226" s="1" t="n">
        <v>45359.37298611111</v>
      </c>
      <c r="C226" s="1" t="n">
        <v>46160</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5398-2022</t>
        </is>
      </c>
      <c r="B227" s="1" t="n">
        <v>44595.3353587963</v>
      </c>
      <c r="C227" s="1" t="n">
        <v>46160</v>
      </c>
      <c r="D227" t="inlineStr">
        <is>
          <t>ÖREBRO LÄN</t>
        </is>
      </c>
      <c r="E227" t="inlineStr">
        <is>
          <t>ÖREBRO</t>
        </is>
      </c>
      <c r="G227" t="n">
        <v>2.1</v>
      </c>
      <c r="H227" t="n">
        <v>0</v>
      </c>
      <c r="I227" t="n">
        <v>0</v>
      </c>
      <c r="J227" t="n">
        <v>0</v>
      </c>
      <c r="K227" t="n">
        <v>0</v>
      </c>
      <c r="L227" t="n">
        <v>0</v>
      </c>
      <c r="M227" t="n">
        <v>0</v>
      </c>
      <c r="N227" t="n">
        <v>0</v>
      </c>
      <c r="O227" t="n">
        <v>0</v>
      </c>
      <c r="P227" t="n">
        <v>0</v>
      </c>
      <c r="Q227" t="n">
        <v>0</v>
      </c>
      <c r="R227" s="2" t="inlineStr"/>
    </row>
    <row r="228" ht="15" customHeight="1">
      <c r="A228" t="inlineStr">
        <is>
          <t>A 18550-2025</t>
        </is>
      </c>
      <c r="B228" s="1" t="n">
        <v>45763</v>
      </c>
      <c r="C228" s="1" t="n">
        <v>46160</v>
      </c>
      <c r="D228" t="inlineStr">
        <is>
          <t>ÖREBRO LÄN</t>
        </is>
      </c>
      <c r="E228" t="inlineStr">
        <is>
          <t>ÖREBRO</t>
        </is>
      </c>
      <c r="G228" t="n">
        <v>11.5</v>
      </c>
      <c r="H228" t="n">
        <v>0</v>
      </c>
      <c r="I228" t="n">
        <v>0</v>
      </c>
      <c r="J228" t="n">
        <v>0</v>
      </c>
      <c r="K228" t="n">
        <v>0</v>
      </c>
      <c r="L228" t="n">
        <v>0</v>
      </c>
      <c r="M228" t="n">
        <v>0</v>
      </c>
      <c r="N228" t="n">
        <v>0</v>
      </c>
      <c r="O228" t="n">
        <v>0</v>
      </c>
      <c r="P228" t="n">
        <v>0</v>
      </c>
      <c r="Q228" t="n">
        <v>0</v>
      </c>
      <c r="R228" s="2" t="inlineStr"/>
    </row>
    <row r="229" ht="15" customHeight="1">
      <c r="A229" t="inlineStr">
        <is>
          <t>A 41995-2024</t>
        </is>
      </c>
      <c r="B229" s="1" t="n">
        <v>45561.6475462963</v>
      </c>
      <c r="C229" s="1" t="n">
        <v>46160</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28938-2025</t>
        </is>
      </c>
      <c r="B230" s="1" t="n">
        <v>45820.70626157407</v>
      </c>
      <c r="C230" s="1" t="n">
        <v>46160</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1153-2026</t>
        </is>
      </c>
      <c r="B231" s="1" t="n">
        <v>46031.30899305556</v>
      </c>
      <c r="C231" s="1" t="n">
        <v>46160</v>
      </c>
      <c r="D231" t="inlineStr">
        <is>
          <t>ÖREBRO LÄN</t>
        </is>
      </c>
      <c r="E231" t="inlineStr">
        <is>
          <t>ÖREBRO</t>
        </is>
      </c>
      <c r="G231" t="n">
        <v>3.3</v>
      </c>
      <c r="H231" t="n">
        <v>0</v>
      </c>
      <c r="I231" t="n">
        <v>0</v>
      </c>
      <c r="J231" t="n">
        <v>0</v>
      </c>
      <c r="K231" t="n">
        <v>0</v>
      </c>
      <c r="L231" t="n">
        <v>0</v>
      </c>
      <c r="M231" t="n">
        <v>0</v>
      </c>
      <c r="N231" t="n">
        <v>0</v>
      </c>
      <c r="O231" t="n">
        <v>0</v>
      </c>
      <c r="P231" t="n">
        <v>0</v>
      </c>
      <c r="Q231" t="n">
        <v>0</v>
      </c>
      <c r="R231" s="2" t="inlineStr"/>
    </row>
    <row r="232" ht="15" customHeight="1">
      <c r="A232" t="inlineStr">
        <is>
          <t>A 28920-2025</t>
        </is>
      </c>
      <c r="B232" s="1" t="n">
        <v>45820.66532407407</v>
      </c>
      <c r="C232" s="1" t="n">
        <v>46160</v>
      </c>
      <c r="D232" t="inlineStr">
        <is>
          <t>ÖREBRO LÄN</t>
        </is>
      </c>
      <c r="E232" t="inlineStr">
        <is>
          <t>ÖREBRO</t>
        </is>
      </c>
      <c r="G232" t="n">
        <v>3</v>
      </c>
      <c r="H232" t="n">
        <v>0</v>
      </c>
      <c r="I232" t="n">
        <v>0</v>
      </c>
      <c r="J232" t="n">
        <v>0</v>
      </c>
      <c r="K232" t="n">
        <v>0</v>
      </c>
      <c r="L232" t="n">
        <v>0</v>
      </c>
      <c r="M232" t="n">
        <v>0</v>
      </c>
      <c r="N232" t="n">
        <v>0</v>
      </c>
      <c r="O232" t="n">
        <v>0</v>
      </c>
      <c r="P232" t="n">
        <v>0</v>
      </c>
      <c r="Q232" t="n">
        <v>0</v>
      </c>
      <c r="R232" s="2" t="inlineStr"/>
    </row>
    <row r="233" ht="15" customHeight="1">
      <c r="A233" t="inlineStr">
        <is>
          <t>A 16737-2023</t>
        </is>
      </c>
      <c r="B233" s="1" t="n">
        <v>45030.72472222222</v>
      </c>
      <c r="C233" s="1" t="n">
        <v>46160</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29286-2025</t>
        </is>
      </c>
      <c r="B234" s="1" t="n">
        <v>45824.43502314815</v>
      </c>
      <c r="C234" s="1" t="n">
        <v>46160</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15866-2022</t>
        </is>
      </c>
      <c r="B235" s="1" t="n">
        <v>44664</v>
      </c>
      <c r="C235" s="1" t="n">
        <v>46160</v>
      </c>
      <c r="D235" t="inlineStr">
        <is>
          <t>ÖREBRO LÄN</t>
        </is>
      </c>
      <c r="E235" t="inlineStr">
        <is>
          <t>ÖREBRO</t>
        </is>
      </c>
      <c r="G235" t="n">
        <v>4</v>
      </c>
      <c r="H235" t="n">
        <v>0</v>
      </c>
      <c r="I235" t="n">
        <v>0</v>
      </c>
      <c r="J235" t="n">
        <v>0</v>
      </c>
      <c r="K235" t="n">
        <v>0</v>
      </c>
      <c r="L235" t="n">
        <v>0</v>
      </c>
      <c r="M235" t="n">
        <v>0</v>
      </c>
      <c r="N235" t="n">
        <v>0</v>
      </c>
      <c r="O235" t="n">
        <v>0</v>
      </c>
      <c r="P235" t="n">
        <v>0</v>
      </c>
      <c r="Q235" t="n">
        <v>0</v>
      </c>
      <c r="R235" s="2" t="inlineStr"/>
    </row>
    <row r="236" ht="15" customHeight="1">
      <c r="A236" t="inlineStr">
        <is>
          <t>A 2162-2026</t>
        </is>
      </c>
      <c r="B236" s="1" t="n">
        <v>46036.43479166667</v>
      </c>
      <c r="C236" s="1" t="n">
        <v>46160</v>
      </c>
      <c r="D236" t="inlineStr">
        <is>
          <t>ÖREBRO LÄN</t>
        </is>
      </c>
      <c r="E236" t="inlineStr">
        <is>
          <t>ÖREBRO</t>
        </is>
      </c>
      <c r="G236" t="n">
        <v>0.5</v>
      </c>
      <c r="H236" t="n">
        <v>0</v>
      </c>
      <c r="I236" t="n">
        <v>0</v>
      </c>
      <c r="J236" t="n">
        <v>0</v>
      </c>
      <c r="K236" t="n">
        <v>0</v>
      </c>
      <c r="L236" t="n">
        <v>0</v>
      </c>
      <c r="M236" t="n">
        <v>0</v>
      </c>
      <c r="N236" t="n">
        <v>0</v>
      </c>
      <c r="O236" t="n">
        <v>0</v>
      </c>
      <c r="P236" t="n">
        <v>0</v>
      </c>
      <c r="Q236" t="n">
        <v>0</v>
      </c>
      <c r="R236" s="2" t="inlineStr"/>
    </row>
    <row r="237" ht="15" customHeight="1">
      <c r="A237" t="inlineStr">
        <is>
          <t>A 2318-2023</t>
        </is>
      </c>
      <c r="B237" s="1" t="n">
        <v>44942</v>
      </c>
      <c r="C237" s="1" t="n">
        <v>46160</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29339-2025</t>
        </is>
      </c>
      <c r="B238" s="1" t="n">
        <v>45824.5044212963</v>
      </c>
      <c r="C238" s="1" t="n">
        <v>46160</v>
      </c>
      <c r="D238" t="inlineStr">
        <is>
          <t>ÖREBRO LÄN</t>
        </is>
      </c>
      <c r="E238" t="inlineStr">
        <is>
          <t>ÖREBRO</t>
        </is>
      </c>
      <c r="G238" t="n">
        <v>4.3</v>
      </c>
      <c r="H238" t="n">
        <v>0</v>
      </c>
      <c r="I238" t="n">
        <v>0</v>
      </c>
      <c r="J238" t="n">
        <v>0</v>
      </c>
      <c r="K238" t="n">
        <v>0</v>
      </c>
      <c r="L238" t="n">
        <v>0</v>
      </c>
      <c r="M238" t="n">
        <v>0</v>
      </c>
      <c r="N238" t="n">
        <v>0</v>
      </c>
      <c r="O238" t="n">
        <v>0</v>
      </c>
      <c r="P238" t="n">
        <v>0</v>
      </c>
      <c r="Q238" t="n">
        <v>0</v>
      </c>
      <c r="R238" s="2" t="inlineStr"/>
    </row>
    <row r="239" ht="15" customHeight="1">
      <c r="A239" t="inlineStr">
        <is>
          <t>A 59515-2025</t>
        </is>
      </c>
      <c r="B239" s="1" t="n">
        <v>45989.65238425926</v>
      </c>
      <c r="C239" s="1" t="n">
        <v>46160</v>
      </c>
      <c r="D239" t="inlineStr">
        <is>
          <t>ÖREBRO LÄN</t>
        </is>
      </c>
      <c r="E239" t="inlineStr">
        <is>
          <t>ÖREBRO</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5764-2022</t>
        </is>
      </c>
      <c r="B240" s="1" t="n">
        <v>44596</v>
      </c>
      <c r="C240" s="1" t="n">
        <v>46160</v>
      </c>
      <c r="D240" t="inlineStr">
        <is>
          <t>ÖREBRO LÄN</t>
        </is>
      </c>
      <c r="E240" t="inlineStr">
        <is>
          <t>ÖREBRO</t>
        </is>
      </c>
      <c r="G240" t="n">
        <v>3.5</v>
      </c>
      <c r="H240" t="n">
        <v>0</v>
      </c>
      <c r="I240" t="n">
        <v>0</v>
      </c>
      <c r="J240" t="n">
        <v>0</v>
      </c>
      <c r="K240" t="n">
        <v>0</v>
      </c>
      <c r="L240" t="n">
        <v>0</v>
      </c>
      <c r="M240" t="n">
        <v>0</v>
      </c>
      <c r="N240" t="n">
        <v>0</v>
      </c>
      <c r="O240" t="n">
        <v>0</v>
      </c>
      <c r="P240" t="n">
        <v>0</v>
      </c>
      <c r="Q240" t="n">
        <v>0</v>
      </c>
      <c r="R240" s="2" t="inlineStr"/>
    </row>
    <row r="241" ht="15" customHeight="1">
      <c r="A241" t="inlineStr">
        <is>
          <t>A 60059-2023</t>
        </is>
      </c>
      <c r="B241" s="1" t="n">
        <v>45258.38157407408</v>
      </c>
      <c r="C241" s="1" t="n">
        <v>46160</v>
      </c>
      <c r="D241" t="inlineStr">
        <is>
          <t>ÖREBRO LÄN</t>
        </is>
      </c>
      <c r="E241" t="inlineStr">
        <is>
          <t>ÖREBRO</t>
        </is>
      </c>
      <c r="G241" t="n">
        <v>4</v>
      </c>
      <c r="H241" t="n">
        <v>0</v>
      </c>
      <c r="I241" t="n">
        <v>0</v>
      </c>
      <c r="J241" t="n">
        <v>0</v>
      </c>
      <c r="K241" t="n">
        <v>0</v>
      </c>
      <c r="L241" t="n">
        <v>0</v>
      </c>
      <c r="M241" t="n">
        <v>0</v>
      </c>
      <c r="N241" t="n">
        <v>0</v>
      </c>
      <c r="O241" t="n">
        <v>0</v>
      </c>
      <c r="P241" t="n">
        <v>0</v>
      </c>
      <c r="Q241" t="n">
        <v>0</v>
      </c>
      <c r="R241" s="2" t="inlineStr"/>
    </row>
    <row r="242" ht="15" customHeight="1">
      <c r="A242" t="inlineStr">
        <is>
          <t>A 2970-2026</t>
        </is>
      </c>
      <c r="B242" s="1" t="n">
        <v>46038.6202662037</v>
      </c>
      <c r="C242" s="1" t="n">
        <v>46160</v>
      </c>
      <c r="D242" t="inlineStr">
        <is>
          <t>ÖREBRO LÄN</t>
        </is>
      </c>
      <c r="E242" t="inlineStr">
        <is>
          <t>ÖREBRO</t>
        </is>
      </c>
      <c r="F242" t="inlineStr">
        <is>
          <t>Övriga Aktiebolag</t>
        </is>
      </c>
      <c r="G242" t="n">
        <v>0.6</v>
      </c>
      <c r="H242" t="n">
        <v>0</v>
      </c>
      <c r="I242" t="n">
        <v>0</v>
      </c>
      <c r="J242" t="n">
        <v>0</v>
      </c>
      <c r="K242" t="n">
        <v>0</v>
      </c>
      <c r="L242" t="n">
        <v>0</v>
      </c>
      <c r="M242" t="n">
        <v>0</v>
      </c>
      <c r="N242" t="n">
        <v>0</v>
      </c>
      <c r="O242" t="n">
        <v>0</v>
      </c>
      <c r="P242" t="n">
        <v>0</v>
      </c>
      <c r="Q242" t="n">
        <v>0</v>
      </c>
      <c r="R242" s="2" t="inlineStr"/>
    </row>
    <row r="243" ht="15" customHeight="1">
      <c r="A243" t="inlineStr">
        <is>
          <t>A 3031-2026</t>
        </is>
      </c>
      <c r="B243" s="1" t="n">
        <v>46038.71271990741</v>
      </c>
      <c r="C243" s="1" t="n">
        <v>46160</v>
      </c>
      <c r="D243" t="inlineStr">
        <is>
          <t>ÖREBRO LÄN</t>
        </is>
      </c>
      <c r="E243" t="inlineStr">
        <is>
          <t>ÖREBRO</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3033-2026</t>
        </is>
      </c>
      <c r="B244" s="1" t="n">
        <v>46038.71920138889</v>
      </c>
      <c r="C244" s="1" t="n">
        <v>46160</v>
      </c>
      <c r="D244" t="inlineStr">
        <is>
          <t>ÖREBRO LÄN</t>
        </is>
      </c>
      <c r="E244" t="inlineStr">
        <is>
          <t>ÖREBRO</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3042-2026</t>
        </is>
      </c>
      <c r="B245" s="1" t="n">
        <v>46038.73467592592</v>
      </c>
      <c r="C245" s="1" t="n">
        <v>46160</v>
      </c>
      <c r="D245" t="inlineStr">
        <is>
          <t>ÖREBRO LÄN</t>
        </is>
      </c>
      <c r="E245" t="inlineStr">
        <is>
          <t>ÖREBRO</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45027-2024</t>
        </is>
      </c>
      <c r="B246" s="1" t="n">
        <v>45575</v>
      </c>
      <c r="C246" s="1" t="n">
        <v>46160</v>
      </c>
      <c r="D246" t="inlineStr">
        <is>
          <t>ÖREBRO LÄN</t>
        </is>
      </c>
      <c r="E246" t="inlineStr">
        <is>
          <t>ÖREBRO</t>
        </is>
      </c>
      <c r="G246" t="n">
        <v>6.3</v>
      </c>
      <c r="H246" t="n">
        <v>0</v>
      </c>
      <c r="I246" t="n">
        <v>0</v>
      </c>
      <c r="J246" t="n">
        <v>0</v>
      </c>
      <c r="K246" t="n">
        <v>0</v>
      </c>
      <c r="L246" t="n">
        <v>0</v>
      </c>
      <c r="M246" t="n">
        <v>0</v>
      </c>
      <c r="N246" t="n">
        <v>0</v>
      </c>
      <c r="O246" t="n">
        <v>0</v>
      </c>
      <c r="P246" t="n">
        <v>0</v>
      </c>
      <c r="Q246" t="n">
        <v>0</v>
      </c>
      <c r="R246" s="2" t="inlineStr"/>
    </row>
    <row r="247" ht="15" customHeight="1">
      <c r="A247" t="inlineStr">
        <is>
          <t>A 40051-2024</t>
        </is>
      </c>
      <c r="B247" s="1" t="n">
        <v>45553</v>
      </c>
      <c r="C247" s="1" t="n">
        <v>46160</v>
      </c>
      <c r="D247" t="inlineStr">
        <is>
          <t>ÖREBRO LÄN</t>
        </is>
      </c>
      <c r="E247" t="inlineStr">
        <is>
          <t>ÖREBRO</t>
        </is>
      </c>
      <c r="G247" t="n">
        <v>3.5</v>
      </c>
      <c r="H247" t="n">
        <v>0</v>
      </c>
      <c r="I247" t="n">
        <v>0</v>
      </c>
      <c r="J247" t="n">
        <v>0</v>
      </c>
      <c r="K247" t="n">
        <v>0</v>
      </c>
      <c r="L247" t="n">
        <v>0</v>
      </c>
      <c r="M247" t="n">
        <v>0</v>
      </c>
      <c r="N247" t="n">
        <v>0</v>
      </c>
      <c r="O247" t="n">
        <v>0</v>
      </c>
      <c r="P247" t="n">
        <v>0</v>
      </c>
      <c r="Q247" t="n">
        <v>0</v>
      </c>
      <c r="R247" s="2" t="inlineStr"/>
    </row>
    <row r="248" ht="15" customHeight="1">
      <c r="A248" t="inlineStr">
        <is>
          <t>A 3111-2026</t>
        </is>
      </c>
      <c r="B248" s="1" t="n">
        <v>46041.36004629629</v>
      </c>
      <c r="C248" s="1" t="n">
        <v>46160</v>
      </c>
      <c r="D248" t="inlineStr">
        <is>
          <t>ÖREBRO LÄN</t>
        </is>
      </c>
      <c r="E248" t="inlineStr">
        <is>
          <t>ÖREBRO</t>
        </is>
      </c>
      <c r="F248" t="inlineStr">
        <is>
          <t>Övriga Aktiebolag</t>
        </is>
      </c>
      <c r="G248" t="n">
        <v>8.6</v>
      </c>
      <c r="H248" t="n">
        <v>0</v>
      </c>
      <c r="I248" t="n">
        <v>0</v>
      </c>
      <c r="J248" t="n">
        <v>0</v>
      </c>
      <c r="K248" t="n">
        <v>0</v>
      </c>
      <c r="L248" t="n">
        <v>0</v>
      </c>
      <c r="M248" t="n">
        <v>0</v>
      </c>
      <c r="N248" t="n">
        <v>0</v>
      </c>
      <c r="O248" t="n">
        <v>0</v>
      </c>
      <c r="P248" t="n">
        <v>0</v>
      </c>
      <c r="Q248" t="n">
        <v>0</v>
      </c>
      <c r="R248" s="2" t="inlineStr"/>
    </row>
    <row r="249" ht="15" customHeight="1">
      <c r="A249" t="inlineStr">
        <is>
          <t>A 26858-2024</t>
        </is>
      </c>
      <c r="B249" s="1" t="n">
        <v>45470</v>
      </c>
      <c r="C249" s="1" t="n">
        <v>46160</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3252-2026</t>
        </is>
      </c>
      <c r="B250" s="1" t="n">
        <v>46041.58626157408</v>
      </c>
      <c r="C250" s="1" t="n">
        <v>46160</v>
      </c>
      <c r="D250" t="inlineStr">
        <is>
          <t>ÖREBRO LÄN</t>
        </is>
      </c>
      <c r="E250" t="inlineStr">
        <is>
          <t>ÖREBRO</t>
        </is>
      </c>
      <c r="F250" t="inlineStr">
        <is>
          <t>Övriga Aktiebolag</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41543-2024</t>
        </is>
      </c>
      <c r="B251" s="1" t="n">
        <v>45560</v>
      </c>
      <c r="C251" s="1" t="n">
        <v>46160</v>
      </c>
      <c r="D251" t="inlineStr">
        <is>
          <t>ÖREBRO LÄN</t>
        </is>
      </c>
      <c r="E251" t="inlineStr">
        <is>
          <t>ÖREBRO</t>
        </is>
      </c>
      <c r="G251" t="n">
        <v>2.8</v>
      </c>
      <c r="H251" t="n">
        <v>0</v>
      </c>
      <c r="I251" t="n">
        <v>0</v>
      </c>
      <c r="J251" t="n">
        <v>0</v>
      </c>
      <c r="K251" t="n">
        <v>0</v>
      </c>
      <c r="L251" t="n">
        <v>0</v>
      </c>
      <c r="M251" t="n">
        <v>0</v>
      </c>
      <c r="N251" t="n">
        <v>0</v>
      </c>
      <c r="O251" t="n">
        <v>0</v>
      </c>
      <c r="P251" t="n">
        <v>0</v>
      </c>
      <c r="Q251" t="n">
        <v>0</v>
      </c>
      <c r="R251" s="2" t="inlineStr"/>
    </row>
    <row r="252" ht="15" customHeight="1">
      <c r="A252" t="inlineStr">
        <is>
          <t>A 10799-2024</t>
        </is>
      </c>
      <c r="B252" s="1" t="n">
        <v>45369</v>
      </c>
      <c r="C252" s="1" t="n">
        <v>46160</v>
      </c>
      <c r="D252" t="inlineStr">
        <is>
          <t>ÖREBRO LÄN</t>
        </is>
      </c>
      <c r="E252" t="inlineStr">
        <is>
          <t>ÖREBRO</t>
        </is>
      </c>
      <c r="G252" t="n">
        <v>5.8</v>
      </c>
      <c r="H252" t="n">
        <v>0</v>
      </c>
      <c r="I252" t="n">
        <v>0</v>
      </c>
      <c r="J252" t="n">
        <v>0</v>
      </c>
      <c r="K252" t="n">
        <v>0</v>
      </c>
      <c r="L252" t="n">
        <v>0</v>
      </c>
      <c r="M252" t="n">
        <v>0</v>
      </c>
      <c r="N252" t="n">
        <v>0</v>
      </c>
      <c r="O252" t="n">
        <v>0</v>
      </c>
      <c r="P252" t="n">
        <v>0</v>
      </c>
      <c r="Q252" t="n">
        <v>0</v>
      </c>
      <c r="R252" s="2" t="inlineStr"/>
    </row>
    <row r="253" ht="15" customHeight="1">
      <c r="A253" t="inlineStr">
        <is>
          <t>A 29701-2025</t>
        </is>
      </c>
      <c r="B253" s="1" t="n">
        <v>45825.55261574074</v>
      </c>
      <c r="C253" s="1" t="n">
        <v>46160</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16694-2025</t>
        </is>
      </c>
      <c r="B254" s="1" t="n">
        <v>45754.46480324074</v>
      </c>
      <c r="C254" s="1" t="n">
        <v>46160</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49465-2024</t>
        </is>
      </c>
      <c r="B255" s="1" t="n">
        <v>45596</v>
      </c>
      <c r="C255" s="1" t="n">
        <v>46160</v>
      </c>
      <c r="D255" t="inlineStr">
        <is>
          <t>ÖREBRO LÄN</t>
        </is>
      </c>
      <c r="E255" t="inlineStr">
        <is>
          <t>ÖREBRO</t>
        </is>
      </c>
      <c r="F255" t="inlineStr">
        <is>
          <t>Övriga Aktiebolag</t>
        </is>
      </c>
      <c r="G255" t="n">
        <v>21</v>
      </c>
      <c r="H255" t="n">
        <v>0</v>
      </c>
      <c r="I255" t="n">
        <v>0</v>
      </c>
      <c r="J255" t="n">
        <v>0</v>
      </c>
      <c r="K255" t="n">
        <v>0</v>
      </c>
      <c r="L255" t="n">
        <v>0</v>
      </c>
      <c r="M255" t="n">
        <v>0</v>
      </c>
      <c r="N255" t="n">
        <v>0</v>
      </c>
      <c r="O255" t="n">
        <v>0</v>
      </c>
      <c r="P255" t="n">
        <v>0</v>
      </c>
      <c r="Q255" t="n">
        <v>0</v>
      </c>
      <c r="R255" s="2" t="inlineStr"/>
    </row>
    <row r="256" ht="15" customHeight="1">
      <c r="A256" t="inlineStr">
        <is>
          <t>A 30550-2025</t>
        </is>
      </c>
      <c r="B256" s="1" t="n">
        <v>45831.38224537037</v>
      </c>
      <c r="C256" s="1" t="n">
        <v>46160</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46160</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30731-2025</t>
        </is>
      </c>
      <c r="B258" s="1" t="n">
        <v>45831.57280092593</v>
      </c>
      <c r="C258" s="1" t="n">
        <v>46160</v>
      </c>
      <c r="D258" t="inlineStr">
        <is>
          <t>ÖREBRO LÄN</t>
        </is>
      </c>
      <c r="E258" t="inlineStr">
        <is>
          <t>ÖREBRO</t>
        </is>
      </c>
      <c r="G258" t="n">
        <v>1</v>
      </c>
      <c r="H258" t="n">
        <v>0</v>
      </c>
      <c r="I258" t="n">
        <v>0</v>
      </c>
      <c r="J258" t="n">
        <v>0</v>
      </c>
      <c r="K258" t="n">
        <v>0</v>
      </c>
      <c r="L258" t="n">
        <v>0</v>
      </c>
      <c r="M258" t="n">
        <v>0</v>
      </c>
      <c r="N258" t="n">
        <v>0</v>
      </c>
      <c r="O258" t="n">
        <v>0</v>
      </c>
      <c r="P258" t="n">
        <v>0</v>
      </c>
      <c r="Q258" t="n">
        <v>0</v>
      </c>
      <c r="R258" s="2" t="inlineStr"/>
    </row>
    <row r="259" ht="15" customHeight="1">
      <c r="A259" t="inlineStr">
        <is>
          <t>A 30951-2025</t>
        </is>
      </c>
      <c r="B259" s="1" t="n">
        <v>45832.43225694444</v>
      </c>
      <c r="C259" s="1" t="n">
        <v>46160</v>
      </c>
      <c r="D259" t="inlineStr">
        <is>
          <t>ÖREBRO LÄN</t>
        </is>
      </c>
      <c r="E259" t="inlineStr">
        <is>
          <t>ÖREBRO</t>
        </is>
      </c>
      <c r="F259" t="inlineStr">
        <is>
          <t>Övriga Aktiebolag</t>
        </is>
      </c>
      <c r="G259" t="n">
        <v>2.3</v>
      </c>
      <c r="H259" t="n">
        <v>0</v>
      </c>
      <c r="I259" t="n">
        <v>0</v>
      </c>
      <c r="J259" t="n">
        <v>0</v>
      </c>
      <c r="K259" t="n">
        <v>0</v>
      </c>
      <c r="L259" t="n">
        <v>0</v>
      </c>
      <c r="M259" t="n">
        <v>0</v>
      </c>
      <c r="N259" t="n">
        <v>0</v>
      </c>
      <c r="O259" t="n">
        <v>0</v>
      </c>
      <c r="P259" t="n">
        <v>0</v>
      </c>
      <c r="Q259" t="n">
        <v>0</v>
      </c>
      <c r="R259" s="2" t="inlineStr"/>
    </row>
    <row r="260" ht="15" customHeight="1">
      <c r="A260" t="inlineStr">
        <is>
          <t>A 31066-2025</t>
        </is>
      </c>
      <c r="B260" s="1" t="n">
        <v>45832</v>
      </c>
      <c r="C260" s="1" t="n">
        <v>46160</v>
      </c>
      <c r="D260" t="inlineStr">
        <is>
          <t>ÖREBRO LÄN</t>
        </is>
      </c>
      <c r="E260" t="inlineStr">
        <is>
          <t>ÖREBRO</t>
        </is>
      </c>
      <c r="G260" t="n">
        <v>11.1</v>
      </c>
      <c r="H260" t="n">
        <v>0</v>
      </c>
      <c r="I260" t="n">
        <v>0</v>
      </c>
      <c r="J260" t="n">
        <v>0</v>
      </c>
      <c r="K260" t="n">
        <v>0</v>
      </c>
      <c r="L260" t="n">
        <v>0</v>
      </c>
      <c r="M260" t="n">
        <v>0</v>
      </c>
      <c r="N260" t="n">
        <v>0</v>
      </c>
      <c r="O260" t="n">
        <v>0</v>
      </c>
      <c r="P260" t="n">
        <v>0</v>
      </c>
      <c r="Q260" t="n">
        <v>0</v>
      </c>
      <c r="R260" s="2" t="inlineStr"/>
    </row>
    <row r="261" ht="15" customHeight="1">
      <c r="A261" t="inlineStr">
        <is>
          <t>A 44960-2025</t>
        </is>
      </c>
      <c r="B261" s="1" t="n">
        <v>45918.61577546296</v>
      </c>
      <c r="C261" s="1" t="n">
        <v>46160</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59121-2024</t>
        </is>
      </c>
      <c r="B262" s="1" t="n">
        <v>45637.37755787037</v>
      </c>
      <c r="C262" s="1" t="n">
        <v>46160</v>
      </c>
      <c r="D262" t="inlineStr">
        <is>
          <t>ÖREBRO LÄN</t>
        </is>
      </c>
      <c r="E262" t="inlineStr">
        <is>
          <t>ÖREBRO</t>
        </is>
      </c>
      <c r="G262" t="n">
        <v>1</v>
      </c>
      <c r="H262" t="n">
        <v>0</v>
      </c>
      <c r="I262" t="n">
        <v>0</v>
      </c>
      <c r="J262" t="n">
        <v>0</v>
      </c>
      <c r="K262" t="n">
        <v>0</v>
      </c>
      <c r="L262" t="n">
        <v>0</v>
      </c>
      <c r="M262" t="n">
        <v>0</v>
      </c>
      <c r="N262" t="n">
        <v>0</v>
      </c>
      <c r="O262" t="n">
        <v>0</v>
      </c>
      <c r="P262" t="n">
        <v>0</v>
      </c>
      <c r="Q262" t="n">
        <v>0</v>
      </c>
      <c r="R262" s="2" t="inlineStr"/>
    </row>
    <row r="263" ht="15" customHeight="1">
      <c r="A263" t="inlineStr">
        <is>
          <t>A 49215-2023</t>
        </is>
      </c>
      <c r="B263" s="1" t="n">
        <v>45210.61050925926</v>
      </c>
      <c r="C263" s="1" t="n">
        <v>46160</v>
      </c>
      <c r="D263" t="inlineStr">
        <is>
          <t>ÖREBRO LÄN</t>
        </is>
      </c>
      <c r="E263" t="inlineStr">
        <is>
          <t>ÖREBRO</t>
        </is>
      </c>
      <c r="F263" t="inlineStr">
        <is>
          <t>Övriga Aktiebolag</t>
        </is>
      </c>
      <c r="G263" t="n">
        <v>4.2</v>
      </c>
      <c r="H263" t="n">
        <v>0</v>
      </c>
      <c r="I263" t="n">
        <v>0</v>
      </c>
      <c r="J263" t="n">
        <v>0</v>
      </c>
      <c r="K263" t="n">
        <v>0</v>
      </c>
      <c r="L263" t="n">
        <v>0</v>
      </c>
      <c r="M263" t="n">
        <v>0</v>
      </c>
      <c r="N263" t="n">
        <v>0</v>
      </c>
      <c r="O263" t="n">
        <v>0</v>
      </c>
      <c r="P263" t="n">
        <v>0</v>
      </c>
      <c r="Q263" t="n">
        <v>0</v>
      </c>
      <c r="R263" s="2" t="inlineStr"/>
    </row>
    <row r="264" ht="15" customHeight="1">
      <c r="A264" t="inlineStr">
        <is>
          <t>A 17983-2025</t>
        </is>
      </c>
      <c r="B264" s="1" t="n">
        <v>45761.38829861111</v>
      </c>
      <c r="C264" s="1" t="n">
        <v>46160</v>
      </c>
      <c r="D264" t="inlineStr">
        <is>
          <t>ÖREBRO LÄN</t>
        </is>
      </c>
      <c r="E264" t="inlineStr">
        <is>
          <t>ÖREBRO</t>
        </is>
      </c>
      <c r="G264" t="n">
        <v>0.8</v>
      </c>
      <c r="H264" t="n">
        <v>0</v>
      </c>
      <c r="I264" t="n">
        <v>0</v>
      </c>
      <c r="J264" t="n">
        <v>0</v>
      </c>
      <c r="K264" t="n">
        <v>0</v>
      </c>
      <c r="L264" t="n">
        <v>0</v>
      </c>
      <c r="M264" t="n">
        <v>0</v>
      </c>
      <c r="N264" t="n">
        <v>0</v>
      </c>
      <c r="O264" t="n">
        <v>0</v>
      </c>
      <c r="P264" t="n">
        <v>0</v>
      </c>
      <c r="Q264" t="n">
        <v>0</v>
      </c>
      <c r="R264" s="2" t="inlineStr"/>
    </row>
    <row r="265" ht="15" customHeight="1">
      <c r="A265" t="inlineStr">
        <is>
          <t>A 31233-2025</t>
        </is>
      </c>
      <c r="B265" s="1" t="n">
        <v>45832.83341435185</v>
      </c>
      <c r="C265" s="1" t="n">
        <v>46160</v>
      </c>
      <c r="D265" t="inlineStr">
        <is>
          <t>ÖREBRO LÄN</t>
        </is>
      </c>
      <c r="E265" t="inlineStr">
        <is>
          <t>ÖREBRO</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31232-2025</t>
        </is>
      </c>
      <c r="B266" s="1" t="n">
        <v>45832.8252199074</v>
      </c>
      <c r="C266" s="1" t="n">
        <v>46160</v>
      </c>
      <c r="D266" t="inlineStr">
        <is>
          <t>ÖREBRO LÄN</t>
        </is>
      </c>
      <c r="E266" t="inlineStr">
        <is>
          <t>ÖREBRO</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31237-2025</t>
        </is>
      </c>
      <c r="B267" s="1" t="n">
        <v>45832.84313657408</v>
      </c>
      <c r="C267" s="1" t="n">
        <v>46160</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3944-2026</t>
        </is>
      </c>
      <c r="B268" s="1" t="n">
        <v>46043.93358796297</v>
      </c>
      <c r="C268" s="1" t="n">
        <v>46160</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55692-2023</t>
        </is>
      </c>
      <c r="B269" s="1" t="n">
        <v>45239</v>
      </c>
      <c r="C269" s="1" t="n">
        <v>46160</v>
      </c>
      <c r="D269" t="inlineStr">
        <is>
          <t>ÖREBRO LÄN</t>
        </is>
      </c>
      <c r="E269" t="inlineStr">
        <is>
          <t>ÖREBRO</t>
        </is>
      </c>
      <c r="F269" t="inlineStr">
        <is>
          <t>Övriga Aktiebolag</t>
        </is>
      </c>
      <c r="G269" t="n">
        <v>0.4</v>
      </c>
      <c r="H269" t="n">
        <v>0</v>
      </c>
      <c r="I269" t="n">
        <v>0</v>
      </c>
      <c r="J269" t="n">
        <v>0</v>
      </c>
      <c r="K269" t="n">
        <v>0</v>
      </c>
      <c r="L269" t="n">
        <v>0</v>
      </c>
      <c r="M269" t="n">
        <v>0</v>
      </c>
      <c r="N269" t="n">
        <v>0</v>
      </c>
      <c r="O269" t="n">
        <v>0</v>
      </c>
      <c r="P269" t="n">
        <v>0</v>
      </c>
      <c r="Q269" t="n">
        <v>0</v>
      </c>
      <c r="R269" s="2" t="inlineStr"/>
    </row>
    <row r="270" ht="15" customHeight="1">
      <c r="A270" t="inlineStr">
        <is>
          <t>A 32218-2025</t>
        </is>
      </c>
      <c r="B270" s="1" t="n">
        <v>45835.58880787037</v>
      </c>
      <c r="C270" s="1" t="n">
        <v>46160</v>
      </c>
      <c r="D270" t="inlineStr">
        <is>
          <t>ÖREBRO LÄN</t>
        </is>
      </c>
      <c r="E270" t="inlineStr">
        <is>
          <t>ÖREBRO</t>
        </is>
      </c>
      <c r="G270" t="n">
        <v>0.7</v>
      </c>
      <c r="H270" t="n">
        <v>0</v>
      </c>
      <c r="I270" t="n">
        <v>0</v>
      </c>
      <c r="J270" t="n">
        <v>0</v>
      </c>
      <c r="K270" t="n">
        <v>0</v>
      </c>
      <c r="L270" t="n">
        <v>0</v>
      </c>
      <c r="M270" t="n">
        <v>0</v>
      </c>
      <c r="N270" t="n">
        <v>0</v>
      </c>
      <c r="O270" t="n">
        <v>0</v>
      </c>
      <c r="P270" t="n">
        <v>0</v>
      </c>
      <c r="Q270" t="n">
        <v>0</v>
      </c>
      <c r="R270" s="2" t="inlineStr"/>
    </row>
    <row r="271" ht="15" customHeight="1">
      <c r="A271" t="inlineStr">
        <is>
          <t>A 14715-2024</t>
        </is>
      </c>
      <c r="B271" s="1" t="n">
        <v>45397.5500462963</v>
      </c>
      <c r="C271" s="1" t="n">
        <v>46160</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32188-2025</t>
        </is>
      </c>
      <c r="B272" s="1" t="n">
        <v>45835.56965277778</v>
      </c>
      <c r="C272" s="1" t="n">
        <v>46160</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32195-2025</t>
        </is>
      </c>
      <c r="B273" s="1" t="n">
        <v>45835.57407407407</v>
      </c>
      <c r="C273" s="1" t="n">
        <v>46160</v>
      </c>
      <c r="D273" t="inlineStr">
        <is>
          <t>ÖREBRO LÄN</t>
        </is>
      </c>
      <c r="E273" t="inlineStr">
        <is>
          <t>ÖREBRO</t>
        </is>
      </c>
      <c r="G273" t="n">
        <v>1.5</v>
      </c>
      <c r="H273" t="n">
        <v>0</v>
      </c>
      <c r="I273" t="n">
        <v>0</v>
      </c>
      <c r="J273" t="n">
        <v>0</v>
      </c>
      <c r="K273" t="n">
        <v>0</v>
      </c>
      <c r="L273" t="n">
        <v>0</v>
      </c>
      <c r="M273" t="n">
        <v>0</v>
      </c>
      <c r="N273" t="n">
        <v>0</v>
      </c>
      <c r="O273" t="n">
        <v>0</v>
      </c>
      <c r="P273" t="n">
        <v>0</v>
      </c>
      <c r="Q273" t="n">
        <v>0</v>
      </c>
      <c r="R273" s="2" t="inlineStr"/>
    </row>
    <row r="274" ht="15" customHeight="1">
      <c r="A274" t="inlineStr">
        <is>
          <t>A 33191-2025</t>
        </is>
      </c>
      <c r="B274" s="1" t="n">
        <v>45840.6003587963</v>
      </c>
      <c r="C274" s="1" t="n">
        <v>46160</v>
      </c>
      <c r="D274" t="inlineStr">
        <is>
          <t>ÖREBRO LÄN</t>
        </is>
      </c>
      <c r="E274" t="inlineStr">
        <is>
          <t>ÖREBRO</t>
        </is>
      </c>
      <c r="G274" t="n">
        <v>2.6</v>
      </c>
      <c r="H274" t="n">
        <v>0</v>
      </c>
      <c r="I274" t="n">
        <v>0</v>
      </c>
      <c r="J274" t="n">
        <v>0</v>
      </c>
      <c r="K274" t="n">
        <v>0</v>
      </c>
      <c r="L274" t="n">
        <v>0</v>
      </c>
      <c r="M274" t="n">
        <v>0</v>
      </c>
      <c r="N274" t="n">
        <v>0</v>
      </c>
      <c r="O274" t="n">
        <v>0</v>
      </c>
      <c r="P274" t="n">
        <v>0</v>
      </c>
      <c r="Q274" t="n">
        <v>0</v>
      </c>
      <c r="R274" s="2" t="inlineStr"/>
    </row>
    <row r="275" ht="15" customHeight="1">
      <c r="A275" t="inlineStr">
        <is>
          <t>A 12682-2023</t>
        </is>
      </c>
      <c r="B275" s="1" t="n">
        <v>45000.6115625</v>
      </c>
      <c r="C275" s="1" t="n">
        <v>46160</v>
      </c>
      <c r="D275" t="inlineStr">
        <is>
          <t>ÖREBRO LÄN</t>
        </is>
      </c>
      <c r="E275" t="inlineStr">
        <is>
          <t>ÖREBRO</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13592-2023</t>
        </is>
      </c>
      <c r="B276" s="1" t="n">
        <v>45006.56870370371</v>
      </c>
      <c r="C276" s="1" t="n">
        <v>46160</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32426-2025</t>
        </is>
      </c>
      <c r="B277" s="1" t="n">
        <v>45838.36179398148</v>
      </c>
      <c r="C277" s="1" t="n">
        <v>46160</v>
      </c>
      <c r="D277" t="inlineStr">
        <is>
          <t>ÖREBRO LÄN</t>
        </is>
      </c>
      <c r="E277" t="inlineStr">
        <is>
          <t>ÖREBRO</t>
        </is>
      </c>
      <c r="G277" t="n">
        <v>1.1</v>
      </c>
      <c r="H277" t="n">
        <v>0</v>
      </c>
      <c r="I277" t="n">
        <v>0</v>
      </c>
      <c r="J277" t="n">
        <v>0</v>
      </c>
      <c r="K277" t="n">
        <v>0</v>
      </c>
      <c r="L277" t="n">
        <v>0</v>
      </c>
      <c r="M277" t="n">
        <v>0</v>
      </c>
      <c r="N277" t="n">
        <v>0</v>
      </c>
      <c r="O277" t="n">
        <v>0</v>
      </c>
      <c r="P277" t="n">
        <v>0</v>
      </c>
      <c r="Q277" t="n">
        <v>0</v>
      </c>
      <c r="R277" s="2" t="inlineStr"/>
    </row>
    <row r="278" ht="15" customHeight="1">
      <c r="A278" t="inlineStr">
        <is>
          <t>A 32904-2025</t>
        </is>
      </c>
      <c r="B278" s="1" t="n">
        <v>45839</v>
      </c>
      <c r="C278" s="1" t="n">
        <v>46160</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59736-2023</t>
        </is>
      </c>
      <c r="B279" s="1" t="n">
        <v>45257.374375</v>
      </c>
      <c r="C279" s="1" t="n">
        <v>46160</v>
      </c>
      <c r="D279" t="inlineStr">
        <is>
          <t>ÖREBRO LÄN</t>
        </is>
      </c>
      <c r="E279" t="inlineStr">
        <is>
          <t>ÖREBRO</t>
        </is>
      </c>
      <c r="G279" t="n">
        <v>1.1</v>
      </c>
      <c r="H279" t="n">
        <v>0</v>
      </c>
      <c r="I279" t="n">
        <v>0</v>
      </c>
      <c r="J279" t="n">
        <v>0</v>
      </c>
      <c r="K279" t="n">
        <v>0</v>
      </c>
      <c r="L279" t="n">
        <v>0</v>
      </c>
      <c r="M279" t="n">
        <v>0</v>
      </c>
      <c r="N279" t="n">
        <v>0</v>
      </c>
      <c r="O279" t="n">
        <v>0</v>
      </c>
      <c r="P279" t="n">
        <v>0</v>
      </c>
      <c r="Q279" t="n">
        <v>0</v>
      </c>
      <c r="R279" s="2" t="inlineStr"/>
    </row>
    <row r="280" ht="15" customHeight="1">
      <c r="A280" t="inlineStr">
        <is>
          <t>A 55355-2024</t>
        </is>
      </c>
      <c r="B280" s="1" t="n">
        <v>45621.80475694445</v>
      </c>
      <c r="C280" s="1" t="n">
        <v>46160</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49029-2024</t>
        </is>
      </c>
      <c r="B281" s="1" t="n">
        <v>45594</v>
      </c>
      <c r="C281" s="1" t="n">
        <v>46160</v>
      </c>
      <c r="D281" t="inlineStr">
        <is>
          <t>ÖREBRO LÄN</t>
        </is>
      </c>
      <c r="E281" t="inlineStr">
        <is>
          <t>ÖREBRO</t>
        </is>
      </c>
      <c r="G281" t="n">
        <v>3.7</v>
      </c>
      <c r="H281" t="n">
        <v>0</v>
      </c>
      <c r="I281" t="n">
        <v>0</v>
      </c>
      <c r="J281" t="n">
        <v>0</v>
      </c>
      <c r="K281" t="n">
        <v>0</v>
      </c>
      <c r="L281" t="n">
        <v>0</v>
      </c>
      <c r="M281" t="n">
        <v>0</v>
      </c>
      <c r="N281" t="n">
        <v>0</v>
      </c>
      <c r="O281" t="n">
        <v>0</v>
      </c>
      <c r="P281" t="n">
        <v>0</v>
      </c>
      <c r="Q281" t="n">
        <v>0</v>
      </c>
      <c r="R281" s="2" t="inlineStr"/>
    </row>
    <row r="282" ht="15" customHeight="1">
      <c r="A282" t="inlineStr">
        <is>
          <t>A 20115-2024</t>
        </is>
      </c>
      <c r="B282" s="1" t="n">
        <v>45434</v>
      </c>
      <c r="C282" s="1" t="n">
        <v>46160</v>
      </c>
      <c r="D282" t="inlineStr">
        <is>
          <t>ÖREBRO LÄN</t>
        </is>
      </c>
      <c r="E282" t="inlineStr">
        <is>
          <t>ÖREBRO</t>
        </is>
      </c>
      <c r="G282" t="n">
        <v>1.7</v>
      </c>
      <c r="H282" t="n">
        <v>0</v>
      </c>
      <c r="I282" t="n">
        <v>0</v>
      </c>
      <c r="J282" t="n">
        <v>0</v>
      </c>
      <c r="K282" t="n">
        <v>0</v>
      </c>
      <c r="L282" t="n">
        <v>0</v>
      </c>
      <c r="M282" t="n">
        <v>0</v>
      </c>
      <c r="N282" t="n">
        <v>0</v>
      </c>
      <c r="O282" t="n">
        <v>0</v>
      </c>
      <c r="P282" t="n">
        <v>0</v>
      </c>
      <c r="Q282" t="n">
        <v>0</v>
      </c>
      <c r="R282" s="2" t="inlineStr"/>
    </row>
    <row r="283" ht="15" customHeight="1">
      <c r="A283" t="inlineStr">
        <is>
          <t>A 55875-2024</t>
        </is>
      </c>
      <c r="B283" s="1" t="n">
        <v>45623.55375</v>
      </c>
      <c r="C283" s="1" t="n">
        <v>46160</v>
      </c>
      <c r="D283" t="inlineStr">
        <is>
          <t>ÖREBRO LÄN</t>
        </is>
      </c>
      <c r="E283" t="inlineStr">
        <is>
          <t>ÖREBRO</t>
        </is>
      </c>
      <c r="G283" t="n">
        <v>3.5</v>
      </c>
      <c r="H283" t="n">
        <v>0</v>
      </c>
      <c r="I283" t="n">
        <v>0</v>
      </c>
      <c r="J283" t="n">
        <v>0</v>
      </c>
      <c r="K283" t="n">
        <v>0</v>
      </c>
      <c r="L283" t="n">
        <v>0</v>
      </c>
      <c r="M283" t="n">
        <v>0</v>
      </c>
      <c r="N283" t="n">
        <v>0</v>
      </c>
      <c r="O283" t="n">
        <v>0</v>
      </c>
      <c r="P283" t="n">
        <v>0</v>
      </c>
      <c r="Q283" t="n">
        <v>0</v>
      </c>
      <c r="R283" s="2" t="inlineStr"/>
    </row>
    <row r="284" ht="15" customHeight="1">
      <c r="A284" t="inlineStr">
        <is>
          <t>A 11663-2024</t>
        </is>
      </c>
      <c r="B284" s="1" t="n">
        <v>45373</v>
      </c>
      <c r="C284" s="1" t="n">
        <v>46160</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23710-2022</t>
        </is>
      </c>
      <c r="B285" s="1" t="n">
        <v>44722</v>
      </c>
      <c r="C285" s="1" t="n">
        <v>46160</v>
      </c>
      <c r="D285" t="inlineStr">
        <is>
          <t>ÖREBRO LÄN</t>
        </is>
      </c>
      <c r="E285" t="inlineStr">
        <is>
          <t>ÖREBRO</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10470-2025</t>
        </is>
      </c>
      <c r="B286" s="1" t="n">
        <v>45720</v>
      </c>
      <c r="C286" s="1" t="n">
        <v>46160</v>
      </c>
      <c r="D286" t="inlineStr">
        <is>
          <t>ÖREBRO LÄN</t>
        </is>
      </c>
      <c r="E286" t="inlineStr">
        <is>
          <t>ÖREBRO</t>
        </is>
      </c>
      <c r="G286" t="n">
        <v>11.5</v>
      </c>
      <c r="H286" t="n">
        <v>0</v>
      </c>
      <c r="I286" t="n">
        <v>0</v>
      </c>
      <c r="J286" t="n">
        <v>0</v>
      </c>
      <c r="K286" t="n">
        <v>0</v>
      </c>
      <c r="L286" t="n">
        <v>0</v>
      </c>
      <c r="M286" t="n">
        <v>0</v>
      </c>
      <c r="N286" t="n">
        <v>0</v>
      </c>
      <c r="O286" t="n">
        <v>0</v>
      </c>
      <c r="P286" t="n">
        <v>0</v>
      </c>
      <c r="Q286" t="n">
        <v>0</v>
      </c>
      <c r="R286" s="2" t="inlineStr"/>
    </row>
    <row r="287" ht="15" customHeight="1">
      <c r="A287" t="inlineStr">
        <is>
          <t>A 48454-2025</t>
        </is>
      </c>
      <c r="B287" s="1" t="n">
        <v>45935.80164351852</v>
      </c>
      <c r="C287" s="1" t="n">
        <v>46160</v>
      </c>
      <c r="D287" t="inlineStr">
        <is>
          <t>ÖREBRO LÄN</t>
        </is>
      </c>
      <c r="E287" t="inlineStr">
        <is>
          <t>ÖREBRO</t>
        </is>
      </c>
      <c r="F287" t="inlineStr">
        <is>
          <t>Övriga Aktiebolag</t>
        </is>
      </c>
      <c r="G287" t="n">
        <v>18.1</v>
      </c>
      <c r="H287" t="n">
        <v>0</v>
      </c>
      <c r="I287" t="n">
        <v>0</v>
      </c>
      <c r="J287" t="n">
        <v>0</v>
      </c>
      <c r="K287" t="n">
        <v>0</v>
      </c>
      <c r="L287" t="n">
        <v>0</v>
      </c>
      <c r="M287" t="n">
        <v>0</v>
      </c>
      <c r="N287" t="n">
        <v>0</v>
      </c>
      <c r="O287" t="n">
        <v>0</v>
      </c>
      <c r="P287" t="n">
        <v>0</v>
      </c>
      <c r="Q287" t="n">
        <v>0</v>
      </c>
      <c r="R287" s="2" t="inlineStr"/>
    </row>
    <row r="288" ht="15" customHeight="1">
      <c r="A288" t="inlineStr">
        <is>
          <t>A 46056-2024</t>
        </is>
      </c>
      <c r="B288" s="1" t="n">
        <v>45580.91502314815</v>
      </c>
      <c r="C288" s="1" t="n">
        <v>46160</v>
      </c>
      <c r="D288" t="inlineStr">
        <is>
          <t>ÖREBRO LÄN</t>
        </is>
      </c>
      <c r="E288" t="inlineStr">
        <is>
          <t>ÖREBRO</t>
        </is>
      </c>
      <c r="F288" t="inlineStr">
        <is>
          <t>Övriga Aktiebolag</t>
        </is>
      </c>
      <c r="G288" t="n">
        <v>4.5</v>
      </c>
      <c r="H288" t="n">
        <v>0</v>
      </c>
      <c r="I288" t="n">
        <v>0</v>
      </c>
      <c r="J288" t="n">
        <v>0</v>
      </c>
      <c r="K288" t="n">
        <v>0</v>
      </c>
      <c r="L288" t="n">
        <v>0</v>
      </c>
      <c r="M288" t="n">
        <v>0</v>
      </c>
      <c r="N288" t="n">
        <v>0</v>
      </c>
      <c r="O288" t="n">
        <v>0</v>
      </c>
      <c r="P288" t="n">
        <v>0</v>
      </c>
      <c r="Q288" t="n">
        <v>0</v>
      </c>
      <c r="R288" s="2" t="inlineStr"/>
    </row>
    <row r="289" ht="15" customHeight="1">
      <c r="A289" t="inlineStr">
        <is>
          <t>A 13355-2023</t>
        </is>
      </c>
      <c r="B289" s="1" t="n">
        <v>45004</v>
      </c>
      <c r="C289" s="1" t="n">
        <v>46160</v>
      </c>
      <c r="D289" t="inlineStr">
        <is>
          <t>ÖREBRO LÄN</t>
        </is>
      </c>
      <c r="E289" t="inlineStr">
        <is>
          <t>ÖREBRO</t>
        </is>
      </c>
      <c r="G289" t="n">
        <v>2.3</v>
      </c>
      <c r="H289" t="n">
        <v>0</v>
      </c>
      <c r="I289" t="n">
        <v>0</v>
      </c>
      <c r="J289" t="n">
        <v>0</v>
      </c>
      <c r="K289" t="n">
        <v>0</v>
      </c>
      <c r="L289" t="n">
        <v>0</v>
      </c>
      <c r="M289" t="n">
        <v>0</v>
      </c>
      <c r="N289" t="n">
        <v>0</v>
      </c>
      <c r="O289" t="n">
        <v>0</v>
      </c>
      <c r="P289" t="n">
        <v>0</v>
      </c>
      <c r="Q289" t="n">
        <v>0</v>
      </c>
      <c r="R289" s="2" t="inlineStr"/>
    </row>
    <row r="290" ht="15" customHeight="1">
      <c r="A290" t="inlineStr">
        <is>
          <t>A 48687-2024</t>
        </is>
      </c>
      <c r="B290" s="1" t="n">
        <v>45593.49899305555</v>
      </c>
      <c r="C290" s="1" t="n">
        <v>46160</v>
      </c>
      <c r="D290" t="inlineStr">
        <is>
          <t>ÖREBRO LÄN</t>
        </is>
      </c>
      <c r="E290" t="inlineStr">
        <is>
          <t>ÖREBRO</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6522-2023</t>
        </is>
      </c>
      <c r="B291" s="1" t="n">
        <v>44966</v>
      </c>
      <c r="C291" s="1" t="n">
        <v>46160</v>
      </c>
      <c r="D291" t="inlineStr">
        <is>
          <t>ÖREBRO LÄN</t>
        </is>
      </c>
      <c r="E291" t="inlineStr">
        <is>
          <t>ÖREBRO</t>
        </is>
      </c>
      <c r="G291" t="n">
        <v>4.4</v>
      </c>
      <c r="H291" t="n">
        <v>0</v>
      </c>
      <c r="I291" t="n">
        <v>0</v>
      </c>
      <c r="J291" t="n">
        <v>0</v>
      </c>
      <c r="K291" t="n">
        <v>0</v>
      </c>
      <c r="L291" t="n">
        <v>0</v>
      </c>
      <c r="M291" t="n">
        <v>0</v>
      </c>
      <c r="N291" t="n">
        <v>0</v>
      </c>
      <c r="O291" t="n">
        <v>0</v>
      </c>
      <c r="P291" t="n">
        <v>0</v>
      </c>
      <c r="Q291" t="n">
        <v>0</v>
      </c>
      <c r="R291" s="2" t="inlineStr"/>
    </row>
    <row r="292" ht="15" customHeight="1">
      <c r="A292" t="inlineStr">
        <is>
          <t>A 6220-2026</t>
        </is>
      </c>
      <c r="B292" s="1" t="n">
        <v>46055.43789351852</v>
      </c>
      <c r="C292" s="1" t="n">
        <v>46160</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56040-2024</t>
        </is>
      </c>
      <c r="B293" s="1" t="n">
        <v>45624.3344212963</v>
      </c>
      <c r="C293" s="1" t="n">
        <v>46160</v>
      </c>
      <c r="D293" t="inlineStr">
        <is>
          <t>ÖREBRO LÄN</t>
        </is>
      </c>
      <c r="E293" t="inlineStr">
        <is>
          <t>ÖREBRO</t>
        </is>
      </c>
      <c r="G293" t="n">
        <v>1.2</v>
      </c>
      <c r="H293" t="n">
        <v>0</v>
      </c>
      <c r="I293" t="n">
        <v>0</v>
      </c>
      <c r="J293" t="n">
        <v>0</v>
      </c>
      <c r="K293" t="n">
        <v>0</v>
      </c>
      <c r="L293" t="n">
        <v>0</v>
      </c>
      <c r="M293" t="n">
        <v>0</v>
      </c>
      <c r="N293" t="n">
        <v>0</v>
      </c>
      <c r="O293" t="n">
        <v>0</v>
      </c>
      <c r="P293" t="n">
        <v>0</v>
      </c>
      <c r="Q293" t="n">
        <v>0</v>
      </c>
      <c r="R293" s="2" t="inlineStr"/>
    </row>
    <row r="294" ht="15" customHeight="1">
      <c r="A294" t="inlineStr">
        <is>
          <t>A 52444-2024</t>
        </is>
      </c>
      <c r="B294" s="1" t="n">
        <v>45609.48894675926</v>
      </c>
      <c r="C294" s="1" t="n">
        <v>46160</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35062-2025</t>
        </is>
      </c>
      <c r="B295" s="1" t="n">
        <v>45852</v>
      </c>
      <c r="C295" s="1" t="n">
        <v>46160</v>
      </c>
      <c r="D295" t="inlineStr">
        <is>
          <t>ÖREBRO LÄN</t>
        </is>
      </c>
      <c r="E295" t="inlineStr">
        <is>
          <t>ÖREBRO</t>
        </is>
      </c>
      <c r="G295" t="n">
        <v>2.8</v>
      </c>
      <c r="H295" t="n">
        <v>0</v>
      </c>
      <c r="I295" t="n">
        <v>0</v>
      </c>
      <c r="J295" t="n">
        <v>0</v>
      </c>
      <c r="K295" t="n">
        <v>0</v>
      </c>
      <c r="L295" t="n">
        <v>0</v>
      </c>
      <c r="M295" t="n">
        <v>0</v>
      </c>
      <c r="N295" t="n">
        <v>0</v>
      </c>
      <c r="O295" t="n">
        <v>0</v>
      </c>
      <c r="P295" t="n">
        <v>0</v>
      </c>
      <c r="Q295" t="n">
        <v>0</v>
      </c>
      <c r="R295" s="2" t="inlineStr"/>
    </row>
    <row r="296" ht="15" customHeight="1">
      <c r="A296" t="inlineStr">
        <is>
          <t>A 60128-2023</t>
        </is>
      </c>
      <c r="B296" s="1" t="n">
        <v>45258</v>
      </c>
      <c r="C296" s="1" t="n">
        <v>46160</v>
      </c>
      <c r="D296" t="inlineStr">
        <is>
          <t>ÖREBRO LÄN</t>
        </is>
      </c>
      <c r="E296" t="inlineStr">
        <is>
          <t>ÖREBRO</t>
        </is>
      </c>
      <c r="G296" t="n">
        <v>0.6</v>
      </c>
      <c r="H296" t="n">
        <v>0</v>
      </c>
      <c r="I296" t="n">
        <v>0</v>
      </c>
      <c r="J296" t="n">
        <v>0</v>
      </c>
      <c r="K296" t="n">
        <v>0</v>
      </c>
      <c r="L296" t="n">
        <v>0</v>
      </c>
      <c r="M296" t="n">
        <v>0</v>
      </c>
      <c r="N296" t="n">
        <v>0</v>
      </c>
      <c r="O296" t="n">
        <v>0</v>
      </c>
      <c r="P296" t="n">
        <v>0</v>
      </c>
      <c r="Q296" t="n">
        <v>0</v>
      </c>
      <c r="R296" s="2" t="inlineStr"/>
    </row>
    <row r="297" ht="15" customHeight="1">
      <c r="A297" t="inlineStr">
        <is>
          <t>A 16140-2023</t>
        </is>
      </c>
      <c r="B297" s="1" t="n">
        <v>45027.6433912037</v>
      </c>
      <c r="C297" s="1" t="n">
        <v>46160</v>
      </c>
      <c r="D297" t="inlineStr">
        <is>
          <t>ÖREBRO LÄN</t>
        </is>
      </c>
      <c r="E297" t="inlineStr">
        <is>
          <t>ÖREBRO</t>
        </is>
      </c>
      <c r="G297" t="n">
        <v>2</v>
      </c>
      <c r="H297" t="n">
        <v>0</v>
      </c>
      <c r="I297" t="n">
        <v>0</v>
      </c>
      <c r="J297" t="n">
        <v>0</v>
      </c>
      <c r="K297" t="n">
        <v>0</v>
      </c>
      <c r="L297" t="n">
        <v>0</v>
      </c>
      <c r="M297" t="n">
        <v>0</v>
      </c>
      <c r="N297" t="n">
        <v>0</v>
      </c>
      <c r="O297" t="n">
        <v>0</v>
      </c>
      <c r="P297" t="n">
        <v>0</v>
      </c>
      <c r="Q297" t="n">
        <v>0</v>
      </c>
      <c r="R297" s="2" t="inlineStr"/>
    </row>
    <row r="298" ht="15" customHeight="1">
      <c r="A298" t="inlineStr">
        <is>
          <t>A 6752-2022</t>
        </is>
      </c>
      <c r="B298" s="1" t="n">
        <v>44602.48082175926</v>
      </c>
      <c r="C298" s="1" t="n">
        <v>46160</v>
      </c>
      <c r="D298" t="inlineStr">
        <is>
          <t>ÖREBRO LÄN</t>
        </is>
      </c>
      <c r="E298" t="inlineStr">
        <is>
          <t>ÖREBRO</t>
        </is>
      </c>
      <c r="G298" t="n">
        <v>3.1</v>
      </c>
      <c r="H298" t="n">
        <v>0</v>
      </c>
      <c r="I298" t="n">
        <v>0</v>
      </c>
      <c r="J298" t="n">
        <v>0</v>
      </c>
      <c r="K298" t="n">
        <v>0</v>
      </c>
      <c r="L298" t="n">
        <v>0</v>
      </c>
      <c r="M298" t="n">
        <v>0</v>
      </c>
      <c r="N298" t="n">
        <v>0</v>
      </c>
      <c r="O298" t="n">
        <v>0</v>
      </c>
      <c r="P298" t="n">
        <v>0</v>
      </c>
      <c r="Q298" t="n">
        <v>0</v>
      </c>
      <c r="R298" s="2" t="inlineStr"/>
    </row>
    <row r="299" ht="15" customHeight="1">
      <c r="A299" t="inlineStr">
        <is>
          <t>A 28821-2025</t>
        </is>
      </c>
      <c r="B299" s="1" t="n">
        <v>45820</v>
      </c>
      <c r="C299" s="1" t="n">
        <v>46160</v>
      </c>
      <c r="D299" t="inlineStr">
        <is>
          <t>ÖREBRO LÄN</t>
        </is>
      </c>
      <c r="E299" t="inlineStr">
        <is>
          <t>ÖREBRO</t>
        </is>
      </c>
      <c r="G299" t="n">
        <v>12.6</v>
      </c>
      <c r="H299" t="n">
        <v>0</v>
      </c>
      <c r="I299" t="n">
        <v>0</v>
      </c>
      <c r="J299" t="n">
        <v>0</v>
      </c>
      <c r="K299" t="n">
        <v>0</v>
      </c>
      <c r="L299" t="n">
        <v>0</v>
      </c>
      <c r="M299" t="n">
        <v>0</v>
      </c>
      <c r="N299" t="n">
        <v>0</v>
      </c>
      <c r="O299" t="n">
        <v>0</v>
      </c>
      <c r="P299" t="n">
        <v>0</v>
      </c>
      <c r="Q299" t="n">
        <v>0</v>
      </c>
      <c r="R299" s="2" t="inlineStr"/>
    </row>
    <row r="300" ht="15" customHeight="1">
      <c r="A300" t="inlineStr">
        <is>
          <t>A 35637-2025</t>
        </is>
      </c>
      <c r="B300" s="1" t="n">
        <v>45859.46859953704</v>
      </c>
      <c r="C300" s="1" t="n">
        <v>46160</v>
      </c>
      <c r="D300" t="inlineStr">
        <is>
          <t>ÖREBRO LÄN</t>
        </is>
      </c>
      <c r="E300" t="inlineStr">
        <is>
          <t>ÖREBRO</t>
        </is>
      </c>
      <c r="G300" t="n">
        <v>2.1</v>
      </c>
      <c r="H300" t="n">
        <v>0</v>
      </c>
      <c r="I300" t="n">
        <v>0</v>
      </c>
      <c r="J300" t="n">
        <v>0</v>
      </c>
      <c r="K300" t="n">
        <v>0</v>
      </c>
      <c r="L300" t="n">
        <v>0</v>
      </c>
      <c r="M300" t="n">
        <v>0</v>
      </c>
      <c r="N300" t="n">
        <v>0</v>
      </c>
      <c r="O300" t="n">
        <v>0</v>
      </c>
      <c r="P300" t="n">
        <v>0</v>
      </c>
      <c r="Q300" t="n">
        <v>0</v>
      </c>
      <c r="R300" s="2" t="inlineStr"/>
    </row>
    <row r="301" ht="15" customHeight="1">
      <c r="A301" t="inlineStr">
        <is>
          <t>A 34056-2023</t>
        </is>
      </c>
      <c r="B301" s="1" t="n">
        <v>45135</v>
      </c>
      <c r="C301" s="1" t="n">
        <v>46160</v>
      </c>
      <c r="D301" t="inlineStr">
        <is>
          <t>ÖREBRO LÄN</t>
        </is>
      </c>
      <c r="E301" t="inlineStr">
        <is>
          <t>ÖREBRO</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33457-2023</t>
        </is>
      </c>
      <c r="B302" s="1" t="n">
        <v>45131</v>
      </c>
      <c r="C302" s="1" t="n">
        <v>46160</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45237-2023</t>
        </is>
      </c>
      <c r="B303" s="1" t="n">
        <v>45191</v>
      </c>
      <c r="C303" s="1" t="n">
        <v>46160</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51180-2023</t>
        </is>
      </c>
      <c r="B304" s="1" t="n">
        <v>45219</v>
      </c>
      <c r="C304" s="1" t="n">
        <v>46160</v>
      </c>
      <c r="D304" t="inlineStr">
        <is>
          <t>ÖREBRO LÄN</t>
        </is>
      </c>
      <c r="E304" t="inlineStr">
        <is>
          <t>ÖREBRO</t>
        </is>
      </c>
      <c r="G304" t="n">
        <v>6.5</v>
      </c>
      <c r="H304" t="n">
        <v>0</v>
      </c>
      <c r="I304" t="n">
        <v>0</v>
      </c>
      <c r="J304" t="n">
        <v>0</v>
      </c>
      <c r="K304" t="n">
        <v>0</v>
      </c>
      <c r="L304" t="n">
        <v>0</v>
      </c>
      <c r="M304" t="n">
        <v>0</v>
      </c>
      <c r="N304" t="n">
        <v>0</v>
      </c>
      <c r="O304" t="n">
        <v>0</v>
      </c>
      <c r="P304" t="n">
        <v>0</v>
      </c>
      <c r="Q304" t="n">
        <v>0</v>
      </c>
      <c r="R304" s="2" t="inlineStr"/>
    </row>
    <row r="305" ht="15" customHeight="1">
      <c r="A305" t="inlineStr">
        <is>
          <t>A 60028-2024</t>
        </is>
      </c>
      <c r="B305" s="1" t="n">
        <v>45642</v>
      </c>
      <c r="C305" s="1" t="n">
        <v>46160</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33294-2023</t>
        </is>
      </c>
      <c r="B306" s="1" t="n">
        <v>45127</v>
      </c>
      <c r="C306" s="1" t="n">
        <v>46160</v>
      </c>
      <c r="D306" t="inlineStr">
        <is>
          <t>ÖREBRO LÄN</t>
        </is>
      </c>
      <c r="E306" t="inlineStr">
        <is>
          <t>ÖREBRO</t>
        </is>
      </c>
      <c r="F306" t="inlineStr">
        <is>
          <t>Övriga Aktiebolag</t>
        </is>
      </c>
      <c r="G306" t="n">
        <v>6.7</v>
      </c>
      <c r="H306" t="n">
        <v>0</v>
      </c>
      <c r="I306" t="n">
        <v>0</v>
      </c>
      <c r="J306" t="n">
        <v>0</v>
      </c>
      <c r="K306" t="n">
        <v>0</v>
      </c>
      <c r="L306" t="n">
        <v>0</v>
      </c>
      <c r="M306" t="n">
        <v>0</v>
      </c>
      <c r="N306" t="n">
        <v>0</v>
      </c>
      <c r="O306" t="n">
        <v>0</v>
      </c>
      <c r="P306" t="n">
        <v>0</v>
      </c>
      <c r="Q306" t="n">
        <v>0</v>
      </c>
      <c r="R306" s="2" t="inlineStr"/>
    </row>
    <row r="307" ht="15" customHeight="1">
      <c r="A307" t="inlineStr">
        <is>
          <t>A 50311-2025</t>
        </is>
      </c>
      <c r="B307" s="1" t="n">
        <v>45944</v>
      </c>
      <c r="C307" s="1" t="n">
        <v>46160</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35928-2025</t>
        </is>
      </c>
      <c r="B308" s="1" t="n">
        <v>45862</v>
      </c>
      <c r="C308" s="1" t="n">
        <v>46160</v>
      </c>
      <c r="D308" t="inlineStr">
        <is>
          <t>ÖREBRO LÄN</t>
        </is>
      </c>
      <c r="E308" t="inlineStr">
        <is>
          <t>ÖREBRO</t>
        </is>
      </c>
      <c r="G308" t="n">
        <v>4.4</v>
      </c>
      <c r="H308" t="n">
        <v>0</v>
      </c>
      <c r="I308" t="n">
        <v>0</v>
      </c>
      <c r="J308" t="n">
        <v>0</v>
      </c>
      <c r="K308" t="n">
        <v>0</v>
      </c>
      <c r="L308" t="n">
        <v>0</v>
      </c>
      <c r="M308" t="n">
        <v>0</v>
      </c>
      <c r="N308" t="n">
        <v>0</v>
      </c>
      <c r="O308" t="n">
        <v>0</v>
      </c>
      <c r="P308" t="n">
        <v>0</v>
      </c>
      <c r="Q308" t="n">
        <v>0</v>
      </c>
      <c r="R308" s="2" t="inlineStr"/>
    </row>
    <row r="309" ht="15" customHeight="1">
      <c r="A309" t="inlineStr">
        <is>
          <t>A 55453-2024</t>
        </is>
      </c>
      <c r="B309" s="1" t="n">
        <v>45622.42097222222</v>
      </c>
      <c r="C309" s="1" t="n">
        <v>46160</v>
      </c>
      <c r="D309" t="inlineStr">
        <is>
          <t>ÖREBRO LÄN</t>
        </is>
      </c>
      <c r="E309" t="inlineStr">
        <is>
          <t>ÖREBRO</t>
        </is>
      </c>
      <c r="G309" t="n">
        <v>8.5</v>
      </c>
      <c r="H309" t="n">
        <v>0</v>
      </c>
      <c r="I309" t="n">
        <v>0</v>
      </c>
      <c r="J309" t="n">
        <v>0</v>
      </c>
      <c r="K309" t="n">
        <v>0</v>
      </c>
      <c r="L309" t="n">
        <v>0</v>
      </c>
      <c r="M309" t="n">
        <v>0</v>
      </c>
      <c r="N309" t="n">
        <v>0</v>
      </c>
      <c r="O309" t="n">
        <v>0</v>
      </c>
      <c r="P309" t="n">
        <v>0</v>
      </c>
      <c r="Q309" t="n">
        <v>0</v>
      </c>
      <c r="R309" s="2" t="inlineStr"/>
    </row>
    <row r="310" ht="15" customHeight="1">
      <c r="A310" t="inlineStr">
        <is>
          <t>A 13857-2022</t>
        </is>
      </c>
      <c r="B310" s="1" t="n">
        <v>44649</v>
      </c>
      <c r="C310" s="1" t="n">
        <v>46160</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61078-2024</t>
        </is>
      </c>
      <c r="B311" s="1" t="n">
        <v>45645.51034722223</v>
      </c>
      <c r="C311" s="1" t="n">
        <v>46160</v>
      </c>
      <c r="D311" t="inlineStr">
        <is>
          <t>ÖREBRO LÄN</t>
        </is>
      </c>
      <c r="E311" t="inlineStr">
        <is>
          <t>ÖREBRO</t>
        </is>
      </c>
      <c r="G311" t="n">
        <v>4.1</v>
      </c>
      <c r="H311" t="n">
        <v>0</v>
      </c>
      <c r="I311" t="n">
        <v>0</v>
      </c>
      <c r="J311" t="n">
        <v>0</v>
      </c>
      <c r="K311" t="n">
        <v>0</v>
      </c>
      <c r="L311" t="n">
        <v>0</v>
      </c>
      <c r="M311" t="n">
        <v>0</v>
      </c>
      <c r="N311" t="n">
        <v>0</v>
      </c>
      <c r="O311" t="n">
        <v>0</v>
      </c>
      <c r="P311" t="n">
        <v>0</v>
      </c>
      <c r="Q311" t="n">
        <v>0</v>
      </c>
      <c r="R311" s="2" t="inlineStr"/>
    </row>
    <row r="312" ht="15" customHeight="1">
      <c r="A312" t="inlineStr">
        <is>
          <t>A 13158-2024</t>
        </is>
      </c>
      <c r="B312" s="1" t="n">
        <v>45386.38728009259</v>
      </c>
      <c r="C312" s="1" t="n">
        <v>46160</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32025-2024</t>
        </is>
      </c>
      <c r="B313" s="1" t="n">
        <v>45510.65754629629</v>
      </c>
      <c r="C313" s="1" t="n">
        <v>46160</v>
      </c>
      <c r="D313" t="inlineStr">
        <is>
          <t>ÖREBRO LÄN</t>
        </is>
      </c>
      <c r="E313" t="inlineStr">
        <is>
          <t>ÖREBRO</t>
        </is>
      </c>
      <c r="G313" t="n">
        <v>4</v>
      </c>
      <c r="H313" t="n">
        <v>0</v>
      </c>
      <c r="I313" t="n">
        <v>0</v>
      </c>
      <c r="J313" t="n">
        <v>0</v>
      </c>
      <c r="K313" t="n">
        <v>0</v>
      </c>
      <c r="L313" t="n">
        <v>0</v>
      </c>
      <c r="M313" t="n">
        <v>0</v>
      </c>
      <c r="N313" t="n">
        <v>0</v>
      </c>
      <c r="O313" t="n">
        <v>0</v>
      </c>
      <c r="P313" t="n">
        <v>0</v>
      </c>
      <c r="Q313" t="n">
        <v>0</v>
      </c>
      <c r="R313" s="2" t="inlineStr"/>
    </row>
    <row r="314" ht="15" customHeight="1">
      <c r="A314" t="inlineStr">
        <is>
          <t>A 13181-2023</t>
        </is>
      </c>
      <c r="B314" s="1" t="n">
        <v>45002.60659722222</v>
      </c>
      <c r="C314" s="1" t="n">
        <v>46160</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25996-2024</t>
        </is>
      </c>
      <c r="B315" s="1" t="n">
        <v>45467.89081018518</v>
      </c>
      <c r="C315" s="1" t="n">
        <v>46160</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51249-2025</t>
        </is>
      </c>
      <c r="B316" s="1" t="n">
        <v>45948.45704861111</v>
      </c>
      <c r="C316" s="1" t="n">
        <v>46160</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16676-2025</t>
        </is>
      </c>
      <c r="B317" s="1" t="n">
        <v>45754.44658564815</v>
      </c>
      <c r="C317" s="1" t="n">
        <v>46160</v>
      </c>
      <c r="D317" t="inlineStr">
        <is>
          <t>ÖREBRO LÄN</t>
        </is>
      </c>
      <c r="E317" t="inlineStr">
        <is>
          <t>ÖREBRO</t>
        </is>
      </c>
      <c r="G317" t="n">
        <v>5.8</v>
      </c>
      <c r="H317" t="n">
        <v>0</v>
      </c>
      <c r="I317" t="n">
        <v>0</v>
      </c>
      <c r="J317" t="n">
        <v>0</v>
      </c>
      <c r="K317" t="n">
        <v>0</v>
      </c>
      <c r="L317" t="n">
        <v>0</v>
      </c>
      <c r="M317" t="n">
        <v>0</v>
      </c>
      <c r="N317" t="n">
        <v>0</v>
      </c>
      <c r="O317" t="n">
        <v>0</v>
      </c>
      <c r="P317" t="n">
        <v>0</v>
      </c>
      <c r="Q317" t="n">
        <v>0</v>
      </c>
      <c r="R317" s="2" t="inlineStr"/>
    </row>
    <row r="318" ht="15" customHeight="1">
      <c r="A318" t="inlineStr">
        <is>
          <t>A 23741-2022</t>
        </is>
      </c>
      <c r="B318" s="1" t="n">
        <v>44722</v>
      </c>
      <c r="C318" s="1" t="n">
        <v>46160</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8274-2025</t>
        </is>
      </c>
      <c r="B319" s="1" t="n">
        <v>45708</v>
      </c>
      <c r="C319" s="1" t="n">
        <v>46160</v>
      </c>
      <c r="D319" t="inlineStr">
        <is>
          <t>ÖREBRO LÄN</t>
        </is>
      </c>
      <c r="E319" t="inlineStr">
        <is>
          <t>ÖREBRO</t>
        </is>
      </c>
      <c r="G319" t="n">
        <v>5.8</v>
      </c>
      <c r="H319" t="n">
        <v>0</v>
      </c>
      <c r="I319" t="n">
        <v>0</v>
      </c>
      <c r="J319" t="n">
        <v>0</v>
      </c>
      <c r="K319" t="n">
        <v>0</v>
      </c>
      <c r="L319" t="n">
        <v>0</v>
      </c>
      <c r="M319" t="n">
        <v>0</v>
      </c>
      <c r="N319" t="n">
        <v>0</v>
      </c>
      <c r="O319" t="n">
        <v>0</v>
      </c>
      <c r="P319" t="n">
        <v>0</v>
      </c>
      <c r="Q319" t="n">
        <v>0</v>
      </c>
      <c r="R319" s="2" t="inlineStr"/>
    </row>
    <row r="320" ht="15" customHeight="1">
      <c r="A320" t="inlineStr">
        <is>
          <t>A 58620-2024</t>
        </is>
      </c>
      <c r="B320" s="1" t="n">
        <v>45635.56246527778</v>
      </c>
      <c r="C320" s="1" t="n">
        <v>46160</v>
      </c>
      <c r="D320" t="inlineStr">
        <is>
          <t>ÖREBRO LÄN</t>
        </is>
      </c>
      <c r="E320" t="inlineStr">
        <is>
          <t>ÖREBRO</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7227-2026</t>
        </is>
      </c>
      <c r="B321" s="1" t="n">
        <v>46058.56858796296</v>
      </c>
      <c r="C321" s="1" t="n">
        <v>46160</v>
      </c>
      <c r="D321" t="inlineStr">
        <is>
          <t>ÖREBRO LÄN</t>
        </is>
      </c>
      <c r="E321" t="inlineStr">
        <is>
          <t>ÖREBRO</t>
        </is>
      </c>
      <c r="F321" t="inlineStr">
        <is>
          <t>Övriga Aktiebolag</t>
        </is>
      </c>
      <c r="G321" t="n">
        <v>0.7</v>
      </c>
      <c r="H321" t="n">
        <v>0</v>
      </c>
      <c r="I321" t="n">
        <v>0</v>
      </c>
      <c r="J321" t="n">
        <v>0</v>
      </c>
      <c r="K321" t="n">
        <v>0</v>
      </c>
      <c r="L321" t="n">
        <v>0</v>
      </c>
      <c r="M321" t="n">
        <v>0</v>
      </c>
      <c r="N321" t="n">
        <v>0</v>
      </c>
      <c r="O321" t="n">
        <v>0</v>
      </c>
      <c r="P321" t="n">
        <v>0</v>
      </c>
      <c r="Q321" t="n">
        <v>0</v>
      </c>
      <c r="R321" s="2" t="inlineStr"/>
    </row>
    <row r="322" ht="15" customHeight="1">
      <c r="A322" t="inlineStr">
        <is>
          <t>A 51248-2025</t>
        </is>
      </c>
      <c r="B322" s="1" t="n">
        <v>45948.450625</v>
      </c>
      <c r="C322" s="1" t="n">
        <v>46160</v>
      </c>
      <c r="D322" t="inlineStr">
        <is>
          <t>ÖREBRO LÄN</t>
        </is>
      </c>
      <c r="E322" t="inlineStr">
        <is>
          <t>ÖREBRO</t>
        </is>
      </c>
      <c r="G322" t="n">
        <v>4.4</v>
      </c>
      <c r="H322" t="n">
        <v>0</v>
      </c>
      <c r="I322" t="n">
        <v>0</v>
      </c>
      <c r="J322" t="n">
        <v>0</v>
      </c>
      <c r="K322" t="n">
        <v>0</v>
      </c>
      <c r="L322" t="n">
        <v>0</v>
      </c>
      <c r="M322" t="n">
        <v>0</v>
      </c>
      <c r="N322" t="n">
        <v>0</v>
      </c>
      <c r="O322" t="n">
        <v>0</v>
      </c>
      <c r="P322" t="n">
        <v>0</v>
      </c>
      <c r="Q322" t="n">
        <v>0</v>
      </c>
      <c r="R322" s="2" t="inlineStr"/>
    </row>
    <row r="323" ht="15" customHeight="1">
      <c r="A323" t="inlineStr">
        <is>
          <t>A 7141-2025</t>
        </is>
      </c>
      <c r="B323" s="1" t="n">
        <v>45702</v>
      </c>
      <c r="C323" s="1" t="n">
        <v>46160</v>
      </c>
      <c r="D323" t="inlineStr">
        <is>
          <t>ÖREBRO LÄN</t>
        </is>
      </c>
      <c r="E323" t="inlineStr">
        <is>
          <t>ÖREBRO</t>
        </is>
      </c>
      <c r="G323" t="n">
        <v>2.9</v>
      </c>
      <c r="H323" t="n">
        <v>0</v>
      </c>
      <c r="I323" t="n">
        <v>0</v>
      </c>
      <c r="J323" t="n">
        <v>0</v>
      </c>
      <c r="K323" t="n">
        <v>0</v>
      </c>
      <c r="L323" t="n">
        <v>0</v>
      </c>
      <c r="M323" t="n">
        <v>0</v>
      </c>
      <c r="N323" t="n">
        <v>0</v>
      </c>
      <c r="O323" t="n">
        <v>0</v>
      </c>
      <c r="P323" t="n">
        <v>0</v>
      </c>
      <c r="Q323" t="n">
        <v>0</v>
      </c>
      <c r="R323" s="2" t="inlineStr"/>
    </row>
    <row r="324" ht="15" customHeight="1">
      <c r="A324" t="inlineStr">
        <is>
          <t>A 59024-2024</t>
        </is>
      </c>
      <c r="B324" s="1" t="n">
        <v>45636.68505787037</v>
      </c>
      <c r="C324" s="1" t="n">
        <v>46160</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36448-2025</t>
        </is>
      </c>
      <c r="B325" s="1" t="n">
        <v>45869.41929398148</v>
      </c>
      <c r="C325" s="1" t="n">
        <v>46160</v>
      </c>
      <c r="D325" t="inlineStr">
        <is>
          <t>ÖREBRO LÄN</t>
        </is>
      </c>
      <c r="E325" t="inlineStr">
        <is>
          <t>ÖREBRO</t>
        </is>
      </c>
      <c r="F325" t="inlineStr">
        <is>
          <t>Övriga Aktiebolag</t>
        </is>
      </c>
      <c r="G325" t="n">
        <v>4.3</v>
      </c>
      <c r="H325" t="n">
        <v>0</v>
      </c>
      <c r="I325" t="n">
        <v>0</v>
      </c>
      <c r="J325" t="n">
        <v>0</v>
      </c>
      <c r="K325" t="n">
        <v>0</v>
      </c>
      <c r="L325" t="n">
        <v>0</v>
      </c>
      <c r="M325" t="n">
        <v>0</v>
      </c>
      <c r="N325" t="n">
        <v>0</v>
      </c>
      <c r="O325" t="n">
        <v>0</v>
      </c>
      <c r="P325" t="n">
        <v>0</v>
      </c>
      <c r="Q325" t="n">
        <v>0</v>
      </c>
      <c r="R325" s="2" t="inlineStr"/>
    </row>
    <row r="326" ht="15" customHeight="1">
      <c r="A326" t="inlineStr">
        <is>
          <t>A 36447-2025</t>
        </is>
      </c>
      <c r="B326" s="1" t="n">
        <v>45869.41387731482</v>
      </c>
      <c r="C326" s="1" t="n">
        <v>46160</v>
      </c>
      <c r="D326" t="inlineStr">
        <is>
          <t>ÖREBRO LÄN</t>
        </is>
      </c>
      <c r="E326" t="inlineStr">
        <is>
          <t>ÖREBRO</t>
        </is>
      </c>
      <c r="F326" t="inlineStr">
        <is>
          <t>Övriga Aktiebolag</t>
        </is>
      </c>
      <c r="G326" t="n">
        <v>12.6</v>
      </c>
      <c r="H326" t="n">
        <v>0</v>
      </c>
      <c r="I326" t="n">
        <v>0</v>
      </c>
      <c r="J326" t="n">
        <v>0</v>
      </c>
      <c r="K326" t="n">
        <v>0</v>
      </c>
      <c r="L326" t="n">
        <v>0</v>
      </c>
      <c r="M326" t="n">
        <v>0</v>
      </c>
      <c r="N326" t="n">
        <v>0</v>
      </c>
      <c r="O326" t="n">
        <v>0</v>
      </c>
      <c r="P326" t="n">
        <v>0</v>
      </c>
      <c r="Q326" t="n">
        <v>0</v>
      </c>
      <c r="R326" s="2" t="inlineStr"/>
    </row>
    <row r="327" ht="15" customHeight="1">
      <c r="A327" t="inlineStr">
        <is>
          <t>A 13657-2025</t>
        </is>
      </c>
      <c r="B327" s="1" t="n">
        <v>45736.7427662037</v>
      </c>
      <c r="C327" s="1" t="n">
        <v>46160</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57867-2024</t>
        </is>
      </c>
      <c r="B328" s="1" t="n">
        <v>45631.43864583333</v>
      </c>
      <c r="C328" s="1" t="n">
        <v>46160</v>
      </c>
      <c r="D328" t="inlineStr">
        <is>
          <t>ÖREBRO LÄN</t>
        </is>
      </c>
      <c r="E328" t="inlineStr">
        <is>
          <t>ÖREBRO</t>
        </is>
      </c>
      <c r="G328" t="n">
        <v>1.5</v>
      </c>
      <c r="H328" t="n">
        <v>0</v>
      </c>
      <c r="I328" t="n">
        <v>0</v>
      </c>
      <c r="J328" t="n">
        <v>0</v>
      </c>
      <c r="K328" t="n">
        <v>0</v>
      </c>
      <c r="L328" t="n">
        <v>0</v>
      </c>
      <c r="M328" t="n">
        <v>0</v>
      </c>
      <c r="N328" t="n">
        <v>0</v>
      </c>
      <c r="O328" t="n">
        <v>0</v>
      </c>
      <c r="P328" t="n">
        <v>0</v>
      </c>
      <c r="Q328" t="n">
        <v>0</v>
      </c>
      <c r="R328" s="2" t="inlineStr"/>
    </row>
    <row r="329" ht="15" customHeight="1">
      <c r="A329" t="inlineStr">
        <is>
          <t>A 29138-2022</t>
        </is>
      </c>
      <c r="B329" s="1" t="n">
        <v>44750</v>
      </c>
      <c r="C329" s="1" t="n">
        <v>46160</v>
      </c>
      <c r="D329" t="inlineStr">
        <is>
          <t>ÖREBRO LÄN</t>
        </is>
      </c>
      <c r="E329" t="inlineStr">
        <is>
          <t>ÖREBRO</t>
        </is>
      </c>
      <c r="G329" t="n">
        <v>3.3</v>
      </c>
      <c r="H329" t="n">
        <v>0</v>
      </c>
      <c r="I329" t="n">
        <v>0</v>
      </c>
      <c r="J329" t="n">
        <v>0</v>
      </c>
      <c r="K329" t="n">
        <v>0</v>
      </c>
      <c r="L329" t="n">
        <v>0</v>
      </c>
      <c r="M329" t="n">
        <v>0</v>
      </c>
      <c r="N329" t="n">
        <v>0</v>
      </c>
      <c r="O329" t="n">
        <v>0</v>
      </c>
      <c r="P329" t="n">
        <v>0</v>
      </c>
      <c r="Q329" t="n">
        <v>0</v>
      </c>
      <c r="R329" s="2" t="inlineStr"/>
    </row>
    <row r="330" ht="15" customHeight="1">
      <c r="A330" t="inlineStr">
        <is>
          <t>A 29143-2022</t>
        </is>
      </c>
      <c r="B330" s="1" t="n">
        <v>44750</v>
      </c>
      <c r="C330" s="1" t="n">
        <v>46160</v>
      </c>
      <c r="D330" t="inlineStr">
        <is>
          <t>ÖREBRO LÄN</t>
        </is>
      </c>
      <c r="E330" t="inlineStr">
        <is>
          <t>ÖREBRO</t>
        </is>
      </c>
      <c r="G330" t="n">
        <v>5.6</v>
      </c>
      <c r="H330" t="n">
        <v>0</v>
      </c>
      <c r="I330" t="n">
        <v>0</v>
      </c>
      <c r="J330" t="n">
        <v>0</v>
      </c>
      <c r="K330" t="n">
        <v>0</v>
      </c>
      <c r="L330" t="n">
        <v>0</v>
      </c>
      <c r="M330" t="n">
        <v>0</v>
      </c>
      <c r="N330" t="n">
        <v>0</v>
      </c>
      <c r="O330" t="n">
        <v>0</v>
      </c>
      <c r="P330" t="n">
        <v>0</v>
      </c>
      <c r="Q330" t="n">
        <v>0</v>
      </c>
      <c r="R330" s="2" t="inlineStr"/>
    </row>
    <row r="331" ht="15" customHeight="1">
      <c r="A331" t="inlineStr">
        <is>
          <t>A 7220-2026</t>
        </is>
      </c>
      <c r="B331" s="1" t="n">
        <v>46058.56126157408</v>
      </c>
      <c r="C331" s="1" t="n">
        <v>46160</v>
      </c>
      <c r="D331" t="inlineStr">
        <is>
          <t>ÖREBRO LÄN</t>
        </is>
      </c>
      <c r="E331" t="inlineStr">
        <is>
          <t>ÖREBRO</t>
        </is>
      </c>
      <c r="F331" t="inlineStr">
        <is>
          <t>Övriga Aktiebolag</t>
        </is>
      </c>
      <c r="G331" t="n">
        <v>2</v>
      </c>
      <c r="H331" t="n">
        <v>0</v>
      </c>
      <c r="I331" t="n">
        <v>0</v>
      </c>
      <c r="J331" t="n">
        <v>0</v>
      </c>
      <c r="K331" t="n">
        <v>0</v>
      </c>
      <c r="L331" t="n">
        <v>0</v>
      </c>
      <c r="M331" t="n">
        <v>0</v>
      </c>
      <c r="N331" t="n">
        <v>0</v>
      </c>
      <c r="O331" t="n">
        <v>0</v>
      </c>
      <c r="P331" t="n">
        <v>0</v>
      </c>
      <c r="Q331" t="n">
        <v>0</v>
      </c>
      <c r="R331" s="2" t="inlineStr"/>
    </row>
    <row r="332" ht="15" customHeight="1">
      <c r="A332" t="inlineStr">
        <is>
          <t>A 51925-2025</t>
        </is>
      </c>
      <c r="B332" s="1" t="n">
        <v>45952.49476851852</v>
      </c>
      <c r="C332" s="1" t="n">
        <v>46160</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51923-2025</t>
        </is>
      </c>
      <c r="B333" s="1" t="n">
        <v>45952.49300925926</v>
      </c>
      <c r="C333" s="1" t="n">
        <v>46160</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51937-2025</t>
        </is>
      </c>
      <c r="B334" s="1" t="n">
        <v>45952.51270833334</v>
      </c>
      <c r="C334" s="1" t="n">
        <v>46160</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3120-2022</t>
        </is>
      </c>
      <c r="B335" s="1" t="n">
        <v>44582</v>
      </c>
      <c r="C335" s="1" t="n">
        <v>46160</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58606-2024</t>
        </is>
      </c>
      <c r="B336" s="1" t="n">
        <v>45635.54747685185</v>
      </c>
      <c r="C336" s="1" t="n">
        <v>46160</v>
      </c>
      <c r="D336" t="inlineStr">
        <is>
          <t>ÖREBRO LÄN</t>
        </is>
      </c>
      <c r="E336" t="inlineStr">
        <is>
          <t>ÖREBRO</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52135-2025</t>
        </is>
      </c>
      <c r="B337" s="1" t="n">
        <v>45952.84231481481</v>
      </c>
      <c r="C337" s="1" t="n">
        <v>46160</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26101-2022</t>
        </is>
      </c>
      <c r="B338" s="1" t="n">
        <v>44734</v>
      </c>
      <c r="C338" s="1" t="n">
        <v>46160</v>
      </c>
      <c r="D338" t="inlineStr">
        <is>
          <t>ÖREBRO LÄN</t>
        </is>
      </c>
      <c r="E338" t="inlineStr">
        <is>
          <t>ÖREBRO</t>
        </is>
      </c>
      <c r="G338" t="n">
        <v>15.8</v>
      </c>
      <c r="H338" t="n">
        <v>0</v>
      </c>
      <c r="I338" t="n">
        <v>0</v>
      </c>
      <c r="J338" t="n">
        <v>0</v>
      </c>
      <c r="K338" t="n">
        <v>0</v>
      </c>
      <c r="L338" t="n">
        <v>0</v>
      </c>
      <c r="M338" t="n">
        <v>0</v>
      </c>
      <c r="N338" t="n">
        <v>0</v>
      </c>
      <c r="O338" t="n">
        <v>0</v>
      </c>
      <c r="P338" t="n">
        <v>0</v>
      </c>
      <c r="Q338" t="n">
        <v>0</v>
      </c>
      <c r="R338" s="2" t="inlineStr"/>
    </row>
    <row r="339" ht="15" customHeight="1">
      <c r="A339" t="inlineStr">
        <is>
          <t>A 58486-2024</t>
        </is>
      </c>
      <c r="B339" s="1" t="n">
        <v>45635</v>
      </c>
      <c r="C339" s="1" t="n">
        <v>46160</v>
      </c>
      <c r="D339" t="inlineStr">
        <is>
          <t>ÖREBRO LÄN</t>
        </is>
      </c>
      <c r="E339" t="inlineStr">
        <is>
          <t>ÖREBRO</t>
        </is>
      </c>
      <c r="G339" t="n">
        <v>1.7</v>
      </c>
      <c r="H339" t="n">
        <v>0</v>
      </c>
      <c r="I339" t="n">
        <v>0</v>
      </c>
      <c r="J339" t="n">
        <v>0</v>
      </c>
      <c r="K339" t="n">
        <v>0</v>
      </c>
      <c r="L339" t="n">
        <v>0</v>
      </c>
      <c r="M339" t="n">
        <v>0</v>
      </c>
      <c r="N339" t="n">
        <v>0</v>
      </c>
      <c r="O339" t="n">
        <v>0</v>
      </c>
      <c r="P339" t="n">
        <v>0</v>
      </c>
      <c r="Q339" t="n">
        <v>0</v>
      </c>
      <c r="R339" s="2" t="inlineStr"/>
    </row>
    <row r="340" ht="15" customHeight="1">
      <c r="A340" t="inlineStr">
        <is>
          <t>A 14053-2025</t>
        </is>
      </c>
      <c r="B340" s="1" t="n">
        <v>45739</v>
      </c>
      <c r="C340" s="1" t="n">
        <v>46160</v>
      </c>
      <c r="D340" t="inlineStr">
        <is>
          <t>ÖREBRO LÄN</t>
        </is>
      </c>
      <c r="E340" t="inlineStr">
        <is>
          <t>ÖREBRO</t>
        </is>
      </c>
      <c r="G340" t="n">
        <v>3.5</v>
      </c>
      <c r="H340" t="n">
        <v>0</v>
      </c>
      <c r="I340" t="n">
        <v>0</v>
      </c>
      <c r="J340" t="n">
        <v>0</v>
      </c>
      <c r="K340" t="n">
        <v>0</v>
      </c>
      <c r="L340" t="n">
        <v>0</v>
      </c>
      <c r="M340" t="n">
        <v>0</v>
      </c>
      <c r="N340" t="n">
        <v>0</v>
      </c>
      <c r="O340" t="n">
        <v>0</v>
      </c>
      <c r="P340" t="n">
        <v>0</v>
      </c>
      <c r="Q340" t="n">
        <v>0</v>
      </c>
      <c r="R340" s="2" t="inlineStr"/>
    </row>
    <row r="341" ht="15" customHeight="1">
      <c r="A341" t="inlineStr">
        <is>
          <t>A 30743-2025</t>
        </is>
      </c>
      <c r="B341" s="1" t="n">
        <v>45831</v>
      </c>
      <c r="C341" s="1" t="n">
        <v>46160</v>
      </c>
      <c r="D341" t="inlineStr">
        <is>
          <t>ÖREBRO LÄN</t>
        </is>
      </c>
      <c r="E341" t="inlineStr">
        <is>
          <t>ÖREBRO</t>
        </is>
      </c>
      <c r="G341" t="n">
        <v>2.9</v>
      </c>
      <c r="H341" t="n">
        <v>0</v>
      </c>
      <c r="I341" t="n">
        <v>0</v>
      </c>
      <c r="J341" t="n">
        <v>0</v>
      </c>
      <c r="K341" t="n">
        <v>0</v>
      </c>
      <c r="L341" t="n">
        <v>0</v>
      </c>
      <c r="M341" t="n">
        <v>0</v>
      </c>
      <c r="N341" t="n">
        <v>0</v>
      </c>
      <c r="O341" t="n">
        <v>0</v>
      </c>
      <c r="P341" t="n">
        <v>0</v>
      </c>
      <c r="Q341" t="n">
        <v>0</v>
      </c>
      <c r="R341" s="2" t="inlineStr"/>
    </row>
    <row r="342" ht="15" customHeight="1">
      <c r="A342" t="inlineStr">
        <is>
          <t>A 35345-2024</t>
        </is>
      </c>
      <c r="B342" s="1" t="n">
        <v>45530</v>
      </c>
      <c r="C342" s="1" t="n">
        <v>46160</v>
      </c>
      <c r="D342" t="inlineStr">
        <is>
          <t>ÖREBRO LÄN</t>
        </is>
      </c>
      <c r="E342" t="inlineStr">
        <is>
          <t>ÖREBRO</t>
        </is>
      </c>
      <c r="G342" t="n">
        <v>0.9</v>
      </c>
      <c r="H342" t="n">
        <v>0</v>
      </c>
      <c r="I342" t="n">
        <v>0</v>
      </c>
      <c r="J342" t="n">
        <v>0</v>
      </c>
      <c r="K342" t="n">
        <v>0</v>
      </c>
      <c r="L342" t="n">
        <v>0</v>
      </c>
      <c r="M342" t="n">
        <v>0</v>
      </c>
      <c r="N342" t="n">
        <v>0</v>
      </c>
      <c r="O342" t="n">
        <v>0</v>
      </c>
      <c r="P342" t="n">
        <v>0</v>
      </c>
      <c r="Q342" t="n">
        <v>0</v>
      </c>
      <c r="R342" s="2" t="inlineStr"/>
    </row>
    <row r="343" ht="15" customHeight="1">
      <c r="A343" t="inlineStr">
        <is>
          <t>A 123-2025</t>
        </is>
      </c>
      <c r="B343" s="1" t="n">
        <v>45659.54851851852</v>
      </c>
      <c r="C343" s="1" t="n">
        <v>46160</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29554-2025</t>
        </is>
      </c>
      <c r="B344" s="1" t="n">
        <v>45825</v>
      </c>
      <c r="C344" s="1" t="n">
        <v>46160</v>
      </c>
      <c r="D344" t="inlineStr">
        <is>
          <t>ÖREBRO LÄN</t>
        </is>
      </c>
      <c r="E344" t="inlineStr">
        <is>
          <t>ÖREBRO</t>
        </is>
      </c>
      <c r="F344" t="inlineStr">
        <is>
          <t>Övriga Aktiebolag</t>
        </is>
      </c>
      <c r="G344" t="n">
        <v>1</v>
      </c>
      <c r="H344" t="n">
        <v>0</v>
      </c>
      <c r="I344" t="n">
        <v>0</v>
      </c>
      <c r="J344" t="n">
        <v>0</v>
      </c>
      <c r="K344" t="n">
        <v>0</v>
      </c>
      <c r="L344" t="n">
        <v>0</v>
      </c>
      <c r="M344" t="n">
        <v>0</v>
      </c>
      <c r="N344" t="n">
        <v>0</v>
      </c>
      <c r="O344" t="n">
        <v>0</v>
      </c>
      <c r="P344" t="n">
        <v>0</v>
      </c>
      <c r="Q344" t="n">
        <v>0</v>
      </c>
      <c r="R344" s="2" t="inlineStr"/>
    </row>
    <row r="345" ht="15" customHeight="1">
      <c r="A345" t="inlineStr">
        <is>
          <t>A 30472-2022</t>
        </is>
      </c>
      <c r="B345" s="1" t="n">
        <v>44761.70467592592</v>
      </c>
      <c r="C345" s="1" t="n">
        <v>46160</v>
      </c>
      <c r="D345" t="inlineStr">
        <is>
          <t>ÖREBRO LÄN</t>
        </is>
      </c>
      <c r="E345" t="inlineStr">
        <is>
          <t>ÖREBRO</t>
        </is>
      </c>
      <c r="F345" t="inlineStr">
        <is>
          <t>Övriga Aktiebolag</t>
        </is>
      </c>
      <c r="G345" t="n">
        <v>5.6</v>
      </c>
      <c r="H345" t="n">
        <v>0</v>
      </c>
      <c r="I345" t="n">
        <v>0</v>
      </c>
      <c r="J345" t="n">
        <v>0</v>
      </c>
      <c r="K345" t="n">
        <v>0</v>
      </c>
      <c r="L345" t="n">
        <v>0</v>
      </c>
      <c r="M345" t="n">
        <v>0</v>
      </c>
      <c r="N345" t="n">
        <v>0</v>
      </c>
      <c r="O345" t="n">
        <v>0</v>
      </c>
      <c r="P345" t="n">
        <v>0</v>
      </c>
      <c r="Q345" t="n">
        <v>0</v>
      </c>
      <c r="R345" s="2" t="inlineStr"/>
    </row>
    <row r="346" ht="15" customHeight="1">
      <c r="A346" t="inlineStr">
        <is>
          <t>A 6869-2025</t>
        </is>
      </c>
      <c r="B346" s="1" t="n">
        <v>45700</v>
      </c>
      <c r="C346" s="1" t="n">
        <v>46160</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57869-2024</t>
        </is>
      </c>
      <c r="B347" s="1" t="n">
        <v>45631.44207175926</v>
      </c>
      <c r="C347" s="1" t="n">
        <v>46160</v>
      </c>
      <c r="D347" t="inlineStr">
        <is>
          <t>ÖREBRO LÄN</t>
        </is>
      </c>
      <c r="E347" t="inlineStr">
        <is>
          <t>ÖREBRO</t>
        </is>
      </c>
      <c r="G347" t="n">
        <v>1.4</v>
      </c>
      <c r="H347" t="n">
        <v>0</v>
      </c>
      <c r="I347" t="n">
        <v>0</v>
      </c>
      <c r="J347" t="n">
        <v>0</v>
      </c>
      <c r="K347" t="n">
        <v>0</v>
      </c>
      <c r="L347" t="n">
        <v>0</v>
      </c>
      <c r="M347" t="n">
        <v>0</v>
      </c>
      <c r="N347" t="n">
        <v>0</v>
      </c>
      <c r="O347" t="n">
        <v>0</v>
      </c>
      <c r="P347" t="n">
        <v>0</v>
      </c>
      <c r="Q347" t="n">
        <v>0</v>
      </c>
      <c r="R347" s="2" t="inlineStr"/>
    </row>
    <row r="348" ht="15" customHeight="1">
      <c r="A348" t="inlineStr">
        <is>
          <t>A 53350-2025</t>
        </is>
      </c>
      <c r="B348" s="1" t="n">
        <v>45959.43827546296</v>
      </c>
      <c r="C348" s="1" t="n">
        <v>46160</v>
      </c>
      <c r="D348" t="inlineStr">
        <is>
          <t>ÖREBRO LÄN</t>
        </is>
      </c>
      <c r="E348" t="inlineStr">
        <is>
          <t>ÖREBRO</t>
        </is>
      </c>
      <c r="G348" t="n">
        <v>4.1</v>
      </c>
      <c r="H348" t="n">
        <v>0</v>
      </c>
      <c r="I348" t="n">
        <v>0</v>
      </c>
      <c r="J348" t="n">
        <v>0</v>
      </c>
      <c r="K348" t="n">
        <v>0</v>
      </c>
      <c r="L348" t="n">
        <v>0</v>
      </c>
      <c r="M348" t="n">
        <v>0</v>
      </c>
      <c r="N348" t="n">
        <v>0</v>
      </c>
      <c r="O348" t="n">
        <v>0</v>
      </c>
      <c r="P348" t="n">
        <v>0</v>
      </c>
      <c r="Q348" t="n">
        <v>0</v>
      </c>
      <c r="R348" s="2" t="inlineStr"/>
    </row>
    <row r="349" ht="15" customHeight="1">
      <c r="A349" t="inlineStr">
        <is>
          <t>A 53715-2025</t>
        </is>
      </c>
      <c r="B349" s="1" t="n">
        <v>45960.61763888889</v>
      </c>
      <c r="C349" s="1" t="n">
        <v>46160</v>
      </c>
      <c r="D349" t="inlineStr">
        <is>
          <t>ÖREBRO LÄN</t>
        </is>
      </c>
      <c r="E349" t="inlineStr">
        <is>
          <t>ÖREBRO</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53719-2025</t>
        </is>
      </c>
      <c r="B350" s="1" t="n">
        <v>45960.62042824074</v>
      </c>
      <c r="C350" s="1" t="n">
        <v>46160</v>
      </c>
      <c r="D350" t="inlineStr">
        <is>
          <t>ÖREBRO LÄN</t>
        </is>
      </c>
      <c r="E350" t="inlineStr">
        <is>
          <t>ÖREBRO</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53343-2025</t>
        </is>
      </c>
      <c r="B351" s="1" t="n">
        <v>45959.42025462963</v>
      </c>
      <c r="C351" s="1" t="n">
        <v>46160</v>
      </c>
      <c r="D351" t="inlineStr">
        <is>
          <t>ÖREBRO LÄN</t>
        </is>
      </c>
      <c r="E351" t="inlineStr">
        <is>
          <t>ÖREBRO</t>
        </is>
      </c>
      <c r="G351" t="n">
        <v>0.5</v>
      </c>
      <c r="H351" t="n">
        <v>0</v>
      </c>
      <c r="I351" t="n">
        <v>0</v>
      </c>
      <c r="J351" t="n">
        <v>0</v>
      </c>
      <c r="K351" t="n">
        <v>0</v>
      </c>
      <c r="L351" t="n">
        <v>0</v>
      </c>
      <c r="M351" t="n">
        <v>0</v>
      </c>
      <c r="N351" t="n">
        <v>0</v>
      </c>
      <c r="O351" t="n">
        <v>0</v>
      </c>
      <c r="P351" t="n">
        <v>0</v>
      </c>
      <c r="Q351" t="n">
        <v>0</v>
      </c>
      <c r="R351" s="2" t="inlineStr"/>
    </row>
    <row r="352" ht="15" customHeight="1">
      <c r="A352" t="inlineStr">
        <is>
          <t>A 53437-2025</t>
        </is>
      </c>
      <c r="B352" s="1" t="n">
        <v>45959.63440972222</v>
      </c>
      <c r="C352" s="1" t="n">
        <v>46160</v>
      </c>
      <c r="D352" t="inlineStr">
        <is>
          <t>ÖREBRO LÄN</t>
        </is>
      </c>
      <c r="E352" t="inlineStr">
        <is>
          <t>ÖREBRO</t>
        </is>
      </c>
      <c r="G352" t="n">
        <v>1</v>
      </c>
      <c r="H352" t="n">
        <v>0</v>
      </c>
      <c r="I352" t="n">
        <v>0</v>
      </c>
      <c r="J352" t="n">
        <v>0</v>
      </c>
      <c r="K352" t="n">
        <v>0</v>
      </c>
      <c r="L352" t="n">
        <v>0</v>
      </c>
      <c r="M352" t="n">
        <v>0</v>
      </c>
      <c r="N352" t="n">
        <v>0</v>
      </c>
      <c r="O352" t="n">
        <v>0</v>
      </c>
      <c r="P352" t="n">
        <v>0</v>
      </c>
      <c r="Q352" t="n">
        <v>0</v>
      </c>
      <c r="R352" s="2" t="inlineStr"/>
    </row>
    <row r="353" ht="15" customHeight="1">
      <c r="A353" t="inlineStr">
        <is>
          <t>A 53342-2025</t>
        </is>
      </c>
      <c r="B353" s="1" t="n">
        <v>45959.41769675926</v>
      </c>
      <c r="C353" s="1" t="n">
        <v>46160</v>
      </c>
      <c r="D353" t="inlineStr">
        <is>
          <t>ÖREBRO LÄN</t>
        </is>
      </c>
      <c r="E353" t="inlineStr">
        <is>
          <t>ÖREBRO</t>
        </is>
      </c>
      <c r="G353" t="n">
        <v>4.1</v>
      </c>
      <c r="H353" t="n">
        <v>0</v>
      </c>
      <c r="I353" t="n">
        <v>0</v>
      </c>
      <c r="J353" t="n">
        <v>0</v>
      </c>
      <c r="K353" t="n">
        <v>0</v>
      </c>
      <c r="L353" t="n">
        <v>0</v>
      </c>
      <c r="M353" t="n">
        <v>0</v>
      </c>
      <c r="N353" t="n">
        <v>0</v>
      </c>
      <c r="O353" t="n">
        <v>0</v>
      </c>
      <c r="P353" t="n">
        <v>0</v>
      </c>
      <c r="Q353" t="n">
        <v>0</v>
      </c>
      <c r="R353" s="2" t="inlineStr"/>
    </row>
    <row r="354" ht="15" customHeight="1">
      <c r="A354" t="inlineStr">
        <is>
          <t>A 37277-2022</t>
        </is>
      </c>
      <c r="B354" s="1" t="n">
        <v>44807.49150462963</v>
      </c>
      <c r="C354" s="1" t="n">
        <v>46160</v>
      </c>
      <c r="D354" t="inlineStr">
        <is>
          <t>ÖREBRO LÄN</t>
        </is>
      </c>
      <c r="E354" t="inlineStr">
        <is>
          <t>ÖREBRO</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53443-2025</t>
        </is>
      </c>
      <c r="B355" s="1" t="n">
        <v>45959.6444675926</v>
      </c>
      <c r="C355" s="1" t="n">
        <v>46160</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7550-2026</t>
        </is>
      </c>
      <c r="B356" s="1" t="n">
        <v>46059.68496527777</v>
      </c>
      <c r="C356" s="1" t="n">
        <v>46160</v>
      </c>
      <c r="D356" t="inlineStr">
        <is>
          <t>ÖREBRO LÄN</t>
        </is>
      </c>
      <c r="E356" t="inlineStr">
        <is>
          <t>ÖREBRO</t>
        </is>
      </c>
      <c r="G356" t="n">
        <v>1.9</v>
      </c>
      <c r="H356" t="n">
        <v>0</v>
      </c>
      <c r="I356" t="n">
        <v>0</v>
      </c>
      <c r="J356" t="n">
        <v>0</v>
      </c>
      <c r="K356" t="n">
        <v>0</v>
      </c>
      <c r="L356" t="n">
        <v>0</v>
      </c>
      <c r="M356" t="n">
        <v>0</v>
      </c>
      <c r="N356" t="n">
        <v>0</v>
      </c>
      <c r="O356" t="n">
        <v>0</v>
      </c>
      <c r="P356" t="n">
        <v>0</v>
      </c>
      <c r="Q356" t="n">
        <v>0</v>
      </c>
      <c r="R356" s="2" t="inlineStr"/>
    </row>
    <row r="357" ht="15" customHeight="1">
      <c r="A357" t="inlineStr">
        <is>
          <t>A 27956-2023</t>
        </is>
      </c>
      <c r="B357" s="1" t="n">
        <v>45098</v>
      </c>
      <c r="C357" s="1" t="n">
        <v>46160</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51331-2023</t>
        </is>
      </c>
      <c r="B358" s="1" t="n">
        <v>45219</v>
      </c>
      <c r="C358" s="1" t="n">
        <v>46160</v>
      </c>
      <c r="D358" t="inlineStr">
        <is>
          <t>ÖREBRO LÄN</t>
        </is>
      </c>
      <c r="E358" t="inlineStr">
        <is>
          <t>ÖREBRO</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40588-2021</t>
        </is>
      </c>
      <c r="B359" s="1" t="n">
        <v>44420</v>
      </c>
      <c r="C359" s="1" t="n">
        <v>46160</v>
      </c>
      <c r="D359" t="inlineStr">
        <is>
          <t>ÖREBRO LÄN</t>
        </is>
      </c>
      <c r="E359" t="inlineStr">
        <is>
          <t>ÖREBRO</t>
        </is>
      </c>
      <c r="G359" t="n">
        <v>1.1</v>
      </c>
      <c r="H359" t="n">
        <v>0</v>
      </c>
      <c r="I359" t="n">
        <v>0</v>
      </c>
      <c r="J359" t="n">
        <v>0</v>
      </c>
      <c r="K359" t="n">
        <v>0</v>
      </c>
      <c r="L359" t="n">
        <v>0</v>
      </c>
      <c r="M359" t="n">
        <v>0</v>
      </c>
      <c r="N359" t="n">
        <v>0</v>
      </c>
      <c r="O359" t="n">
        <v>0</v>
      </c>
      <c r="P359" t="n">
        <v>0</v>
      </c>
      <c r="Q359" t="n">
        <v>0</v>
      </c>
      <c r="R359" s="2" t="inlineStr"/>
    </row>
    <row r="360" ht="15" customHeight="1">
      <c r="A360" t="inlineStr">
        <is>
          <t>A 40231-2022</t>
        </is>
      </c>
      <c r="B360" s="1" t="n">
        <v>44820</v>
      </c>
      <c r="C360" s="1" t="n">
        <v>46160</v>
      </c>
      <c r="D360" t="inlineStr">
        <is>
          <t>ÖREBRO LÄN</t>
        </is>
      </c>
      <c r="E360" t="inlineStr">
        <is>
          <t>ÖREBRO</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4284-2025</t>
        </is>
      </c>
      <c r="B361" s="1" t="n">
        <v>45685</v>
      </c>
      <c r="C361" s="1" t="n">
        <v>46160</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54205-2025</t>
        </is>
      </c>
      <c r="B362" s="1" t="n">
        <v>45964.58512731481</v>
      </c>
      <c r="C362" s="1" t="n">
        <v>46160</v>
      </c>
      <c r="D362" t="inlineStr">
        <is>
          <t>ÖREBRO LÄN</t>
        </is>
      </c>
      <c r="E362" t="inlineStr">
        <is>
          <t>ÖREBRO</t>
        </is>
      </c>
      <c r="G362" t="n">
        <v>24.3</v>
      </c>
      <c r="H362" t="n">
        <v>0</v>
      </c>
      <c r="I362" t="n">
        <v>0</v>
      </c>
      <c r="J362" t="n">
        <v>0</v>
      </c>
      <c r="K362" t="n">
        <v>0</v>
      </c>
      <c r="L362" t="n">
        <v>0</v>
      </c>
      <c r="M362" t="n">
        <v>0</v>
      </c>
      <c r="N362" t="n">
        <v>0</v>
      </c>
      <c r="O362" t="n">
        <v>0</v>
      </c>
      <c r="P362" t="n">
        <v>0</v>
      </c>
      <c r="Q362" t="n">
        <v>0</v>
      </c>
      <c r="R362" s="2" t="inlineStr"/>
    </row>
    <row r="363" ht="15" customHeight="1">
      <c r="A363" t="inlineStr">
        <is>
          <t>A 25443-2021</t>
        </is>
      </c>
      <c r="B363" s="1" t="n">
        <v>44342</v>
      </c>
      <c r="C363" s="1" t="n">
        <v>46160</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54485-2025</t>
        </is>
      </c>
      <c r="B364" s="1" t="n">
        <v>45965.59295138889</v>
      </c>
      <c r="C364" s="1" t="n">
        <v>46160</v>
      </c>
      <c r="D364" t="inlineStr">
        <is>
          <t>ÖREBRO LÄN</t>
        </is>
      </c>
      <c r="E364" t="inlineStr">
        <is>
          <t>ÖREBRO</t>
        </is>
      </c>
      <c r="F364" t="inlineStr">
        <is>
          <t>Allmännings- och besparingsskogar</t>
        </is>
      </c>
      <c r="G364" t="n">
        <v>1.7</v>
      </c>
      <c r="H364" t="n">
        <v>0</v>
      </c>
      <c r="I364" t="n">
        <v>0</v>
      </c>
      <c r="J364" t="n">
        <v>0</v>
      </c>
      <c r="K364" t="n">
        <v>0</v>
      </c>
      <c r="L364" t="n">
        <v>0</v>
      </c>
      <c r="M364" t="n">
        <v>0</v>
      </c>
      <c r="N364" t="n">
        <v>0</v>
      </c>
      <c r="O364" t="n">
        <v>0</v>
      </c>
      <c r="P364" t="n">
        <v>0</v>
      </c>
      <c r="Q364" t="n">
        <v>0</v>
      </c>
      <c r="R364" s="2" t="inlineStr"/>
    </row>
    <row r="365" ht="15" customHeight="1">
      <c r="A365" t="inlineStr">
        <is>
          <t>A 6254-2026</t>
        </is>
      </c>
      <c r="B365" s="1" t="n">
        <v>46055</v>
      </c>
      <c r="C365" s="1" t="n">
        <v>46160</v>
      </c>
      <c r="D365" t="inlineStr">
        <is>
          <t>ÖREBRO LÄN</t>
        </is>
      </c>
      <c r="E365" t="inlineStr">
        <is>
          <t>ÖREBRO</t>
        </is>
      </c>
      <c r="G365" t="n">
        <v>2.8</v>
      </c>
      <c r="H365" t="n">
        <v>0</v>
      </c>
      <c r="I365" t="n">
        <v>0</v>
      </c>
      <c r="J365" t="n">
        <v>0</v>
      </c>
      <c r="K365" t="n">
        <v>0</v>
      </c>
      <c r="L365" t="n">
        <v>0</v>
      </c>
      <c r="M365" t="n">
        <v>0</v>
      </c>
      <c r="N365" t="n">
        <v>0</v>
      </c>
      <c r="O365" t="n">
        <v>0</v>
      </c>
      <c r="P365" t="n">
        <v>0</v>
      </c>
      <c r="Q365" t="n">
        <v>0</v>
      </c>
      <c r="R365" s="2" t="inlineStr"/>
    </row>
    <row r="366" ht="15" customHeight="1">
      <c r="A366" t="inlineStr">
        <is>
          <t>A 8677-2026</t>
        </is>
      </c>
      <c r="B366" s="1" t="n">
        <v>46066.40994212963</v>
      </c>
      <c r="C366" s="1" t="n">
        <v>46160</v>
      </c>
      <c r="D366" t="inlineStr">
        <is>
          <t>ÖREBRO LÄN</t>
        </is>
      </c>
      <c r="E366" t="inlineStr">
        <is>
          <t>ÖREBRO</t>
        </is>
      </c>
      <c r="G366" t="n">
        <v>2.6</v>
      </c>
      <c r="H366" t="n">
        <v>0</v>
      </c>
      <c r="I366" t="n">
        <v>0</v>
      </c>
      <c r="J366" t="n">
        <v>0</v>
      </c>
      <c r="K366" t="n">
        <v>0</v>
      </c>
      <c r="L366" t="n">
        <v>0</v>
      </c>
      <c r="M366" t="n">
        <v>0</v>
      </c>
      <c r="N366" t="n">
        <v>0</v>
      </c>
      <c r="O366" t="n">
        <v>0</v>
      </c>
      <c r="P366" t="n">
        <v>0</v>
      </c>
      <c r="Q366" t="n">
        <v>0</v>
      </c>
      <c r="R366" s="2" t="inlineStr"/>
    </row>
    <row r="367" ht="15" customHeight="1">
      <c r="A367" t="inlineStr">
        <is>
          <t>A 42623-2022</t>
        </is>
      </c>
      <c r="B367" s="1" t="n">
        <v>44831</v>
      </c>
      <c r="C367" s="1" t="n">
        <v>46160</v>
      </c>
      <c r="D367" t="inlineStr">
        <is>
          <t>ÖREBRO LÄN</t>
        </is>
      </c>
      <c r="E367" t="inlineStr">
        <is>
          <t>ÖREBRO</t>
        </is>
      </c>
      <c r="G367" t="n">
        <v>3.6</v>
      </c>
      <c r="H367" t="n">
        <v>0</v>
      </c>
      <c r="I367" t="n">
        <v>0</v>
      </c>
      <c r="J367" t="n">
        <v>0</v>
      </c>
      <c r="K367" t="n">
        <v>0</v>
      </c>
      <c r="L367" t="n">
        <v>0</v>
      </c>
      <c r="M367" t="n">
        <v>0</v>
      </c>
      <c r="N367" t="n">
        <v>0</v>
      </c>
      <c r="O367" t="n">
        <v>0</v>
      </c>
      <c r="P367" t="n">
        <v>0</v>
      </c>
      <c r="Q367" t="n">
        <v>0</v>
      </c>
      <c r="R367" s="2" t="inlineStr"/>
    </row>
    <row r="368" ht="15" customHeight="1">
      <c r="A368" t="inlineStr">
        <is>
          <t>A 38057-2025</t>
        </is>
      </c>
      <c r="B368" s="1" t="n">
        <v>45882.42570601852</v>
      </c>
      <c r="C368" s="1" t="n">
        <v>46160</v>
      </c>
      <c r="D368" t="inlineStr">
        <is>
          <t>ÖREBRO LÄN</t>
        </is>
      </c>
      <c r="E368" t="inlineStr">
        <is>
          <t>ÖREBRO</t>
        </is>
      </c>
      <c r="G368" t="n">
        <v>3</v>
      </c>
      <c r="H368" t="n">
        <v>0</v>
      </c>
      <c r="I368" t="n">
        <v>0</v>
      </c>
      <c r="J368" t="n">
        <v>0</v>
      </c>
      <c r="K368" t="n">
        <v>0</v>
      </c>
      <c r="L368" t="n">
        <v>0</v>
      </c>
      <c r="M368" t="n">
        <v>0</v>
      </c>
      <c r="N368" t="n">
        <v>0</v>
      </c>
      <c r="O368" t="n">
        <v>0</v>
      </c>
      <c r="P368" t="n">
        <v>0</v>
      </c>
      <c r="Q368" t="n">
        <v>0</v>
      </c>
      <c r="R368" s="2" t="inlineStr"/>
    </row>
    <row r="369" ht="15" customHeight="1">
      <c r="A369" t="inlineStr">
        <is>
          <t>A 8461-2026</t>
        </is>
      </c>
      <c r="B369" s="1" t="n">
        <v>46065.42981481482</v>
      </c>
      <c r="C369" s="1" t="n">
        <v>46160</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3763-2025</t>
        </is>
      </c>
      <c r="B370" s="1" t="n">
        <v>45681</v>
      </c>
      <c r="C370" s="1" t="n">
        <v>46160</v>
      </c>
      <c r="D370" t="inlineStr">
        <is>
          <t>ÖREBRO LÄN</t>
        </is>
      </c>
      <c r="E370" t="inlineStr">
        <is>
          <t>ÖREBRO</t>
        </is>
      </c>
      <c r="G370" t="n">
        <v>10.1</v>
      </c>
      <c r="H370" t="n">
        <v>0</v>
      </c>
      <c r="I370" t="n">
        <v>0</v>
      </c>
      <c r="J370" t="n">
        <v>0</v>
      </c>
      <c r="K370" t="n">
        <v>0</v>
      </c>
      <c r="L370" t="n">
        <v>0</v>
      </c>
      <c r="M370" t="n">
        <v>0</v>
      </c>
      <c r="N370" t="n">
        <v>0</v>
      </c>
      <c r="O370" t="n">
        <v>0</v>
      </c>
      <c r="P370" t="n">
        <v>0</v>
      </c>
      <c r="Q370" t="n">
        <v>0</v>
      </c>
      <c r="R370" s="2" t="inlineStr"/>
    </row>
    <row r="371" ht="15" customHeight="1">
      <c r="A371" t="inlineStr">
        <is>
          <t>A 8662-2026</t>
        </is>
      </c>
      <c r="B371" s="1" t="n">
        <v>46066.38112268518</v>
      </c>
      <c r="C371" s="1" t="n">
        <v>46160</v>
      </c>
      <c r="D371" t="inlineStr">
        <is>
          <t>ÖREBRO LÄN</t>
        </is>
      </c>
      <c r="E371" t="inlineStr">
        <is>
          <t>ÖREBRO</t>
        </is>
      </c>
      <c r="G371" t="n">
        <v>3.2</v>
      </c>
      <c r="H371" t="n">
        <v>0</v>
      </c>
      <c r="I371" t="n">
        <v>0</v>
      </c>
      <c r="J371" t="n">
        <v>0</v>
      </c>
      <c r="K371" t="n">
        <v>0</v>
      </c>
      <c r="L371" t="n">
        <v>0</v>
      </c>
      <c r="M371" t="n">
        <v>0</v>
      </c>
      <c r="N371" t="n">
        <v>0</v>
      </c>
      <c r="O371" t="n">
        <v>0</v>
      </c>
      <c r="P371" t="n">
        <v>0</v>
      </c>
      <c r="Q371" t="n">
        <v>0</v>
      </c>
      <c r="R371" s="2" t="inlineStr"/>
    </row>
    <row r="372" ht="15" customHeight="1">
      <c r="A372" t="inlineStr">
        <is>
          <t>A 9318-2026</t>
        </is>
      </c>
      <c r="B372" s="1" t="n">
        <v>46070.62585648148</v>
      </c>
      <c r="C372" s="1" t="n">
        <v>46160</v>
      </c>
      <c r="D372" t="inlineStr">
        <is>
          <t>ÖREBRO LÄN</t>
        </is>
      </c>
      <c r="E372" t="inlineStr">
        <is>
          <t>ÖREBRO</t>
        </is>
      </c>
      <c r="F372" t="inlineStr">
        <is>
          <t>Övriga Aktiebolag</t>
        </is>
      </c>
      <c r="G372" t="n">
        <v>2.7</v>
      </c>
      <c r="H372" t="n">
        <v>0</v>
      </c>
      <c r="I372" t="n">
        <v>0</v>
      </c>
      <c r="J372" t="n">
        <v>0</v>
      </c>
      <c r="K372" t="n">
        <v>0</v>
      </c>
      <c r="L372" t="n">
        <v>0</v>
      </c>
      <c r="M372" t="n">
        <v>0</v>
      </c>
      <c r="N372" t="n">
        <v>0</v>
      </c>
      <c r="O372" t="n">
        <v>0</v>
      </c>
      <c r="P372" t="n">
        <v>0</v>
      </c>
      <c r="Q372" t="n">
        <v>0</v>
      </c>
      <c r="R372" s="2" t="inlineStr"/>
    </row>
    <row r="373" ht="15" customHeight="1">
      <c r="A373" t="inlineStr">
        <is>
          <t>A 55748-2025</t>
        </is>
      </c>
      <c r="B373" s="1" t="n">
        <v>45972.57893518519</v>
      </c>
      <c r="C373" s="1" t="n">
        <v>46160</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55750-2025</t>
        </is>
      </c>
      <c r="B374" s="1" t="n">
        <v>45972.58171296296</v>
      </c>
      <c r="C374" s="1" t="n">
        <v>46160</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10829-2023</t>
        </is>
      </c>
      <c r="B375" s="1" t="n">
        <v>44990.88512731482</v>
      </c>
      <c r="C375" s="1" t="n">
        <v>46160</v>
      </c>
      <c r="D375" t="inlineStr">
        <is>
          <t>ÖREBRO LÄN</t>
        </is>
      </c>
      <c r="E375" t="inlineStr">
        <is>
          <t>ÖREBRO</t>
        </is>
      </c>
      <c r="G375" t="n">
        <v>4.4</v>
      </c>
      <c r="H375" t="n">
        <v>0</v>
      </c>
      <c r="I375" t="n">
        <v>0</v>
      </c>
      <c r="J375" t="n">
        <v>0</v>
      </c>
      <c r="K375" t="n">
        <v>0</v>
      </c>
      <c r="L375" t="n">
        <v>0</v>
      </c>
      <c r="M375" t="n">
        <v>0</v>
      </c>
      <c r="N375" t="n">
        <v>0</v>
      </c>
      <c r="O375" t="n">
        <v>0</v>
      </c>
      <c r="P375" t="n">
        <v>0</v>
      </c>
      <c r="Q375" t="n">
        <v>0</v>
      </c>
      <c r="R375" s="2" t="inlineStr"/>
    </row>
    <row r="376" ht="15" customHeight="1">
      <c r="A376" t="inlineStr">
        <is>
          <t>A 10831-2023</t>
        </is>
      </c>
      <c r="B376" s="1" t="n">
        <v>44990.90357638889</v>
      </c>
      <c r="C376" s="1" t="n">
        <v>46160</v>
      </c>
      <c r="D376" t="inlineStr">
        <is>
          <t>ÖREBRO LÄN</t>
        </is>
      </c>
      <c r="E376" t="inlineStr">
        <is>
          <t>ÖREBRO</t>
        </is>
      </c>
      <c r="G376" t="n">
        <v>1.9</v>
      </c>
      <c r="H376" t="n">
        <v>0</v>
      </c>
      <c r="I376" t="n">
        <v>0</v>
      </c>
      <c r="J376" t="n">
        <v>0</v>
      </c>
      <c r="K376" t="n">
        <v>0</v>
      </c>
      <c r="L376" t="n">
        <v>0</v>
      </c>
      <c r="M376" t="n">
        <v>0</v>
      </c>
      <c r="N376" t="n">
        <v>0</v>
      </c>
      <c r="O376" t="n">
        <v>0</v>
      </c>
      <c r="P376" t="n">
        <v>0</v>
      </c>
      <c r="Q376" t="n">
        <v>0</v>
      </c>
      <c r="R376" s="2" t="inlineStr"/>
    </row>
    <row r="377" ht="15" customHeight="1">
      <c r="A377" t="inlineStr">
        <is>
          <t>A 16165-2023</t>
        </is>
      </c>
      <c r="B377" s="1" t="n">
        <v>45027</v>
      </c>
      <c r="C377" s="1" t="n">
        <v>46160</v>
      </c>
      <c r="D377" t="inlineStr">
        <is>
          <t>ÖREBRO LÄN</t>
        </is>
      </c>
      <c r="E377" t="inlineStr">
        <is>
          <t>ÖREBRO</t>
        </is>
      </c>
      <c r="G377" t="n">
        <v>11</v>
      </c>
      <c r="H377" t="n">
        <v>0</v>
      </c>
      <c r="I377" t="n">
        <v>0</v>
      </c>
      <c r="J377" t="n">
        <v>0</v>
      </c>
      <c r="K377" t="n">
        <v>0</v>
      </c>
      <c r="L377" t="n">
        <v>0</v>
      </c>
      <c r="M377" t="n">
        <v>0</v>
      </c>
      <c r="N377" t="n">
        <v>0</v>
      </c>
      <c r="O377" t="n">
        <v>0</v>
      </c>
      <c r="P377" t="n">
        <v>0</v>
      </c>
      <c r="Q377" t="n">
        <v>0</v>
      </c>
      <c r="R377" s="2" t="inlineStr"/>
    </row>
    <row r="378" ht="15" customHeight="1">
      <c r="A378" t="inlineStr">
        <is>
          <t>A 55879-2025</t>
        </is>
      </c>
      <c r="B378" s="1" t="n">
        <v>45973.36508101852</v>
      </c>
      <c r="C378" s="1" t="n">
        <v>46160</v>
      </c>
      <c r="D378" t="inlineStr">
        <is>
          <t>ÖREBRO LÄN</t>
        </is>
      </c>
      <c r="E378" t="inlineStr">
        <is>
          <t>ÖREBRO</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57247-2022</t>
        </is>
      </c>
      <c r="B379" s="1" t="n">
        <v>44895.73065972222</v>
      </c>
      <c r="C379" s="1" t="n">
        <v>46160</v>
      </c>
      <c r="D379" t="inlineStr">
        <is>
          <t>ÖREBRO LÄN</t>
        </is>
      </c>
      <c r="E379" t="inlineStr">
        <is>
          <t>ÖREBRO</t>
        </is>
      </c>
      <c r="G379" t="n">
        <v>1.6</v>
      </c>
      <c r="H379" t="n">
        <v>0</v>
      </c>
      <c r="I379" t="n">
        <v>0</v>
      </c>
      <c r="J379" t="n">
        <v>0</v>
      </c>
      <c r="K379" t="n">
        <v>0</v>
      </c>
      <c r="L379" t="n">
        <v>0</v>
      </c>
      <c r="M379" t="n">
        <v>0</v>
      </c>
      <c r="N379" t="n">
        <v>0</v>
      </c>
      <c r="O379" t="n">
        <v>0</v>
      </c>
      <c r="P379" t="n">
        <v>0</v>
      </c>
      <c r="Q379" t="n">
        <v>0</v>
      </c>
      <c r="R379" s="2" t="inlineStr"/>
    </row>
    <row r="380" ht="15" customHeight="1">
      <c r="A380" t="inlineStr">
        <is>
          <t>A 55888-2025</t>
        </is>
      </c>
      <c r="B380" s="1" t="n">
        <v>45973.37163194444</v>
      </c>
      <c r="C380" s="1" t="n">
        <v>46160</v>
      </c>
      <c r="D380" t="inlineStr">
        <is>
          <t>ÖREBRO LÄN</t>
        </is>
      </c>
      <c r="E380" t="inlineStr">
        <is>
          <t>ÖREBRO</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46757-2021</t>
        </is>
      </c>
      <c r="B381" s="1" t="n">
        <v>44445</v>
      </c>
      <c r="C381" s="1" t="n">
        <v>46160</v>
      </c>
      <c r="D381" t="inlineStr">
        <is>
          <t>ÖREBRO LÄN</t>
        </is>
      </c>
      <c r="E381" t="inlineStr">
        <is>
          <t>ÖREBRO</t>
        </is>
      </c>
      <c r="G381" t="n">
        <v>5.6</v>
      </c>
      <c r="H381" t="n">
        <v>0</v>
      </c>
      <c r="I381" t="n">
        <v>0</v>
      </c>
      <c r="J381" t="n">
        <v>0</v>
      </c>
      <c r="K381" t="n">
        <v>0</v>
      </c>
      <c r="L381" t="n">
        <v>0</v>
      </c>
      <c r="M381" t="n">
        <v>0</v>
      </c>
      <c r="N381" t="n">
        <v>0</v>
      </c>
      <c r="O381" t="n">
        <v>0</v>
      </c>
      <c r="P381" t="n">
        <v>0</v>
      </c>
      <c r="Q381" t="n">
        <v>0</v>
      </c>
      <c r="R381" s="2" t="inlineStr"/>
    </row>
    <row r="382" ht="15" customHeight="1">
      <c r="A382" t="inlineStr">
        <is>
          <t>A 10108-2026</t>
        </is>
      </c>
      <c r="B382" s="1" t="n">
        <v>46074.64310185185</v>
      </c>
      <c r="C382" s="1" t="n">
        <v>46160</v>
      </c>
      <c r="D382" t="inlineStr">
        <is>
          <t>ÖREBRO LÄN</t>
        </is>
      </c>
      <c r="E382" t="inlineStr">
        <is>
          <t>ÖREBRO</t>
        </is>
      </c>
      <c r="G382" t="n">
        <v>1.2</v>
      </c>
      <c r="H382" t="n">
        <v>0</v>
      </c>
      <c r="I382" t="n">
        <v>0</v>
      </c>
      <c r="J382" t="n">
        <v>0</v>
      </c>
      <c r="K382" t="n">
        <v>0</v>
      </c>
      <c r="L382" t="n">
        <v>0</v>
      </c>
      <c r="M382" t="n">
        <v>0</v>
      </c>
      <c r="N382" t="n">
        <v>0</v>
      </c>
      <c r="O382" t="n">
        <v>0</v>
      </c>
      <c r="P382" t="n">
        <v>0</v>
      </c>
      <c r="Q382" t="n">
        <v>0</v>
      </c>
      <c r="R382" s="2" t="inlineStr"/>
    </row>
    <row r="383" ht="15" customHeight="1">
      <c r="A383" t="inlineStr">
        <is>
          <t>A 57537-2025</t>
        </is>
      </c>
      <c r="B383" s="1" t="n">
        <v>45980.6446875</v>
      </c>
      <c r="C383" s="1" t="n">
        <v>46160</v>
      </c>
      <c r="D383" t="inlineStr">
        <is>
          <t>ÖREBRO LÄN</t>
        </is>
      </c>
      <c r="E383" t="inlineStr">
        <is>
          <t>ÖREBRO</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30374-2023</t>
        </is>
      </c>
      <c r="B384" s="1" t="n">
        <v>45111</v>
      </c>
      <c r="C384" s="1" t="n">
        <v>46160</v>
      </c>
      <c r="D384" t="inlineStr">
        <is>
          <t>ÖREBRO LÄN</t>
        </is>
      </c>
      <c r="E384" t="inlineStr">
        <is>
          <t>ÖREBRO</t>
        </is>
      </c>
      <c r="F384" t="inlineStr">
        <is>
          <t>Övriga Aktiebolag</t>
        </is>
      </c>
      <c r="G384" t="n">
        <v>2.3</v>
      </c>
      <c r="H384" t="n">
        <v>0</v>
      </c>
      <c r="I384" t="n">
        <v>0</v>
      </c>
      <c r="J384" t="n">
        <v>0</v>
      </c>
      <c r="K384" t="n">
        <v>0</v>
      </c>
      <c r="L384" t="n">
        <v>0</v>
      </c>
      <c r="M384" t="n">
        <v>0</v>
      </c>
      <c r="N384" t="n">
        <v>0</v>
      </c>
      <c r="O384" t="n">
        <v>0</v>
      </c>
      <c r="P384" t="n">
        <v>0</v>
      </c>
      <c r="Q384" t="n">
        <v>0</v>
      </c>
      <c r="R384" s="2" t="inlineStr"/>
    </row>
    <row r="385" ht="15" customHeight="1">
      <c r="A385" t="inlineStr">
        <is>
          <t>A 58587-2025</t>
        </is>
      </c>
      <c r="B385" s="1" t="n">
        <v>45986.40208333333</v>
      </c>
      <c r="C385" s="1" t="n">
        <v>46160</v>
      </c>
      <c r="D385" t="inlineStr">
        <is>
          <t>ÖREBRO LÄN</t>
        </is>
      </c>
      <c r="E385" t="inlineStr">
        <is>
          <t>ÖREBRO</t>
        </is>
      </c>
      <c r="G385" t="n">
        <v>1.6</v>
      </c>
      <c r="H385" t="n">
        <v>0</v>
      </c>
      <c r="I385" t="n">
        <v>0</v>
      </c>
      <c r="J385" t="n">
        <v>0</v>
      </c>
      <c r="K385" t="n">
        <v>0</v>
      </c>
      <c r="L385" t="n">
        <v>0</v>
      </c>
      <c r="M385" t="n">
        <v>0</v>
      </c>
      <c r="N385" t="n">
        <v>0</v>
      </c>
      <c r="O385" t="n">
        <v>0</v>
      </c>
      <c r="P385" t="n">
        <v>0</v>
      </c>
      <c r="Q385" t="n">
        <v>0</v>
      </c>
      <c r="R385" s="2" t="inlineStr"/>
    </row>
    <row r="386" ht="15" customHeight="1">
      <c r="A386" t="inlineStr">
        <is>
          <t>A 54678-2023</t>
        </is>
      </c>
      <c r="B386" s="1" t="n">
        <v>45235</v>
      </c>
      <c r="C386" s="1" t="n">
        <v>46160</v>
      </c>
      <c r="D386" t="inlineStr">
        <is>
          <t>ÖREBRO LÄN</t>
        </is>
      </c>
      <c r="E386" t="inlineStr">
        <is>
          <t>ÖREBRO</t>
        </is>
      </c>
      <c r="G386" t="n">
        <v>1.7</v>
      </c>
      <c r="H386" t="n">
        <v>0</v>
      </c>
      <c r="I386" t="n">
        <v>0</v>
      </c>
      <c r="J386" t="n">
        <v>0</v>
      </c>
      <c r="K386" t="n">
        <v>0</v>
      </c>
      <c r="L386" t="n">
        <v>0</v>
      </c>
      <c r="M386" t="n">
        <v>0</v>
      </c>
      <c r="N386" t="n">
        <v>0</v>
      </c>
      <c r="O386" t="n">
        <v>0</v>
      </c>
      <c r="P386" t="n">
        <v>0</v>
      </c>
      <c r="Q386" t="n">
        <v>0</v>
      </c>
      <c r="R386" s="2" t="inlineStr"/>
    </row>
    <row r="387" ht="15" customHeight="1">
      <c r="A387" t="inlineStr">
        <is>
          <t>A 58230-2025</t>
        </is>
      </c>
      <c r="B387" s="1" t="n">
        <v>45985.38037037037</v>
      </c>
      <c r="C387" s="1" t="n">
        <v>46160</v>
      </c>
      <c r="D387" t="inlineStr">
        <is>
          <t>ÖREBRO LÄN</t>
        </is>
      </c>
      <c r="E387" t="inlineStr">
        <is>
          <t>ÖREBRO</t>
        </is>
      </c>
      <c r="F387" t="inlineStr">
        <is>
          <t>Övriga Aktiebolag</t>
        </is>
      </c>
      <c r="G387" t="n">
        <v>1.4</v>
      </c>
      <c r="H387" t="n">
        <v>0</v>
      </c>
      <c r="I387" t="n">
        <v>0</v>
      </c>
      <c r="J387" t="n">
        <v>0</v>
      </c>
      <c r="K387" t="n">
        <v>0</v>
      </c>
      <c r="L387" t="n">
        <v>0</v>
      </c>
      <c r="M387" t="n">
        <v>0</v>
      </c>
      <c r="N387" t="n">
        <v>0</v>
      </c>
      <c r="O387" t="n">
        <v>0</v>
      </c>
      <c r="P387" t="n">
        <v>0</v>
      </c>
      <c r="Q387" t="n">
        <v>0</v>
      </c>
      <c r="R387" s="2" t="inlineStr"/>
    </row>
    <row r="388" ht="15" customHeight="1">
      <c r="A388" t="inlineStr">
        <is>
          <t>A 58219-2024</t>
        </is>
      </c>
      <c r="B388" s="1" t="n">
        <v>45632</v>
      </c>
      <c r="C388" s="1" t="n">
        <v>46160</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59145-2025</t>
        </is>
      </c>
      <c r="B389" s="1" t="n">
        <v>45988.52015046297</v>
      </c>
      <c r="C389" s="1" t="n">
        <v>46160</v>
      </c>
      <c r="D389" t="inlineStr">
        <is>
          <t>ÖREBRO LÄN</t>
        </is>
      </c>
      <c r="E389" t="inlineStr">
        <is>
          <t>ÖREBRO</t>
        </is>
      </c>
      <c r="G389" t="n">
        <v>0.8</v>
      </c>
      <c r="H389" t="n">
        <v>0</v>
      </c>
      <c r="I389" t="n">
        <v>0</v>
      </c>
      <c r="J389" t="n">
        <v>0</v>
      </c>
      <c r="K389" t="n">
        <v>0</v>
      </c>
      <c r="L389" t="n">
        <v>0</v>
      </c>
      <c r="M389" t="n">
        <v>0</v>
      </c>
      <c r="N389" t="n">
        <v>0</v>
      </c>
      <c r="O389" t="n">
        <v>0</v>
      </c>
      <c r="P389" t="n">
        <v>0</v>
      </c>
      <c r="Q389" t="n">
        <v>0</v>
      </c>
      <c r="R389" s="2" t="inlineStr"/>
    </row>
    <row r="390" ht="15" customHeight="1">
      <c r="A390" t="inlineStr">
        <is>
          <t>A 58835-2025</t>
        </is>
      </c>
      <c r="B390" s="1" t="n">
        <v>45987.35519675926</v>
      </c>
      <c r="C390" s="1" t="n">
        <v>46160</v>
      </c>
      <c r="D390" t="inlineStr">
        <is>
          <t>ÖREBRO LÄN</t>
        </is>
      </c>
      <c r="E390" t="inlineStr">
        <is>
          <t>ÖREBRO</t>
        </is>
      </c>
      <c r="G390" t="n">
        <v>2.1</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44427.81496527778</v>
      </c>
      <c r="C391" s="1" t="n">
        <v>46160</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14545-2023</t>
        </is>
      </c>
      <c r="B392" s="1" t="n">
        <v>45013.34895833334</v>
      </c>
      <c r="C392" s="1" t="n">
        <v>46160</v>
      </c>
      <c r="D392" t="inlineStr">
        <is>
          <t>ÖREBRO LÄN</t>
        </is>
      </c>
      <c r="E392" t="inlineStr">
        <is>
          <t>ÖREBRO</t>
        </is>
      </c>
      <c r="G392" t="n">
        <v>2.5</v>
      </c>
      <c r="H392" t="n">
        <v>0</v>
      </c>
      <c r="I392" t="n">
        <v>0</v>
      </c>
      <c r="J392" t="n">
        <v>0</v>
      </c>
      <c r="K392" t="n">
        <v>0</v>
      </c>
      <c r="L392" t="n">
        <v>0</v>
      </c>
      <c r="M392" t="n">
        <v>0</v>
      </c>
      <c r="N392" t="n">
        <v>0</v>
      </c>
      <c r="O392" t="n">
        <v>0</v>
      </c>
      <c r="P392" t="n">
        <v>0</v>
      </c>
      <c r="Q392" t="n">
        <v>0</v>
      </c>
      <c r="R392" s="2" t="inlineStr"/>
    </row>
    <row r="393" ht="15" customHeight="1">
      <c r="A393" t="inlineStr">
        <is>
          <t>A 59312-2025</t>
        </is>
      </c>
      <c r="B393" s="1" t="n">
        <v>45989.30467592592</v>
      </c>
      <c r="C393" s="1" t="n">
        <v>46160</v>
      </c>
      <c r="D393" t="inlineStr">
        <is>
          <t>ÖREBRO LÄN</t>
        </is>
      </c>
      <c r="E393" t="inlineStr">
        <is>
          <t>ÖREBRO</t>
        </is>
      </c>
      <c r="G393" t="n">
        <v>1.4</v>
      </c>
      <c r="H393" t="n">
        <v>0</v>
      </c>
      <c r="I393" t="n">
        <v>0</v>
      </c>
      <c r="J393" t="n">
        <v>0</v>
      </c>
      <c r="K393" t="n">
        <v>0</v>
      </c>
      <c r="L393" t="n">
        <v>0</v>
      </c>
      <c r="M393" t="n">
        <v>0</v>
      </c>
      <c r="N393" t="n">
        <v>0</v>
      </c>
      <c r="O393" t="n">
        <v>0</v>
      </c>
      <c r="P393" t="n">
        <v>0</v>
      </c>
      <c r="Q393" t="n">
        <v>0</v>
      </c>
      <c r="R393" s="2" t="inlineStr"/>
    </row>
    <row r="394" ht="15" customHeight="1">
      <c r="A394" t="inlineStr">
        <is>
          <t>A 59313-2025</t>
        </is>
      </c>
      <c r="B394" s="1" t="n">
        <v>45989.30920138889</v>
      </c>
      <c r="C394" s="1" t="n">
        <v>46160</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27112-2023</t>
        </is>
      </c>
      <c r="B395" s="1" t="n">
        <v>45096</v>
      </c>
      <c r="C395" s="1" t="n">
        <v>46160</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14524-2025</t>
        </is>
      </c>
      <c r="B396" s="1" t="n">
        <v>45741.64815972222</v>
      </c>
      <c r="C396" s="1" t="n">
        <v>46160</v>
      </c>
      <c r="D396" t="inlineStr">
        <is>
          <t>ÖREBRO LÄN</t>
        </is>
      </c>
      <c r="E396" t="inlineStr">
        <is>
          <t>ÖREBRO</t>
        </is>
      </c>
      <c r="G396" t="n">
        <v>2.8</v>
      </c>
      <c r="H396" t="n">
        <v>0</v>
      </c>
      <c r="I396" t="n">
        <v>0</v>
      </c>
      <c r="J396" t="n">
        <v>0</v>
      </c>
      <c r="K396" t="n">
        <v>0</v>
      </c>
      <c r="L396" t="n">
        <v>0</v>
      </c>
      <c r="M396" t="n">
        <v>0</v>
      </c>
      <c r="N396" t="n">
        <v>0</v>
      </c>
      <c r="O396" t="n">
        <v>0</v>
      </c>
      <c r="P396" t="n">
        <v>0</v>
      </c>
      <c r="Q396" t="n">
        <v>0</v>
      </c>
      <c r="R396" s="2" t="inlineStr"/>
    </row>
    <row r="397" ht="15" customHeight="1">
      <c r="A397" t="inlineStr">
        <is>
          <t>A 59856-2025</t>
        </is>
      </c>
      <c r="B397" s="1" t="n">
        <v>45992.74891203704</v>
      </c>
      <c r="C397" s="1" t="n">
        <v>46160</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10944-2026</t>
        </is>
      </c>
      <c r="B398" s="1" t="n">
        <v>46079.37659722222</v>
      </c>
      <c r="C398" s="1" t="n">
        <v>46160</v>
      </c>
      <c r="D398" t="inlineStr">
        <is>
          <t>ÖREBRO LÄN</t>
        </is>
      </c>
      <c r="E398" t="inlineStr">
        <is>
          <t>ÖREBRO</t>
        </is>
      </c>
      <c r="G398" t="n">
        <v>2.7</v>
      </c>
      <c r="H398" t="n">
        <v>0</v>
      </c>
      <c r="I398" t="n">
        <v>0</v>
      </c>
      <c r="J398" t="n">
        <v>0</v>
      </c>
      <c r="K398" t="n">
        <v>0</v>
      </c>
      <c r="L398" t="n">
        <v>0</v>
      </c>
      <c r="M398" t="n">
        <v>0</v>
      </c>
      <c r="N398" t="n">
        <v>0</v>
      </c>
      <c r="O398" t="n">
        <v>0</v>
      </c>
      <c r="P398" t="n">
        <v>0</v>
      </c>
      <c r="Q398" t="n">
        <v>0</v>
      </c>
      <c r="R398" s="2" t="inlineStr"/>
    </row>
    <row r="399" ht="15" customHeight="1">
      <c r="A399" t="inlineStr">
        <is>
          <t>A 46834-2022</t>
        </is>
      </c>
      <c r="B399" s="1" t="n">
        <v>44851</v>
      </c>
      <c r="C399" s="1" t="n">
        <v>46160</v>
      </c>
      <c r="D399" t="inlineStr">
        <is>
          <t>ÖREBRO LÄN</t>
        </is>
      </c>
      <c r="E399" t="inlineStr">
        <is>
          <t>ÖREBRO</t>
        </is>
      </c>
      <c r="G399" t="n">
        <v>1.6</v>
      </c>
      <c r="H399" t="n">
        <v>0</v>
      </c>
      <c r="I399" t="n">
        <v>0</v>
      </c>
      <c r="J399" t="n">
        <v>0</v>
      </c>
      <c r="K399" t="n">
        <v>0</v>
      </c>
      <c r="L399" t="n">
        <v>0</v>
      </c>
      <c r="M399" t="n">
        <v>0</v>
      </c>
      <c r="N399" t="n">
        <v>0</v>
      </c>
      <c r="O399" t="n">
        <v>0</v>
      </c>
      <c r="P399" t="n">
        <v>0</v>
      </c>
      <c r="Q399" t="n">
        <v>0</v>
      </c>
      <c r="R399" s="2" t="inlineStr"/>
    </row>
    <row r="400" ht="15" customHeight="1">
      <c r="A400" t="inlineStr">
        <is>
          <t>A 57638-2022</t>
        </is>
      </c>
      <c r="B400" s="1" t="n">
        <v>44897</v>
      </c>
      <c r="C400" s="1" t="n">
        <v>46160</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59857-2025</t>
        </is>
      </c>
      <c r="B401" s="1" t="n">
        <v>45992.75820601852</v>
      </c>
      <c r="C401" s="1" t="n">
        <v>46160</v>
      </c>
      <c r="D401" t="inlineStr">
        <is>
          <t>ÖREBRO LÄN</t>
        </is>
      </c>
      <c r="E401" t="inlineStr">
        <is>
          <t>ÖREBRO</t>
        </is>
      </c>
      <c r="G401" t="n">
        <v>1.7</v>
      </c>
      <c r="H401" t="n">
        <v>0</v>
      </c>
      <c r="I401" t="n">
        <v>0</v>
      </c>
      <c r="J401" t="n">
        <v>0</v>
      </c>
      <c r="K401" t="n">
        <v>0</v>
      </c>
      <c r="L401" t="n">
        <v>0</v>
      </c>
      <c r="M401" t="n">
        <v>0</v>
      </c>
      <c r="N401" t="n">
        <v>0</v>
      </c>
      <c r="O401" t="n">
        <v>0</v>
      </c>
      <c r="P401" t="n">
        <v>0</v>
      </c>
      <c r="Q401" t="n">
        <v>0</v>
      </c>
      <c r="R401" s="2" t="inlineStr"/>
    </row>
    <row r="402" ht="15" customHeight="1">
      <c r="A402" t="inlineStr">
        <is>
          <t>A 59858-2025</t>
        </is>
      </c>
      <c r="B402" s="1" t="n">
        <v>45992.76758101852</v>
      </c>
      <c r="C402" s="1" t="n">
        <v>46160</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59859-2025</t>
        </is>
      </c>
      <c r="B403" s="1" t="n">
        <v>45992.7803125</v>
      </c>
      <c r="C403" s="1" t="n">
        <v>46160</v>
      </c>
      <c r="D403" t="inlineStr">
        <is>
          <t>ÖREBRO LÄN</t>
        </is>
      </c>
      <c r="E403" t="inlineStr">
        <is>
          <t>ÖREBRO</t>
        </is>
      </c>
      <c r="G403" t="n">
        <v>0.4</v>
      </c>
      <c r="H403" t="n">
        <v>0</v>
      </c>
      <c r="I403" t="n">
        <v>0</v>
      </c>
      <c r="J403" t="n">
        <v>0</v>
      </c>
      <c r="K403" t="n">
        <v>0</v>
      </c>
      <c r="L403" t="n">
        <v>0</v>
      </c>
      <c r="M403" t="n">
        <v>0</v>
      </c>
      <c r="N403" t="n">
        <v>0</v>
      </c>
      <c r="O403" t="n">
        <v>0</v>
      </c>
      <c r="P403" t="n">
        <v>0</v>
      </c>
      <c r="Q403" t="n">
        <v>0</v>
      </c>
      <c r="R403" s="2" t="inlineStr"/>
    </row>
    <row r="404" ht="15" customHeight="1">
      <c r="A404" t="inlineStr">
        <is>
          <t>A 59937-2025</t>
        </is>
      </c>
      <c r="B404" s="1" t="n">
        <v>45993.41934027777</v>
      </c>
      <c r="C404" s="1" t="n">
        <v>46160</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2152-2023</t>
        </is>
      </c>
      <c r="B405" s="1" t="n">
        <v>44941.55056712963</v>
      </c>
      <c r="C405" s="1" t="n">
        <v>46160</v>
      </c>
      <c r="D405" t="inlineStr">
        <is>
          <t>ÖREBRO LÄN</t>
        </is>
      </c>
      <c r="E405" t="inlineStr">
        <is>
          <t>ÖREBRO</t>
        </is>
      </c>
      <c r="G405" t="n">
        <v>8</v>
      </c>
      <c r="H405" t="n">
        <v>0</v>
      </c>
      <c r="I405" t="n">
        <v>0</v>
      </c>
      <c r="J405" t="n">
        <v>0</v>
      </c>
      <c r="K405" t="n">
        <v>0</v>
      </c>
      <c r="L405" t="n">
        <v>0</v>
      </c>
      <c r="M405" t="n">
        <v>0</v>
      </c>
      <c r="N405" t="n">
        <v>0</v>
      </c>
      <c r="O405" t="n">
        <v>0</v>
      </c>
      <c r="P405" t="n">
        <v>0</v>
      </c>
      <c r="Q405" t="n">
        <v>0</v>
      </c>
      <c r="R405" s="2" t="inlineStr"/>
    </row>
    <row r="406" ht="15" customHeight="1">
      <c r="A406" t="inlineStr">
        <is>
          <t>A 59938-2025</t>
        </is>
      </c>
      <c r="B406" s="1" t="n">
        <v>45993.42108796296</v>
      </c>
      <c r="C406" s="1" t="n">
        <v>46160</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59860-2025</t>
        </is>
      </c>
      <c r="B407" s="1" t="n">
        <v>45992.78351851852</v>
      </c>
      <c r="C407" s="1" t="n">
        <v>46160</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55745-2023</t>
        </is>
      </c>
      <c r="B408" s="1" t="n">
        <v>45239.44811342593</v>
      </c>
      <c r="C408" s="1" t="n">
        <v>46160</v>
      </c>
      <c r="D408" t="inlineStr">
        <is>
          <t>ÖREBRO LÄN</t>
        </is>
      </c>
      <c r="E408" t="inlineStr">
        <is>
          <t>ÖREBRO</t>
        </is>
      </c>
      <c r="G408" t="n">
        <v>13.3</v>
      </c>
      <c r="H408" t="n">
        <v>0</v>
      </c>
      <c r="I408" t="n">
        <v>0</v>
      </c>
      <c r="J408" t="n">
        <v>0</v>
      </c>
      <c r="K408" t="n">
        <v>0</v>
      </c>
      <c r="L408" t="n">
        <v>0</v>
      </c>
      <c r="M408" t="n">
        <v>0</v>
      </c>
      <c r="N408" t="n">
        <v>0</v>
      </c>
      <c r="O408" t="n">
        <v>0</v>
      </c>
      <c r="P408" t="n">
        <v>0</v>
      </c>
      <c r="Q408" t="n">
        <v>0</v>
      </c>
      <c r="R408" s="2" t="inlineStr"/>
    </row>
    <row r="409" ht="15" customHeight="1">
      <c r="A409" t="inlineStr">
        <is>
          <t>A 60717-2025</t>
        </is>
      </c>
      <c r="B409" s="1" t="n">
        <v>45996.63673611111</v>
      </c>
      <c r="C409" s="1" t="n">
        <v>46160</v>
      </c>
      <c r="D409" t="inlineStr">
        <is>
          <t>ÖREBRO LÄN</t>
        </is>
      </c>
      <c r="E409" t="inlineStr">
        <is>
          <t>ÖREBRO</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60718-2025</t>
        </is>
      </c>
      <c r="B410" s="1" t="n">
        <v>45996.6384375</v>
      </c>
      <c r="C410" s="1" t="n">
        <v>46160</v>
      </c>
      <c r="D410" t="inlineStr">
        <is>
          <t>ÖREBRO LÄN</t>
        </is>
      </c>
      <c r="E410" t="inlineStr">
        <is>
          <t>ÖREBRO</t>
        </is>
      </c>
      <c r="F410" t="inlineStr">
        <is>
          <t>Sveaskog</t>
        </is>
      </c>
      <c r="G410" t="n">
        <v>5.3</v>
      </c>
      <c r="H410" t="n">
        <v>0</v>
      </c>
      <c r="I410" t="n">
        <v>0</v>
      </c>
      <c r="J410" t="n">
        <v>0</v>
      </c>
      <c r="K410" t="n">
        <v>0</v>
      </c>
      <c r="L410" t="n">
        <v>0</v>
      </c>
      <c r="M410" t="n">
        <v>0</v>
      </c>
      <c r="N410" t="n">
        <v>0</v>
      </c>
      <c r="O410" t="n">
        <v>0</v>
      </c>
      <c r="P410" t="n">
        <v>0</v>
      </c>
      <c r="Q410" t="n">
        <v>0</v>
      </c>
      <c r="R410" s="2" t="inlineStr"/>
    </row>
    <row r="411" ht="15" customHeight="1">
      <c r="A411" t="inlineStr">
        <is>
          <t>A 60721-2025</t>
        </is>
      </c>
      <c r="B411" s="1" t="n">
        <v>45996</v>
      </c>
      <c r="C411" s="1" t="n">
        <v>46160</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71285-2021</t>
        </is>
      </c>
      <c r="B412" s="1" t="n">
        <v>44539.62236111111</v>
      </c>
      <c r="C412" s="1" t="n">
        <v>46160</v>
      </c>
      <c r="D412" t="inlineStr">
        <is>
          <t>ÖREBRO LÄN</t>
        </is>
      </c>
      <c r="E412" t="inlineStr">
        <is>
          <t>ÖREBRO</t>
        </is>
      </c>
      <c r="G412" t="n">
        <v>0.8</v>
      </c>
      <c r="H412" t="n">
        <v>0</v>
      </c>
      <c r="I412" t="n">
        <v>0</v>
      </c>
      <c r="J412" t="n">
        <v>0</v>
      </c>
      <c r="K412" t="n">
        <v>0</v>
      </c>
      <c r="L412" t="n">
        <v>0</v>
      </c>
      <c r="M412" t="n">
        <v>0</v>
      </c>
      <c r="N412" t="n">
        <v>0</v>
      </c>
      <c r="O412" t="n">
        <v>0</v>
      </c>
      <c r="P412" t="n">
        <v>0</v>
      </c>
      <c r="Q412" t="n">
        <v>0</v>
      </c>
      <c r="R412" s="2" t="inlineStr"/>
    </row>
    <row r="413" ht="15" customHeight="1">
      <c r="A413" t="inlineStr">
        <is>
          <t>A 60466-2025</t>
        </is>
      </c>
      <c r="B413" s="1" t="n">
        <v>45995.55927083334</v>
      </c>
      <c r="C413" s="1" t="n">
        <v>46160</v>
      </c>
      <c r="D413" t="inlineStr">
        <is>
          <t>ÖREBRO LÄN</t>
        </is>
      </c>
      <c r="E413" t="inlineStr">
        <is>
          <t>ÖREBRO</t>
        </is>
      </c>
      <c r="F413" t="inlineStr">
        <is>
          <t>Sveaskog</t>
        </is>
      </c>
      <c r="G413" t="n">
        <v>3.3</v>
      </c>
      <c r="H413" t="n">
        <v>0</v>
      </c>
      <c r="I413" t="n">
        <v>0</v>
      </c>
      <c r="J413" t="n">
        <v>0</v>
      </c>
      <c r="K413" t="n">
        <v>0</v>
      </c>
      <c r="L413" t="n">
        <v>0</v>
      </c>
      <c r="M413" t="n">
        <v>0</v>
      </c>
      <c r="N413" t="n">
        <v>0</v>
      </c>
      <c r="O413" t="n">
        <v>0</v>
      </c>
      <c r="P413" t="n">
        <v>0</v>
      </c>
      <c r="Q413" t="n">
        <v>0</v>
      </c>
      <c r="R413" s="2" t="inlineStr"/>
    </row>
    <row r="414" ht="15" customHeight="1">
      <c r="A414" t="inlineStr">
        <is>
          <t>A 60555-2025</t>
        </is>
      </c>
      <c r="B414" s="1" t="n">
        <v>45995.73722222223</v>
      </c>
      <c r="C414" s="1" t="n">
        <v>46160</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60551-2025</t>
        </is>
      </c>
      <c r="B415" s="1" t="n">
        <v>45995</v>
      </c>
      <c r="C415" s="1" t="n">
        <v>46160</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60720-2025</t>
        </is>
      </c>
      <c r="B416" s="1" t="n">
        <v>45996.64050925926</v>
      </c>
      <c r="C416" s="1" t="n">
        <v>46160</v>
      </c>
      <c r="D416" t="inlineStr">
        <is>
          <t>ÖREBRO LÄN</t>
        </is>
      </c>
      <c r="E416" t="inlineStr">
        <is>
          <t>ÖREBRO</t>
        </is>
      </c>
      <c r="F416" t="inlineStr">
        <is>
          <t>Sveaskog</t>
        </is>
      </c>
      <c r="G416" t="n">
        <v>3</v>
      </c>
      <c r="H416" t="n">
        <v>0</v>
      </c>
      <c r="I416" t="n">
        <v>0</v>
      </c>
      <c r="J416" t="n">
        <v>0</v>
      </c>
      <c r="K416" t="n">
        <v>0</v>
      </c>
      <c r="L416" t="n">
        <v>0</v>
      </c>
      <c r="M416" t="n">
        <v>0</v>
      </c>
      <c r="N416" t="n">
        <v>0</v>
      </c>
      <c r="O416" t="n">
        <v>0</v>
      </c>
      <c r="P416" t="n">
        <v>0</v>
      </c>
      <c r="Q416" t="n">
        <v>0</v>
      </c>
      <c r="R416" s="2" t="inlineStr"/>
    </row>
    <row r="417" ht="15" customHeight="1">
      <c r="A417" t="inlineStr">
        <is>
          <t>A 10816-2026</t>
        </is>
      </c>
      <c r="B417" s="1" t="n">
        <v>46078.61224537037</v>
      </c>
      <c r="C417" s="1" t="n">
        <v>46160</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10970-2026</t>
        </is>
      </c>
      <c r="B418" s="1" t="n">
        <v>46079.44788194444</v>
      </c>
      <c r="C418" s="1" t="n">
        <v>46160</v>
      </c>
      <c r="D418" t="inlineStr">
        <is>
          <t>ÖREBRO LÄN</t>
        </is>
      </c>
      <c r="E418" t="inlineStr">
        <is>
          <t>ÖREBRO</t>
        </is>
      </c>
      <c r="G418" t="n">
        <v>6.5</v>
      </c>
      <c r="H418" t="n">
        <v>0</v>
      </c>
      <c r="I418" t="n">
        <v>0</v>
      </c>
      <c r="J418" t="n">
        <v>0</v>
      </c>
      <c r="K418" t="n">
        <v>0</v>
      </c>
      <c r="L418" t="n">
        <v>0</v>
      </c>
      <c r="M418" t="n">
        <v>0</v>
      </c>
      <c r="N418" t="n">
        <v>0</v>
      </c>
      <c r="O418" t="n">
        <v>0</v>
      </c>
      <c r="P418" t="n">
        <v>0</v>
      </c>
      <c r="Q418" t="n">
        <v>0</v>
      </c>
      <c r="R418" s="2" t="inlineStr"/>
    </row>
    <row r="419" ht="15" customHeight="1">
      <c r="A419" t="inlineStr">
        <is>
          <t>A 10972-2026</t>
        </is>
      </c>
      <c r="B419" s="1" t="n">
        <v>46079.45015046297</v>
      </c>
      <c r="C419" s="1" t="n">
        <v>46160</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60840-2025</t>
        </is>
      </c>
      <c r="B420" s="1" t="n">
        <v>45999.48547453704</v>
      </c>
      <c r="C420" s="1" t="n">
        <v>46160</v>
      </c>
      <c r="D420" t="inlineStr">
        <is>
          <t>ÖREBRO LÄN</t>
        </is>
      </c>
      <c r="E420" t="inlineStr">
        <is>
          <t>ÖREBRO</t>
        </is>
      </c>
      <c r="G420" t="n">
        <v>3.5</v>
      </c>
      <c r="H420" t="n">
        <v>0</v>
      </c>
      <c r="I420" t="n">
        <v>0</v>
      </c>
      <c r="J420" t="n">
        <v>0</v>
      </c>
      <c r="K420" t="n">
        <v>0</v>
      </c>
      <c r="L420" t="n">
        <v>0</v>
      </c>
      <c r="M420" t="n">
        <v>0</v>
      </c>
      <c r="N420" t="n">
        <v>0</v>
      </c>
      <c r="O420" t="n">
        <v>0</v>
      </c>
      <c r="P420" t="n">
        <v>0</v>
      </c>
      <c r="Q420" t="n">
        <v>0</v>
      </c>
      <c r="R420" s="2" t="inlineStr"/>
    </row>
    <row r="421" ht="15" customHeight="1">
      <c r="A421" t="inlineStr">
        <is>
          <t>A 60289-2023</t>
        </is>
      </c>
      <c r="B421" s="1" t="n">
        <v>45257</v>
      </c>
      <c r="C421" s="1" t="n">
        <v>46160</v>
      </c>
      <c r="D421" t="inlineStr">
        <is>
          <t>ÖREBRO LÄN</t>
        </is>
      </c>
      <c r="E421" t="inlineStr">
        <is>
          <t>ÖREBRO</t>
        </is>
      </c>
      <c r="G421" t="n">
        <v>10.9</v>
      </c>
      <c r="H421" t="n">
        <v>0</v>
      </c>
      <c r="I421" t="n">
        <v>0</v>
      </c>
      <c r="J421" t="n">
        <v>0</v>
      </c>
      <c r="K421" t="n">
        <v>0</v>
      </c>
      <c r="L421" t="n">
        <v>0</v>
      </c>
      <c r="M421" t="n">
        <v>0</v>
      </c>
      <c r="N421" t="n">
        <v>0</v>
      </c>
      <c r="O421" t="n">
        <v>0</v>
      </c>
      <c r="P421" t="n">
        <v>0</v>
      </c>
      <c r="Q421" t="n">
        <v>0</v>
      </c>
      <c r="R421" s="2" t="inlineStr"/>
    </row>
    <row r="422" ht="15" customHeight="1">
      <c r="A422" t="inlineStr">
        <is>
          <t>A 12099-2023</t>
        </is>
      </c>
      <c r="B422" s="1" t="n">
        <v>44998.37043981482</v>
      </c>
      <c r="C422" s="1" t="n">
        <v>46160</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61525-2025</t>
        </is>
      </c>
      <c r="B423" s="1" t="n">
        <v>46001</v>
      </c>
      <c r="C423" s="1" t="n">
        <v>46160</v>
      </c>
      <c r="D423" t="inlineStr">
        <is>
          <t>ÖREBRO LÄN</t>
        </is>
      </c>
      <c r="E423" t="inlineStr">
        <is>
          <t>ÖREBRO</t>
        </is>
      </c>
      <c r="G423" t="n">
        <v>2.6</v>
      </c>
      <c r="H423" t="n">
        <v>0</v>
      </c>
      <c r="I423" t="n">
        <v>0</v>
      </c>
      <c r="J423" t="n">
        <v>0</v>
      </c>
      <c r="K423" t="n">
        <v>0</v>
      </c>
      <c r="L423" t="n">
        <v>0</v>
      </c>
      <c r="M423" t="n">
        <v>0</v>
      </c>
      <c r="N423" t="n">
        <v>0</v>
      </c>
      <c r="O423" t="n">
        <v>0</v>
      </c>
      <c r="P423" t="n">
        <v>0</v>
      </c>
      <c r="Q423" t="n">
        <v>0</v>
      </c>
      <c r="R423" s="2" t="inlineStr"/>
    </row>
    <row r="424" ht="15" customHeight="1">
      <c r="A424" t="inlineStr">
        <is>
          <t>A 17744-2026</t>
        </is>
      </c>
      <c r="B424" s="1" t="n">
        <v>46122.31243055555</v>
      </c>
      <c r="C424" s="1" t="n">
        <v>46160</v>
      </c>
      <c r="D424" t="inlineStr">
        <is>
          <t>ÖREBRO LÄN</t>
        </is>
      </c>
      <c r="E424" t="inlineStr">
        <is>
          <t>ÖREBRO</t>
        </is>
      </c>
      <c r="G424" t="n">
        <v>3.5</v>
      </c>
      <c r="H424" t="n">
        <v>0</v>
      </c>
      <c r="I424" t="n">
        <v>0</v>
      </c>
      <c r="J424" t="n">
        <v>0</v>
      </c>
      <c r="K424" t="n">
        <v>0</v>
      </c>
      <c r="L424" t="n">
        <v>0</v>
      </c>
      <c r="M424" t="n">
        <v>0</v>
      </c>
      <c r="N424" t="n">
        <v>0</v>
      </c>
      <c r="O424" t="n">
        <v>0</v>
      </c>
      <c r="P424" t="n">
        <v>0</v>
      </c>
      <c r="Q424" t="n">
        <v>0</v>
      </c>
      <c r="R424" s="2" t="inlineStr"/>
    </row>
    <row r="425" ht="15" customHeight="1">
      <c r="A425" t="inlineStr">
        <is>
          <t>A 58277-2022</t>
        </is>
      </c>
      <c r="B425" s="1" t="n">
        <v>44901.48108796297</v>
      </c>
      <c r="C425" s="1" t="n">
        <v>46160</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31906-2023</t>
        </is>
      </c>
      <c r="B426" s="1" t="n">
        <v>45118.8353125</v>
      </c>
      <c r="C426" s="1" t="n">
        <v>46160</v>
      </c>
      <c r="D426" t="inlineStr">
        <is>
          <t>ÖREBRO LÄN</t>
        </is>
      </c>
      <c r="E426" t="inlineStr">
        <is>
          <t>ÖREBRO</t>
        </is>
      </c>
      <c r="G426" t="n">
        <v>9</v>
      </c>
      <c r="H426" t="n">
        <v>0</v>
      </c>
      <c r="I426" t="n">
        <v>0</v>
      </c>
      <c r="J426" t="n">
        <v>0</v>
      </c>
      <c r="K426" t="n">
        <v>0</v>
      </c>
      <c r="L426" t="n">
        <v>0</v>
      </c>
      <c r="M426" t="n">
        <v>0</v>
      </c>
      <c r="N426" t="n">
        <v>0</v>
      </c>
      <c r="O426" t="n">
        <v>0</v>
      </c>
      <c r="P426" t="n">
        <v>0</v>
      </c>
      <c r="Q426" t="n">
        <v>0</v>
      </c>
      <c r="R426" s="2" t="inlineStr"/>
    </row>
    <row r="427" ht="15" customHeight="1">
      <c r="A427" t="inlineStr">
        <is>
          <t>A 61930-2025</t>
        </is>
      </c>
      <c r="B427" s="1" t="n">
        <v>46003</v>
      </c>
      <c r="C427" s="1" t="n">
        <v>46160</v>
      </c>
      <c r="D427" t="inlineStr">
        <is>
          <t>ÖREBRO LÄN</t>
        </is>
      </c>
      <c r="E427" t="inlineStr">
        <is>
          <t>ÖREBRO</t>
        </is>
      </c>
      <c r="G427" t="n">
        <v>2.3</v>
      </c>
      <c r="H427" t="n">
        <v>0</v>
      </c>
      <c r="I427" t="n">
        <v>0</v>
      </c>
      <c r="J427" t="n">
        <v>0</v>
      </c>
      <c r="K427" t="n">
        <v>0</v>
      </c>
      <c r="L427" t="n">
        <v>0</v>
      </c>
      <c r="M427" t="n">
        <v>0</v>
      </c>
      <c r="N427" t="n">
        <v>0</v>
      </c>
      <c r="O427" t="n">
        <v>0</v>
      </c>
      <c r="P427" t="n">
        <v>0</v>
      </c>
      <c r="Q427" t="n">
        <v>0</v>
      </c>
      <c r="R427" s="2" t="inlineStr"/>
    </row>
    <row r="428" ht="15" customHeight="1">
      <c r="A428" t="inlineStr">
        <is>
          <t>A 10937-2024</t>
        </is>
      </c>
      <c r="B428" s="1" t="n">
        <v>45370.44461805555</v>
      </c>
      <c r="C428" s="1" t="n">
        <v>46160</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22079-2023</t>
        </is>
      </c>
      <c r="B429" s="1" t="n">
        <v>45069</v>
      </c>
      <c r="C429" s="1" t="n">
        <v>46160</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52447-2024</t>
        </is>
      </c>
      <c r="B430" s="1" t="n">
        <v>45609.49157407408</v>
      </c>
      <c r="C430" s="1" t="n">
        <v>46160</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11286-2026</t>
        </is>
      </c>
      <c r="B431" s="1" t="n">
        <v>46080</v>
      </c>
      <c r="C431" s="1" t="n">
        <v>46160</v>
      </c>
      <c r="D431" t="inlineStr">
        <is>
          <t>ÖREBRO LÄN</t>
        </is>
      </c>
      <c r="E431" t="inlineStr">
        <is>
          <t>ÖREBRO</t>
        </is>
      </c>
      <c r="G431" t="n">
        <v>5.4</v>
      </c>
      <c r="H431" t="n">
        <v>0</v>
      </c>
      <c r="I431" t="n">
        <v>0</v>
      </c>
      <c r="J431" t="n">
        <v>0</v>
      </c>
      <c r="K431" t="n">
        <v>0</v>
      </c>
      <c r="L431" t="n">
        <v>0</v>
      </c>
      <c r="M431" t="n">
        <v>0</v>
      </c>
      <c r="N431" t="n">
        <v>0</v>
      </c>
      <c r="O431" t="n">
        <v>0</v>
      </c>
      <c r="P431" t="n">
        <v>0</v>
      </c>
      <c r="Q431" t="n">
        <v>0</v>
      </c>
      <c r="R431" s="2" t="inlineStr"/>
    </row>
    <row r="432" ht="15" customHeight="1">
      <c r="A432" t="inlineStr">
        <is>
          <t>A 62683-2025</t>
        </is>
      </c>
      <c r="B432" s="1" t="n">
        <v>46008.45796296297</v>
      </c>
      <c r="C432" s="1" t="n">
        <v>46160</v>
      </c>
      <c r="D432" t="inlineStr">
        <is>
          <t>ÖREBRO LÄN</t>
        </is>
      </c>
      <c r="E432" t="inlineStr">
        <is>
          <t>ÖREBRO</t>
        </is>
      </c>
      <c r="G432" t="n">
        <v>5.1</v>
      </c>
      <c r="H432" t="n">
        <v>0</v>
      </c>
      <c r="I432" t="n">
        <v>0</v>
      </c>
      <c r="J432" t="n">
        <v>0</v>
      </c>
      <c r="K432" t="n">
        <v>0</v>
      </c>
      <c r="L432" t="n">
        <v>0</v>
      </c>
      <c r="M432" t="n">
        <v>0</v>
      </c>
      <c r="N432" t="n">
        <v>0</v>
      </c>
      <c r="O432" t="n">
        <v>0</v>
      </c>
      <c r="P432" t="n">
        <v>0</v>
      </c>
      <c r="Q432" t="n">
        <v>0</v>
      </c>
      <c r="R432" s="2" t="inlineStr"/>
    </row>
    <row r="433" ht="15" customHeight="1">
      <c r="A433" t="inlineStr">
        <is>
          <t>A 3841-2023</t>
        </is>
      </c>
      <c r="B433" s="1" t="n">
        <v>44951</v>
      </c>
      <c r="C433" s="1" t="n">
        <v>46160</v>
      </c>
      <c r="D433" t="inlineStr">
        <is>
          <t>ÖREBRO LÄN</t>
        </is>
      </c>
      <c r="E433" t="inlineStr">
        <is>
          <t>ÖREBRO</t>
        </is>
      </c>
      <c r="G433" t="n">
        <v>4.3</v>
      </c>
      <c r="H433" t="n">
        <v>0</v>
      </c>
      <c r="I433" t="n">
        <v>0</v>
      </c>
      <c r="J433" t="n">
        <v>0</v>
      </c>
      <c r="K433" t="n">
        <v>0</v>
      </c>
      <c r="L433" t="n">
        <v>0</v>
      </c>
      <c r="M433" t="n">
        <v>0</v>
      </c>
      <c r="N433" t="n">
        <v>0</v>
      </c>
      <c r="O433" t="n">
        <v>0</v>
      </c>
      <c r="P433" t="n">
        <v>0</v>
      </c>
      <c r="Q433" t="n">
        <v>0</v>
      </c>
      <c r="R433" s="2" t="inlineStr"/>
    </row>
    <row r="434" ht="15" customHeight="1">
      <c r="A434" t="inlineStr">
        <is>
          <t>A 55003-2025</t>
        </is>
      </c>
      <c r="B434" s="1" t="n">
        <v>45967</v>
      </c>
      <c r="C434" s="1" t="n">
        <v>46160</v>
      </c>
      <c r="D434" t="inlineStr">
        <is>
          <t>ÖREBRO LÄN</t>
        </is>
      </c>
      <c r="E434" t="inlineStr">
        <is>
          <t>ÖREBRO</t>
        </is>
      </c>
      <c r="F434" t="inlineStr">
        <is>
          <t>Övriga Aktiebolag</t>
        </is>
      </c>
      <c r="G434" t="n">
        <v>1.9</v>
      </c>
      <c r="H434" t="n">
        <v>0</v>
      </c>
      <c r="I434" t="n">
        <v>0</v>
      </c>
      <c r="J434" t="n">
        <v>0</v>
      </c>
      <c r="K434" t="n">
        <v>0</v>
      </c>
      <c r="L434" t="n">
        <v>0</v>
      </c>
      <c r="M434" t="n">
        <v>0</v>
      </c>
      <c r="N434" t="n">
        <v>0</v>
      </c>
      <c r="O434" t="n">
        <v>0</v>
      </c>
      <c r="P434" t="n">
        <v>0</v>
      </c>
      <c r="Q434" t="n">
        <v>0</v>
      </c>
      <c r="R434" s="2" t="inlineStr"/>
    </row>
    <row r="435" ht="15" customHeight="1">
      <c r="A435" t="inlineStr">
        <is>
          <t>A 38489-2023</t>
        </is>
      </c>
      <c r="B435" s="1" t="n">
        <v>45162</v>
      </c>
      <c r="C435" s="1" t="n">
        <v>46160</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16258-2022</t>
        </is>
      </c>
      <c r="B436" s="1" t="n">
        <v>44670</v>
      </c>
      <c r="C436" s="1" t="n">
        <v>46160</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70719-2021</t>
        </is>
      </c>
      <c r="B437" s="1" t="n">
        <v>44537</v>
      </c>
      <c r="C437" s="1" t="n">
        <v>46160</v>
      </c>
      <c r="D437" t="inlineStr">
        <is>
          <t>ÖREBRO LÄN</t>
        </is>
      </c>
      <c r="E437" t="inlineStr">
        <is>
          <t>ÖREBRO</t>
        </is>
      </c>
      <c r="G437" t="n">
        <v>4.3</v>
      </c>
      <c r="H437" t="n">
        <v>0</v>
      </c>
      <c r="I437" t="n">
        <v>0</v>
      </c>
      <c r="J437" t="n">
        <v>0</v>
      </c>
      <c r="K437" t="n">
        <v>0</v>
      </c>
      <c r="L437" t="n">
        <v>0</v>
      </c>
      <c r="M437" t="n">
        <v>0</v>
      </c>
      <c r="N437" t="n">
        <v>0</v>
      </c>
      <c r="O437" t="n">
        <v>0</v>
      </c>
      <c r="P437" t="n">
        <v>0</v>
      </c>
      <c r="Q437" t="n">
        <v>0</v>
      </c>
      <c r="R437" s="2" t="inlineStr"/>
    </row>
    <row r="438" ht="15" customHeight="1">
      <c r="A438" t="inlineStr">
        <is>
          <t>A 38573-2023</t>
        </is>
      </c>
      <c r="B438" s="1" t="n">
        <v>45162.61837962963</v>
      </c>
      <c r="C438" s="1" t="n">
        <v>46160</v>
      </c>
      <c r="D438" t="inlineStr">
        <is>
          <t>ÖREBRO LÄN</t>
        </is>
      </c>
      <c r="E438" t="inlineStr">
        <is>
          <t>ÖREBRO</t>
        </is>
      </c>
      <c r="G438" t="n">
        <v>2.2</v>
      </c>
      <c r="H438" t="n">
        <v>0</v>
      </c>
      <c r="I438" t="n">
        <v>0</v>
      </c>
      <c r="J438" t="n">
        <v>0</v>
      </c>
      <c r="K438" t="n">
        <v>0</v>
      </c>
      <c r="L438" t="n">
        <v>0</v>
      </c>
      <c r="M438" t="n">
        <v>0</v>
      </c>
      <c r="N438" t="n">
        <v>0</v>
      </c>
      <c r="O438" t="n">
        <v>0</v>
      </c>
      <c r="P438" t="n">
        <v>0</v>
      </c>
      <c r="Q438" t="n">
        <v>0</v>
      </c>
      <c r="R438" s="2" t="inlineStr"/>
    </row>
    <row r="439" ht="15" customHeight="1">
      <c r="A439" t="inlineStr">
        <is>
          <t>A 4757-2024</t>
        </is>
      </c>
      <c r="B439" s="1" t="n">
        <v>45328</v>
      </c>
      <c r="C439" s="1" t="n">
        <v>46160</v>
      </c>
      <c r="D439" t="inlineStr">
        <is>
          <t>ÖREBRO LÄN</t>
        </is>
      </c>
      <c r="E439" t="inlineStr">
        <is>
          <t>ÖREBRO</t>
        </is>
      </c>
      <c r="G439" t="n">
        <v>1.9</v>
      </c>
      <c r="H439" t="n">
        <v>0</v>
      </c>
      <c r="I439" t="n">
        <v>0</v>
      </c>
      <c r="J439" t="n">
        <v>0</v>
      </c>
      <c r="K439" t="n">
        <v>0</v>
      </c>
      <c r="L439" t="n">
        <v>0</v>
      </c>
      <c r="M439" t="n">
        <v>0</v>
      </c>
      <c r="N439" t="n">
        <v>0</v>
      </c>
      <c r="O439" t="n">
        <v>0</v>
      </c>
      <c r="P439" t="n">
        <v>0</v>
      </c>
      <c r="Q439" t="n">
        <v>0</v>
      </c>
      <c r="R439" s="2" t="inlineStr"/>
    </row>
    <row r="440" ht="15" customHeight="1">
      <c r="A440" t="inlineStr">
        <is>
          <t>A 48140-2024</t>
        </is>
      </c>
      <c r="B440" s="1" t="n">
        <v>45589.66474537037</v>
      </c>
      <c r="C440" s="1" t="n">
        <v>46160</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2658-2023</t>
        </is>
      </c>
      <c r="B441" s="1" t="n">
        <v>44944</v>
      </c>
      <c r="C441" s="1" t="n">
        <v>46160</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11565-2023</t>
        </is>
      </c>
      <c r="B442" s="1" t="n">
        <v>44994</v>
      </c>
      <c r="C442" s="1" t="n">
        <v>46160</v>
      </c>
      <c r="D442" t="inlineStr">
        <is>
          <t>ÖREBRO LÄN</t>
        </is>
      </c>
      <c r="E442" t="inlineStr">
        <is>
          <t>ÖREBRO</t>
        </is>
      </c>
      <c r="G442" t="n">
        <v>4.7</v>
      </c>
      <c r="H442" t="n">
        <v>0</v>
      </c>
      <c r="I442" t="n">
        <v>0</v>
      </c>
      <c r="J442" t="n">
        <v>0</v>
      </c>
      <c r="K442" t="n">
        <v>0</v>
      </c>
      <c r="L442" t="n">
        <v>0</v>
      </c>
      <c r="M442" t="n">
        <v>0</v>
      </c>
      <c r="N442" t="n">
        <v>0</v>
      </c>
      <c r="O442" t="n">
        <v>0</v>
      </c>
      <c r="P442" t="n">
        <v>0</v>
      </c>
      <c r="Q442" t="n">
        <v>0</v>
      </c>
      <c r="R442" s="2" t="inlineStr"/>
    </row>
    <row r="443" ht="15" customHeight="1">
      <c r="A443" t="inlineStr">
        <is>
          <t>A 16736-2023</t>
        </is>
      </c>
      <c r="B443" s="1" t="n">
        <v>45030.72328703704</v>
      </c>
      <c r="C443" s="1" t="n">
        <v>46160</v>
      </c>
      <c r="D443" t="inlineStr">
        <is>
          <t>ÖREBRO LÄN</t>
        </is>
      </c>
      <c r="E443" t="inlineStr">
        <is>
          <t>ÖREBRO</t>
        </is>
      </c>
      <c r="G443" t="n">
        <v>4</v>
      </c>
      <c r="H443" t="n">
        <v>0</v>
      </c>
      <c r="I443" t="n">
        <v>0</v>
      </c>
      <c r="J443" t="n">
        <v>0</v>
      </c>
      <c r="K443" t="n">
        <v>0</v>
      </c>
      <c r="L443" t="n">
        <v>0</v>
      </c>
      <c r="M443" t="n">
        <v>0</v>
      </c>
      <c r="N443" t="n">
        <v>0</v>
      </c>
      <c r="O443" t="n">
        <v>0</v>
      </c>
      <c r="P443" t="n">
        <v>0</v>
      </c>
      <c r="Q443" t="n">
        <v>0</v>
      </c>
      <c r="R443" s="2" t="inlineStr"/>
    </row>
    <row r="444" ht="15" customHeight="1">
      <c r="A444" t="inlineStr">
        <is>
          <t>A 2630-2023</t>
        </is>
      </c>
      <c r="B444" s="1" t="n">
        <v>44944.39105324074</v>
      </c>
      <c r="C444" s="1" t="n">
        <v>46160</v>
      </c>
      <c r="D444" t="inlineStr">
        <is>
          <t>ÖREBRO LÄN</t>
        </is>
      </c>
      <c r="E444" t="inlineStr">
        <is>
          <t>ÖREBRO</t>
        </is>
      </c>
      <c r="G444" t="n">
        <v>6.1</v>
      </c>
      <c r="H444" t="n">
        <v>0</v>
      </c>
      <c r="I444" t="n">
        <v>0</v>
      </c>
      <c r="J444" t="n">
        <v>0</v>
      </c>
      <c r="K444" t="n">
        <v>0</v>
      </c>
      <c r="L444" t="n">
        <v>0</v>
      </c>
      <c r="M444" t="n">
        <v>0</v>
      </c>
      <c r="N444" t="n">
        <v>0</v>
      </c>
      <c r="O444" t="n">
        <v>0</v>
      </c>
      <c r="P444" t="n">
        <v>0</v>
      </c>
      <c r="Q444" t="n">
        <v>0</v>
      </c>
      <c r="R444" s="2" t="inlineStr"/>
    </row>
    <row r="445" ht="15" customHeight="1">
      <c r="A445" t="inlineStr">
        <is>
          <t>A 30015-2023</t>
        </is>
      </c>
      <c r="B445" s="1" t="n">
        <v>45109</v>
      </c>
      <c r="C445" s="1" t="n">
        <v>46160</v>
      </c>
      <c r="D445" t="inlineStr">
        <is>
          <t>ÖREBRO LÄN</t>
        </is>
      </c>
      <c r="E445" t="inlineStr">
        <is>
          <t>ÖREBRO</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37968-2024</t>
        </is>
      </c>
      <c r="B446" s="1" t="n">
        <v>45544</v>
      </c>
      <c r="C446" s="1" t="n">
        <v>46160</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31326-2024</t>
        </is>
      </c>
      <c r="B447" s="1" t="n">
        <v>45504.5934375</v>
      </c>
      <c r="C447" s="1" t="n">
        <v>46160</v>
      </c>
      <c r="D447" t="inlineStr">
        <is>
          <t>ÖREBRO LÄN</t>
        </is>
      </c>
      <c r="E447" t="inlineStr">
        <is>
          <t>ÖREBRO</t>
        </is>
      </c>
      <c r="G447" t="n">
        <v>6.4</v>
      </c>
      <c r="H447" t="n">
        <v>0</v>
      </c>
      <c r="I447" t="n">
        <v>0</v>
      </c>
      <c r="J447" t="n">
        <v>0</v>
      </c>
      <c r="K447" t="n">
        <v>0</v>
      </c>
      <c r="L447" t="n">
        <v>0</v>
      </c>
      <c r="M447" t="n">
        <v>0</v>
      </c>
      <c r="N447" t="n">
        <v>0</v>
      </c>
      <c r="O447" t="n">
        <v>0</v>
      </c>
      <c r="P447" t="n">
        <v>0</v>
      </c>
      <c r="Q447" t="n">
        <v>0</v>
      </c>
      <c r="R447" s="2" t="inlineStr"/>
    </row>
    <row r="448" ht="15" customHeight="1">
      <c r="A448" t="inlineStr">
        <is>
          <t>A 12536-2026</t>
        </is>
      </c>
      <c r="B448" s="1" t="n">
        <v>46090.60851851852</v>
      </c>
      <c r="C448" s="1" t="n">
        <v>46160</v>
      </c>
      <c r="D448" t="inlineStr">
        <is>
          <t>ÖREBRO LÄN</t>
        </is>
      </c>
      <c r="E448" t="inlineStr">
        <is>
          <t>ÖREBRO</t>
        </is>
      </c>
      <c r="G448" t="n">
        <v>7.7</v>
      </c>
      <c r="H448" t="n">
        <v>0</v>
      </c>
      <c r="I448" t="n">
        <v>0</v>
      </c>
      <c r="J448" t="n">
        <v>0</v>
      </c>
      <c r="K448" t="n">
        <v>0</v>
      </c>
      <c r="L448" t="n">
        <v>0</v>
      </c>
      <c r="M448" t="n">
        <v>0</v>
      </c>
      <c r="N448" t="n">
        <v>0</v>
      </c>
      <c r="O448" t="n">
        <v>0</v>
      </c>
      <c r="P448" t="n">
        <v>0</v>
      </c>
      <c r="Q448" t="n">
        <v>0</v>
      </c>
      <c r="R448" s="2" t="inlineStr"/>
    </row>
    <row r="449" ht="15" customHeight="1">
      <c r="A449" t="inlineStr">
        <is>
          <t>A 22045-2024</t>
        </is>
      </c>
      <c r="B449" s="1" t="n">
        <v>45443.61171296296</v>
      </c>
      <c r="C449" s="1" t="n">
        <v>46160</v>
      </c>
      <c r="D449" t="inlineStr">
        <is>
          <t>ÖREBRO LÄN</t>
        </is>
      </c>
      <c r="E449" t="inlineStr">
        <is>
          <t>ÖREBRO</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58684-2023</t>
        </is>
      </c>
      <c r="B450" s="1" t="n">
        <v>45251</v>
      </c>
      <c r="C450" s="1" t="n">
        <v>46160</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38898-2023</t>
        </is>
      </c>
      <c r="B451" s="1" t="n">
        <v>45163</v>
      </c>
      <c r="C451" s="1" t="n">
        <v>46160</v>
      </c>
      <c r="D451" t="inlineStr">
        <is>
          <t>ÖREBRO LÄN</t>
        </is>
      </c>
      <c r="E451" t="inlineStr">
        <is>
          <t>ÖREBRO</t>
        </is>
      </c>
      <c r="G451" t="n">
        <v>5.1</v>
      </c>
      <c r="H451" t="n">
        <v>0</v>
      </c>
      <c r="I451" t="n">
        <v>0</v>
      </c>
      <c r="J451" t="n">
        <v>0</v>
      </c>
      <c r="K451" t="n">
        <v>0</v>
      </c>
      <c r="L451" t="n">
        <v>0</v>
      </c>
      <c r="M451" t="n">
        <v>0</v>
      </c>
      <c r="N451" t="n">
        <v>0</v>
      </c>
      <c r="O451" t="n">
        <v>0</v>
      </c>
      <c r="P451" t="n">
        <v>0</v>
      </c>
      <c r="Q451" t="n">
        <v>0</v>
      </c>
      <c r="R451" s="2" t="inlineStr"/>
    </row>
    <row r="452" ht="15" customHeight="1">
      <c r="A452" t="inlineStr">
        <is>
          <t>A 13321-2024</t>
        </is>
      </c>
      <c r="B452" s="1" t="n">
        <v>45386.83142361111</v>
      </c>
      <c r="C452" s="1" t="n">
        <v>46160</v>
      </c>
      <c r="D452" t="inlineStr">
        <is>
          <t>ÖREBRO LÄN</t>
        </is>
      </c>
      <c r="E452" t="inlineStr">
        <is>
          <t>ÖREBRO</t>
        </is>
      </c>
      <c r="G452" t="n">
        <v>13.1</v>
      </c>
      <c r="H452" t="n">
        <v>0</v>
      </c>
      <c r="I452" t="n">
        <v>0</v>
      </c>
      <c r="J452" t="n">
        <v>0</v>
      </c>
      <c r="K452" t="n">
        <v>0</v>
      </c>
      <c r="L452" t="n">
        <v>0</v>
      </c>
      <c r="M452" t="n">
        <v>0</v>
      </c>
      <c r="N452" t="n">
        <v>0</v>
      </c>
      <c r="O452" t="n">
        <v>0</v>
      </c>
      <c r="P452" t="n">
        <v>0</v>
      </c>
      <c r="Q452" t="n">
        <v>0</v>
      </c>
      <c r="R452" s="2" t="inlineStr"/>
    </row>
    <row r="453" ht="15" customHeight="1">
      <c r="A453" t="inlineStr">
        <is>
          <t>A 38583-2023</t>
        </is>
      </c>
      <c r="B453" s="1" t="n">
        <v>45162.62861111111</v>
      </c>
      <c r="C453" s="1" t="n">
        <v>46160</v>
      </c>
      <c r="D453" t="inlineStr">
        <is>
          <t>ÖREBRO LÄN</t>
        </is>
      </c>
      <c r="E453" t="inlineStr">
        <is>
          <t>ÖREBRO</t>
        </is>
      </c>
      <c r="G453" t="n">
        <v>5.7</v>
      </c>
      <c r="H453" t="n">
        <v>0</v>
      </c>
      <c r="I453" t="n">
        <v>0</v>
      </c>
      <c r="J453" t="n">
        <v>0</v>
      </c>
      <c r="K453" t="n">
        <v>0</v>
      </c>
      <c r="L453" t="n">
        <v>0</v>
      </c>
      <c r="M453" t="n">
        <v>0</v>
      </c>
      <c r="N453" t="n">
        <v>0</v>
      </c>
      <c r="O453" t="n">
        <v>0</v>
      </c>
      <c r="P453" t="n">
        <v>0</v>
      </c>
      <c r="Q453" t="n">
        <v>0</v>
      </c>
      <c r="R453" s="2" t="inlineStr"/>
    </row>
    <row r="454" ht="15" customHeight="1">
      <c r="A454" t="inlineStr">
        <is>
          <t>A 14291-2023</t>
        </is>
      </c>
      <c r="B454" s="1" t="n">
        <v>45010</v>
      </c>
      <c r="C454" s="1" t="n">
        <v>46160</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9314-2023</t>
        </is>
      </c>
      <c r="B455" s="1" t="n">
        <v>44980.67747685185</v>
      </c>
      <c r="C455" s="1" t="n">
        <v>46160</v>
      </c>
      <c r="D455" t="inlineStr">
        <is>
          <t>ÖREBRO LÄN</t>
        </is>
      </c>
      <c r="E455" t="inlineStr">
        <is>
          <t>ÖREBRO</t>
        </is>
      </c>
      <c r="G455" t="n">
        <v>0.8</v>
      </c>
      <c r="H455" t="n">
        <v>0</v>
      </c>
      <c r="I455" t="n">
        <v>0</v>
      </c>
      <c r="J455" t="n">
        <v>0</v>
      </c>
      <c r="K455" t="n">
        <v>0</v>
      </c>
      <c r="L455" t="n">
        <v>0</v>
      </c>
      <c r="M455" t="n">
        <v>0</v>
      </c>
      <c r="N455" t="n">
        <v>0</v>
      </c>
      <c r="O455" t="n">
        <v>0</v>
      </c>
      <c r="P455" t="n">
        <v>0</v>
      </c>
      <c r="Q455" t="n">
        <v>0</v>
      </c>
      <c r="R455" s="2" t="inlineStr"/>
    </row>
    <row r="456" ht="15" customHeight="1">
      <c r="A456" t="inlineStr">
        <is>
          <t>A 33455-2023</t>
        </is>
      </c>
      <c r="B456" s="1" t="n">
        <v>45130.98962962963</v>
      </c>
      <c r="C456" s="1" t="n">
        <v>46160</v>
      </c>
      <c r="D456" t="inlineStr">
        <is>
          <t>ÖREBRO LÄN</t>
        </is>
      </c>
      <c r="E456" t="inlineStr">
        <is>
          <t>ÖREBRO</t>
        </is>
      </c>
      <c r="G456" t="n">
        <v>0.7</v>
      </c>
      <c r="H456" t="n">
        <v>0</v>
      </c>
      <c r="I456" t="n">
        <v>0</v>
      </c>
      <c r="J456" t="n">
        <v>0</v>
      </c>
      <c r="K456" t="n">
        <v>0</v>
      </c>
      <c r="L456" t="n">
        <v>0</v>
      </c>
      <c r="M456" t="n">
        <v>0</v>
      </c>
      <c r="N456" t="n">
        <v>0</v>
      </c>
      <c r="O456" t="n">
        <v>0</v>
      </c>
      <c r="P456" t="n">
        <v>0</v>
      </c>
      <c r="Q456" t="n">
        <v>0</v>
      </c>
      <c r="R456" s="2" t="inlineStr"/>
    </row>
    <row r="457" ht="15" customHeight="1">
      <c r="A457" t="inlineStr">
        <is>
          <t>A 21306-2024</t>
        </is>
      </c>
      <c r="B457" s="1" t="n">
        <v>45440.67883101852</v>
      </c>
      <c r="C457" s="1" t="n">
        <v>46160</v>
      </c>
      <c r="D457" t="inlineStr">
        <is>
          <t>ÖREBRO LÄN</t>
        </is>
      </c>
      <c r="E457" t="inlineStr">
        <is>
          <t>ÖREBRO</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7634-2024</t>
        </is>
      </c>
      <c r="B458" s="1" t="n">
        <v>45348</v>
      </c>
      <c r="C458" s="1" t="n">
        <v>46160</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5324-2024</t>
        </is>
      </c>
      <c r="B459" s="1" t="n">
        <v>45331</v>
      </c>
      <c r="C459" s="1" t="n">
        <v>46160</v>
      </c>
      <c r="D459" t="inlineStr">
        <is>
          <t>ÖREBRO LÄN</t>
        </is>
      </c>
      <c r="E459" t="inlineStr">
        <is>
          <t>ÖREBRO</t>
        </is>
      </c>
      <c r="G459" t="n">
        <v>1.5</v>
      </c>
      <c r="H459" t="n">
        <v>0</v>
      </c>
      <c r="I459" t="n">
        <v>0</v>
      </c>
      <c r="J459" t="n">
        <v>0</v>
      </c>
      <c r="K459" t="n">
        <v>0</v>
      </c>
      <c r="L459" t="n">
        <v>0</v>
      </c>
      <c r="M459" t="n">
        <v>0</v>
      </c>
      <c r="N459" t="n">
        <v>0</v>
      </c>
      <c r="O459" t="n">
        <v>0</v>
      </c>
      <c r="P459" t="n">
        <v>0</v>
      </c>
      <c r="Q459" t="n">
        <v>0</v>
      </c>
      <c r="R459" s="2" t="inlineStr"/>
    </row>
    <row r="460" ht="15" customHeight="1">
      <c r="A460" t="inlineStr">
        <is>
          <t>A 52401-2024</t>
        </is>
      </c>
      <c r="B460" s="1" t="n">
        <v>45609.44553240741</v>
      </c>
      <c r="C460" s="1" t="n">
        <v>46160</v>
      </c>
      <c r="D460" t="inlineStr">
        <is>
          <t>ÖREBRO LÄN</t>
        </is>
      </c>
      <c r="E460" t="inlineStr">
        <is>
          <t>ÖREBRO</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14963-2025</t>
        </is>
      </c>
      <c r="B461" s="1" t="n">
        <v>45743.58699074074</v>
      </c>
      <c r="C461" s="1" t="n">
        <v>46160</v>
      </c>
      <c r="D461" t="inlineStr">
        <is>
          <t>ÖREBRO LÄN</t>
        </is>
      </c>
      <c r="E461" t="inlineStr">
        <is>
          <t>ÖREBRO</t>
        </is>
      </c>
      <c r="G461" t="n">
        <v>9.1</v>
      </c>
      <c r="H461" t="n">
        <v>0</v>
      </c>
      <c r="I461" t="n">
        <v>0</v>
      </c>
      <c r="J461" t="n">
        <v>0</v>
      </c>
      <c r="K461" t="n">
        <v>0</v>
      </c>
      <c r="L461" t="n">
        <v>0</v>
      </c>
      <c r="M461" t="n">
        <v>0</v>
      </c>
      <c r="N461" t="n">
        <v>0</v>
      </c>
      <c r="O461" t="n">
        <v>0</v>
      </c>
      <c r="P461" t="n">
        <v>0</v>
      </c>
      <c r="Q461" t="n">
        <v>0</v>
      </c>
      <c r="R461" s="2" t="inlineStr"/>
    </row>
    <row r="462" ht="15" customHeight="1">
      <c r="A462" t="inlineStr">
        <is>
          <t>A 10502-2026</t>
        </is>
      </c>
      <c r="B462" s="1" t="n">
        <v>46077</v>
      </c>
      <c r="C462" s="1" t="n">
        <v>46160</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55357-2024</t>
        </is>
      </c>
      <c r="B463" s="1" t="n">
        <v>45621.81126157408</v>
      </c>
      <c r="C463" s="1" t="n">
        <v>46160</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38422-2023</t>
        </is>
      </c>
      <c r="B464" s="1" t="n">
        <v>45162.36422453704</v>
      </c>
      <c r="C464" s="1" t="n">
        <v>46160</v>
      </c>
      <c r="D464" t="inlineStr">
        <is>
          <t>ÖREBRO LÄN</t>
        </is>
      </c>
      <c r="E464" t="inlineStr">
        <is>
          <t>ÖREBRO</t>
        </is>
      </c>
      <c r="G464" t="n">
        <v>8</v>
      </c>
      <c r="H464" t="n">
        <v>0</v>
      </c>
      <c r="I464" t="n">
        <v>0</v>
      </c>
      <c r="J464" t="n">
        <v>0</v>
      </c>
      <c r="K464" t="n">
        <v>0</v>
      </c>
      <c r="L464" t="n">
        <v>0</v>
      </c>
      <c r="M464" t="n">
        <v>0</v>
      </c>
      <c r="N464" t="n">
        <v>0</v>
      </c>
      <c r="O464" t="n">
        <v>0</v>
      </c>
      <c r="P464" t="n">
        <v>0</v>
      </c>
      <c r="Q464" t="n">
        <v>0</v>
      </c>
      <c r="R464" s="2" t="inlineStr"/>
    </row>
    <row r="465" ht="15" customHeight="1">
      <c r="A465" t="inlineStr">
        <is>
          <t>A 14032-2026</t>
        </is>
      </c>
      <c r="B465" s="1" t="n">
        <v>46098</v>
      </c>
      <c r="C465" s="1" t="n">
        <v>46160</v>
      </c>
      <c r="D465" t="inlineStr">
        <is>
          <t>ÖREBRO LÄN</t>
        </is>
      </c>
      <c r="E465" t="inlineStr">
        <is>
          <t>ÖREBRO</t>
        </is>
      </c>
      <c r="G465" t="n">
        <v>0.7</v>
      </c>
      <c r="H465" t="n">
        <v>0</v>
      </c>
      <c r="I465" t="n">
        <v>0</v>
      </c>
      <c r="J465" t="n">
        <v>0</v>
      </c>
      <c r="K465" t="n">
        <v>0</v>
      </c>
      <c r="L465" t="n">
        <v>0</v>
      </c>
      <c r="M465" t="n">
        <v>0</v>
      </c>
      <c r="N465" t="n">
        <v>0</v>
      </c>
      <c r="O465" t="n">
        <v>0</v>
      </c>
      <c r="P465" t="n">
        <v>0</v>
      </c>
      <c r="Q465" t="n">
        <v>0</v>
      </c>
      <c r="R465" s="2" t="inlineStr"/>
    </row>
    <row r="466" ht="15" customHeight="1">
      <c r="A466" t="inlineStr">
        <is>
          <t>A 46518-2023</t>
        </is>
      </c>
      <c r="B466" s="1" t="n">
        <v>45197.72777777778</v>
      </c>
      <c r="C466" s="1" t="n">
        <v>46160</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20518-2026</t>
        </is>
      </c>
      <c r="B467" s="1" t="n">
        <v>46140.54920138889</v>
      </c>
      <c r="C467" s="1" t="n">
        <v>46160</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20520-2026</t>
        </is>
      </c>
      <c r="B468" s="1" t="n">
        <v>46140.55184027777</v>
      </c>
      <c r="C468" s="1" t="n">
        <v>46160</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41703-2024</t>
        </is>
      </c>
      <c r="B469" s="1" t="n">
        <v>45560</v>
      </c>
      <c r="C469" s="1" t="n">
        <v>46160</v>
      </c>
      <c r="D469" t="inlineStr">
        <is>
          <t>ÖREBRO LÄN</t>
        </is>
      </c>
      <c r="E469" t="inlineStr">
        <is>
          <t>ÖREBRO</t>
        </is>
      </c>
      <c r="G469" t="n">
        <v>6.4</v>
      </c>
      <c r="H469" t="n">
        <v>0</v>
      </c>
      <c r="I469" t="n">
        <v>0</v>
      </c>
      <c r="J469" t="n">
        <v>0</v>
      </c>
      <c r="K469" t="n">
        <v>0</v>
      </c>
      <c r="L469" t="n">
        <v>0</v>
      </c>
      <c r="M469" t="n">
        <v>0</v>
      </c>
      <c r="N469" t="n">
        <v>0</v>
      </c>
      <c r="O469" t="n">
        <v>0</v>
      </c>
      <c r="P469" t="n">
        <v>0</v>
      </c>
      <c r="Q469" t="n">
        <v>0</v>
      </c>
      <c r="R469" s="2" t="inlineStr"/>
    </row>
    <row r="470" ht="15" customHeight="1">
      <c r="A470" t="inlineStr">
        <is>
          <t>A 19763-2024</t>
        </is>
      </c>
      <c r="B470" s="1" t="n">
        <v>45432</v>
      </c>
      <c r="C470" s="1" t="n">
        <v>46160</v>
      </c>
      <c r="D470" t="inlineStr">
        <is>
          <t>ÖREBRO LÄN</t>
        </is>
      </c>
      <c r="E470" t="inlineStr">
        <is>
          <t>ÖREBRO</t>
        </is>
      </c>
      <c r="G470" t="n">
        <v>1.9</v>
      </c>
      <c r="H470" t="n">
        <v>0</v>
      </c>
      <c r="I470" t="n">
        <v>0</v>
      </c>
      <c r="J470" t="n">
        <v>0</v>
      </c>
      <c r="K470" t="n">
        <v>0</v>
      </c>
      <c r="L470" t="n">
        <v>0</v>
      </c>
      <c r="M470" t="n">
        <v>0</v>
      </c>
      <c r="N470" t="n">
        <v>0</v>
      </c>
      <c r="O470" t="n">
        <v>0</v>
      </c>
      <c r="P470" t="n">
        <v>0</v>
      </c>
      <c r="Q470" t="n">
        <v>0</v>
      </c>
      <c r="R470" s="2" t="inlineStr"/>
    </row>
    <row r="471" ht="15" customHeight="1">
      <c r="A471" t="inlineStr">
        <is>
          <t>A 20996-2026</t>
        </is>
      </c>
      <c r="B471" s="1" t="n">
        <v>46142.62744212963</v>
      </c>
      <c r="C471" s="1" t="n">
        <v>46160</v>
      </c>
      <c r="D471" t="inlineStr">
        <is>
          <t>ÖREBRO LÄN</t>
        </is>
      </c>
      <c r="E471" t="inlineStr">
        <is>
          <t>ÖREBRO</t>
        </is>
      </c>
      <c r="G471" t="n">
        <v>3.4</v>
      </c>
      <c r="H471" t="n">
        <v>0</v>
      </c>
      <c r="I471" t="n">
        <v>0</v>
      </c>
      <c r="J471" t="n">
        <v>0</v>
      </c>
      <c r="K471" t="n">
        <v>0</v>
      </c>
      <c r="L471" t="n">
        <v>0</v>
      </c>
      <c r="M471" t="n">
        <v>0</v>
      </c>
      <c r="N471" t="n">
        <v>0</v>
      </c>
      <c r="O471" t="n">
        <v>0</v>
      </c>
      <c r="P471" t="n">
        <v>0</v>
      </c>
      <c r="Q471" t="n">
        <v>0</v>
      </c>
      <c r="R471" s="2" t="inlineStr"/>
    </row>
    <row r="472" ht="15" customHeight="1">
      <c r="A472" t="inlineStr">
        <is>
          <t>A 31247-2023</t>
        </is>
      </c>
      <c r="B472" s="1" t="n">
        <v>45114</v>
      </c>
      <c r="C472" s="1" t="n">
        <v>46160</v>
      </c>
      <c r="D472" t="inlineStr">
        <is>
          <t>ÖREBRO LÄN</t>
        </is>
      </c>
      <c r="E472" t="inlineStr">
        <is>
          <t>ÖREBRO</t>
        </is>
      </c>
      <c r="F472" t="inlineStr">
        <is>
          <t>Allmännings- och besparingsskogar</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36635-2023</t>
        </is>
      </c>
      <c r="B473" s="1" t="n">
        <v>45153</v>
      </c>
      <c r="C473" s="1" t="n">
        <v>46160</v>
      </c>
      <c r="D473" t="inlineStr">
        <is>
          <t>ÖREBRO LÄN</t>
        </is>
      </c>
      <c r="E473" t="inlineStr">
        <is>
          <t>ÖREBRO</t>
        </is>
      </c>
      <c r="G473" t="n">
        <v>1.9</v>
      </c>
      <c r="H473" t="n">
        <v>0</v>
      </c>
      <c r="I473" t="n">
        <v>0</v>
      </c>
      <c r="J473" t="n">
        <v>0</v>
      </c>
      <c r="K473" t="n">
        <v>0</v>
      </c>
      <c r="L473" t="n">
        <v>0</v>
      </c>
      <c r="M473" t="n">
        <v>0</v>
      </c>
      <c r="N473" t="n">
        <v>0</v>
      </c>
      <c r="O473" t="n">
        <v>0</v>
      </c>
      <c r="P473" t="n">
        <v>0</v>
      </c>
      <c r="Q473" t="n">
        <v>0</v>
      </c>
      <c r="R473" s="2" t="inlineStr"/>
    </row>
    <row r="474" ht="15" customHeight="1">
      <c r="A474" t="inlineStr">
        <is>
          <t>A 54149-2024</t>
        </is>
      </c>
      <c r="B474" s="1" t="n">
        <v>45616</v>
      </c>
      <c r="C474" s="1" t="n">
        <v>46160</v>
      </c>
      <c r="D474" t="inlineStr">
        <is>
          <t>ÖREBRO LÄN</t>
        </is>
      </c>
      <c r="E474" t="inlineStr">
        <is>
          <t>ÖREBRO</t>
        </is>
      </c>
      <c r="G474" t="n">
        <v>2.7</v>
      </c>
      <c r="H474" t="n">
        <v>0</v>
      </c>
      <c r="I474" t="n">
        <v>0</v>
      </c>
      <c r="J474" t="n">
        <v>0</v>
      </c>
      <c r="K474" t="n">
        <v>0</v>
      </c>
      <c r="L474" t="n">
        <v>0</v>
      </c>
      <c r="M474" t="n">
        <v>0</v>
      </c>
      <c r="N474" t="n">
        <v>0</v>
      </c>
      <c r="O474" t="n">
        <v>0</v>
      </c>
      <c r="P474" t="n">
        <v>0</v>
      </c>
      <c r="Q474" t="n">
        <v>0</v>
      </c>
      <c r="R474" s="2" t="inlineStr"/>
    </row>
    <row r="475" ht="15" customHeight="1">
      <c r="A475" t="inlineStr">
        <is>
          <t>A 49797-2024</t>
        </is>
      </c>
      <c r="B475" s="1" t="n">
        <v>45597.37265046296</v>
      </c>
      <c r="C475" s="1" t="n">
        <v>46160</v>
      </c>
      <c r="D475" t="inlineStr">
        <is>
          <t>ÖREBRO LÄN</t>
        </is>
      </c>
      <c r="E475" t="inlineStr">
        <is>
          <t>ÖREBRO</t>
        </is>
      </c>
      <c r="G475" t="n">
        <v>11.6</v>
      </c>
      <c r="H475" t="n">
        <v>0</v>
      </c>
      <c r="I475" t="n">
        <v>0</v>
      </c>
      <c r="J475" t="n">
        <v>0</v>
      </c>
      <c r="K475" t="n">
        <v>0</v>
      </c>
      <c r="L475" t="n">
        <v>0</v>
      </c>
      <c r="M475" t="n">
        <v>0</v>
      </c>
      <c r="N475" t="n">
        <v>0</v>
      </c>
      <c r="O475" t="n">
        <v>0</v>
      </c>
      <c r="P475" t="n">
        <v>0</v>
      </c>
      <c r="Q475" t="n">
        <v>0</v>
      </c>
      <c r="R475" s="2" t="inlineStr"/>
    </row>
    <row r="476" ht="15" customHeight="1">
      <c r="A476" t="inlineStr">
        <is>
          <t>A 32086-2023</t>
        </is>
      </c>
      <c r="B476" s="1" t="n">
        <v>45119.59789351852</v>
      </c>
      <c r="C476" s="1" t="n">
        <v>46160</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13856-2022</t>
        </is>
      </c>
      <c r="B477" s="1" t="n">
        <v>44649.6965162037</v>
      </c>
      <c r="C477" s="1" t="n">
        <v>46160</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23863-2023</t>
        </is>
      </c>
      <c r="B478" s="1" t="n">
        <v>45078.48994212963</v>
      </c>
      <c r="C478" s="1" t="n">
        <v>46160</v>
      </c>
      <c r="D478" t="inlineStr">
        <is>
          <t>ÖREBRO LÄN</t>
        </is>
      </c>
      <c r="E478" t="inlineStr">
        <is>
          <t>ÖREBRO</t>
        </is>
      </c>
      <c r="F478" t="inlineStr">
        <is>
          <t>Övriga Aktiebolag</t>
        </is>
      </c>
      <c r="G478" t="n">
        <v>5.9</v>
      </c>
      <c r="H478" t="n">
        <v>0</v>
      </c>
      <c r="I478" t="n">
        <v>0</v>
      </c>
      <c r="J478" t="n">
        <v>0</v>
      </c>
      <c r="K478" t="n">
        <v>0</v>
      </c>
      <c r="L478" t="n">
        <v>0</v>
      </c>
      <c r="M478" t="n">
        <v>0</v>
      </c>
      <c r="N478" t="n">
        <v>0</v>
      </c>
      <c r="O478" t="n">
        <v>0</v>
      </c>
      <c r="P478" t="n">
        <v>0</v>
      </c>
      <c r="Q478" t="n">
        <v>0</v>
      </c>
      <c r="R478" s="2" t="inlineStr"/>
    </row>
    <row r="479" ht="15" customHeight="1">
      <c r="A479" t="inlineStr">
        <is>
          <t>A 39130-2023</t>
        </is>
      </c>
      <c r="B479" s="1" t="n">
        <v>45165</v>
      </c>
      <c r="C479" s="1" t="n">
        <v>46160</v>
      </c>
      <c r="D479" t="inlineStr">
        <is>
          <t>ÖREBRO LÄN</t>
        </is>
      </c>
      <c r="E479" t="inlineStr">
        <is>
          <t>ÖREBRO</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13599-2025</t>
        </is>
      </c>
      <c r="B480" s="1" t="n">
        <v>45736.60597222222</v>
      </c>
      <c r="C480" s="1" t="n">
        <v>46160</v>
      </c>
      <c r="D480" t="inlineStr">
        <is>
          <t>ÖREBRO LÄN</t>
        </is>
      </c>
      <c r="E480" t="inlineStr">
        <is>
          <t>ÖREBRO</t>
        </is>
      </c>
      <c r="G480" t="n">
        <v>1.9</v>
      </c>
      <c r="H480" t="n">
        <v>0</v>
      </c>
      <c r="I480" t="n">
        <v>0</v>
      </c>
      <c r="J480" t="n">
        <v>0</v>
      </c>
      <c r="K480" t="n">
        <v>0</v>
      </c>
      <c r="L480" t="n">
        <v>0</v>
      </c>
      <c r="M480" t="n">
        <v>0</v>
      </c>
      <c r="N480" t="n">
        <v>0</v>
      </c>
      <c r="O480" t="n">
        <v>0</v>
      </c>
      <c r="P480" t="n">
        <v>0</v>
      </c>
      <c r="Q480" t="n">
        <v>0</v>
      </c>
      <c r="R480" s="2" t="inlineStr"/>
    </row>
    <row r="481" ht="15" customHeight="1">
      <c r="A481" t="inlineStr">
        <is>
          <t>A 21261-2026</t>
        </is>
      </c>
      <c r="B481" s="1" t="n">
        <v>46147.39856481482</v>
      </c>
      <c r="C481" s="1" t="n">
        <v>46160</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50375-2024</t>
        </is>
      </c>
      <c r="B482" s="1" t="n">
        <v>45601.29311342593</v>
      </c>
      <c r="C482" s="1" t="n">
        <v>46160</v>
      </c>
      <c r="D482" t="inlineStr">
        <is>
          <t>ÖREBRO LÄN</t>
        </is>
      </c>
      <c r="E482" t="inlineStr">
        <is>
          <t>ÖREBRO</t>
        </is>
      </c>
      <c r="G482" t="n">
        <v>5</v>
      </c>
      <c r="H482" t="n">
        <v>0</v>
      </c>
      <c r="I482" t="n">
        <v>0</v>
      </c>
      <c r="J482" t="n">
        <v>0</v>
      </c>
      <c r="K482" t="n">
        <v>0</v>
      </c>
      <c r="L482" t="n">
        <v>0</v>
      </c>
      <c r="M482" t="n">
        <v>0</v>
      </c>
      <c r="N482" t="n">
        <v>0</v>
      </c>
      <c r="O482" t="n">
        <v>0</v>
      </c>
      <c r="P482" t="n">
        <v>0</v>
      </c>
      <c r="Q482" t="n">
        <v>0</v>
      </c>
      <c r="R482" s="2" t="inlineStr"/>
    </row>
    <row r="483" ht="15" customHeight="1">
      <c r="A483" t="inlineStr">
        <is>
          <t>A 52391-2024</t>
        </is>
      </c>
      <c r="B483" s="1" t="n">
        <v>45609.43180555556</v>
      </c>
      <c r="C483" s="1" t="n">
        <v>46160</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13778-2026</t>
        </is>
      </c>
      <c r="B484" s="1" t="n">
        <v>46097</v>
      </c>
      <c r="C484" s="1" t="n">
        <v>46160</v>
      </c>
      <c r="D484" t="inlineStr">
        <is>
          <t>ÖREBRO LÄN</t>
        </is>
      </c>
      <c r="E484" t="inlineStr">
        <is>
          <t>ÖREBRO</t>
        </is>
      </c>
      <c r="F484" t="inlineStr">
        <is>
          <t>Övriga Aktiebolag</t>
        </is>
      </c>
      <c r="G484" t="n">
        <v>23.7</v>
      </c>
      <c r="H484" t="n">
        <v>0</v>
      </c>
      <c r="I484" t="n">
        <v>0</v>
      </c>
      <c r="J484" t="n">
        <v>0</v>
      </c>
      <c r="K484" t="n">
        <v>0</v>
      </c>
      <c r="L484" t="n">
        <v>0</v>
      </c>
      <c r="M484" t="n">
        <v>0</v>
      </c>
      <c r="N484" t="n">
        <v>0</v>
      </c>
      <c r="O484" t="n">
        <v>0</v>
      </c>
      <c r="P484" t="n">
        <v>0</v>
      </c>
      <c r="Q484" t="n">
        <v>0</v>
      </c>
      <c r="R484" s="2" t="inlineStr"/>
    </row>
    <row r="485" ht="15" customHeight="1">
      <c r="A485" t="inlineStr">
        <is>
          <t>A 58532-2024</t>
        </is>
      </c>
      <c r="B485" s="1" t="n">
        <v>45635.44899305556</v>
      </c>
      <c r="C485" s="1" t="n">
        <v>46160</v>
      </c>
      <c r="D485" t="inlineStr">
        <is>
          <t>ÖREBRO LÄN</t>
        </is>
      </c>
      <c r="E485" t="inlineStr">
        <is>
          <t>ÖREBRO</t>
        </is>
      </c>
      <c r="F485" t="inlineStr">
        <is>
          <t>Sveaskog</t>
        </is>
      </c>
      <c r="G485" t="n">
        <v>5.2</v>
      </c>
      <c r="H485" t="n">
        <v>0</v>
      </c>
      <c r="I485" t="n">
        <v>0</v>
      </c>
      <c r="J485" t="n">
        <v>0</v>
      </c>
      <c r="K485" t="n">
        <v>0</v>
      </c>
      <c r="L485" t="n">
        <v>0</v>
      </c>
      <c r="M485" t="n">
        <v>0</v>
      </c>
      <c r="N485" t="n">
        <v>0</v>
      </c>
      <c r="O485" t="n">
        <v>0</v>
      </c>
      <c r="P485" t="n">
        <v>0</v>
      </c>
      <c r="Q485" t="n">
        <v>0</v>
      </c>
      <c r="R485" s="2" t="inlineStr"/>
    </row>
    <row r="486" ht="15" customHeight="1">
      <c r="A486" t="inlineStr">
        <is>
          <t>A 20150-2024</t>
        </is>
      </c>
      <c r="B486" s="1" t="n">
        <v>45434.57969907407</v>
      </c>
      <c r="C486" s="1" t="n">
        <v>46160</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58208-2024</t>
        </is>
      </c>
      <c r="B487" s="1" t="n">
        <v>45632</v>
      </c>
      <c r="C487" s="1" t="n">
        <v>46160</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19388-2024</t>
        </is>
      </c>
      <c r="B488" s="1" t="n">
        <v>45429.37775462963</v>
      </c>
      <c r="C488" s="1" t="n">
        <v>46160</v>
      </c>
      <c r="D488" t="inlineStr">
        <is>
          <t>ÖREBRO LÄN</t>
        </is>
      </c>
      <c r="E488" t="inlineStr">
        <is>
          <t>ÖREBRO</t>
        </is>
      </c>
      <c r="G488" t="n">
        <v>4.3</v>
      </c>
      <c r="H488" t="n">
        <v>0</v>
      </c>
      <c r="I488" t="n">
        <v>0</v>
      </c>
      <c r="J488" t="n">
        <v>0</v>
      </c>
      <c r="K488" t="n">
        <v>0</v>
      </c>
      <c r="L488" t="n">
        <v>0</v>
      </c>
      <c r="M488" t="n">
        <v>0</v>
      </c>
      <c r="N488" t="n">
        <v>0</v>
      </c>
      <c r="O488" t="n">
        <v>0</v>
      </c>
      <c r="P488" t="n">
        <v>0</v>
      </c>
      <c r="Q488" t="n">
        <v>0</v>
      </c>
      <c r="R488" s="2" t="inlineStr"/>
    </row>
    <row r="489" ht="15" customHeight="1">
      <c r="A489" t="inlineStr">
        <is>
          <t>A 7506-2025</t>
        </is>
      </c>
      <c r="B489" s="1" t="n">
        <v>45705</v>
      </c>
      <c r="C489" s="1" t="n">
        <v>46160</v>
      </c>
      <c r="D489" t="inlineStr">
        <is>
          <t>ÖREBRO LÄN</t>
        </is>
      </c>
      <c r="E489" t="inlineStr">
        <is>
          <t>ÖREBRO</t>
        </is>
      </c>
      <c r="G489" t="n">
        <v>0.5</v>
      </c>
      <c r="H489" t="n">
        <v>0</v>
      </c>
      <c r="I489" t="n">
        <v>0</v>
      </c>
      <c r="J489" t="n">
        <v>0</v>
      </c>
      <c r="K489" t="n">
        <v>0</v>
      </c>
      <c r="L489" t="n">
        <v>0</v>
      </c>
      <c r="M489" t="n">
        <v>0</v>
      </c>
      <c r="N489" t="n">
        <v>0</v>
      </c>
      <c r="O489" t="n">
        <v>0</v>
      </c>
      <c r="P489" t="n">
        <v>0</v>
      </c>
      <c r="Q489" t="n">
        <v>0</v>
      </c>
      <c r="R489" s="2" t="inlineStr"/>
    </row>
    <row r="490" ht="15" customHeight="1">
      <c r="A490" t="inlineStr">
        <is>
          <t>A 21899-2026</t>
        </is>
      </c>
      <c r="B490" s="1" t="n">
        <v>46150.60920138889</v>
      </c>
      <c r="C490" s="1" t="n">
        <v>46160</v>
      </c>
      <c r="D490" t="inlineStr">
        <is>
          <t>ÖREBRO LÄN</t>
        </is>
      </c>
      <c r="E490" t="inlineStr">
        <is>
          <t>ÖREBRO</t>
        </is>
      </c>
      <c r="G490" t="n">
        <v>3.3</v>
      </c>
      <c r="H490" t="n">
        <v>0</v>
      </c>
      <c r="I490" t="n">
        <v>0</v>
      </c>
      <c r="J490" t="n">
        <v>0</v>
      </c>
      <c r="K490" t="n">
        <v>0</v>
      </c>
      <c r="L490" t="n">
        <v>0</v>
      </c>
      <c r="M490" t="n">
        <v>0</v>
      </c>
      <c r="N490" t="n">
        <v>0</v>
      </c>
      <c r="O490" t="n">
        <v>0</v>
      </c>
      <c r="P490" t="n">
        <v>0</v>
      </c>
      <c r="Q490" t="n">
        <v>0</v>
      </c>
      <c r="R490" s="2" t="inlineStr"/>
    </row>
    <row r="491" ht="15" customHeight="1">
      <c r="A491" t="inlineStr">
        <is>
          <t>A 4344-2025</t>
        </is>
      </c>
      <c r="B491" s="1" t="n">
        <v>45685</v>
      </c>
      <c r="C491" s="1" t="n">
        <v>46160</v>
      </c>
      <c r="D491" t="inlineStr">
        <is>
          <t>ÖREBRO LÄN</t>
        </is>
      </c>
      <c r="E491" t="inlineStr">
        <is>
          <t>ÖREBRO</t>
        </is>
      </c>
      <c r="G491" t="n">
        <v>1.6</v>
      </c>
      <c r="H491" t="n">
        <v>0</v>
      </c>
      <c r="I491" t="n">
        <v>0</v>
      </c>
      <c r="J491" t="n">
        <v>0</v>
      </c>
      <c r="K491" t="n">
        <v>0</v>
      </c>
      <c r="L491" t="n">
        <v>0</v>
      </c>
      <c r="M491" t="n">
        <v>0</v>
      </c>
      <c r="N491" t="n">
        <v>0</v>
      </c>
      <c r="O491" t="n">
        <v>0</v>
      </c>
      <c r="P491" t="n">
        <v>0</v>
      </c>
      <c r="Q491" t="n">
        <v>0</v>
      </c>
      <c r="R491" s="2" t="inlineStr"/>
    </row>
    <row r="492" ht="15" customHeight="1">
      <c r="A492" t="inlineStr">
        <is>
          <t>A 16300-2022</t>
        </is>
      </c>
      <c r="B492" s="1" t="n">
        <v>44670</v>
      </c>
      <c r="C492" s="1" t="n">
        <v>46160</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44676.50481481481</v>
      </c>
      <c r="C493" s="1" t="n">
        <v>46160</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55472-2023</t>
        </is>
      </c>
      <c r="B494" s="1" t="n">
        <v>45238</v>
      </c>
      <c r="C494" s="1" t="n">
        <v>46160</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22199-2026</t>
        </is>
      </c>
      <c r="B495" s="1" t="n">
        <v>46153.66310185185</v>
      </c>
      <c r="C495" s="1" t="n">
        <v>46160</v>
      </c>
      <c r="D495" t="inlineStr">
        <is>
          <t>ÖREBRO LÄN</t>
        </is>
      </c>
      <c r="E495" t="inlineStr">
        <is>
          <t>ÖREBRO</t>
        </is>
      </c>
      <c r="G495" t="n">
        <v>4.9</v>
      </c>
      <c r="H495" t="n">
        <v>0</v>
      </c>
      <c r="I495" t="n">
        <v>0</v>
      </c>
      <c r="J495" t="n">
        <v>0</v>
      </c>
      <c r="K495" t="n">
        <v>0</v>
      </c>
      <c r="L495" t="n">
        <v>0</v>
      </c>
      <c r="M495" t="n">
        <v>0</v>
      </c>
      <c r="N495" t="n">
        <v>0</v>
      </c>
      <c r="O495" t="n">
        <v>0</v>
      </c>
      <c r="P495" t="n">
        <v>0</v>
      </c>
      <c r="Q495" t="n">
        <v>0</v>
      </c>
      <c r="R495" s="2" t="inlineStr"/>
    </row>
    <row r="496" ht="15" customHeight="1">
      <c r="A496" t="inlineStr">
        <is>
          <t>A 54925-2023</t>
        </is>
      </c>
      <c r="B496" s="1" t="n">
        <v>45229</v>
      </c>
      <c r="C496" s="1" t="n">
        <v>46160</v>
      </c>
      <c r="D496" t="inlineStr">
        <is>
          <t>ÖREBRO LÄN</t>
        </is>
      </c>
      <c r="E496" t="inlineStr">
        <is>
          <t>ÖREBRO</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16961-2022</t>
        </is>
      </c>
      <c r="B497" s="1" t="n">
        <v>44676</v>
      </c>
      <c r="C497" s="1" t="n">
        <v>46160</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15424-2022</t>
        </is>
      </c>
      <c r="B498" s="1" t="n">
        <v>44659</v>
      </c>
      <c r="C498" s="1" t="n">
        <v>46160</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13700-2024</t>
        </is>
      </c>
      <c r="B499" s="1" t="n">
        <v>45390.59277777778</v>
      </c>
      <c r="C499" s="1" t="n">
        <v>46160</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3659-2025</t>
        </is>
      </c>
      <c r="B500" s="1" t="n">
        <v>45681</v>
      </c>
      <c r="C500" s="1" t="n">
        <v>46160</v>
      </c>
      <c r="D500" t="inlineStr">
        <is>
          <t>ÖREBRO LÄN</t>
        </is>
      </c>
      <c r="E500" t="inlineStr">
        <is>
          <t>ÖREBRO</t>
        </is>
      </c>
      <c r="G500" t="n">
        <v>15.8</v>
      </c>
      <c r="H500" t="n">
        <v>0</v>
      </c>
      <c r="I500" t="n">
        <v>0</v>
      </c>
      <c r="J500" t="n">
        <v>0</v>
      </c>
      <c r="K500" t="n">
        <v>0</v>
      </c>
      <c r="L500" t="n">
        <v>0</v>
      </c>
      <c r="M500" t="n">
        <v>0</v>
      </c>
      <c r="N500" t="n">
        <v>0</v>
      </c>
      <c r="O500" t="n">
        <v>0</v>
      </c>
      <c r="P500" t="n">
        <v>0</v>
      </c>
      <c r="Q500" t="n">
        <v>0</v>
      </c>
      <c r="R500" s="2" t="inlineStr"/>
    </row>
    <row r="501" ht="15" customHeight="1">
      <c r="A501" t="inlineStr">
        <is>
          <t>A 1014-2024</t>
        </is>
      </c>
      <c r="B501" s="1" t="n">
        <v>45301</v>
      </c>
      <c r="C501" s="1" t="n">
        <v>46160</v>
      </c>
      <c r="D501" t="inlineStr">
        <is>
          <t>ÖREBRO LÄN</t>
        </is>
      </c>
      <c r="E501" t="inlineStr">
        <is>
          <t>ÖREBRO</t>
        </is>
      </c>
      <c r="G501" t="n">
        <v>1.4</v>
      </c>
      <c r="H501" t="n">
        <v>0</v>
      </c>
      <c r="I501" t="n">
        <v>0</v>
      </c>
      <c r="J501" t="n">
        <v>0</v>
      </c>
      <c r="K501" t="n">
        <v>0</v>
      </c>
      <c r="L501" t="n">
        <v>0</v>
      </c>
      <c r="M501" t="n">
        <v>0</v>
      </c>
      <c r="N501" t="n">
        <v>0</v>
      </c>
      <c r="O501" t="n">
        <v>0</v>
      </c>
      <c r="P501" t="n">
        <v>0</v>
      </c>
      <c r="Q501" t="n">
        <v>0</v>
      </c>
      <c r="R501" s="2" t="inlineStr"/>
    </row>
    <row r="502" ht="15" customHeight="1">
      <c r="A502" t="inlineStr">
        <is>
          <t>A 22772-2026</t>
        </is>
      </c>
      <c r="B502" s="1" t="n">
        <v>46157.52946759259</v>
      </c>
      <c r="C502" s="1" t="n">
        <v>46160</v>
      </c>
      <c r="D502" t="inlineStr">
        <is>
          <t>ÖREBRO LÄN</t>
        </is>
      </c>
      <c r="E502" t="inlineStr">
        <is>
          <t>ÖREBRO</t>
        </is>
      </c>
      <c r="G502" t="n">
        <v>1.9</v>
      </c>
      <c r="H502" t="n">
        <v>0</v>
      </c>
      <c r="I502" t="n">
        <v>0</v>
      </c>
      <c r="J502" t="n">
        <v>0</v>
      </c>
      <c r="K502" t="n">
        <v>0</v>
      </c>
      <c r="L502" t="n">
        <v>0</v>
      </c>
      <c r="M502" t="n">
        <v>0</v>
      </c>
      <c r="N502" t="n">
        <v>0</v>
      </c>
      <c r="O502" t="n">
        <v>0</v>
      </c>
      <c r="P502" t="n">
        <v>0</v>
      </c>
      <c r="Q502" t="n">
        <v>0</v>
      </c>
      <c r="R502" s="2" t="inlineStr"/>
    </row>
    <row r="503" ht="15" customHeight="1">
      <c r="A503" t="inlineStr">
        <is>
          <t>A 767-2024</t>
        </is>
      </c>
      <c r="B503" s="1" t="n">
        <v>45300.51892361111</v>
      </c>
      <c r="C503" s="1" t="n">
        <v>46160</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44511-2023</t>
        </is>
      </c>
      <c r="B504" s="1" t="n">
        <v>45189</v>
      </c>
      <c r="C504" s="1" t="n">
        <v>46160</v>
      </c>
      <c r="D504" t="inlineStr">
        <is>
          <t>ÖREBRO LÄN</t>
        </is>
      </c>
      <c r="E504" t="inlineStr">
        <is>
          <t>ÖREBRO</t>
        </is>
      </c>
      <c r="F504" t="inlineStr">
        <is>
          <t>Allmännings- och besparingsskogar</t>
        </is>
      </c>
      <c r="G504" t="n">
        <v>2.7</v>
      </c>
      <c r="H504" t="n">
        <v>0</v>
      </c>
      <c r="I504" t="n">
        <v>0</v>
      </c>
      <c r="J504" t="n">
        <v>0</v>
      </c>
      <c r="K504" t="n">
        <v>0</v>
      </c>
      <c r="L504" t="n">
        <v>0</v>
      </c>
      <c r="M504" t="n">
        <v>0</v>
      </c>
      <c r="N504" t="n">
        <v>0</v>
      </c>
      <c r="O504" t="n">
        <v>0</v>
      </c>
      <c r="P504" t="n">
        <v>0</v>
      </c>
      <c r="Q504" t="n">
        <v>0</v>
      </c>
      <c r="R504" s="2" t="inlineStr"/>
    </row>
    <row r="505" ht="15" customHeight="1">
      <c r="A505" t="inlineStr">
        <is>
          <t>A 53234-2023</t>
        </is>
      </c>
      <c r="B505" s="1" t="n">
        <v>45229</v>
      </c>
      <c r="C505" s="1" t="n">
        <v>46160</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8512-2025</t>
        </is>
      </c>
      <c r="B506" s="1" t="n">
        <v>45709.54873842592</v>
      </c>
      <c r="C506" s="1" t="n">
        <v>46160</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28054-2022</t>
        </is>
      </c>
      <c r="B507" s="1" t="n">
        <v>44746.41938657407</v>
      </c>
      <c r="C507" s="1" t="n">
        <v>46160</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1647-2024</t>
        </is>
      </c>
      <c r="B508" s="1" t="n">
        <v>45306</v>
      </c>
      <c r="C508" s="1" t="n">
        <v>46160</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57485-2023</t>
        </is>
      </c>
      <c r="B509" s="1" t="n">
        <v>45246</v>
      </c>
      <c r="C509" s="1" t="n">
        <v>46160</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58032-2023</t>
        </is>
      </c>
      <c r="B510" s="1" t="n">
        <v>45247</v>
      </c>
      <c r="C510" s="1" t="n">
        <v>46160</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58035-2023</t>
        </is>
      </c>
      <c r="B511" s="1" t="n">
        <v>45247</v>
      </c>
      <c r="C511" s="1" t="n">
        <v>46160</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35829-2024</t>
        </is>
      </c>
      <c r="B512" s="1" t="n">
        <v>45532</v>
      </c>
      <c r="C512" s="1" t="n">
        <v>46160</v>
      </c>
      <c r="D512" t="inlineStr">
        <is>
          <t>ÖREBRO LÄN</t>
        </is>
      </c>
      <c r="E512" t="inlineStr">
        <is>
          <t>ÖREBRO</t>
        </is>
      </c>
      <c r="G512" t="n">
        <v>4.6</v>
      </c>
      <c r="H512" t="n">
        <v>0</v>
      </c>
      <c r="I512" t="n">
        <v>0</v>
      </c>
      <c r="J512" t="n">
        <v>0</v>
      </c>
      <c r="K512" t="n">
        <v>0</v>
      </c>
      <c r="L512" t="n">
        <v>0</v>
      </c>
      <c r="M512" t="n">
        <v>0</v>
      </c>
      <c r="N512" t="n">
        <v>0</v>
      </c>
      <c r="O512" t="n">
        <v>0</v>
      </c>
      <c r="P512" t="n">
        <v>0</v>
      </c>
      <c r="Q512" t="n">
        <v>0</v>
      </c>
      <c r="R512" s="2" t="inlineStr"/>
    </row>
    <row r="513" ht="15" customHeight="1">
      <c r="A513" t="inlineStr">
        <is>
          <t>A 35833-2024</t>
        </is>
      </c>
      <c r="B513" s="1" t="n">
        <v>45532.68699074074</v>
      </c>
      <c r="C513" s="1" t="n">
        <v>46160</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14717-2024</t>
        </is>
      </c>
      <c r="B514" s="1" t="n">
        <v>45397.55104166667</v>
      </c>
      <c r="C514" s="1" t="n">
        <v>46160</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5133-2024</t>
        </is>
      </c>
      <c r="B515" s="1" t="n">
        <v>45330</v>
      </c>
      <c r="C515" s="1" t="n">
        <v>46160</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14432-2023</t>
        </is>
      </c>
      <c r="B516" s="1" t="n">
        <v>45012</v>
      </c>
      <c r="C516" s="1" t="n">
        <v>46160</v>
      </c>
      <c r="D516" t="inlineStr">
        <is>
          <t>ÖREBRO LÄN</t>
        </is>
      </c>
      <c r="E516" t="inlineStr">
        <is>
          <t>ÖREBRO</t>
        </is>
      </c>
      <c r="G516" t="n">
        <v>3.3</v>
      </c>
      <c r="H516" t="n">
        <v>0</v>
      </c>
      <c r="I516" t="n">
        <v>0</v>
      </c>
      <c r="J516" t="n">
        <v>0</v>
      </c>
      <c r="K516" t="n">
        <v>0</v>
      </c>
      <c r="L516" t="n">
        <v>0</v>
      </c>
      <c r="M516" t="n">
        <v>0</v>
      </c>
      <c r="N516" t="n">
        <v>0</v>
      </c>
      <c r="O516" t="n">
        <v>0</v>
      </c>
      <c r="P516" t="n">
        <v>0</v>
      </c>
      <c r="Q516" t="n">
        <v>0</v>
      </c>
      <c r="R516" s="2" t="inlineStr"/>
    </row>
    <row r="517" ht="15" customHeight="1">
      <c r="A517" t="inlineStr">
        <is>
          <t>A 10339-2023</t>
        </is>
      </c>
      <c r="B517" s="1" t="n">
        <v>44987</v>
      </c>
      <c r="C517" s="1" t="n">
        <v>46160</v>
      </c>
      <c r="D517" t="inlineStr">
        <is>
          <t>ÖREBRO LÄN</t>
        </is>
      </c>
      <c r="E517" t="inlineStr">
        <is>
          <t>ÖREBRO</t>
        </is>
      </c>
      <c r="G517" t="n">
        <v>1</v>
      </c>
      <c r="H517" t="n">
        <v>0</v>
      </c>
      <c r="I517" t="n">
        <v>0</v>
      </c>
      <c r="J517" t="n">
        <v>0</v>
      </c>
      <c r="K517" t="n">
        <v>0</v>
      </c>
      <c r="L517" t="n">
        <v>0</v>
      </c>
      <c r="M517" t="n">
        <v>0</v>
      </c>
      <c r="N517" t="n">
        <v>0</v>
      </c>
      <c r="O517" t="n">
        <v>0</v>
      </c>
      <c r="P517" t="n">
        <v>0</v>
      </c>
      <c r="Q517" t="n">
        <v>0</v>
      </c>
      <c r="R517" s="2" t="inlineStr"/>
    </row>
    <row r="518" ht="15" customHeight="1">
      <c r="A518" t="inlineStr">
        <is>
          <t>A 190-2024</t>
        </is>
      </c>
      <c r="B518" s="1" t="n">
        <v>45294.61858796296</v>
      </c>
      <c r="C518" s="1" t="n">
        <v>46160</v>
      </c>
      <c r="D518" t="inlineStr">
        <is>
          <t>ÖREBRO LÄN</t>
        </is>
      </c>
      <c r="E518" t="inlineStr">
        <is>
          <t>ÖREBRO</t>
        </is>
      </c>
      <c r="G518" t="n">
        <v>2.4</v>
      </c>
      <c r="H518" t="n">
        <v>0</v>
      </c>
      <c r="I518" t="n">
        <v>0</v>
      </c>
      <c r="J518" t="n">
        <v>0</v>
      </c>
      <c r="K518" t="n">
        <v>0</v>
      </c>
      <c r="L518" t="n">
        <v>0</v>
      </c>
      <c r="M518" t="n">
        <v>0</v>
      </c>
      <c r="N518" t="n">
        <v>0</v>
      </c>
      <c r="O518" t="n">
        <v>0</v>
      </c>
      <c r="P518" t="n">
        <v>0</v>
      </c>
      <c r="Q518" t="n">
        <v>0</v>
      </c>
      <c r="R518" s="2" t="inlineStr"/>
    </row>
    <row r="519" ht="15" customHeight="1">
      <c r="A519" t="inlineStr">
        <is>
          <t>A 62497-2023</t>
        </is>
      </c>
      <c r="B519" s="1" t="n">
        <v>45268.59935185185</v>
      </c>
      <c r="C519" s="1" t="n">
        <v>46160</v>
      </c>
      <c r="D519" t="inlineStr">
        <is>
          <t>ÖREBRO LÄN</t>
        </is>
      </c>
      <c r="E519" t="inlineStr">
        <is>
          <t>ÖREBRO</t>
        </is>
      </c>
      <c r="F519" t="inlineStr">
        <is>
          <t>Övriga Aktiebolag</t>
        </is>
      </c>
      <c r="G519" t="n">
        <v>3.2</v>
      </c>
      <c r="H519" t="n">
        <v>0</v>
      </c>
      <c r="I519" t="n">
        <v>0</v>
      </c>
      <c r="J519" t="n">
        <v>0</v>
      </c>
      <c r="K519" t="n">
        <v>0</v>
      </c>
      <c r="L519" t="n">
        <v>0</v>
      </c>
      <c r="M519" t="n">
        <v>0</v>
      </c>
      <c r="N519" t="n">
        <v>0</v>
      </c>
      <c r="O519" t="n">
        <v>0</v>
      </c>
      <c r="P519" t="n">
        <v>0</v>
      </c>
      <c r="Q519" t="n">
        <v>0</v>
      </c>
      <c r="R519" s="2" t="inlineStr"/>
    </row>
    <row r="520" ht="15" customHeight="1">
      <c r="A520" t="inlineStr">
        <is>
          <t>A 43399-2022</t>
        </is>
      </c>
      <c r="B520" s="1" t="n">
        <v>44834</v>
      </c>
      <c r="C520" s="1" t="n">
        <v>46160</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63142-2023</t>
        </is>
      </c>
      <c r="B521" s="1" t="n">
        <v>45273</v>
      </c>
      <c r="C521" s="1" t="n">
        <v>46160</v>
      </c>
      <c r="D521" t="inlineStr">
        <is>
          <t>ÖREBRO LÄN</t>
        </is>
      </c>
      <c r="E521" t="inlineStr">
        <is>
          <t>ÖREBRO</t>
        </is>
      </c>
      <c r="G521" t="n">
        <v>1.8</v>
      </c>
      <c r="H521" t="n">
        <v>0</v>
      </c>
      <c r="I521" t="n">
        <v>0</v>
      </c>
      <c r="J521" t="n">
        <v>0</v>
      </c>
      <c r="K521" t="n">
        <v>0</v>
      </c>
      <c r="L521" t="n">
        <v>0</v>
      </c>
      <c r="M521" t="n">
        <v>0</v>
      </c>
      <c r="N521" t="n">
        <v>0</v>
      </c>
      <c r="O521" t="n">
        <v>0</v>
      </c>
      <c r="P521" t="n">
        <v>0</v>
      </c>
      <c r="Q521" t="n">
        <v>0</v>
      </c>
      <c r="R521" s="2" t="inlineStr"/>
    </row>
    <row r="522" ht="15" customHeight="1">
      <c r="A522" t="inlineStr">
        <is>
          <t>A 37021-2024</t>
        </is>
      </c>
      <c r="B522" s="1" t="n">
        <v>45539.38146990741</v>
      </c>
      <c r="C522" s="1" t="n">
        <v>46160</v>
      </c>
      <c r="D522" t="inlineStr">
        <is>
          <t>ÖREBRO LÄN</t>
        </is>
      </c>
      <c r="E522" t="inlineStr">
        <is>
          <t>ÖREBRO</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23573-2023</t>
        </is>
      </c>
      <c r="B523" s="1" t="n">
        <v>45077.41672453703</v>
      </c>
      <c r="C523" s="1" t="n">
        <v>46160</v>
      </c>
      <c r="D523" t="inlineStr">
        <is>
          <t>ÖREBRO LÄN</t>
        </is>
      </c>
      <c r="E523" t="inlineStr">
        <is>
          <t>ÖREBRO</t>
        </is>
      </c>
      <c r="G523" t="n">
        <v>2.9</v>
      </c>
      <c r="H523" t="n">
        <v>0</v>
      </c>
      <c r="I523" t="n">
        <v>0</v>
      </c>
      <c r="J523" t="n">
        <v>0</v>
      </c>
      <c r="K523" t="n">
        <v>0</v>
      </c>
      <c r="L523" t="n">
        <v>0</v>
      </c>
      <c r="M523" t="n">
        <v>0</v>
      </c>
      <c r="N523" t="n">
        <v>0</v>
      </c>
      <c r="O523" t="n">
        <v>0</v>
      </c>
      <c r="P523" t="n">
        <v>0</v>
      </c>
      <c r="Q523" t="n">
        <v>0</v>
      </c>
      <c r="R523" s="2" t="inlineStr"/>
    </row>
    <row r="524" ht="15" customHeight="1">
      <c r="A524" t="inlineStr">
        <is>
          <t>A 13762-2023</t>
        </is>
      </c>
      <c r="B524" s="1" t="n">
        <v>45007.43729166667</v>
      </c>
      <c r="C524" s="1" t="n">
        <v>46160</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5129-2024</t>
        </is>
      </c>
      <c r="B525" s="1" t="n">
        <v>45330</v>
      </c>
      <c r="C525" s="1" t="n">
        <v>46160</v>
      </c>
      <c r="D525" t="inlineStr">
        <is>
          <t>ÖREBRO LÄN</t>
        </is>
      </c>
      <c r="E525" t="inlineStr">
        <is>
          <t>ÖREBRO</t>
        </is>
      </c>
      <c r="G525" t="n">
        <v>0.5</v>
      </c>
      <c r="H525" t="n">
        <v>0</v>
      </c>
      <c r="I525" t="n">
        <v>0</v>
      </c>
      <c r="J525" t="n">
        <v>0</v>
      </c>
      <c r="K525" t="n">
        <v>0</v>
      </c>
      <c r="L525" t="n">
        <v>0</v>
      </c>
      <c r="M525" t="n">
        <v>0</v>
      </c>
      <c r="N525" t="n">
        <v>0</v>
      </c>
      <c r="O525" t="n">
        <v>0</v>
      </c>
      <c r="P525" t="n">
        <v>0</v>
      </c>
      <c r="Q525" t="n">
        <v>0</v>
      </c>
      <c r="R525" s="2" t="inlineStr"/>
    </row>
    <row r="526" ht="15" customHeight="1">
      <c r="A526" t="inlineStr">
        <is>
          <t>A 1492-2022</t>
        </is>
      </c>
      <c r="B526" s="1" t="n">
        <v>44573</v>
      </c>
      <c r="C526" s="1" t="n">
        <v>46160</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59026-2024</t>
        </is>
      </c>
      <c r="B527" s="1" t="n">
        <v>45636.6875</v>
      </c>
      <c r="C527" s="1" t="n">
        <v>46160</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52623-2024</t>
        </is>
      </c>
      <c r="B528" s="1" t="n">
        <v>45609</v>
      </c>
      <c r="C528" s="1" t="n">
        <v>46160</v>
      </c>
      <c r="D528" t="inlineStr">
        <is>
          <t>ÖREBRO LÄN</t>
        </is>
      </c>
      <c r="E528" t="inlineStr">
        <is>
          <t>ÖREBRO</t>
        </is>
      </c>
      <c r="F528" t="inlineStr">
        <is>
          <t>Kommuner</t>
        </is>
      </c>
      <c r="G528" t="n">
        <v>1.7</v>
      </c>
      <c r="H528" t="n">
        <v>0</v>
      </c>
      <c r="I528" t="n">
        <v>0</v>
      </c>
      <c r="J528" t="n">
        <v>0</v>
      </c>
      <c r="K528" t="n">
        <v>0</v>
      </c>
      <c r="L528" t="n">
        <v>0</v>
      </c>
      <c r="M528" t="n">
        <v>0</v>
      </c>
      <c r="N528" t="n">
        <v>0</v>
      </c>
      <c r="O528" t="n">
        <v>0</v>
      </c>
      <c r="P528" t="n">
        <v>0</v>
      </c>
      <c r="Q528" t="n">
        <v>0</v>
      </c>
      <c r="R528" s="2" t="inlineStr"/>
    </row>
    <row r="529" ht="15" customHeight="1">
      <c r="A529" t="inlineStr">
        <is>
          <t>A 62511-2023</t>
        </is>
      </c>
      <c r="B529" s="1" t="n">
        <v>45268.61855324074</v>
      </c>
      <c r="C529" s="1" t="n">
        <v>46160</v>
      </c>
      <c r="D529" t="inlineStr">
        <is>
          <t>ÖREBRO LÄN</t>
        </is>
      </c>
      <c r="E529" t="inlineStr">
        <is>
          <t>ÖREBRO</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40522-2024</t>
        </is>
      </c>
      <c r="B530" s="1" t="n">
        <v>45555.59717592593</v>
      </c>
      <c r="C530" s="1" t="n">
        <v>46160</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33577-2023</t>
        </is>
      </c>
      <c r="B531" s="1" t="n">
        <v>45131</v>
      </c>
      <c r="C531" s="1" t="n">
        <v>46160</v>
      </c>
      <c r="D531" t="inlineStr">
        <is>
          <t>ÖREBRO LÄN</t>
        </is>
      </c>
      <c r="E531" t="inlineStr">
        <is>
          <t>ÖREBRO</t>
        </is>
      </c>
      <c r="G531" t="n">
        <v>2</v>
      </c>
      <c r="H531" t="n">
        <v>0</v>
      </c>
      <c r="I531" t="n">
        <v>0</v>
      </c>
      <c r="J531" t="n">
        <v>0</v>
      </c>
      <c r="K531" t="n">
        <v>0</v>
      </c>
      <c r="L531" t="n">
        <v>0</v>
      </c>
      <c r="M531" t="n">
        <v>0</v>
      </c>
      <c r="N531" t="n">
        <v>0</v>
      </c>
      <c r="O531" t="n">
        <v>0</v>
      </c>
      <c r="P531" t="n">
        <v>0</v>
      </c>
      <c r="Q531" t="n">
        <v>0</v>
      </c>
      <c r="R531" s="2" t="inlineStr"/>
    </row>
    <row r="532" ht="15" customHeight="1">
      <c r="A532" t="inlineStr">
        <is>
          <t>A 18360-2024</t>
        </is>
      </c>
      <c r="B532" s="1" t="n">
        <v>45422</v>
      </c>
      <c r="C532" s="1" t="n">
        <v>46160</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7611-2024</t>
        </is>
      </c>
      <c r="B533" s="1" t="n">
        <v>45348.58864583333</v>
      </c>
      <c r="C533" s="1" t="n">
        <v>46160</v>
      </c>
      <c r="D533" t="inlineStr">
        <is>
          <t>ÖREBRO LÄN</t>
        </is>
      </c>
      <c r="E533" t="inlineStr">
        <is>
          <t>ÖREBRO</t>
        </is>
      </c>
      <c r="G533" t="n">
        <v>4.2</v>
      </c>
      <c r="H533" t="n">
        <v>0</v>
      </c>
      <c r="I533" t="n">
        <v>0</v>
      </c>
      <c r="J533" t="n">
        <v>0</v>
      </c>
      <c r="K533" t="n">
        <v>0</v>
      </c>
      <c r="L533" t="n">
        <v>0</v>
      </c>
      <c r="M533" t="n">
        <v>0</v>
      </c>
      <c r="N533" t="n">
        <v>0</v>
      </c>
      <c r="O533" t="n">
        <v>0</v>
      </c>
      <c r="P533" t="n">
        <v>0</v>
      </c>
      <c r="Q533" t="n">
        <v>0</v>
      </c>
      <c r="R533" s="2" t="inlineStr"/>
    </row>
    <row r="534" ht="15" customHeight="1">
      <c r="A534" t="inlineStr">
        <is>
          <t>A 13347-2023</t>
        </is>
      </c>
      <c r="B534" s="1" t="n">
        <v>45004</v>
      </c>
      <c r="C534" s="1" t="n">
        <v>46160</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187-2024</t>
        </is>
      </c>
      <c r="B535" s="1" t="n">
        <v>45294</v>
      </c>
      <c r="C535" s="1" t="n">
        <v>46160</v>
      </c>
      <c r="D535" t="inlineStr">
        <is>
          <t>ÖREBRO LÄN</t>
        </is>
      </c>
      <c r="E535" t="inlineStr">
        <is>
          <t>ÖREBRO</t>
        </is>
      </c>
      <c r="G535" t="n">
        <v>5.9</v>
      </c>
      <c r="H535" t="n">
        <v>0</v>
      </c>
      <c r="I535" t="n">
        <v>0</v>
      </c>
      <c r="J535" t="n">
        <v>0</v>
      </c>
      <c r="K535" t="n">
        <v>0</v>
      </c>
      <c r="L535" t="n">
        <v>0</v>
      </c>
      <c r="M535" t="n">
        <v>0</v>
      </c>
      <c r="N535" t="n">
        <v>0</v>
      </c>
      <c r="O535" t="n">
        <v>0</v>
      </c>
      <c r="P535" t="n">
        <v>0</v>
      </c>
      <c r="Q535" t="n">
        <v>0</v>
      </c>
      <c r="R535" s="2" t="inlineStr"/>
    </row>
    <row r="536" ht="15" customHeight="1">
      <c r="A536" t="inlineStr">
        <is>
          <t>A 10832-2023</t>
        </is>
      </c>
      <c r="B536" s="1" t="n">
        <v>44990.91711805556</v>
      </c>
      <c r="C536" s="1" t="n">
        <v>46160</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46160</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5338-2024</t>
        </is>
      </c>
      <c r="B538" s="1" t="n">
        <v>45331</v>
      </c>
      <c r="C538" s="1" t="n">
        <v>46160</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14487-2023</t>
        </is>
      </c>
      <c r="B539" s="1" t="n">
        <v>45012</v>
      </c>
      <c r="C539" s="1" t="n">
        <v>46160</v>
      </c>
      <c r="D539" t="inlineStr">
        <is>
          <t>ÖREBRO LÄN</t>
        </is>
      </c>
      <c r="E539" t="inlineStr">
        <is>
          <t>ÖREBRO</t>
        </is>
      </c>
      <c r="G539" t="n">
        <v>0.5</v>
      </c>
      <c r="H539" t="n">
        <v>0</v>
      </c>
      <c r="I539" t="n">
        <v>0</v>
      </c>
      <c r="J539" t="n">
        <v>0</v>
      </c>
      <c r="K539" t="n">
        <v>0</v>
      </c>
      <c r="L539" t="n">
        <v>0</v>
      </c>
      <c r="M539" t="n">
        <v>0</v>
      </c>
      <c r="N539" t="n">
        <v>0</v>
      </c>
      <c r="O539" t="n">
        <v>0</v>
      </c>
      <c r="P539" t="n">
        <v>0</v>
      </c>
      <c r="Q539" t="n">
        <v>0</v>
      </c>
      <c r="R539" s="2" t="inlineStr"/>
    </row>
    <row r="540" ht="15" customHeight="1">
      <c r="A540" t="inlineStr">
        <is>
          <t>A 4970-2022</t>
        </is>
      </c>
      <c r="B540" s="1" t="n">
        <v>44593.51175925926</v>
      </c>
      <c r="C540" s="1" t="n">
        <v>46160</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18047-2023</t>
        </is>
      </c>
      <c r="B541" s="1" t="n">
        <v>45040</v>
      </c>
      <c r="C541" s="1" t="n">
        <v>46160</v>
      </c>
      <c r="D541" t="inlineStr">
        <is>
          <t>ÖREBRO LÄN</t>
        </is>
      </c>
      <c r="E541" t="inlineStr">
        <is>
          <t>ÖREBRO</t>
        </is>
      </c>
      <c r="G541" t="n">
        <v>3.9</v>
      </c>
      <c r="H541" t="n">
        <v>0</v>
      </c>
      <c r="I541" t="n">
        <v>0</v>
      </c>
      <c r="J541" t="n">
        <v>0</v>
      </c>
      <c r="K541" t="n">
        <v>0</v>
      </c>
      <c r="L541" t="n">
        <v>0</v>
      </c>
      <c r="M541" t="n">
        <v>0</v>
      </c>
      <c r="N541" t="n">
        <v>0</v>
      </c>
      <c r="O541" t="n">
        <v>0</v>
      </c>
      <c r="P541" t="n">
        <v>0</v>
      </c>
      <c r="Q541" t="n">
        <v>0</v>
      </c>
      <c r="R541" s="2" t="inlineStr"/>
    </row>
    <row r="542" ht="15" customHeight="1">
      <c r="A542" t="inlineStr">
        <is>
          <t>A 3789-2023</t>
        </is>
      </c>
      <c r="B542" s="1" t="n">
        <v>44951</v>
      </c>
      <c r="C542" s="1" t="n">
        <v>46160</v>
      </c>
      <c r="D542" t="inlineStr">
        <is>
          <t>ÖREBRO LÄN</t>
        </is>
      </c>
      <c r="E542" t="inlineStr">
        <is>
          <t>ÖREBRO</t>
        </is>
      </c>
      <c r="G542" t="n">
        <v>7.5</v>
      </c>
      <c r="H542" t="n">
        <v>0</v>
      </c>
      <c r="I542" t="n">
        <v>0</v>
      </c>
      <c r="J542" t="n">
        <v>0</v>
      </c>
      <c r="K542" t="n">
        <v>0</v>
      </c>
      <c r="L542" t="n">
        <v>0</v>
      </c>
      <c r="M542" t="n">
        <v>0</v>
      </c>
      <c r="N542" t="n">
        <v>0</v>
      </c>
      <c r="O542" t="n">
        <v>0</v>
      </c>
      <c r="P542" t="n">
        <v>0</v>
      </c>
      <c r="Q542" t="n">
        <v>0</v>
      </c>
      <c r="R542" s="2" t="inlineStr"/>
    </row>
    <row r="543" ht="15" customHeight="1">
      <c r="A543" t="inlineStr">
        <is>
          <t>A 5026-2022</t>
        </is>
      </c>
      <c r="B543" s="1" t="n">
        <v>44593.63974537037</v>
      </c>
      <c r="C543" s="1" t="n">
        <v>46160</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54917-2023</t>
        </is>
      </c>
      <c r="B544" s="1" t="n">
        <v>45229</v>
      </c>
      <c r="C544" s="1" t="n">
        <v>46160</v>
      </c>
      <c r="D544" t="inlineStr">
        <is>
          <t>ÖREBRO LÄN</t>
        </is>
      </c>
      <c r="E544" t="inlineStr">
        <is>
          <t>ÖREBRO</t>
        </is>
      </c>
      <c r="G544" t="n">
        <v>3.1</v>
      </c>
      <c r="H544" t="n">
        <v>0</v>
      </c>
      <c r="I544" t="n">
        <v>0</v>
      </c>
      <c r="J544" t="n">
        <v>0</v>
      </c>
      <c r="K544" t="n">
        <v>0</v>
      </c>
      <c r="L544" t="n">
        <v>0</v>
      </c>
      <c r="M544" t="n">
        <v>0</v>
      </c>
      <c r="N544" t="n">
        <v>0</v>
      </c>
      <c r="O544" t="n">
        <v>0</v>
      </c>
      <c r="P544" t="n">
        <v>0</v>
      </c>
      <c r="Q544" t="n">
        <v>0</v>
      </c>
      <c r="R544" s="2" t="inlineStr"/>
    </row>
    <row r="545" ht="15" customHeight="1">
      <c r="A545" t="inlineStr">
        <is>
          <t>A 72329-2021</t>
        </is>
      </c>
      <c r="B545" s="1" t="n">
        <v>44545.46072916667</v>
      </c>
      <c r="C545" s="1" t="n">
        <v>46160</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43803-2023</t>
        </is>
      </c>
      <c r="B546" s="1" t="n">
        <v>45187</v>
      </c>
      <c r="C546" s="1" t="n">
        <v>46160</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15789-2023</t>
        </is>
      </c>
      <c r="B547" s="1" t="n">
        <v>45021.71539351852</v>
      </c>
      <c r="C547" s="1" t="n">
        <v>46160</v>
      </c>
      <c r="D547" t="inlineStr">
        <is>
          <t>ÖREBRO LÄN</t>
        </is>
      </c>
      <c r="E547" t="inlineStr">
        <is>
          <t>ÖREBRO</t>
        </is>
      </c>
      <c r="F547" t="inlineStr">
        <is>
          <t>Övriga Aktiebolag</t>
        </is>
      </c>
      <c r="G547" t="n">
        <v>3.7</v>
      </c>
      <c r="H547" t="n">
        <v>0</v>
      </c>
      <c r="I547" t="n">
        <v>0</v>
      </c>
      <c r="J547" t="n">
        <v>0</v>
      </c>
      <c r="K547" t="n">
        <v>0</v>
      </c>
      <c r="L547" t="n">
        <v>0</v>
      </c>
      <c r="M547" t="n">
        <v>0</v>
      </c>
      <c r="N547" t="n">
        <v>0</v>
      </c>
      <c r="O547" t="n">
        <v>0</v>
      </c>
      <c r="P547" t="n">
        <v>0</v>
      </c>
      <c r="Q547" t="n">
        <v>0</v>
      </c>
      <c r="R547" s="2" t="inlineStr"/>
    </row>
    <row r="548" ht="15" customHeight="1">
      <c r="A548" t="inlineStr">
        <is>
          <t>A 58539-2024</t>
        </is>
      </c>
      <c r="B548" s="1" t="n">
        <v>45635.45157407408</v>
      </c>
      <c r="C548" s="1" t="n">
        <v>46160</v>
      </c>
      <c r="D548" t="inlineStr">
        <is>
          <t>ÖREBRO LÄN</t>
        </is>
      </c>
      <c r="E548" t="inlineStr">
        <is>
          <t>ÖREBRO</t>
        </is>
      </c>
      <c r="F548" t="inlineStr">
        <is>
          <t>Sveaskog</t>
        </is>
      </c>
      <c r="G548" t="n">
        <v>4.1</v>
      </c>
      <c r="H548" t="n">
        <v>0</v>
      </c>
      <c r="I548" t="n">
        <v>0</v>
      </c>
      <c r="J548" t="n">
        <v>0</v>
      </c>
      <c r="K548" t="n">
        <v>0</v>
      </c>
      <c r="L548" t="n">
        <v>0</v>
      </c>
      <c r="M548" t="n">
        <v>0</v>
      </c>
      <c r="N548" t="n">
        <v>0</v>
      </c>
      <c r="O548" t="n">
        <v>0</v>
      </c>
      <c r="P548" t="n">
        <v>0</v>
      </c>
      <c r="Q548" t="n">
        <v>0</v>
      </c>
      <c r="R548" s="2" t="inlineStr"/>
    </row>
    <row r="549" ht="15" customHeight="1">
      <c r="A549" t="inlineStr">
        <is>
          <t>A 59757-2023</t>
        </is>
      </c>
      <c r="B549" s="1" t="n">
        <v>45257.40833333333</v>
      </c>
      <c r="C549" s="1" t="n">
        <v>46160</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17869-2024</t>
        </is>
      </c>
      <c r="B550" s="1" t="n">
        <v>45419</v>
      </c>
      <c r="C550" s="1" t="n">
        <v>46160</v>
      </c>
      <c r="D550" t="inlineStr">
        <is>
          <t>ÖREBRO LÄN</t>
        </is>
      </c>
      <c r="E550" t="inlineStr">
        <is>
          <t>ÖREBRO</t>
        </is>
      </c>
      <c r="G550" t="n">
        <v>3.7</v>
      </c>
      <c r="H550" t="n">
        <v>0</v>
      </c>
      <c r="I550" t="n">
        <v>0</v>
      </c>
      <c r="J550" t="n">
        <v>0</v>
      </c>
      <c r="K550" t="n">
        <v>0</v>
      </c>
      <c r="L550" t="n">
        <v>0</v>
      </c>
      <c r="M550" t="n">
        <v>0</v>
      </c>
      <c r="N550" t="n">
        <v>0</v>
      </c>
      <c r="O550" t="n">
        <v>0</v>
      </c>
      <c r="P550" t="n">
        <v>0</v>
      </c>
      <c r="Q550" t="n">
        <v>0</v>
      </c>
      <c r="R550" s="2" t="inlineStr"/>
    </row>
    <row r="551" ht="15" customHeight="1">
      <c r="A551" t="inlineStr">
        <is>
          <t>A 71272-2021</t>
        </is>
      </c>
      <c r="B551" s="1" t="n">
        <v>44539.61571759259</v>
      </c>
      <c r="C551" s="1" t="n">
        <v>46160</v>
      </c>
      <c r="D551" t="inlineStr">
        <is>
          <t>ÖREBRO LÄN</t>
        </is>
      </c>
      <c r="E551" t="inlineStr">
        <is>
          <t>ÖREBRO</t>
        </is>
      </c>
      <c r="G551" t="n">
        <v>0.9</v>
      </c>
      <c r="H551" t="n">
        <v>0</v>
      </c>
      <c r="I551" t="n">
        <v>0</v>
      </c>
      <c r="J551" t="n">
        <v>0</v>
      </c>
      <c r="K551" t="n">
        <v>0</v>
      </c>
      <c r="L551" t="n">
        <v>0</v>
      </c>
      <c r="M551" t="n">
        <v>0</v>
      </c>
      <c r="N551" t="n">
        <v>0</v>
      </c>
      <c r="O551" t="n">
        <v>0</v>
      </c>
      <c r="P551" t="n">
        <v>0</v>
      </c>
      <c r="Q551" t="n">
        <v>0</v>
      </c>
      <c r="R551" s="2" t="inlineStr"/>
    </row>
    <row r="552" ht="15" customHeight="1">
      <c r="A552" t="inlineStr">
        <is>
          <t>A 4557-2023</t>
        </is>
      </c>
      <c r="B552" s="1" t="n">
        <v>44956.6655787037</v>
      </c>
      <c r="C552" s="1" t="n">
        <v>46160</v>
      </c>
      <c r="D552" t="inlineStr">
        <is>
          <t>ÖREBRO LÄN</t>
        </is>
      </c>
      <c r="E552" t="inlineStr">
        <is>
          <t>ÖREBRO</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60100-2022</t>
        </is>
      </c>
      <c r="B553" s="1" t="n">
        <v>44902</v>
      </c>
      <c r="C553" s="1" t="n">
        <v>46160</v>
      </c>
      <c r="D553" t="inlineStr">
        <is>
          <t>ÖREBRO LÄN</t>
        </is>
      </c>
      <c r="E553" t="inlineStr">
        <is>
          <t>ÖREBRO</t>
        </is>
      </c>
      <c r="G553" t="n">
        <v>1.4</v>
      </c>
      <c r="H553" t="n">
        <v>0</v>
      </c>
      <c r="I553" t="n">
        <v>0</v>
      </c>
      <c r="J553" t="n">
        <v>0</v>
      </c>
      <c r="K553" t="n">
        <v>0</v>
      </c>
      <c r="L553" t="n">
        <v>0</v>
      </c>
      <c r="M553" t="n">
        <v>0</v>
      </c>
      <c r="N553" t="n">
        <v>0</v>
      </c>
      <c r="O553" t="n">
        <v>0</v>
      </c>
      <c r="P553" t="n">
        <v>0</v>
      </c>
      <c r="Q553" t="n">
        <v>0</v>
      </c>
      <c r="R553" s="2" t="inlineStr"/>
    </row>
    <row r="554" ht="15" customHeight="1">
      <c r="A554" t="inlineStr">
        <is>
          <t>A 17465-2023</t>
        </is>
      </c>
      <c r="B554" s="1" t="n">
        <v>45036</v>
      </c>
      <c r="C554" s="1" t="n">
        <v>46160</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52016-2024</t>
        </is>
      </c>
      <c r="B555" s="1" t="n">
        <v>45607.81917824074</v>
      </c>
      <c r="C555" s="1" t="n">
        <v>46160</v>
      </c>
      <c r="D555" t="inlineStr">
        <is>
          <t>ÖREBRO LÄN</t>
        </is>
      </c>
      <c r="E555" t="inlineStr">
        <is>
          <t>ÖREBRO</t>
        </is>
      </c>
      <c r="G555" t="n">
        <v>1.9</v>
      </c>
      <c r="H555" t="n">
        <v>0</v>
      </c>
      <c r="I555" t="n">
        <v>0</v>
      </c>
      <c r="J555" t="n">
        <v>0</v>
      </c>
      <c r="K555" t="n">
        <v>0</v>
      </c>
      <c r="L555" t="n">
        <v>0</v>
      </c>
      <c r="M555" t="n">
        <v>0</v>
      </c>
      <c r="N555" t="n">
        <v>0</v>
      </c>
      <c r="O555" t="n">
        <v>0</v>
      </c>
      <c r="P555" t="n">
        <v>0</v>
      </c>
      <c r="Q555" t="n">
        <v>0</v>
      </c>
      <c r="R555" s="2" t="inlineStr"/>
    </row>
    <row r="556" ht="15" customHeight="1">
      <c r="A556" t="inlineStr">
        <is>
          <t>A 52477-2024</t>
        </is>
      </c>
      <c r="B556" s="1" t="n">
        <v>45609</v>
      </c>
      <c r="C556" s="1" t="n">
        <v>46160</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53558-2023</t>
        </is>
      </c>
      <c r="B557" s="1" t="n">
        <v>45230.47266203703</v>
      </c>
      <c r="C557" s="1" t="n">
        <v>46160</v>
      </c>
      <c r="D557" t="inlineStr">
        <is>
          <t>ÖREBRO LÄN</t>
        </is>
      </c>
      <c r="E557" t="inlineStr">
        <is>
          <t>ÖREBRO</t>
        </is>
      </c>
      <c r="F557" t="inlineStr">
        <is>
          <t>Övriga Aktiebolag</t>
        </is>
      </c>
      <c r="G557" t="n">
        <v>4.7</v>
      </c>
      <c r="H557" t="n">
        <v>0</v>
      </c>
      <c r="I557" t="n">
        <v>0</v>
      </c>
      <c r="J557" t="n">
        <v>0</v>
      </c>
      <c r="K557" t="n">
        <v>0</v>
      </c>
      <c r="L557" t="n">
        <v>0</v>
      </c>
      <c r="M557" t="n">
        <v>0</v>
      </c>
      <c r="N557" t="n">
        <v>0</v>
      </c>
      <c r="O557" t="n">
        <v>0</v>
      </c>
      <c r="P557" t="n">
        <v>0</v>
      </c>
      <c r="Q557" t="n">
        <v>0</v>
      </c>
      <c r="R557" s="2" t="inlineStr"/>
    </row>
    <row r="558" ht="15" customHeight="1">
      <c r="A558" t="inlineStr">
        <is>
          <t>A 35843-2022</t>
        </is>
      </c>
      <c r="B558" s="1" t="n">
        <v>44802</v>
      </c>
      <c r="C558" s="1" t="n">
        <v>46160</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51373-2023</t>
        </is>
      </c>
      <c r="B559" s="1" t="n">
        <v>45213</v>
      </c>
      <c r="C559" s="1" t="n">
        <v>46160</v>
      </c>
      <c r="D559" t="inlineStr">
        <is>
          <t>ÖREBRO LÄN</t>
        </is>
      </c>
      <c r="E559" t="inlineStr">
        <is>
          <t>ÖREBRO</t>
        </is>
      </c>
      <c r="G559" t="n">
        <v>5.9</v>
      </c>
      <c r="H559" t="n">
        <v>0</v>
      </c>
      <c r="I559" t="n">
        <v>0</v>
      </c>
      <c r="J559" t="n">
        <v>0</v>
      </c>
      <c r="K559" t="n">
        <v>0</v>
      </c>
      <c r="L559" t="n">
        <v>0</v>
      </c>
      <c r="M559" t="n">
        <v>0</v>
      </c>
      <c r="N559" t="n">
        <v>0</v>
      </c>
      <c r="O559" t="n">
        <v>0</v>
      </c>
      <c r="P559" t="n">
        <v>0</v>
      </c>
      <c r="Q559" t="n">
        <v>0</v>
      </c>
      <c r="R559" s="2" t="inlineStr"/>
    </row>
    <row r="560" ht="15" customHeight="1">
      <c r="A560" t="inlineStr">
        <is>
          <t>A 1257-2022</t>
        </is>
      </c>
      <c r="B560" s="1" t="n">
        <v>44572</v>
      </c>
      <c r="C560" s="1" t="n">
        <v>46160</v>
      </c>
      <c r="D560" t="inlineStr">
        <is>
          <t>ÖREBRO LÄN</t>
        </is>
      </c>
      <c r="E560" t="inlineStr">
        <is>
          <t>ÖREBRO</t>
        </is>
      </c>
      <c r="G560" t="n">
        <v>1.4</v>
      </c>
      <c r="H560" t="n">
        <v>0</v>
      </c>
      <c r="I560" t="n">
        <v>0</v>
      </c>
      <c r="J560" t="n">
        <v>0</v>
      </c>
      <c r="K560" t="n">
        <v>0</v>
      </c>
      <c r="L560" t="n">
        <v>0</v>
      </c>
      <c r="M560" t="n">
        <v>0</v>
      </c>
      <c r="N560" t="n">
        <v>0</v>
      </c>
      <c r="O560" t="n">
        <v>0</v>
      </c>
      <c r="P560" t="n">
        <v>0</v>
      </c>
      <c r="Q560" t="n">
        <v>0</v>
      </c>
      <c r="R560" s="2" t="inlineStr"/>
    </row>
    <row r="561" ht="15" customHeight="1">
      <c r="A561" t="inlineStr">
        <is>
          <t>A 40656-2023</t>
        </is>
      </c>
      <c r="B561" s="1" t="n">
        <v>45170</v>
      </c>
      <c r="C561" s="1" t="n">
        <v>46160</v>
      </c>
      <c r="D561" t="inlineStr">
        <is>
          <t>ÖREBRO LÄN</t>
        </is>
      </c>
      <c r="E561" t="inlineStr">
        <is>
          <t>ÖREBRO</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22677-2022</t>
        </is>
      </c>
      <c r="B562" s="1" t="n">
        <v>44714</v>
      </c>
      <c r="C562" s="1" t="n">
        <v>46160</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71288-2021</t>
        </is>
      </c>
      <c r="B563" s="1" t="n">
        <v>44539.62481481482</v>
      </c>
      <c r="C563" s="1" t="n">
        <v>46160</v>
      </c>
      <c r="D563" t="inlineStr">
        <is>
          <t>ÖREBRO LÄN</t>
        </is>
      </c>
      <c r="E563" t="inlineStr">
        <is>
          <t>ÖREBRO</t>
        </is>
      </c>
      <c r="G563" t="n">
        <v>3.9</v>
      </c>
      <c r="H563" t="n">
        <v>0</v>
      </c>
      <c r="I563" t="n">
        <v>0</v>
      </c>
      <c r="J563" t="n">
        <v>0</v>
      </c>
      <c r="K563" t="n">
        <v>0</v>
      </c>
      <c r="L563" t="n">
        <v>0</v>
      </c>
      <c r="M563" t="n">
        <v>0</v>
      </c>
      <c r="N563" t="n">
        <v>0</v>
      </c>
      <c r="O563" t="n">
        <v>0</v>
      </c>
      <c r="P563" t="n">
        <v>0</v>
      </c>
      <c r="Q563" t="n">
        <v>0</v>
      </c>
      <c r="R563" s="2" t="inlineStr"/>
    </row>
    <row r="564" ht="15" customHeight="1">
      <c r="A564" t="inlineStr">
        <is>
          <t>A 10830-2023</t>
        </is>
      </c>
      <c r="B564" s="1" t="n">
        <v>44990.89752314815</v>
      </c>
      <c r="C564" s="1" t="n">
        <v>46160</v>
      </c>
      <c r="D564" t="inlineStr">
        <is>
          <t>ÖREBRO LÄN</t>
        </is>
      </c>
      <c r="E564" t="inlineStr">
        <is>
          <t>ÖREBRO</t>
        </is>
      </c>
      <c r="G564" t="n">
        <v>2</v>
      </c>
      <c r="H564" t="n">
        <v>0</v>
      </c>
      <c r="I564" t="n">
        <v>0</v>
      </c>
      <c r="J564" t="n">
        <v>0</v>
      </c>
      <c r="K564" t="n">
        <v>0</v>
      </c>
      <c r="L564" t="n">
        <v>0</v>
      </c>
      <c r="M564" t="n">
        <v>0</v>
      </c>
      <c r="N564" t="n">
        <v>0</v>
      </c>
      <c r="O564" t="n">
        <v>0</v>
      </c>
      <c r="P564" t="n">
        <v>0</v>
      </c>
      <c r="Q564" t="n">
        <v>0</v>
      </c>
      <c r="R564" s="2" t="inlineStr"/>
    </row>
    <row r="565" ht="15" customHeight="1">
      <c r="A565" t="inlineStr">
        <is>
          <t>A 7692-2023</t>
        </is>
      </c>
      <c r="B565" s="1" t="n">
        <v>44972.7762962963</v>
      </c>
      <c r="C565" s="1" t="n">
        <v>46160</v>
      </c>
      <c r="D565" t="inlineStr">
        <is>
          <t>ÖREBRO LÄN</t>
        </is>
      </c>
      <c r="E565" t="inlineStr">
        <is>
          <t>ÖREBRO</t>
        </is>
      </c>
      <c r="G565" t="n">
        <v>1.5</v>
      </c>
      <c r="H565" t="n">
        <v>0</v>
      </c>
      <c r="I565" t="n">
        <v>0</v>
      </c>
      <c r="J565" t="n">
        <v>0</v>
      </c>
      <c r="K565" t="n">
        <v>0</v>
      </c>
      <c r="L565" t="n">
        <v>0</v>
      </c>
      <c r="M565" t="n">
        <v>0</v>
      </c>
      <c r="N565" t="n">
        <v>0</v>
      </c>
      <c r="O565" t="n">
        <v>0</v>
      </c>
      <c r="P565" t="n">
        <v>0</v>
      </c>
      <c r="Q565" t="n">
        <v>0</v>
      </c>
      <c r="R565" s="2" t="inlineStr"/>
    </row>
    <row r="566" ht="15" customHeight="1">
      <c r="A566" t="inlineStr">
        <is>
          <t>A 31240-2023</t>
        </is>
      </c>
      <c r="B566" s="1" t="n">
        <v>45114</v>
      </c>
      <c r="C566" s="1" t="n">
        <v>46160</v>
      </c>
      <c r="D566" t="inlineStr">
        <is>
          <t>ÖREBRO LÄN</t>
        </is>
      </c>
      <c r="E566" t="inlineStr">
        <is>
          <t>ÖREBRO</t>
        </is>
      </c>
      <c r="F566" t="inlineStr">
        <is>
          <t>Allmännings- och besparingsskogar</t>
        </is>
      </c>
      <c r="G566" t="n">
        <v>6.2</v>
      </c>
      <c r="H566" t="n">
        <v>0</v>
      </c>
      <c r="I566" t="n">
        <v>0</v>
      </c>
      <c r="J566" t="n">
        <v>0</v>
      </c>
      <c r="K566" t="n">
        <v>0</v>
      </c>
      <c r="L566" t="n">
        <v>0</v>
      </c>
      <c r="M566" t="n">
        <v>0</v>
      </c>
      <c r="N566" t="n">
        <v>0</v>
      </c>
      <c r="O566" t="n">
        <v>0</v>
      </c>
      <c r="P566" t="n">
        <v>0</v>
      </c>
      <c r="Q566" t="n">
        <v>0</v>
      </c>
      <c r="R566" s="2" t="inlineStr"/>
    </row>
    <row r="567" ht="15" customHeight="1">
      <c r="A567" t="inlineStr">
        <is>
          <t>A 50026-2024</t>
        </is>
      </c>
      <c r="B567" s="1" t="n">
        <v>45599.60541666667</v>
      </c>
      <c r="C567" s="1" t="n">
        <v>46160</v>
      </c>
      <c r="D567" t="inlineStr">
        <is>
          <t>ÖREBRO LÄN</t>
        </is>
      </c>
      <c r="E567" t="inlineStr">
        <is>
          <t>ÖREBRO</t>
        </is>
      </c>
      <c r="G567" t="n">
        <v>2.2</v>
      </c>
      <c r="H567" t="n">
        <v>0</v>
      </c>
      <c r="I567" t="n">
        <v>0</v>
      </c>
      <c r="J567" t="n">
        <v>0</v>
      </c>
      <c r="K567" t="n">
        <v>0</v>
      </c>
      <c r="L567" t="n">
        <v>0</v>
      </c>
      <c r="M567" t="n">
        <v>0</v>
      </c>
      <c r="N567" t="n">
        <v>0</v>
      </c>
      <c r="O567" t="n">
        <v>0</v>
      </c>
      <c r="P567" t="n">
        <v>0</v>
      </c>
      <c r="Q567" t="n">
        <v>0</v>
      </c>
      <c r="R567" s="2" t="inlineStr"/>
    </row>
    <row r="568" ht="15" customHeight="1">
      <c r="A568" t="inlineStr">
        <is>
          <t>A 18449-2023</t>
        </is>
      </c>
      <c r="B568" s="1" t="n">
        <v>45042.5203125</v>
      </c>
      <c r="C568" s="1" t="n">
        <v>46160</v>
      </c>
      <c r="D568" t="inlineStr">
        <is>
          <t>ÖREBRO LÄN</t>
        </is>
      </c>
      <c r="E568" t="inlineStr">
        <is>
          <t>ÖREBRO</t>
        </is>
      </c>
      <c r="G568" t="n">
        <v>1.5</v>
      </c>
      <c r="H568" t="n">
        <v>0</v>
      </c>
      <c r="I568" t="n">
        <v>0</v>
      </c>
      <c r="J568" t="n">
        <v>0</v>
      </c>
      <c r="K568" t="n">
        <v>0</v>
      </c>
      <c r="L568" t="n">
        <v>0</v>
      </c>
      <c r="M568" t="n">
        <v>0</v>
      </c>
      <c r="N568" t="n">
        <v>0</v>
      </c>
      <c r="O568" t="n">
        <v>0</v>
      </c>
      <c r="P568" t="n">
        <v>0</v>
      </c>
      <c r="Q568" t="n">
        <v>0</v>
      </c>
      <c r="R568" s="2" t="inlineStr"/>
    </row>
    <row r="569" ht="15" customHeight="1">
      <c r="A569" t="inlineStr">
        <is>
          <t>A 16936-2023</t>
        </is>
      </c>
      <c r="B569" s="1" t="n">
        <v>45033.63005787037</v>
      </c>
      <c r="C569" s="1" t="n">
        <v>46160</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58145-2024</t>
        </is>
      </c>
      <c r="B570" s="1" t="n">
        <v>45632.43230324074</v>
      </c>
      <c r="C570" s="1" t="n">
        <v>46160</v>
      </c>
      <c r="D570" t="inlineStr">
        <is>
          <t>ÖREBRO LÄN</t>
        </is>
      </c>
      <c r="E570" t="inlineStr">
        <is>
          <t>ÖREBRO</t>
        </is>
      </c>
      <c r="G570" t="n">
        <v>2.1</v>
      </c>
      <c r="H570" t="n">
        <v>0</v>
      </c>
      <c r="I570" t="n">
        <v>0</v>
      </c>
      <c r="J570" t="n">
        <v>0</v>
      </c>
      <c r="K570" t="n">
        <v>0</v>
      </c>
      <c r="L570" t="n">
        <v>0</v>
      </c>
      <c r="M570" t="n">
        <v>0</v>
      </c>
      <c r="N570" t="n">
        <v>0</v>
      </c>
      <c r="O570" t="n">
        <v>0</v>
      </c>
      <c r="P570" t="n">
        <v>0</v>
      </c>
      <c r="Q570" t="n">
        <v>0</v>
      </c>
      <c r="R570" s="2" t="inlineStr"/>
    </row>
    <row r="571" ht="15" customHeight="1">
      <c r="A571" t="inlineStr">
        <is>
          <t>A 64730-2023</t>
        </is>
      </c>
      <c r="B571" s="1" t="n">
        <v>45281</v>
      </c>
      <c r="C571" s="1" t="n">
        <v>46160</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44839.59194444444</v>
      </c>
      <c r="C572" s="1" t="n">
        <v>46160</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14544-2023</t>
        </is>
      </c>
      <c r="B573" s="1" t="n">
        <v>45013</v>
      </c>
      <c r="C573" s="1" t="n">
        <v>46160</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ht="15" customHeight="1">
      <c r="A574" t="inlineStr">
        <is>
          <t>A 15682-2023</t>
        </is>
      </c>
      <c r="B574" s="1" t="n">
        <v>45021</v>
      </c>
      <c r="C574" s="1" t="n">
        <v>46160</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4416-2023</t>
        </is>
      </c>
      <c r="B575" s="1" t="n">
        <v>44956</v>
      </c>
      <c r="C575" s="1" t="n">
        <v>46160</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49062-2023</t>
        </is>
      </c>
      <c r="B576" s="1" t="n">
        <v>45210.35119212963</v>
      </c>
      <c r="C576" s="1" t="n">
        <v>46160</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32321-2023</t>
        </is>
      </c>
      <c r="B577" s="1" t="n">
        <v>45120</v>
      </c>
      <c r="C577" s="1" t="n">
        <v>46160</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2095-2025</t>
        </is>
      </c>
      <c r="B578" s="1" t="n">
        <v>45672</v>
      </c>
      <c r="C578" s="1" t="n">
        <v>46160</v>
      </c>
      <c r="D578" t="inlineStr">
        <is>
          <t>ÖREBRO LÄN</t>
        </is>
      </c>
      <c r="E578" t="inlineStr">
        <is>
          <t>ÖREBRO</t>
        </is>
      </c>
      <c r="G578" t="n">
        <v>1.2</v>
      </c>
      <c r="H578" t="n">
        <v>0</v>
      </c>
      <c r="I578" t="n">
        <v>0</v>
      </c>
      <c r="J578" t="n">
        <v>0</v>
      </c>
      <c r="K578" t="n">
        <v>0</v>
      </c>
      <c r="L578" t="n">
        <v>0</v>
      </c>
      <c r="M578" t="n">
        <v>0</v>
      </c>
      <c r="N578" t="n">
        <v>0</v>
      </c>
      <c r="O578" t="n">
        <v>0</v>
      </c>
      <c r="P578" t="n">
        <v>0</v>
      </c>
      <c r="Q578" t="n">
        <v>0</v>
      </c>
      <c r="R578" s="2" t="inlineStr"/>
    </row>
    <row r="579" ht="15" customHeight="1">
      <c r="A579" t="inlineStr">
        <is>
          <t>A 71275-2021</t>
        </is>
      </c>
      <c r="B579" s="1" t="n">
        <v>44539</v>
      </c>
      <c r="C579" s="1" t="n">
        <v>46160</v>
      </c>
      <c r="D579" t="inlineStr">
        <is>
          <t>ÖREBRO LÄN</t>
        </is>
      </c>
      <c r="E579" t="inlineStr">
        <is>
          <t>ÖREBRO</t>
        </is>
      </c>
      <c r="G579" t="n">
        <v>0.9</v>
      </c>
      <c r="H579" t="n">
        <v>0</v>
      </c>
      <c r="I579" t="n">
        <v>0</v>
      </c>
      <c r="J579" t="n">
        <v>0</v>
      </c>
      <c r="K579" t="n">
        <v>0</v>
      </c>
      <c r="L579" t="n">
        <v>0</v>
      </c>
      <c r="M579" t="n">
        <v>0</v>
      </c>
      <c r="N579" t="n">
        <v>0</v>
      </c>
      <c r="O579" t="n">
        <v>0</v>
      </c>
      <c r="P579" t="n">
        <v>0</v>
      </c>
      <c r="Q579" t="n">
        <v>0</v>
      </c>
      <c r="R579" s="2" t="inlineStr"/>
    </row>
    <row r="580" ht="15" customHeight="1">
      <c r="A580" t="inlineStr">
        <is>
          <t>A 58608-2024</t>
        </is>
      </c>
      <c r="B580" s="1" t="n">
        <v>45635.55185185185</v>
      </c>
      <c r="C580" s="1" t="n">
        <v>46160</v>
      </c>
      <c r="D580" t="inlineStr">
        <is>
          <t>ÖREBRO LÄN</t>
        </is>
      </c>
      <c r="E580" t="inlineStr">
        <is>
          <t>ÖREBRO</t>
        </is>
      </c>
      <c r="F580" t="inlineStr">
        <is>
          <t>Sveaskog</t>
        </is>
      </c>
      <c r="G580" t="n">
        <v>0.3</v>
      </c>
      <c r="H580" t="n">
        <v>0</v>
      </c>
      <c r="I580" t="n">
        <v>0</v>
      </c>
      <c r="J580" t="n">
        <v>0</v>
      </c>
      <c r="K580" t="n">
        <v>0</v>
      </c>
      <c r="L580" t="n">
        <v>0</v>
      </c>
      <c r="M580" t="n">
        <v>0</v>
      </c>
      <c r="N580" t="n">
        <v>0</v>
      </c>
      <c r="O580" t="n">
        <v>0</v>
      </c>
      <c r="P580" t="n">
        <v>0</v>
      </c>
      <c r="Q580" t="n">
        <v>0</v>
      </c>
      <c r="R580" s="2" t="inlineStr"/>
    </row>
    <row r="581" ht="15" customHeight="1">
      <c r="A581" t="inlineStr">
        <is>
          <t>A 2153-2023</t>
        </is>
      </c>
      <c r="B581" s="1" t="n">
        <v>44941</v>
      </c>
      <c r="C581" s="1" t="n">
        <v>46160</v>
      </c>
      <c r="D581" t="inlineStr">
        <is>
          <t>ÖREBRO LÄN</t>
        </is>
      </c>
      <c r="E581" t="inlineStr">
        <is>
          <t>ÖREBRO</t>
        </is>
      </c>
      <c r="G581" t="n">
        <v>6.3</v>
      </c>
      <c r="H581" t="n">
        <v>0</v>
      </c>
      <c r="I581" t="n">
        <v>0</v>
      </c>
      <c r="J581" t="n">
        <v>0</v>
      </c>
      <c r="K581" t="n">
        <v>0</v>
      </c>
      <c r="L581" t="n">
        <v>0</v>
      </c>
      <c r="M581" t="n">
        <v>0</v>
      </c>
      <c r="N581" t="n">
        <v>0</v>
      </c>
      <c r="O581" t="n">
        <v>0</v>
      </c>
      <c r="P581" t="n">
        <v>0</v>
      </c>
      <c r="Q581" t="n">
        <v>0</v>
      </c>
      <c r="R581" s="2" t="inlineStr"/>
    </row>
    <row r="582" ht="15" customHeight="1">
      <c r="A582" t="inlineStr">
        <is>
          <t>A 2069-2025</t>
        </is>
      </c>
      <c r="B582" s="1" t="n">
        <v>45672.56614583333</v>
      </c>
      <c r="C582" s="1" t="n">
        <v>46160</v>
      </c>
      <c r="D582" t="inlineStr">
        <is>
          <t>ÖREBRO LÄN</t>
        </is>
      </c>
      <c r="E582" t="inlineStr">
        <is>
          <t>ÖREBRO</t>
        </is>
      </c>
      <c r="G582" t="n">
        <v>3.8</v>
      </c>
      <c r="H582" t="n">
        <v>0</v>
      </c>
      <c r="I582" t="n">
        <v>0</v>
      </c>
      <c r="J582" t="n">
        <v>0</v>
      </c>
      <c r="K582" t="n">
        <v>0</v>
      </c>
      <c r="L582" t="n">
        <v>0</v>
      </c>
      <c r="M582" t="n">
        <v>0</v>
      </c>
      <c r="N582" t="n">
        <v>0</v>
      </c>
      <c r="O582" t="n">
        <v>0</v>
      </c>
      <c r="P582" t="n">
        <v>0</v>
      </c>
      <c r="Q582" t="n">
        <v>0</v>
      </c>
      <c r="R582" s="2" t="inlineStr"/>
    </row>
    <row r="583" ht="15" customHeight="1">
      <c r="A583" t="inlineStr">
        <is>
          <t>A 852-2025</t>
        </is>
      </c>
      <c r="B583" s="1" t="n">
        <v>45665.60148148148</v>
      </c>
      <c r="C583" s="1" t="n">
        <v>46160</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50398-2022</t>
        </is>
      </c>
      <c r="B584" s="1" t="n">
        <v>44861</v>
      </c>
      <c r="C584" s="1" t="n">
        <v>46160</v>
      </c>
      <c r="D584" t="inlineStr">
        <is>
          <t>ÖREBRO LÄN</t>
        </is>
      </c>
      <c r="E584" t="inlineStr">
        <is>
          <t>ÖREBRO</t>
        </is>
      </c>
      <c r="G584" t="n">
        <v>1.9</v>
      </c>
      <c r="H584" t="n">
        <v>0</v>
      </c>
      <c r="I584" t="n">
        <v>0</v>
      </c>
      <c r="J584" t="n">
        <v>0</v>
      </c>
      <c r="K584" t="n">
        <v>0</v>
      </c>
      <c r="L584" t="n">
        <v>0</v>
      </c>
      <c r="M584" t="n">
        <v>0</v>
      </c>
      <c r="N584" t="n">
        <v>0</v>
      </c>
      <c r="O584" t="n">
        <v>0</v>
      </c>
      <c r="P584" t="n">
        <v>0</v>
      </c>
      <c r="Q584" t="n">
        <v>0</v>
      </c>
      <c r="R584" s="2" t="inlineStr"/>
    </row>
    <row r="585" ht="15" customHeight="1">
      <c r="A585" t="inlineStr">
        <is>
          <t>A 52441-2024</t>
        </is>
      </c>
      <c r="B585" s="1" t="n">
        <v>45609.48451388889</v>
      </c>
      <c r="C585" s="1" t="n">
        <v>46160</v>
      </c>
      <c r="D585" t="inlineStr">
        <is>
          <t>ÖREBRO LÄN</t>
        </is>
      </c>
      <c r="E585" t="inlineStr">
        <is>
          <t>ÖREBRO</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52499-2024</t>
        </is>
      </c>
      <c r="B586" s="1" t="n">
        <v>45609.58422453704</v>
      </c>
      <c r="C586" s="1" t="n">
        <v>46160</v>
      </c>
      <c r="D586" t="inlineStr">
        <is>
          <t>ÖREBRO LÄN</t>
        </is>
      </c>
      <c r="E586" t="inlineStr">
        <is>
          <t>ÖREBRO</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8008-2024</t>
        </is>
      </c>
      <c r="B587" s="1" t="n">
        <v>45350.6794212963</v>
      </c>
      <c r="C587" s="1" t="n">
        <v>46160</v>
      </c>
      <c r="D587" t="inlineStr">
        <is>
          <t>ÖREBRO LÄN</t>
        </is>
      </c>
      <c r="E587" t="inlineStr">
        <is>
          <t>ÖREBRO</t>
        </is>
      </c>
      <c r="G587" t="n">
        <v>0.6</v>
      </c>
      <c r="H587" t="n">
        <v>0</v>
      </c>
      <c r="I587" t="n">
        <v>0</v>
      </c>
      <c r="J587" t="n">
        <v>0</v>
      </c>
      <c r="K587" t="n">
        <v>0</v>
      </c>
      <c r="L587" t="n">
        <v>0</v>
      </c>
      <c r="M587" t="n">
        <v>0</v>
      </c>
      <c r="N587" t="n">
        <v>0</v>
      </c>
      <c r="O587" t="n">
        <v>0</v>
      </c>
      <c r="P587" t="n">
        <v>0</v>
      </c>
      <c r="Q587" t="n">
        <v>0</v>
      </c>
      <c r="R587" s="2" t="inlineStr"/>
    </row>
    <row r="588" ht="15" customHeight="1">
      <c r="A588" t="inlineStr">
        <is>
          <t>A 18181-2024</t>
        </is>
      </c>
      <c r="B588" s="1" t="n">
        <v>45420.64561342593</v>
      </c>
      <c r="C588" s="1" t="n">
        <v>46160</v>
      </c>
      <c r="D588" t="inlineStr">
        <is>
          <t>ÖREBRO LÄN</t>
        </is>
      </c>
      <c r="E588" t="inlineStr">
        <is>
          <t>ÖREBRO</t>
        </is>
      </c>
      <c r="G588" t="n">
        <v>7.6</v>
      </c>
      <c r="H588" t="n">
        <v>0</v>
      </c>
      <c r="I588" t="n">
        <v>0</v>
      </c>
      <c r="J588" t="n">
        <v>0</v>
      </c>
      <c r="K588" t="n">
        <v>0</v>
      </c>
      <c r="L588" t="n">
        <v>0</v>
      </c>
      <c r="M588" t="n">
        <v>0</v>
      </c>
      <c r="N588" t="n">
        <v>0</v>
      </c>
      <c r="O588" t="n">
        <v>0</v>
      </c>
      <c r="P588" t="n">
        <v>0</v>
      </c>
      <c r="Q588" t="n">
        <v>0</v>
      </c>
      <c r="R588" s="2" t="inlineStr"/>
    </row>
    <row r="589" ht="15" customHeight="1">
      <c r="A589" t="inlineStr">
        <is>
          <t>A 38415-2023</t>
        </is>
      </c>
      <c r="B589" s="1" t="n">
        <v>45162.35502314815</v>
      </c>
      <c r="C589" s="1" t="n">
        <v>46160</v>
      </c>
      <c r="D589" t="inlineStr">
        <is>
          <t>ÖREBRO LÄN</t>
        </is>
      </c>
      <c r="E589" t="inlineStr">
        <is>
          <t>ÖREBRO</t>
        </is>
      </c>
      <c r="G589" t="n">
        <v>2.6</v>
      </c>
      <c r="H589" t="n">
        <v>0</v>
      </c>
      <c r="I589" t="n">
        <v>0</v>
      </c>
      <c r="J589" t="n">
        <v>0</v>
      </c>
      <c r="K589" t="n">
        <v>0</v>
      </c>
      <c r="L589" t="n">
        <v>0</v>
      </c>
      <c r="M589" t="n">
        <v>0</v>
      </c>
      <c r="N589" t="n">
        <v>0</v>
      </c>
      <c r="O589" t="n">
        <v>0</v>
      </c>
      <c r="P589" t="n">
        <v>0</v>
      </c>
      <c r="Q589" t="n">
        <v>0</v>
      </c>
      <c r="R589" s="2" t="inlineStr"/>
    </row>
    <row r="590" ht="15" customHeight="1">
      <c r="A590" t="inlineStr">
        <is>
          <t>A 16374-2022</t>
        </is>
      </c>
      <c r="B590" s="1" t="n">
        <v>44671</v>
      </c>
      <c r="C590" s="1" t="n">
        <v>46160</v>
      </c>
      <c r="D590" t="inlineStr">
        <is>
          <t>ÖREBRO LÄN</t>
        </is>
      </c>
      <c r="E590" t="inlineStr">
        <is>
          <t>ÖREBRO</t>
        </is>
      </c>
      <c r="F590" t="inlineStr">
        <is>
          <t>Övriga Aktiebolag</t>
        </is>
      </c>
      <c r="G590" t="n">
        <v>30.3</v>
      </c>
      <c r="H590" t="n">
        <v>0</v>
      </c>
      <c r="I590" t="n">
        <v>0</v>
      </c>
      <c r="J590" t="n">
        <v>0</v>
      </c>
      <c r="K590" t="n">
        <v>0</v>
      </c>
      <c r="L590" t="n">
        <v>0</v>
      </c>
      <c r="M590" t="n">
        <v>0</v>
      </c>
      <c r="N590" t="n">
        <v>0</v>
      </c>
      <c r="O590" t="n">
        <v>0</v>
      </c>
      <c r="P590" t="n">
        <v>0</v>
      </c>
      <c r="Q590" t="n">
        <v>0</v>
      </c>
      <c r="R590" s="2" t="inlineStr"/>
    </row>
    <row r="591" ht="15" customHeight="1">
      <c r="A591" t="inlineStr">
        <is>
          <t>A 9704-2023</t>
        </is>
      </c>
      <c r="B591" s="1" t="n">
        <v>44984</v>
      </c>
      <c r="C591" s="1" t="n">
        <v>46160</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19180-2025</t>
        </is>
      </c>
      <c r="B592" s="1" t="n">
        <v>45769.40133101852</v>
      </c>
      <c r="C592" s="1" t="n">
        <v>46160</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46052-2024</t>
        </is>
      </c>
      <c r="B593" s="1" t="n">
        <v>45580.89116898148</v>
      </c>
      <c r="C593" s="1" t="n">
        <v>46160</v>
      </c>
      <c r="D593" t="inlineStr">
        <is>
          <t>ÖREBRO LÄN</t>
        </is>
      </c>
      <c r="E593" t="inlineStr">
        <is>
          <t>ÖREBRO</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58527-2024</t>
        </is>
      </c>
      <c r="B594" s="1" t="n">
        <v>45635.44388888889</v>
      </c>
      <c r="C594" s="1" t="n">
        <v>46160</v>
      </c>
      <c r="D594" t="inlineStr">
        <is>
          <t>ÖREBRO LÄN</t>
        </is>
      </c>
      <c r="E594" t="inlineStr">
        <is>
          <t>ÖREBRO</t>
        </is>
      </c>
      <c r="F594" t="inlineStr">
        <is>
          <t>Sveaskog</t>
        </is>
      </c>
      <c r="G594" t="n">
        <v>6.4</v>
      </c>
      <c r="H594" t="n">
        <v>0</v>
      </c>
      <c r="I594" t="n">
        <v>0</v>
      </c>
      <c r="J594" t="n">
        <v>0</v>
      </c>
      <c r="K594" t="n">
        <v>0</v>
      </c>
      <c r="L594" t="n">
        <v>0</v>
      </c>
      <c r="M594" t="n">
        <v>0</v>
      </c>
      <c r="N594" t="n">
        <v>0</v>
      </c>
      <c r="O594" t="n">
        <v>0</v>
      </c>
      <c r="P594" t="n">
        <v>0</v>
      </c>
      <c r="Q594" t="n">
        <v>0</v>
      </c>
      <c r="R594" s="2" t="inlineStr"/>
    </row>
    <row r="595" ht="15" customHeight="1">
      <c r="A595" t="inlineStr">
        <is>
          <t>A 37022-2024</t>
        </is>
      </c>
      <c r="B595" s="1" t="n">
        <v>45539.3822337963</v>
      </c>
      <c r="C595" s="1" t="n">
        <v>46160</v>
      </c>
      <c r="D595" t="inlineStr">
        <is>
          <t>ÖREBRO LÄN</t>
        </is>
      </c>
      <c r="E595" t="inlineStr">
        <is>
          <t>ÖREBRO</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37024-2024</t>
        </is>
      </c>
      <c r="B596" s="1" t="n">
        <v>45539.38329861111</v>
      </c>
      <c r="C596" s="1" t="n">
        <v>46160</v>
      </c>
      <c r="D596" t="inlineStr">
        <is>
          <t>ÖREBRO LÄN</t>
        </is>
      </c>
      <c r="E596" t="inlineStr">
        <is>
          <t>ÖREBRO</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38075-2022</t>
        </is>
      </c>
      <c r="B597" s="1" t="n">
        <v>44811</v>
      </c>
      <c r="C597" s="1" t="n">
        <v>46160</v>
      </c>
      <c r="D597" t="inlineStr">
        <is>
          <t>ÖREBRO LÄN</t>
        </is>
      </c>
      <c r="E597" t="inlineStr">
        <is>
          <t>ÖREBRO</t>
        </is>
      </c>
      <c r="G597" t="n">
        <v>0.2</v>
      </c>
      <c r="H597" t="n">
        <v>0</v>
      </c>
      <c r="I597" t="n">
        <v>0</v>
      </c>
      <c r="J597" t="n">
        <v>0</v>
      </c>
      <c r="K597" t="n">
        <v>0</v>
      </c>
      <c r="L597" t="n">
        <v>0</v>
      </c>
      <c r="M597" t="n">
        <v>0</v>
      </c>
      <c r="N597" t="n">
        <v>0</v>
      </c>
      <c r="O597" t="n">
        <v>0</v>
      </c>
      <c r="P597" t="n">
        <v>0</v>
      </c>
      <c r="Q597" t="n">
        <v>0</v>
      </c>
      <c r="R597" s="2" t="inlineStr"/>
    </row>
    <row r="598" ht="15" customHeight="1">
      <c r="A598" t="inlineStr">
        <is>
          <t>A 11382-2023</t>
        </is>
      </c>
      <c r="B598" s="1" t="n">
        <v>44993.45635416666</v>
      </c>
      <c r="C598" s="1" t="n">
        <v>46160</v>
      </c>
      <c r="D598" t="inlineStr">
        <is>
          <t>ÖREBRO LÄN</t>
        </is>
      </c>
      <c r="E598" t="inlineStr">
        <is>
          <t>ÖREBRO</t>
        </is>
      </c>
      <c r="G598" t="n">
        <v>3.3</v>
      </c>
      <c r="H598" t="n">
        <v>0</v>
      </c>
      <c r="I598" t="n">
        <v>0</v>
      </c>
      <c r="J598" t="n">
        <v>0</v>
      </c>
      <c r="K598" t="n">
        <v>0</v>
      </c>
      <c r="L598" t="n">
        <v>0</v>
      </c>
      <c r="M598" t="n">
        <v>0</v>
      </c>
      <c r="N598" t="n">
        <v>0</v>
      </c>
      <c r="O598" t="n">
        <v>0</v>
      </c>
      <c r="P598" t="n">
        <v>0</v>
      </c>
      <c r="Q598" t="n">
        <v>0</v>
      </c>
      <c r="R598" s="2" t="inlineStr"/>
    </row>
    <row r="599" ht="15" customHeight="1">
      <c r="A599" t="inlineStr">
        <is>
          <t>A 20121-2024</t>
        </is>
      </c>
      <c r="B599" s="1" t="n">
        <v>45434</v>
      </c>
      <c r="C599" s="1" t="n">
        <v>46160</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26117-2021</t>
        </is>
      </c>
      <c r="B600" s="1" t="n">
        <v>44345</v>
      </c>
      <c r="C600" s="1" t="n">
        <v>46160</v>
      </c>
      <c r="D600" t="inlineStr">
        <is>
          <t>ÖREBRO LÄN</t>
        </is>
      </c>
      <c r="E600" t="inlineStr">
        <is>
          <t>ÖREBRO</t>
        </is>
      </c>
      <c r="G600" t="n">
        <v>8.1</v>
      </c>
      <c r="H600" t="n">
        <v>0</v>
      </c>
      <c r="I600" t="n">
        <v>0</v>
      </c>
      <c r="J600" t="n">
        <v>0</v>
      </c>
      <c r="K600" t="n">
        <v>0</v>
      </c>
      <c r="L600" t="n">
        <v>0</v>
      </c>
      <c r="M600" t="n">
        <v>0</v>
      </c>
      <c r="N600" t="n">
        <v>0</v>
      </c>
      <c r="O600" t="n">
        <v>0</v>
      </c>
      <c r="P600" t="n">
        <v>0</v>
      </c>
      <c r="Q600" t="n">
        <v>0</v>
      </c>
      <c r="R600" s="2" t="inlineStr"/>
    </row>
    <row r="601" ht="15" customHeight="1">
      <c r="A601" t="inlineStr">
        <is>
          <t>A 55943-2024</t>
        </is>
      </c>
      <c r="B601" s="1" t="n">
        <v>45623.61278935185</v>
      </c>
      <c r="C601" s="1" t="n">
        <v>46160</v>
      </c>
      <c r="D601" t="inlineStr">
        <is>
          <t>ÖREBRO LÄN</t>
        </is>
      </c>
      <c r="E601" t="inlineStr">
        <is>
          <t>ÖREBRO</t>
        </is>
      </c>
      <c r="G601" t="n">
        <v>4.8</v>
      </c>
      <c r="H601" t="n">
        <v>0</v>
      </c>
      <c r="I601" t="n">
        <v>0</v>
      </c>
      <c r="J601" t="n">
        <v>0</v>
      </c>
      <c r="K601" t="n">
        <v>0</v>
      </c>
      <c r="L601" t="n">
        <v>0</v>
      </c>
      <c r="M601" t="n">
        <v>0</v>
      </c>
      <c r="N601" t="n">
        <v>0</v>
      </c>
      <c r="O601" t="n">
        <v>0</v>
      </c>
      <c r="P601" t="n">
        <v>0</v>
      </c>
      <c r="Q601" t="n">
        <v>0</v>
      </c>
      <c r="R601" s="2" t="inlineStr"/>
    </row>
    <row r="602" ht="15" customHeight="1">
      <c r="A602" t="inlineStr">
        <is>
          <t>A 1013-2024</t>
        </is>
      </c>
      <c r="B602" s="1" t="n">
        <v>45301</v>
      </c>
      <c r="C602" s="1" t="n">
        <v>46160</v>
      </c>
      <c r="D602" t="inlineStr">
        <is>
          <t>ÖREBRO LÄN</t>
        </is>
      </c>
      <c r="E602" t="inlineStr">
        <is>
          <t>ÖREBRO</t>
        </is>
      </c>
      <c r="G602" t="n">
        <v>2.6</v>
      </c>
      <c r="H602" t="n">
        <v>0</v>
      </c>
      <c r="I602" t="n">
        <v>0</v>
      </c>
      <c r="J602" t="n">
        <v>0</v>
      </c>
      <c r="K602" t="n">
        <v>0</v>
      </c>
      <c r="L602" t="n">
        <v>0</v>
      </c>
      <c r="M602" t="n">
        <v>0</v>
      </c>
      <c r="N602" t="n">
        <v>0</v>
      </c>
      <c r="O602" t="n">
        <v>0</v>
      </c>
      <c r="P602" t="n">
        <v>0</v>
      </c>
      <c r="Q602" t="n">
        <v>0</v>
      </c>
      <c r="R602" s="2" t="inlineStr"/>
    </row>
    <row r="603" ht="15" customHeight="1">
      <c r="A603" t="inlineStr">
        <is>
          <t>A 13623-2024</t>
        </is>
      </c>
      <c r="B603" s="1" t="n">
        <v>45390.38626157407</v>
      </c>
      <c r="C603" s="1" t="n">
        <v>46160</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5330-2024</t>
        </is>
      </c>
      <c r="B604" s="1" t="n">
        <v>45331.4187962963</v>
      </c>
      <c r="C604" s="1" t="n">
        <v>46160</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6794-2025</t>
        </is>
      </c>
      <c r="B605" s="1" t="n">
        <v>45700.66429398148</v>
      </c>
      <c r="C605" s="1" t="n">
        <v>46160</v>
      </c>
      <c r="D605" t="inlineStr">
        <is>
          <t>ÖREBRO LÄN</t>
        </is>
      </c>
      <c r="E605" t="inlineStr">
        <is>
          <t>ÖREBRO</t>
        </is>
      </c>
      <c r="G605" t="n">
        <v>1</v>
      </c>
      <c r="H605" t="n">
        <v>0</v>
      </c>
      <c r="I605" t="n">
        <v>0</v>
      </c>
      <c r="J605" t="n">
        <v>0</v>
      </c>
      <c r="K605" t="n">
        <v>0</v>
      </c>
      <c r="L605" t="n">
        <v>0</v>
      </c>
      <c r="M605" t="n">
        <v>0</v>
      </c>
      <c r="N605" t="n">
        <v>0</v>
      </c>
      <c r="O605" t="n">
        <v>0</v>
      </c>
      <c r="P605" t="n">
        <v>0</v>
      </c>
      <c r="Q605" t="n">
        <v>0</v>
      </c>
      <c r="R605" s="2" t="inlineStr"/>
    </row>
    <row r="606" ht="15" customHeight="1">
      <c r="A606" t="inlineStr">
        <is>
          <t>A 3-2024</t>
        </is>
      </c>
      <c r="B606" s="1" t="n">
        <v>45292</v>
      </c>
      <c r="C606" s="1" t="n">
        <v>46160</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row r="607" ht="15" customHeight="1">
      <c r="A607" t="inlineStr">
        <is>
          <t>A 5619-2023</t>
        </is>
      </c>
      <c r="B607" s="1" t="n">
        <v>44958</v>
      </c>
      <c r="C607" s="1" t="n">
        <v>46160</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5578-2024</t>
        </is>
      </c>
      <c r="B608" s="1" t="n">
        <v>45334.49104166667</v>
      </c>
      <c r="C608" s="1" t="n">
        <v>46160</v>
      </c>
      <c r="D608" t="inlineStr">
        <is>
          <t>ÖREBRO LÄN</t>
        </is>
      </c>
      <c r="E608" t="inlineStr">
        <is>
          <t>ÖREBRO</t>
        </is>
      </c>
      <c r="G608" t="n">
        <v>2.4</v>
      </c>
      <c r="H608" t="n">
        <v>0</v>
      </c>
      <c r="I608" t="n">
        <v>0</v>
      </c>
      <c r="J608" t="n">
        <v>0</v>
      </c>
      <c r="K608" t="n">
        <v>0</v>
      </c>
      <c r="L608" t="n">
        <v>0</v>
      </c>
      <c r="M608" t="n">
        <v>0</v>
      </c>
      <c r="N608" t="n">
        <v>0</v>
      </c>
      <c r="O608" t="n">
        <v>0</v>
      </c>
      <c r="P608" t="n">
        <v>0</v>
      </c>
      <c r="Q608" t="n">
        <v>0</v>
      </c>
      <c r="R608" s="2" t="inlineStr"/>
    </row>
    <row r="609" ht="15" customHeight="1">
      <c r="A609" t="inlineStr">
        <is>
          <t>A 37786-2024</t>
        </is>
      </c>
      <c r="B609" s="1" t="n">
        <v>45542.82987268519</v>
      </c>
      <c r="C609" s="1" t="n">
        <v>46160</v>
      </c>
      <c r="D609" t="inlineStr">
        <is>
          <t>ÖREBRO LÄN</t>
        </is>
      </c>
      <c r="E609" t="inlineStr">
        <is>
          <t>ÖREBRO</t>
        </is>
      </c>
      <c r="G609" t="n">
        <v>3.1</v>
      </c>
      <c r="H609" t="n">
        <v>0</v>
      </c>
      <c r="I609" t="n">
        <v>0</v>
      </c>
      <c r="J609" t="n">
        <v>0</v>
      </c>
      <c r="K609" t="n">
        <v>0</v>
      </c>
      <c r="L609" t="n">
        <v>0</v>
      </c>
      <c r="M609" t="n">
        <v>0</v>
      </c>
      <c r="N609" t="n">
        <v>0</v>
      </c>
      <c r="O609" t="n">
        <v>0</v>
      </c>
      <c r="P609" t="n">
        <v>0</v>
      </c>
      <c r="Q609" t="n">
        <v>0</v>
      </c>
      <c r="R609" s="2" t="inlineStr"/>
    </row>
    <row r="610" ht="15" customHeight="1">
      <c r="A610" t="inlineStr">
        <is>
          <t>A 58615-2024</t>
        </is>
      </c>
      <c r="B610" s="1" t="n">
        <v>45635.5587037037</v>
      </c>
      <c r="C610" s="1" t="n">
        <v>46160</v>
      </c>
      <c r="D610" t="inlineStr">
        <is>
          <t>ÖREBRO LÄN</t>
        </is>
      </c>
      <c r="E610" t="inlineStr">
        <is>
          <t>ÖREBRO</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45517-2023</t>
        </is>
      </c>
      <c r="B611" s="1" t="n">
        <v>45194.49594907407</v>
      </c>
      <c r="C611" s="1" t="n">
        <v>46160</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3652-2022</t>
        </is>
      </c>
      <c r="B612" s="1" t="n">
        <v>44586.46921296296</v>
      </c>
      <c r="C612" s="1" t="n">
        <v>46160</v>
      </c>
      <c r="D612" t="inlineStr">
        <is>
          <t>ÖREBRO LÄN</t>
        </is>
      </c>
      <c r="E612" t="inlineStr">
        <is>
          <t>ÖREBRO</t>
        </is>
      </c>
      <c r="G612" t="n">
        <v>1.6</v>
      </c>
      <c r="H612" t="n">
        <v>0</v>
      </c>
      <c r="I612" t="n">
        <v>0</v>
      </c>
      <c r="J612" t="n">
        <v>0</v>
      </c>
      <c r="K612" t="n">
        <v>0</v>
      </c>
      <c r="L612" t="n">
        <v>0</v>
      </c>
      <c r="M612" t="n">
        <v>0</v>
      </c>
      <c r="N612" t="n">
        <v>0</v>
      </c>
      <c r="O612" t="n">
        <v>0</v>
      </c>
      <c r="P612" t="n">
        <v>0</v>
      </c>
      <c r="Q612" t="n">
        <v>0</v>
      </c>
      <c r="R612" s="2" t="inlineStr"/>
    </row>
    <row r="613" ht="15" customHeight="1">
      <c r="A613" t="inlineStr">
        <is>
          <t>A 25407-2021</t>
        </is>
      </c>
      <c r="B613" s="1" t="n">
        <v>44342</v>
      </c>
      <c r="C613" s="1" t="n">
        <v>46160</v>
      </c>
      <c r="D613" t="inlineStr">
        <is>
          <t>ÖREBRO LÄN</t>
        </is>
      </c>
      <c r="E613" t="inlineStr">
        <is>
          <t>ÖREBRO</t>
        </is>
      </c>
      <c r="F613" t="inlineStr">
        <is>
          <t>Kommuner</t>
        </is>
      </c>
      <c r="G613" t="n">
        <v>7.2</v>
      </c>
      <c r="H613" t="n">
        <v>0</v>
      </c>
      <c r="I613" t="n">
        <v>0</v>
      </c>
      <c r="J613" t="n">
        <v>0</v>
      </c>
      <c r="K613" t="n">
        <v>0</v>
      </c>
      <c r="L613" t="n">
        <v>0</v>
      </c>
      <c r="M613" t="n">
        <v>0</v>
      </c>
      <c r="N613" t="n">
        <v>0</v>
      </c>
      <c r="O613" t="n">
        <v>0</v>
      </c>
      <c r="P613" t="n">
        <v>0</v>
      </c>
      <c r="Q613" t="n">
        <v>0</v>
      </c>
      <c r="R613" s="2" t="inlineStr"/>
    </row>
    <row r="614" ht="15" customHeight="1">
      <c r="A614" t="inlineStr">
        <is>
          <t>A 12245-2023</t>
        </is>
      </c>
      <c r="B614" s="1" t="n">
        <v>44998.64402777778</v>
      </c>
      <c r="C614" s="1" t="n">
        <v>46160</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7134-2025</t>
        </is>
      </c>
      <c r="B615" s="1" t="n">
        <v>45702</v>
      </c>
      <c r="C615" s="1" t="n">
        <v>46160</v>
      </c>
      <c r="D615" t="inlineStr">
        <is>
          <t>ÖREBRO LÄN</t>
        </is>
      </c>
      <c r="E615" t="inlineStr">
        <is>
          <t>ÖREBRO</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60506-2024</t>
        </is>
      </c>
      <c r="B616" s="1" t="n">
        <v>45643.66630787037</v>
      </c>
      <c r="C616" s="1" t="n">
        <v>46160</v>
      </c>
      <c r="D616" t="inlineStr">
        <is>
          <t>ÖREBRO LÄN</t>
        </is>
      </c>
      <c r="E616" t="inlineStr">
        <is>
          <t>ÖREBRO</t>
        </is>
      </c>
      <c r="G616" t="n">
        <v>5.8</v>
      </c>
      <c r="H616" t="n">
        <v>0</v>
      </c>
      <c r="I616" t="n">
        <v>0</v>
      </c>
      <c r="J616" t="n">
        <v>0</v>
      </c>
      <c r="K616" t="n">
        <v>0</v>
      </c>
      <c r="L616" t="n">
        <v>0</v>
      </c>
      <c r="M616" t="n">
        <v>0</v>
      </c>
      <c r="N616" t="n">
        <v>0</v>
      </c>
      <c r="O616" t="n">
        <v>0</v>
      </c>
      <c r="P616" t="n">
        <v>0</v>
      </c>
      <c r="Q616" t="n">
        <v>0</v>
      </c>
      <c r="R616" s="2" t="inlineStr"/>
    </row>
    <row r="617" ht="15" customHeight="1">
      <c r="A617" t="inlineStr">
        <is>
          <t>A 29978-2024</t>
        </is>
      </c>
      <c r="B617" s="1" t="n">
        <v>45488.48340277778</v>
      </c>
      <c r="C617" s="1" t="n">
        <v>46160</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30903-2024</t>
        </is>
      </c>
      <c r="B618" s="1" t="n">
        <v>45498.49946759259</v>
      </c>
      <c r="C618" s="1" t="n">
        <v>46160</v>
      </c>
      <c r="D618" t="inlineStr">
        <is>
          <t>ÖREBRO LÄN</t>
        </is>
      </c>
      <c r="E618" t="inlineStr">
        <is>
          <t>ÖREBRO</t>
        </is>
      </c>
      <c r="G618" t="n">
        <v>1.1</v>
      </c>
      <c r="H618" t="n">
        <v>0</v>
      </c>
      <c r="I618" t="n">
        <v>0</v>
      </c>
      <c r="J618" t="n">
        <v>0</v>
      </c>
      <c r="K618" t="n">
        <v>0</v>
      </c>
      <c r="L618" t="n">
        <v>0</v>
      </c>
      <c r="M618" t="n">
        <v>0</v>
      </c>
      <c r="N618" t="n">
        <v>0</v>
      </c>
      <c r="O618" t="n">
        <v>0</v>
      </c>
      <c r="P618" t="n">
        <v>0</v>
      </c>
      <c r="Q618" t="n">
        <v>0</v>
      </c>
      <c r="R618" s="2" t="inlineStr"/>
    </row>
    <row r="619" ht="15" customHeight="1">
      <c r="A619" t="inlineStr">
        <is>
          <t>A 58611-2024</t>
        </is>
      </c>
      <c r="B619" s="1" t="n">
        <v>45635.55555555555</v>
      </c>
      <c r="C619" s="1" t="n">
        <v>46160</v>
      </c>
      <c r="D619" t="inlineStr">
        <is>
          <t>ÖREBRO LÄN</t>
        </is>
      </c>
      <c r="E619" t="inlineStr">
        <is>
          <t>ÖREBRO</t>
        </is>
      </c>
      <c r="F619" t="inlineStr">
        <is>
          <t>Sveaskog</t>
        </is>
      </c>
      <c r="G619" t="n">
        <v>0.3</v>
      </c>
      <c r="H619" t="n">
        <v>0</v>
      </c>
      <c r="I619" t="n">
        <v>0</v>
      </c>
      <c r="J619" t="n">
        <v>0</v>
      </c>
      <c r="K619" t="n">
        <v>0</v>
      </c>
      <c r="L619" t="n">
        <v>0</v>
      </c>
      <c r="M619" t="n">
        <v>0</v>
      </c>
      <c r="N619" t="n">
        <v>0</v>
      </c>
      <c r="O619" t="n">
        <v>0</v>
      </c>
      <c r="P619" t="n">
        <v>0</v>
      </c>
      <c r="Q619" t="n">
        <v>0</v>
      </c>
      <c r="R619" s="2" t="inlineStr"/>
    </row>
    <row r="620" ht="15" customHeight="1">
      <c r="A620" t="inlineStr">
        <is>
          <t>A 20146-2024</t>
        </is>
      </c>
      <c r="B620" s="1" t="n">
        <v>45434.57641203704</v>
      </c>
      <c r="C620" s="1" t="n">
        <v>46160</v>
      </c>
      <c r="D620" t="inlineStr">
        <is>
          <t>ÖREBRO LÄN</t>
        </is>
      </c>
      <c r="E620" t="inlineStr">
        <is>
          <t>ÖREBRO</t>
        </is>
      </c>
      <c r="G620" t="n">
        <v>0.5</v>
      </c>
      <c r="H620" t="n">
        <v>0</v>
      </c>
      <c r="I620" t="n">
        <v>0</v>
      </c>
      <c r="J620" t="n">
        <v>0</v>
      </c>
      <c r="K620" t="n">
        <v>0</v>
      </c>
      <c r="L620" t="n">
        <v>0</v>
      </c>
      <c r="M620" t="n">
        <v>0</v>
      </c>
      <c r="N620" t="n">
        <v>0</v>
      </c>
      <c r="O620" t="n">
        <v>0</v>
      </c>
      <c r="P620" t="n">
        <v>0</v>
      </c>
      <c r="Q620" t="n">
        <v>0</v>
      </c>
      <c r="R620" s="2" t="inlineStr"/>
    </row>
    <row r="621" ht="15" customHeight="1">
      <c r="A621" t="inlineStr">
        <is>
          <t>A 53143-2023</t>
        </is>
      </c>
      <c r="B621" s="1" t="n">
        <v>45229</v>
      </c>
      <c r="C621" s="1" t="n">
        <v>46160</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8656-2025</t>
        </is>
      </c>
      <c r="B622" s="1" t="n">
        <v>45712.38268518518</v>
      </c>
      <c r="C622" s="1" t="n">
        <v>46160</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5762-2025</t>
        </is>
      </c>
      <c r="B623" s="1" t="n">
        <v>45694.57181712963</v>
      </c>
      <c r="C623" s="1" t="n">
        <v>46160</v>
      </c>
      <c r="D623" t="inlineStr">
        <is>
          <t>ÖREBRO LÄN</t>
        </is>
      </c>
      <c r="E623" t="inlineStr">
        <is>
          <t>ÖREBRO</t>
        </is>
      </c>
      <c r="F623" t="inlineStr">
        <is>
          <t>Övriga Aktiebolag</t>
        </is>
      </c>
      <c r="G623" t="n">
        <v>1.5</v>
      </c>
      <c r="H623" t="n">
        <v>0</v>
      </c>
      <c r="I623" t="n">
        <v>0</v>
      </c>
      <c r="J623" t="n">
        <v>0</v>
      </c>
      <c r="K623" t="n">
        <v>0</v>
      </c>
      <c r="L623" t="n">
        <v>0</v>
      </c>
      <c r="M623" t="n">
        <v>0</v>
      </c>
      <c r="N623" t="n">
        <v>0</v>
      </c>
      <c r="O623" t="n">
        <v>0</v>
      </c>
      <c r="P623" t="n">
        <v>0</v>
      </c>
      <c r="Q623" t="n">
        <v>0</v>
      </c>
      <c r="R623" s="2" t="inlineStr"/>
    </row>
    <row r="624" ht="15" customHeight="1">
      <c r="A624" t="inlineStr">
        <is>
          <t>A 62794-2021</t>
        </is>
      </c>
      <c r="B624" s="1" t="n">
        <v>44504</v>
      </c>
      <c r="C624" s="1" t="n">
        <v>46160</v>
      </c>
      <c r="D624" t="inlineStr">
        <is>
          <t>ÖREBRO LÄN</t>
        </is>
      </c>
      <c r="E624" t="inlineStr">
        <is>
          <t>ÖREBRO</t>
        </is>
      </c>
      <c r="G624" t="n">
        <v>3.3</v>
      </c>
      <c r="H624" t="n">
        <v>0</v>
      </c>
      <c r="I624" t="n">
        <v>0</v>
      </c>
      <c r="J624" t="n">
        <v>0</v>
      </c>
      <c r="K624" t="n">
        <v>0</v>
      </c>
      <c r="L624" t="n">
        <v>0</v>
      </c>
      <c r="M624" t="n">
        <v>0</v>
      </c>
      <c r="N624" t="n">
        <v>0</v>
      </c>
      <c r="O624" t="n">
        <v>0</v>
      </c>
      <c r="P624" t="n">
        <v>0</v>
      </c>
      <c r="Q624" t="n">
        <v>0</v>
      </c>
      <c r="R624" s="2" t="inlineStr"/>
    </row>
    <row r="625" ht="15" customHeight="1">
      <c r="A625" t="inlineStr">
        <is>
          <t>A 52612-2024</t>
        </is>
      </c>
      <c r="B625" s="1" t="n">
        <v>45609</v>
      </c>
      <c r="C625" s="1" t="n">
        <v>46160</v>
      </c>
      <c r="D625" t="inlineStr">
        <is>
          <t>ÖREBRO LÄN</t>
        </is>
      </c>
      <c r="E625" t="inlineStr">
        <is>
          <t>ÖREBRO</t>
        </is>
      </c>
      <c r="F625" t="inlineStr">
        <is>
          <t>Kommuner</t>
        </is>
      </c>
      <c r="G625" t="n">
        <v>5.5</v>
      </c>
      <c r="H625" t="n">
        <v>0</v>
      </c>
      <c r="I625" t="n">
        <v>0</v>
      </c>
      <c r="J625" t="n">
        <v>0</v>
      </c>
      <c r="K625" t="n">
        <v>0</v>
      </c>
      <c r="L625" t="n">
        <v>0</v>
      </c>
      <c r="M625" t="n">
        <v>0</v>
      </c>
      <c r="N625" t="n">
        <v>0</v>
      </c>
      <c r="O625" t="n">
        <v>0</v>
      </c>
      <c r="P625" t="n">
        <v>0</v>
      </c>
      <c r="Q625" t="n">
        <v>0</v>
      </c>
      <c r="R625" s="2" t="inlineStr"/>
    </row>
    <row r="626" ht="15" customHeight="1">
      <c r="A626" t="inlineStr">
        <is>
          <t>A 5795-2024</t>
        </is>
      </c>
      <c r="B626" s="1" t="n">
        <v>45335.4531712963</v>
      </c>
      <c r="C626" s="1" t="n">
        <v>46160</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37771-2024</t>
        </is>
      </c>
      <c r="B627" s="1" t="n">
        <v>45542.31359953704</v>
      </c>
      <c r="C627" s="1" t="n">
        <v>46160</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15652-2025</t>
        </is>
      </c>
      <c r="B628" s="1" t="n">
        <v>45748</v>
      </c>
      <c r="C628" s="1" t="n">
        <v>46160</v>
      </c>
      <c r="D628" t="inlineStr">
        <is>
          <t>ÖREBRO LÄN</t>
        </is>
      </c>
      <c r="E628" t="inlineStr">
        <is>
          <t>ÖREBRO</t>
        </is>
      </c>
      <c r="G628" t="n">
        <v>1.8</v>
      </c>
      <c r="H628" t="n">
        <v>0</v>
      </c>
      <c r="I628" t="n">
        <v>0</v>
      </c>
      <c r="J628" t="n">
        <v>0</v>
      </c>
      <c r="K628" t="n">
        <v>0</v>
      </c>
      <c r="L628" t="n">
        <v>0</v>
      </c>
      <c r="M628" t="n">
        <v>0</v>
      </c>
      <c r="N628" t="n">
        <v>0</v>
      </c>
      <c r="O628" t="n">
        <v>0</v>
      </c>
      <c r="P628" t="n">
        <v>0</v>
      </c>
      <c r="Q628" t="n">
        <v>0</v>
      </c>
      <c r="R628" s="2" t="inlineStr"/>
    </row>
    <row r="629" ht="15" customHeight="1">
      <c r="A629" t="inlineStr">
        <is>
          <t>A 2076-2025</t>
        </is>
      </c>
      <c r="B629" s="1" t="n">
        <v>45672</v>
      </c>
      <c r="C629" s="1" t="n">
        <v>46160</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14960-2025</t>
        </is>
      </c>
      <c r="B630" s="1" t="n">
        <v>45743.5853125</v>
      </c>
      <c r="C630" s="1" t="n">
        <v>46160</v>
      </c>
      <c r="D630" t="inlineStr">
        <is>
          <t>ÖREBRO LÄN</t>
        </is>
      </c>
      <c r="E630" t="inlineStr">
        <is>
          <t>ÖREBRO</t>
        </is>
      </c>
      <c r="G630" t="n">
        <v>1.6</v>
      </c>
      <c r="H630" t="n">
        <v>0</v>
      </c>
      <c r="I630" t="n">
        <v>0</v>
      </c>
      <c r="J630" t="n">
        <v>0</v>
      </c>
      <c r="K630" t="n">
        <v>0</v>
      </c>
      <c r="L630" t="n">
        <v>0</v>
      </c>
      <c r="M630" t="n">
        <v>0</v>
      </c>
      <c r="N630" t="n">
        <v>0</v>
      </c>
      <c r="O630" t="n">
        <v>0</v>
      </c>
      <c r="P630" t="n">
        <v>0</v>
      </c>
      <c r="Q630" t="n">
        <v>0</v>
      </c>
      <c r="R630" s="2" t="inlineStr"/>
    </row>
    <row r="631" ht="15" customHeight="1">
      <c r="A631" t="inlineStr">
        <is>
          <t>A 60022-2024</t>
        </is>
      </c>
      <c r="B631" s="1" t="n">
        <v>45642</v>
      </c>
      <c r="C631" s="1" t="n">
        <v>46160</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21097-2025</t>
        </is>
      </c>
      <c r="B632" s="1" t="n">
        <v>45777.63863425926</v>
      </c>
      <c r="C632" s="1" t="n">
        <v>46160</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35819-2024</t>
        </is>
      </c>
      <c r="B633" s="1" t="n">
        <v>45532</v>
      </c>
      <c r="C633" s="1" t="n">
        <v>46160</v>
      </c>
      <c r="D633" t="inlineStr">
        <is>
          <t>ÖREBRO LÄN</t>
        </is>
      </c>
      <c r="E633" t="inlineStr">
        <is>
          <t>ÖREBRO</t>
        </is>
      </c>
      <c r="G633" t="n">
        <v>6.4</v>
      </c>
      <c r="H633" t="n">
        <v>0</v>
      </c>
      <c r="I633" t="n">
        <v>0</v>
      </c>
      <c r="J633" t="n">
        <v>0</v>
      </c>
      <c r="K633" t="n">
        <v>0</v>
      </c>
      <c r="L633" t="n">
        <v>0</v>
      </c>
      <c r="M633" t="n">
        <v>0</v>
      </c>
      <c r="N633" t="n">
        <v>0</v>
      </c>
      <c r="O633" t="n">
        <v>0</v>
      </c>
      <c r="P633" t="n">
        <v>0</v>
      </c>
      <c r="Q633" t="n">
        <v>0</v>
      </c>
      <c r="R633" s="2" t="inlineStr"/>
    </row>
    <row r="634" ht="15" customHeight="1">
      <c r="A634" t="inlineStr">
        <is>
          <t>A 32076-2023</t>
        </is>
      </c>
      <c r="B634" s="1" t="n">
        <v>45119.58324074074</v>
      </c>
      <c r="C634" s="1" t="n">
        <v>46160</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764-2024</t>
        </is>
      </c>
      <c r="B635" s="1" t="n">
        <v>45300.51512731481</v>
      </c>
      <c r="C635" s="1" t="n">
        <v>46160</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58644-2023</t>
        </is>
      </c>
      <c r="B636" s="1" t="n">
        <v>45251.58716435185</v>
      </c>
      <c r="C636" s="1" t="n">
        <v>46160</v>
      </c>
      <c r="D636" t="inlineStr">
        <is>
          <t>ÖREBRO LÄN</t>
        </is>
      </c>
      <c r="E636" t="inlineStr">
        <is>
          <t>ÖREBRO</t>
        </is>
      </c>
      <c r="F636" t="inlineStr">
        <is>
          <t>Övriga Aktiebolag</t>
        </is>
      </c>
      <c r="G636" t="n">
        <v>1.9</v>
      </c>
      <c r="H636" t="n">
        <v>0</v>
      </c>
      <c r="I636" t="n">
        <v>0</v>
      </c>
      <c r="J636" t="n">
        <v>0</v>
      </c>
      <c r="K636" t="n">
        <v>0</v>
      </c>
      <c r="L636" t="n">
        <v>0</v>
      </c>
      <c r="M636" t="n">
        <v>0</v>
      </c>
      <c r="N636" t="n">
        <v>0</v>
      </c>
      <c r="O636" t="n">
        <v>0</v>
      </c>
      <c r="P636" t="n">
        <v>0</v>
      </c>
      <c r="Q636" t="n">
        <v>0</v>
      </c>
      <c r="R636" s="2" t="inlineStr"/>
    </row>
    <row r="637" ht="15" customHeight="1">
      <c r="A637" t="inlineStr">
        <is>
          <t>A 21338-2025</t>
        </is>
      </c>
      <c r="B637" s="1" t="n">
        <v>45780</v>
      </c>
      <c r="C637" s="1" t="n">
        <v>46160</v>
      </c>
      <c r="D637" t="inlineStr">
        <is>
          <t>ÖREBRO LÄN</t>
        </is>
      </c>
      <c r="E637" t="inlineStr">
        <is>
          <t>ÖREBRO</t>
        </is>
      </c>
      <c r="G637" t="n">
        <v>3.2</v>
      </c>
      <c r="H637" t="n">
        <v>0</v>
      </c>
      <c r="I637" t="n">
        <v>0</v>
      </c>
      <c r="J637" t="n">
        <v>0</v>
      </c>
      <c r="K637" t="n">
        <v>0</v>
      </c>
      <c r="L637" t="n">
        <v>0</v>
      </c>
      <c r="M637" t="n">
        <v>0</v>
      </c>
      <c r="N637" t="n">
        <v>0</v>
      </c>
      <c r="O637" t="n">
        <v>0</v>
      </c>
      <c r="P637" t="n">
        <v>0</v>
      </c>
      <c r="Q637" t="n">
        <v>0</v>
      </c>
      <c r="R637" s="2" t="inlineStr"/>
    </row>
    <row r="638" ht="15" customHeight="1">
      <c r="A638" t="inlineStr">
        <is>
          <t>A 22755-2025</t>
        </is>
      </c>
      <c r="B638" s="1" t="n">
        <v>45789.61872685186</v>
      </c>
      <c r="C638" s="1" t="n">
        <v>46160</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44199-2024</t>
        </is>
      </c>
      <c r="B639" s="1" t="n">
        <v>45573</v>
      </c>
      <c r="C639" s="1" t="n">
        <v>46160</v>
      </c>
      <c r="D639" t="inlineStr">
        <is>
          <t>ÖREBRO LÄN</t>
        </is>
      </c>
      <c r="E639" t="inlineStr">
        <is>
          <t>ÖREBRO</t>
        </is>
      </c>
      <c r="G639" t="n">
        <v>4.3</v>
      </c>
      <c r="H639" t="n">
        <v>0</v>
      </c>
      <c r="I639" t="n">
        <v>0</v>
      </c>
      <c r="J639" t="n">
        <v>0</v>
      </c>
      <c r="K639" t="n">
        <v>0</v>
      </c>
      <c r="L639" t="n">
        <v>0</v>
      </c>
      <c r="M639" t="n">
        <v>0</v>
      </c>
      <c r="N639" t="n">
        <v>0</v>
      </c>
      <c r="O639" t="n">
        <v>0</v>
      </c>
      <c r="P639" t="n">
        <v>0</v>
      </c>
      <c r="Q639" t="n">
        <v>0</v>
      </c>
      <c r="R639" s="2" t="inlineStr"/>
    </row>
    <row r="640" ht="15" customHeight="1">
      <c r="A640" t="inlineStr">
        <is>
          <t>A 34336-2024</t>
        </is>
      </c>
      <c r="B640" s="1" t="n">
        <v>45524.94774305556</v>
      </c>
      <c r="C640" s="1" t="n">
        <v>46160</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26443-2024</t>
        </is>
      </c>
      <c r="B641" s="1" t="n">
        <v>45469.49901620371</v>
      </c>
      <c r="C641" s="1" t="n">
        <v>46160</v>
      </c>
      <c r="D641" t="inlineStr">
        <is>
          <t>ÖREBRO LÄN</t>
        </is>
      </c>
      <c r="E641" t="inlineStr">
        <is>
          <t>ÖREBRO</t>
        </is>
      </c>
      <c r="G641" t="n">
        <v>5.7</v>
      </c>
      <c r="H641" t="n">
        <v>0</v>
      </c>
      <c r="I641" t="n">
        <v>0</v>
      </c>
      <c r="J641" t="n">
        <v>0</v>
      </c>
      <c r="K641" t="n">
        <v>0</v>
      </c>
      <c r="L641" t="n">
        <v>0</v>
      </c>
      <c r="M641" t="n">
        <v>0</v>
      </c>
      <c r="N641" t="n">
        <v>0</v>
      </c>
      <c r="O641" t="n">
        <v>0</v>
      </c>
      <c r="P641" t="n">
        <v>0</v>
      </c>
      <c r="Q641" t="n">
        <v>0</v>
      </c>
      <c r="R641" s="2" t="inlineStr"/>
    </row>
    <row r="642" ht="15" customHeight="1">
      <c r="A642" t="inlineStr">
        <is>
          <t>A 35477-2024</t>
        </is>
      </c>
      <c r="B642" s="1" t="n">
        <v>45531</v>
      </c>
      <c r="C642" s="1" t="n">
        <v>46160</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22719-2025</t>
        </is>
      </c>
      <c r="B643" s="1" t="n">
        <v>45789</v>
      </c>
      <c r="C643" s="1" t="n">
        <v>46160</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row r="644" ht="15" customHeight="1">
      <c r="A644" t="inlineStr">
        <is>
          <t>A 30316-2024</t>
        </is>
      </c>
      <c r="B644" s="1" t="n">
        <v>45490</v>
      </c>
      <c r="C644" s="1" t="n">
        <v>46160</v>
      </c>
      <c r="D644" t="inlineStr">
        <is>
          <t>ÖREBRO LÄN</t>
        </is>
      </c>
      <c r="E644" t="inlineStr">
        <is>
          <t>ÖREBRO</t>
        </is>
      </c>
      <c r="G644" t="n">
        <v>5.5</v>
      </c>
      <c r="H644" t="n">
        <v>0</v>
      </c>
      <c r="I644" t="n">
        <v>0</v>
      </c>
      <c r="J644" t="n">
        <v>0</v>
      </c>
      <c r="K644" t="n">
        <v>0</v>
      </c>
      <c r="L644" t="n">
        <v>0</v>
      </c>
      <c r="M644" t="n">
        <v>0</v>
      </c>
      <c r="N644" t="n">
        <v>0</v>
      </c>
      <c r="O644" t="n">
        <v>0</v>
      </c>
      <c r="P644" t="n">
        <v>0</v>
      </c>
      <c r="Q644" t="n">
        <v>0</v>
      </c>
      <c r="R644" s="2" t="inlineStr"/>
    </row>
    <row r="645" ht="15" customHeight="1">
      <c r="A645" t="inlineStr">
        <is>
          <t>A 38790-2024</t>
        </is>
      </c>
      <c r="B645" s="1" t="n">
        <v>45547.48450231482</v>
      </c>
      <c r="C645" s="1" t="n">
        <v>46160</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61279-2024</t>
        </is>
      </c>
      <c r="B646" s="1" t="n">
        <v>45645</v>
      </c>
      <c r="C646" s="1" t="n">
        <v>46160</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c r="A647" t="inlineStr">
        <is>
          <t>A 71269-2021</t>
        </is>
      </c>
      <c r="B647" s="1" t="n">
        <v>44539</v>
      </c>
      <c r="C647" s="1" t="n">
        <v>46160</v>
      </c>
      <c r="D647" t="inlineStr">
        <is>
          <t>ÖREBRO LÄN</t>
        </is>
      </c>
      <c r="E647" t="inlineStr">
        <is>
          <t>ÖREBRO</t>
        </is>
      </c>
      <c r="G647" t="n">
        <v>1.4</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2026-05-18T11:00:38Z</dcterms:created>
  <dcterms:modified xmlns:dcterms="http://purl.org/dc/terms/" xmlns:xsi="http://www.w3.org/2001/XMLSchema-instance" xsi:type="dcterms:W3CDTF">2026-05-18T11:00:39Z</dcterms:modified>
</cp:coreProperties>
</file>