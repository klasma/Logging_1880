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45966</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45966</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45966</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45966</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45966</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5354-2024</t>
        </is>
      </c>
      <c r="B11" s="1" t="n">
        <v>45331</v>
      </c>
      <c r="C11" s="1" t="n">
        <v>45966</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45966</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12974-2022</t>
        </is>
      </c>
      <c r="B13" s="1" t="n">
        <v>44643.38490740741</v>
      </c>
      <c r="C13" s="1" t="n">
        <v>45966</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45966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51530-2024</t>
        </is>
      </c>
      <c r="B15" s="1" t="n">
        <v>45604</v>
      </c>
      <c r="C15" s="1" t="n">
        <v>45966</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57553-2023</t>
        </is>
      </c>
      <c r="B16" s="1" t="n">
        <v>45246</v>
      </c>
      <c r="C16" s="1" t="n">
        <v>45966</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29487-2022</t>
        </is>
      </c>
      <c r="B17" s="1" t="n">
        <v>44753</v>
      </c>
      <c r="C17" s="1" t="n">
        <v>45966</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45966</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45966</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45966</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45966</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45966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45966</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45966</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45966</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45966</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45966</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7608-2024</t>
        </is>
      </c>
      <c r="B28" s="1" t="n">
        <v>45348</v>
      </c>
      <c r="C28" s="1" t="n">
        <v>45966</v>
      </c>
      <c r="D28" t="inlineStr">
        <is>
          <t>ÖREBRO LÄN</t>
        </is>
      </c>
      <c r="E28" t="inlineStr">
        <is>
          <t>ÖREBRO</t>
        </is>
      </c>
      <c r="G28" t="n">
        <v>4.3</v>
      </c>
      <c r="H28" t="n">
        <v>2</v>
      </c>
      <c r="I28" t="n">
        <v>0</v>
      </c>
      <c r="J28" t="n">
        <v>1</v>
      </c>
      <c r="K28" t="n">
        <v>1</v>
      </c>
      <c r="L28" t="n">
        <v>0</v>
      </c>
      <c r="M28" t="n">
        <v>0</v>
      </c>
      <c r="N28" t="n">
        <v>0</v>
      </c>
      <c r="O28" t="n">
        <v>2</v>
      </c>
      <c r="P28" t="n">
        <v>1</v>
      </c>
      <c r="Q28" t="n">
        <v>2</v>
      </c>
      <c r="R28" s="2" t="inlineStr">
        <is>
          <t>Knärot
Spillkråka</t>
        </is>
      </c>
      <c r="S28">
        <f>HYPERLINK("https://klasma.github.io/Logging_1880/artfynd/A 7608-2024 artfynd.xlsx", "A 7608-2024")</f>
        <v/>
      </c>
      <c r="T28">
        <f>HYPERLINK("https://klasma.github.io/Logging_1880/kartor/A 7608-2024 karta.png", "A 7608-2024")</f>
        <v/>
      </c>
      <c r="U28">
        <f>HYPERLINK("https://klasma.github.io/Logging_1880/knärot/A 7608-2024 karta knärot.png", "A 7608-2024")</f>
        <v/>
      </c>
      <c r="V28">
        <f>HYPERLINK("https://klasma.github.io/Logging_1880/klagomål/A 7608-2024 FSC-klagomål.docx", "A 7608-2024")</f>
        <v/>
      </c>
      <c r="W28">
        <f>HYPERLINK("https://klasma.github.io/Logging_1880/klagomålsmail/A 7608-2024 FSC-klagomål mail.docx", "A 7608-2024")</f>
        <v/>
      </c>
      <c r="X28">
        <f>HYPERLINK("https://klasma.github.io/Logging_1880/tillsyn/A 7608-2024 tillsynsbegäran.docx", "A 7608-2024")</f>
        <v/>
      </c>
      <c r="Y28">
        <f>HYPERLINK("https://klasma.github.io/Logging_1880/tillsynsmail/A 7608-2024 tillsynsbegäran mail.docx", "A 7608-2024")</f>
        <v/>
      </c>
      <c r="Z28">
        <f>HYPERLINK("https://klasma.github.io/Logging_1880/fåglar/A 7608-2024 prioriterade fågelarter.docx", "A 7608-2024")</f>
        <v/>
      </c>
    </row>
    <row r="29" ht="15" customHeight="1">
      <c r="A29" t="inlineStr">
        <is>
          <t>A 52400-2024</t>
        </is>
      </c>
      <c r="B29" s="1" t="n">
        <v>45609.44461805555</v>
      </c>
      <c r="C29" s="1" t="n">
        <v>45966</v>
      </c>
      <c r="D29" t="inlineStr">
        <is>
          <t>ÖREBRO LÄN</t>
        </is>
      </c>
      <c r="E29" t="inlineStr">
        <is>
          <t>ÖREBRO</t>
        </is>
      </c>
      <c r="F29" t="inlineStr">
        <is>
          <t>Sveaskog</t>
        </is>
      </c>
      <c r="G29" t="n">
        <v>7</v>
      </c>
      <c r="H29" t="n">
        <v>2</v>
      </c>
      <c r="I29" t="n">
        <v>0</v>
      </c>
      <c r="J29" t="n">
        <v>0</v>
      </c>
      <c r="K29" t="n">
        <v>1</v>
      </c>
      <c r="L29" t="n">
        <v>0</v>
      </c>
      <c r="M29" t="n">
        <v>0</v>
      </c>
      <c r="N29" t="n">
        <v>0</v>
      </c>
      <c r="O29" t="n">
        <v>1</v>
      </c>
      <c r="P29" t="n">
        <v>1</v>
      </c>
      <c r="Q29" t="n">
        <v>2</v>
      </c>
      <c r="R29" s="2" t="inlineStr">
        <is>
          <t>Väddnätfjäril
Grönvit nattviol</t>
        </is>
      </c>
      <c r="S29">
        <f>HYPERLINK("https://klasma.github.io/Logging_1880/artfynd/A 52400-2024 artfynd.xlsx", "A 52400-2024")</f>
        <v/>
      </c>
      <c r="T29">
        <f>HYPERLINK("https://klasma.github.io/Logging_1880/kartor/A 52400-2024 karta.png", "A 52400-2024")</f>
        <v/>
      </c>
      <c r="V29">
        <f>HYPERLINK("https://klasma.github.io/Logging_1880/klagomål/A 52400-2024 FSC-klagomål.docx", "A 52400-2024")</f>
        <v/>
      </c>
      <c r="W29">
        <f>HYPERLINK("https://klasma.github.io/Logging_1880/klagomålsmail/A 52400-2024 FSC-klagomål mail.docx", "A 52400-2024")</f>
        <v/>
      </c>
      <c r="X29">
        <f>HYPERLINK("https://klasma.github.io/Logging_1880/tillsyn/A 52400-2024 tillsynsbegäran.docx", "A 52400-2024")</f>
        <v/>
      </c>
      <c r="Y29">
        <f>HYPERLINK("https://klasma.github.io/Logging_1880/tillsynsmail/A 52400-2024 tillsynsbegäran mail.docx", "A 52400-2024")</f>
        <v/>
      </c>
    </row>
    <row r="30" ht="15" customHeight="1">
      <c r="A30" t="inlineStr">
        <is>
          <t>A 22577-2024</t>
        </is>
      </c>
      <c r="B30" s="1" t="n">
        <v>45447</v>
      </c>
      <c r="C30" s="1" t="n">
        <v>45966</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37019-2024</t>
        </is>
      </c>
      <c r="B31" s="1" t="n">
        <v>45539.37905092593</v>
      </c>
      <c r="C31" s="1" t="n">
        <v>45966</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51550-2025</t>
        </is>
      </c>
      <c r="B32" s="1" t="n">
        <v>45950.83359953704</v>
      </c>
      <c r="C32" s="1" t="n">
        <v>45966</v>
      </c>
      <c r="D32" t="inlineStr">
        <is>
          <t>ÖREBRO LÄN</t>
        </is>
      </c>
      <c r="E32" t="inlineStr">
        <is>
          <t>ÖREBRO</t>
        </is>
      </c>
      <c r="F32" t="inlineStr">
        <is>
          <t>Övriga Aktiebolag</t>
        </is>
      </c>
      <c r="G32" t="n">
        <v>5.5</v>
      </c>
      <c r="H32" t="n">
        <v>0</v>
      </c>
      <c r="I32" t="n">
        <v>1</v>
      </c>
      <c r="J32" t="n">
        <v>1</v>
      </c>
      <c r="K32" t="n">
        <v>0</v>
      </c>
      <c r="L32" t="n">
        <v>0</v>
      </c>
      <c r="M32" t="n">
        <v>0</v>
      </c>
      <c r="N32" t="n">
        <v>0</v>
      </c>
      <c r="O32" t="n">
        <v>1</v>
      </c>
      <c r="P32" t="n">
        <v>0</v>
      </c>
      <c r="Q32" t="n">
        <v>2</v>
      </c>
      <c r="R32" s="2" t="inlineStr">
        <is>
          <t>Bryngökbi
Tibast</t>
        </is>
      </c>
      <c r="S32">
        <f>HYPERLINK("https://klasma.github.io/Logging_1880/artfynd/A 51550-2025 artfynd.xlsx", "A 51550-2025")</f>
        <v/>
      </c>
      <c r="T32">
        <f>HYPERLINK("https://klasma.github.io/Logging_1880/kartor/A 51550-2025 karta.png", "A 51550-2025")</f>
        <v/>
      </c>
      <c r="V32">
        <f>HYPERLINK("https://klasma.github.io/Logging_1880/klagomål/A 51550-2025 FSC-klagomål.docx", "A 51550-2025")</f>
        <v/>
      </c>
      <c r="W32">
        <f>HYPERLINK("https://klasma.github.io/Logging_1880/klagomålsmail/A 51550-2025 FSC-klagomål mail.docx", "A 51550-2025")</f>
        <v/>
      </c>
      <c r="X32">
        <f>HYPERLINK("https://klasma.github.io/Logging_1880/tillsyn/A 51550-2025 tillsynsbegäran.docx", "A 51550-2025")</f>
        <v/>
      </c>
      <c r="Y32">
        <f>HYPERLINK("https://klasma.github.io/Logging_1880/tillsynsmail/A 51550-2025 tillsynsbegäran mail.docx", "A 51550-2025")</f>
        <v/>
      </c>
    </row>
    <row r="33" ht="15" customHeight="1">
      <c r="A33" t="inlineStr">
        <is>
          <t>A 8267-2021</t>
        </is>
      </c>
      <c r="B33" s="1" t="n">
        <v>44244</v>
      </c>
      <c r="C33" s="1" t="n">
        <v>45966</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45966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45966</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13458-2024</t>
        </is>
      </c>
      <c r="B36" s="1" t="n">
        <v>45387.54642361111</v>
      </c>
      <c r="C36" s="1" t="n">
        <v>45966</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14956-2025</t>
        </is>
      </c>
      <c r="B37" s="1" t="n">
        <v>45743.58409722222</v>
      </c>
      <c r="C37" s="1" t="n">
        <v>45966</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45966</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45966</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45966</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5097-2023</t>
        </is>
      </c>
      <c r="B41" s="1" t="n">
        <v>44958</v>
      </c>
      <c r="C41" s="1" t="n">
        <v>45966</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26890-2022</t>
        </is>
      </c>
      <c r="B42" s="1" t="n">
        <v>44740</v>
      </c>
      <c r="C42" s="1" t="n">
        <v>45966</v>
      </c>
      <c r="D42" t="inlineStr">
        <is>
          <t>ÖREBRO LÄN</t>
        </is>
      </c>
      <c r="E42" t="inlineStr">
        <is>
          <t>ÖREBRO</t>
        </is>
      </c>
      <c r="G42" t="n">
        <v>4.2</v>
      </c>
      <c r="H42" t="n">
        <v>1</v>
      </c>
      <c r="I42" t="n">
        <v>0</v>
      </c>
      <c r="J42" t="n">
        <v>0</v>
      </c>
      <c r="K42" t="n">
        <v>1</v>
      </c>
      <c r="L42" t="n">
        <v>0</v>
      </c>
      <c r="M42" t="n">
        <v>0</v>
      </c>
      <c r="N42" t="n">
        <v>0</v>
      </c>
      <c r="O42" t="n">
        <v>1</v>
      </c>
      <c r="P42" t="n">
        <v>1</v>
      </c>
      <c r="Q42" t="n">
        <v>1</v>
      </c>
      <c r="R42" s="2" t="inlineStr">
        <is>
          <t>Hällebräcka</t>
        </is>
      </c>
      <c r="S42">
        <f>HYPERLINK("https://klasma.github.io/Logging_1880/artfynd/A 26890-2022 artfynd.xlsx", "A 26890-2022")</f>
        <v/>
      </c>
      <c r="T42">
        <f>HYPERLINK("https://klasma.github.io/Logging_1880/kartor/A 26890-2022 karta.png", "A 26890-2022")</f>
        <v/>
      </c>
      <c r="V42">
        <f>HYPERLINK("https://klasma.github.io/Logging_1880/klagomål/A 26890-2022 FSC-klagomål.docx", "A 26890-2022")</f>
        <v/>
      </c>
      <c r="W42">
        <f>HYPERLINK("https://klasma.github.io/Logging_1880/klagomålsmail/A 26890-2022 FSC-klagomål mail.docx", "A 26890-2022")</f>
        <v/>
      </c>
      <c r="X42">
        <f>HYPERLINK("https://klasma.github.io/Logging_1880/tillsyn/A 26890-2022 tillsynsbegäran.docx", "A 26890-2022")</f>
        <v/>
      </c>
      <c r="Y42">
        <f>HYPERLINK("https://klasma.github.io/Logging_1880/tillsynsmail/A 26890-2022 tillsynsbegäran mail.docx", "A 26890-2022")</f>
        <v/>
      </c>
    </row>
    <row r="43" ht="15" customHeight="1">
      <c r="A43" t="inlineStr">
        <is>
          <t>A 43332-2022</t>
        </is>
      </c>
      <c r="B43" s="1" t="n">
        <v>44834</v>
      </c>
      <c r="C43" s="1" t="n">
        <v>45966</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32105-2023</t>
        </is>
      </c>
      <c r="B44" s="1" t="n">
        <v>45119</v>
      </c>
      <c r="C44" s="1" t="n">
        <v>45966</v>
      </c>
      <c r="D44" t="inlineStr">
        <is>
          <t>ÖREBRO LÄN</t>
        </is>
      </c>
      <c r="E44" t="inlineStr">
        <is>
          <t>ÖREBRO</t>
        </is>
      </c>
      <c r="G44" t="n">
        <v>1.3</v>
      </c>
      <c r="H44" t="n">
        <v>1</v>
      </c>
      <c r="I44" t="n">
        <v>0</v>
      </c>
      <c r="J44" t="n">
        <v>1</v>
      </c>
      <c r="K44" t="n">
        <v>0</v>
      </c>
      <c r="L44" t="n">
        <v>0</v>
      </c>
      <c r="M44" t="n">
        <v>0</v>
      </c>
      <c r="N44" t="n">
        <v>0</v>
      </c>
      <c r="O44" t="n">
        <v>1</v>
      </c>
      <c r="P44" t="n">
        <v>0</v>
      </c>
      <c r="Q44" t="n">
        <v>1</v>
      </c>
      <c r="R44" s="2" t="inlineStr">
        <is>
          <t>Rödvingetrast</t>
        </is>
      </c>
      <c r="S44">
        <f>HYPERLINK("https://klasma.github.io/Logging_1880/artfynd/A 32105-2023 artfynd.xlsx", "A 32105-2023")</f>
        <v/>
      </c>
      <c r="T44">
        <f>HYPERLINK("https://klasma.github.io/Logging_1880/kartor/A 32105-2023 karta.png", "A 32105-2023")</f>
        <v/>
      </c>
      <c r="V44">
        <f>HYPERLINK("https://klasma.github.io/Logging_1880/klagomål/A 32105-2023 FSC-klagomål.docx", "A 32105-2023")</f>
        <v/>
      </c>
      <c r="W44">
        <f>HYPERLINK("https://klasma.github.io/Logging_1880/klagomålsmail/A 32105-2023 FSC-klagomål mail.docx", "A 32105-2023")</f>
        <v/>
      </c>
      <c r="X44">
        <f>HYPERLINK("https://klasma.github.io/Logging_1880/tillsyn/A 32105-2023 tillsynsbegäran.docx", "A 32105-2023")</f>
        <v/>
      </c>
      <c r="Y44">
        <f>HYPERLINK("https://klasma.github.io/Logging_1880/tillsynsmail/A 32105-2023 tillsynsbegäran mail.docx", "A 32105-2023")</f>
        <v/>
      </c>
      <c r="Z44">
        <f>HYPERLINK("https://klasma.github.io/Logging_1880/fåglar/A 32105-2023 prioriterade fågelarter.docx", "A 32105-2023")</f>
        <v/>
      </c>
    </row>
    <row r="45" ht="15" customHeight="1">
      <c r="A45" t="inlineStr">
        <is>
          <t>A 23998-2025</t>
        </is>
      </c>
      <c r="B45" s="1" t="n">
        <v>45796.42209490741</v>
      </c>
      <c r="C45" s="1" t="n">
        <v>45966</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20247-2023</t>
        </is>
      </c>
      <c r="B46" s="1" t="n">
        <v>45055</v>
      </c>
      <c r="C46" s="1" t="n">
        <v>45966</v>
      </c>
      <c r="D46" t="inlineStr">
        <is>
          <t>ÖREBRO LÄN</t>
        </is>
      </c>
      <c r="E46" t="inlineStr">
        <is>
          <t>ÖREBRO</t>
        </is>
      </c>
      <c r="G46" t="n">
        <v>3</v>
      </c>
      <c r="H46" t="n">
        <v>1</v>
      </c>
      <c r="I46" t="n">
        <v>0</v>
      </c>
      <c r="J46" t="n">
        <v>0</v>
      </c>
      <c r="K46" t="n">
        <v>0</v>
      </c>
      <c r="L46" t="n">
        <v>0</v>
      </c>
      <c r="M46" t="n">
        <v>0</v>
      </c>
      <c r="N46" t="n">
        <v>0</v>
      </c>
      <c r="O46" t="n">
        <v>0</v>
      </c>
      <c r="P46" t="n">
        <v>0</v>
      </c>
      <c r="Q46" t="n">
        <v>1</v>
      </c>
      <c r="R46" s="2" t="inlineStr">
        <is>
          <t>Större vattensalamander</t>
        </is>
      </c>
      <c r="S46">
        <f>HYPERLINK("https://klasma.github.io/Logging_1880/artfynd/A 20247-2023 artfynd.xlsx", "A 20247-2023")</f>
        <v/>
      </c>
      <c r="T46">
        <f>HYPERLINK("https://klasma.github.io/Logging_1880/kartor/A 20247-2023 karta.png", "A 20247-2023")</f>
        <v/>
      </c>
      <c r="V46">
        <f>HYPERLINK("https://klasma.github.io/Logging_1880/klagomål/A 20247-2023 FSC-klagomål.docx", "A 20247-2023")</f>
        <v/>
      </c>
      <c r="W46">
        <f>HYPERLINK("https://klasma.github.io/Logging_1880/klagomålsmail/A 20247-2023 FSC-klagomål mail.docx", "A 20247-2023")</f>
        <v/>
      </c>
      <c r="X46">
        <f>HYPERLINK("https://klasma.github.io/Logging_1880/tillsyn/A 20247-2023 tillsynsbegäran.docx", "A 20247-2023")</f>
        <v/>
      </c>
      <c r="Y46">
        <f>HYPERLINK("https://klasma.github.io/Logging_1880/tillsynsmail/A 20247-2023 tillsynsbegäran mail.docx", "A 20247-2023")</f>
        <v/>
      </c>
    </row>
    <row r="47" ht="15" customHeight="1">
      <c r="A47" t="inlineStr">
        <is>
          <t>A 22604-2024</t>
        </is>
      </c>
      <c r="B47" s="1" t="n">
        <v>45447</v>
      </c>
      <c r="C47" s="1" t="n">
        <v>45966</v>
      </c>
      <c r="D47" t="inlineStr">
        <is>
          <t>ÖREBRO LÄN</t>
        </is>
      </c>
      <c r="E47" t="inlineStr">
        <is>
          <t>ÖREBRO</t>
        </is>
      </c>
      <c r="G47" t="n">
        <v>4.4</v>
      </c>
      <c r="H47" t="n">
        <v>0</v>
      </c>
      <c r="I47" t="n">
        <v>0</v>
      </c>
      <c r="J47" t="n">
        <v>1</v>
      </c>
      <c r="K47" t="n">
        <v>0</v>
      </c>
      <c r="L47" t="n">
        <v>0</v>
      </c>
      <c r="M47" t="n">
        <v>0</v>
      </c>
      <c r="N47" t="n">
        <v>0</v>
      </c>
      <c r="O47" t="n">
        <v>1</v>
      </c>
      <c r="P47" t="n">
        <v>0</v>
      </c>
      <c r="Q47" t="n">
        <v>1</v>
      </c>
      <c r="R47" s="2" t="inlineStr">
        <is>
          <t>Månlåsbräken</t>
        </is>
      </c>
      <c r="S47">
        <f>HYPERLINK("https://klasma.github.io/Logging_1880/artfynd/A 22604-2024 artfynd.xlsx", "A 22604-2024")</f>
        <v/>
      </c>
      <c r="T47">
        <f>HYPERLINK("https://klasma.github.io/Logging_1880/kartor/A 22604-2024 karta.png", "A 22604-2024")</f>
        <v/>
      </c>
      <c r="V47">
        <f>HYPERLINK("https://klasma.github.io/Logging_1880/klagomål/A 22604-2024 FSC-klagomål.docx", "A 22604-2024")</f>
        <v/>
      </c>
      <c r="W47">
        <f>HYPERLINK("https://klasma.github.io/Logging_1880/klagomålsmail/A 22604-2024 FSC-klagomål mail.docx", "A 22604-2024")</f>
        <v/>
      </c>
      <c r="X47">
        <f>HYPERLINK("https://klasma.github.io/Logging_1880/tillsyn/A 22604-2024 tillsynsbegäran.docx", "A 22604-2024")</f>
        <v/>
      </c>
      <c r="Y47">
        <f>HYPERLINK("https://klasma.github.io/Logging_1880/tillsynsmail/A 22604-2024 tillsynsbegäran mail.docx", "A 22604-2024")</f>
        <v/>
      </c>
    </row>
    <row r="48" ht="15" customHeight="1">
      <c r="A48" t="inlineStr">
        <is>
          <t>A 50499-2025</t>
        </is>
      </c>
      <c r="B48" s="1" t="n">
        <v>45945.41712962963</v>
      </c>
      <c r="C48" s="1" t="n">
        <v>45966</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11501-2025</t>
        </is>
      </c>
      <c r="B49" s="1" t="n">
        <v>45726</v>
      </c>
      <c r="C49" s="1" t="n">
        <v>45966</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44389-2021</t>
        </is>
      </c>
      <c r="B50" s="1" t="n">
        <v>44435</v>
      </c>
      <c r="C50" s="1" t="n">
        <v>45966</v>
      </c>
      <c r="D50" t="inlineStr">
        <is>
          <t>ÖREBRO LÄN</t>
        </is>
      </c>
      <c r="E50" t="inlineStr">
        <is>
          <t>ÖREBRO</t>
        </is>
      </c>
      <c r="G50" t="n">
        <v>2.2</v>
      </c>
      <c r="H50" t="n">
        <v>1</v>
      </c>
      <c r="I50" t="n">
        <v>0</v>
      </c>
      <c r="J50" t="n">
        <v>0</v>
      </c>
      <c r="K50" t="n">
        <v>1</v>
      </c>
      <c r="L50" t="n">
        <v>0</v>
      </c>
      <c r="M50" t="n">
        <v>0</v>
      </c>
      <c r="N50" t="n">
        <v>0</v>
      </c>
      <c r="O50" t="n">
        <v>1</v>
      </c>
      <c r="P50" t="n">
        <v>1</v>
      </c>
      <c r="Q50" t="n">
        <v>1</v>
      </c>
      <c r="R50" s="2" t="inlineStr">
        <is>
          <t>Knärot</t>
        </is>
      </c>
      <c r="S50">
        <f>HYPERLINK("https://klasma.github.io/Logging_1880/artfynd/A 44389-2021 artfynd.xlsx", "A 44389-2021")</f>
        <v/>
      </c>
      <c r="T50">
        <f>HYPERLINK("https://klasma.github.io/Logging_1880/kartor/A 44389-2021 karta.png", "A 44389-2021")</f>
        <v/>
      </c>
      <c r="U50">
        <f>HYPERLINK("https://klasma.github.io/Logging_1880/knärot/A 44389-2021 karta knärot.png", "A 44389-2021")</f>
        <v/>
      </c>
      <c r="V50">
        <f>HYPERLINK("https://klasma.github.io/Logging_1880/klagomål/A 44389-2021 FSC-klagomål.docx", "A 44389-2021")</f>
        <v/>
      </c>
      <c r="W50">
        <f>HYPERLINK("https://klasma.github.io/Logging_1880/klagomålsmail/A 44389-2021 FSC-klagomål mail.docx", "A 44389-2021")</f>
        <v/>
      </c>
      <c r="X50">
        <f>HYPERLINK("https://klasma.github.io/Logging_1880/tillsyn/A 44389-2021 tillsynsbegäran.docx", "A 44389-2021")</f>
        <v/>
      </c>
      <c r="Y50">
        <f>HYPERLINK("https://klasma.github.io/Logging_1880/tillsynsmail/A 44389-2021 tillsynsbegäran mail.docx", "A 44389-2021")</f>
        <v/>
      </c>
    </row>
    <row r="51" ht="15" customHeight="1">
      <c r="A51" t="inlineStr">
        <is>
          <t>A 58966-2020</t>
        </is>
      </c>
      <c r="B51" s="1" t="n">
        <v>44146</v>
      </c>
      <c r="C51" s="1" t="n">
        <v>45966</v>
      </c>
      <c r="D51" t="inlineStr">
        <is>
          <t>ÖREBRO LÄN</t>
        </is>
      </c>
      <c r="E51" t="inlineStr">
        <is>
          <t>ÖREBRO</t>
        </is>
      </c>
      <c r="F51" t="inlineStr">
        <is>
          <t>Övriga Aktiebolag</t>
        </is>
      </c>
      <c r="G51" t="n">
        <v>1.2</v>
      </c>
      <c r="H51" t="n">
        <v>1</v>
      </c>
      <c r="I51" t="n">
        <v>0</v>
      </c>
      <c r="J51" t="n">
        <v>1</v>
      </c>
      <c r="K51" t="n">
        <v>0</v>
      </c>
      <c r="L51" t="n">
        <v>0</v>
      </c>
      <c r="M51" t="n">
        <v>0</v>
      </c>
      <c r="N51" t="n">
        <v>0</v>
      </c>
      <c r="O51" t="n">
        <v>1</v>
      </c>
      <c r="P51" t="n">
        <v>0</v>
      </c>
      <c r="Q51" t="n">
        <v>1</v>
      </c>
      <c r="R51" s="2" t="inlineStr">
        <is>
          <t>Kråka</t>
        </is>
      </c>
      <c r="S51">
        <f>HYPERLINK("https://klasma.github.io/Logging_1880/artfynd/A 58966-2020 artfynd.xlsx", "A 58966-2020")</f>
        <v/>
      </c>
      <c r="T51">
        <f>HYPERLINK("https://klasma.github.io/Logging_1880/kartor/A 58966-2020 karta.png", "A 58966-2020")</f>
        <v/>
      </c>
      <c r="V51">
        <f>HYPERLINK("https://klasma.github.io/Logging_1880/klagomål/A 58966-2020 FSC-klagomål.docx", "A 58966-2020")</f>
        <v/>
      </c>
      <c r="W51">
        <f>HYPERLINK("https://klasma.github.io/Logging_1880/klagomålsmail/A 58966-2020 FSC-klagomål mail.docx", "A 58966-2020")</f>
        <v/>
      </c>
      <c r="X51">
        <f>HYPERLINK("https://klasma.github.io/Logging_1880/tillsyn/A 58966-2020 tillsynsbegäran.docx", "A 58966-2020")</f>
        <v/>
      </c>
      <c r="Y51">
        <f>HYPERLINK("https://klasma.github.io/Logging_1880/tillsynsmail/A 58966-2020 tillsynsbegäran mail.docx", "A 58966-2020")</f>
        <v/>
      </c>
      <c r="Z51">
        <f>HYPERLINK("https://klasma.github.io/Logging_1880/fåglar/A 58966-2020 prioriterade fågelarter.docx", "A 58966-2020")</f>
        <v/>
      </c>
    </row>
    <row r="52" ht="15" customHeight="1">
      <c r="A52" t="inlineStr">
        <is>
          <t>A 57920-2024</t>
        </is>
      </c>
      <c r="B52" s="1" t="n">
        <v>45631.50894675926</v>
      </c>
      <c r="C52" s="1" t="n">
        <v>45966</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42636-2023</t>
        </is>
      </c>
      <c r="B53" s="1" t="n">
        <v>45181.49559027778</v>
      </c>
      <c r="C53" s="1" t="n">
        <v>45966</v>
      </c>
      <c r="D53" t="inlineStr">
        <is>
          <t>ÖREBRO LÄN</t>
        </is>
      </c>
      <c r="E53" t="inlineStr">
        <is>
          <t>ÖREBRO</t>
        </is>
      </c>
      <c r="G53" t="n">
        <v>1.7</v>
      </c>
      <c r="H53" t="n">
        <v>0</v>
      </c>
      <c r="I53" t="n">
        <v>0</v>
      </c>
      <c r="J53" t="n">
        <v>1</v>
      </c>
      <c r="K53" t="n">
        <v>0</v>
      </c>
      <c r="L53" t="n">
        <v>0</v>
      </c>
      <c r="M53" t="n">
        <v>0</v>
      </c>
      <c r="N53" t="n">
        <v>0</v>
      </c>
      <c r="O53" t="n">
        <v>1</v>
      </c>
      <c r="P53" t="n">
        <v>0</v>
      </c>
      <c r="Q53" t="n">
        <v>1</v>
      </c>
      <c r="R53" s="2" t="inlineStr">
        <is>
          <t>Igelkott</t>
        </is>
      </c>
      <c r="S53">
        <f>HYPERLINK("https://klasma.github.io/Logging_1880/artfynd/A 42636-2023 artfynd.xlsx", "A 42636-2023")</f>
        <v/>
      </c>
      <c r="T53">
        <f>HYPERLINK("https://klasma.github.io/Logging_1880/kartor/A 42636-2023 karta.png", "A 42636-2023")</f>
        <v/>
      </c>
      <c r="V53">
        <f>HYPERLINK("https://klasma.github.io/Logging_1880/klagomål/A 42636-2023 FSC-klagomål.docx", "A 42636-2023")</f>
        <v/>
      </c>
      <c r="W53">
        <f>HYPERLINK("https://klasma.github.io/Logging_1880/klagomålsmail/A 42636-2023 FSC-klagomål mail.docx", "A 42636-2023")</f>
        <v/>
      </c>
      <c r="X53">
        <f>HYPERLINK("https://klasma.github.io/Logging_1880/tillsyn/A 42636-2023 tillsynsbegäran.docx", "A 42636-2023")</f>
        <v/>
      </c>
      <c r="Y53">
        <f>HYPERLINK("https://klasma.github.io/Logging_1880/tillsynsmail/A 42636-2023 tillsynsbegäran mail.docx", "A 42636-2023")</f>
        <v/>
      </c>
    </row>
    <row r="54" ht="15" customHeight="1">
      <c r="A54" t="inlineStr">
        <is>
          <t>A 55904-2024</t>
        </is>
      </c>
      <c r="B54" s="1" t="n">
        <v>45623.58190972222</v>
      </c>
      <c r="C54" s="1" t="n">
        <v>45966</v>
      </c>
      <c r="D54" t="inlineStr">
        <is>
          <t>ÖREBRO LÄN</t>
        </is>
      </c>
      <c r="E54" t="inlineStr">
        <is>
          <t>ÖREBRO</t>
        </is>
      </c>
      <c r="G54" t="n">
        <v>1.2</v>
      </c>
      <c r="H54" t="n">
        <v>1</v>
      </c>
      <c r="I54" t="n">
        <v>0</v>
      </c>
      <c r="J54" t="n">
        <v>0</v>
      </c>
      <c r="K54" t="n">
        <v>0</v>
      </c>
      <c r="L54" t="n">
        <v>0</v>
      </c>
      <c r="M54" t="n">
        <v>0</v>
      </c>
      <c r="N54" t="n">
        <v>0</v>
      </c>
      <c r="O54" t="n">
        <v>0</v>
      </c>
      <c r="P54" t="n">
        <v>0</v>
      </c>
      <c r="Q54" t="n">
        <v>1</v>
      </c>
      <c r="R54" s="2" t="inlineStr">
        <is>
          <t>Trana</t>
        </is>
      </c>
      <c r="S54">
        <f>HYPERLINK("https://klasma.github.io/Logging_1880/artfynd/A 55904-2024 artfynd.xlsx", "A 55904-2024")</f>
        <v/>
      </c>
      <c r="T54">
        <f>HYPERLINK("https://klasma.github.io/Logging_1880/kartor/A 55904-2024 karta.png", "A 55904-2024")</f>
        <v/>
      </c>
      <c r="V54">
        <f>HYPERLINK("https://klasma.github.io/Logging_1880/klagomål/A 55904-2024 FSC-klagomål.docx", "A 55904-2024")</f>
        <v/>
      </c>
      <c r="W54">
        <f>HYPERLINK("https://klasma.github.io/Logging_1880/klagomålsmail/A 55904-2024 FSC-klagomål mail.docx", "A 55904-2024")</f>
        <v/>
      </c>
      <c r="X54">
        <f>HYPERLINK("https://klasma.github.io/Logging_1880/tillsyn/A 55904-2024 tillsynsbegäran.docx", "A 55904-2024")</f>
        <v/>
      </c>
      <c r="Y54">
        <f>HYPERLINK("https://klasma.github.io/Logging_1880/tillsynsmail/A 55904-2024 tillsynsbegäran mail.docx", "A 55904-2024")</f>
        <v/>
      </c>
      <c r="Z54">
        <f>HYPERLINK("https://klasma.github.io/Logging_1880/fåglar/A 55904-2024 prioriterade fågelarter.docx", "A 55904-2024")</f>
        <v/>
      </c>
    </row>
    <row r="55" ht="15" customHeight="1">
      <c r="A55" t="inlineStr">
        <is>
          <t>A 2077-2023</t>
        </is>
      </c>
      <c r="B55" s="1" t="n">
        <v>44939</v>
      </c>
      <c r="C55" s="1" t="n">
        <v>45966</v>
      </c>
      <c r="D55" t="inlineStr">
        <is>
          <t>ÖREBRO LÄN</t>
        </is>
      </c>
      <c r="E55" t="inlineStr">
        <is>
          <t>ÖREBRO</t>
        </is>
      </c>
      <c r="G55" t="n">
        <v>1.4</v>
      </c>
      <c r="H55" t="n">
        <v>1</v>
      </c>
      <c r="I55" t="n">
        <v>0</v>
      </c>
      <c r="J55" t="n">
        <v>1</v>
      </c>
      <c r="K55" t="n">
        <v>0</v>
      </c>
      <c r="L55" t="n">
        <v>0</v>
      </c>
      <c r="M55" t="n">
        <v>0</v>
      </c>
      <c r="N55" t="n">
        <v>0</v>
      </c>
      <c r="O55" t="n">
        <v>1</v>
      </c>
      <c r="P55" t="n">
        <v>0</v>
      </c>
      <c r="Q55" t="n">
        <v>1</v>
      </c>
      <c r="R55" s="2" t="inlineStr">
        <is>
          <t>Rödvingetrast</t>
        </is>
      </c>
      <c r="S55">
        <f>HYPERLINK("https://klasma.github.io/Logging_1880/artfynd/A 2077-2023 artfynd.xlsx", "A 2077-2023")</f>
        <v/>
      </c>
      <c r="T55">
        <f>HYPERLINK("https://klasma.github.io/Logging_1880/kartor/A 2077-2023 karta.png", "A 2077-2023")</f>
        <v/>
      </c>
      <c r="V55">
        <f>HYPERLINK("https://klasma.github.io/Logging_1880/klagomål/A 2077-2023 FSC-klagomål.docx", "A 2077-2023")</f>
        <v/>
      </c>
      <c r="W55">
        <f>HYPERLINK("https://klasma.github.io/Logging_1880/klagomålsmail/A 2077-2023 FSC-klagomål mail.docx", "A 2077-2023")</f>
        <v/>
      </c>
      <c r="X55">
        <f>HYPERLINK("https://klasma.github.io/Logging_1880/tillsyn/A 2077-2023 tillsynsbegäran.docx", "A 2077-2023")</f>
        <v/>
      </c>
      <c r="Y55">
        <f>HYPERLINK("https://klasma.github.io/Logging_1880/tillsynsmail/A 2077-2023 tillsynsbegäran mail.docx", "A 2077-2023")</f>
        <v/>
      </c>
      <c r="Z55">
        <f>HYPERLINK("https://klasma.github.io/Logging_1880/fåglar/A 2077-2023 prioriterade fågelarter.docx", "A 2077-2023")</f>
        <v/>
      </c>
    </row>
    <row r="56" ht="15" customHeight="1">
      <c r="A56" t="inlineStr">
        <is>
          <t>A 15621-2021</t>
        </is>
      </c>
      <c r="B56" s="1" t="n">
        <v>44285</v>
      </c>
      <c r="C56" s="1" t="n">
        <v>45966</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20032-2023</t>
        </is>
      </c>
      <c r="B57" s="1" t="n">
        <v>45054</v>
      </c>
      <c r="C57" s="1" t="n">
        <v>45966</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30725-2023</t>
        </is>
      </c>
      <c r="B58" s="1" t="n">
        <v>45112.61451388889</v>
      </c>
      <c r="C58" s="1" t="n">
        <v>45966</v>
      </c>
      <c r="D58" t="inlineStr">
        <is>
          <t>ÖREBRO LÄN</t>
        </is>
      </c>
      <c r="E58" t="inlineStr">
        <is>
          <t>ÖREBRO</t>
        </is>
      </c>
      <c r="G58" t="n">
        <v>1.8</v>
      </c>
      <c r="H58" t="n">
        <v>1</v>
      </c>
      <c r="I58" t="n">
        <v>0</v>
      </c>
      <c r="J58" t="n">
        <v>1</v>
      </c>
      <c r="K58" t="n">
        <v>0</v>
      </c>
      <c r="L58" t="n">
        <v>0</v>
      </c>
      <c r="M58" t="n">
        <v>0</v>
      </c>
      <c r="N58" t="n">
        <v>0</v>
      </c>
      <c r="O58" t="n">
        <v>1</v>
      </c>
      <c r="P58" t="n">
        <v>0</v>
      </c>
      <c r="Q58" t="n">
        <v>1</v>
      </c>
      <c r="R58" s="2" t="inlineStr">
        <is>
          <t>Gulsparv</t>
        </is>
      </c>
      <c r="S58">
        <f>HYPERLINK("https://klasma.github.io/Logging_1880/artfynd/A 30725-2023 artfynd.xlsx", "A 30725-2023")</f>
        <v/>
      </c>
      <c r="T58">
        <f>HYPERLINK("https://klasma.github.io/Logging_1880/kartor/A 30725-2023 karta.png", "A 30725-2023")</f>
        <v/>
      </c>
      <c r="V58">
        <f>HYPERLINK("https://klasma.github.io/Logging_1880/klagomål/A 30725-2023 FSC-klagomål.docx", "A 30725-2023")</f>
        <v/>
      </c>
      <c r="W58">
        <f>HYPERLINK("https://klasma.github.io/Logging_1880/klagomålsmail/A 30725-2023 FSC-klagomål mail.docx", "A 30725-2023")</f>
        <v/>
      </c>
      <c r="X58">
        <f>HYPERLINK("https://klasma.github.io/Logging_1880/tillsyn/A 30725-2023 tillsynsbegäran.docx", "A 30725-2023")</f>
        <v/>
      </c>
      <c r="Y58">
        <f>HYPERLINK("https://klasma.github.io/Logging_1880/tillsynsmail/A 30725-2023 tillsynsbegäran mail.docx", "A 30725-2023")</f>
        <v/>
      </c>
      <c r="Z58">
        <f>HYPERLINK("https://klasma.github.io/Logging_1880/fåglar/A 30725-2023 prioriterade fågelarter.docx", "A 30725-2023")</f>
        <v/>
      </c>
    </row>
    <row r="59" ht="15" customHeight="1">
      <c r="A59" t="inlineStr">
        <is>
          <t>A 28936-2025</t>
        </is>
      </c>
      <c r="B59" s="1" t="n">
        <v>45820.69287037037</v>
      </c>
      <c r="C59" s="1" t="n">
        <v>45966</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32204-2025</t>
        </is>
      </c>
      <c r="B60" s="1" t="n">
        <v>45835.58074074074</v>
      </c>
      <c r="C60" s="1" t="n">
        <v>45966</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32226-2025</t>
        </is>
      </c>
      <c r="B61" s="1" t="n">
        <v>45835.59478009259</v>
      </c>
      <c r="C61" s="1" t="n">
        <v>45966</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31695-2024</t>
        </is>
      </c>
      <c r="B62" s="1" t="n">
        <v>45508</v>
      </c>
      <c r="C62" s="1" t="n">
        <v>45966</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4014-2021</t>
        </is>
      </c>
      <c r="B63" s="1" t="n">
        <v>44218</v>
      </c>
      <c r="C63" s="1" t="n">
        <v>45966</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44744-2024</t>
        </is>
      </c>
      <c r="B64" s="1" t="n">
        <v>45574.59789351852</v>
      </c>
      <c r="C64" s="1" t="n">
        <v>45966</v>
      </c>
      <c r="D64" t="inlineStr">
        <is>
          <t>ÖREBRO LÄN</t>
        </is>
      </c>
      <c r="E64" t="inlineStr">
        <is>
          <t>ÖREBRO</t>
        </is>
      </c>
      <c r="G64" t="n">
        <v>11.6</v>
      </c>
      <c r="H64" t="n">
        <v>1</v>
      </c>
      <c r="I64" t="n">
        <v>0</v>
      </c>
      <c r="J64" t="n">
        <v>0</v>
      </c>
      <c r="K64" t="n">
        <v>0</v>
      </c>
      <c r="L64" t="n">
        <v>0</v>
      </c>
      <c r="M64" t="n">
        <v>0</v>
      </c>
      <c r="N64" t="n">
        <v>0</v>
      </c>
      <c r="O64" t="n">
        <v>0</v>
      </c>
      <c r="P64" t="n">
        <v>0</v>
      </c>
      <c r="Q64" t="n">
        <v>1</v>
      </c>
      <c r="R64" s="2" t="inlineStr">
        <is>
          <t>Revlummer</t>
        </is>
      </c>
      <c r="S64">
        <f>HYPERLINK("https://klasma.github.io/Logging_1880/artfynd/A 44744-2024 artfynd.xlsx", "A 44744-2024")</f>
        <v/>
      </c>
      <c r="T64">
        <f>HYPERLINK("https://klasma.github.io/Logging_1880/kartor/A 44744-2024 karta.png", "A 44744-2024")</f>
        <v/>
      </c>
      <c r="V64">
        <f>HYPERLINK("https://klasma.github.io/Logging_1880/klagomål/A 44744-2024 FSC-klagomål.docx", "A 44744-2024")</f>
        <v/>
      </c>
      <c r="W64">
        <f>HYPERLINK("https://klasma.github.io/Logging_1880/klagomålsmail/A 44744-2024 FSC-klagomål mail.docx", "A 44744-2024")</f>
        <v/>
      </c>
      <c r="X64">
        <f>HYPERLINK("https://klasma.github.io/Logging_1880/tillsyn/A 44744-2024 tillsynsbegäran.docx", "A 44744-2024")</f>
        <v/>
      </c>
      <c r="Y64">
        <f>HYPERLINK("https://klasma.github.io/Logging_1880/tillsynsmail/A 44744-2024 tillsynsbegäran mail.docx", "A 44744-2024")</f>
        <v/>
      </c>
    </row>
    <row r="65" ht="15" customHeight="1">
      <c r="A65" t="inlineStr">
        <is>
          <t>A 9406-2021</t>
        </is>
      </c>
      <c r="B65" s="1" t="n">
        <v>44251</v>
      </c>
      <c r="C65" s="1" t="n">
        <v>45966</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45966</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45966</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45966</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45966</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45966</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45966</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45966</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45966</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45966</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45966</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45966</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45966</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45966</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45966</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45966</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45966</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45966</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45966</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45966</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45966</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45966</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45966</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45966</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45966</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45966</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45966</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45966</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45966</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45966</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45966</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45966</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45966</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45966</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45966</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45966</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45966</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45966</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45966</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45966</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45966</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45966</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45966</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45966</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45966</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45966</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45966</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45966</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45966</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45966</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45966</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45966</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45966</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45966</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45966</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57343-2021</t>
        </is>
      </c>
      <c r="B120" s="1" t="n">
        <v>44482</v>
      </c>
      <c r="C120" s="1" t="n">
        <v>45966</v>
      </c>
      <c r="D120" t="inlineStr">
        <is>
          <t>ÖREBRO LÄN</t>
        </is>
      </c>
      <c r="E120" t="inlineStr">
        <is>
          <t>ÖREBRO</t>
        </is>
      </c>
      <c r="G120" t="n">
        <v>3.3</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45966</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45966</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45966</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69613-2020</t>
        </is>
      </c>
      <c r="B124" s="1" t="n">
        <v>44195</v>
      </c>
      <c r="C124" s="1" t="n">
        <v>45966</v>
      </c>
      <c r="D124" t="inlineStr">
        <is>
          <t>ÖREBRO LÄN</t>
        </is>
      </c>
      <c r="E124" t="inlineStr">
        <is>
          <t>ÖREBRO</t>
        </is>
      </c>
      <c r="G124" t="n">
        <v>4.7</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45966</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19468-2021</t>
        </is>
      </c>
      <c r="B126" s="1" t="n">
        <v>44311</v>
      </c>
      <c r="C126" s="1" t="n">
        <v>45966</v>
      </c>
      <c r="D126" t="inlineStr">
        <is>
          <t>ÖREBRO LÄN</t>
        </is>
      </c>
      <c r="E126" t="inlineStr">
        <is>
          <t>ÖREBRO</t>
        </is>
      </c>
      <c r="G126" t="n">
        <v>0.9</v>
      </c>
      <c r="H126" t="n">
        <v>0</v>
      </c>
      <c r="I126" t="n">
        <v>0</v>
      </c>
      <c r="J126" t="n">
        <v>0</v>
      </c>
      <c r="K126" t="n">
        <v>0</v>
      </c>
      <c r="L126" t="n">
        <v>0</v>
      </c>
      <c r="M126" t="n">
        <v>0</v>
      </c>
      <c r="N126" t="n">
        <v>0</v>
      </c>
      <c r="O126" t="n">
        <v>0</v>
      </c>
      <c r="P126" t="n">
        <v>0</v>
      </c>
      <c r="Q126" t="n">
        <v>0</v>
      </c>
      <c r="R126" s="2" t="inlineStr"/>
    </row>
    <row r="127" ht="15" customHeight="1">
      <c r="A127" t="inlineStr">
        <is>
          <t>A 3087-2021</t>
        </is>
      </c>
      <c r="B127" s="1" t="n">
        <v>44216</v>
      </c>
      <c r="C127" s="1" t="n">
        <v>45966</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45966</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45966</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9362-2022</t>
        </is>
      </c>
      <c r="B130" s="1" t="n">
        <v>44616.59946759259</v>
      </c>
      <c r="C130" s="1" t="n">
        <v>45966</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45966</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45966</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45966</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45966</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19458-2022</t>
        </is>
      </c>
      <c r="B135" s="1" t="n">
        <v>44693</v>
      </c>
      <c r="C135" s="1" t="n">
        <v>45966</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18047-2022</t>
        </is>
      </c>
      <c r="B136" s="1" t="n">
        <v>44684</v>
      </c>
      <c r="C136" s="1" t="n">
        <v>45966</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63247-2021</t>
        </is>
      </c>
      <c r="B137" s="1" t="n">
        <v>44505</v>
      </c>
      <c r="C137" s="1" t="n">
        <v>45966</v>
      </c>
      <c r="D137" t="inlineStr">
        <is>
          <t>ÖREBRO LÄN</t>
        </is>
      </c>
      <c r="E137" t="inlineStr">
        <is>
          <t>ÖREBRO</t>
        </is>
      </c>
      <c r="G137" t="n">
        <v>1.5</v>
      </c>
      <c r="H137" t="n">
        <v>0</v>
      </c>
      <c r="I137" t="n">
        <v>0</v>
      </c>
      <c r="J137" t="n">
        <v>0</v>
      </c>
      <c r="K137" t="n">
        <v>0</v>
      </c>
      <c r="L137" t="n">
        <v>0</v>
      </c>
      <c r="M137" t="n">
        <v>0</v>
      </c>
      <c r="N137" t="n">
        <v>0</v>
      </c>
      <c r="O137" t="n">
        <v>0</v>
      </c>
      <c r="P137" t="n">
        <v>0</v>
      </c>
      <c r="Q137" t="n">
        <v>0</v>
      </c>
      <c r="R137" s="2" t="inlineStr"/>
    </row>
    <row r="138" ht="15" customHeight="1">
      <c r="A138" t="inlineStr">
        <is>
          <t>A 61232-2021</t>
        </is>
      </c>
      <c r="B138" s="1" t="n">
        <v>44498</v>
      </c>
      <c r="C138" s="1" t="n">
        <v>45966</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45966</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45966</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45966</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6638-2022</t>
        </is>
      </c>
      <c r="B142" s="1" t="n">
        <v>44601</v>
      </c>
      <c r="C142" s="1" t="n">
        <v>45966</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45966</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62651-2020</t>
        </is>
      </c>
      <c r="B144" s="1" t="n">
        <v>44161</v>
      </c>
      <c r="C144" s="1" t="n">
        <v>45966</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18360-2024</t>
        </is>
      </c>
      <c r="B145" s="1" t="n">
        <v>45422</v>
      </c>
      <c r="C145" s="1" t="n">
        <v>45966</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45966</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16676-2025</t>
        </is>
      </c>
      <c r="B147" s="1" t="n">
        <v>45754.44658564815</v>
      </c>
      <c r="C147" s="1" t="n">
        <v>45966</v>
      </c>
      <c r="D147" t="inlineStr">
        <is>
          <t>ÖREBRO LÄN</t>
        </is>
      </c>
      <c r="E147" t="inlineStr">
        <is>
          <t>ÖREBRO</t>
        </is>
      </c>
      <c r="G147" t="n">
        <v>5.8</v>
      </c>
      <c r="H147" t="n">
        <v>0</v>
      </c>
      <c r="I147" t="n">
        <v>0</v>
      </c>
      <c r="J147" t="n">
        <v>0</v>
      </c>
      <c r="K147" t="n">
        <v>0</v>
      </c>
      <c r="L147" t="n">
        <v>0</v>
      </c>
      <c r="M147" t="n">
        <v>0</v>
      </c>
      <c r="N147" t="n">
        <v>0</v>
      </c>
      <c r="O147" t="n">
        <v>0</v>
      </c>
      <c r="P147" t="n">
        <v>0</v>
      </c>
      <c r="Q147" t="n">
        <v>0</v>
      </c>
      <c r="R147" s="2" t="inlineStr"/>
    </row>
    <row r="148" ht="15" customHeight="1">
      <c r="A148" t="inlineStr">
        <is>
          <t>A 29490-2022</t>
        </is>
      </c>
      <c r="B148" s="1" t="n">
        <v>44753</v>
      </c>
      <c r="C148" s="1" t="n">
        <v>45966</v>
      </c>
      <c r="D148" t="inlineStr">
        <is>
          <t>ÖREBRO LÄN</t>
        </is>
      </c>
      <c r="E148" t="inlineStr">
        <is>
          <t>ÖREBRO</t>
        </is>
      </c>
      <c r="F148" t="inlineStr">
        <is>
          <t>Kommuner</t>
        </is>
      </c>
      <c r="G148" t="n">
        <v>0.3</v>
      </c>
      <c r="H148" t="n">
        <v>0</v>
      </c>
      <c r="I148" t="n">
        <v>0</v>
      </c>
      <c r="J148" t="n">
        <v>0</v>
      </c>
      <c r="K148" t="n">
        <v>0</v>
      </c>
      <c r="L148" t="n">
        <v>0</v>
      </c>
      <c r="M148" t="n">
        <v>0</v>
      </c>
      <c r="N148" t="n">
        <v>0</v>
      </c>
      <c r="O148" t="n">
        <v>0</v>
      </c>
      <c r="P148" t="n">
        <v>0</v>
      </c>
      <c r="Q148" t="n">
        <v>0</v>
      </c>
      <c r="R148" s="2" t="inlineStr"/>
    </row>
    <row r="149" ht="15" customHeight="1">
      <c r="A149" t="inlineStr">
        <is>
          <t>A 43612-2022</t>
        </is>
      </c>
      <c r="B149" s="1" t="n">
        <v>44837</v>
      </c>
      <c r="C149" s="1" t="n">
        <v>45966</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5357-2024</t>
        </is>
      </c>
      <c r="B150" s="1" t="n">
        <v>45331</v>
      </c>
      <c r="C150" s="1" t="n">
        <v>45966</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51373-2023</t>
        </is>
      </c>
      <c r="B151" s="1" t="n">
        <v>45213</v>
      </c>
      <c r="C151" s="1" t="n">
        <v>45966</v>
      </c>
      <c r="D151" t="inlineStr">
        <is>
          <t>ÖREBRO LÄN</t>
        </is>
      </c>
      <c r="E151" t="inlineStr">
        <is>
          <t>ÖREBRO</t>
        </is>
      </c>
      <c r="G151" t="n">
        <v>5.9</v>
      </c>
      <c r="H151" t="n">
        <v>0</v>
      </c>
      <c r="I151" t="n">
        <v>0</v>
      </c>
      <c r="J151" t="n">
        <v>0</v>
      </c>
      <c r="K151" t="n">
        <v>0</v>
      </c>
      <c r="L151" t="n">
        <v>0</v>
      </c>
      <c r="M151" t="n">
        <v>0</v>
      </c>
      <c r="N151" t="n">
        <v>0</v>
      </c>
      <c r="O151" t="n">
        <v>0</v>
      </c>
      <c r="P151" t="n">
        <v>0</v>
      </c>
      <c r="Q151" t="n">
        <v>0</v>
      </c>
      <c r="R151" s="2" t="inlineStr"/>
    </row>
    <row r="152" ht="15" customHeight="1">
      <c r="A152" t="inlineStr">
        <is>
          <t>A 57243-2022</t>
        </is>
      </c>
      <c r="B152" s="1" t="n">
        <v>44895.71835648148</v>
      </c>
      <c r="C152" s="1" t="n">
        <v>45966</v>
      </c>
      <c r="D152" t="inlineStr">
        <is>
          <t>ÖREBRO LÄN</t>
        </is>
      </c>
      <c r="E152" t="inlineStr">
        <is>
          <t>ÖREBRO</t>
        </is>
      </c>
      <c r="G152" t="n">
        <v>6</v>
      </c>
      <c r="H152" t="n">
        <v>0</v>
      </c>
      <c r="I152" t="n">
        <v>0</v>
      </c>
      <c r="J152" t="n">
        <v>0</v>
      </c>
      <c r="K152" t="n">
        <v>0</v>
      </c>
      <c r="L152" t="n">
        <v>0</v>
      </c>
      <c r="M152" t="n">
        <v>0</v>
      </c>
      <c r="N152" t="n">
        <v>0</v>
      </c>
      <c r="O152" t="n">
        <v>0</v>
      </c>
      <c r="P152" t="n">
        <v>0</v>
      </c>
      <c r="Q152" t="n">
        <v>0</v>
      </c>
      <c r="R152" s="2" t="inlineStr"/>
    </row>
    <row r="153" ht="15" customHeight="1">
      <c r="A153" t="inlineStr">
        <is>
          <t>A 37395-2021</t>
        </is>
      </c>
      <c r="B153" s="1" t="n">
        <v>44398</v>
      </c>
      <c r="C153" s="1" t="n">
        <v>45966</v>
      </c>
      <c r="D153" t="inlineStr">
        <is>
          <t>ÖREBRO LÄN</t>
        </is>
      </c>
      <c r="E153" t="inlineStr">
        <is>
          <t>ÖREBRO</t>
        </is>
      </c>
      <c r="G153" t="n">
        <v>3</v>
      </c>
      <c r="H153" t="n">
        <v>0</v>
      </c>
      <c r="I153" t="n">
        <v>0</v>
      </c>
      <c r="J153" t="n">
        <v>0</v>
      </c>
      <c r="K153" t="n">
        <v>0</v>
      </c>
      <c r="L153" t="n">
        <v>0</v>
      </c>
      <c r="M153" t="n">
        <v>0</v>
      </c>
      <c r="N153" t="n">
        <v>0</v>
      </c>
      <c r="O153" t="n">
        <v>0</v>
      </c>
      <c r="P153" t="n">
        <v>0</v>
      </c>
      <c r="Q153" t="n">
        <v>0</v>
      </c>
      <c r="R153" s="2" t="inlineStr"/>
    </row>
    <row r="154" ht="15" customHeight="1">
      <c r="A154" t="inlineStr">
        <is>
          <t>A 66936-2021</t>
        </is>
      </c>
      <c r="B154" s="1" t="n">
        <v>44522.56349537037</v>
      </c>
      <c r="C154" s="1" t="n">
        <v>45966</v>
      </c>
      <c r="D154" t="inlineStr">
        <is>
          <t>ÖREBRO LÄN</t>
        </is>
      </c>
      <c r="E154" t="inlineStr">
        <is>
          <t>ÖREBRO</t>
        </is>
      </c>
      <c r="G154" t="n">
        <v>6.8</v>
      </c>
      <c r="H154" t="n">
        <v>0</v>
      </c>
      <c r="I154" t="n">
        <v>0</v>
      </c>
      <c r="J154" t="n">
        <v>0</v>
      </c>
      <c r="K154" t="n">
        <v>0</v>
      </c>
      <c r="L154" t="n">
        <v>0</v>
      </c>
      <c r="M154" t="n">
        <v>0</v>
      </c>
      <c r="N154" t="n">
        <v>0</v>
      </c>
      <c r="O154" t="n">
        <v>0</v>
      </c>
      <c r="P154" t="n">
        <v>0</v>
      </c>
      <c r="Q154" t="n">
        <v>0</v>
      </c>
      <c r="R154" s="2" t="inlineStr"/>
    </row>
    <row r="155" ht="15" customHeight="1">
      <c r="A155" t="inlineStr">
        <is>
          <t>A 35843-2022</t>
        </is>
      </c>
      <c r="B155" s="1" t="n">
        <v>44802</v>
      </c>
      <c r="C155" s="1" t="n">
        <v>45966</v>
      </c>
      <c r="D155" t="inlineStr">
        <is>
          <t>ÖREBRO LÄN</t>
        </is>
      </c>
      <c r="E155" t="inlineStr">
        <is>
          <t>ÖREBRO</t>
        </is>
      </c>
      <c r="G155" t="n">
        <v>2.4</v>
      </c>
      <c r="H155" t="n">
        <v>0</v>
      </c>
      <c r="I155" t="n">
        <v>0</v>
      </c>
      <c r="J155" t="n">
        <v>0</v>
      </c>
      <c r="K155" t="n">
        <v>0</v>
      </c>
      <c r="L155" t="n">
        <v>0</v>
      </c>
      <c r="M155" t="n">
        <v>0</v>
      </c>
      <c r="N155" t="n">
        <v>0</v>
      </c>
      <c r="O155" t="n">
        <v>0</v>
      </c>
      <c r="P155" t="n">
        <v>0</v>
      </c>
      <c r="Q155" t="n">
        <v>0</v>
      </c>
      <c r="R155" s="2" t="inlineStr"/>
    </row>
    <row r="156" ht="15" customHeight="1">
      <c r="A156" t="inlineStr">
        <is>
          <t>A 44131-2022</t>
        </is>
      </c>
      <c r="B156" s="1" t="n">
        <v>44839</v>
      </c>
      <c r="C156" s="1" t="n">
        <v>45966</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13599-2025</t>
        </is>
      </c>
      <c r="B157" s="1" t="n">
        <v>45736.60597222222</v>
      </c>
      <c r="C157" s="1" t="n">
        <v>45966</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20146-2024</t>
        </is>
      </c>
      <c r="B158" s="1" t="n">
        <v>45434.57641203704</v>
      </c>
      <c r="C158" s="1" t="n">
        <v>45966</v>
      </c>
      <c r="D158" t="inlineStr">
        <is>
          <t>ÖREBRO LÄN</t>
        </is>
      </c>
      <c r="E158" t="inlineStr">
        <is>
          <t>ÖREBRO</t>
        </is>
      </c>
      <c r="G158" t="n">
        <v>0.5</v>
      </c>
      <c r="H158" t="n">
        <v>0</v>
      </c>
      <c r="I158" t="n">
        <v>0</v>
      </c>
      <c r="J158" t="n">
        <v>0</v>
      </c>
      <c r="K158" t="n">
        <v>0</v>
      </c>
      <c r="L158" t="n">
        <v>0</v>
      </c>
      <c r="M158" t="n">
        <v>0</v>
      </c>
      <c r="N158" t="n">
        <v>0</v>
      </c>
      <c r="O158" t="n">
        <v>0</v>
      </c>
      <c r="P158" t="n">
        <v>0</v>
      </c>
      <c r="Q158" t="n">
        <v>0</v>
      </c>
      <c r="R158" s="2" t="inlineStr"/>
    </row>
    <row r="159" ht="15" customHeight="1">
      <c r="A159" t="inlineStr">
        <is>
          <t>A 40051-2024</t>
        </is>
      </c>
      <c r="B159" s="1" t="n">
        <v>45553</v>
      </c>
      <c r="C159" s="1" t="n">
        <v>45966</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50446-2023</t>
        </is>
      </c>
      <c r="B160" s="1" t="n">
        <v>45216</v>
      </c>
      <c r="C160" s="1" t="n">
        <v>45966</v>
      </c>
      <c r="D160" t="inlineStr">
        <is>
          <t>ÖREBRO LÄN</t>
        </is>
      </c>
      <c r="E160" t="inlineStr">
        <is>
          <t>ÖREBRO</t>
        </is>
      </c>
      <c r="F160" t="inlineStr">
        <is>
          <t>Övriga Aktiebolag</t>
        </is>
      </c>
      <c r="G160" t="n">
        <v>2.8</v>
      </c>
      <c r="H160" t="n">
        <v>0</v>
      </c>
      <c r="I160" t="n">
        <v>0</v>
      </c>
      <c r="J160" t="n">
        <v>0</v>
      </c>
      <c r="K160" t="n">
        <v>0</v>
      </c>
      <c r="L160" t="n">
        <v>0</v>
      </c>
      <c r="M160" t="n">
        <v>0</v>
      </c>
      <c r="N160" t="n">
        <v>0</v>
      </c>
      <c r="O160" t="n">
        <v>0</v>
      </c>
      <c r="P160" t="n">
        <v>0</v>
      </c>
      <c r="Q160" t="n">
        <v>0</v>
      </c>
      <c r="R160" s="2" t="inlineStr"/>
    </row>
    <row r="161" ht="15" customHeight="1">
      <c r="A161" t="inlineStr">
        <is>
          <t>A 50450-2023</t>
        </is>
      </c>
      <c r="B161" s="1" t="n">
        <v>45216.73533564815</v>
      </c>
      <c r="C161" s="1" t="n">
        <v>45966</v>
      </c>
      <c r="D161" t="inlineStr">
        <is>
          <t>ÖREBRO LÄN</t>
        </is>
      </c>
      <c r="E161" t="inlineStr">
        <is>
          <t>ÖREBRO</t>
        </is>
      </c>
      <c r="F161" t="inlineStr">
        <is>
          <t>Övriga Aktiebolag</t>
        </is>
      </c>
      <c r="G161" t="n">
        <v>0.8</v>
      </c>
      <c r="H161" t="n">
        <v>0</v>
      </c>
      <c r="I161" t="n">
        <v>0</v>
      </c>
      <c r="J161" t="n">
        <v>0</v>
      </c>
      <c r="K161" t="n">
        <v>0</v>
      </c>
      <c r="L161" t="n">
        <v>0</v>
      </c>
      <c r="M161" t="n">
        <v>0</v>
      </c>
      <c r="N161" t="n">
        <v>0</v>
      </c>
      <c r="O161" t="n">
        <v>0</v>
      </c>
      <c r="P161" t="n">
        <v>0</v>
      </c>
      <c r="Q161" t="n">
        <v>0</v>
      </c>
      <c r="R161" s="2" t="inlineStr"/>
    </row>
    <row r="162" ht="15" customHeight="1">
      <c r="A162" t="inlineStr">
        <is>
          <t>A 18321-2022</t>
        </is>
      </c>
      <c r="B162" s="1" t="n">
        <v>44685</v>
      </c>
      <c r="C162" s="1" t="n">
        <v>45966</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26117-2021</t>
        </is>
      </c>
      <c r="B163" s="1" t="n">
        <v>44345</v>
      </c>
      <c r="C163" s="1" t="n">
        <v>45966</v>
      </c>
      <c r="D163" t="inlineStr">
        <is>
          <t>ÖREBRO LÄN</t>
        </is>
      </c>
      <c r="E163" t="inlineStr">
        <is>
          <t>ÖREBRO</t>
        </is>
      </c>
      <c r="G163" t="n">
        <v>8.1</v>
      </c>
      <c r="H163" t="n">
        <v>0</v>
      </c>
      <c r="I163" t="n">
        <v>0</v>
      </c>
      <c r="J163" t="n">
        <v>0</v>
      </c>
      <c r="K163" t="n">
        <v>0</v>
      </c>
      <c r="L163" t="n">
        <v>0</v>
      </c>
      <c r="M163" t="n">
        <v>0</v>
      </c>
      <c r="N163" t="n">
        <v>0</v>
      </c>
      <c r="O163" t="n">
        <v>0</v>
      </c>
      <c r="P163" t="n">
        <v>0</v>
      </c>
      <c r="Q163" t="n">
        <v>0</v>
      </c>
      <c r="R163" s="2" t="inlineStr"/>
    </row>
    <row r="164" ht="15" customHeight="1">
      <c r="A164" t="inlineStr">
        <is>
          <t>A 10937-2024</t>
        </is>
      </c>
      <c r="B164" s="1" t="n">
        <v>45370.44461805555</v>
      </c>
      <c r="C164" s="1" t="n">
        <v>45966</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20115-2024</t>
        </is>
      </c>
      <c r="B165" s="1" t="n">
        <v>45434</v>
      </c>
      <c r="C165" s="1" t="n">
        <v>45966</v>
      </c>
      <c r="D165" t="inlineStr">
        <is>
          <t>ÖREBRO LÄN</t>
        </is>
      </c>
      <c r="E165" t="inlineStr">
        <is>
          <t>ÖREBRO</t>
        </is>
      </c>
      <c r="G165" t="n">
        <v>1.7</v>
      </c>
      <c r="H165" t="n">
        <v>0</v>
      </c>
      <c r="I165" t="n">
        <v>0</v>
      </c>
      <c r="J165" t="n">
        <v>0</v>
      </c>
      <c r="K165" t="n">
        <v>0</v>
      </c>
      <c r="L165" t="n">
        <v>0</v>
      </c>
      <c r="M165" t="n">
        <v>0</v>
      </c>
      <c r="N165" t="n">
        <v>0</v>
      </c>
      <c r="O165" t="n">
        <v>0</v>
      </c>
      <c r="P165" t="n">
        <v>0</v>
      </c>
      <c r="Q165" t="n">
        <v>0</v>
      </c>
      <c r="R165" s="2" t="inlineStr"/>
    </row>
    <row r="166" ht="15" customHeight="1">
      <c r="A166" t="inlineStr">
        <is>
          <t>A 16936-2023</t>
        </is>
      </c>
      <c r="B166" s="1" t="n">
        <v>45033.63005787037</v>
      </c>
      <c r="C166" s="1" t="n">
        <v>45966</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40588-2021</t>
        </is>
      </c>
      <c r="B167" s="1" t="n">
        <v>44420</v>
      </c>
      <c r="C167" s="1" t="n">
        <v>45966</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8565-2021</t>
        </is>
      </c>
      <c r="B168" s="1" t="n">
        <v>44245</v>
      </c>
      <c r="C168" s="1" t="n">
        <v>45966</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8575-2021</t>
        </is>
      </c>
      <c r="B169" s="1" t="n">
        <v>44245</v>
      </c>
      <c r="C169" s="1" t="n">
        <v>45966</v>
      </c>
      <c r="D169" t="inlineStr">
        <is>
          <t>ÖREBRO LÄN</t>
        </is>
      </c>
      <c r="E169" t="inlineStr">
        <is>
          <t>ÖREBRO</t>
        </is>
      </c>
      <c r="G169" t="n">
        <v>3.4</v>
      </c>
      <c r="H169" t="n">
        <v>0</v>
      </c>
      <c r="I169" t="n">
        <v>0</v>
      </c>
      <c r="J169" t="n">
        <v>0</v>
      </c>
      <c r="K169" t="n">
        <v>0</v>
      </c>
      <c r="L169" t="n">
        <v>0</v>
      </c>
      <c r="M169" t="n">
        <v>0</v>
      </c>
      <c r="N169" t="n">
        <v>0</v>
      </c>
      <c r="O169" t="n">
        <v>0</v>
      </c>
      <c r="P169" t="n">
        <v>0</v>
      </c>
      <c r="Q169" t="n">
        <v>0</v>
      </c>
      <c r="R169" s="2" t="inlineStr"/>
    </row>
    <row r="170" ht="15" customHeight="1">
      <c r="A170" t="inlineStr">
        <is>
          <t>A 6879-2024</t>
        </is>
      </c>
      <c r="B170" s="1" t="n">
        <v>45342.85280092592</v>
      </c>
      <c r="C170" s="1" t="n">
        <v>45966</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57485-2023</t>
        </is>
      </c>
      <c r="B171" s="1" t="n">
        <v>45246</v>
      </c>
      <c r="C171" s="1" t="n">
        <v>45966</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58032-2023</t>
        </is>
      </c>
      <c r="B172" s="1" t="n">
        <v>45247</v>
      </c>
      <c r="C172" s="1" t="n">
        <v>45966</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58035-2023</t>
        </is>
      </c>
      <c r="B173" s="1" t="n">
        <v>45247</v>
      </c>
      <c r="C173" s="1" t="n">
        <v>45966</v>
      </c>
      <c r="D173" t="inlineStr">
        <is>
          <t>ÖREBRO LÄN</t>
        </is>
      </c>
      <c r="E173" t="inlineStr">
        <is>
          <t>ÖREBRO</t>
        </is>
      </c>
      <c r="G173" t="n">
        <v>1.4</v>
      </c>
      <c r="H173" t="n">
        <v>0</v>
      </c>
      <c r="I173" t="n">
        <v>0</v>
      </c>
      <c r="J173" t="n">
        <v>0</v>
      </c>
      <c r="K173" t="n">
        <v>0</v>
      </c>
      <c r="L173" t="n">
        <v>0</v>
      </c>
      <c r="M173" t="n">
        <v>0</v>
      </c>
      <c r="N173" t="n">
        <v>0</v>
      </c>
      <c r="O173" t="n">
        <v>0</v>
      </c>
      <c r="P173" t="n">
        <v>0</v>
      </c>
      <c r="Q173" t="n">
        <v>0</v>
      </c>
      <c r="R173" s="2" t="inlineStr"/>
    </row>
    <row r="174" ht="15" customHeight="1">
      <c r="A174" t="inlineStr">
        <is>
          <t>A 26509-2021</t>
        </is>
      </c>
      <c r="B174" s="1" t="n">
        <v>44348.45107638889</v>
      </c>
      <c r="C174" s="1" t="n">
        <v>45966</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37025-2024</t>
        </is>
      </c>
      <c r="B175" s="1" t="n">
        <v>45539.3840162037</v>
      </c>
      <c r="C175" s="1" t="n">
        <v>45966</v>
      </c>
      <c r="D175" t="inlineStr">
        <is>
          <t>ÖREBRO LÄN</t>
        </is>
      </c>
      <c r="E175" t="inlineStr">
        <is>
          <t>ÖREBRO</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37027-2024</t>
        </is>
      </c>
      <c r="B176" s="1" t="n">
        <v>45539.38487268519</v>
      </c>
      <c r="C176" s="1" t="n">
        <v>45966</v>
      </c>
      <c r="D176" t="inlineStr">
        <is>
          <t>ÖREBRO LÄN</t>
        </is>
      </c>
      <c r="E176" t="inlineStr">
        <is>
          <t>ÖREBRO</t>
        </is>
      </c>
      <c r="F176" t="inlineStr">
        <is>
          <t>Sveaskog</t>
        </is>
      </c>
      <c r="G176" t="n">
        <v>1</v>
      </c>
      <c r="H176" t="n">
        <v>0</v>
      </c>
      <c r="I176" t="n">
        <v>0</v>
      </c>
      <c r="J176" t="n">
        <v>0</v>
      </c>
      <c r="K176" t="n">
        <v>0</v>
      </c>
      <c r="L176" t="n">
        <v>0</v>
      </c>
      <c r="M176" t="n">
        <v>0</v>
      </c>
      <c r="N176" t="n">
        <v>0</v>
      </c>
      <c r="O176" t="n">
        <v>0</v>
      </c>
      <c r="P176" t="n">
        <v>0</v>
      </c>
      <c r="Q176" t="n">
        <v>0</v>
      </c>
      <c r="R176" s="2" t="inlineStr"/>
    </row>
    <row r="177" ht="15" customHeight="1">
      <c r="A177" t="inlineStr">
        <is>
          <t>A 6387-2021</t>
        </is>
      </c>
      <c r="B177" s="1" t="n">
        <v>44235</v>
      </c>
      <c r="C177" s="1" t="n">
        <v>45966</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59265-2020</t>
        </is>
      </c>
      <c r="B178" s="1" t="n">
        <v>44147.67359953704</v>
      </c>
      <c r="C178" s="1" t="n">
        <v>45966</v>
      </c>
      <c r="D178" t="inlineStr">
        <is>
          <t>ÖREBRO LÄN</t>
        </is>
      </c>
      <c r="E178" t="inlineStr">
        <is>
          <t>ÖREBRO</t>
        </is>
      </c>
      <c r="G178" t="n">
        <v>2.4</v>
      </c>
      <c r="H178" t="n">
        <v>0</v>
      </c>
      <c r="I178" t="n">
        <v>0</v>
      </c>
      <c r="J178" t="n">
        <v>0</v>
      </c>
      <c r="K178" t="n">
        <v>0</v>
      </c>
      <c r="L178" t="n">
        <v>0</v>
      </c>
      <c r="M178" t="n">
        <v>0</v>
      </c>
      <c r="N178" t="n">
        <v>0</v>
      </c>
      <c r="O178" t="n">
        <v>0</v>
      </c>
      <c r="P178" t="n">
        <v>0</v>
      </c>
      <c r="Q178" t="n">
        <v>0</v>
      </c>
      <c r="R178" s="2" t="inlineStr"/>
    </row>
    <row r="179" ht="15" customHeight="1">
      <c r="A179" t="inlineStr">
        <is>
          <t>A 60506-2024</t>
        </is>
      </c>
      <c r="B179" s="1" t="n">
        <v>45643.66630787037</v>
      </c>
      <c r="C179" s="1" t="n">
        <v>45966</v>
      </c>
      <c r="D179" t="inlineStr">
        <is>
          <t>ÖREBRO LÄN</t>
        </is>
      </c>
      <c r="E179" t="inlineStr">
        <is>
          <t>ÖREBRO</t>
        </is>
      </c>
      <c r="G179" t="n">
        <v>5.8</v>
      </c>
      <c r="H179" t="n">
        <v>0</v>
      </c>
      <c r="I179" t="n">
        <v>0</v>
      </c>
      <c r="J179" t="n">
        <v>0</v>
      </c>
      <c r="K179" t="n">
        <v>0</v>
      </c>
      <c r="L179" t="n">
        <v>0</v>
      </c>
      <c r="M179" t="n">
        <v>0</v>
      </c>
      <c r="N179" t="n">
        <v>0</v>
      </c>
      <c r="O179" t="n">
        <v>0</v>
      </c>
      <c r="P179" t="n">
        <v>0</v>
      </c>
      <c r="Q179" t="n">
        <v>0</v>
      </c>
      <c r="R179" s="2" t="inlineStr"/>
    </row>
    <row r="180" ht="15" customHeight="1">
      <c r="A180" t="inlineStr">
        <is>
          <t>A 4766-2022</t>
        </is>
      </c>
      <c r="B180" s="1" t="n">
        <v>44592</v>
      </c>
      <c r="C180" s="1" t="n">
        <v>45966</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7506-2025</t>
        </is>
      </c>
      <c r="B181" s="1" t="n">
        <v>45705</v>
      </c>
      <c r="C181" s="1" t="n">
        <v>45966</v>
      </c>
      <c r="D181" t="inlineStr">
        <is>
          <t>ÖREBRO LÄN</t>
        </is>
      </c>
      <c r="E181" t="inlineStr">
        <is>
          <t>ÖREBRO</t>
        </is>
      </c>
      <c r="G181" t="n">
        <v>0.5</v>
      </c>
      <c r="H181" t="n">
        <v>0</v>
      </c>
      <c r="I181" t="n">
        <v>0</v>
      </c>
      <c r="J181" t="n">
        <v>0</v>
      </c>
      <c r="K181" t="n">
        <v>0</v>
      </c>
      <c r="L181" t="n">
        <v>0</v>
      </c>
      <c r="M181" t="n">
        <v>0</v>
      </c>
      <c r="N181" t="n">
        <v>0</v>
      </c>
      <c r="O181" t="n">
        <v>0</v>
      </c>
      <c r="P181" t="n">
        <v>0</v>
      </c>
      <c r="Q181" t="n">
        <v>0</v>
      </c>
      <c r="R181" s="2" t="inlineStr"/>
    </row>
    <row r="182" ht="15" customHeight="1">
      <c r="A182" t="inlineStr">
        <is>
          <t>A 66799-2020</t>
        </is>
      </c>
      <c r="B182" s="1" t="n">
        <v>44179</v>
      </c>
      <c r="C182" s="1" t="n">
        <v>45966</v>
      </c>
      <c r="D182" t="inlineStr">
        <is>
          <t>ÖREBRO LÄN</t>
        </is>
      </c>
      <c r="E182" t="inlineStr">
        <is>
          <t>ÖREBRO</t>
        </is>
      </c>
      <c r="G182" t="n">
        <v>5.2</v>
      </c>
      <c r="H182" t="n">
        <v>0</v>
      </c>
      <c r="I182" t="n">
        <v>0</v>
      </c>
      <c r="J182" t="n">
        <v>0</v>
      </c>
      <c r="K182" t="n">
        <v>0</v>
      </c>
      <c r="L182" t="n">
        <v>0</v>
      </c>
      <c r="M182" t="n">
        <v>0</v>
      </c>
      <c r="N182" t="n">
        <v>0</v>
      </c>
      <c r="O182" t="n">
        <v>0</v>
      </c>
      <c r="P182" t="n">
        <v>0</v>
      </c>
      <c r="Q182" t="n">
        <v>0</v>
      </c>
      <c r="R182" s="2" t="inlineStr"/>
    </row>
    <row r="183" ht="15" customHeight="1">
      <c r="A183" t="inlineStr">
        <is>
          <t>A 44284-2022</t>
        </is>
      </c>
      <c r="B183" s="1" t="n">
        <v>44839.59194444444</v>
      </c>
      <c r="C183" s="1" t="n">
        <v>45966</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18550-2025</t>
        </is>
      </c>
      <c r="B184" s="1" t="n">
        <v>45763.43422453704</v>
      </c>
      <c r="C184" s="1" t="n">
        <v>45966</v>
      </c>
      <c r="D184" t="inlineStr">
        <is>
          <t>ÖREBRO LÄN</t>
        </is>
      </c>
      <c r="E184" t="inlineStr">
        <is>
          <t>ÖREBRO</t>
        </is>
      </c>
      <c r="G184" t="n">
        <v>11.5</v>
      </c>
      <c r="H184" t="n">
        <v>0</v>
      </c>
      <c r="I184" t="n">
        <v>0</v>
      </c>
      <c r="J184" t="n">
        <v>0</v>
      </c>
      <c r="K184" t="n">
        <v>0</v>
      </c>
      <c r="L184" t="n">
        <v>0</v>
      </c>
      <c r="M184" t="n">
        <v>0</v>
      </c>
      <c r="N184" t="n">
        <v>0</v>
      </c>
      <c r="O184" t="n">
        <v>0</v>
      </c>
      <c r="P184" t="n">
        <v>0</v>
      </c>
      <c r="Q184" t="n">
        <v>0</v>
      </c>
      <c r="R184" s="2" t="inlineStr"/>
    </row>
    <row r="185" ht="15" customHeight="1">
      <c r="A185" t="inlineStr">
        <is>
          <t>A 31240-2023</t>
        </is>
      </c>
      <c r="B185" s="1" t="n">
        <v>45114</v>
      </c>
      <c r="C185" s="1" t="n">
        <v>45966</v>
      </c>
      <c r="D185" t="inlineStr">
        <is>
          <t>ÖREBRO LÄN</t>
        </is>
      </c>
      <c r="E185" t="inlineStr">
        <is>
          <t>ÖREBRO</t>
        </is>
      </c>
      <c r="F185" t="inlineStr">
        <is>
          <t>Allmännings- och besparingsskogar</t>
        </is>
      </c>
      <c r="G185" t="n">
        <v>6.2</v>
      </c>
      <c r="H185" t="n">
        <v>0</v>
      </c>
      <c r="I185" t="n">
        <v>0</v>
      </c>
      <c r="J185" t="n">
        <v>0</v>
      </c>
      <c r="K185" t="n">
        <v>0</v>
      </c>
      <c r="L185" t="n">
        <v>0</v>
      </c>
      <c r="M185" t="n">
        <v>0</v>
      </c>
      <c r="N185" t="n">
        <v>0</v>
      </c>
      <c r="O185" t="n">
        <v>0</v>
      </c>
      <c r="P185" t="n">
        <v>0</v>
      </c>
      <c r="Q185" t="n">
        <v>0</v>
      </c>
      <c r="R185" s="2" t="inlineStr"/>
    </row>
    <row r="186" ht="15" customHeight="1">
      <c r="A186" t="inlineStr">
        <is>
          <t>A 35833-2024</t>
        </is>
      </c>
      <c r="B186" s="1" t="n">
        <v>45532.68699074074</v>
      </c>
      <c r="C186" s="1" t="n">
        <v>45966</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14717-2024</t>
        </is>
      </c>
      <c r="B187" s="1" t="n">
        <v>45397.55104166667</v>
      </c>
      <c r="C187" s="1" t="n">
        <v>45966</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41678-2024</t>
        </is>
      </c>
      <c r="B188" s="1" t="n">
        <v>45560</v>
      </c>
      <c r="C188" s="1" t="n">
        <v>45966</v>
      </c>
      <c r="D188" t="inlineStr">
        <is>
          <t>ÖREBRO LÄN</t>
        </is>
      </c>
      <c r="E188" t="inlineStr">
        <is>
          <t>ÖREBRO</t>
        </is>
      </c>
      <c r="G188" t="n">
        <v>11.3</v>
      </c>
      <c r="H188" t="n">
        <v>0</v>
      </c>
      <c r="I188" t="n">
        <v>0</v>
      </c>
      <c r="J188" t="n">
        <v>0</v>
      </c>
      <c r="K188" t="n">
        <v>0</v>
      </c>
      <c r="L188" t="n">
        <v>0</v>
      </c>
      <c r="M188" t="n">
        <v>0</v>
      </c>
      <c r="N188" t="n">
        <v>0</v>
      </c>
      <c r="O188" t="n">
        <v>0</v>
      </c>
      <c r="P188" t="n">
        <v>0</v>
      </c>
      <c r="Q188" t="n">
        <v>0</v>
      </c>
      <c r="R188" s="2" t="inlineStr"/>
    </row>
    <row r="189" ht="15" customHeight="1">
      <c r="A189" t="inlineStr">
        <is>
          <t>A 11663-2024</t>
        </is>
      </c>
      <c r="B189" s="1" t="n">
        <v>45373</v>
      </c>
      <c r="C189" s="1" t="n">
        <v>45966</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37968-2024</t>
        </is>
      </c>
      <c r="B190" s="1" t="n">
        <v>45544</v>
      </c>
      <c r="C190" s="1" t="n">
        <v>45966</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13418-2024</t>
        </is>
      </c>
      <c r="B191" s="1" t="n">
        <v>45387.46482638889</v>
      </c>
      <c r="C191" s="1" t="n">
        <v>45966</v>
      </c>
      <c r="D191" t="inlineStr">
        <is>
          <t>ÖREBRO LÄN</t>
        </is>
      </c>
      <c r="E191" t="inlineStr">
        <is>
          <t>ÖREBRO</t>
        </is>
      </c>
      <c r="G191" t="n">
        <v>4.2</v>
      </c>
      <c r="H191" t="n">
        <v>0</v>
      </c>
      <c r="I191" t="n">
        <v>0</v>
      </c>
      <c r="J191" t="n">
        <v>0</v>
      </c>
      <c r="K191" t="n">
        <v>0</v>
      </c>
      <c r="L191" t="n">
        <v>0</v>
      </c>
      <c r="M191" t="n">
        <v>0</v>
      </c>
      <c r="N191" t="n">
        <v>0</v>
      </c>
      <c r="O191" t="n">
        <v>0</v>
      </c>
      <c r="P191" t="n">
        <v>0</v>
      </c>
      <c r="Q191" t="n">
        <v>0</v>
      </c>
      <c r="R191" s="2" t="inlineStr"/>
    </row>
    <row r="192" ht="15" customHeight="1">
      <c r="A192" t="inlineStr">
        <is>
          <t>A 58608-2024</t>
        </is>
      </c>
      <c r="B192" s="1" t="n">
        <v>45635.55185185185</v>
      </c>
      <c r="C192" s="1" t="n">
        <v>45966</v>
      </c>
      <c r="D192" t="inlineStr">
        <is>
          <t>ÖREBRO LÄN</t>
        </is>
      </c>
      <c r="E192" t="inlineStr">
        <is>
          <t>ÖREBRO</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40312-2021</t>
        </is>
      </c>
      <c r="B193" s="1" t="n">
        <v>44419</v>
      </c>
      <c r="C193" s="1" t="n">
        <v>45966</v>
      </c>
      <c r="D193" t="inlineStr">
        <is>
          <t>ÖREBRO LÄN</t>
        </is>
      </c>
      <c r="E193" t="inlineStr">
        <is>
          <t>ÖREBRO</t>
        </is>
      </c>
      <c r="F193" t="inlineStr">
        <is>
          <t>Övriga Aktiebolag</t>
        </is>
      </c>
      <c r="G193" t="n">
        <v>2.6</v>
      </c>
      <c r="H193" t="n">
        <v>0</v>
      </c>
      <c r="I193" t="n">
        <v>0</v>
      </c>
      <c r="J193" t="n">
        <v>0</v>
      </c>
      <c r="K193" t="n">
        <v>0</v>
      </c>
      <c r="L193" t="n">
        <v>0</v>
      </c>
      <c r="M193" t="n">
        <v>0</v>
      </c>
      <c r="N193" t="n">
        <v>0</v>
      </c>
      <c r="O193" t="n">
        <v>0</v>
      </c>
      <c r="P193" t="n">
        <v>0</v>
      </c>
      <c r="Q193" t="n">
        <v>0</v>
      </c>
      <c r="R193" s="2" t="inlineStr"/>
    </row>
    <row r="194" ht="15" customHeight="1">
      <c r="A194" t="inlineStr">
        <is>
          <t>A 25443-2021</t>
        </is>
      </c>
      <c r="B194" s="1" t="n">
        <v>44342</v>
      </c>
      <c r="C194" s="1" t="n">
        <v>45966</v>
      </c>
      <c r="D194" t="inlineStr">
        <is>
          <t>ÖREBRO LÄN</t>
        </is>
      </c>
      <c r="E194" t="inlineStr">
        <is>
          <t>ÖREBRO</t>
        </is>
      </c>
      <c r="G194" t="n">
        <v>1</v>
      </c>
      <c r="H194" t="n">
        <v>0</v>
      </c>
      <c r="I194" t="n">
        <v>0</v>
      </c>
      <c r="J194" t="n">
        <v>0</v>
      </c>
      <c r="K194" t="n">
        <v>0</v>
      </c>
      <c r="L194" t="n">
        <v>0</v>
      </c>
      <c r="M194" t="n">
        <v>0</v>
      </c>
      <c r="N194" t="n">
        <v>0</v>
      </c>
      <c r="O194" t="n">
        <v>0</v>
      </c>
      <c r="P194" t="n">
        <v>0</v>
      </c>
      <c r="Q194" t="n">
        <v>0</v>
      </c>
      <c r="R194" s="2" t="inlineStr"/>
    </row>
    <row r="195" ht="15" customHeight="1">
      <c r="A195" t="inlineStr">
        <is>
          <t>A 12478-2022</t>
        </is>
      </c>
      <c r="B195" s="1" t="n">
        <v>44638</v>
      </c>
      <c r="C195" s="1" t="n">
        <v>45966</v>
      </c>
      <c r="D195" t="inlineStr">
        <is>
          <t>ÖREBRO LÄN</t>
        </is>
      </c>
      <c r="E195" t="inlineStr">
        <is>
          <t>ÖREBRO</t>
        </is>
      </c>
      <c r="F195" t="inlineStr">
        <is>
          <t>Kyrkan</t>
        </is>
      </c>
      <c r="G195" t="n">
        <v>1.4</v>
      </c>
      <c r="H195" t="n">
        <v>0</v>
      </c>
      <c r="I195" t="n">
        <v>0</v>
      </c>
      <c r="J195" t="n">
        <v>0</v>
      </c>
      <c r="K195" t="n">
        <v>0</v>
      </c>
      <c r="L195" t="n">
        <v>0</v>
      </c>
      <c r="M195" t="n">
        <v>0</v>
      </c>
      <c r="N195" t="n">
        <v>0</v>
      </c>
      <c r="O195" t="n">
        <v>0</v>
      </c>
      <c r="P195" t="n">
        <v>0</v>
      </c>
      <c r="Q195" t="n">
        <v>0</v>
      </c>
      <c r="R195" s="2" t="inlineStr"/>
    </row>
    <row r="196" ht="15" customHeight="1">
      <c r="A196" t="inlineStr">
        <is>
          <t>A 13700-2024</t>
        </is>
      </c>
      <c r="B196" s="1" t="n">
        <v>45390.59277777778</v>
      </c>
      <c r="C196" s="1" t="n">
        <v>45966</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38422-2023</t>
        </is>
      </c>
      <c r="B197" s="1" t="n">
        <v>45162.36422453704</v>
      </c>
      <c r="C197" s="1" t="n">
        <v>45966</v>
      </c>
      <c r="D197" t="inlineStr">
        <is>
          <t>ÖREBRO LÄN</t>
        </is>
      </c>
      <c r="E197" t="inlineStr">
        <is>
          <t>ÖREBRO</t>
        </is>
      </c>
      <c r="G197" t="n">
        <v>8</v>
      </c>
      <c r="H197" t="n">
        <v>0</v>
      </c>
      <c r="I197" t="n">
        <v>0</v>
      </c>
      <c r="J197" t="n">
        <v>0</v>
      </c>
      <c r="K197" t="n">
        <v>0</v>
      </c>
      <c r="L197" t="n">
        <v>0</v>
      </c>
      <c r="M197" t="n">
        <v>0</v>
      </c>
      <c r="N197" t="n">
        <v>0</v>
      </c>
      <c r="O197" t="n">
        <v>0</v>
      </c>
      <c r="P197" t="n">
        <v>0</v>
      </c>
      <c r="Q197" t="n">
        <v>0</v>
      </c>
      <c r="R197" s="2" t="inlineStr"/>
    </row>
    <row r="198" ht="15" customHeight="1">
      <c r="A198" t="inlineStr">
        <is>
          <t>A 6213-2021</t>
        </is>
      </c>
      <c r="B198" s="1" t="n">
        <v>44232</v>
      </c>
      <c r="C198" s="1" t="n">
        <v>45966</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56040-2024</t>
        </is>
      </c>
      <c r="B199" s="1" t="n">
        <v>45624.3344212963</v>
      </c>
      <c r="C199" s="1" t="n">
        <v>45966</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5401-2022</t>
        </is>
      </c>
      <c r="B200" s="1" t="n">
        <v>44595</v>
      </c>
      <c r="C200" s="1" t="n">
        <v>45966</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row>
    <row r="201" ht="15" customHeight="1">
      <c r="A201" t="inlineStr">
        <is>
          <t>A 60311-2020</t>
        </is>
      </c>
      <c r="B201" s="1" t="n">
        <v>44151</v>
      </c>
      <c r="C201" s="1" t="n">
        <v>45966</v>
      </c>
      <c r="D201" t="inlineStr">
        <is>
          <t>ÖREBRO LÄN</t>
        </is>
      </c>
      <c r="E201" t="inlineStr">
        <is>
          <t>ÖREBRO</t>
        </is>
      </c>
      <c r="F201" t="inlineStr">
        <is>
          <t>Kommuner</t>
        </is>
      </c>
      <c r="G201" t="n">
        <v>0.8</v>
      </c>
      <c r="H201" t="n">
        <v>0</v>
      </c>
      <c r="I201" t="n">
        <v>0</v>
      </c>
      <c r="J201" t="n">
        <v>0</v>
      </c>
      <c r="K201" t="n">
        <v>0</v>
      </c>
      <c r="L201" t="n">
        <v>0</v>
      </c>
      <c r="M201" t="n">
        <v>0</v>
      </c>
      <c r="N201" t="n">
        <v>0</v>
      </c>
      <c r="O201" t="n">
        <v>0</v>
      </c>
      <c r="P201" t="n">
        <v>0</v>
      </c>
      <c r="Q201" t="n">
        <v>0</v>
      </c>
      <c r="R201" s="2" t="inlineStr"/>
    </row>
    <row r="202" ht="15" customHeight="1">
      <c r="A202" t="inlineStr">
        <is>
          <t>A 14487-2023</t>
        </is>
      </c>
      <c r="B202" s="1" t="n">
        <v>45012</v>
      </c>
      <c r="C202" s="1" t="n">
        <v>45966</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5398-2022</t>
        </is>
      </c>
      <c r="B203" s="1" t="n">
        <v>44595.3353587963</v>
      </c>
      <c r="C203" s="1" t="n">
        <v>45966</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38415-2023</t>
        </is>
      </c>
      <c r="B204" s="1" t="n">
        <v>45162.35502314815</v>
      </c>
      <c r="C204" s="1" t="n">
        <v>45966</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23863-2023</t>
        </is>
      </c>
      <c r="B205" s="1" t="n">
        <v>45078.48994212963</v>
      </c>
      <c r="C205" s="1" t="n">
        <v>45966</v>
      </c>
      <c r="D205" t="inlineStr">
        <is>
          <t>ÖREBRO LÄN</t>
        </is>
      </c>
      <c r="E205" t="inlineStr">
        <is>
          <t>ÖREBRO</t>
        </is>
      </c>
      <c r="F205" t="inlineStr">
        <is>
          <t>Övriga Aktiebolag</t>
        </is>
      </c>
      <c r="G205" t="n">
        <v>5.9</v>
      </c>
      <c r="H205" t="n">
        <v>0</v>
      </c>
      <c r="I205" t="n">
        <v>0</v>
      </c>
      <c r="J205" t="n">
        <v>0</v>
      </c>
      <c r="K205" t="n">
        <v>0</v>
      </c>
      <c r="L205" t="n">
        <v>0</v>
      </c>
      <c r="M205" t="n">
        <v>0</v>
      </c>
      <c r="N205" t="n">
        <v>0</v>
      </c>
      <c r="O205" t="n">
        <v>0</v>
      </c>
      <c r="P205" t="n">
        <v>0</v>
      </c>
      <c r="Q205" t="n">
        <v>0</v>
      </c>
      <c r="R205" s="2" t="inlineStr"/>
    </row>
    <row r="206" ht="15" customHeight="1">
      <c r="A206" t="inlineStr">
        <is>
          <t>A 60128-2023</t>
        </is>
      </c>
      <c r="B206" s="1" t="n">
        <v>45258</v>
      </c>
      <c r="C206" s="1" t="n">
        <v>45966</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18047-2023</t>
        </is>
      </c>
      <c r="B207" s="1" t="n">
        <v>45040</v>
      </c>
      <c r="C207" s="1" t="n">
        <v>45966</v>
      </c>
      <c r="D207" t="inlineStr">
        <is>
          <t>ÖREBRO LÄN</t>
        </is>
      </c>
      <c r="E207" t="inlineStr">
        <is>
          <t>ÖREBRO</t>
        </is>
      </c>
      <c r="G207" t="n">
        <v>3.9</v>
      </c>
      <c r="H207" t="n">
        <v>0</v>
      </c>
      <c r="I207" t="n">
        <v>0</v>
      </c>
      <c r="J207" t="n">
        <v>0</v>
      </c>
      <c r="K207" t="n">
        <v>0</v>
      </c>
      <c r="L207" t="n">
        <v>0</v>
      </c>
      <c r="M207" t="n">
        <v>0</v>
      </c>
      <c r="N207" t="n">
        <v>0</v>
      </c>
      <c r="O207" t="n">
        <v>0</v>
      </c>
      <c r="P207" t="n">
        <v>0</v>
      </c>
      <c r="Q207" t="n">
        <v>0</v>
      </c>
      <c r="R207" s="2" t="inlineStr"/>
    </row>
    <row r="208" ht="15" customHeight="1">
      <c r="A208" t="inlineStr">
        <is>
          <t>A 39003-2025</t>
        </is>
      </c>
      <c r="B208" s="1" t="n">
        <v>45888.34467592592</v>
      </c>
      <c r="C208" s="1" t="n">
        <v>45966</v>
      </c>
      <c r="D208" t="inlineStr">
        <is>
          <t>ÖREBRO LÄN</t>
        </is>
      </c>
      <c r="E208" t="inlineStr">
        <is>
          <t>ÖREBRO</t>
        </is>
      </c>
      <c r="G208" t="n">
        <v>3.7</v>
      </c>
      <c r="H208" t="n">
        <v>0</v>
      </c>
      <c r="I208" t="n">
        <v>0</v>
      </c>
      <c r="J208" t="n">
        <v>0</v>
      </c>
      <c r="K208" t="n">
        <v>0</v>
      </c>
      <c r="L208" t="n">
        <v>0</v>
      </c>
      <c r="M208" t="n">
        <v>0</v>
      </c>
      <c r="N208" t="n">
        <v>0</v>
      </c>
      <c r="O208" t="n">
        <v>0</v>
      </c>
      <c r="P208" t="n">
        <v>0</v>
      </c>
      <c r="Q208" t="n">
        <v>0</v>
      </c>
      <c r="R208" s="2" t="inlineStr"/>
    </row>
    <row r="209" ht="15" customHeight="1">
      <c r="A209" t="inlineStr">
        <is>
          <t>A 15422-2022</t>
        </is>
      </c>
      <c r="B209" s="1" t="n">
        <v>44659.63753472222</v>
      </c>
      <c r="C209" s="1" t="n">
        <v>45966</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49797-2024</t>
        </is>
      </c>
      <c r="B210" s="1" t="n">
        <v>45597.37265046296</v>
      </c>
      <c r="C210" s="1" t="n">
        <v>45966</v>
      </c>
      <c r="D210" t="inlineStr">
        <is>
          <t>ÖREBRO LÄN</t>
        </is>
      </c>
      <c r="E210" t="inlineStr">
        <is>
          <t>ÖREBRO</t>
        </is>
      </c>
      <c r="G210" t="n">
        <v>11.6</v>
      </c>
      <c r="H210" t="n">
        <v>0</v>
      </c>
      <c r="I210" t="n">
        <v>0</v>
      </c>
      <c r="J210" t="n">
        <v>0</v>
      </c>
      <c r="K210" t="n">
        <v>0</v>
      </c>
      <c r="L210" t="n">
        <v>0</v>
      </c>
      <c r="M210" t="n">
        <v>0</v>
      </c>
      <c r="N210" t="n">
        <v>0</v>
      </c>
      <c r="O210" t="n">
        <v>0</v>
      </c>
      <c r="P210" t="n">
        <v>0</v>
      </c>
      <c r="Q210" t="n">
        <v>0</v>
      </c>
      <c r="R210" s="2" t="inlineStr"/>
    </row>
    <row r="211" ht="15" customHeight="1">
      <c r="A211" t="inlineStr">
        <is>
          <t>A 14053-2025</t>
        </is>
      </c>
      <c r="B211" s="1" t="n">
        <v>45739</v>
      </c>
      <c r="C211" s="1" t="n">
        <v>45966</v>
      </c>
      <c r="D211" t="inlineStr">
        <is>
          <t>ÖREBRO LÄN</t>
        </is>
      </c>
      <c r="E211" t="inlineStr">
        <is>
          <t>ÖREBRO</t>
        </is>
      </c>
      <c r="G211" t="n">
        <v>3.5</v>
      </c>
      <c r="H211" t="n">
        <v>0</v>
      </c>
      <c r="I211" t="n">
        <v>0</v>
      </c>
      <c r="J211" t="n">
        <v>0</v>
      </c>
      <c r="K211" t="n">
        <v>0</v>
      </c>
      <c r="L211" t="n">
        <v>0</v>
      </c>
      <c r="M211" t="n">
        <v>0</v>
      </c>
      <c r="N211" t="n">
        <v>0</v>
      </c>
      <c r="O211" t="n">
        <v>0</v>
      </c>
      <c r="P211" t="n">
        <v>0</v>
      </c>
      <c r="Q211" t="n">
        <v>0</v>
      </c>
      <c r="R211" s="2" t="inlineStr"/>
    </row>
    <row r="212" ht="15" customHeight="1">
      <c r="A212" t="inlineStr">
        <is>
          <t>A 40522-2024</t>
        </is>
      </c>
      <c r="B212" s="1" t="n">
        <v>45555.59717592593</v>
      </c>
      <c r="C212" s="1" t="n">
        <v>45966</v>
      </c>
      <c r="D212" t="inlineStr">
        <is>
          <t>ÖREBRO LÄN</t>
        </is>
      </c>
      <c r="E212" t="inlineStr">
        <is>
          <t>ÖREBRO</t>
        </is>
      </c>
      <c r="G212" t="n">
        <v>5.1</v>
      </c>
      <c r="H212" t="n">
        <v>0</v>
      </c>
      <c r="I212" t="n">
        <v>0</v>
      </c>
      <c r="J212" t="n">
        <v>0</v>
      </c>
      <c r="K212" t="n">
        <v>0</v>
      </c>
      <c r="L212" t="n">
        <v>0</v>
      </c>
      <c r="M212" t="n">
        <v>0</v>
      </c>
      <c r="N212" t="n">
        <v>0</v>
      </c>
      <c r="O212" t="n">
        <v>0</v>
      </c>
      <c r="P212" t="n">
        <v>0</v>
      </c>
      <c r="Q212" t="n">
        <v>0</v>
      </c>
      <c r="R212" s="2" t="inlineStr"/>
    </row>
    <row r="213" ht="15" customHeight="1">
      <c r="A213" t="inlineStr">
        <is>
          <t>A 10799-2024</t>
        </is>
      </c>
      <c r="B213" s="1" t="n">
        <v>45369</v>
      </c>
      <c r="C213" s="1" t="n">
        <v>45966</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46757-2021</t>
        </is>
      </c>
      <c r="B214" s="1" t="n">
        <v>44445</v>
      </c>
      <c r="C214" s="1" t="n">
        <v>45966</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9609-2023</t>
        </is>
      </c>
      <c r="B215" s="1" t="n">
        <v>44983.93344907407</v>
      </c>
      <c r="C215" s="1" t="n">
        <v>45966</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45966</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46323-2024</t>
        </is>
      </c>
      <c r="B217" s="1" t="n">
        <v>45581.84538194445</v>
      </c>
      <c r="C217" s="1" t="n">
        <v>45966</v>
      </c>
      <c r="D217" t="inlineStr">
        <is>
          <t>ÖREBRO LÄN</t>
        </is>
      </c>
      <c r="E217" t="inlineStr">
        <is>
          <t>ÖREBRO</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49029-2024</t>
        </is>
      </c>
      <c r="B218" s="1" t="n">
        <v>45594</v>
      </c>
      <c r="C218" s="1" t="n">
        <v>45966</v>
      </c>
      <c r="D218" t="inlineStr">
        <is>
          <t>ÖREBRO LÄN</t>
        </is>
      </c>
      <c r="E218" t="inlineStr">
        <is>
          <t>ÖREBRO</t>
        </is>
      </c>
      <c r="G218" t="n">
        <v>3.7</v>
      </c>
      <c r="H218" t="n">
        <v>0</v>
      </c>
      <c r="I218" t="n">
        <v>0</v>
      </c>
      <c r="J218" t="n">
        <v>0</v>
      </c>
      <c r="K218" t="n">
        <v>0</v>
      </c>
      <c r="L218" t="n">
        <v>0</v>
      </c>
      <c r="M218" t="n">
        <v>0</v>
      </c>
      <c r="N218" t="n">
        <v>0</v>
      </c>
      <c r="O218" t="n">
        <v>0</v>
      </c>
      <c r="P218" t="n">
        <v>0</v>
      </c>
      <c r="Q218" t="n">
        <v>0</v>
      </c>
      <c r="R218" s="2" t="inlineStr"/>
    </row>
    <row r="219" ht="15" customHeight="1">
      <c r="A219" t="inlineStr">
        <is>
          <t>A 49062-2023</t>
        </is>
      </c>
      <c r="B219" s="1" t="n">
        <v>45210.35119212963</v>
      </c>
      <c r="C219" s="1" t="n">
        <v>45966</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8022-2022</t>
        </is>
      </c>
      <c r="B220" s="1" t="n">
        <v>44609</v>
      </c>
      <c r="C220" s="1" t="n">
        <v>45966</v>
      </c>
      <c r="D220" t="inlineStr">
        <is>
          <t>ÖREBRO LÄN</t>
        </is>
      </c>
      <c r="E220" t="inlineStr">
        <is>
          <t>ÖREBRO</t>
        </is>
      </c>
      <c r="G220" t="n">
        <v>5.6</v>
      </c>
      <c r="H220" t="n">
        <v>0</v>
      </c>
      <c r="I220" t="n">
        <v>0</v>
      </c>
      <c r="J220" t="n">
        <v>0</v>
      </c>
      <c r="K220" t="n">
        <v>0</v>
      </c>
      <c r="L220" t="n">
        <v>0</v>
      </c>
      <c r="M220" t="n">
        <v>0</v>
      </c>
      <c r="N220" t="n">
        <v>0</v>
      </c>
      <c r="O220" t="n">
        <v>0</v>
      </c>
      <c r="P220" t="n">
        <v>0</v>
      </c>
      <c r="Q220" t="n">
        <v>0</v>
      </c>
      <c r="R220" s="2" t="inlineStr"/>
    </row>
    <row r="221" ht="15" customHeight="1">
      <c r="A221" t="inlineStr">
        <is>
          <t>A 29978-2024</t>
        </is>
      </c>
      <c r="B221" s="1" t="n">
        <v>45488.48340277778</v>
      </c>
      <c r="C221" s="1" t="n">
        <v>45966</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35829-2024</t>
        </is>
      </c>
      <c r="B222" s="1" t="n">
        <v>45532</v>
      </c>
      <c r="C222" s="1" t="n">
        <v>45966</v>
      </c>
      <c r="D222" t="inlineStr">
        <is>
          <t>ÖREBRO LÄN</t>
        </is>
      </c>
      <c r="E222" t="inlineStr">
        <is>
          <t>ÖREBRO</t>
        </is>
      </c>
      <c r="G222" t="n">
        <v>4.6</v>
      </c>
      <c r="H222" t="n">
        <v>0</v>
      </c>
      <c r="I222" t="n">
        <v>0</v>
      </c>
      <c r="J222" t="n">
        <v>0</v>
      </c>
      <c r="K222" t="n">
        <v>0</v>
      </c>
      <c r="L222" t="n">
        <v>0</v>
      </c>
      <c r="M222" t="n">
        <v>0</v>
      </c>
      <c r="N222" t="n">
        <v>0</v>
      </c>
      <c r="O222" t="n">
        <v>0</v>
      </c>
      <c r="P222" t="n">
        <v>0</v>
      </c>
      <c r="Q222" t="n">
        <v>0</v>
      </c>
      <c r="R222" s="2" t="inlineStr"/>
    </row>
    <row r="223" ht="15" customHeight="1">
      <c r="A223" t="inlineStr">
        <is>
          <t>A 39479-2025</t>
        </is>
      </c>
      <c r="B223" s="1" t="n">
        <v>45890.34752314815</v>
      </c>
      <c r="C223" s="1" t="n">
        <v>45966</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19978-2025</t>
        </is>
      </c>
      <c r="B224" s="1" t="n">
        <v>45771.7062037037</v>
      </c>
      <c r="C224" s="1" t="n">
        <v>45966</v>
      </c>
      <c r="D224" t="inlineStr">
        <is>
          <t>ÖREBRO LÄN</t>
        </is>
      </c>
      <c r="E224" t="inlineStr">
        <is>
          <t>ÖREBRO</t>
        </is>
      </c>
      <c r="G224" t="n">
        <v>2</v>
      </c>
      <c r="H224" t="n">
        <v>0</v>
      </c>
      <c r="I224" t="n">
        <v>0</v>
      </c>
      <c r="J224" t="n">
        <v>0</v>
      </c>
      <c r="K224" t="n">
        <v>0</v>
      </c>
      <c r="L224" t="n">
        <v>0</v>
      </c>
      <c r="M224" t="n">
        <v>0</v>
      </c>
      <c r="N224" t="n">
        <v>0</v>
      </c>
      <c r="O224" t="n">
        <v>0</v>
      </c>
      <c r="P224" t="n">
        <v>0</v>
      </c>
      <c r="Q224" t="n">
        <v>0</v>
      </c>
      <c r="R224" s="2" t="inlineStr"/>
    </row>
    <row r="225" ht="15" customHeight="1">
      <c r="A225" t="inlineStr">
        <is>
          <t>A 7134-2025</t>
        </is>
      </c>
      <c r="B225" s="1" t="n">
        <v>45702</v>
      </c>
      <c r="C225" s="1" t="n">
        <v>45966</v>
      </c>
      <c r="D225" t="inlineStr">
        <is>
          <t>ÖREBRO LÄN</t>
        </is>
      </c>
      <c r="E225" t="inlineStr">
        <is>
          <t>ÖREBRO</t>
        </is>
      </c>
      <c r="F225" t="inlineStr">
        <is>
          <t>Övriga Aktiebolag</t>
        </is>
      </c>
      <c r="G225" t="n">
        <v>2.1</v>
      </c>
      <c r="H225" t="n">
        <v>0</v>
      </c>
      <c r="I225" t="n">
        <v>0</v>
      </c>
      <c r="J225" t="n">
        <v>0</v>
      </c>
      <c r="K225" t="n">
        <v>0</v>
      </c>
      <c r="L225" t="n">
        <v>0</v>
      </c>
      <c r="M225" t="n">
        <v>0</v>
      </c>
      <c r="N225" t="n">
        <v>0</v>
      </c>
      <c r="O225" t="n">
        <v>0</v>
      </c>
      <c r="P225" t="n">
        <v>0</v>
      </c>
      <c r="Q225" t="n">
        <v>0</v>
      </c>
      <c r="R225" s="2" t="inlineStr"/>
    </row>
    <row r="226" ht="15" customHeight="1">
      <c r="A226" t="inlineStr">
        <is>
          <t>A 13181-2023</t>
        </is>
      </c>
      <c r="B226" s="1" t="n">
        <v>45002.60659722222</v>
      </c>
      <c r="C226" s="1" t="n">
        <v>45966</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61078-2024</t>
        </is>
      </c>
      <c r="B227" s="1" t="n">
        <v>45645.51034722223</v>
      </c>
      <c r="C227" s="1" t="n">
        <v>45966</v>
      </c>
      <c r="D227" t="inlineStr">
        <is>
          <t>ÖREBRO LÄN</t>
        </is>
      </c>
      <c r="E227" t="inlineStr">
        <is>
          <t>ÖREBRO</t>
        </is>
      </c>
      <c r="G227" t="n">
        <v>4.1</v>
      </c>
      <c r="H227" t="n">
        <v>0</v>
      </c>
      <c r="I227" t="n">
        <v>0</v>
      </c>
      <c r="J227" t="n">
        <v>0</v>
      </c>
      <c r="K227" t="n">
        <v>0</v>
      </c>
      <c r="L227" t="n">
        <v>0</v>
      </c>
      <c r="M227" t="n">
        <v>0</v>
      </c>
      <c r="N227" t="n">
        <v>0</v>
      </c>
      <c r="O227" t="n">
        <v>0</v>
      </c>
      <c r="P227" t="n">
        <v>0</v>
      </c>
      <c r="Q227" t="n">
        <v>0</v>
      </c>
      <c r="R227" s="2" t="inlineStr"/>
    </row>
    <row r="228" ht="15" customHeight="1">
      <c r="A228" t="inlineStr">
        <is>
          <t>A 62511-2023</t>
        </is>
      </c>
      <c r="B228" s="1" t="n">
        <v>45268.61855324074</v>
      </c>
      <c r="C228" s="1" t="n">
        <v>45966</v>
      </c>
      <c r="D228" t="inlineStr">
        <is>
          <t>ÖREBRO LÄN</t>
        </is>
      </c>
      <c r="E228" t="inlineStr">
        <is>
          <t>ÖREBRO</t>
        </is>
      </c>
      <c r="F228" t="inlineStr">
        <is>
          <t>Övriga Aktiebolag</t>
        </is>
      </c>
      <c r="G228" t="n">
        <v>3.6</v>
      </c>
      <c r="H228" t="n">
        <v>0</v>
      </c>
      <c r="I228" t="n">
        <v>0</v>
      </c>
      <c r="J228" t="n">
        <v>0</v>
      </c>
      <c r="K228" t="n">
        <v>0</v>
      </c>
      <c r="L228" t="n">
        <v>0</v>
      </c>
      <c r="M228" t="n">
        <v>0</v>
      </c>
      <c r="N228" t="n">
        <v>0</v>
      </c>
      <c r="O228" t="n">
        <v>0</v>
      </c>
      <c r="P228" t="n">
        <v>0</v>
      </c>
      <c r="Q228" t="n">
        <v>0</v>
      </c>
      <c r="R228" s="2" t="inlineStr"/>
    </row>
    <row r="229" ht="15" customHeight="1">
      <c r="A229" t="inlineStr">
        <is>
          <t>A 16374-2022</t>
        </is>
      </c>
      <c r="B229" s="1" t="n">
        <v>44671</v>
      </c>
      <c r="C229" s="1" t="n">
        <v>45966</v>
      </c>
      <c r="D229" t="inlineStr">
        <is>
          <t>ÖREBRO LÄN</t>
        </is>
      </c>
      <c r="E229" t="inlineStr">
        <is>
          <t>ÖREBRO</t>
        </is>
      </c>
      <c r="F229" t="inlineStr">
        <is>
          <t>Övriga Aktiebolag</t>
        </is>
      </c>
      <c r="G229" t="n">
        <v>30.3</v>
      </c>
      <c r="H229" t="n">
        <v>0</v>
      </c>
      <c r="I229" t="n">
        <v>0</v>
      </c>
      <c r="J229" t="n">
        <v>0</v>
      </c>
      <c r="K229" t="n">
        <v>0</v>
      </c>
      <c r="L229" t="n">
        <v>0</v>
      </c>
      <c r="M229" t="n">
        <v>0</v>
      </c>
      <c r="N229" t="n">
        <v>0</v>
      </c>
      <c r="O229" t="n">
        <v>0</v>
      </c>
      <c r="P229" t="n">
        <v>0</v>
      </c>
      <c r="Q229" t="n">
        <v>0</v>
      </c>
      <c r="R229" s="2" t="inlineStr"/>
    </row>
    <row r="230" ht="15" customHeight="1">
      <c r="A230" t="inlineStr">
        <is>
          <t>A 40330-2025</t>
        </is>
      </c>
      <c r="B230" s="1" t="n">
        <v>45895.4531712963</v>
      </c>
      <c r="C230" s="1" t="n">
        <v>45966</v>
      </c>
      <c r="D230" t="inlineStr">
        <is>
          <t>ÖREBRO LÄN</t>
        </is>
      </c>
      <c r="E230" t="inlineStr">
        <is>
          <t>ÖREBRO</t>
        </is>
      </c>
      <c r="G230" t="n">
        <v>0.9</v>
      </c>
      <c r="H230" t="n">
        <v>0</v>
      </c>
      <c r="I230" t="n">
        <v>0</v>
      </c>
      <c r="J230" t="n">
        <v>0</v>
      </c>
      <c r="K230" t="n">
        <v>0</v>
      </c>
      <c r="L230" t="n">
        <v>0</v>
      </c>
      <c r="M230" t="n">
        <v>0</v>
      </c>
      <c r="N230" t="n">
        <v>0</v>
      </c>
      <c r="O230" t="n">
        <v>0</v>
      </c>
      <c r="P230" t="n">
        <v>0</v>
      </c>
      <c r="Q230" t="n">
        <v>0</v>
      </c>
      <c r="R230" s="2" t="inlineStr"/>
    </row>
    <row r="231" ht="15" customHeight="1">
      <c r="A231" t="inlineStr">
        <is>
          <t>A 27956-2023</t>
        </is>
      </c>
      <c r="B231" s="1" t="n">
        <v>45098</v>
      </c>
      <c r="C231" s="1" t="n">
        <v>45966</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13321-2024</t>
        </is>
      </c>
      <c r="B232" s="1" t="n">
        <v>45386.83142361111</v>
      </c>
      <c r="C232" s="1" t="n">
        <v>45966</v>
      </c>
      <c r="D232" t="inlineStr">
        <is>
          <t>ÖREBRO LÄN</t>
        </is>
      </c>
      <c r="E232" t="inlineStr">
        <is>
          <t>ÖREBRO</t>
        </is>
      </c>
      <c r="G232" t="n">
        <v>13.1</v>
      </c>
      <c r="H232" t="n">
        <v>0</v>
      </c>
      <c r="I232" t="n">
        <v>0</v>
      </c>
      <c r="J232" t="n">
        <v>0</v>
      </c>
      <c r="K232" t="n">
        <v>0</v>
      </c>
      <c r="L232" t="n">
        <v>0</v>
      </c>
      <c r="M232" t="n">
        <v>0</v>
      </c>
      <c r="N232" t="n">
        <v>0</v>
      </c>
      <c r="O232" t="n">
        <v>0</v>
      </c>
      <c r="P232" t="n">
        <v>0</v>
      </c>
      <c r="Q232" t="n">
        <v>0</v>
      </c>
      <c r="R232" s="2" t="inlineStr"/>
    </row>
    <row r="233" ht="15" customHeight="1">
      <c r="A233" t="inlineStr">
        <is>
          <t>A 40332-2025</t>
        </is>
      </c>
      <c r="B233" s="1" t="n">
        <v>45895.46060185185</v>
      </c>
      <c r="C233" s="1" t="n">
        <v>45966</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55472-2023</t>
        </is>
      </c>
      <c r="B234" s="1" t="n">
        <v>45238</v>
      </c>
      <c r="C234" s="1" t="n">
        <v>45966</v>
      </c>
      <c r="D234" t="inlineStr">
        <is>
          <t>ÖREBRO LÄN</t>
        </is>
      </c>
      <c r="E234" t="inlineStr">
        <is>
          <t>ÖREBRO</t>
        </is>
      </c>
      <c r="G234" t="n">
        <v>0.6</v>
      </c>
      <c r="H234" t="n">
        <v>0</v>
      </c>
      <c r="I234" t="n">
        <v>0</v>
      </c>
      <c r="J234" t="n">
        <v>0</v>
      </c>
      <c r="K234" t="n">
        <v>0</v>
      </c>
      <c r="L234" t="n">
        <v>0</v>
      </c>
      <c r="M234" t="n">
        <v>0</v>
      </c>
      <c r="N234" t="n">
        <v>0</v>
      </c>
      <c r="O234" t="n">
        <v>0</v>
      </c>
      <c r="P234" t="n">
        <v>0</v>
      </c>
      <c r="Q234" t="n">
        <v>0</v>
      </c>
      <c r="R234" s="2" t="inlineStr"/>
    </row>
    <row r="235" ht="15" customHeight="1">
      <c r="A235" t="inlineStr">
        <is>
          <t>A 5129-2024</t>
        </is>
      </c>
      <c r="B235" s="1" t="n">
        <v>45330</v>
      </c>
      <c r="C235" s="1" t="n">
        <v>45966</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48454-2025</t>
        </is>
      </c>
      <c r="B236" s="1" t="n">
        <v>45935.80164351852</v>
      </c>
      <c r="C236" s="1" t="n">
        <v>45966</v>
      </c>
      <c r="D236" t="inlineStr">
        <is>
          <t>ÖREBRO LÄN</t>
        </is>
      </c>
      <c r="E236" t="inlineStr">
        <is>
          <t>ÖREBRO</t>
        </is>
      </c>
      <c r="F236" t="inlineStr">
        <is>
          <t>Övriga Aktiebolag</t>
        </is>
      </c>
      <c r="G236" t="n">
        <v>18.1</v>
      </c>
      <c r="H236" t="n">
        <v>0</v>
      </c>
      <c r="I236" t="n">
        <v>0</v>
      </c>
      <c r="J236" t="n">
        <v>0</v>
      </c>
      <c r="K236" t="n">
        <v>0</v>
      </c>
      <c r="L236" t="n">
        <v>0</v>
      </c>
      <c r="M236" t="n">
        <v>0</v>
      </c>
      <c r="N236" t="n">
        <v>0</v>
      </c>
      <c r="O236" t="n">
        <v>0</v>
      </c>
      <c r="P236" t="n">
        <v>0</v>
      </c>
      <c r="Q236" t="n">
        <v>0</v>
      </c>
      <c r="R236" s="2" t="inlineStr"/>
    </row>
    <row r="237" ht="15" customHeight="1">
      <c r="A237" t="inlineStr">
        <is>
          <t>A 58486-2024</t>
        </is>
      </c>
      <c r="B237" s="1" t="n">
        <v>45635</v>
      </c>
      <c r="C237" s="1" t="n">
        <v>45966</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15652-2025</t>
        </is>
      </c>
      <c r="B238" s="1" t="n">
        <v>45748</v>
      </c>
      <c r="C238" s="1" t="n">
        <v>45966</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16737-2023</t>
        </is>
      </c>
      <c r="B239" s="1" t="n">
        <v>45030.72472222222</v>
      </c>
      <c r="C239" s="1" t="n">
        <v>45966</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30015-2023</t>
        </is>
      </c>
      <c r="B240" s="1" t="n">
        <v>45109</v>
      </c>
      <c r="C240" s="1" t="n">
        <v>45966</v>
      </c>
      <c r="D240" t="inlineStr">
        <is>
          <t>ÖREBRO LÄN</t>
        </is>
      </c>
      <c r="E240" t="inlineStr">
        <is>
          <t>ÖREBRO</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5762-2025</t>
        </is>
      </c>
      <c r="B241" s="1" t="n">
        <v>45694.57181712963</v>
      </c>
      <c r="C241" s="1" t="n">
        <v>45966</v>
      </c>
      <c r="D241" t="inlineStr">
        <is>
          <t>ÖREBRO LÄN</t>
        </is>
      </c>
      <c r="E241" t="inlineStr">
        <is>
          <t>ÖREBRO</t>
        </is>
      </c>
      <c r="F241" t="inlineStr">
        <is>
          <t>Övriga Aktiebolag</t>
        </is>
      </c>
      <c r="G241" t="n">
        <v>1.5</v>
      </c>
      <c r="H241" t="n">
        <v>0</v>
      </c>
      <c r="I241" t="n">
        <v>0</v>
      </c>
      <c r="J241" t="n">
        <v>0</v>
      </c>
      <c r="K241" t="n">
        <v>0</v>
      </c>
      <c r="L241" t="n">
        <v>0</v>
      </c>
      <c r="M241" t="n">
        <v>0</v>
      </c>
      <c r="N241" t="n">
        <v>0</v>
      </c>
      <c r="O241" t="n">
        <v>0</v>
      </c>
      <c r="P241" t="n">
        <v>0</v>
      </c>
      <c r="Q241" t="n">
        <v>0</v>
      </c>
      <c r="R241" s="2" t="inlineStr"/>
    </row>
    <row r="242" ht="15" customHeight="1">
      <c r="A242" t="inlineStr">
        <is>
          <t>A 48644-2024</t>
        </is>
      </c>
      <c r="B242" s="1" t="n">
        <v>45593.47466435185</v>
      </c>
      <c r="C242" s="1" t="n">
        <v>45966</v>
      </c>
      <c r="D242" t="inlineStr">
        <is>
          <t>ÖREBRO LÄN</t>
        </is>
      </c>
      <c r="E242" t="inlineStr">
        <is>
          <t>ÖREBRO</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51180-2023</t>
        </is>
      </c>
      <c r="B243" s="1" t="n">
        <v>45219</v>
      </c>
      <c r="C243" s="1" t="n">
        <v>45966</v>
      </c>
      <c r="D243" t="inlineStr">
        <is>
          <t>ÖREBRO LÄN</t>
        </is>
      </c>
      <c r="E243" t="inlineStr">
        <is>
          <t>ÖREBRO</t>
        </is>
      </c>
      <c r="G243" t="n">
        <v>6.5</v>
      </c>
      <c r="H243" t="n">
        <v>0</v>
      </c>
      <c r="I243" t="n">
        <v>0</v>
      </c>
      <c r="J243" t="n">
        <v>0</v>
      </c>
      <c r="K243" t="n">
        <v>0</v>
      </c>
      <c r="L243" t="n">
        <v>0</v>
      </c>
      <c r="M243" t="n">
        <v>0</v>
      </c>
      <c r="N243" t="n">
        <v>0</v>
      </c>
      <c r="O243" t="n">
        <v>0</v>
      </c>
      <c r="P243" t="n">
        <v>0</v>
      </c>
      <c r="Q243" t="n">
        <v>0</v>
      </c>
      <c r="R243" s="2" t="inlineStr"/>
    </row>
    <row r="244" ht="15" customHeight="1">
      <c r="A244" t="inlineStr">
        <is>
          <t>A 1013-2024</t>
        </is>
      </c>
      <c r="B244" s="1" t="n">
        <v>45301</v>
      </c>
      <c r="C244" s="1" t="n">
        <v>45966</v>
      </c>
      <c r="D244" t="inlineStr">
        <is>
          <t>ÖREBRO LÄN</t>
        </is>
      </c>
      <c r="E244" t="inlineStr">
        <is>
          <t>ÖREBRO</t>
        </is>
      </c>
      <c r="G244" t="n">
        <v>2.6</v>
      </c>
      <c r="H244" t="n">
        <v>0</v>
      </c>
      <c r="I244" t="n">
        <v>0</v>
      </c>
      <c r="J244" t="n">
        <v>0</v>
      </c>
      <c r="K244" t="n">
        <v>0</v>
      </c>
      <c r="L244" t="n">
        <v>0</v>
      </c>
      <c r="M244" t="n">
        <v>0</v>
      </c>
      <c r="N244" t="n">
        <v>0</v>
      </c>
      <c r="O244" t="n">
        <v>0</v>
      </c>
      <c r="P244" t="n">
        <v>0</v>
      </c>
      <c r="Q244" t="n">
        <v>0</v>
      </c>
      <c r="R244" s="2" t="inlineStr"/>
    </row>
    <row r="245" ht="15" customHeight="1">
      <c r="A245" t="inlineStr">
        <is>
          <t>A 58621-2024</t>
        </is>
      </c>
      <c r="B245" s="1" t="n">
        <v>45635.56321759259</v>
      </c>
      <c r="C245" s="1" t="n">
        <v>45966</v>
      </c>
      <c r="D245" t="inlineStr">
        <is>
          <t>ÖREBRO LÄN</t>
        </is>
      </c>
      <c r="E245" t="inlineStr">
        <is>
          <t>ÖREBRO</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5578-2024</t>
        </is>
      </c>
      <c r="B246" s="1" t="n">
        <v>45334.49104166667</v>
      </c>
      <c r="C246" s="1" t="n">
        <v>45966</v>
      </c>
      <c r="D246" t="inlineStr">
        <is>
          <t>ÖREBRO LÄN</t>
        </is>
      </c>
      <c r="E246" t="inlineStr">
        <is>
          <t>ÖREBRO</t>
        </is>
      </c>
      <c r="G246" t="n">
        <v>2.4</v>
      </c>
      <c r="H246" t="n">
        <v>0</v>
      </c>
      <c r="I246" t="n">
        <v>0</v>
      </c>
      <c r="J246" t="n">
        <v>0</v>
      </c>
      <c r="K246" t="n">
        <v>0</v>
      </c>
      <c r="L246" t="n">
        <v>0</v>
      </c>
      <c r="M246" t="n">
        <v>0</v>
      </c>
      <c r="N246" t="n">
        <v>0</v>
      </c>
      <c r="O246" t="n">
        <v>0</v>
      </c>
      <c r="P246" t="n">
        <v>0</v>
      </c>
      <c r="Q246" t="n">
        <v>0</v>
      </c>
      <c r="R246" s="2" t="inlineStr"/>
    </row>
    <row r="247" ht="15" customHeight="1">
      <c r="A247" t="inlineStr">
        <is>
          <t>A 8512-2025</t>
        </is>
      </c>
      <c r="B247" s="1" t="n">
        <v>45709.54873842592</v>
      </c>
      <c r="C247" s="1" t="n">
        <v>45966</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14715-2024</t>
        </is>
      </c>
      <c r="B248" s="1" t="n">
        <v>45397.5500462963</v>
      </c>
      <c r="C248" s="1" t="n">
        <v>45966</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58145-2024</t>
        </is>
      </c>
      <c r="B249" s="1" t="n">
        <v>45632.43230324074</v>
      </c>
      <c r="C249" s="1" t="n">
        <v>45966</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32086-2023</t>
        </is>
      </c>
      <c r="B250" s="1" t="n">
        <v>45119.59789351852</v>
      </c>
      <c r="C250" s="1" t="n">
        <v>45966</v>
      </c>
      <c r="D250" t="inlineStr">
        <is>
          <t>ÖREBRO LÄN</t>
        </is>
      </c>
      <c r="E250" t="inlineStr">
        <is>
          <t>ÖREBRO</t>
        </is>
      </c>
      <c r="G250" t="n">
        <v>0.7</v>
      </c>
      <c r="H250" t="n">
        <v>0</v>
      </c>
      <c r="I250" t="n">
        <v>0</v>
      </c>
      <c r="J250" t="n">
        <v>0</v>
      </c>
      <c r="K250" t="n">
        <v>0</v>
      </c>
      <c r="L250" t="n">
        <v>0</v>
      </c>
      <c r="M250" t="n">
        <v>0</v>
      </c>
      <c r="N250" t="n">
        <v>0</v>
      </c>
      <c r="O250" t="n">
        <v>0</v>
      </c>
      <c r="P250" t="n">
        <v>0</v>
      </c>
      <c r="Q250" t="n">
        <v>0</v>
      </c>
      <c r="R250" s="2" t="inlineStr"/>
    </row>
    <row r="251" ht="15" customHeight="1">
      <c r="A251" t="inlineStr">
        <is>
          <t>A 22079-2023</t>
        </is>
      </c>
      <c r="B251" s="1" t="n">
        <v>45069</v>
      </c>
      <c r="C251" s="1" t="n">
        <v>45966</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16300-2022</t>
        </is>
      </c>
      <c r="B252" s="1" t="n">
        <v>44670</v>
      </c>
      <c r="C252" s="1" t="n">
        <v>45966</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2630-2023</t>
        </is>
      </c>
      <c r="B253" s="1" t="n">
        <v>44944.39105324074</v>
      </c>
      <c r="C253" s="1" t="n">
        <v>45966</v>
      </c>
      <c r="D253" t="inlineStr">
        <is>
          <t>ÖREBRO LÄN</t>
        </is>
      </c>
      <c r="E253" t="inlineStr">
        <is>
          <t>ÖREBRO</t>
        </is>
      </c>
      <c r="G253" t="n">
        <v>6.1</v>
      </c>
      <c r="H253" t="n">
        <v>0</v>
      </c>
      <c r="I253" t="n">
        <v>0</v>
      </c>
      <c r="J253" t="n">
        <v>0</v>
      </c>
      <c r="K253" t="n">
        <v>0</v>
      </c>
      <c r="L253" t="n">
        <v>0</v>
      </c>
      <c r="M253" t="n">
        <v>0</v>
      </c>
      <c r="N253" t="n">
        <v>0</v>
      </c>
      <c r="O253" t="n">
        <v>0</v>
      </c>
      <c r="P253" t="n">
        <v>0</v>
      </c>
      <c r="Q253" t="n">
        <v>0</v>
      </c>
      <c r="R253" s="2" t="inlineStr"/>
    </row>
    <row r="254" ht="15" customHeight="1">
      <c r="A254" t="inlineStr">
        <is>
          <t>A 18181-2024</t>
        </is>
      </c>
      <c r="B254" s="1" t="n">
        <v>45420.64561342593</v>
      </c>
      <c r="C254" s="1" t="n">
        <v>45966</v>
      </c>
      <c r="D254" t="inlineStr">
        <is>
          <t>ÖREBRO LÄN</t>
        </is>
      </c>
      <c r="E254" t="inlineStr">
        <is>
          <t>ÖREBRO</t>
        </is>
      </c>
      <c r="G254" t="n">
        <v>7.6</v>
      </c>
      <c r="H254" t="n">
        <v>0</v>
      </c>
      <c r="I254" t="n">
        <v>0</v>
      </c>
      <c r="J254" t="n">
        <v>0</v>
      </c>
      <c r="K254" t="n">
        <v>0</v>
      </c>
      <c r="L254" t="n">
        <v>0</v>
      </c>
      <c r="M254" t="n">
        <v>0</v>
      </c>
      <c r="N254" t="n">
        <v>0</v>
      </c>
      <c r="O254" t="n">
        <v>0</v>
      </c>
      <c r="P254" t="n">
        <v>0</v>
      </c>
      <c r="Q254" t="n">
        <v>0</v>
      </c>
      <c r="R254" s="2" t="inlineStr"/>
    </row>
    <row r="255" ht="15" customHeight="1">
      <c r="A255" t="inlineStr">
        <is>
          <t>A 5330-2024</t>
        </is>
      </c>
      <c r="B255" s="1" t="n">
        <v>45331.4187962963</v>
      </c>
      <c r="C255" s="1" t="n">
        <v>45966</v>
      </c>
      <c r="D255" t="inlineStr">
        <is>
          <t>ÖREBRO LÄN</t>
        </is>
      </c>
      <c r="E255" t="inlineStr">
        <is>
          <t>ÖREBRO</t>
        </is>
      </c>
      <c r="G255" t="n">
        <v>1.4</v>
      </c>
      <c r="H255" t="n">
        <v>0</v>
      </c>
      <c r="I255" t="n">
        <v>0</v>
      </c>
      <c r="J255" t="n">
        <v>0</v>
      </c>
      <c r="K255" t="n">
        <v>0</v>
      </c>
      <c r="L255" t="n">
        <v>0</v>
      </c>
      <c r="M255" t="n">
        <v>0</v>
      </c>
      <c r="N255" t="n">
        <v>0</v>
      </c>
      <c r="O255" t="n">
        <v>0</v>
      </c>
      <c r="P255" t="n">
        <v>0</v>
      </c>
      <c r="Q255" t="n">
        <v>0</v>
      </c>
      <c r="R255" s="2" t="inlineStr"/>
    </row>
    <row r="256" ht="15" customHeight="1">
      <c r="A256" t="inlineStr">
        <is>
          <t>A 54925-2023</t>
        </is>
      </c>
      <c r="B256" s="1" t="n">
        <v>45229</v>
      </c>
      <c r="C256" s="1" t="n">
        <v>45966</v>
      </c>
      <c r="D256" t="inlineStr">
        <is>
          <t>ÖREBRO LÄN</t>
        </is>
      </c>
      <c r="E256" t="inlineStr">
        <is>
          <t>ÖREBRO</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10830-2023</t>
        </is>
      </c>
      <c r="B257" s="1" t="n">
        <v>44990.89752314815</v>
      </c>
      <c r="C257" s="1" t="n">
        <v>45966</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70707-2021</t>
        </is>
      </c>
      <c r="B258" s="1" t="n">
        <v>44537</v>
      </c>
      <c r="C258" s="1" t="n">
        <v>45966</v>
      </c>
      <c r="D258" t="inlineStr">
        <is>
          <t>ÖREBRO LÄN</t>
        </is>
      </c>
      <c r="E258" t="inlineStr">
        <is>
          <t>ÖREBRO</t>
        </is>
      </c>
      <c r="G258" t="n">
        <v>13.2</v>
      </c>
      <c r="H258" t="n">
        <v>0</v>
      </c>
      <c r="I258" t="n">
        <v>0</v>
      </c>
      <c r="J258" t="n">
        <v>0</v>
      </c>
      <c r="K258" t="n">
        <v>0</v>
      </c>
      <c r="L258" t="n">
        <v>0</v>
      </c>
      <c r="M258" t="n">
        <v>0</v>
      </c>
      <c r="N258" t="n">
        <v>0</v>
      </c>
      <c r="O258" t="n">
        <v>0</v>
      </c>
      <c r="P258" t="n">
        <v>0</v>
      </c>
      <c r="Q258" t="n">
        <v>0</v>
      </c>
      <c r="R258" s="2" t="inlineStr"/>
    </row>
    <row r="259" ht="15" customHeight="1">
      <c r="A259" t="inlineStr">
        <is>
          <t>A 9585-2025</t>
        </is>
      </c>
      <c r="B259" s="1" t="n">
        <v>45715.63409722222</v>
      </c>
      <c r="C259" s="1" t="n">
        <v>45966</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5125-2024</t>
        </is>
      </c>
      <c r="B260" s="1" t="n">
        <v>45330</v>
      </c>
      <c r="C260" s="1" t="n">
        <v>45966</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60100-2022</t>
        </is>
      </c>
      <c r="B261" s="1" t="n">
        <v>44902</v>
      </c>
      <c r="C261" s="1" t="n">
        <v>45966</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42138-2024</t>
        </is>
      </c>
      <c r="B262" s="1" t="n">
        <v>45562.41854166667</v>
      </c>
      <c r="C262" s="1" t="n">
        <v>45966</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26101-2022</t>
        </is>
      </c>
      <c r="B263" s="1" t="n">
        <v>44734</v>
      </c>
      <c r="C263" s="1" t="n">
        <v>45966</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2152-2023</t>
        </is>
      </c>
      <c r="B264" s="1" t="n">
        <v>44941.55056712963</v>
      </c>
      <c r="C264" s="1" t="n">
        <v>45966</v>
      </c>
      <c r="D264" t="inlineStr">
        <is>
          <t>ÖREBRO LÄN</t>
        </is>
      </c>
      <c r="E264" t="inlineStr">
        <is>
          <t>ÖREBRO</t>
        </is>
      </c>
      <c r="G264" t="n">
        <v>8</v>
      </c>
      <c r="H264" t="n">
        <v>0</v>
      </c>
      <c r="I264" t="n">
        <v>0</v>
      </c>
      <c r="J264" t="n">
        <v>0</v>
      </c>
      <c r="K264" t="n">
        <v>0</v>
      </c>
      <c r="L264" t="n">
        <v>0</v>
      </c>
      <c r="M264" t="n">
        <v>0</v>
      </c>
      <c r="N264" t="n">
        <v>0</v>
      </c>
      <c r="O264" t="n">
        <v>0</v>
      </c>
      <c r="P264" t="n">
        <v>0</v>
      </c>
      <c r="Q264" t="n">
        <v>0</v>
      </c>
      <c r="R264" s="2" t="inlineStr"/>
    </row>
    <row r="265" ht="15" customHeight="1">
      <c r="A265" t="inlineStr">
        <is>
          <t>A 8656-2025</t>
        </is>
      </c>
      <c r="B265" s="1" t="n">
        <v>45712.38268518518</v>
      </c>
      <c r="C265" s="1" t="n">
        <v>45966</v>
      </c>
      <c r="D265" t="inlineStr">
        <is>
          <t>ÖREBRO LÄN</t>
        </is>
      </c>
      <c r="E265" t="inlineStr">
        <is>
          <t>ÖREBRO</t>
        </is>
      </c>
      <c r="G265" t="n">
        <v>2.7</v>
      </c>
      <c r="H265" t="n">
        <v>0</v>
      </c>
      <c r="I265" t="n">
        <v>0</v>
      </c>
      <c r="J265" t="n">
        <v>0</v>
      </c>
      <c r="K265" t="n">
        <v>0</v>
      </c>
      <c r="L265" t="n">
        <v>0</v>
      </c>
      <c r="M265" t="n">
        <v>0</v>
      </c>
      <c r="N265" t="n">
        <v>0</v>
      </c>
      <c r="O265" t="n">
        <v>0</v>
      </c>
      <c r="P265" t="n">
        <v>0</v>
      </c>
      <c r="Q265" t="n">
        <v>0</v>
      </c>
      <c r="R265" s="2" t="inlineStr"/>
    </row>
    <row r="266" ht="15" customHeight="1">
      <c r="A266" t="inlineStr">
        <is>
          <t>A 2095-2025</t>
        </is>
      </c>
      <c r="B266" s="1" t="n">
        <v>45672</v>
      </c>
      <c r="C266" s="1" t="n">
        <v>45966</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55353-2024</t>
        </is>
      </c>
      <c r="B267" s="1" t="n">
        <v>45621.79526620371</v>
      </c>
      <c r="C267" s="1" t="n">
        <v>45966</v>
      </c>
      <c r="D267" t="inlineStr">
        <is>
          <t>ÖREBRO LÄN</t>
        </is>
      </c>
      <c r="E267" t="inlineStr">
        <is>
          <t>ÖREBRO</t>
        </is>
      </c>
      <c r="G267" t="n">
        <v>0.5</v>
      </c>
      <c r="H267" t="n">
        <v>0</v>
      </c>
      <c r="I267" t="n">
        <v>0</v>
      </c>
      <c r="J267" t="n">
        <v>0</v>
      </c>
      <c r="K267" t="n">
        <v>0</v>
      </c>
      <c r="L267" t="n">
        <v>0</v>
      </c>
      <c r="M267" t="n">
        <v>0</v>
      </c>
      <c r="N267" t="n">
        <v>0</v>
      </c>
      <c r="O267" t="n">
        <v>0</v>
      </c>
      <c r="P267" t="n">
        <v>0</v>
      </c>
      <c r="Q267" t="n">
        <v>0</v>
      </c>
      <c r="R267" s="2" t="inlineStr"/>
    </row>
    <row r="268" ht="15" customHeight="1">
      <c r="A268" t="inlineStr">
        <is>
          <t>A 55357-2024</t>
        </is>
      </c>
      <c r="B268" s="1" t="n">
        <v>45621.81126157408</v>
      </c>
      <c r="C268" s="1" t="n">
        <v>45966</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42623-2022</t>
        </is>
      </c>
      <c r="B269" s="1" t="n">
        <v>44831</v>
      </c>
      <c r="C269" s="1" t="n">
        <v>45966</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71206-2021</t>
        </is>
      </c>
      <c r="B270" s="1" t="n">
        <v>44539</v>
      </c>
      <c r="C270" s="1" t="n">
        <v>45966</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72329-2021</t>
        </is>
      </c>
      <c r="B271" s="1" t="n">
        <v>44545.46072916667</v>
      </c>
      <c r="C271" s="1" t="n">
        <v>45966</v>
      </c>
      <c r="D271" t="inlineStr">
        <is>
          <t>ÖREBRO LÄN</t>
        </is>
      </c>
      <c r="E271" t="inlineStr">
        <is>
          <t>ÖREBRO</t>
        </is>
      </c>
      <c r="G271" t="n">
        <v>0.5</v>
      </c>
      <c r="H271" t="n">
        <v>0</v>
      </c>
      <c r="I271" t="n">
        <v>0</v>
      </c>
      <c r="J271" t="n">
        <v>0</v>
      </c>
      <c r="K271" t="n">
        <v>0</v>
      </c>
      <c r="L271" t="n">
        <v>0</v>
      </c>
      <c r="M271" t="n">
        <v>0</v>
      </c>
      <c r="N271" t="n">
        <v>0</v>
      </c>
      <c r="O271" t="n">
        <v>0</v>
      </c>
      <c r="P271" t="n">
        <v>0</v>
      </c>
      <c r="Q271" t="n">
        <v>0</v>
      </c>
      <c r="R271" s="2" t="inlineStr"/>
    </row>
    <row r="272" ht="15" customHeight="1">
      <c r="A272" t="inlineStr">
        <is>
          <t>A 48140-2024</t>
        </is>
      </c>
      <c r="B272" s="1" t="n">
        <v>45589.66474537037</v>
      </c>
      <c r="C272" s="1" t="n">
        <v>45966</v>
      </c>
      <c r="D272" t="inlineStr">
        <is>
          <t>ÖREBRO LÄN</t>
        </is>
      </c>
      <c r="E272" t="inlineStr">
        <is>
          <t>ÖREBRO</t>
        </is>
      </c>
      <c r="G272" t="n">
        <v>2.4</v>
      </c>
      <c r="H272" t="n">
        <v>0</v>
      </c>
      <c r="I272" t="n">
        <v>0</v>
      </c>
      <c r="J272" t="n">
        <v>0</v>
      </c>
      <c r="K272" t="n">
        <v>0</v>
      </c>
      <c r="L272" t="n">
        <v>0</v>
      </c>
      <c r="M272" t="n">
        <v>0</v>
      </c>
      <c r="N272" t="n">
        <v>0</v>
      </c>
      <c r="O272" t="n">
        <v>0</v>
      </c>
      <c r="P272" t="n">
        <v>0</v>
      </c>
      <c r="Q272" t="n">
        <v>0</v>
      </c>
      <c r="R272" s="2" t="inlineStr"/>
    </row>
    <row r="273" ht="15" customHeight="1">
      <c r="A273" t="inlineStr">
        <is>
          <t>A 41703-2024</t>
        </is>
      </c>
      <c r="B273" s="1" t="n">
        <v>45560</v>
      </c>
      <c r="C273" s="1" t="n">
        <v>45966</v>
      </c>
      <c r="D273" t="inlineStr">
        <is>
          <t>ÖREBRO LÄN</t>
        </is>
      </c>
      <c r="E273" t="inlineStr">
        <is>
          <t>ÖREBRO</t>
        </is>
      </c>
      <c r="G273" t="n">
        <v>6.4</v>
      </c>
      <c r="H273" t="n">
        <v>0</v>
      </c>
      <c r="I273" t="n">
        <v>0</v>
      </c>
      <c r="J273" t="n">
        <v>0</v>
      </c>
      <c r="K273" t="n">
        <v>0</v>
      </c>
      <c r="L273" t="n">
        <v>0</v>
      </c>
      <c r="M273" t="n">
        <v>0</v>
      </c>
      <c r="N273" t="n">
        <v>0</v>
      </c>
      <c r="O273" t="n">
        <v>0</v>
      </c>
      <c r="P273" t="n">
        <v>0</v>
      </c>
      <c r="Q273" t="n">
        <v>0</v>
      </c>
      <c r="R273" s="2" t="inlineStr"/>
    </row>
    <row r="274" ht="15" customHeight="1">
      <c r="A274" t="inlineStr">
        <is>
          <t>A 41412-2025</t>
        </is>
      </c>
      <c r="B274" s="1" t="n">
        <v>45901.3549537037</v>
      </c>
      <c r="C274" s="1" t="n">
        <v>45966</v>
      </c>
      <c r="D274" t="inlineStr">
        <is>
          <t>ÖREBRO LÄN</t>
        </is>
      </c>
      <c r="E274" t="inlineStr">
        <is>
          <t>ÖREBRO</t>
        </is>
      </c>
      <c r="G274" t="n">
        <v>1.1</v>
      </c>
      <c r="H274" t="n">
        <v>0</v>
      </c>
      <c r="I274" t="n">
        <v>0</v>
      </c>
      <c r="J274" t="n">
        <v>0</v>
      </c>
      <c r="K274" t="n">
        <v>0</v>
      </c>
      <c r="L274" t="n">
        <v>0</v>
      </c>
      <c r="M274" t="n">
        <v>0</v>
      </c>
      <c r="N274" t="n">
        <v>0</v>
      </c>
      <c r="O274" t="n">
        <v>0</v>
      </c>
      <c r="P274" t="n">
        <v>0</v>
      </c>
      <c r="Q274" t="n">
        <v>0</v>
      </c>
      <c r="R274" s="2" t="inlineStr"/>
    </row>
    <row r="275" ht="15" customHeight="1">
      <c r="A275" t="inlineStr">
        <is>
          <t>A 4344-2025</t>
        </is>
      </c>
      <c r="B275" s="1" t="n">
        <v>45685</v>
      </c>
      <c r="C275" s="1" t="n">
        <v>45966</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41669-2025</t>
        </is>
      </c>
      <c r="B276" s="1" t="n">
        <v>45902.36149305556</v>
      </c>
      <c r="C276" s="1" t="n">
        <v>45966</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55355-2024</t>
        </is>
      </c>
      <c r="B277" s="1" t="n">
        <v>45621.80475694445</v>
      </c>
      <c r="C277" s="1" t="n">
        <v>45966</v>
      </c>
      <c r="D277" t="inlineStr">
        <is>
          <t>ÖREBRO LÄN</t>
        </is>
      </c>
      <c r="E277" t="inlineStr">
        <is>
          <t>ÖREBRO</t>
        </is>
      </c>
      <c r="G277" t="n">
        <v>1.6</v>
      </c>
      <c r="H277" t="n">
        <v>0</v>
      </c>
      <c r="I277" t="n">
        <v>0</v>
      </c>
      <c r="J277" t="n">
        <v>0</v>
      </c>
      <c r="K277" t="n">
        <v>0</v>
      </c>
      <c r="L277" t="n">
        <v>0</v>
      </c>
      <c r="M277" t="n">
        <v>0</v>
      </c>
      <c r="N277" t="n">
        <v>0</v>
      </c>
      <c r="O277" t="n">
        <v>0</v>
      </c>
      <c r="P277" t="n">
        <v>0</v>
      </c>
      <c r="Q277" t="n">
        <v>0</v>
      </c>
      <c r="R277" s="2" t="inlineStr"/>
    </row>
    <row r="278" ht="15" customHeight="1">
      <c r="A278" t="inlineStr">
        <is>
          <t>A 33577-2023</t>
        </is>
      </c>
      <c r="B278" s="1" t="n">
        <v>45131</v>
      </c>
      <c r="C278" s="1" t="n">
        <v>45966</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38489-2023</t>
        </is>
      </c>
      <c r="B279" s="1" t="n">
        <v>45162</v>
      </c>
      <c r="C279" s="1" t="n">
        <v>45966</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19763-2024</t>
        </is>
      </c>
      <c r="B280" s="1" t="n">
        <v>45432</v>
      </c>
      <c r="C280" s="1" t="n">
        <v>45966</v>
      </c>
      <c r="D280" t="inlineStr">
        <is>
          <t>ÖREBRO LÄN</t>
        </is>
      </c>
      <c r="E280" t="inlineStr">
        <is>
          <t>ÖREBRO</t>
        </is>
      </c>
      <c r="G280" t="n">
        <v>1.9</v>
      </c>
      <c r="H280" t="n">
        <v>0</v>
      </c>
      <c r="I280" t="n">
        <v>0</v>
      </c>
      <c r="J280" t="n">
        <v>0</v>
      </c>
      <c r="K280" t="n">
        <v>0</v>
      </c>
      <c r="L280" t="n">
        <v>0</v>
      </c>
      <c r="M280" t="n">
        <v>0</v>
      </c>
      <c r="N280" t="n">
        <v>0</v>
      </c>
      <c r="O280" t="n">
        <v>0</v>
      </c>
      <c r="P280" t="n">
        <v>0</v>
      </c>
      <c r="Q280" t="n">
        <v>0</v>
      </c>
      <c r="R280" s="2" t="inlineStr"/>
    </row>
    <row r="281" ht="15" customHeight="1">
      <c r="A281" t="inlineStr">
        <is>
          <t>A 56077-2022</t>
        </is>
      </c>
      <c r="B281" s="1" t="n">
        <v>44889.60872685185</v>
      </c>
      <c r="C281" s="1" t="n">
        <v>45966</v>
      </c>
      <c r="D281" t="inlineStr">
        <is>
          <t>ÖREBRO LÄN</t>
        </is>
      </c>
      <c r="E281" t="inlineStr">
        <is>
          <t>ÖREBRO</t>
        </is>
      </c>
      <c r="F281" t="inlineStr">
        <is>
          <t>Övriga Aktiebolag</t>
        </is>
      </c>
      <c r="G281" t="n">
        <v>2.5</v>
      </c>
      <c r="H281" t="n">
        <v>0</v>
      </c>
      <c r="I281" t="n">
        <v>0</v>
      </c>
      <c r="J281" t="n">
        <v>0</v>
      </c>
      <c r="K281" t="n">
        <v>0</v>
      </c>
      <c r="L281" t="n">
        <v>0</v>
      </c>
      <c r="M281" t="n">
        <v>0</v>
      </c>
      <c r="N281" t="n">
        <v>0</v>
      </c>
      <c r="O281" t="n">
        <v>0</v>
      </c>
      <c r="P281" t="n">
        <v>0</v>
      </c>
      <c r="Q281" t="n">
        <v>0</v>
      </c>
      <c r="R281" s="2" t="inlineStr"/>
    </row>
    <row r="282" ht="15" customHeight="1">
      <c r="A282" t="inlineStr">
        <is>
          <t>A 14545-2023</t>
        </is>
      </c>
      <c r="B282" s="1" t="n">
        <v>45013.34895833334</v>
      </c>
      <c r="C282" s="1" t="n">
        <v>45966</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54917-2023</t>
        </is>
      </c>
      <c r="B283" s="1" t="n">
        <v>45229</v>
      </c>
      <c r="C283" s="1" t="n">
        <v>45966</v>
      </c>
      <c r="D283" t="inlineStr">
        <is>
          <t>ÖREBRO LÄN</t>
        </is>
      </c>
      <c r="E283" t="inlineStr">
        <is>
          <t>ÖREBRO</t>
        </is>
      </c>
      <c r="G283" t="n">
        <v>3.1</v>
      </c>
      <c r="H283" t="n">
        <v>0</v>
      </c>
      <c r="I283" t="n">
        <v>0</v>
      </c>
      <c r="J283" t="n">
        <v>0</v>
      </c>
      <c r="K283" t="n">
        <v>0</v>
      </c>
      <c r="L283" t="n">
        <v>0</v>
      </c>
      <c r="M283" t="n">
        <v>0</v>
      </c>
      <c r="N283" t="n">
        <v>0</v>
      </c>
      <c r="O283" t="n">
        <v>0</v>
      </c>
      <c r="P283" t="n">
        <v>0</v>
      </c>
      <c r="Q283" t="n">
        <v>0</v>
      </c>
      <c r="R283" s="2" t="inlineStr"/>
    </row>
    <row r="284" ht="15" customHeight="1">
      <c r="A284" t="inlineStr">
        <is>
          <t>A 14432-2023</t>
        </is>
      </c>
      <c r="B284" s="1" t="n">
        <v>45012</v>
      </c>
      <c r="C284" s="1" t="n">
        <v>45966</v>
      </c>
      <c r="D284" t="inlineStr">
        <is>
          <t>ÖREBRO LÄN</t>
        </is>
      </c>
      <c r="E284" t="inlineStr">
        <is>
          <t>ÖREBRO</t>
        </is>
      </c>
      <c r="G284" t="n">
        <v>3.3</v>
      </c>
      <c r="H284" t="n">
        <v>0</v>
      </c>
      <c r="I284" t="n">
        <v>0</v>
      </c>
      <c r="J284" t="n">
        <v>0</v>
      </c>
      <c r="K284" t="n">
        <v>0</v>
      </c>
      <c r="L284" t="n">
        <v>0</v>
      </c>
      <c r="M284" t="n">
        <v>0</v>
      </c>
      <c r="N284" t="n">
        <v>0</v>
      </c>
      <c r="O284" t="n">
        <v>0</v>
      </c>
      <c r="P284" t="n">
        <v>0</v>
      </c>
      <c r="Q284" t="n">
        <v>0</v>
      </c>
      <c r="R284" s="2" t="inlineStr"/>
    </row>
    <row r="285" ht="15" customHeight="1">
      <c r="A285" t="inlineStr">
        <is>
          <t>A 50311-2025</t>
        </is>
      </c>
      <c r="B285" s="1" t="n">
        <v>45944</v>
      </c>
      <c r="C285" s="1" t="n">
        <v>45966</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3652-2022</t>
        </is>
      </c>
      <c r="B286" s="1" t="n">
        <v>44586.46921296296</v>
      </c>
      <c r="C286" s="1" t="n">
        <v>45966</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37021-2024</t>
        </is>
      </c>
      <c r="B287" s="1" t="n">
        <v>45539.38146990741</v>
      </c>
      <c r="C287" s="1" t="n">
        <v>45966</v>
      </c>
      <c r="D287" t="inlineStr">
        <is>
          <t>ÖREBRO LÄN</t>
        </is>
      </c>
      <c r="E287" t="inlineStr">
        <is>
          <t>ÖREBRO</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33457-2023</t>
        </is>
      </c>
      <c r="B288" s="1" t="n">
        <v>45131</v>
      </c>
      <c r="C288" s="1" t="n">
        <v>45966</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7141-2025</t>
        </is>
      </c>
      <c r="B289" s="1" t="n">
        <v>45702</v>
      </c>
      <c r="C289" s="1" t="n">
        <v>45966</v>
      </c>
      <c r="D289" t="inlineStr">
        <is>
          <t>ÖREBRO LÄN</t>
        </is>
      </c>
      <c r="E289" t="inlineStr">
        <is>
          <t>ÖREBRO</t>
        </is>
      </c>
      <c r="G289" t="n">
        <v>2.9</v>
      </c>
      <c r="H289" t="n">
        <v>0</v>
      </c>
      <c r="I289" t="n">
        <v>0</v>
      </c>
      <c r="J289" t="n">
        <v>0</v>
      </c>
      <c r="K289" t="n">
        <v>0</v>
      </c>
      <c r="L289" t="n">
        <v>0</v>
      </c>
      <c r="M289" t="n">
        <v>0</v>
      </c>
      <c r="N289" t="n">
        <v>0</v>
      </c>
      <c r="O289" t="n">
        <v>0</v>
      </c>
      <c r="P289" t="n">
        <v>0</v>
      </c>
      <c r="Q289" t="n">
        <v>0</v>
      </c>
      <c r="R289" s="2" t="inlineStr"/>
    </row>
    <row r="290" ht="15" customHeight="1">
      <c r="A290" t="inlineStr">
        <is>
          <t>A 52499-2024</t>
        </is>
      </c>
      <c r="B290" s="1" t="n">
        <v>45609.58422453704</v>
      </c>
      <c r="C290" s="1" t="n">
        <v>45966</v>
      </c>
      <c r="D290" t="inlineStr">
        <is>
          <t>ÖREBRO LÄN</t>
        </is>
      </c>
      <c r="E290" t="inlineStr">
        <is>
          <t>ÖREBRO</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8374-2021</t>
        </is>
      </c>
      <c r="B291" s="1" t="n">
        <v>44244</v>
      </c>
      <c r="C291" s="1" t="n">
        <v>45966</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14960-2025</t>
        </is>
      </c>
      <c r="B292" s="1" t="n">
        <v>45743.5853125</v>
      </c>
      <c r="C292" s="1" t="n">
        <v>45966</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22677-2022</t>
        </is>
      </c>
      <c r="B293" s="1" t="n">
        <v>44714</v>
      </c>
      <c r="C293" s="1" t="n">
        <v>45966</v>
      </c>
      <c r="D293" t="inlineStr">
        <is>
          <t>ÖREBRO LÄN</t>
        </is>
      </c>
      <c r="E293" t="inlineStr">
        <is>
          <t>ÖREBRO</t>
        </is>
      </c>
      <c r="G293" t="n">
        <v>2.3</v>
      </c>
      <c r="H293" t="n">
        <v>0</v>
      </c>
      <c r="I293" t="n">
        <v>0</v>
      </c>
      <c r="J293" t="n">
        <v>0</v>
      </c>
      <c r="K293" t="n">
        <v>0</v>
      </c>
      <c r="L293" t="n">
        <v>0</v>
      </c>
      <c r="M293" t="n">
        <v>0</v>
      </c>
      <c r="N293" t="n">
        <v>0</v>
      </c>
      <c r="O293" t="n">
        <v>0</v>
      </c>
      <c r="P293" t="n">
        <v>0</v>
      </c>
      <c r="Q293" t="n">
        <v>0</v>
      </c>
      <c r="R293" s="2" t="inlineStr"/>
    </row>
    <row r="294" ht="15" customHeight="1">
      <c r="A294" t="inlineStr">
        <is>
          <t>A 13623-2024</t>
        </is>
      </c>
      <c r="B294" s="1" t="n">
        <v>45390.38626157407</v>
      </c>
      <c r="C294" s="1" t="n">
        <v>45966</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13169-2024</t>
        </is>
      </c>
      <c r="B295" s="1" t="n">
        <v>45386.40489583334</v>
      </c>
      <c r="C295" s="1" t="n">
        <v>45966</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23710-2022</t>
        </is>
      </c>
      <c r="B296" s="1" t="n">
        <v>44722</v>
      </c>
      <c r="C296" s="1" t="n">
        <v>45966</v>
      </c>
      <c r="D296" t="inlineStr">
        <is>
          <t>ÖREBRO LÄN</t>
        </is>
      </c>
      <c r="E296" t="inlineStr">
        <is>
          <t>ÖREBRO</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4757-2024</t>
        </is>
      </c>
      <c r="B297" s="1" t="n">
        <v>45328</v>
      </c>
      <c r="C297" s="1" t="n">
        <v>45966</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30903-2024</t>
        </is>
      </c>
      <c r="B298" s="1" t="n">
        <v>45498.49946759259</v>
      </c>
      <c r="C298" s="1" t="n">
        <v>45966</v>
      </c>
      <c r="D298" t="inlineStr">
        <is>
          <t>ÖREBRO LÄN</t>
        </is>
      </c>
      <c r="E298" t="inlineStr">
        <is>
          <t>ÖREBRO</t>
        </is>
      </c>
      <c r="G298" t="n">
        <v>1.1</v>
      </c>
      <c r="H298" t="n">
        <v>0</v>
      </c>
      <c r="I298" t="n">
        <v>0</v>
      </c>
      <c r="J298" t="n">
        <v>0</v>
      </c>
      <c r="K298" t="n">
        <v>0</v>
      </c>
      <c r="L298" t="n">
        <v>0</v>
      </c>
      <c r="M298" t="n">
        <v>0</v>
      </c>
      <c r="N298" t="n">
        <v>0</v>
      </c>
      <c r="O298" t="n">
        <v>0</v>
      </c>
      <c r="P298" t="n">
        <v>0</v>
      </c>
      <c r="Q298" t="n">
        <v>0</v>
      </c>
      <c r="R298" s="2" t="inlineStr"/>
    </row>
    <row r="299" ht="15" customHeight="1">
      <c r="A299" t="inlineStr">
        <is>
          <t>A 5619-2023</t>
        </is>
      </c>
      <c r="B299" s="1" t="n">
        <v>44958</v>
      </c>
      <c r="C299" s="1" t="n">
        <v>45966</v>
      </c>
      <c r="D299" t="inlineStr">
        <is>
          <t>ÖREBRO LÄN</t>
        </is>
      </c>
      <c r="E299" t="inlineStr">
        <is>
          <t>ÖREBRO</t>
        </is>
      </c>
      <c r="G299" t="n">
        <v>27</v>
      </c>
      <c r="H299" t="n">
        <v>0</v>
      </c>
      <c r="I299" t="n">
        <v>0</v>
      </c>
      <c r="J299" t="n">
        <v>0</v>
      </c>
      <c r="K299" t="n">
        <v>0</v>
      </c>
      <c r="L299" t="n">
        <v>0</v>
      </c>
      <c r="M299" t="n">
        <v>0</v>
      </c>
      <c r="N299" t="n">
        <v>0</v>
      </c>
      <c r="O299" t="n">
        <v>0</v>
      </c>
      <c r="P299" t="n">
        <v>0</v>
      </c>
      <c r="Q299" t="n">
        <v>0</v>
      </c>
      <c r="R299" s="2" t="inlineStr"/>
    </row>
    <row r="300" ht="15" customHeight="1">
      <c r="A300" t="inlineStr">
        <is>
          <t>A 37277-2022</t>
        </is>
      </c>
      <c r="B300" s="1" t="n">
        <v>44807.49150462963</v>
      </c>
      <c r="C300" s="1" t="n">
        <v>45966</v>
      </c>
      <c r="D300" t="inlineStr">
        <is>
          <t>ÖREBRO LÄN</t>
        </is>
      </c>
      <c r="E300" t="inlineStr">
        <is>
          <t>ÖREBRO</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47193-2023</t>
        </is>
      </c>
      <c r="B301" s="1" t="n">
        <v>45202.3074537037</v>
      </c>
      <c r="C301" s="1" t="n">
        <v>45966</v>
      </c>
      <c r="D301" t="inlineStr">
        <is>
          <t>ÖREBRO LÄN</t>
        </is>
      </c>
      <c r="E301" t="inlineStr">
        <is>
          <t>ÖREBRO</t>
        </is>
      </c>
      <c r="G301" t="n">
        <v>2.4</v>
      </c>
      <c r="H301" t="n">
        <v>0</v>
      </c>
      <c r="I301" t="n">
        <v>0</v>
      </c>
      <c r="J301" t="n">
        <v>0</v>
      </c>
      <c r="K301" t="n">
        <v>0</v>
      </c>
      <c r="L301" t="n">
        <v>0</v>
      </c>
      <c r="M301" t="n">
        <v>0</v>
      </c>
      <c r="N301" t="n">
        <v>0</v>
      </c>
      <c r="O301" t="n">
        <v>0</v>
      </c>
      <c r="P301" t="n">
        <v>0</v>
      </c>
      <c r="Q301" t="n">
        <v>0</v>
      </c>
      <c r="R301" s="2" t="inlineStr"/>
    </row>
    <row r="302" ht="15" customHeight="1">
      <c r="A302" t="inlineStr">
        <is>
          <t>A 59026-2024</t>
        </is>
      </c>
      <c r="B302" s="1" t="n">
        <v>45636.6875</v>
      </c>
      <c r="C302" s="1" t="n">
        <v>45966</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23573-2023</t>
        </is>
      </c>
      <c r="B303" s="1" t="n">
        <v>45077.41672453703</v>
      </c>
      <c r="C303" s="1" t="n">
        <v>45966</v>
      </c>
      <c r="D303" t="inlineStr">
        <is>
          <t>ÖREBRO LÄN</t>
        </is>
      </c>
      <c r="E303" t="inlineStr">
        <is>
          <t>ÖREBRO</t>
        </is>
      </c>
      <c r="G303" t="n">
        <v>2.9</v>
      </c>
      <c r="H303" t="n">
        <v>0</v>
      </c>
      <c r="I303" t="n">
        <v>0</v>
      </c>
      <c r="J303" t="n">
        <v>0</v>
      </c>
      <c r="K303" t="n">
        <v>0</v>
      </c>
      <c r="L303" t="n">
        <v>0</v>
      </c>
      <c r="M303" t="n">
        <v>0</v>
      </c>
      <c r="N303" t="n">
        <v>0</v>
      </c>
      <c r="O303" t="n">
        <v>0</v>
      </c>
      <c r="P303" t="n">
        <v>0</v>
      </c>
      <c r="Q303" t="n">
        <v>0</v>
      </c>
      <c r="R303" s="2" t="inlineStr"/>
    </row>
    <row r="304" ht="15" customHeight="1">
      <c r="A304" t="inlineStr">
        <is>
          <t>A 17465-2023</t>
        </is>
      </c>
      <c r="B304" s="1" t="n">
        <v>45036</v>
      </c>
      <c r="C304" s="1" t="n">
        <v>45966</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61593-2023</t>
        </is>
      </c>
      <c r="B305" s="1" t="n">
        <v>45265</v>
      </c>
      <c r="C305" s="1" t="n">
        <v>45966</v>
      </c>
      <c r="D305" t="inlineStr">
        <is>
          <t>ÖREBRO LÄN</t>
        </is>
      </c>
      <c r="E305" t="inlineStr">
        <is>
          <t>ÖREBRO</t>
        </is>
      </c>
      <c r="G305" t="n">
        <v>2.5</v>
      </c>
      <c r="H305" t="n">
        <v>0</v>
      </c>
      <c r="I305" t="n">
        <v>0</v>
      </c>
      <c r="J305" t="n">
        <v>0</v>
      </c>
      <c r="K305" t="n">
        <v>0</v>
      </c>
      <c r="L305" t="n">
        <v>0</v>
      </c>
      <c r="M305" t="n">
        <v>0</v>
      </c>
      <c r="N305" t="n">
        <v>0</v>
      </c>
      <c r="O305" t="n">
        <v>0</v>
      </c>
      <c r="P305" t="n">
        <v>0</v>
      </c>
      <c r="Q305" t="n">
        <v>0</v>
      </c>
      <c r="R305" s="2" t="inlineStr"/>
    </row>
    <row r="306" ht="15" customHeight="1">
      <c r="A306" t="inlineStr">
        <is>
          <t>A 59024-2024</t>
        </is>
      </c>
      <c r="B306" s="1" t="n">
        <v>45636.68505787037</v>
      </c>
      <c r="C306" s="1" t="n">
        <v>45966</v>
      </c>
      <c r="D306" t="inlineStr">
        <is>
          <t>ÖREBRO LÄN</t>
        </is>
      </c>
      <c r="E306" t="inlineStr">
        <is>
          <t>ÖREBRO</t>
        </is>
      </c>
      <c r="G306" t="n">
        <v>1.3</v>
      </c>
      <c r="H306" t="n">
        <v>0</v>
      </c>
      <c r="I306" t="n">
        <v>0</v>
      </c>
      <c r="J306" t="n">
        <v>0</v>
      </c>
      <c r="K306" t="n">
        <v>0</v>
      </c>
      <c r="L306" t="n">
        <v>0</v>
      </c>
      <c r="M306" t="n">
        <v>0</v>
      </c>
      <c r="N306" t="n">
        <v>0</v>
      </c>
      <c r="O306" t="n">
        <v>0</v>
      </c>
      <c r="P306" t="n">
        <v>0</v>
      </c>
      <c r="Q306" t="n">
        <v>0</v>
      </c>
      <c r="R306" s="2" t="inlineStr"/>
    </row>
    <row r="307" ht="15" customHeight="1">
      <c r="A307" t="inlineStr">
        <is>
          <t>A 36635-2023</t>
        </is>
      </c>
      <c r="B307" s="1" t="n">
        <v>45153</v>
      </c>
      <c r="C307" s="1" t="n">
        <v>45966</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51249-2025</t>
        </is>
      </c>
      <c r="B308" s="1" t="n">
        <v>45948.45704861111</v>
      </c>
      <c r="C308" s="1" t="n">
        <v>45966</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10339-2023</t>
        </is>
      </c>
      <c r="B309" s="1" t="n">
        <v>44987</v>
      </c>
      <c r="C309" s="1" t="n">
        <v>45966</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31247-2023</t>
        </is>
      </c>
      <c r="B310" s="1" t="n">
        <v>45114</v>
      </c>
      <c r="C310" s="1" t="n">
        <v>45966</v>
      </c>
      <c r="D310" t="inlineStr">
        <is>
          <t>ÖREBRO LÄN</t>
        </is>
      </c>
      <c r="E310" t="inlineStr">
        <is>
          <t>ÖREBRO</t>
        </is>
      </c>
      <c r="F310" t="inlineStr">
        <is>
          <t>Allmännings- och besparingsskogar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681-2024</t>
        </is>
      </c>
      <c r="B311" s="1" t="n">
        <v>45300</v>
      </c>
      <c r="C311" s="1" t="n">
        <v>45966</v>
      </c>
      <c r="D311" t="inlineStr">
        <is>
          <t>ÖREBRO LÄN</t>
        </is>
      </c>
      <c r="E311" t="inlineStr">
        <is>
          <t>ÖREBRO</t>
        </is>
      </c>
      <c r="G311" t="n">
        <v>3.3</v>
      </c>
      <c r="H311" t="n">
        <v>0</v>
      </c>
      <c r="I311" t="n">
        <v>0</v>
      </c>
      <c r="J311" t="n">
        <v>0</v>
      </c>
      <c r="K311" t="n">
        <v>0</v>
      </c>
      <c r="L311" t="n">
        <v>0</v>
      </c>
      <c r="M311" t="n">
        <v>0</v>
      </c>
      <c r="N311" t="n">
        <v>0</v>
      </c>
      <c r="O311" t="n">
        <v>0</v>
      </c>
      <c r="P311" t="n">
        <v>0</v>
      </c>
      <c r="Q311" t="n">
        <v>0</v>
      </c>
      <c r="R311" s="2" t="inlineStr"/>
    </row>
    <row r="312" ht="15" customHeight="1">
      <c r="A312" t="inlineStr">
        <is>
          <t>A 51248-2025</t>
        </is>
      </c>
      <c r="B312" s="1" t="n">
        <v>45948.450625</v>
      </c>
      <c r="C312" s="1" t="n">
        <v>45966</v>
      </c>
      <c r="D312" t="inlineStr">
        <is>
          <t>ÖREBRO LÄN</t>
        </is>
      </c>
      <c r="E312" t="inlineStr">
        <is>
          <t>ÖREBRO</t>
        </is>
      </c>
      <c r="G312" t="n">
        <v>4.4</v>
      </c>
      <c r="H312" t="n">
        <v>0</v>
      </c>
      <c r="I312" t="n">
        <v>0</v>
      </c>
      <c r="J312" t="n">
        <v>0</v>
      </c>
      <c r="K312" t="n">
        <v>0</v>
      </c>
      <c r="L312" t="n">
        <v>0</v>
      </c>
      <c r="M312" t="n">
        <v>0</v>
      </c>
      <c r="N312" t="n">
        <v>0</v>
      </c>
      <c r="O312" t="n">
        <v>0</v>
      </c>
      <c r="P312" t="n">
        <v>0</v>
      </c>
      <c r="Q312" t="n">
        <v>0</v>
      </c>
      <c r="R312" s="2" t="inlineStr"/>
    </row>
    <row r="313" ht="15" customHeight="1">
      <c r="A313" t="inlineStr">
        <is>
          <t>A 16165-2023</t>
        </is>
      </c>
      <c r="B313" s="1" t="n">
        <v>45027</v>
      </c>
      <c r="C313" s="1" t="n">
        <v>45966</v>
      </c>
      <c r="D313" t="inlineStr">
        <is>
          <t>ÖREBRO LÄN</t>
        </is>
      </c>
      <c r="E313" t="inlineStr">
        <is>
          <t>ÖREBRO</t>
        </is>
      </c>
      <c r="G313" t="n">
        <v>11</v>
      </c>
      <c r="H313" t="n">
        <v>0</v>
      </c>
      <c r="I313" t="n">
        <v>0</v>
      </c>
      <c r="J313" t="n">
        <v>0</v>
      </c>
      <c r="K313" t="n">
        <v>0</v>
      </c>
      <c r="L313" t="n">
        <v>0</v>
      </c>
      <c r="M313" t="n">
        <v>0</v>
      </c>
      <c r="N313" t="n">
        <v>0</v>
      </c>
      <c r="O313" t="n">
        <v>0</v>
      </c>
      <c r="P313" t="n">
        <v>0</v>
      </c>
      <c r="Q313" t="n">
        <v>0</v>
      </c>
      <c r="R313" s="2" t="inlineStr"/>
    </row>
    <row r="314" ht="15" customHeight="1">
      <c r="A314" t="inlineStr">
        <is>
          <t>A 5795-2024</t>
        </is>
      </c>
      <c r="B314" s="1" t="n">
        <v>45335.4531712963</v>
      </c>
      <c r="C314" s="1" t="n">
        <v>45966</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52135-2025</t>
        </is>
      </c>
      <c r="B315" s="1" t="n">
        <v>45952.84231481481</v>
      </c>
      <c r="C315" s="1" t="n">
        <v>45966</v>
      </c>
      <c r="D315" t="inlineStr">
        <is>
          <t>ÖREBRO LÄN</t>
        </is>
      </c>
      <c r="E315" t="inlineStr">
        <is>
          <t>ÖREBRO</t>
        </is>
      </c>
      <c r="G315" t="n">
        <v>4</v>
      </c>
      <c r="H315" t="n">
        <v>0</v>
      </c>
      <c r="I315" t="n">
        <v>0</v>
      </c>
      <c r="J315" t="n">
        <v>0</v>
      </c>
      <c r="K315" t="n">
        <v>0</v>
      </c>
      <c r="L315" t="n">
        <v>0</v>
      </c>
      <c r="M315" t="n">
        <v>0</v>
      </c>
      <c r="N315" t="n">
        <v>0</v>
      </c>
      <c r="O315" t="n">
        <v>0</v>
      </c>
      <c r="P315" t="n">
        <v>0</v>
      </c>
      <c r="Q315" t="n">
        <v>0</v>
      </c>
      <c r="R315" s="2" t="inlineStr"/>
    </row>
    <row r="316" ht="15" customHeight="1">
      <c r="A316" t="inlineStr">
        <is>
          <t>A 39130-2023</t>
        </is>
      </c>
      <c r="B316" s="1" t="n">
        <v>45165</v>
      </c>
      <c r="C316" s="1" t="n">
        <v>45966</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50398-2022</t>
        </is>
      </c>
      <c r="B317" s="1" t="n">
        <v>44861</v>
      </c>
      <c r="C317" s="1" t="n">
        <v>45966</v>
      </c>
      <c r="D317" t="inlineStr">
        <is>
          <t>ÖREBRO LÄN</t>
        </is>
      </c>
      <c r="E317" t="inlineStr">
        <is>
          <t>ÖREBRO</t>
        </is>
      </c>
      <c r="G317" t="n">
        <v>1.9</v>
      </c>
      <c r="H317" t="n">
        <v>0</v>
      </c>
      <c r="I317" t="n">
        <v>0</v>
      </c>
      <c r="J317" t="n">
        <v>0</v>
      </c>
      <c r="K317" t="n">
        <v>0</v>
      </c>
      <c r="L317" t="n">
        <v>0</v>
      </c>
      <c r="M317" t="n">
        <v>0</v>
      </c>
      <c r="N317" t="n">
        <v>0</v>
      </c>
      <c r="O317" t="n">
        <v>0</v>
      </c>
      <c r="P317" t="n">
        <v>0</v>
      </c>
      <c r="Q317" t="n">
        <v>0</v>
      </c>
      <c r="R317" s="2" t="inlineStr"/>
    </row>
    <row r="318" ht="15" customHeight="1">
      <c r="A318" t="inlineStr">
        <is>
          <t>A 9379-2024</t>
        </is>
      </c>
      <c r="B318" s="1" t="n">
        <v>45359.37298611111</v>
      </c>
      <c r="C318" s="1" t="n">
        <v>45966</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21097-2025</t>
        </is>
      </c>
      <c r="B319" s="1" t="n">
        <v>45777.63863425926</v>
      </c>
      <c r="C319" s="1" t="n">
        <v>45966</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51937-2025</t>
        </is>
      </c>
      <c r="B320" s="1" t="n">
        <v>45952.51270833334</v>
      </c>
      <c r="C320" s="1" t="n">
        <v>45966</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35345-2024</t>
        </is>
      </c>
      <c r="B321" s="1" t="n">
        <v>45530</v>
      </c>
      <c r="C321" s="1" t="n">
        <v>45966</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8568-2021</t>
        </is>
      </c>
      <c r="B322" s="1" t="n">
        <v>44245</v>
      </c>
      <c r="C322" s="1" t="n">
        <v>45966</v>
      </c>
      <c r="D322" t="inlineStr">
        <is>
          <t>ÖREBRO LÄN</t>
        </is>
      </c>
      <c r="E322" t="inlineStr">
        <is>
          <t>ÖREBRO</t>
        </is>
      </c>
      <c r="G322" t="n">
        <v>4.8</v>
      </c>
      <c r="H322" t="n">
        <v>0</v>
      </c>
      <c r="I322" t="n">
        <v>0</v>
      </c>
      <c r="J322" t="n">
        <v>0</v>
      </c>
      <c r="K322" t="n">
        <v>0</v>
      </c>
      <c r="L322" t="n">
        <v>0</v>
      </c>
      <c r="M322" t="n">
        <v>0</v>
      </c>
      <c r="N322" t="n">
        <v>0</v>
      </c>
      <c r="O322" t="n">
        <v>0</v>
      </c>
      <c r="P322" t="n">
        <v>0</v>
      </c>
      <c r="Q322" t="n">
        <v>0</v>
      </c>
      <c r="R322" s="2" t="inlineStr"/>
    </row>
    <row r="323" ht="15" customHeight="1">
      <c r="A323" t="inlineStr">
        <is>
          <t>A 45517-2023</t>
        </is>
      </c>
      <c r="B323" s="1" t="n">
        <v>45194.49594907407</v>
      </c>
      <c r="C323" s="1" t="n">
        <v>45966</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51923-2025</t>
        </is>
      </c>
      <c r="B324" s="1" t="n">
        <v>45952.49300925926</v>
      </c>
      <c r="C324" s="1" t="n">
        <v>45966</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51925-2025</t>
        </is>
      </c>
      <c r="B325" s="1" t="n">
        <v>45952.49476851852</v>
      </c>
      <c r="C325" s="1" t="n">
        <v>45966</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35819-2024</t>
        </is>
      </c>
      <c r="B326" s="1" t="n">
        <v>45532</v>
      </c>
      <c r="C326" s="1" t="n">
        <v>45966</v>
      </c>
      <c r="D326" t="inlineStr">
        <is>
          <t>ÖREBRO LÄN</t>
        </is>
      </c>
      <c r="E326" t="inlineStr">
        <is>
          <t>ÖREBRO</t>
        </is>
      </c>
      <c r="G326" t="n">
        <v>6.4</v>
      </c>
      <c r="H326" t="n">
        <v>0</v>
      </c>
      <c r="I326" t="n">
        <v>0</v>
      </c>
      <c r="J326" t="n">
        <v>0</v>
      </c>
      <c r="K326" t="n">
        <v>0</v>
      </c>
      <c r="L326" t="n">
        <v>0</v>
      </c>
      <c r="M326" t="n">
        <v>0</v>
      </c>
      <c r="N326" t="n">
        <v>0</v>
      </c>
      <c r="O326" t="n">
        <v>0</v>
      </c>
      <c r="P326" t="n">
        <v>0</v>
      </c>
      <c r="Q326" t="n">
        <v>0</v>
      </c>
      <c r="R326" s="2" t="inlineStr"/>
    </row>
    <row r="327" ht="15" customHeight="1">
      <c r="A327" t="inlineStr">
        <is>
          <t>A 32321-2023</t>
        </is>
      </c>
      <c r="B327" s="1" t="n">
        <v>45120</v>
      </c>
      <c r="C327" s="1" t="n">
        <v>45966</v>
      </c>
      <c r="D327" t="inlineStr">
        <is>
          <t>ÖREBRO LÄN</t>
        </is>
      </c>
      <c r="E327" t="inlineStr">
        <is>
          <t>ÖREBRO</t>
        </is>
      </c>
      <c r="G327" t="n">
        <v>3.4</v>
      </c>
      <c r="H327" t="n">
        <v>0</v>
      </c>
      <c r="I327" t="n">
        <v>0</v>
      </c>
      <c r="J327" t="n">
        <v>0</v>
      </c>
      <c r="K327" t="n">
        <v>0</v>
      </c>
      <c r="L327" t="n">
        <v>0</v>
      </c>
      <c r="M327" t="n">
        <v>0</v>
      </c>
      <c r="N327" t="n">
        <v>0</v>
      </c>
      <c r="O327" t="n">
        <v>0</v>
      </c>
      <c r="P327" t="n">
        <v>0</v>
      </c>
      <c r="Q327" t="n">
        <v>0</v>
      </c>
      <c r="R327" s="2" t="inlineStr"/>
    </row>
    <row r="328" ht="15" customHeight="1">
      <c r="A328" t="inlineStr">
        <is>
          <t>A 52382-2025</t>
        </is>
      </c>
      <c r="B328" s="1" t="n">
        <v>45953.9559837963</v>
      </c>
      <c r="C328" s="1" t="n">
        <v>45966</v>
      </c>
      <c r="D328" t="inlineStr">
        <is>
          <t>ÖREBRO LÄN</t>
        </is>
      </c>
      <c r="E328" t="inlineStr">
        <is>
          <t>ÖREBRO</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29138-2022</t>
        </is>
      </c>
      <c r="B329" s="1" t="n">
        <v>44750</v>
      </c>
      <c r="C329" s="1" t="n">
        <v>45966</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29143-2022</t>
        </is>
      </c>
      <c r="B330" s="1" t="n">
        <v>44750</v>
      </c>
      <c r="C330" s="1" t="n">
        <v>45966</v>
      </c>
      <c r="D330" t="inlineStr">
        <is>
          <t>ÖREBRO LÄN</t>
        </is>
      </c>
      <c r="E330" t="inlineStr">
        <is>
          <t>ÖREBRO</t>
        </is>
      </c>
      <c r="G330" t="n">
        <v>5.6</v>
      </c>
      <c r="H330" t="n">
        <v>0</v>
      </c>
      <c r="I330" t="n">
        <v>0</v>
      </c>
      <c r="J330" t="n">
        <v>0</v>
      </c>
      <c r="K330" t="n">
        <v>0</v>
      </c>
      <c r="L330" t="n">
        <v>0</v>
      </c>
      <c r="M330" t="n">
        <v>0</v>
      </c>
      <c r="N330" t="n">
        <v>0</v>
      </c>
      <c r="O330" t="n">
        <v>0</v>
      </c>
      <c r="P330" t="n">
        <v>0</v>
      </c>
      <c r="Q330" t="n">
        <v>0</v>
      </c>
      <c r="R330" s="2" t="inlineStr"/>
    </row>
    <row r="331" ht="15" customHeight="1">
      <c r="A331" t="inlineStr">
        <is>
          <t>A 14234-2024</t>
        </is>
      </c>
      <c r="B331" s="1" t="n">
        <v>45393.46980324074</v>
      </c>
      <c r="C331" s="1" t="n">
        <v>45966</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30743-2025</t>
        </is>
      </c>
      <c r="B332" s="1" t="n">
        <v>45831</v>
      </c>
      <c r="C332" s="1" t="n">
        <v>45966</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4557-2023</t>
        </is>
      </c>
      <c r="B333" s="1" t="n">
        <v>44956.6655787037</v>
      </c>
      <c r="C333" s="1" t="n">
        <v>45966</v>
      </c>
      <c r="D333" t="inlineStr">
        <is>
          <t>ÖREBRO LÄN</t>
        </is>
      </c>
      <c r="E333" t="inlineStr">
        <is>
          <t>ÖREBRO</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32076-2023</t>
        </is>
      </c>
      <c r="B334" s="1" t="n">
        <v>45119.58324074074</v>
      </c>
      <c r="C334" s="1" t="n">
        <v>45966</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53558-2023</t>
        </is>
      </c>
      <c r="B335" s="1" t="n">
        <v>45230.47266203703</v>
      </c>
      <c r="C335" s="1" t="n">
        <v>45966</v>
      </c>
      <c r="D335" t="inlineStr">
        <is>
          <t>ÖREBRO LÄN</t>
        </is>
      </c>
      <c r="E335" t="inlineStr">
        <is>
          <t>ÖREBRO</t>
        </is>
      </c>
      <c r="F335" t="inlineStr">
        <is>
          <t>Övriga Aktiebolag</t>
        </is>
      </c>
      <c r="G335" t="n">
        <v>4.7</v>
      </c>
      <c r="H335" t="n">
        <v>0</v>
      </c>
      <c r="I335" t="n">
        <v>0</v>
      </c>
      <c r="J335" t="n">
        <v>0</v>
      </c>
      <c r="K335" t="n">
        <v>0</v>
      </c>
      <c r="L335" t="n">
        <v>0</v>
      </c>
      <c r="M335" t="n">
        <v>0</v>
      </c>
      <c r="N335" t="n">
        <v>0</v>
      </c>
      <c r="O335" t="n">
        <v>0</v>
      </c>
      <c r="P335" t="n">
        <v>0</v>
      </c>
      <c r="Q335" t="n">
        <v>0</v>
      </c>
      <c r="R335" s="2" t="inlineStr"/>
    </row>
    <row r="336" ht="15" customHeight="1">
      <c r="A336" t="inlineStr">
        <is>
          <t>A 46518-2023</t>
        </is>
      </c>
      <c r="B336" s="1" t="n">
        <v>45197.72777777778</v>
      </c>
      <c r="C336" s="1" t="n">
        <v>45966</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7692-2023</t>
        </is>
      </c>
      <c r="B337" s="1" t="n">
        <v>44972.7762962963</v>
      </c>
      <c r="C337" s="1" t="n">
        <v>45966</v>
      </c>
      <c r="D337" t="inlineStr">
        <is>
          <t>ÖREBRO LÄN</t>
        </is>
      </c>
      <c r="E337" t="inlineStr">
        <is>
          <t>ÖREBRO</t>
        </is>
      </c>
      <c r="G337" t="n">
        <v>1.5</v>
      </c>
      <c r="H337" t="n">
        <v>0</v>
      </c>
      <c r="I337" t="n">
        <v>0</v>
      </c>
      <c r="J337" t="n">
        <v>0</v>
      </c>
      <c r="K337" t="n">
        <v>0</v>
      </c>
      <c r="L337" t="n">
        <v>0</v>
      </c>
      <c r="M337" t="n">
        <v>0</v>
      </c>
      <c r="N337" t="n">
        <v>0</v>
      </c>
      <c r="O337" t="n">
        <v>0</v>
      </c>
      <c r="P337" t="n">
        <v>0</v>
      </c>
      <c r="Q337" t="n">
        <v>0</v>
      </c>
      <c r="R337" s="2" t="inlineStr"/>
    </row>
    <row r="338" ht="15" customHeight="1">
      <c r="A338" t="inlineStr">
        <is>
          <t>A 21338-2025</t>
        </is>
      </c>
      <c r="B338" s="1" t="n">
        <v>45780</v>
      </c>
      <c r="C338" s="1" t="n">
        <v>45966</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46056-2024</t>
        </is>
      </c>
      <c r="B339" s="1" t="n">
        <v>45580.91502314815</v>
      </c>
      <c r="C339" s="1" t="n">
        <v>45966</v>
      </c>
      <c r="D339" t="inlineStr">
        <is>
          <t>ÖREBRO LÄN</t>
        </is>
      </c>
      <c r="E339" t="inlineStr">
        <is>
          <t>ÖREBRO</t>
        </is>
      </c>
      <c r="F339" t="inlineStr">
        <is>
          <t>Övriga Aktiebolag</t>
        </is>
      </c>
      <c r="G339" t="n">
        <v>4.5</v>
      </c>
      <c r="H339" t="n">
        <v>0</v>
      </c>
      <c r="I339" t="n">
        <v>0</v>
      </c>
      <c r="J339" t="n">
        <v>0</v>
      </c>
      <c r="K339" t="n">
        <v>0</v>
      </c>
      <c r="L339" t="n">
        <v>0</v>
      </c>
      <c r="M339" t="n">
        <v>0</v>
      </c>
      <c r="N339" t="n">
        <v>0</v>
      </c>
      <c r="O339" t="n">
        <v>0</v>
      </c>
      <c r="P339" t="n">
        <v>0</v>
      </c>
      <c r="Q339" t="n">
        <v>0</v>
      </c>
      <c r="R339" s="2" t="inlineStr"/>
    </row>
    <row r="340" ht="15" customHeight="1">
      <c r="A340" t="inlineStr">
        <is>
          <t>A 57638-2022</t>
        </is>
      </c>
      <c r="B340" s="1" t="n">
        <v>44897</v>
      </c>
      <c r="C340" s="1" t="n">
        <v>45966</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58644-2023</t>
        </is>
      </c>
      <c r="B341" s="1" t="n">
        <v>45251.58716435185</v>
      </c>
      <c r="C341" s="1" t="n">
        <v>45966</v>
      </c>
      <c r="D341" t="inlineStr">
        <is>
          <t>ÖREBRO LÄN</t>
        </is>
      </c>
      <c r="E341" t="inlineStr">
        <is>
          <t>ÖREBRO</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22719-2025</t>
        </is>
      </c>
      <c r="B342" s="1" t="n">
        <v>45789</v>
      </c>
      <c r="C342" s="1" t="n">
        <v>45966</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8274-2025</t>
        </is>
      </c>
      <c r="B343" s="1" t="n">
        <v>45708</v>
      </c>
      <c r="C343" s="1" t="n">
        <v>45966</v>
      </c>
      <c r="D343" t="inlineStr">
        <is>
          <t>ÖREBRO LÄN</t>
        </is>
      </c>
      <c r="E343" t="inlineStr">
        <is>
          <t>ÖREBRO</t>
        </is>
      </c>
      <c r="G343" t="n">
        <v>5.8</v>
      </c>
      <c r="H343" t="n">
        <v>0</v>
      </c>
      <c r="I343" t="n">
        <v>0</v>
      </c>
      <c r="J343" t="n">
        <v>0</v>
      </c>
      <c r="K343" t="n">
        <v>0</v>
      </c>
      <c r="L343" t="n">
        <v>0</v>
      </c>
      <c r="M343" t="n">
        <v>0</v>
      </c>
      <c r="N343" t="n">
        <v>0</v>
      </c>
      <c r="O343" t="n">
        <v>0</v>
      </c>
      <c r="P343" t="n">
        <v>0</v>
      </c>
      <c r="Q343" t="n">
        <v>0</v>
      </c>
      <c r="R343" s="2" t="inlineStr"/>
    </row>
    <row r="344" ht="15" customHeight="1">
      <c r="A344" t="inlineStr">
        <is>
          <t>A 53342-2025</t>
        </is>
      </c>
      <c r="B344" s="1" t="n">
        <v>45959.41769675926</v>
      </c>
      <c r="C344" s="1" t="n">
        <v>45966</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764-2024</t>
        </is>
      </c>
      <c r="B345" s="1" t="n">
        <v>45300.51512731481</v>
      </c>
      <c r="C345" s="1" t="n">
        <v>45966</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53350-2025</t>
        </is>
      </c>
      <c r="B346" s="1" t="n">
        <v>45959.43827546296</v>
      </c>
      <c r="C346" s="1" t="n">
        <v>45966</v>
      </c>
      <c r="D346" t="inlineStr">
        <is>
          <t>ÖREBRO LÄN</t>
        </is>
      </c>
      <c r="E346" t="inlineStr">
        <is>
          <t>ÖREBRO</t>
        </is>
      </c>
      <c r="G346" t="n">
        <v>4.1</v>
      </c>
      <c r="H346" t="n">
        <v>0</v>
      </c>
      <c r="I346" t="n">
        <v>0</v>
      </c>
      <c r="J346" t="n">
        <v>0</v>
      </c>
      <c r="K346" t="n">
        <v>0</v>
      </c>
      <c r="L346" t="n">
        <v>0</v>
      </c>
      <c r="M346" t="n">
        <v>0</v>
      </c>
      <c r="N346" t="n">
        <v>0</v>
      </c>
      <c r="O346" t="n">
        <v>0</v>
      </c>
      <c r="P346" t="n">
        <v>0</v>
      </c>
      <c r="Q346" t="n">
        <v>0</v>
      </c>
      <c r="R346" s="2" t="inlineStr"/>
    </row>
    <row r="347" ht="15" customHeight="1">
      <c r="A347" t="inlineStr">
        <is>
          <t>A 22755-2025</t>
        </is>
      </c>
      <c r="B347" s="1" t="n">
        <v>45789.61872685186</v>
      </c>
      <c r="C347" s="1" t="n">
        <v>45966</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7634-2024</t>
        </is>
      </c>
      <c r="B348" s="1" t="n">
        <v>45348</v>
      </c>
      <c r="C348" s="1" t="n">
        <v>45966</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53437-2025</t>
        </is>
      </c>
      <c r="B349" s="1" t="n">
        <v>45959.63440972222</v>
      </c>
      <c r="C349" s="1" t="n">
        <v>45966</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58208-2024</t>
        </is>
      </c>
      <c r="B350" s="1" t="n">
        <v>45632</v>
      </c>
      <c r="C350" s="1" t="n">
        <v>45966</v>
      </c>
      <c r="D350" t="inlineStr">
        <is>
          <t>ÖREBRO LÄN</t>
        </is>
      </c>
      <c r="E350" t="inlineStr">
        <is>
          <t>ÖREBRO</t>
        </is>
      </c>
      <c r="G350" t="n">
        <v>3.1</v>
      </c>
      <c r="H350" t="n">
        <v>0</v>
      </c>
      <c r="I350" t="n">
        <v>0</v>
      </c>
      <c r="J350" t="n">
        <v>0</v>
      </c>
      <c r="K350" t="n">
        <v>0</v>
      </c>
      <c r="L350" t="n">
        <v>0</v>
      </c>
      <c r="M350" t="n">
        <v>0</v>
      </c>
      <c r="N350" t="n">
        <v>0</v>
      </c>
      <c r="O350" t="n">
        <v>0</v>
      </c>
      <c r="P350" t="n">
        <v>0</v>
      </c>
      <c r="Q350" t="n">
        <v>0</v>
      </c>
      <c r="R350" s="2" t="inlineStr"/>
    </row>
    <row r="351" ht="15" customHeight="1">
      <c r="A351" t="inlineStr">
        <is>
          <t>A 34336-2024</t>
        </is>
      </c>
      <c r="B351" s="1" t="n">
        <v>45524.94774305556</v>
      </c>
      <c r="C351" s="1" t="n">
        <v>45966</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45966</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15555-2025</t>
        </is>
      </c>
      <c r="B353" s="1" t="n">
        <v>45747.67768518518</v>
      </c>
      <c r="C353" s="1" t="n">
        <v>45966</v>
      </c>
      <c r="D353" t="inlineStr">
        <is>
          <t>ÖREBRO LÄN</t>
        </is>
      </c>
      <c r="E353" t="inlineStr">
        <is>
          <t>ÖREBRO</t>
        </is>
      </c>
      <c r="G353" t="n">
        <v>1.7</v>
      </c>
      <c r="H353" t="n">
        <v>0</v>
      </c>
      <c r="I353" t="n">
        <v>0</v>
      </c>
      <c r="J353" t="n">
        <v>0</v>
      </c>
      <c r="K353" t="n">
        <v>0</v>
      </c>
      <c r="L353" t="n">
        <v>0</v>
      </c>
      <c r="M353" t="n">
        <v>0</v>
      </c>
      <c r="N353" t="n">
        <v>0</v>
      </c>
      <c r="O353" t="n">
        <v>0</v>
      </c>
      <c r="P353" t="n">
        <v>0</v>
      </c>
      <c r="Q353" t="n">
        <v>0</v>
      </c>
      <c r="R353" s="2" t="inlineStr"/>
    </row>
    <row r="354" ht="15" customHeight="1">
      <c r="A354" t="inlineStr">
        <is>
          <t>A 53443-2025</t>
        </is>
      </c>
      <c r="B354" s="1" t="n">
        <v>45959.6444675926</v>
      </c>
      <c r="C354" s="1" t="n">
        <v>45966</v>
      </c>
      <c r="D354" t="inlineStr">
        <is>
          <t>ÖREBRO LÄN</t>
        </is>
      </c>
      <c r="E354" t="inlineStr">
        <is>
          <t>ÖREBRO</t>
        </is>
      </c>
      <c r="G354" t="n">
        <v>2.8</v>
      </c>
      <c r="H354" t="n">
        <v>0</v>
      </c>
      <c r="I354" t="n">
        <v>0</v>
      </c>
      <c r="J354" t="n">
        <v>0</v>
      </c>
      <c r="K354" t="n">
        <v>0</v>
      </c>
      <c r="L354" t="n">
        <v>0</v>
      </c>
      <c r="M354" t="n">
        <v>0</v>
      </c>
      <c r="N354" t="n">
        <v>0</v>
      </c>
      <c r="O354" t="n">
        <v>0</v>
      </c>
      <c r="P354" t="n">
        <v>0</v>
      </c>
      <c r="Q354" t="n">
        <v>0</v>
      </c>
      <c r="R354" s="2" t="inlineStr"/>
    </row>
    <row r="355" ht="15" customHeight="1">
      <c r="A355" t="inlineStr">
        <is>
          <t>A 71266-2021</t>
        </is>
      </c>
      <c r="B355" s="1" t="n">
        <v>44539</v>
      </c>
      <c r="C355" s="1" t="n">
        <v>45966</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71267-2021</t>
        </is>
      </c>
      <c r="B356" s="1" t="n">
        <v>44539</v>
      </c>
      <c r="C356" s="1" t="n">
        <v>45966</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61279-2024</t>
        </is>
      </c>
      <c r="B357" s="1" t="n">
        <v>45645</v>
      </c>
      <c r="C357" s="1" t="n">
        <v>45966</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71280-2021</t>
        </is>
      </c>
      <c r="B358" s="1" t="n">
        <v>44539</v>
      </c>
      <c r="C358" s="1" t="n">
        <v>45966</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38790-2024</t>
        </is>
      </c>
      <c r="B359" s="1" t="n">
        <v>45547.48450231482</v>
      </c>
      <c r="C359" s="1" t="n">
        <v>45966</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71269-2021</t>
        </is>
      </c>
      <c r="B360" s="1" t="n">
        <v>44539</v>
      </c>
      <c r="C360" s="1" t="n">
        <v>45966</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30316-2024</t>
        </is>
      </c>
      <c r="B361" s="1" t="n">
        <v>45490</v>
      </c>
      <c r="C361" s="1" t="n">
        <v>45966</v>
      </c>
      <c r="D361" t="inlineStr">
        <is>
          <t>ÖREBRO LÄN</t>
        </is>
      </c>
      <c r="E361" t="inlineStr">
        <is>
          <t>ÖREBRO</t>
        </is>
      </c>
      <c r="G361" t="n">
        <v>5.5</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45966</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62497-2023</t>
        </is>
      </c>
      <c r="B363" s="1" t="n">
        <v>45268.59935185185</v>
      </c>
      <c r="C363" s="1" t="n">
        <v>45966</v>
      </c>
      <c r="D363" t="inlineStr">
        <is>
          <t>ÖREBRO LÄN</t>
        </is>
      </c>
      <c r="E363" t="inlineStr">
        <is>
          <t>ÖREBRO</t>
        </is>
      </c>
      <c r="F363" t="inlineStr">
        <is>
          <t>Övriga Aktiebolag</t>
        </is>
      </c>
      <c r="G363" t="n">
        <v>3.2</v>
      </c>
      <c r="H363" t="n">
        <v>0</v>
      </c>
      <c r="I363" t="n">
        <v>0</v>
      </c>
      <c r="J363" t="n">
        <v>0</v>
      </c>
      <c r="K363" t="n">
        <v>0</v>
      </c>
      <c r="L363" t="n">
        <v>0</v>
      </c>
      <c r="M363" t="n">
        <v>0</v>
      </c>
      <c r="N363" t="n">
        <v>0</v>
      </c>
      <c r="O363" t="n">
        <v>0</v>
      </c>
      <c r="P363" t="n">
        <v>0</v>
      </c>
      <c r="Q363" t="n">
        <v>0</v>
      </c>
      <c r="R363" s="2" t="inlineStr"/>
    </row>
    <row r="364" ht="15" customHeight="1">
      <c r="A364" t="inlineStr">
        <is>
          <t>A 33294-2023</t>
        </is>
      </c>
      <c r="B364" s="1" t="n">
        <v>45127</v>
      </c>
      <c r="C364" s="1" t="n">
        <v>45966</v>
      </c>
      <c r="D364" t="inlineStr">
        <is>
          <t>ÖREBRO LÄN</t>
        </is>
      </c>
      <c r="E364" t="inlineStr">
        <is>
          <t>ÖREBRO</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44199-2024</t>
        </is>
      </c>
      <c r="B365" s="1" t="n">
        <v>45573</v>
      </c>
      <c r="C365" s="1" t="n">
        <v>45966</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4380-2025</t>
        </is>
      </c>
      <c r="B366" s="1" t="n">
        <v>45686.3959375</v>
      </c>
      <c r="C366" s="1" t="n">
        <v>45966</v>
      </c>
      <c r="D366" t="inlineStr">
        <is>
          <t>ÖREBRO LÄN</t>
        </is>
      </c>
      <c r="E366" t="inlineStr">
        <is>
          <t>ÖREBRO</t>
        </is>
      </c>
      <c r="G366" t="n">
        <v>3.2</v>
      </c>
      <c r="H366" t="n">
        <v>0</v>
      </c>
      <c r="I366" t="n">
        <v>0</v>
      </c>
      <c r="J366" t="n">
        <v>0</v>
      </c>
      <c r="K366" t="n">
        <v>0</v>
      </c>
      <c r="L366" t="n">
        <v>0</v>
      </c>
      <c r="M366" t="n">
        <v>0</v>
      </c>
      <c r="N366" t="n">
        <v>0</v>
      </c>
      <c r="O366" t="n">
        <v>0</v>
      </c>
      <c r="P366" t="n">
        <v>0</v>
      </c>
      <c r="Q366" t="n">
        <v>0</v>
      </c>
      <c r="R366" s="2" t="inlineStr"/>
    </row>
    <row r="367" ht="15" customHeight="1">
      <c r="A367" t="inlineStr">
        <is>
          <t>A 46052-2024</t>
        </is>
      </c>
      <c r="B367" s="1" t="n">
        <v>45580.89116898148</v>
      </c>
      <c r="C367" s="1" t="n">
        <v>45966</v>
      </c>
      <c r="D367" t="inlineStr">
        <is>
          <t>ÖREBRO LÄN</t>
        </is>
      </c>
      <c r="E367" t="inlineStr">
        <is>
          <t>ÖREBRO</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26443-2024</t>
        </is>
      </c>
      <c r="B368" s="1" t="n">
        <v>45469.49901620371</v>
      </c>
      <c r="C368" s="1" t="n">
        <v>45966</v>
      </c>
      <c r="D368" t="inlineStr">
        <is>
          <t>ÖREBRO LÄN</t>
        </is>
      </c>
      <c r="E368" t="inlineStr">
        <is>
          <t>ÖREBRO</t>
        </is>
      </c>
      <c r="G368" t="n">
        <v>5.7</v>
      </c>
      <c r="H368" t="n">
        <v>0</v>
      </c>
      <c r="I368" t="n">
        <v>0</v>
      </c>
      <c r="J368" t="n">
        <v>0</v>
      </c>
      <c r="K368" t="n">
        <v>0</v>
      </c>
      <c r="L368" t="n">
        <v>0</v>
      </c>
      <c r="M368" t="n">
        <v>0</v>
      </c>
      <c r="N368" t="n">
        <v>0</v>
      </c>
      <c r="O368" t="n">
        <v>0</v>
      </c>
      <c r="P368" t="n">
        <v>0</v>
      </c>
      <c r="Q368" t="n">
        <v>0</v>
      </c>
      <c r="R368" s="2" t="inlineStr"/>
    </row>
    <row r="369" ht="15" customHeight="1">
      <c r="A369" t="inlineStr">
        <is>
          <t>A 5136-2024</t>
        </is>
      </c>
      <c r="B369" s="1" t="n">
        <v>45330</v>
      </c>
      <c r="C369" s="1" t="n">
        <v>45966</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35477-2024</t>
        </is>
      </c>
      <c r="B370" s="1" t="n">
        <v>45531</v>
      </c>
      <c r="C370" s="1" t="n">
        <v>45966</v>
      </c>
      <c r="D370" t="inlineStr">
        <is>
          <t>ÖREBRO LÄN</t>
        </is>
      </c>
      <c r="E370" t="inlineStr">
        <is>
          <t>ÖREBRO</t>
        </is>
      </c>
      <c r="G370" t="n">
        <v>2.4</v>
      </c>
      <c r="H370" t="n">
        <v>0</v>
      </c>
      <c r="I370" t="n">
        <v>0</v>
      </c>
      <c r="J370" t="n">
        <v>0</v>
      </c>
      <c r="K370" t="n">
        <v>0</v>
      </c>
      <c r="L370" t="n">
        <v>0</v>
      </c>
      <c r="M370" t="n">
        <v>0</v>
      </c>
      <c r="N370" t="n">
        <v>0</v>
      </c>
      <c r="O370" t="n">
        <v>0</v>
      </c>
      <c r="P370" t="n">
        <v>0</v>
      </c>
      <c r="Q370" t="n">
        <v>0</v>
      </c>
      <c r="R370" s="2" t="inlineStr"/>
    </row>
    <row r="371" ht="15" customHeight="1">
      <c r="A371" t="inlineStr">
        <is>
          <t>A 53719-2025</t>
        </is>
      </c>
      <c r="B371" s="1" t="n">
        <v>45960.62042824074</v>
      </c>
      <c r="C371" s="1" t="n">
        <v>45966</v>
      </c>
      <c r="D371" t="inlineStr">
        <is>
          <t>ÖREBRO LÄN</t>
        </is>
      </c>
      <c r="E371" t="inlineStr">
        <is>
          <t>ÖREBRO</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44960-2025</t>
        </is>
      </c>
      <c r="B372" s="1" t="n">
        <v>45918.61577546296</v>
      </c>
      <c r="C372" s="1" t="n">
        <v>45966</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54149-2024</t>
        </is>
      </c>
      <c r="B373" s="1" t="n">
        <v>45616</v>
      </c>
      <c r="C373" s="1" t="n">
        <v>45966</v>
      </c>
      <c r="D373" t="inlineStr">
        <is>
          <t>ÖREBRO LÄN</t>
        </is>
      </c>
      <c r="E373" t="inlineStr">
        <is>
          <t>ÖREBRO</t>
        </is>
      </c>
      <c r="G373" t="n">
        <v>2.7</v>
      </c>
      <c r="H373" t="n">
        <v>0</v>
      </c>
      <c r="I373" t="n">
        <v>0</v>
      </c>
      <c r="J373" t="n">
        <v>0</v>
      </c>
      <c r="K373" t="n">
        <v>0</v>
      </c>
      <c r="L373" t="n">
        <v>0</v>
      </c>
      <c r="M373" t="n">
        <v>0</v>
      </c>
      <c r="N373" t="n">
        <v>0</v>
      </c>
      <c r="O373" t="n">
        <v>0</v>
      </c>
      <c r="P373" t="n">
        <v>0</v>
      </c>
      <c r="Q373" t="n">
        <v>0</v>
      </c>
      <c r="R373" s="2" t="inlineStr"/>
    </row>
    <row r="374" ht="15" customHeight="1">
      <c r="A374" t="inlineStr">
        <is>
          <t>A 5406-2025</t>
        </is>
      </c>
      <c r="B374" s="1" t="n">
        <v>45692.64821759259</v>
      </c>
      <c r="C374" s="1" t="n">
        <v>45966</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44271.42121527778</v>
      </c>
      <c r="C375" s="1" t="n">
        <v>45966</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52018-2024</t>
        </is>
      </c>
      <c r="B376" s="1" t="n">
        <v>45607.82974537037</v>
      </c>
      <c r="C376" s="1" t="n">
        <v>45966</v>
      </c>
      <c r="D376" t="inlineStr">
        <is>
          <t>ÖREBRO LÄN</t>
        </is>
      </c>
      <c r="E376" t="inlineStr">
        <is>
          <t>ÖREBRO</t>
        </is>
      </c>
      <c r="G376" t="n">
        <v>4.3</v>
      </c>
      <c r="H376" t="n">
        <v>0</v>
      </c>
      <c r="I376" t="n">
        <v>0</v>
      </c>
      <c r="J376" t="n">
        <v>0</v>
      </c>
      <c r="K376" t="n">
        <v>0</v>
      </c>
      <c r="L376" t="n">
        <v>0</v>
      </c>
      <c r="M376" t="n">
        <v>0</v>
      </c>
      <c r="N376" t="n">
        <v>0</v>
      </c>
      <c r="O376" t="n">
        <v>0</v>
      </c>
      <c r="P376" t="n">
        <v>0</v>
      </c>
      <c r="Q376" t="n">
        <v>0</v>
      </c>
      <c r="R376" s="2" t="inlineStr"/>
    </row>
    <row r="377" ht="15" customHeight="1">
      <c r="A377" t="inlineStr">
        <is>
          <t>A 15424-2022</t>
        </is>
      </c>
      <c r="B377" s="1" t="n">
        <v>44659</v>
      </c>
      <c r="C377" s="1" t="n">
        <v>45966</v>
      </c>
      <c r="D377" t="inlineStr">
        <is>
          <t>ÖREBRO LÄN</t>
        </is>
      </c>
      <c r="E377" t="inlineStr">
        <is>
          <t>ÖREBRO</t>
        </is>
      </c>
      <c r="G377" t="n">
        <v>2.2</v>
      </c>
      <c r="H377" t="n">
        <v>0</v>
      </c>
      <c r="I377" t="n">
        <v>0</v>
      </c>
      <c r="J377" t="n">
        <v>0</v>
      </c>
      <c r="K377" t="n">
        <v>0</v>
      </c>
      <c r="L377" t="n">
        <v>0</v>
      </c>
      <c r="M377" t="n">
        <v>0</v>
      </c>
      <c r="N377" t="n">
        <v>0</v>
      </c>
      <c r="O377" t="n">
        <v>0</v>
      </c>
      <c r="P377" t="n">
        <v>0</v>
      </c>
      <c r="Q377" t="n">
        <v>0</v>
      </c>
      <c r="R377" s="2" t="inlineStr"/>
    </row>
    <row r="378" ht="15" customHeight="1">
      <c r="A378" t="inlineStr">
        <is>
          <t>A 15682-2023</t>
        </is>
      </c>
      <c r="B378" s="1" t="n">
        <v>45021</v>
      </c>
      <c r="C378" s="1" t="n">
        <v>45966</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34358-2022</t>
        </is>
      </c>
      <c r="B379" s="1" t="n">
        <v>44792.45494212963</v>
      </c>
      <c r="C379" s="1" t="n">
        <v>45966</v>
      </c>
      <c r="D379" t="inlineStr">
        <is>
          <t>ÖREBRO LÄN</t>
        </is>
      </c>
      <c r="E379" t="inlineStr">
        <is>
          <t>ÖREBRO</t>
        </is>
      </c>
      <c r="F379" t="inlineStr">
        <is>
          <t>Övriga Aktiebolag</t>
        </is>
      </c>
      <c r="G379" t="n">
        <v>3.4</v>
      </c>
      <c r="H379" t="n">
        <v>0</v>
      </c>
      <c r="I379" t="n">
        <v>0</v>
      </c>
      <c r="J379" t="n">
        <v>0</v>
      </c>
      <c r="K379" t="n">
        <v>0</v>
      </c>
      <c r="L379" t="n">
        <v>0</v>
      </c>
      <c r="M379" t="n">
        <v>0</v>
      </c>
      <c r="N379" t="n">
        <v>0</v>
      </c>
      <c r="O379" t="n">
        <v>0</v>
      </c>
      <c r="P379" t="n">
        <v>0</v>
      </c>
      <c r="Q379" t="n">
        <v>0</v>
      </c>
      <c r="R379" s="2" t="inlineStr"/>
    </row>
    <row r="380" ht="15" customHeight="1">
      <c r="A380" t="inlineStr">
        <is>
          <t>A 44875-2025</t>
        </is>
      </c>
      <c r="B380" s="1" t="n">
        <v>45918.47043981482</v>
      </c>
      <c r="C380" s="1" t="n">
        <v>45966</v>
      </c>
      <c r="D380" t="inlineStr">
        <is>
          <t>ÖREBRO LÄN</t>
        </is>
      </c>
      <c r="E380" t="inlineStr">
        <is>
          <t>ÖREBRO</t>
        </is>
      </c>
      <c r="G380" t="n">
        <v>1.4</v>
      </c>
      <c r="H380" t="n">
        <v>0</v>
      </c>
      <c r="I380" t="n">
        <v>0</v>
      </c>
      <c r="J380" t="n">
        <v>0</v>
      </c>
      <c r="K380" t="n">
        <v>0</v>
      </c>
      <c r="L380" t="n">
        <v>0</v>
      </c>
      <c r="M380" t="n">
        <v>0</v>
      </c>
      <c r="N380" t="n">
        <v>0</v>
      </c>
      <c r="O380" t="n">
        <v>0</v>
      </c>
      <c r="P380" t="n">
        <v>0</v>
      </c>
      <c r="Q380" t="n">
        <v>0</v>
      </c>
      <c r="R380" s="2" t="inlineStr"/>
    </row>
    <row r="381" ht="15" customHeight="1">
      <c r="A381" t="inlineStr">
        <is>
          <t>A 12682-2023</t>
        </is>
      </c>
      <c r="B381" s="1" t="n">
        <v>45000.6115625</v>
      </c>
      <c r="C381" s="1" t="n">
        <v>45966</v>
      </c>
      <c r="D381" t="inlineStr">
        <is>
          <t>ÖREBRO LÄN</t>
        </is>
      </c>
      <c r="E381" t="inlineStr">
        <is>
          <t>ÖREBRO</t>
        </is>
      </c>
      <c r="F381" t="inlineStr">
        <is>
          <t>Övriga Aktiebolag</t>
        </is>
      </c>
      <c r="G381" t="n">
        <v>4.4</v>
      </c>
      <c r="H381" t="n">
        <v>0</v>
      </c>
      <c r="I381" t="n">
        <v>0</v>
      </c>
      <c r="J381" t="n">
        <v>0</v>
      </c>
      <c r="K381" t="n">
        <v>0</v>
      </c>
      <c r="L381" t="n">
        <v>0</v>
      </c>
      <c r="M381" t="n">
        <v>0</v>
      </c>
      <c r="N381" t="n">
        <v>0</v>
      </c>
      <c r="O381" t="n">
        <v>0</v>
      </c>
      <c r="P381" t="n">
        <v>0</v>
      </c>
      <c r="Q381" t="n">
        <v>0</v>
      </c>
      <c r="R381" s="2" t="inlineStr"/>
    </row>
    <row r="382" ht="15" customHeight="1">
      <c r="A382" t="inlineStr">
        <is>
          <t>A 57247-2022</t>
        </is>
      </c>
      <c r="B382" s="1" t="n">
        <v>44895.73065972222</v>
      </c>
      <c r="C382" s="1" t="n">
        <v>45966</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22348-2024</t>
        </is>
      </c>
      <c r="B383" s="1" t="n">
        <v>45446.61256944444</v>
      </c>
      <c r="C383" s="1" t="n">
        <v>45966</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53715-2025</t>
        </is>
      </c>
      <c r="B384" s="1" t="n">
        <v>45960.61763888889</v>
      </c>
      <c r="C384" s="1" t="n">
        <v>45966</v>
      </c>
      <c r="D384" t="inlineStr">
        <is>
          <t>ÖREBRO LÄN</t>
        </is>
      </c>
      <c r="E384" t="inlineStr">
        <is>
          <t>ÖREBRO</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59736-2023</t>
        </is>
      </c>
      <c r="B385" s="1" t="n">
        <v>45257.374375</v>
      </c>
      <c r="C385" s="1" t="n">
        <v>45966</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2153-2023</t>
        </is>
      </c>
      <c r="B386" s="1" t="n">
        <v>44941</v>
      </c>
      <c r="C386" s="1" t="n">
        <v>45966</v>
      </c>
      <c r="D386" t="inlineStr">
        <is>
          <t>ÖREBRO LÄN</t>
        </is>
      </c>
      <c r="E386" t="inlineStr">
        <is>
          <t>ÖREBRO</t>
        </is>
      </c>
      <c r="G386" t="n">
        <v>6.3</v>
      </c>
      <c r="H386" t="n">
        <v>0</v>
      </c>
      <c r="I386" t="n">
        <v>0</v>
      </c>
      <c r="J386" t="n">
        <v>0</v>
      </c>
      <c r="K386" t="n">
        <v>0</v>
      </c>
      <c r="L386" t="n">
        <v>0</v>
      </c>
      <c r="M386" t="n">
        <v>0</v>
      </c>
      <c r="N386" t="n">
        <v>0</v>
      </c>
      <c r="O386" t="n">
        <v>0</v>
      </c>
      <c r="P386" t="n">
        <v>0</v>
      </c>
      <c r="Q386" t="n">
        <v>0</v>
      </c>
      <c r="R386" s="2" t="inlineStr"/>
    </row>
    <row r="387" ht="15" customHeight="1">
      <c r="A387" t="inlineStr">
        <is>
          <t>A 15695-2024</t>
        </is>
      </c>
      <c r="B387" s="1" t="n">
        <v>45404.45487268519</v>
      </c>
      <c r="C387" s="1" t="n">
        <v>45966</v>
      </c>
      <c r="D387" t="inlineStr">
        <is>
          <t>ÖREBRO LÄN</t>
        </is>
      </c>
      <c r="E387" t="inlineStr">
        <is>
          <t>ÖREBRO</t>
        </is>
      </c>
      <c r="G387" t="n">
        <v>2.7</v>
      </c>
      <c r="H387" t="n">
        <v>0</v>
      </c>
      <c r="I387" t="n">
        <v>0</v>
      </c>
      <c r="J387" t="n">
        <v>0</v>
      </c>
      <c r="K387" t="n">
        <v>0</v>
      </c>
      <c r="L387" t="n">
        <v>0</v>
      </c>
      <c r="M387" t="n">
        <v>0</v>
      </c>
      <c r="N387" t="n">
        <v>0</v>
      </c>
      <c r="O387" t="n">
        <v>0</v>
      </c>
      <c r="P387" t="n">
        <v>0</v>
      </c>
      <c r="Q387" t="n">
        <v>0</v>
      </c>
      <c r="R387" s="2" t="inlineStr"/>
    </row>
    <row r="388" ht="15" customHeight="1">
      <c r="A388" t="inlineStr">
        <is>
          <t>A 10829-2023</t>
        </is>
      </c>
      <c r="B388" s="1" t="n">
        <v>44990.88512731482</v>
      </c>
      <c r="C388" s="1" t="n">
        <v>45966</v>
      </c>
      <c r="D388" t="inlineStr">
        <is>
          <t>ÖREBRO LÄN</t>
        </is>
      </c>
      <c r="E388" t="inlineStr">
        <is>
          <t>ÖREBRO</t>
        </is>
      </c>
      <c r="G388" t="n">
        <v>4.4</v>
      </c>
      <c r="H388" t="n">
        <v>0</v>
      </c>
      <c r="I388" t="n">
        <v>0</v>
      </c>
      <c r="J388" t="n">
        <v>0</v>
      </c>
      <c r="K388" t="n">
        <v>0</v>
      </c>
      <c r="L388" t="n">
        <v>0</v>
      </c>
      <c r="M388" t="n">
        <v>0</v>
      </c>
      <c r="N388" t="n">
        <v>0</v>
      </c>
      <c r="O388" t="n">
        <v>0</v>
      </c>
      <c r="P388" t="n">
        <v>0</v>
      </c>
      <c r="Q388" t="n">
        <v>0</v>
      </c>
      <c r="R388" s="2" t="inlineStr"/>
    </row>
    <row r="389" ht="15" customHeight="1">
      <c r="A389" t="inlineStr">
        <is>
          <t>A 10831-2023</t>
        </is>
      </c>
      <c r="B389" s="1" t="n">
        <v>44990.90357638889</v>
      </c>
      <c r="C389" s="1" t="n">
        <v>45966</v>
      </c>
      <c r="D389" t="inlineStr">
        <is>
          <t>ÖREBRO LÄN</t>
        </is>
      </c>
      <c r="E389" t="inlineStr">
        <is>
          <t>ÖREBRO</t>
        </is>
      </c>
      <c r="G389" t="n">
        <v>1.9</v>
      </c>
      <c r="H389" t="n">
        <v>0</v>
      </c>
      <c r="I389" t="n">
        <v>0</v>
      </c>
      <c r="J389" t="n">
        <v>0</v>
      </c>
      <c r="K389" t="n">
        <v>0</v>
      </c>
      <c r="L389" t="n">
        <v>0</v>
      </c>
      <c r="M389" t="n">
        <v>0</v>
      </c>
      <c r="N389" t="n">
        <v>0</v>
      </c>
      <c r="O389" t="n">
        <v>0</v>
      </c>
      <c r="P389" t="n">
        <v>0</v>
      </c>
      <c r="Q389" t="n">
        <v>0</v>
      </c>
      <c r="R389" s="2" t="inlineStr"/>
    </row>
    <row r="390" ht="15" customHeight="1">
      <c r="A390" t="inlineStr">
        <is>
          <t>A 30089-2024</t>
        </is>
      </c>
      <c r="B390" s="1" t="n">
        <v>45485</v>
      </c>
      <c r="C390" s="1" t="n">
        <v>45966</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5643-2025</t>
        </is>
      </c>
      <c r="B391" s="1" t="n">
        <v>45693</v>
      </c>
      <c r="C391" s="1" t="n">
        <v>45966</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58606-2024</t>
        </is>
      </c>
      <c r="B392" s="1" t="n">
        <v>45635.54747685185</v>
      </c>
      <c r="C392" s="1" t="n">
        <v>45966</v>
      </c>
      <c r="D392" t="inlineStr">
        <is>
          <t>ÖREBRO LÄN</t>
        </is>
      </c>
      <c r="E392" t="inlineStr">
        <is>
          <t>ÖREBRO</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123-2025</t>
        </is>
      </c>
      <c r="B393" s="1" t="n">
        <v>45659.54851851852</v>
      </c>
      <c r="C393" s="1" t="n">
        <v>45966</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46030-2024</t>
        </is>
      </c>
      <c r="B394" s="1" t="n">
        <v>45580.70377314815</v>
      </c>
      <c r="C394" s="1" t="n">
        <v>45966</v>
      </c>
      <c r="D394" t="inlineStr">
        <is>
          <t>ÖREBRO LÄN</t>
        </is>
      </c>
      <c r="E394" t="inlineStr">
        <is>
          <t>ÖREBRO</t>
        </is>
      </c>
      <c r="G394" t="n">
        <v>3.9</v>
      </c>
      <c r="H394" t="n">
        <v>0</v>
      </c>
      <c r="I394" t="n">
        <v>0</v>
      </c>
      <c r="J394" t="n">
        <v>0</v>
      </c>
      <c r="K394" t="n">
        <v>0</v>
      </c>
      <c r="L394" t="n">
        <v>0</v>
      </c>
      <c r="M394" t="n">
        <v>0</v>
      </c>
      <c r="N394" t="n">
        <v>0</v>
      </c>
      <c r="O394" t="n">
        <v>0</v>
      </c>
      <c r="P394" t="n">
        <v>0</v>
      </c>
      <c r="Q394" t="n">
        <v>0</v>
      </c>
      <c r="R394" s="2" t="inlineStr"/>
    </row>
    <row r="395" ht="15" customHeight="1">
      <c r="A395" t="inlineStr">
        <is>
          <t>A 54485-2025</t>
        </is>
      </c>
      <c r="B395" s="1" t="n">
        <v>45965.59295138889</v>
      </c>
      <c r="C395" s="1" t="n">
        <v>45966</v>
      </c>
      <c r="D395" t="inlineStr">
        <is>
          <t>ÖREBRO LÄN</t>
        </is>
      </c>
      <c r="E395" t="inlineStr">
        <is>
          <t>ÖREBRO</t>
        </is>
      </c>
      <c r="F395" t="inlineStr">
        <is>
          <t>Allmännings- och besparingsskogar</t>
        </is>
      </c>
      <c r="G395" t="n">
        <v>1.7</v>
      </c>
      <c r="H395" t="n">
        <v>0</v>
      </c>
      <c r="I395" t="n">
        <v>0</v>
      </c>
      <c r="J395" t="n">
        <v>0</v>
      </c>
      <c r="K395" t="n">
        <v>0</v>
      </c>
      <c r="L395" t="n">
        <v>0</v>
      </c>
      <c r="M395" t="n">
        <v>0</v>
      </c>
      <c r="N395" t="n">
        <v>0</v>
      </c>
      <c r="O395" t="n">
        <v>0</v>
      </c>
      <c r="P395" t="n">
        <v>0</v>
      </c>
      <c r="Q395" t="n">
        <v>0</v>
      </c>
      <c r="R395" s="2" t="inlineStr"/>
    </row>
    <row r="396" ht="15" customHeight="1">
      <c r="A396" t="inlineStr">
        <is>
          <t>A 37012-2024</t>
        </is>
      </c>
      <c r="B396" s="1" t="n">
        <v>45539</v>
      </c>
      <c r="C396" s="1" t="n">
        <v>45966</v>
      </c>
      <c r="D396" t="inlineStr">
        <is>
          <t>ÖREBRO LÄN</t>
        </is>
      </c>
      <c r="E396" t="inlineStr">
        <is>
          <t>ÖREBRO</t>
        </is>
      </c>
      <c r="G396" t="n">
        <v>4.1</v>
      </c>
      <c r="H396" t="n">
        <v>0</v>
      </c>
      <c r="I396" t="n">
        <v>0</v>
      </c>
      <c r="J396" t="n">
        <v>0</v>
      </c>
      <c r="K396" t="n">
        <v>0</v>
      </c>
      <c r="L396" t="n">
        <v>0</v>
      </c>
      <c r="M396" t="n">
        <v>0</v>
      </c>
      <c r="N396" t="n">
        <v>0</v>
      </c>
      <c r="O396" t="n">
        <v>0</v>
      </c>
      <c r="P396" t="n">
        <v>0</v>
      </c>
      <c r="Q396" t="n">
        <v>0</v>
      </c>
      <c r="R396" s="2" t="inlineStr"/>
    </row>
    <row r="397" ht="15" customHeight="1">
      <c r="A397" t="inlineStr">
        <is>
          <t>A 37020-2024</t>
        </is>
      </c>
      <c r="B397" s="1" t="n">
        <v>45539.38059027777</v>
      </c>
      <c r="C397" s="1" t="n">
        <v>45966</v>
      </c>
      <c r="D397" t="inlineStr">
        <is>
          <t>ÖREBRO LÄN</t>
        </is>
      </c>
      <c r="E397" t="inlineStr">
        <is>
          <t>ÖREBRO</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5342-2024</t>
        </is>
      </c>
      <c r="B398" s="1" t="n">
        <v>45331.44145833333</v>
      </c>
      <c r="C398" s="1" t="n">
        <v>45966</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71295-2021</t>
        </is>
      </c>
      <c r="B399" s="1" t="n">
        <v>44539.63009259259</v>
      </c>
      <c r="C399" s="1" t="n">
        <v>45966</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11516-2024</t>
        </is>
      </c>
      <c r="B400" s="1" t="n">
        <v>45372</v>
      </c>
      <c r="C400" s="1" t="n">
        <v>45966</v>
      </c>
      <c r="D400" t="inlineStr">
        <is>
          <t>ÖREBRO LÄN</t>
        </is>
      </c>
      <c r="E400" t="inlineStr">
        <is>
          <t>ÖREBRO</t>
        </is>
      </c>
      <c r="G400" t="n">
        <v>10.7</v>
      </c>
      <c r="H400" t="n">
        <v>0</v>
      </c>
      <c r="I400" t="n">
        <v>0</v>
      </c>
      <c r="J400" t="n">
        <v>0</v>
      </c>
      <c r="K400" t="n">
        <v>0</v>
      </c>
      <c r="L400" t="n">
        <v>0</v>
      </c>
      <c r="M400" t="n">
        <v>0</v>
      </c>
      <c r="N400" t="n">
        <v>0</v>
      </c>
      <c r="O400" t="n">
        <v>0</v>
      </c>
      <c r="P400" t="n">
        <v>0</v>
      </c>
      <c r="Q400" t="n">
        <v>0</v>
      </c>
      <c r="R400" s="2" t="inlineStr"/>
    </row>
    <row r="401" ht="15" customHeight="1">
      <c r="A401" t="inlineStr">
        <is>
          <t>A 16958-2022</t>
        </is>
      </c>
      <c r="B401" s="1" t="n">
        <v>44676.50481481481</v>
      </c>
      <c r="C401" s="1" t="n">
        <v>45966</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5338-2024</t>
        </is>
      </c>
      <c r="B402" s="1" t="n">
        <v>45331</v>
      </c>
      <c r="C402" s="1" t="n">
        <v>45966</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4970-2022</t>
        </is>
      </c>
      <c r="B403" s="1" t="n">
        <v>44593.51175925926</v>
      </c>
      <c r="C403" s="1" t="n">
        <v>45966</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25578-2025</t>
        </is>
      </c>
      <c r="B404" s="1" t="n">
        <v>45803.47803240741</v>
      </c>
      <c r="C404" s="1" t="n">
        <v>45966</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54205-2025</t>
        </is>
      </c>
      <c r="B405" s="1" t="n">
        <v>45964.58512731481</v>
      </c>
      <c r="C405" s="1" t="n">
        <v>45966</v>
      </c>
      <c r="D405" t="inlineStr">
        <is>
          <t>ÖREBRO LÄN</t>
        </is>
      </c>
      <c r="E405" t="inlineStr">
        <is>
          <t>ÖREBRO</t>
        </is>
      </c>
      <c r="G405" t="n">
        <v>24.3</v>
      </c>
      <c r="H405" t="n">
        <v>0</v>
      </c>
      <c r="I405" t="n">
        <v>0</v>
      </c>
      <c r="J405" t="n">
        <v>0</v>
      </c>
      <c r="K405" t="n">
        <v>0</v>
      </c>
      <c r="L405" t="n">
        <v>0</v>
      </c>
      <c r="M405" t="n">
        <v>0</v>
      </c>
      <c r="N405" t="n">
        <v>0</v>
      </c>
      <c r="O405" t="n">
        <v>0</v>
      </c>
      <c r="P405" t="n">
        <v>0</v>
      </c>
      <c r="Q405" t="n">
        <v>0</v>
      </c>
      <c r="R405" s="2" t="inlineStr"/>
    </row>
    <row r="406" ht="15" customHeight="1">
      <c r="A406" t="inlineStr">
        <is>
          <t>A 13657-2025</t>
        </is>
      </c>
      <c r="B406" s="1" t="n">
        <v>45736.7427662037</v>
      </c>
      <c r="C406" s="1" t="n">
        <v>45966</v>
      </c>
      <c r="D406" t="inlineStr">
        <is>
          <t>ÖREBRO LÄN</t>
        </is>
      </c>
      <c r="E406" t="inlineStr">
        <is>
          <t>ÖREBRO</t>
        </is>
      </c>
      <c r="G406" t="n">
        <v>3.8</v>
      </c>
      <c r="H406" t="n">
        <v>0</v>
      </c>
      <c r="I406" t="n">
        <v>0</v>
      </c>
      <c r="J406" t="n">
        <v>0</v>
      </c>
      <c r="K406" t="n">
        <v>0</v>
      </c>
      <c r="L406" t="n">
        <v>0</v>
      </c>
      <c r="M406" t="n">
        <v>0</v>
      </c>
      <c r="N406" t="n">
        <v>0</v>
      </c>
      <c r="O406" t="n">
        <v>0</v>
      </c>
      <c r="P406" t="n">
        <v>0</v>
      </c>
      <c r="Q406" t="n">
        <v>0</v>
      </c>
      <c r="R406" s="2" t="inlineStr"/>
    </row>
    <row r="407" ht="15" customHeight="1">
      <c r="A407" t="inlineStr">
        <is>
          <t>A 9314-2023</t>
        </is>
      </c>
      <c r="B407" s="1" t="n">
        <v>44980.67747685185</v>
      </c>
      <c r="C407" s="1" t="n">
        <v>45966</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25519-2025</t>
        </is>
      </c>
      <c r="B408" s="1" t="n">
        <v>45803.38447916666</v>
      </c>
      <c r="C408" s="1" t="n">
        <v>45966</v>
      </c>
      <c r="D408" t="inlineStr">
        <is>
          <t>ÖREBRO LÄN</t>
        </is>
      </c>
      <c r="E408" t="inlineStr">
        <is>
          <t>ÖREBRO</t>
        </is>
      </c>
      <c r="G408" t="n">
        <v>7.4</v>
      </c>
      <c r="H408" t="n">
        <v>0</v>
      </c>
      <c r="I408" t="n">
        <v>0</v>
      </c>
      <c r="J408" t="n">
        <v>0</v>
      </c>
      <c r="K408" t="n">
        <v>0</v>
      </c>
      <c r="L408" t="n">
        <v>0</v>
      </c>
      <c r="M408" t="n">
        <v>0</v>
      </c>
      <c r="N408" t="n">
        <v>0</v>
      </c>
      <c r="O408" t="n">
        <v>0</v>
      </c>
      <c r="P408" t="n">
        <v>0</v>
      </c>
      <c r="Q408" t="n">
        <v>0</v>
      </c>
      <c r="R408" s="2" t="inlineStr"/>
    </row>
    <row r="409" ht="15" customHeight="1">
      <c r="A409" t="inlineStr">
        <is>
          <t>A 58539-2024</t>
        </is>
      </c>
      <c r="B409" s="1" t="n">
        <v>45635.45157407408</v>
      </c>
      <c r="C409" s="1" t="n">
        <v>45966</v>
      </c>
      <c r="D409" t="inlineStr">
        <is>
          <t>ÖREBRO LÄN</t>
        </is>
      </c>
      <c r="E409" t="inlineStr">
        <is>
          <t>ÖREBRO</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6522-2023</t>
        </is>
      </c>
      <c r="B410" s="1" t="n">
        <v>44966</v>
      </c>
      <c r="C410" s="1" t="n">
        <v>45966</v>
      </c>
      <c r="D410" t="inlineStr">
        <is>
          <t>ÖREBRO LÄN</t>
        </is>
      </c>
      <c r="E410" t="inlineStr">
        <is>
          <t>ÖREBRO</t>
        </is>
      </c>
      <c r="G410" t="n">
        <v>4.4</v>
      </c>
      <c r="H410" t="n">
        <v>0</v>
      </c>
      <c r="I410" t="n">
        <v>0</v>
      </c>
      <c r="J410" t="n">
        <v>0</v>
      </c>
      <c r="K410" t="n">
        <v>0</v>
      </c>
      <c r="L410" t="n">
        <v>0</v>
      </c>
      <c r="M410" t="n">
        <v>0</v>
      </c>
      <c r="N410" t="n">
        <v>0</v>
      </c>
      <c r="O410" t="n">
        <v>0</v>
      </c>
      <c r="P410" t="n">
        <v>0</v>
      </c>
      <c r="Q410" t="n">
        <v>0</v>
      </c>
      <c r="R410" s="2" t="inlineStr"/>
    </row>
    <row r="411" ht="15" customHeight="1">
      <c r="A411" t="inlineStr">
        <is>
          <t>A 18449-2023</t>
        </is>
      </c>
      <c r="B411" s="1" t="n">
        <v>45042.5203125</v>
      </c>
      <c r="C411" s="1" t="n">
        <v>45966</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58532-2024</t>
        </is>
      </c>
      <c r="B412" s="1" t="n">
        <v>45635.44899305556</v>
      </c>
      <c r="C412" s="1" t="n">
        <v>45966</v>
      </c>
      <c r="D412" t="inlineStr">
        <is>
          <t>ÖREBRO LÄN</t>
        </is>
      </c>
      <c r="E412" t="inlineStr">
        <is>
          <t>ÖREBRO</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16736-2023</t>
        </is>
      </c>
      <c r="B413" s="1" t="n">
        <v>45030.72328703704</v>
      </c>
      <c r="C413" s="1" t="n">
        <v>45966</v>
      </c>
      <c r="D413" t="inlineStr">
        <is>
          <t>ÖREBRO LÄN</t>
        </is>
      </c>
      <c r="E413" t="inlineStr">
        <is>
          <t>ÖREBRO</t>
        </is>
      </c>
      <c r="G413" t="n">
        <v>4</v>
      </c>
      <c r="H413" t="n">
        <v>0</v>
      </c>
      <c r="I413" t="n">
        <v>0</v>
      </c>
      <c r="J413" t="n">
        <v>0</v>
      </c>
      <c r="K413" t="n">
        <v>0</v>
      </c>
      <c r="L413" t="n">
        <v>0</v>
      </c>
      <c r="M413" t="n">
        <v>0</v>
      </c>
      <c r="N413" t="n">
        <v>0</v>
      </c>
      <c r="O413" t="n">
        <v>0</v>
      </c>
      <c r="P413" t="n">
        <v>0</v>
      </c>
      <c r="Q413" t="n">
        <v>0</v>
      </c>
      <c r="R413" s="2" t="inlineStr"/>
    </row>
    <row r="414" ht="15" customHeight="1">
      <c r="A414" t="inlineStr">
        <is>
          <t>A 50375-2024</t>
        </is>
      </c>
      <c r="B414" s="1" t="n">
        <v>45601.29311342593</v>
      </c>
      <c r="C414" s="1" t="n">
        <v>45966</v>
      </c>
      <c r="D414" t="inlineStr">
        <is>
          <t>ÖREBRO LÄN</t>
        </is>
      </c>
      <c r="E414" t="inlineStr">
        <is>
          <t>ÖREBRO</t>
        </is>
      </c>
      <c r="G414" t="n">
        <v>5</v>
      </c>
      <c r="H414" t="n">
        <v>0</v>
      </c>
      <c r="I414" t="n">
        <v>0</v>
      </c>
      <c r="J414" t="n">
        <v>0</v>
      </c>
      <c r="K414" t="n">
        <v>0</v>
      </c>
      <c r="L414" t="n">
        <v>0</v>
      </c>
      <c r="M414" t="n">
        <v>0</v>
      </c>
      <c r="N414" t="n">
        <v>0</v>
      </c>
      <c r="O414" t="n">
        <v>0</v>
      </c>
      <c r="P414" t="n">
        <v>0</v>
      </c>
      <c r="Q414" t="n">
        <v>0</v>
      </c>
      <c r="R414" s="2" t="inlineStr"/>
    </row>
    <row r="415" ht="15" customHeight="1">
      <c r="A415" t="inlineStr">
        <is>
          <t>A 22045-2024</t>
        </is>
      </c>
      <c r="B415" s="1" t="n">
        <v>45443.61171296296</v>
      </c>
      <c r="C415" s="1" t="n">
        <v>45966</v>
      </c>
      <c r="D415" t="inlineStr">
        <is>
          <t>ÖREBRO LÄN</t>
        </is>
      </c>
      <c r="E415" t="inlineStr">
        <is>
          <t>ÖREBRO</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3-2024</t>
        </is>
      </c>
      <c r="B416" s="1" t="n">
        <v>45292</v>
      </c>
      <c r="C416" s="1" t="n">
        <v>45966</v>
      </c>
      <c r="D416" t="inlineStr">
        <is>
          <t>ÖREBRO LÄN</t>
        </is>
      </c>
      <c r="E416" t="inlineStr">
        <is>
          <t>ÖREBRO</t>
        </is>
      </c>
      <c r="G416" t="n">
        <v>2.7</v>
      </c>
      <c r="H416" t="n">
        <v>0</v>
      </c>
      <c r="I416" t="n">
        <v>0</v>
      </c>
      <c r="J416" t="n">
        <v>0</v>
      </c>
      <c r="K416" t="n">
        <v>0</v>
      </c>
      <c r="L416" t="n">
        <v>0</v>
      </c>
      <c r="M416" t="n">
        <v>0</v>
      </c>
      <c r="N416" t="n">
        <v>0</v>
      </c>
      <c r="O416" t="n">
        <v>0</v>
      </c>
      <c r="P416" t="n">
        <v>0</v>
      </c>
      <c r="Q416" t="n">
        <v>0</v>
      </c>
      <c r="R416" s="2" t="inlineStr"/>
    </row>
    <row r="417" ht="15" customHeight="1">
      <c r="A417" t="inlineStr">
        <is>
          <t>A 21306-2024</t>
        </is>
      </c>
      <c r="B417" s="1" t="n">
        <v>45440.67883101852</v>
      </c>
      <c r="C417" s="1" t="n">
        <v>45966</v>
      </c>
      <c r="D417" t="inlineStr">
        <is>
          <t>ÖREBRO LÄN</t>
        </is>
      </c>
      <c r="E417" t="inlineStr">
        <is>
          <t>ÖREBRO</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1257-2022</t>
        </is>
      </c>
      <c r="B418" s="1" t="n">
        <v>44572</v>
      </c>
      <c r="C418" s="1" t="n">
        <v>45966</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187-2024</t>
        </is>
      </c>
      <c r="B419" s="1" t="n">
        <v>45294</v>
      </c>
      <c r="C419" s="1" t="n">
        <v>45966</v>
      </c>
      <c r="D419" t="inlineStr">
        <is>
          <t>ÖREBRO LÄN</t>
        </is>
      </c>
      <c r="E419" t="inlineStr">
        <is>
          <t>ÖREBRO</t>
        </is>
      </c>
      <c r="G419" t="n">
        <v>5.9</v>
      </c>
      <c r="H419" t="n">
        <v>0</v>
      </c>
      <c r="I419" t="n">
        <v>0</v>
      </c>
      <c r="J419" t="n">
        <v>0</v>
      </c>
      <c r="K419" t="n">
        <v>0</v>
      </c>
      <c r="L419" t="n">
        <v>0</v>
      </c>
      <c r="M419" t="n">
        <v>0</v>
      </c>
      <c r="N419" t="n">
        <v>0</v>
      </c>
      <c r="O419" t="n">
        <v>0</v>
      </c>
      <c r="P419" t="n">
        <v>0</v>
      </c>
      <c r="Q419" t="n">
        <v>0</v>
      </c>
      <c r="R419" s="2" t="inlineStr"/>
    </row>
    <row r="420" ht="15" customHeight="1">
      <c r="A420" t="inlineStr">
        <is>
          <t>A 64730-2023</t>
        </is>
      </c>
      <c r="B420" s="1" t="n">
        <v>45281</v>
      </c>
      <c r="C420" s="1" t="n">
        <v>45966</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6869-2025</t>
        </is>
      </c>
      <c r="B421" s="1" t="n">
        <v>45700</v>
      </c>
      <c r="C421" s="1" t="n">
        <v>45966</v>
      </c>
      <c r="D421" t="inlineStr">
        <is>
          <t>ÖREBRO LÄN</t>
        </is>
      </c>
      <c r="E421" t="inlineStr">
        <is>
          <t>ÖREBRO</t>
        </is>
      </c>
      <c r="G421" t="n">
        <v>1.8</v>
      </c>
      <c r="H421" t="n">
        <v>0</v>
      </c>
      <c r="I421" t="n">
        <v>0</v>
      </c>
      <c r="J421" t="n">
        <v>0</v>
      </c>
      <c r="K421" t="n">
        <v>0</v>
      </c>
      <c r="L421" t="n">
        <v>0</v>
      </c>
      <c r="M421" t="n">
        <v>0</v>
      </c>
      <c r="N421" t="n">
        <v>0</v>
      </c>
      <c r="O421" t="n">
        <v>0</v>
      </c>
      <c r="P421" t="n">
        <v>0</v>
      </c>
      <c r="Q421" t="n">
        <v>0</v>
      </c>
      <c r="R421" s="2" t="inlineStr"/>
    </row>
    <row r="422" ht="15" customHeight="1">
      <c r="A422" t="inlineStr">
        <is>
          <t>A 4416-2023</t>
        </is>
      </c>
      <c r="B422" s="1" t="n">
        <v>44956</v>
      </c>
      <c r="C422" s="1" t="n">
        <v>45966</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16961-2022</t>
        </is>
      </c>
      <c r="B423" s="1" t="n">
        <v>44676</v>
      </c>
      <c r="C423" s="1" t="n">
        <v>45966</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17983-2025</t>
        </is>
      </c>
      <c r="B424" s="1" t="n">
        <v>45761.38829861111</v>
      </c>
      <c r="C424" s="1" t="n">
        <v>45966</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27180-2025</t>
        </is>
      </c>
      <c r="B425" s="1" t="n">
        <v>45812.35736111111</v>
      </c>
      <c r="C425" s="1" t="n">
        <v>45966</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27215-2025</t>
        </is>
      </c>
      <c r="B426" s="1" t="n">
        <v>45812.41869212963</v>
      </c>
      <c r="C426" s="1" t="n">
        <v>45966</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27225-2025</t>
        </is>
      </c>
      <c r="B427" s="1" t="n">
        <v>45812.42856481481</v>
      </c>
      <c r="C427" s="1" t="n">
        <v>45966</v>
      </c>
      <c r="D427" t="inlineStr">
        <is>
          <t>ÖREBRO LÄN</t>
        </is>
      </c>
      <c r="E427" t="inlineStr">
        <is>
          <t>ÖREBRO</t>
        </is>
      </c>
      <c r="G427" t="n">
        <v>4</v>
      </c>
      <c r="H427" t="n">
        <v>0</v>
      </c>
      <c r="I427" t="n">
        <v>0</v>
      </c>
      <c r="J427" t="n">
        <v>0</v>
      </c>
      <c r="K427" t="n">
        <v>0</v>
      </c>
      <c r="L427" t="n">
        <v>0</v>
      </c>
      <c r="M427" t="n">
        <v>0</v>
      </c>
      <c r="N427" t="n">
        <v>0</v>
      </c>
      <c r="O427" t="n">
        <v>0</v>
      </c>
      <c r="P427" t="n">
        <v>0</v>
      </c>
      <c r="Q427" t="n">
        <v>0</v>
      </c>
      <c r="R427" s="2" t="inlineStr"/>
    </row>
    <row r="428" ht="15" customHeight="1">
      <c r="A428" t="inlineStr">
        <is>
          <t>A 23594-2023</t>
        </is>
      </c>
      <c r="B428" s="1" t="n">
        <v>45077</v>
      </c>
      <c r="C428" s="1" t="n">
        <v>45966</v>
      </c>
      <c r="D428" t="inlineStr">
        <is>
          <t>ÖREBRO LÄN</t>
        </is>
      </c>
      <c r="E428" t="inlineStr">
        <is>
          <t>ÖREBRO</t>
        </is>
      </c>
      <c r="G428" t="n">
        <v>9.9</v>
      </c>
      <c r="H428" t="n">
        <v>0</v>
      </c>
      <c r="I428" t="n">
        <v>0</v>
      </c>
      <c r="J428" t="n">
        <v>0</v>
      </c>
      <c r="K428" t="n">
        <v>0</v>
      </c>
      <c r="L428" t="n">
        <v>0</v>
      </c>
      <c r="M428" t="n">
        <v>0</v>
      </c>
      <c r="N428" t="n">
        <v>0</v>
      </c>
      <c r="O428" t="n">
        <v>0</v>
      </c>
      <c r="P428" t="n">
        <v>0</v>
      </c>
      <c r="Q428" t="n">
        <v>0</v>
      </c>
      <c r="R428" s="2" t="inlineStr"/>
    </row>
    <row r="429" ht="15" customHeight="1">
      <c r="A429" t="inlineStr">
        <is>
          <t>A 13762-2023</t>
        </is>
      </c>
      <c r="B429" s="1" t="n">
        <v>45007.43729166667</v>
      </c>
      <c r="C429" s="1" t="n">
        <v>45966</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52444-2024</t>
        </is>
      </c>
      <c r="B430" s="1" t="n">
        <v>45609.48894675926</v>
      </c>
      <c r="C430" s="1" t="n">
        <v>45966</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41995-2024</t>
        </is>
      </c>
      <c r="B431" s="1" t="n">
        <v>45561.6475462963</v>
      </c>
      <c r="C431" s="1" t="n">
        <v>45966</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27220-2025</t>
        </is>
      </c>
      <c r="B432" s="1" t="n">
        <v>45812.42293981482</v>
      </c>
      <c r="C432" s="1" t="n">
        <v>45966</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25996-2024</t>
        </is>
      </c>
      <c r="B433" s="1" t="n">
        <v>45467.89081018518</v>
      </c>
      <c r="C433" s="1" t="n">
        <v>45966</v>
      </c>
      <c r="D433" t="inlineStr">
        <is>
          <t>ÖREBRO LÄN</t>
        </is>
      </c>
      <c r="E433" t="inlineStr">
        <is>
          <t>ÖREBRO</t>
        </is>
      </c>
      <c r="G433" t="n">
        <v>4.7</v>
      </c>
      <c r="H433" t="n">
        <v>0</v>
      </c>
      <c r="I433" t="n">
        <v>0</v>
      </c>
      <c r="J433" t="n">
        <v>0</v>
      </c>
      <c r="K433" t="n">
        <v>0</v>
      </c>
      <c r="L433" t="n">
        <v>0</v>
      </c>
      <c r="M433" t="n">
        <v>0</v>
      </c>
      <c r="N433" t="n">
        <v>0</v>
      </c>
      <c r="O433" t="n">
        <v>0</v>
      </c>
      <c r="P433" t="n">
        <v>0</v>
      </c>
      <c r="Q433" t="n">
        <v>0</v>
      </c>
      <c r="R433" s="2" t="inlineStr"/>
    </row>
    <row r="434" ht="15" customHeight="1">
      <c r="A434" t="inlineStr">
        <is>
          <t>A 60022-2024</t>
        </is>
      </c>
      <c r="B434" s="1" t="n">
        <v>45642</v>
      </c>
      <c r="C434" s="1" t="n">
        <v>45966</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8571-2021</t>
        </is>
      </c>
      <c r="B435" s="1" t="n">
        <v>44245</v>
      </c>
      <c r="C435" s="1" t="n">
        <v>45966</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7611-2024</t>
        </is>
      </c>
      <c r="B436" s="1" t="n">
        <v>45348.58864583333</v>
      </c>
      <c r="C436" s="1" t="n">
        <v>45966</v>
      </c>
      <c r="D436" t="inlineStr">
        <is>
          <t>ÖREBRO LÄN</t>
        </is>
      </c>
      <c r="E436" t="inlineStr">
        <is>
          <t>ÖREBRO</t>
        </is>
      </c>
      <c r="G436" t="n">
        <v>4.2</v>
      </c>
      <c r="H436" t="n">
        <v>0</v>
      </c>
      <c r="I436" t="n">
        <v>0</v>
      </c>
      <c r="J436" t="n">
        <v>0</v>
      </c>
      <c r="K436" t="n">
        <v>0</v>
      </c>
      <c r="L436" t="n">
        <v>0</v>
      </c>
      <c r="M436" t="n">
        <v>0</v>
      </c>
      <c r="N436" t="n">
        <v>0</v>
      </c>
      <c r="O436" t="n">
        <v>0</v>
      </c>
      <c r="P436" t="n">
        <v>0</v>
      </c>
      <c r="Q436" t="n">
        <v>0</v>
      </c>
      <c r="R436" s="2" t="inlineStr"/>
    </row>
    <row r="437" ht="15" customHeight="1">
      <c r="A437" t="inlineStr">
        <is>
          <t>A 10470-2025</t>
        </is>
      </c>
      <c r="B437" s="1" t="n">
        <v>45720</v>
      </c>
      <c r="C437" s="1" t="n">
        <v>45966</v>
      </c>
      <c r="D437" t="inlineStr">
        <is>
          <t>ÖREBRO LÄN</t>
        </is>
      </c>
      <c r="E437" t="inlineStr">
        <is>
          <t>ÖREBRO</t>
        </is>
      </c>
      <c r="G437" t="n">
        <v>11.5</v>
      </c>
      <c r="H437" t="n">
        <v>0</v>
      </c>
      <c r="I437" t="n">
        <v>0</v>
      </c>
      <c r="J437" t="n">
        <v>0</v>
      </c>
      <c r="K437" t="n">
        <v>0</v>
      </c>
      <c r="L437" t="n">
        <v>0</v>
      </c>
      <c r="M437" t="n">
        <v>0</v>
      </c>
      <c r="N437" t="n">
        <v>0</v>
      </c>
      <c r="O437" t="n">
        <v>0</v>
      </c>
      <c r="P437" t="n">
        <v>0</v>
      </c>
      <c r="Q437" t="n">
        <v>0</v>
      </c>
      <c r="R437" s="2" t="inlineStr"/>
    </row>
    <row r="438" ht="15" customHeight="1">
      <c r="A438" t="inlineStr">
        <is>
          <t>A 28120-2025</t>
        </is>
      </c>
      <c r="B438" s="1" t="n">
        <v>45818.30459490741</v>
      </c>
      <c r="C438" s="1" t="n">
        <v>45966</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52623-2024</t>
        </is>
      </c>
      <c r="B439" s="1" t="n">
        <v>45609</v>
      </c>
      <c r="C439" s="1" t="n">
        <v>45966</v>
      </c>
      <c r="D439" t="inlineStr">
        <is>
          <t>ÖREBRO LÄN</t>
        </is>
      </c>
      <c r="E439" t="inlineStr">
        <is>
          <t>ÖREBRO</t>
        </is>
      </c>
      <c r="F439" t="inlineStr">
        <is>
          <t>Kommuner</t>
        </is>
      </c>
      <c r="G439" t="n">
        <v>1.7</v>
      </c>
      <c r="H439" t="n">
        <v>0</v>
      </c>
      <c r="I439" t="n">
        <v>0</v>
      </c>
      <c r="J439" t="n">
        <v>0</v>
      </c>
      <c r="K439" t="n">
        <v>0</v>
      </c>
      <c r="L439" t="n">
        <v>0</v>
      </c>
      <c r="M439" t="n">
        <v>0</v>
      </c>
      <c r="N439" t="n">
        <v>0</v>
      </c>
      <c r="O439" t="n">
        <v>0</v>
      </c>
      <c r="P439" t="n">
        <v>0</v>
      </c>
      <c r="Q439" t="n">
        <v>0</v>
      </c>
      <c r="R439" s="2" t="inlineStr"/>
    </row>
    <row r="440" ht="15" customHeight="1">
      <c r="A440" t="inlineStr">
        <is>
          <t>A 15789-2023</t>
        </is>
      </c>
      <c r="B440" s="1" t="n">
        <v>45021.71539351852</v>
      </c>
      <c r="C440" s="1" t="n">
        <v>45966</v>
      </c>
      <c r="D440" t="inlineStr">
        <is>
          <t>ÖREBRO LÄN</t>
        </is>
      </c>
      <c r="E440" t="inlineStr">
        <is>
          <t>ÖREBRO</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52612-2024</t>
        </is>
      </c>
      <c r="B441" s="1" t="n">
        <v>45609</v>
      </c>
      <c r="C441" s="1" t="n">
        <v>45966</v>
      </c>
      <c r="D441" t="inlineStr">
        <is>
          <t>ÖREBRO LÄN</t>
        </is>
      </c>
      <c r="E441" t="inlineStr">
        <is>
          <t>ÖREBRO</t>
        </is>
      </c>
      <c r="F441" t="inlineStr">
        <is>
          <t>Kommuner</t>
        </is>
      </c>
      <c r="G441" t="n">
        <v>5.5</v>
      </c>
      <c r="H441" t="n">
        <v>0</v>
      </c>
      <c r="I441" t="n">
        <v>0</v>
      </c>
      <c r="J441" t="n">
        <v>0</v>
      </c>
      <c r="K441" t="n">
        <v>0</v>
      </c>
      <c r="L441" t="n">
        <v>0</v>
      </c>
      <c r="M441" t="n">
        <v>0</v>
      </c>
      <c r="N441" t="n">
        <v>0</v>
      </c>
      <c r="O441" t="n">
        <v>0</v>
      </c>
      <c r="P441" t="n">
        <v>0</v>
      </c>
      <c r="Q441" t="n">
        <v>0</v>
      </c>
      <c r="R441" s="2" t="inlineStr"/>
    </row>
    <row r="442" ht="15" customHeight="1">
      <c r="A442" t="inlineStr">
        <is>
          <t>A 37786-2024</t>
        </is>
      </c>
      <c r="B442" s="1" t="n">
        <v>45542.82987268519</v>
      </c>
      <c r="C442" s="1" t="n">
        <v>45966</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55875-2024</t>
        </is>
      </c>
      <c r="B443" s="1" t="n">
        <v>45623.55375</v>
      </c>
      <c r="C443" s="1" t="n">
        <v>45966</v>
      </c>
      <c r="D443" t="inlineStr">
        <is>
          <t>ÖREBRO LÄN</t>
        </is>
      </c>
      <c r="E443" t="inlineStr">
        <is>
          <t>ÖREBRO</t>
        </is>
      </c>
      <c r="G443" t="n">
        <v>3.5</v>
      </c>
      <c r="H443" t="n">
        <v>0</v>
      </c>
      <c r="I443" t="n">
        <v>0</v>
      </c>
      <c r="J443" t="n">
        <v>0</v>
      </c>
      <c r="K443" t="n">
        <v>0</v>
      </c>
      <c r="L443" t="n">
        <v>0</v>
      </c>
      <c r="M443" t="n">
        <v>0</v>
      </c>
      <c r="N443" t="n">
        <v>0</v>
      </c>
      <c r="O443" t="n">
        <v>0</v>
      </c>
      <c r="P443" t="n">
        <v>0</v>
      </c>
      <c r="Q443" t="n">
        <v>0</v>
      </c>
      <c r="R443" s="2" t="inlineStr"/>
    </row>
    <row r="444" ht="15" customHeight="1">
      <c r="A444" t="inlineStr">
        <is>
          <t>A 28938-2025</t>
        </is>
      </c>
      <c r="B444" s="1" t="n">
        <v>45820.70626157407</v>
      </c>
      <c r="C444" s="1" t="n">
        <v>45966</v>
      </c>
      <c r="D444" t="inlineStr">
        <is>
          <t>ÖREBRO LÄN</t>
        </is>
      </c>
      <c r="E444" t="inlineStr">
        <is>
          <t>ÖREBRO</t>
        </is>
      </c>
      <c r="G444" t="n">
        <v>1.9</v>
      </c>
      <c r="H444" t="n">
        <v>0</v>
      </c>
      <c r="I444" t="n">
        <v>0</v>
      </c>
      <c r="J444" t="n">
        <v>0</v>
      </c>
      <c r="K444" t="n">
        <v>0</v>
      </c>
      <c r="L444" t="n">
        <v>0</v>
      </c>
      <c r="M444" t="n">
        <v>0</v>
      </c>
      <c r="N444" t="n">
        <v>0</v>
      </c>
      <c r="O444" t="n">
        <v>0</v>
      </c>
      <c r="P444" t="n">
        <v>0</v>
      </c>
      <c r="Q444" t="n">
        <v>0</v>
      </c>
      <c r="R444" s="2" t="inlineStr"/>
    </row>
    <row r="445" ht="15" customHeight="1">
      <c r="A445" t="inlineStr">
        <is>
          <t>A 50026-2024</t>
        </is>
      </c>
      <c r="B445" s="1" t="n">
        <v>45599.60541666667</v>
      </c>
      <c r="C445" s="1" t="n">
        <v>45966</v>
      </c>
      <c r="D445" t="inlineStr">
        <is>
          <t>ÖREBRO LÄN</t>
        </is>
      </c>
      <c r="E445" t="inlineStr">
        <is>
          <t>ÖREBRO</t>
        </is>
      </c>
      <c r="G445" t="n">
        <v>2.2</v>
      </c>
      <c r="H445" t="n">
        <v>0</v>
      </c>
      <c r="I445" t="n">
        <v>0</v>
      </c>
      <c r="J445" t="n">
        <v>0</v>
      </c>
      <c r="K445" t="n">
        <v>0</v>
      </c>
      <c r="L445" t="n">
        <v>0</v>
      </c>
      <c r="M445" t="n">
        <v>0</v>
      </c>
      <c r="N445" t="n">
        <v>0</v>
      </c>
      <c r="O445" t="n">
        <v>0</v>
      </c>
      <c r="P445" t="n">
        <v>0</v>
      </c>
      <c r="Q445" t="n">
        <v>0</v>
      </c>
      <c r="R445" s="2" t="inlineStr"/>
    </row>
    <row r="446" ht="15" customHeight="1">
      <c r="A446" t="inlineStr">
        <is>
          <t>A 3841-2023</t>
        </is>
      </c>
      <c r="B446" s="1" t="n">
        <v>44951</v>
      </c>
      <c r="C446" s="1" t="n">
        <v>45966</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28920-2025</t>
        </is>
      </c>
      <c r="B447" s="1" t="n">
        <v>45820.66532407407</v>
      </c>
      <c r="C447" s="1" t="n">
        <v>45966</v>
      </c>
      <c r="D447" t="inlineStr">
        <is>
          <t>ÖREBRO LÄN</t>
        </is>
      </c>
      <c r="E447" t="inlineStr">
        <is>
          <t>ÖREBRO</t>
        </is>
      </c>
      <c r="G447" t="n">
        <v>3</v>
      </c>
      <c r="H447" t="n">
        <v>0</v>
      </c>
      <c r="I447" t="n">
        <v>0</v>
      </c>
      <c r="J447" t="n">
        <v>0</v>
      </c>
      <c r="K447" t="n">
        <v>0</v>
      </c>
      <c r="L447" t="n">
        <v>0</v>
      </c>
      <c r="M447" t="n">
        <v>0</v>
      </c>
      <c r="N447" t="n">
        <v>0</v>
      </c>
      <c r="O447" t="n">
        <v>0</v>
      </c>
      <c r="P447" t="n">
        <v>0</v>
      </c>
      <c r="Q447" t="n">
        <v>0</v>
      </c>
      <c r="R447" s="2" t="inlineStr"/>
    </row>
    <row r="448" ht="15" customHeight="1">
      <c r="A448" t="inlineStr">
        <is>
          <t>A 29339-2025</t>
        </is>
      </c>
      <c r="B448" s="1" t="n">
        <v>45824.5044212963</v>
      </c>
      <c r="C448" s="1" t="n">
        <v>45966</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60059-2023</t>
        </is>
      </c>
      <c r="B449" s="1" t="n">
        <v>45258.38157407408</v>
      </c>
      <c r="C449" s="1" t="n">
        <v>45966</v>
      </c>
      <c r="D449" t="inlineStr">
        <is>
          <t>ÖREBRO LÄN</t>
        </is>
      </c>
      <c r="E449" t="inlineStr">
        <is>
          <t>ÖREBRO</t>
        </is>
      </c>
      <c r="G449" t="n">
        <v>4</v>
      </c>
      <c r="H449" t="n">
        <v>0</v>
      </c>
      <c r="I449" t="n">
        <v>0</v>
      </c>
      <c r="J449" t="n">
        <v>0</v>
      </c>
      <c r="K449" t="n">
        <v>0</v>
      </c>
      <c r="L449" t="n">
        <v>0</v>
      </c>
      <c r="M449" t="n">
        <v>0</v>
      </c>
      <c r="N449" t="n">
        <v>0</v>
      </c>
      <c r="O449" t="n">
        <v>0</v>
      </c>
      <c r="P449" t="n">
        <v>0</v>
      </c>
      <c r="Q449" t="n">
        <v>0</v>
      </c>
      <c r="R449" s="2" t="inlineStr"/>
    </row>
    <row r="450" ht="15" customHeight="1">
      <c r="A450" t="inlineStr">
        <is>
          <t>A 26858-2024</t>
        </is>
      </c>
      <c r="B450" s="1" t="n">
        <v>45470</v>
      </c>
      <c r="C450" s="1" t="n">
        <v>45966</v>
      </c>
      <c r="D450" t="inlineStr">
        <is>
          <t>ÖREBRO LÄN</t>
        </is>
      </c>
      <c r="E450" t="inlineStr">
        <is>
          <t>ÖREBRO</t>
        </is>
      </c>
      <c r="G450" t="n">
        <v>2.3</v>
      </c>
      <c r="H450" t="n">
        <v>0</v>
      </c>
      <c r="I450" t="n">
        <v>0</v>
      </c>
      <c r="J450" t="n">
        <v>0</v>
      </c>
      <c r="K450" t="n">
        <v>0</v>
      </c>
      <c r="L450" t="n">
        <v>0</v>
      </c>
      <c r="M450" t="n">
        <v>0</v>
      </c>
      <c r="N450" t="n">
        <v>0</v>
      </c>
      <c r="O450" t="n">
        <v>0</v>
      </c>
      <c r="P450" t="n">
        <v>0</v>
      </c>
      <c r="Q450" t="n">
        <v>0</v>
      </c>
      <c r="R450" s="2" t="inlineStr"/>
    </row>
    <row r="451" ht="15" customHeight="1">
      <c r="A451" t="inlineStr">
        <is>
          <t>A 49215-2023</t>
        </is>
      </c>
      <c r="B451" s="1" t="n">
        <v>45210.61050925926</v>
      </c>
      <c r="C451" s="1" t="n">
        <v>45966</v>
      </c>
      <c r="D451" t="inlineStr">
        <is>
          <t>ÖREBRO LÄN</t>
        </is>
      </c>
      <c r="E451" t="inlineStr">
        <is>
          <t>ÖREBRO</t>
        </is>
      </c>
      <c r="F451" t="inlineStr">
        <is>
          <t>Övriga Aktiebolag</t>
        </is>
      </c>
      <c r="G451" t="n">
        <v>4.2</v>
      </c>
      <c r="H451" t="n">
        <v>0</v>
      </c>
      <c r="I451" t="n">
        <v>0</v>
      </c>
      <c r="J451" t="n">
        <v>0</v>
      </c>
      <c r="K451" t="n">
        <v>0</v>
      </c>
      <c r="L451" t="n">
        <v>0</v>
      </c>
      <c r="M451" t="n">
        <v>0</v>
      </c>
      <c r="N451" t="n">
        <v>0</v>
      </c>
      <c r="O451" t="n">
        <v>0</v>
      </c>
      <c r="P451" t="n">
        <v>0</v>
      </c>
      <c r="Q451" t="n">
        <v>0</v>
      </c>
      <c r="R451" s="2" t="inlineStr"/>
    </row>
    <row r="452" ht="15" customHeight="1">
      <c r="A452" t="inlineStr">
        <is>
          <t>A 62794-2021</t>
        </is>
      </c>
      <c r="B452" s="1" t="n">
        <v>44504</v>
      </c>
      <c r="C452" s="1" t="n">
        <v>45966</v>
      </c>
      <c r="D452" t="inlineStr">
        <is>
          <t>ÖREBRO LÄN</t>
        </is>
      </c>
      <c r="E452" t="inlineStr">
        <is>
          <t>ÖREBRO</t>
        </is>
      </c>
      <c r="G452" t="n">
        <v>3.3</v>
      </c>
      <c r="H452" t="n">
        <v>0</v>
      </c>
      <c r="I452" t="n">
        <v>0</v>
      </c>
      <c r="J452" t="n">
        <v>0</v>
      </c>
      <c r="K452" t="n">
        <v>0</v>
      </c>
      <c r="L452" t="n">
        <v>0</v>
      </c>
      <c r="M452" t="n">
        <v>0</v>
      </c>
      <c r="N452" t="n">
        <v>0</v>
      </c>
      <c r="O452" t="n">
        <v>0</v>
      </c>
      <c r="P452" t="n">
        <v>0</v>
      </c>
      <c r="Q452" t="n">
        <v>0</v>
      </c>
      <c r="R452" s="2" t="inlineStr"/>
    </row>
    <row r="453" ht="15" customHeight="1">
      <c r="A453" t="inlineStr">
        <is>
          <t>A 19180-2025</t>
        </is>
      </c>
      <c r="B453" s="1" t="n">
        <v>45769.40133101852</v>
      </c>
      <c r="C453" s="1" t="n">
        <v>45966</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29701-2025</t>
        </is>
      </c>
      <c r="B454" s="1" t="n">
        <v>45825.55261574074</v>
      </c>
      <c r="C454" s="1" t="n">
        <v>45966</v>
      </c>
      <c r="D454" t="inlineStr">
        <is>
          <t>ÖREBRO LÄN</t>
        </is>
      </c>
      <c r="E454" t="inlineStr">
        <is>
          <t>ÖREBRO</t>
        </is>
      </c>
      <c r="G454" t="n">
        <v>5.8</v>
      </c>
      <c r="H454" t="n">
        <v>0</v>
      </c>
      <c r="I454" t="n">
        <v>0</v>
      </c>
      <c r="J454" t="n">
        <v>0</v>
      </c>
      <c r="K454" t="n">
        <v>0</v>
      </c>
      <c r="L454" t="n">
        <v>0</v>
      </c>
      <c r="M454" t="n">
        <v>0</v>
      </c>
      <c r="N454" t="n">
        <v>0</v>
      </c>
      <c r="O454" t="n">
        <v>0</v>
      </c>
      <c r="P454" t="n">
        <v>0</v>
      </c>
      <c r="Q454" t="n">
        <v>0</v>
      </c>
      <c r="R454" s="2" t="inlineStr"/>
    </row>
    <row r="455" ht="15" customHeight="1">
      <c r="A455" t="inlineStr">
        <is>
          <t>A 29286-2025</t>
        </is>
      </c>
      <c r="B455" s="1" t="n">
        <v>45824.43502314815</v>
      </c>
      <c r="C455" s="1" t="n">
        <v>45966</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43399-2022</t>
        </is>
      </c>
      <c r="B456" s="1" t="n">
        <v>44834</v>
      </c>
      <c r="C456" s="1" t="n">
        <v>45966</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58684-2023</t>
        </is>
      </c>
      <c r="B457" s="1" t="n">
        <v>45251</v>
      </c>
      <c r="C457" s="1" t="n">
        <v>45966</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37771-2024</t>
        </is>
      </c>
      <c r="B458" s="1" t="n">
        <v>45542.31359953704</v>
      </c>
      <c r="C458" s="1" t="n">
        <v>45966</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19553-2023</t>
        </is>
      </c>
      <c r="B459" s="1" t="n">
        <v>45050</v>
      </c>
      <c r="C459" s="1" t="n">
        <v>45966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14291-2023</t>
        </is>
      </c>
      <c r="B460" s="1" t="n">
        <v>45010</v>
      </c>
      <c r="C460" s="1" t="n">
        <v>45966</v>
      </c>
      <c r="D460" t="inlineStr">
        <is>
          <t>ÖREBRO LÄN</t>
        </is>
      </c>
      <c r="E460" t="inlineStr">
        <is>
          <t>ÖREBRO</t>
        </is>
      </c>
      <c r="G460" t="n">
        <v>0.8</v>
      </c>
      <c r="H460" t="n">
        <v>0</v>
      </c>
      <c r="I460" t="n">
        <v>0</v>
      </c>
      <c r="J460" t="n">
        <v>0</v>
      </c>
      <c r="K460" t="n">
        <v>0</v>
      </c>
      <c r="L460" t="n">
        <v>0</v>
      </c>
      <c r="M460" t="n">
        <v>0</v>
      </c>
      <c r="N460" t="n">
        <v>0</v>
      </c>
      <c r="O460" t="n">
        <v>0</v>
      </c>
      <c r="P460" t="n">
        <v>0</v>
      </c>
      <c r="Q460" t="n">
        <v>0</v>
      </c>
      <c r="R460" s="2" t="inlineStr"/>
    </row>
    <row r="461" ht="15" customHeight="1">
      <c r="A461" t="inlineStr">
        <is>
          <t>A 30550-2025</t>
        </is>
      </c>
      <c r="B461" s="1" t="n">
        <v>45831.38224537037</v>
      </c>
      <c r="C461" s="1" t="n">
        <v>45966</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58527-2024</t>
        </is>
      </c>
      <c r="B462" s="1" t="n">
        <v>45635.44388888889</v>
      </c>
      <c r="C462" s="1" t="n">
        <v>45966</v>
      </c>
      <c r="D462" t="inlineStr">
        <is>
          <t>ÖREBRO LÄN</t>
        </is>
      </c>
      <c r="E462" t="inlineStr">
        <is>
          <t>ÖREBRO</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55593-2022</t>
        </is>
      </c>
      <c r="B463" s="1" t="n">
        <v>44888</v>
      </c>
      <c r="C463" s="1" t="n">
        <v>45966</v>
      </c>
      <c r="D463" t="inlineStr">
        <is>
          <t>ÖREBRO LÄN</t>
        </is>
      </c>
      <c r="E463" t="inlineStr">
        <is>
          <t>ÖREBRO</t>
        </is>
      </c>
      <c r="G463" t="n">
        <v>3.6</v>
      </c>
      <c r="H463" t="n">
        <v>0</v>
      </c>
      <c r="I463" t="n">
        <v>0</v>
      </c>
      <c r="J463" t="n">
        <v>0</v>
      </c>
      <c r="K463" t="n">
        <v>0</v>
      </c>
      <c r="L463" t="n">
        <v>0</v>
      </c>
      <c r="M463" t="n">
        <v>0</v>
      </c>
      <c r="N463" t="n">
        <v>0</v>
      </c>
      <c r="O463" t="n">
        <v>0</v>
      </c>
      <c r="P463" t="n">
        <v>0</v>
      </c>
      <c r="Q463" t="n">
        <v>0</v>
      </c>
      <c r="R463" s="2" t="inlineStr"/>
    </row>
    <row r="464" ht="15" customHeight="1">
      <c r="A464" t="inlineStr">
        <is>
          <t>A 30731-2025</t>
        </is>
      </c>
      <c r="B464" s="1" t="n">
        <v>45831.57280092593</v>
      </c>
      <c r="C464" s="1" t="n">
        <v>45966</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71288-2021</t>
        </is>
      </c>
      <c r="B465" s="1" t="n">
        <v>44539.62481481482</v>
      </c>
      <c r="C465" s="1" t="n">
        <v>45966</v>
      </c>
      <c r="D465" t="inlineStr">
        <is>
          <t>ÖREBRO LÄN</t>
        </is>
      </c>
      <c r="E465" t="inlineStr">
        <is>
          <t>ÖREBRO</t>
        </is>
      </c>
      <c r="G465" t="n">
        <v>3.9</v>
      </c>
      <c r="H465" t="n">
        <v>0</v>
      </c>
      <c r="I465" t="n">
        <v>0</v>
      </c>
      <c r="J465" t="n">
        <v>0</v>
      </c>
      <c r="K465" t="n">
        <v>0</v>
      </c>
      <c r="L465" t="n">
        <v>0</v>
      </c>
      <c r="M465" t="n">
        <v>0</v>
      </c>
      <c r="N465" t="n">
        <v>0</v>
      </c>
      <c r="O465" t="n">
        <v>0</v>
      </c>
      <c r="P465" t="n">
        <v>0</v>
      </c>
      <c r="Q465" t="n">
        <v>0</v>
      </c>
      <c r="R465" s="2" t="inlineStr"/>
    </row>
    <row r="466" ht="15" customHeight="1">
      <c r="A466" t="inlineStr">
        <is>
          <t>A 31232-2025</t>
        </is>
      </c>
      <c r="B466" s="1" t="n">
        <v>45832.8252199074</v>
      </c>
      <c r="C466" s="1" t="n">
        <v>45966</v>
      </c>
      <c r="D466" t="inlineStr">
        <is>
          <t>ÖREBRO LÄN</t>
        </is>
      </c>
      <c r="E466" t="inlineStr">
        <is>
          <t>ÖREBRO</t>
        </is>
      </c>
      <c r="F466" t="inlineStr">
        <is>
          <t>Övriga Aktiebolag</t>
        </is>
      </c>
      <c r="G466" t="n">
        <v>2.1</v>
      </c>
      <c r="H466" t="n">
        <v>0</v>
      </c>
      <c r="I466" t="n">
        <v>0</v>
      </c>
      <c r="J466" t="n">
        <v>0</v>
      </c>
      <c r="K466" t="n">
        <v>0</v>
      </c>
      <c r="L466" t="n">
        <v>0</v>
      </c>
      <c r="M466" t="n">
        <v>0</v>
      </c>
      <c r="N466" t="n">
        <v>0</v>
      </c>
      <c r="O466" t="n">
        <v>0</v>
      </c>
      <c r="P466" t="n">
        <v>0</v>
      </c>
      <c r="Q466" t="n">
        <v>0</v>
      </c>
      <c r="R466" s="2" t="inlineStr"/>
    </row>
    <row r="467" ht="15" customHeight="1">
      <c r="A467" t="inlineStr">
        <is>
          <t>A 30951-2025</t>
        </is>
      </c>
      <c r="B467" s="1" t="n">
        <v>45832.43225694444</v>
      </c>
      <c r="C467" s="1" t="n">
        <v>45966</v>
      </c>
      <c r="D467" t="inlineStr">
        <is>
          <t>ÖREBRO LÄN</t>
        </is>
      </c>
      <c r="E467" t="inlineStr">
        <is>
          <t>ÖREBRO</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31233-2025</t>
        </is>
      </c>
      <c r="B468" s="1" t="n">
        <v>45832.83341435185</v>
      </c>
      <c r="C468" s="1" t="n">
        <v>45966</v>
      </c>
      <c r="D468" t="inlineStr">
        <is>
          <t>ÖREBRO LÄN</t>
        </is>
      </c>
      <c r="E468" t="inlineStr">
        <is>
          <t>ÖREBRO</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45237-2023</t>
        </is>
      </c>
      <c r="B469" s="1" t="n">
        <v>45191</v>
      </c>
      <c r="C469" s="1" t="n">
        <v>45966</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31237-2025</t>
        </is>
      </c>
      <c r="B470" s="1" t="n">
        <v>45832.84313657408</v>
      </c>
      <c r="C470" s="1" t="n">
        <v>45966</v>
      </c>
      <c r="D470" t="inlineStr">
        <is>
          <t>ÖREBRO LÄN</t>
        </is>
      </c>
      <c r="E470" t="inlineStr">
        <is>
          <t>ÖREBRO</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31066-2025</t>
        </is>
      </c>
      <c r="B471" s="1" t="n">
        <v>45832</v>
      </c>
      <c r="C471" s="1" t="n">
        <v>45966</v>
      </c>
      <c r="D471" t="inlineStr">
        <is>
          <t>ÖREBRO LÄN</t>
        </is>
      </c>
      <c r="E471" t="inlineStr">
        <is>
          <t>ÖREBRO</t>
        </is>
      </c>
      <c r="G471" t="n">
        <v>11.1</v>
      </c>
      <c r="H471" t="n">
        <v>0</v>
      </c>
      <c r="I471" t="n">
        <v>0</v>
      </c>
      <c r="J471" t="n">
        <v>0</v>
      </c>
      <c r="K471" t="n">
        <v>0</v>
      </c>
      <c r="L471" t="n">
        <v>0</v>
      </c>
      <c r="M471" t="n">
        <v>0</v>
      </c>
      <c r="N471" t="n">
        <v>0</v>
      </c>
      <c r="O471" t="n">
        <v>0</v>
      </c>
      <c r="P471" t="n">
        <v>0</v>
      </c>
      <c r="Q471" t="n">
        <v>0</v>
      </c>
      <c r="R471" s="2" t="inlineStr"/>
    </row>
    <row r="472" ht="15" customHeight="1">
      <c r="A472" t="inlineStr">
        <is>
          <t>A 63142-2023</t>
        </is>
      </c>
      <c r="B472" s="1" t="n">
        <v>45273</v>
      </c>
      <c r="C472" s="1" t="n">
        <v>45966</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23741-2022</t>
        </is>
      </c>
      <c r="B473" s="1" t="n">
        <v>44722</v>
      </c>
      <c r="C473" s="1" t="n">
        <v>45966</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59121-2024</t>
        </is>
      </c>
      <c r="B474" s="1" t="n">
        <v>45637.37755787037</v>
      </c>
      <c r="C474" s="1" t="n">
        <v>45966</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32188-2025</t>
        </is>
      </c>
      <c r="B475" s="1" t="n">
        <v>45835.56965277778</v>
      </c>
      <c r="C475" s="1" t="n">
        <v>45966</v>
      </c>
      <c r="D475" t="inlineStr">
        <is>
          <t>ÖREBRO LÄN</t>
        </is>
      </c>
      <c r="E475" t="inlineStr">
        <is>
          <t>ÖREBRO</t>
        </is>
      </c>
      <c r="G475" t="n">
        <v>2.9</v>
      </c>
      <c r="H475" t="n">
        <v>0</v>
      </c>
      <c r="I475" t="n">
        <v>0</v>
      </c>
      <c r="J475" t="n">
        <v>0</v>
      </c>
      <c r="K475" t="n">
        <v>0</v>
      </c>
      <c r="L475" t="n">
        <v>0</v>
      </c>
      <c r="M475" t="n">
        <v>0</v>
      </c>
      <c r="N475" t="n">
        <v>0</v>
      </c>
      <c r="O475" t="n">
        <v>0</v>
      </c>
      <c r="P475" t="n">
        <v>0</v>
      </c>
      <c r="Q475" t="n">
        <v>0</v>
      </c>
      <c r="R475" s="2" t="inlineStr"/>
    </row>
    <row r="476" ht="15" customHeight="1">
      <c r="A476" t="inlineStr">
        <is>
          <t>A 32195-2025</t>
        </is>
      </c>
      <c r="B476" s="1" t="n">
        <v>45835.57407407407</v>
      </c>
      <c r="C476" s="1" t="n">
        <v>45966</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9704-2023</t>
        </is>
      </c>
      <c r="B477" s="1" t="n">
        <v>44984</v>
      </c>
      <c r="C477" s="1" t="n">
        <v>45966</v>
      </c>
      <c r="D477" t="inlineStr">
        <is>
          <t>ÖREBRO LÄN</t>
        </is>
      </c>
      <c r="E477" t="inlineStr">
        <is>
          <t>ÖREBRO</t>
        </is>
      </c>
      <c r="G477" t="n">
        <v>1</v>
      </c>
      <c r="H477" t="n">
        <v>0</v>
      </c>
      <c r="I477" t="n">
        <v>0</v>
      </c>
      <c r="J477" t="n">
        <v>0</v>
      </c>
      <c r="K477" t="n">
        <v>0</v>
      </c>
      <c r="L477" t="n">
        <v>0</v>
      </c>
      <c r="M477" t="n">
        <v>0</v>
      </c>
      <c r="N477" t="n">
        <v>0</v>
      </c>
      <c r="O477" t="n">
        <v>0</v>
      </c>
      <c r="P477" t="n">
        <v>0</v>
      </c>
      <c r="Q477" t="n">
        <v>0</v>
      </c>
      <c r="R477" s="2" t="inlineStr"/>
    </row>
    <row r="478" ht="15" customHeight="1">
      <c r="A478" t="inlineStr">
        <is>
          <t>A 32218-2025</t>
        </is>
      </c>
      <c r="B478" s="1" t="n">
        <v>45835.58880787037</v>
      </c>
      <c r="C478" s="1" t="n">
        <v>45966</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32904-2025</t>
        </is>
      </c>
      <c r="B479" s="1" t="n">
        <v>45839</v>
      </c>
      <c r="C479" s="1" t="n">
        <v>45966</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12099-2023</t>
        </is>
      </c>
      <c r="B480" s="1" t="n">
        <v>44998.37043981482</v>
      </c>
      <c r="C480" s="1" t="n">
        <v>45966</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17869-2024</t>
        </is>
      </c>
      <c r="B481" s="1" t="n">
        <v>45419</v>
      </c>
      <c r="C481" s="1" t="n">
        <v>45966</v>
      </c>
      <c r="D481" t="inlineStr">
        <is>
          <t>ÖREBRO LÄN</t>
        </is>
      </c>
      <c r="E481" t="inlineStr">
        <is>
          <t>ÖREBRO</t>
        </is>
      </c>
      <c r="G481" t="n">
        <v>3.7</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44593.63974537037</v>
      </c>
      <c r="C482" s="1" t="n">
        <v>45966</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32426-2025</t>
        </is>
      </c>
      <c r="B483" s="1" t="n">
        <v>45838.36179398148</v>
      </c>
      <c r="C483" s="1" t="n">
        <v>45966</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10832-2023</t>
        </is>
      </c>
      <c r="B484" s="1" t="n">
        <v>44990.91711805556</v>
      </c>
      <c r="C484" s="1" t="n">
        <v>45966</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16739-2023</t>
        </is>
      </c>
      <c r="B485" s="1" t="n">
        <v>45030.72627314815</v>
      </c>
      <c r="C485" s="1" t="n">
        <v>45966</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33191-2025</t>
        </is>
      </c>
      <c r="B486" s="1" t="n">
        <v>45840.6003587963</v>
      </c>
      <c r="C486" s="1" t="n">
        <v>45966</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48581-2024</t>
        </is>
      </c>
      <c r="B487" s="1" t="n">
        <v>45593.41642361111</v>
      </c>
      <c r="C487" s="1" t="n">
        <v>45966</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40231-2022</t>
        </is>
      </c>
      <c r="B488" s="1" t="n">
        <v>44820</v>
      </c>
      <c r="C488" s="1" t="n">
        <v>45966</v>
      </c>
      <c r="D488" t="inlineStr">
        <is>
          <t>ÖREBRO LÄN</t>
        </is>
      </c>
      <c r="E488" t="inlineStr">
        <is>
          <t>ÖREBRO</t>
        </is>
      </c>
      <c r="F488" t="inlineStr">
        <is>
          <t>Allmännings- och besparingsskogar</t>
        </is>
      </c>
      <c r="G488" t="n">
        <v>2.2</v>
      </c>
      <c r="H488" t="n">
        <v>0</v>
      </c>
      <c r="I488" t="n">
        <v>0</v>
      </c>
      <c r="J488" t="n">
        <v>0</v>
      </c>
      <c r="K488" t="n">
        <v>0</v>
      </c>
      <c r="L488" t="n">
        <v>0</v>
      </c>
      <c r="M488" t="n">
        <v>0</v>
      </c>
      <c r="N488" t="n">
        <v>0</v>
      </c>
      <c r="O488" t="n">
        <v>0</v>
      </c>
      <c r="P488" t="n">
        <v>0</v>
      </c>
      <c r="Q488" t="n">
        <v>0</v>
      </c>
      <c r="R488" s="2" t="inlineStr"/>
    </row>
    <row r="489" ht="15" customHeight="1">
      <c r="A489" t="inlineStr">
        <is>
          <t>A 14963-2025</t>
        </is>
      </c>
      <c r="B489" s="1" t="n">
        <v>45743.58699074074</v>
      </c>
      <c r="C489" s="1" t="n">
        <v>45966</v>
      </c>
      <c r="D489" t="inlineStr">
        <is>
          <t>ÖREBRO LÄN</t>
        </is>
      </c>
      <c r="E489" t="inlineStr">
        <is>
          <t>ÖREBRO</t>
        </is>
      </c>
      <c r="G489" t="n">
        <v>9.1</v>
      </c>
      <c r="H489" t="n">
        <v>0</v>
      </c>
      <c r="I489" t="n">
        <v>0</v>
      </c>
      <c r="J489" t="n">
        <v>0</v>
      </c>
      <c r="K489" t="n">
        <v>0</v>
      </c>
      <c r="L489" t="n">
        <v>0</v>
      </c>
      <c r="M489" t="n">
        <v>0</v>
      </c>
      <c r="N489" t="n">
        <v>0</v>
      </c>
      <c r="O489" t="n">
        <v>0</v>
      </c>
      <c r="P489" t="n">
        <v>0</v>
      </c>
      <c r="Q489" t="n">
        <v>0</v>
      </c>
      <c r="R489" s="2" t="inlineStr"/>
    </row>
    <row r="490" ht="15" customHeight="1">
      <c r="A490" t="inlineStr">
        <is>
          <t>A 48687-2024</t>
        </is>
      </c>
      <c r="B490" s="1" t="n">
        <v>45593.49899305555</v>
      </c>
      <c r="C490" s="1" t="n">
        <v>45966</v>
      </c>
      <c r="D490" t="inlineStr">
        <is>
          <t>ÖREBRO LÄN</t>
        </is>
      </c>
      <c r="E490" t="inlineStr">
        <is>
          <t>ÖREBRO</t>
        </is>
      </c>
      <c r="F490" t="inlineStr">
        <is>
          <t>Övriga Aktiebolag</t>
        </is>
      </c>
      <c r="G490" t="n">
        <v>3.8</v>
      </c>
      <c r="H490" t="n">
        <v>0</v>
      </c>
      <c r="I490" t="n">
        <v>0</v>
      </c>
      <c r="J490" t="n">
        <v>0</v>
      </c>
      <c r="K490" t="n">
        <v>0</v>
      </c>
      <c r="L490" t="n">
        <v>0</v>
      </c>
      <c r="M490" t="n">
        <v>0</v>
      </c>
      <c r="N490" t="n">
        <v>0</v>
      </c>
      <c r="O490" t="n">
        <v>0</v>
      </c>
      <c r="P490" t="n">
        <v>0</v>
      </c>
      <c r="Q490" t="n">
        <v>0</v>
      </c>
      <c r="R490" s="2" t="inlineStr"/>
    </row>
    <row r="491" ht="15" customHeight="1">
      <c r="A491" t="inlineStr">
        <is>
          <t>A 33455-2023</t>
        </is>
      </c>
      <c r="B491" s="1" t="n">
        <v>45130.98962962963</v>
      </c>
      <c r="C491" s="1" t="n">
        <v>45966</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2069-2025</t>
        </is>
      </c>
      <c r="B492" s="1" t="n">
        <v>45672.56614583333</v>
      </c>
      <c r="C492" s="1" t="n">
        <v>45966</v>
      </c>
      <c r="D492" t="inlineStr">
        <is>
          <t>ÖREBRO LÄN</t>
        </is>
      </c>
      <c r="E492" t="inlineStr">
        <is>
          <t>ÖREBRO</t>
        </is>
      </c>
      <c r="G492" t="n">
        <v>3.8</v>
      </c>
      <c r="H492" t="n">
        <v>0</v>
      </c>
      <c r="I492" t="n">
        <v>0</v>
      </c>
      <c r="J492" t="n">
        <v>0</v>
      </c>
      <c r="K492" t="n">
        <v>0</v>
      </c>
      <c r="L492" t="n">
        <v>0</v>
      </c>
      <c r="M492" t="n">
        <v>0</v>
      </c>
      <c r="N492" t="n">
        <v>0</v>
      </c>
      <c r="O492" t="n">
        <v>0</v>
      </c>
      <c r="P492" t="n">
        <v>0</v>
      </c>
      <c r="Q492" t="n">
        <v>0</v>
      </c>
      <c r="R492" s="2" t="inlineStr"/>
    </row>
    <row r="493" ht="15" customHeight="1">
      <c r="A493" t="inlineStr">
        <is>
          <t>A 58277-2022</t>
        </is>
      </c>
      <c r="B493" s="1" t="n">
        <v>44901.48108796297</v>
      </c>
      <c r="C493" s="1" t="n">
        <v>45966</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42518-2021</t>
        </is>
      </c>
      <c r="B494" s="1" t="n">
        <v>44427.81496527778</v>
      </c>
      <c r="C494" s="1" t="n">
        <v>45966</v>
      </c>
      <c r="D494" t="inlineStr">
        <is>
          <t>ÖREBRO LÄN</t>
        </is>
      </c>
      <c r="E494" t="inlineStr">
        <is>
          <t>ÖREBRO</t>
        </is>
      </c>
      <c r="G494" t="n">
        <v>4.5</v>
      </c>
      <c r="H494" t="n">
        <v>0</v>
      </c>
      <c r="I494" t="n">
        <v>0</v>
      </c>
      <c r="J494" t="n">
        <v>0</v>
      </c>
      <c r="K494" t="n">
        <v>0</v>
      </c>
      <c r="L494" t="n">
        <v>0</v>
      </c>
      <c r="M494" t="n">
        <v>0</v>
      </c>
      <c r="N494" t="n">
        <v>0</v>
      </c>
      <c r="O494" t="n">
        <v>0</v>
      </c>
      <c r="P494" t="n">
        <v>0</v>
      </c>
      <c r="Q494" t="n">
        <v>0</v>
      </c>
      <c r="R494" s="2" t="inlineStr"/>
    </row>
    <row r="495" ht="15" customHeight="1">
      <c r="A495" t="inlineStr">
        <is>
          <t>A 35062-2025</t>
        </is>
      </c>
      <c r="B495" s="1" t="n">
        <v>45852</v>
      </c>
      <c r="C495" s="1" t="n">
        <v>45966</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14524-2025</t>
        </is>
      </c>
      <c r="B496" s="1" t="n">
        <v>45741.64815972222</v>
      </c>
      <c r="C496" s="1" t="n">
        <v>45966</v>
      </c>
      <c r="D496" t="inlineStr">
        <is>
          <t>ÖREBRO LÄN</t>
        </is>
      </c>
      <c r="E496" t="inlineStr">
        <is>
          <t>ÖREBRO</t>
        </is>
      </c>
      <c r="G496" t="n">
        <v>2.8</v>
      </c>
      <c r="H496" t="n">
        <v>0</v>
      </c>
      <c r="I496" t="n">
        <v>0</v>
      </c>
      <c r="J496" t="n">
        <v>0</v>
      </c>
      <c r="K496" t="n">
        <v>0</v>
      </c>
      <c r="L496" t="n">
        <v>0</v>
      </c>
      <c r="M496" t="n">
        <v>0</v>
      </c>
      <c r="N496" t="n">
        <v>0</v>
      </c>
      <c r="O496" t="n">
        <v>0</v>
      </c>
      <c r="P496" t="n">
        <v>0</v>
      </c>
      <c r="Q496" t="n">
        <v>0</v>
      </c>
      <c r="R496" s="2" t="inlineStr"/>
    </row>
    <row r="497" ht="15" customHeight="1">
      <c r="A497" t="inlineStr">
        <is>
          <t>A 15354-2024</t>
        </is>
      </c>
      <c r="B497" s="1" t="n">
        <v>45400.85319444445</v>
      </c>
      <c r="C497" s="1" t="n">
        <v>45966</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49465-2024</t>
        </is>
      </c>
      <c r="B498" s="1" t="n">
        <v>45596</v>
      </c>
      <c r="C498" s="1" t="n">
        <v>45966</v>
      </c>
      <c r="D498" t="inlineStr">
        <is>
          <t>ÖREBRO LÄN</t>
        </is>
      </c>
      <c r="E498" t="inlineStr">
        <is>
          <t>ÖREBRO</t>
        </is>
      </c>
      <c r="F498" t="inlineStr">
        <is>
          <t>Övriga Aktiebolag</t>
        </is>
      </c>
      <c r="G498" t="n">
        <v>21</v>
      </c>
      <c r="H498" t="n">
        <v>0</v>
      </c>
      <c r="I498" t="n">
        <v>0</v>
      </c>
      <c r="J498" t="n">
        <v>0</v>
      </c>
      <c r="K498" t="n">
        <v>0</v>
      </c>
      <c r="L498" t="n">
        <v>0</v>
      </c>
      <c r="M498" t="n">
        <v>0</v>
      </c>
      <c r="N498" t="n">
        <v>0</v>
      </c>
      <c r="O498" t="n">
        <v>0</v>
      </c>
      <c r="P498" t="n">
        <v>0</v>
      </c>
      <c r="Q498" t="n">
        <v>0</v>
      </c>
      <c r="R498" s="2" t="inlineStr"/>
    </row>
    <row r="499" ht="15" customHeight="1">
      <c r="A499" t="inlineStr">
        <is>
          <t>A 41543-2024</t>
        </is>
      </c>
      <c r="B499" s="1" t="n">
        <v>45560</v>
      </c>
      <c r="C499" s="1" t="n">
        <v>45966</v>
      </c>
      <c r="D499" t="inlineStr">
        <is>
          <t>ÖREBRO LÄN</t>
        </is>
      </c>
      <c r="E499" t="inlineStr">
        <is>
          <t>ÖREBRO</t>
        </is>
      </c>
      <c r="G499" t="n">
        <v>2.8</v>
      </c>
      <c r="H499" t="n">
        <v>0</v>
      </c>
      <c r="I499" t="n">
        <v>0</v>
      </c>
      <c r="J499" t="n">
        <v>0</v>
      </c>
      <c r="K499" t="n">
        <v>0</v>
      </c>
      <c r="L499" t="n">
        <v>0</v>
      </c>
      <c r="M499" t="n">
        <v>0</v>
      </c>
      <c r="N499" t="n">
        <v>0</v>
      </c>
      <c r="O499" t="n">
        <v>0</v>
      </c>
      <c r="P499" t="n">
        <v>0</v>
      </c>
      <c r="Q499" t="n">
        <v>0</v>
      </c>
      <c r="R499" s="2" t="inlineStr"/>
    </row>
    <row r="500" ht="15" customHeight="1">
      <c r="A500" t="inlineStr">
        <is>
          <t>A 28821-2025</t>
        </is>
      </c>
      <c r="B500" s="1" t="n">
        <v>45820</v>
      </c>
      <c r="C500" s="1" t="n">
        <v>45966</v>
      </c>
      <c r="D500" t="inlineStr">
        <is>
          <t>ÖREBRO LÄN</t>
        </is>
      </c>
      <c r="E500" t="inlineStr">
        <is>
          <t>ÖREBRO</t>
        </is>
      </c>
      <c r="G500" t="n">
        <v>12.6</v>
      </c>
      <c r="H500" t="n">
        <v>0</v>
      </c>
      <c r="I500" t="n">
        <v>0</v>
      </c>
      <c r="J500" t="n">
        <v>0</v>
      </c>
      <c r="K500" t="n">
        <v>0</v>
      </c>
      <c r="L500" t="n">
        <v>0</v>
      </c>
      <c r="M500" t="n">
        <v>0</v>
      </c>
      <c r="N500" t="n">
        <v>0</v>
      </c>
      <c r="O500" t="n">
        <v>0</v>
      </c>
      <c r="P500" t="n">
        <v>0</v>
      </c>
      <c r="Q500" t="n">
        <v>0</v>
      </c>
      <c r="R500" s="2" t="inlineStr"/>
    </row>
    <row r="501" ht="15" customHeight="1">
      <c r="A501" t="inlineStr">
        <is>
          <t>A 71275-2021</t>
        </is>
      </c>
      <c r="B501" s="1" t="n">
        <v>44539</v>
      </c>
      <c r="C501" s="1" t="n">
        <v>45966</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71285-2021</t>
        </is>
      </c>
      <c r="B502" s="1" t="n">
        <v>44539.62236111111</v>
      </c>
      <c r="C502" s="1" t="n">
        <v>45966</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2658-2023</t>
        </is>
      </c>
      <c r="B503" s="1" t="n">
        <v>44944</v>
      </c>
      <c r="C503" s="1" t="n">
        <v>45966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35637-2025</t>
        </is>
      </c>
      <c r="B504" s="1" t="n">
        <v>45859.46859953704</v>
      </c>
      <c r="C504" s="1" t="n">
        <v>45966</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38842-2022</t>
        </is>
      </c>
      <c r="B505" s="1" t="n">
        <v>44814</v>
      </c>
      <c r="C505" s="1" t="n">
        <v>45966</v>
      </c>
      <c r="D505" t="inlineStr">
        <is>
          <t>ÖREBRO LÄN</t>
        </is>
      </c>
      <c r="E505" t="inlineStr">
        <is>
          <t>ÖREBRO</t>
        </is>
      </c>
      <c r="G505" t="n">
        <v>5</v>
      </c>
      <c r="H505" t="n">
        <v>0</v>
      </c>
      <c r="I505" t="n">
        <v>0</v>
      </c>
      <c r="J505" t="n">
        <v>0</v>
      </c>
      <c r="K505" t="n">
        <v>0</v>
      </c>
      <c r="L505" t="n">
        <v>0</v>
      </c>
      <c r="M505" t="n">
        <v>0</v>
      </c>
      <c r="N505" t="n">
        <v>0</v>
      </c>
      <c r="O505" t="n">
        <v>0</v>
      </c>
      <c r="P505" t="n">
        <v>0</v>
      </c>
      <c r="Q505" t="n">
        <v>0</v>
      </c>
      <c r="R505" s="2" t="inlineStr"/>
    </row>
    <row r="506" ht="15" customHeight="1">
      <c r="A506" t="inlineStr">
        <is>
          <t>A 35928-2025</t>
        </is>
      </c>
      <c r="B506" s="1" t="n">
        <v>45862</v>
      </c>
      <c r="C506" s="1" t="n">
        <v>45966</v>
      </c>
      <c r="D506" t="inlineStr">
        <is>
          <t>ÖREBRO LÄN</t>
        </is>
      </c>
      <c r="E506" t="inlineStr">
        <is>
          <t>ÖREBRO</t>
        </is>
      </c>
      <c r="G506" t="n">
        <v>4.4</v>
      </c>
      <c r="H506" t="n">
        <v>0</v>
      </c>
      <c r="I506" t="n">
        <v>0</v>
      </c>
      <c r="J506" t="n">
        <v>0</v>
      </c>
      <c r="K506" t="n">
        <v>0</v>
      </c>
      <c r="L506" t="n">
        <v>0</v>
      </c>
      <c r="M506" t="n">
        <v>0</v>
      </c>
      <c r="N506" t="n">
        <v>0</v>
      </c>
      <c r="O506" t="n">
        <v>0</v>
      </c>
      <c r="P506" t="n">
        <v>0</v>
      </c>
      <c r="Q506" t="n">
        <v>0</v>
      </c>
      <c r="R506" s="2" t="inlineStr"/>
    </row>
    <row r="507" ht="15" customHeight="1">
      <c r="A507" t="inlineStr">
        <is>
          <t>A 37022-2024</t>
        </is>
      </c>
      <c r="B507" s="1" t="n">
        <v>45539.3822337963</v>
      </c>
      <c r="C507" s="1" t="n">
        <v>45966</v>
      </c>
      <c r="D507" t="inlineStr">
        <is>
          <t>ÖREBRO LÄN</t>
        </is>
      </c>
      <c r="E507" t="inlineStr">
        <is>
          <t>ÖREBRO</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37024-2024</t>
        </is>
      </c>
      <c r="B508" s="1" t="n">
        <v>45539.38329861111</v>
      </c>
      <c r="C508" s="1" t="n">
        <v>45966</v>
      </c>
      <c r="D508" t="inlineStr">
        <is>
          <t>ÖREBRO LÄN</t>
        </is>
      </c>
      <c r="E508" t="inlineStr">
        <is>
          <t>ÖREBRO</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32025-2024</t>
        </is>
      </c>
      <c r="B509" s="1" t="n">
        <v>45510.65754629629</v>
      </c>
      <c r="C509" s="1" t="n">
        <v>45966</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11382-2023</t>
        </is>
      </c>
      <c r="B510" s="1" t="n">
        <v>44993.45635416666</v>
      </c>
      <c r="C510" s="1" t="n">
        <v>45966</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55453-2024</t>
        </is>
      </c>
      <c r="B511" s="1" t="n">
        <v>45622.42097222222</v>
      </c>
      <c r="C511" s="1" t="n">
        <v>45966</v>
      </c>
      <c r="D511" t="inlineStr">
        <is>
          <t>ÖREBRO LÄN</t>
        </is>
      </c>
      <c r="E511" t="inlineStr">
        <is>
          <t>ÖREBRO</t>
        </is>
      </c>
      <c r="G511" t="n">
        <v>8.5</v>
      </c>
      <c r="H511" t="n">
        <v>0</v>
      </c>
      <c r="I511" t="n">
        <v>0</v>
      </c>
      <c r="J511" t="n">
        <v>0</v>
      </c>
      <c r="K511" t="n">
        <v>0</v>
      </c>
      <c r="L511" t="n">
        <v>0</v>
      </c>
      <c r="M511" t="n">
        <v>0</v>
      </c>
      <c r="N511" t="n">
        <v>0</v>
      </c>
      <c r="O511" t="n">
        <v>0</v>
      </c>
      <c r="P511" t="n">
        <v>0</v>
      </c>
      <c r="Q511" t="n">
        <v>0</v>
      </c>
      <c r="R511" s="2" t="inlineStr"/>
    </row>
    <row r="512" ht="15" customHeight="1">
      <c r="A512" t="inlineStr">
        <is>
          <t>A 52016-2024</t>
        </is>
      </c>
      <c r="B512" s="1" t="n">
        <v>45607.81917824074</v>
      </c>
      <c r="C512" s="1" t="n">
        <v>45966</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27112-2023</t>
        </is>
      </c>
      <c r="B513" s="1" t="n">
        <v>45096</v>
      </c>
      <c r="C513" s="1" t="n">
        <v>45966</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36448-2025</t>
        </is>
      </c>
      <c r="B514" s="1" t="n">
        <v>45869.41929398148</v>
      </c>
      <c r="C514" s="1" t="n">
        <v>45966</v>
      </c>
      <c r="D514" t="inlineStr">
        <is>
          <t>ÖREBRO LÄN</t>
        </is>
      </c>
      <c r="E514" t="inlineStr">
        <is>
          <t>ÖREBRO</t>
        </is>
      </c>
      <c r="F514" t="inlineStr">
        <is>
          <t>Övriga Aktiebolag</t>
        </is>
      </c>
      <c r="G514" t="n">
        <v>4.3</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45966</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8331-2021</t>
        </is>
      </c>
      <c r="B516" s="1" t="n">
        <v>44244</v>
      </c>
      <c r="C516" s="1" t="n">
        <v>45966</v>
      </c>
      <c r="D516" t="inlineStr">
        <is>
          <t>ÖREBRO LÄN</t>
        </is>
      </c>
      <c r="E516" t="inlineStr">
        <is>
          <t>ÖREBRO</t>
        </is>
      </c>
      <c r="G516" t="n">
        <v>9.1</v>
      </c>
      <c r="H516" t="n">
        <v>0</v>
      </c>
      <c r="I516" t="n">
        <v>0</v>
      </c>
      <c r="J516" t="n">
        <v>0</v>
      </c>
      <c r="K516" t="n">
        <v>0</v>
      </c>
      <c r="L516" t="n">
        <v>0</v>
      </c>
      <c r="M516" t="n">
        <v>0</v>
      </c>
      <c r="N516" t="n">
        <v>0</v>
      </c>
      <c r="O516" t="n">
        <v>0</v>
      </c>
      <c r="P516" t="n">
        <v>0</v>
      </c>
      <c r="Q516" t="n">
        <v>0</v>
      </c>
      <c r="R516" s="2" t="inlineStr"/>
    </row>
    <row r="517" ht="15" customHeight="1">
      <c r="A517" t="inlineStr">
        <is>
          <t>A 13592-2023</t>
        </is>
      </c>
      <c r="B517" s="1" t="n">
        <v>45006.56870370371</v>
      </c>
      <c r="C517" s="1" t="n">
        <v>45966</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36447-2025</t>
        </is>
      </c>
      <c r="B518" s="1" t="n">
        <v>45869.41387731482</v>
      </c>
      <c r="C518" s="1" t="n">
        <v>45966</v>
      </c>
      <c r="D518" t="inlineStr">
        <is>
          <t>ÖREBRO LÄN</t>
        </is>
      </c>
      <c r="E518" t="inlineStr">
        <is>
          <t>ÖREBRO</t>
        </is>
      </c>
      <c r="F518" t="inlineStr">
        <is>
          <t>Övriga Aktiebolag</t>
        </is>
      </c>
      <c r="G518" t="n">
        <v>12.6</v>
      </c>
      <c r="H518" t="n">
        <v>0</v>
      </c>
      <c r="I518" t="n">
        <v>0</v>
      </c>
      <c r="J518" t="n">
        <v>0</v>
      </c>
      <c r="K518" t="n">
        <v>0</v>
      </c>
      <c r="L518" t="n">
        <v>0</v>
      </c>
      <c r="M518" t="n">
        <v>0</v>
      </c>
      <c r="N518" t="n">
        <v>0</v>
      </c>
      <c r="O518" t="n">
        <v>0</v>
      </c>
      <c r="P518" t="n">
        <v>0</v>
      </c>
      <c r="Q518" t="n">
        <v>0</v>
      </c>
      <c r="R518" s="2" t="inlineStr"/>
    </row>
    <row r="519" ht="15" customHeight="1">
      <c r="A519" t="inlineStr">
        <is>
          <t>A 40656-2023</t>
        </is>
      </c>
      <c r="B519" s="1" t="n">
        <v>45170</v>
      </c>
      <c r="C519" s="1" t="n">
        <v>45966</v>
      </c>
      <c r="D519" t="inlineStr">
        <is>
          <t>ÖREBRO LÄN</t>
        </is>
      </c>
      <c r="E519" t="inlineStr">
        <is>
          <t>ÖREBRO</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47047-2022</t>
        </is>
      </c>
      <c r="B520" s="1" t="n">
        <v>44852.39063657408</v>
      </c>
      <c r="C520" s="1" t="n">
        <v>45966</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12245-2023</t>
        </is>
      </c>
      <c r="B521" s="1" t="n">
        <v>44998.64402777778</v>
      </c>
      <c r="C521" s="1" t="n">
        <v>45966</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8008-2024</t>
        </is>
      </c>
      <c r="B522" s="1" t="n">
        <v>45350.6794212963</v>
      </c>
      <c r="C522" s="1" t="n">
        <v>45966</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46834-2022</t>
        </is>
      </c>
      <c r="B523" s="1" t="n">
        <v>44851</v>
      </c>
      <c r="C523" s="1" t="n">
        <v>45966</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3789-2023</t>
        </is>
      </c>
      <c r="B524" s="1" t="n">
        <v>44951</v>
      </c>
      <c r="C524" s="1" t="n">
        <v>45966</v>
      </c>
      <c r="D524" t="inlineStr">
        <is>
          <t>ÖREBRO LÄN</t>
        </is>
      </c>
      <c r="E524" t="inlineStr">
        <is>
          <t>ÖREBRO</t>
        </is>
      </c>
      <c r="G524" t="n">
        <v>7.5</v>
      </c>
      <c r="H524" t="n">
        <v>0</v>
      </c>
      <c r="I524" t="n">
        <v>0</v>
      </c>
      <c r="J524" t="n">
        <v>0</v>
      </c>
      <c r="K524" t="n">
        <v>0</v>
      </c>
      <c r="L524" t="n">
        <v>0</v>
      </c>
      <c r="M524" t="n">
        <v>0</v>
      </c>
      <c r="N524" t="n">
        <v>0</v>
      </c>
      <c r="O524" t="n">
        <v>0</v>
      </c>
      <c r="P524" t="n">
        <v>0</v>
      </c>
      <c r="Q524" t="n">
        <v>0</v>
      </c>
      <c r="R524" s="2" t="inlineStr"/>
    </row>
    <row r="525" ht="15" customHeight="1">
      <c r="A525" t="inlineStr">
        <is>
          <t>A 58598-2022</t>
        </is>
      </c>
      <c r="B525" s="1" t="n">
        <v>44902</v>
      </c>
      <c r="C525" s="1" t="n">
        <v>45966</v>
      </c>
      <c r="D525" t="inlineStr">
        <is>
          <t>ÖREBRO LÄN</t>
        </is>
      </c>
      <c r="E525" t="inlineStr">
        <is>
          <t>ÖREBRO</t>
        </is>
      </c>
      <c r="G525" t="n">
        <v>0.4</v>
      </c>
      <c r="H525" t="n">
        <v>0</v>
      </c>
      <c r="I525" t="n">
        <v>0</v>
      </c>
      <c r="J525" t="n">
        <v>0</v>
      </c>
      <c r="K525" t="n">
        <v>0</v>
      </c>
      <c r="L525" t="n">
        <v>0</v>
      </c>
      <c r="M525" t="n">
        <v>0</v>
      </c>
      <c r="N525" t="n">
        <v>0</v>
      </c>
      <c r="O525" t="n">
        <v>0</v>
      </c>
      <c r="P525" t="n">
        <v>0</v>
      </c>
      <c r="Q525" t="n">
        <v>0</v>
      </c>
      <c r="R525" s="2" t="inlineStr"/>
    </row>
    <row r="526" ht="15" customHeight="1">
      <c r="A526" t="inlineStr">
        <is>
          <t>A 29554-2025</t>
        </is>
      </c>
      <c r="B526" s="1" t="n">
        <v>45825</v>
      </c>
      <c r="C526" s="1" t="n">
        <v>45966</v>
      </c>
      <c r="D526" t="inlineStr">
        <is>
          <t>ÖREBRO LÄN</t>
        </is>
      </c>
      <c r="E526" t="inlineStr">
        <is>
          <t>ÖREBRO</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57869-2024</t>
        </is>
      </c>
      <c r="B527" s="1" t="n">
        <v>45631.44207175926</v>
      </c>
      <c r="C527" s="1" t="n">
        <v>45966</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13158-2024</t>
        </is>
      </c>
      <c r="B528" s="1" t="n">
        <v>45386.38728009259</v>
      </c>
      <c r="C528" s="1" t="n">
        <v>45966</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11565-2023</t>
        </is>
      </c>
      <c r="B529" s="1" t="n">
        <v>44994</v>
      </c>
      <c r="C529" s="1" t="n">
        <v>45966</v>
      </c>
      <c r="D529" t="inlineStr">
        <is>
          <t>ÖREBRO LÄN</t>
        </is>
      </c>
      <c r="E529" t="inlineStr">
        <is>
          <t>ÖREBRO</t>
        </is>
      </c>
      <c r="G529" t="n">
        <v>4.7</v>
      </c>
      <c r="H529" t="n">
        <v>0</v>
      </c>
      <c r="I529" t="n">
        <v>0</v>
      </c>
      <c r="J529" t="n">
        <v>0</v>
      </c>
      <c r="K529" t="n">
        <v>0</v>
      </c>
      <c r="L529" t="n">
        <v>0</v>
      </c>
      <c r="M529" t="n">
        <v>0</v>
      </c>
      <c r="N529" t="n">
        <v>0</v>
      </c>
      <c r="O529" t="n">
        <v>0</v>
      </c>
      <c r="P529" t="n">
        <v>0</v>
      </c>
      <c r="Q529" t="n">
        <v>0</v>
      </c>
      <c r="R529" s="2" t="inlineStr"/>
    </row>
    <row r="530" ht="15" customHeight="1">
      <c r="A530" t="inlineStr">
        <is>
          <t>A 1647-2024</t>
        </is>
      </c>
      <c r="B530" s="1" t="n">
        <v>45306</v>
      </c>
      <c r="C530" s="1" t="n">
        <v>45966</v>
      </c>
      <c r="D530" t="inlineStr">
        <is>
          <t>ÖREBRO LÄN</t>
        </is>
      </c>
      <c r="E530" t="inlineStr">
        <is>
          <t>ÖREBRO</t>
        </is>
      </c>
      <c r="G530" t="n">
        <v>1.3</v>
      </c>
      <c r="H530" t="n">
        <v>0</v>
      </c>
      <c r="I530" t="n">
        <v>0</v>
      </c>
      <c r="J530" t="n">
        <v>0</v>
      </c>
      <c r="K530" t="n">
        <v>0</v>
      </c>
      <c r="L530" t="n">
        <v>0</v>
      </c>
      <c r="M530" t="n">
        <v>0</v>
      </c>
      <c r="N530" t="n">
        <v>0</v>
      </c>
      <c r="O530" t="n">
        <v>0</v>
      </c>
      <c r="P530" t="n">
        <v>0</v>
      </c>
      <c r="Q530" t="n">
        <v>0</v>
      </c>
      <c r="R530" s="2" t="inlineStr"/>
    </row>
    <row r="531" ht="15" customHeight="1">
      <c r="A531" t="inlineStr">
        <is>
          <t>A 31906-2023</t>
        </is>
      </c>
      <c r="B531" s="1" t="n">
        <v>45118.8353125</v>
      </c>
      <c r="C531" s="1" t="n">
        <v>45966</v>
      </c>
      <c r="D531" t="inlineStr">
        <is>
          <t>ÖREBRO LÄN</t>
        </is>
      </c>
      <c r="E531" t="inlineStr">
        <is>
          <t>ÖREBRO</t>
        </is>
      </c>
      <c r="G531" t="n">
        <v>9</v>
      </c>
      <c r="H531" t="n">
        <v>0</v>
      </c>
      <c r="I531" t="n">
        <v>0</v>
      </c>
      <c r="J531" t="n">
        <v>0</v>
      </c>
      <c r="K531" t="n">
        <v>0</v>
      </c>
      <c r="L531" t="n">
        <v>0</v>
      </c>
      <c r="M531" t="n">
        <v>0</v>
      </c>
      <c r="N531" t="n">
        <v>0</v>
      </c>
      <c r="O531" t="n">
        <v>0</v>
      </c>
      <c r="P531" t="n">
        <v>0</v>
      </c>
      <c r="Q531" t="n">
        <v>0</v>
      </c>
      <c r="R531" s="2" t="inlineStr"/>
    </row>
    <row r="532" ht="15" customHeight="1">
      <c r="A532" t="inlineStr">
        <is>
          <t>A 31326-2024</t>
        </is>
      </c>
      <c r="B532" s="1" t="n">
        <v>45504.5934375</v>
      </c>
      <c r="C532" s="1" t="n">
        <v>45966</v>
      </c>
      <c r="D532" t="inlineStr">
        <is>
          <t>ÖREBRO LÄN</t>
        </is>
      </c>
      <c r="E532" t="inlineStr">
        <is>
          <t>ÖREBRO</t>
        </is>
      </c>
      <c r="G532" t="n">
        <v>6.4</v>
      </c>
      <c r="H532" t="n">
        <v>0</v>
      </c>
      <c r="I532" t="n">
        <v>0</v>
      </c>
      <c r="J532" t="n">
        <v>0</v>
      </c>
      <c r="K532" t="n">
        <v>0</v>
      </c>
      <c r="L532" t="n">
        <v>0</v>
      </c>
      <c r="M532" t="n">
        <v>0</v>
      </c>
      <c r="N532" t="n">
        <v>0</v>
      </c>
      <c r="O532" t="n">
        <v>0</v>
      </c>
      <c r="P532" t="n">
        <v>0</v>
      </c>
      <c r="Q532" t="n">
        <v>0</v>
      </c>
      <c r="R532" s="2" t="inlineStr"/>
    </row>
    <row r="533" ht="15" customHeight="1">
      <c r="A533" t="inlineStr">
        <is>
          <t>A 70719-2021</t>
        </is>
      </c>
      <c r="B533" s="1" t="n">
        <v>44537</v>
      </c>
      <c r="C533" s="1" t="n">
        <v>45966</v>
      </c>
      <c r="D533" t="inlineStr">
        <is>
          <t>ÖREBRO LÄN</t>
        </is>
      </c>
      <c r="E533" t="inlineStr">
        <is>
          <t>ÖREBRO</t>
        </is>
      </c>
      <c r="G533" t="n">
        <v>4.3</v>
      </c>
      <c r="H533" t="n">
        <v>0</v>
      </c>
      <c r="I533" t="n">
        <v>0</v>
      </c>
      <c r="J533" t="n">
        <v>0</v>
      </c>
      <c r="K533" t="n">
        <v>0</v>
      </c>
      <c r="L533" t="n">
        <v>0</v>
      </c>
      <c r="M533" t="n">
        <v>0</v>
      </c>
      <c r="N533" t="n">
        <v>0</v>
      </c>
      <c r="O533" t="n">
        <v>0</v>
      </c>
      <c r="P533" t="n">
        <v>0</v>
      </c>
      <c r="Q533" t="n">
        <v>0</v>
      </c>
      <c r="R533" s="2" t="inlineStr"/>
    </row>
    <row r="534" ht="15" customHeight="1">
      <c r="A534" t="inlineStr">
        <is>
          <t>A 51331-2023</t>
        </is>
      </c>
      <c r="B534" s="1" t="n">
        <v>45219</v>
      </c>
      <c r="C534" s="1" t="n">
        <v>45966</v>
      </c>
      <c r="D534" t="inlineStr">
        <is>
          <t>ÖREBRO LÄN</t>
        </is>
      </c>
      <c r="E534" t="inlineStr">
        <is>
          <t>ÖREBRO</t>
        </is>
      </c>
      <c r="F534" t="inlineStr">
        <is>
          <t>Kommuner</t>
        </is>
      </c>
      <c r="G534" t="n">
        <v>1.3</v>
      </c>
      <c r="H534" t="n">
        <v>0</v>
      </c>
      <c r="I534" t="n">
        <v>0</v>
      </c>
      <c r="J534" t="n">
        <v>0</v>
      </c>
      <c r="K534" t="n">
        <v>0</v>
      </c>
      <c r="L534" t="n">
        <v>0</v>
      </c>
      <c r="M534" t="n">
        <v>0</v>
      </c>
      <c r="N534" t="n">
        <v>0</v>
      </c>
      <c r="O534" t="n">
        <v>0</v>
      </c>
      <c r="P534" t="n">
        <v>0</v>
      </c>
      <c r="Q534" t="n">
        <v>0</v>
      </c>
      <c r="R534" s="2" t="inlineStr"/>
    </row>
    <row r="535" ht="15" customHeight="1">
      <c r="A535" t="inlineStr">
        <is>
          <t>A 16694-2025</t>
        </is>
      </c>
      <c r="B535" s="1" t="n">
        <v>45754.46480324074</v>
      </c>
      <c r="C535" s="1" t="n">
        <v>45966</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30374-2023</t>
        </is>
      </c>
      <c r="B536" s="1" t="n">
        <v>45111</v>
      </c>
      <c r="C536" s="1" t="n">
        <v>45966</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38898-2023</t>
        </is>
      </c>
      <c r="B537" s="1" t="n">
        <v>45163</v>
      </c>
      <c r="C537" s="1" t="n">
        <v>45966</v>
      </c>
      <c r="D537" t="inlineStr">
        <is>
          <t>ÖREBRO LÄN</t>
        </is>
      </c>
      <c r="E537" t="inlineStr">
        <is>
          <t>ÖREBRO</t>
        </is>
      </c>
      <c r="G537" t="n">
        <v>5.1</v>
      </c>
      <c r="H537" t="n">
        <v>0</v>
      </c>
      <c r="I537" t="n">
        <v>0</v>
      </c>
      <c r="J537" t="n">
        <v>0</v>
      </c>
      <c r="K537" t="n">
        <v>0</v>
      </c>
      <c r="L537" t="n">
        <v>0</v>
      </c>
      <c r="M537" t="n">
        <v>0</v>
      </c>
      <c r="N537" t="n">
        <v>0</v>
      </c>
      <c r="O537" t="n">
        <v>0</v>
      </c>
      <c r="P537" t="n">
        <v>0</v>
      </c>
      <c r="Q537" t="n">
        <v>0</v>
      </c>
      <c r="R537" s="2" t="inlineStr"/>
    </row>
    <row r="538" ht="15" customHeight="1">
      <c r="A538" t="inlineStr">
        <is>
          <t>A 5764-2022</t>
        </is>
      </c>
      <c r="B538" s="1" t="n">
        <v>44596</v>
      </c>
      <c r="C538" s="1" t="n">
        <v>45966</v>
      </c>
      <c r="D538" t="inlineStr">
        <is>
          <t>ÖREBRO LÄN</t>
        </is>
      </c>
      <c r="E538" t="inlineStr">
        <is>
          <t>ÖREBRO</t>
        </is>
      </c>
      <c r="G538" t="n">
        <v>3.5</v>
      </c>
      <c r="H538" t="n">
        <v>0</v>
      </c>
      <c r="I538" t="n">
        <v>0</v>
      </c>
      <c r="J538" t="n">
        <v>0</v>
      </c>
      <c r="K538" t="n">
        <v>0</v>
      </c>
      <c r="L538" t="n">
        <v>0</v>
      </c>
      <c r="M538" t="n">
        <v>0</v>
      </c>
      <c r="N538" t="n">
        <v>0</v>
      </c>
      <c r="O538" t="n">
        <v>0</v>
      </c>
      <c r="P538" t="n">
        <v>0</v>
      </c>
      <c r="Q538" t="n">
        <v>0</v>
      </c>
      <c r="R538" s="2" t="inlineStr"/>
    </row>
    <row r="539" ht="15" customHeight="1">
      <c r="A539" t="inlineStr">
        <is>
          <t>A 21036-2024</t>
        </is>
      </c>
      <c r="B539" s="1" t="n">
        <v>45439.65954861111</v>
      </c>
      <c r="C539" s="1" t="n">
        <v>45966</v>
      </c>
      <c r="D539" t="inlineStr">
        <is>
          <t>ÖREBRO LÄN</t>
        </is>
      </c>
      <c r="E539" t="inlineStr">
        <is>
          <t>ÖREBRO</t>
        </is>
      </c>
      <c r="F539" t="inlineStr">
        <is>
          <t>Övriga Aktiebolag</t>
        </is>
      </c>
      <c r="G539" t="n">
        <v>5.7</v>
      </c>
      <c r="H539" t="n">
        <v>0</v>
      </c>
      <c r="I539" t="n">
        <v>0</v>
      </c>
      <c r="J539" t="n">
        <v>0</v>
      </c>
      <c r="K539" t="n">
        <v>0</v>
      </c>
      <c r="L539" t="n">
        <v>0</v>
      </c>
      <c r="M539" t="n">
        <v>0</v>
      </c>
      <c r="N539" t="n">
        <v>0</v>
      </c>
      <c r="O539" t="n">
        <v>0</v>
      </c>
      <c r="P539" t="n">
        <v>0</v>
      </c>
      <c r="Q539" t="n">
        <v>0</v>
      </c>
      <c r="R539" s="2" t="inlineStr"/>
    </row>
    <row r="540" ht="15" customHeight="1">
      <c r="A540" t="inlineStr">
        <is>
          <t>A 38057-2025</t>
        </is>
      </c>
      <c r="B540" s="1" t="n">
        <v>45882.42570601852</v>
      </c>
      <c r="C540" s="1" t="n">
        <v>45966</v>
      </c>
      <c r="D540" t="inlineStr">
        <is>
          <t>ÖREBRO LÄN</t>
        </is>
      </c>
      <c r="E540" t="inlineStr">
        <is>
          <t>ÖREBRO</t>
        </is>
      </c>
      <c r="G540" t="n">
        <v>3</v>
      </c>
      <c r="H540" t="n">
        <v>0</v>
      </c>
      <c r="I540" t="n">
        <v>0</v>
      </c>
      <c r="J540" t="n">
        <v>0</v>
      </c>
      <c r="K540" t="n">
        <v>0</v>
      </c>
      <c r="L540" t="n">
        <v>0</v>
      </c>
      <c r="M540" t="n">
        <v>0</v>
      </c>
      <c r="N540" t="n">
        <v>0</v>
      </c>
      <c r="O540" t="n">
        <v>0</v>
      </c>
      <c r="P540" t="n">
        <v>0</v>
      </c>
      <c r="Q540" t="n">
        <v>0</v>
      </c>
      <c r="R540" s="2" t="inlineStr"/>
    </row>
    <row r="541" ht="15" customHeight="1">
      <c r="A541" t="inlineStr">
        <is>
          <t>A 8332-2021</t>
        </is>
      </c>
      <c r="B541" s="1" t="n">
        <v>44244</v>
      </c>
      <c r="C541" s="1" t="n">
        <v>45966</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1492-2022</t>
        </is>
      </c>
      <c r="B542" s="1" t="n">
        <v>44573</v>
      </c>
      <c r="C542" s="1" t="n">
        <v>45966</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5946-2021</t>
        </is>
      </c>
      <c r="B543" s="1" t="n">
        <v>44230</v>
      </c>
      <c r="C543" s="1" t="n">
        <v>45966</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45966</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58615-2024</t>
        </is>
      </c>
      <c r="B545" s="1" t="n">
        <v>45635.5587037037</v>
      </c>
      <c r="C545" s="1" t="n">
        <v>45966</v>
      </c>
      <c r="D545" t="inlineStr">
        <is>
          <t>ÖREBRO LÄN</t>
        </is>
      </c>
      <c r="E545" t="inlineStr">
        <is>
          <t>ÖREBRO</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58620-2024</t>
        </is>
      </c>
      <c r="B546" s="1" t="n">
        <v>45635.56246527778</v>
      </c>
      <c r="C546" s="1" t="n">
        <v>45966</v>
      </c>
      <c r="D546" t="inlineStr">
        <is>
          <t>ÖREBRO LÄN</t>
        </is>
      </c>
      <c r="E546" t="inlineStr">
        <is>
          <t>ÖREBRO</t>
        </is>
      </c>
      <c r="F546" t="inlineStr">
        <is>
          <t>Sveaskog</t>
        </is>
      </c>
      <c r="G546" t="n">
        <v>4.5</v>
      </c>
      <c r="H546" t="n">
        <v>0</v>
      </c>
      <c r="I546" t="n">
        <v>0</v>
      </c>
      <c r="J546" t="n">
        <v>0</v>
      </c>
      <c r="K546" t="n">
        <v>0</v>
      </c>
      <c r="L546" t="n">
        <v>0</v>
      </c>
      <c r="M546" t="n">
        <v>0</v>
      </c>
      <c r="N546" t="n">
        <v>0</v>
      </c>
      <c r="O546" t="n">
        <v>0</v>
      </c>
      <c r="P546" t="n">
        <v>0</v>
      </c>
      <c r="Q546" t="n">
        <v>0</v>
      </c>
      <c r="R546" s="2" t="inlineStr"/>
    </row>
    <row r="547" ht="15" customHeight="1">
      <c r="A547" t="inlineStr">
        <is>
          <t>A 1014-2024</t>
        </is>
      </c>
      <c r="B547" s="1" t="n">
        <v>45301</v>
      </c>
      <c r="C547" s="1" t="n">
        <v>45966</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44761.70467592592</v>
      </c>
      <c r="C548" s="1" t="n">
        <v>45966</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852-2025</t>
        </is>
      </c>
      <c r="B549" s="1" t="n">
        <v>45665.60148148148</v>
      </c>
      <c r="C549" s="1" t="n">
        <v>45966</v>
      </c>
      <c r="D549" t="inlineStr">
        <is>
          <t>ÖREBRO LÄN</t>
        </is>
      </c>
      <c r="E549" t="inlineStr">
        <is>
          <t>ÖREBRO</t>
        </is>
      </c>
      <c r="G549" t="n">
        <v>2.9</v>
      </c>
      <c r="H549" t="n">
        <v>0</v>
      </c>
      <c r="I549" t="n">
        <v>0</v>
      </c>
      <c r="J549" t="n">
        <v>0</v>
      </c>
      <c r="K549" t="n">
        <v>0</v>
      </c>
      <c r="L549" t="n">
        <v>0</v>
      </c>
      <c r="M549" t="n">
        <v>0</v>
      </c>
      <c r="N549" t="n">
        <v>0</v>
      </c>
      <c r="O549" t="n">
        <v>0</v>
      </c>
      <c r="P549" t="n">
        <v>0</v>
      </c>
      <c r="Q549" t="n">
        <v>0</v>
      </c>
      <c r="R549" s="2" t="inlineStr"/>
    </row>
    <row r="550" ht="15" customHeight="1">
      <c r="A550" t="inlineStr">
        <is>
          <t>A 34056-2023</t>
        </is>
      </c>
      <c r="B550" s="1" t="n">
        <v>45135</v>
      </c>
      <c r="C550" s="1" t="n">
        <v>45966</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38583-2023</t>
        </is>
      </c>
      <c r="B551" s="1" t="n">
        <v>45162.62861111111</v>
      </c>
      <c r="C551" s="1" t="n">
        <v>45966</v>
      </c>
      <c r="D551" t="inlineStr">
        <is>
          <t>ÖREBRO LÄN</t>
        </is>
      </c>
      <c r="E551" t="inlineStr">
        <is>
          <t>ÖREBRO</t>
        </is>
      </c>
      <c r="G551" t="n">
        <v>5.7</v>
      </c>
      <c r="H551" t="n">
        <v>0</v>
      </c>
      <c r="I551" t="n">
        <v>0</v>
      </c>
      <c r="J551" t="n">
        <v>0</v>
      </c>
      <c r="K551" t="n">
        <v>0</v>
      </c>
      <c r="L551" t="n">
        <v>0</v>
      </c>
      <c r="M551" t="n">
        <v>0</v>
      </c>
      <c r="N551" t="n">
        <v>0</v>
      </c>
      <c r="O551" t="n">
        <v>0</v>
      </c>
      <c r="P551" t="n">
        <v>0</v>
      </c>
      <c r="Q551" t="n">
        <v>0</v>
      </c>
      <c r="R551" s="2" t="inlineStr"/>
    </row>
    <row r="552" ht="15" customHeight="1">
      <c r="A552" t="inlineStr">
        <is>
          <t>A 55745-2023</t>
        </is>
      </c>
      <c r="B552" s="1" t="n">
        <v>45239.44811342593</v>
      </c>
      <c r="C552" s="1" t="n">
        <v>45966</v>
      </c>
      <c r="D552" t="inlineStr">
        <is>
          <t>ÖREBRO LÄN</t>
        </is>
      </c>
      <c r="E552" t="inlineStr">
        <is>
          <t>ÖREBRO</t>
        </is>
      </c>
      <c r="G552" t="n">
        <v>13.3</v>
      </c>
      <c r="H552" t="n">
        <v>0</v>
      </c>
      <c r="I552" t="n">
        <v>0</v>
      </c>
      <c r="J552" t="n">
        <v>0</v>
      </c>
      <c r="K552" t="n">
        <v>0</v>
      </c>
      <c r="L552" t="n">
        <v>0</v>
      </c>
      <c r="M552" t="n">
        <v>0</v>
      </c>
      <c r="N552" t="n">
        <v>0</v>
      </c>
      <c r="O552" t="n">
        <v>0</v>
      </c>
      <c r="P552" t="n">
        <v>0</v>
      </c>
      <c r="Q552" t="n">
        <v>0</v>
      </c>
      <c r="R552" s="2" t="inlineStr"/>
    </row>
    <row r="553" ht="15" customHeight="1">
      <c r="A553" t="inlineStr">
        <is>
          <t>A 38573-2023</t>
        </is>
      </c>
      <c r="B553" s="1" t="n">
        <v>45162.61837962963</v>
      </c>
      <c r="C553" s="1" t="n">
        <v>45966</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13856-2022</t>
        </is>
      </c>
      <c r="B554" s="1" t="n">
        <v>44649.6965162037</v>
      </c>
      <c r="C554" s="1" t="n">
        <v>45966</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52256-2023</t>
        </is>
      </c>
      <c r="B555" s="1" t="n">
        <v>45224.51471064815</v>
      </c>
      <c r="C555" s="1" t="n">
        <v>45966</v>
      </c>
      <c r="D555" t="inlineStr">
        <is>
          <t>ÖREBRO LÄN</t>
        </is>
      </c>
      <c r="E555" t="inlineStr">
        <is>
          <t>ÖREBRO</t>
        </is>
      </c>
      <c r="G555" t="n">
        <v>2.8</v>
      </c>
      <c r="H555" t="n">
        <v>0</v>
      </c>
      <c r="I555" t="n">
        <v>0</v>
      </c>
      <c r="J555" t="n">
        <v>0</v>
      </c>
      <c r="K555" t="n">
        <v>0</v>
      </c>
      <c r="L555" t="n">
        <v>0</v>
      </c>
      <c r="M555" t="n">
        <v>0</v>
      </c>
      <c r="N555" t="n">
        <v>0</v>
      </c>
      <c r="O555" t="n">
        <v>0</v>
      </c>
      <c r="P555" t="n">
        <v>0</v>
      </c>
      <c r="Q555" t="n">
        <v>0</v>
      </c>
      <c r="R555" s="2" t="inlineStr"/>
    </row>
    <row r="556" ht="15" customHeight="1">
      <c r="A556" t="inlineStr">
        <is>
          <t>A 60289-2023</t>
        </is>
      </c>
      <c r="B556" s="1" t="n">
        <v>45257</v>
      </c>
      <c r="C556" s="1" t="n">
        <v>45966</v>
      </c>
      <c r="D556" t="inlineStr">
        <is>
          <t>ÖREBRO LÄN</t>
        </is>
      </c>
      <c r="E556" t="inlineStr">
        <is>
          <t>ÖREBRO</t>
        </is>
      </c>
      <c r="G556" t="n">
        <v>10.9</v>
      </c>
      <c r="H556" t="n">
        <v>0</v>
      </c>
      <c r="I556" t="n">
        <v>0</v>
      </c>
      <c r="J556" t="n">
        <v>0</v>
      </c>
      <c r="K556" t="n">
        <v>0</v>
      </c>
      <c r="L556" t="n">
        <v>0</v>
      </c>
      <c r="M556" t="n">
        <v>0</v>
      </c>
      <c r="N556" t="n">
        <v>0</v>
      </c>
      <c r="O556" t="n">
        <v>0</v>
      </c>
      <c r="P556" t="n">
        <v>0</v>
      </c>
      <c r="Q556" t="n">
        <v>0</v>
      </c>
      <c r="R556" s="2" t="inlineStr"/>
    </row>
    <row r="557" ht="15" customHeight="1">
      <c r="A557" t="inlineStr">
        <is>
          <t>A 12017-2024</t>
        </is>
      </c>
      <c r="B557" s="1" t="n">
        <v>45377</v>
      </c>
      <c r="C557" s="1" t="n">
        <v>45966</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54678-2023</t>
        </is>
      </c>
      <c r="B558" s="1" t="n">
        <v>45235</v>
      </c>
      <c r="C558" s="1" t="n">
        <v>45966</v>
      </c>
      <c r="D558" t="inlineStr">
        <is>
          <t>ÖREBRO LÄN</t>
        </is>
      </c>
      <c r="E558" t="inlineStr">
        <is>
          <t>ÖREBRO</t>
        </is>
      </c>
      <c r="G558" t="n">
        <v>1.7</v>
      </c>
      <c r="H558" t="n">
        <v>0</v>
      </c>
      <c r="I558" t="n">
        <v>0</v>
      </c>
      <c r="J558" t="n">
        <v>0</v>
      </c>
      <c r="K558" t="n">
        <v>0</v>
      </c>
      <c r="L558" t="n">
        <v>0</v>
      </c>
      <c r="M558" t="n">
        <v>0</v>
      </c>
      <c r="N558" t="n">
        <v>0</v>
      </c>
      <c r="O558" t="n">
        <v>0</v>
      </c>
      <c r="P558" t="n">
        <v>0</v>
      </c>
      <c r="Q558" t="n">
        <v>0</v>
      </c>
      <c r="R558" s="2" t="inlineStr"/>
    </row>
    <row r="559" ht="15" customHeight="1">
      <c r="A559" t="inlineStr">
        <is>
          <t>A 190-2024</t>
        </is>
      </c>
      <c r="B559" s="1" t="n">
        <v>45294.61858796296</v>
      </c>
      <c r="C559" s="1" t="n">
        <v>45966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44511-2023</t>
        </is>
      </c>
      <c r="B560" s="1" t="n">
        <v>45189</v>
      </c>
      <c r="C560" s="1" t="n">
        <v>45966</v>
      </c>
      <c r="D560" t="inlineStr">
        <is>
          <t>ÖREBRO LÄN</t>
        </is>
      </c>
      <c r="E560" t="inlineStr">
        <is>
          <t>ÖREBRO</t>
        </is>
      </c>
      <c r="F560" t="inlineStr">
        <is>
          <t>Allmännings- och besparingsskogar</t>
        </is>
      </c>
      <c r="G560" t="n">
        <v>2.7</v>
      </c>
      <c r="H560" t="n">
        <v>0</v>
      </c>
      <c r="I560" t="n">
        <v>0</v>
      </c>
      <c r="J560" t="n">
        <v>0</v>
      </c>
      <c r="K560" t="n">
        <v>0</v>
      </c>
      <c r="L560" t="n">
        <v>0</v>
      </c>
      <c r="M560" t="n">
        <v>0</v>
      </c>
      <c r="N560" t="n">
        <v>0</v>
      </c>
      <c r="O560" t="n">
        <v>0</v>
      </c>
      <c r="P560" t="n">
        <v>0</v>
      </c>
      <c r="Q560" t="n">
        <v>0</v>
      </c>
      <c r="R560" s="2" t="inlineStr"/>
    </row>
    <row r="561" ht="15" customHeight="1">
      <c r="A561" t="inlineStr">
        <is>
          <t>A 52447-2024</t>
        </is>
      </c>
      <c r="B561" s="1" t="n">
        <v>45609.49157407408</v>
      </c>
      <c r="C561" s="1" t="n">
        <v>45966</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43803-2023</t>
        </is>
      </c>
      <c r="B562" s="1" t="n">
        <v>45187</v>
      </c>
      <c r="C562" s="1" t="n">
        <v>45966</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55943-2024</t>
        </is>
      </c>
      <c r="B563" s="1" t="n">
        <v>45623.61278935185</v>
      </c>
      <c r="C563" s="1" t="n">
        <v>45966</v>
      </c>
      <c r="D563" t="inlineStr">
        <is>
          <t>ÖREBRO LÄN</t>
        </is>
      </c>
      <c r="E563" t="inlineStr">
        <is>
          <t>ÖREBRO</t>
        </is>
      </c>
      <c r="G563" t="n">
        <v>4.8</v>
      </c>
      <c r="H563" t="n">
        <v>0</v>
      </c>
      <c r="I563" t="n">
        <v>0</v>
      </c>
      <c r="J563" t="n">
        <v>0</v>
      </c>
      <c r="K563" t="n">
        <v>0</v>
      </c>
      <c r="L563" t="n">
        <v>0</v>
      </c>
      <c r="M563" t="n">
        <v>0</v>
      </c>
      <c r="N563" t="n">
        <v>0</v>
      </c>
      <c r="O563" t="n">
        <v>0</v>
      </c>
      <c r="P563" t="n">
        <v>0</v>
      </c>
      <c r="Q563" t="n">
        <v>0</v>
      </c>
      <c r="R563" s="2" t="inlineStr"/>
    </row>
    <row r="564" ht="15" customHeight="1">
      <c r="A564" t="inlineStr">
        <is>
          <t>A 60028-2024</t>
        </is>
      </c>
      <c r="B564" s="1" t="n">
        <v>45642</v>
      </c>
      <c r="C564" s="1" t="n">
        <v>45966</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6794-2025</t>
        </is>
      </c>
      <c r="B565" s="1" t="n">
        <v>45700.66429398148</v>
      </c>
      <c r="C565" s="1" t="n">
        <v>45966</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2596-2022</t>
        </is>
      </c>
      <c r="B566" s="1" t="n">
        <v>44580</v>
      </c>
      <c r="C566" s="1" t="n">
        <v>45966</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13857-2022</t>
        </is>
      </c>
      <c r="B567" s="1" t="n">
        <v>44649</v>
      </c>
      <c r="C567" s="1" t="n">
        <v>45966</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55692-2023</t>
        </is>
      </c>
      <c r="B568" s="1" t="n">
        <v>45239</v>
      </c>
      <c r="C568" s="1" t="n">
        <v>45966</v>
      </c>
      <c r="D568" t="inlineStr">
        <is>
          <t>ÖREBRO LÄN</t>
        </is>
      </c>
      <c r="E568" t="inlineStr">
        <is>
          <t>ÖREBRO</t>
        </is>
      </c>
      <c r="F568" t="inlineStr">
        <is>
          <t>Övriga Aktiebolag</t>
        </is>
      </c>
      <c r="G568" t="n">
        <v>0.4</v>
      </c>
      <c r="H568" t="n">
        <v>0</v>
      </c>
      <c r="I568" t="n">
        <v>0</v>
      </c>
      <c r="J568" t="n">
        <v>0</v>
      </c>
      <c r="K568" t="n">
        <v>0</v>
      </c>
      <c r="L568" t="n">
        <v>0</v>
      </c>
      <c r="M568" t="n">
        <v>0</v>
      </c>
      <c r="N568" t="n">
        <v>0</v>
      </c>
      <c r="O568" t="n">
        <v>0</v>
      </c>
      <c r="P568" t="n">
        <v>0</v>
      </c>
      <c r="Q568" t="n">
        <v>0</v>
      </c>
      <c r="R568" s="2" t="inlineStr"/>
    </row>
    <row r="569" ht="15" customHeight="1">
      <c r="A569" t="inlineStr">
        <is>
          <t>A 15866-2022</t>
        </is>
      </c>
      <c r="B569" s="1" t="n">
        <v>44664</v>
      </c>
      <c r="C569" s="1" t="n">
        <v>45966</v>
      </c>
      <c r="D569" t="inlineStr">
        <is>
          <t>ÖREBRO LÄN</t>
        </is>
      </c>
      <c r="E569" t="inlineStr">
        <is>
          <t>ÖREBRO</t>
        </is>
      </c>
      <c r="G569" t="n">
        <v>4</v>
      </c>
      <c r="H569" t="n">
        <v>0</v>
      </c>
      <c r="I569" t="n">
        <v>0</v>
      </c>
      <c r="J569" t="n">
        <v>0</v>
      </c>
      <c r="K569" t="n">
        <v>0</v>
      </c>
      <c r="L569" t="n">
        <v>0</v>
      </c>
      <c r="M569" t="n">
        <v>0</v>
      </c>
      <c r="N569" t="n">
        <v>0</v>
      </c>
      <c r="O569" t="n">
        <v>0</v>
      </c>
      <c r="P569" t="n">
        <v>0</v>
      </c>
      <c r="Q569" t="n">
        <v>0</v>
      </c>
      <c r="R569" s="2" t="inlineStr"/>
    </row>
    <row r="570" ht="15" customHeight="1">
      <c r="A570" t="inlineStr">
        <is>
          <t>A 28054-2022</t>
        </is>
      </c>
      <c r="B570" s="1" t="n">
        <v>44746.41938657407</v>
      </c>
      <c r="C570" s="1" t="n">
        <v>45966</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541-2025</t>
        </is>
      </c>
      <c r="B571" s="1" t="n">
        <v>45664.52034722222</v>
      </c>
      <c r="C571" s="1" t="n">
        <v>45966</v>
      </c>
      <c r="D571" t="inlineStr">
        <is>
          <t>ÖREBRO LÄN</t>
        </is>
      </c>
      <c r="E571" t="inlineStr">
        <is>
          <t>ÖREBRO</t>
        </is>
      </c>
      <c r="G571" t="n">
        <v>2.2</v>
      </c>
      <c r="H571" t="n">
        <v>0</v>
      </c>
      <c r="I571" t="n">
        <v>0</v>
      </c>
      <c r="J571" t="n">
        <v>0</v>
      </c>
      <c r="K571" t="n">
        <v>0</v>
      </c>
      <c r="L571" t="n">
        <v>0</v>
      </c>
      <c r="M571" t="n">
        <v>0</v>
      </c>
      <c r="N571" t="n">
        <v>0</v>
      </c>
      <c r="O571" t="n">
        <v>0</v>
      </c>
      <c r="P571" t="n">
        <v>0</v>
      </c>
      <c r="Q571" t="n">
        <v>0</v>
      </c>
      <c r="R571" s="2" t="inlineStr"/>
    </row>
    <row r="572" ht="15" customHeight="1">
      <c r="A572" t="inlineStr">
        <is>
          <t>A 53143-2023</t>
        </is>
      </c>
      <c r="B572" s="1" t="n">
        <v>45229</v>
      </c>
      <c r="C572" s="1" t="n">
        <v>45966</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25407-2021</t>
        </is>
      </c>
      <c r="B573" s="1" t="n">
        <v>44342</v>
      </c>
      <c r="C573" s="1" t="n">
        <v>45966</v>
      </c>
      <c r="D573" t="inlineStr">
        <is>
          <t>ÖREBRO LÄN</t>
        </is>
      </c>
      <c r="E573" t="inlineStr">
        <is>
          <t>ÖREBRO</t>
        </is>
      </c>
      <c r="F573" t="inlineStr">
        <is>
          <t>Kommuner</t>
        </is>
      </c>
      <c r="G573" t="n">
        <v>7.2</v>
      </c>
      <c r="H573" t="n">
        <v>0</v>
      </c>
      <c r="I573" t="n">
        <v>0</v>
      </c>
      <c r="J573" t="n">
        <v>0</v>
      </c>
      <c r="K573" t="n">
        <v>0</v>
      </c>
      <c r="L573" t="n">
        <v>0</v>
      </c>
      <c r="M573" t="n">
        <v>0</v>
      </c>
      <c r="N573" t="n">
        <v>0</v>
      </c>
      <c r="O573" t="n">
        <v>0</v>
      </c>
      <c r="P573" t="n">
        <v>0</v>
      </c>
      <c r="Q573" t="n">
        <v>0</v>
      </c>
      <c r="R573" s="2" t="inlineStr"/>
    </row>
    <row r="574" ht="15" customHeight="1">
      <c r="A574" t="inlineStr">
        <is>
          <t>A 45027-2024</t>
        </is>
      </c>
      <c r="B574" s="1" t="n">
        <v>45575</v>
      </c>
      <c r="C574" s="1" t="n">
        <v>45966</v>
      </c>
      <c r="D574" t="inlineStr">
        <is>
          <t>ÖREBRO LÄN</t>
        </is>
      </c>
      <c r="E574" t="inlineStr">
        <is>
          <t>ÖREBRO</t>
        </is>
      </c>
      <c r="G574" t="n">
        <v>6.3</v>
      </c>
      <c r="H574" t="n">
        <v>0</v>
      </c>
      <c r="I574" t="n">
        <v>0</v>
      </c>
      <c r="J574" t="n">
        <v>0</v>
      </c>
      <c r="K574" t="n">
        <v>0</v>
      </c>
      <c r="L574" t="n">
        <v>0</v>
      </c>
      <c r="M574" t="n">
        <v>0</v>
      </c>
      <c r="N574" t="n">
        <v>0</v>
      </c>
      <c r="O574" t="n">
        <v>0</v>
      </c>
      <c r="P574" t="n">
        <v>0</v>
      </c>
      <c r="Q574" t="n">
        <v>0</v>
      </c>
      <c r="R574" s="2" t="inlineStr"/>
    </row>
    <row r="575" ht="15" customHeight="1">
      <c r="A575" t="inlineStr">
        <is>
          <t>A 16140-2023</t>
        </is>
      </c>
      <c r="B575" s="1" t="n">
        <v>45027.6433912037</v>
      </c>
      <c r="C575" s="1" t="n">
        <v>45966</v>
      </c>
      <c r="D575" t="inlineStr">
        <is>
          <t>ÖREBRO LÄN</t>
        </is>
      </c>
      <c r="E575" t="inlineStr">
        <is>
          <t>ÖREBRO</t>
        </is>
      </c>
      <c r="G575" t="n">
        <v>2</v>
      </c>
      <c r="H575" t="n">
        <v>0</v>
      </c>
      <c r="I575" t="n">
        <v>0</v>
      </c>
      <c r="J575" t="n">
        <v>0</v>
      </c>
      <c r="K575" t="n">
        <v>0</v>
      </c>
      <c r="L575" t="n">
        <v>0</v>
      </c>
      <c r="M575" t="n">
        <v>0</v>
      </c>
      <c r="N575" t="n">
        <v>0</v>
      </c>
      <c r="O575" t="n">
        <v>0</v>
      </c>
      <c r="P575" t="n">
        <v>0</v>
      </c>
      <c r="Q575" t="n">
        <v>0</v>
      </c>
      <c r="R575" s="2" t="inlineStr"/>
    </row>
    <row r="576" ht="15" customHeight="1">
      <c r="A576" t="inlineStr">
        <is>
          <t>A 52391-2024</t>
        </is>
      </c>
      <c r="B576" s="1" t="n">
        <v>45609.43180555556</v>
      </c>
      <c r="C576" s="1" t="n">
        <v>45966</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52401-2024</t>
        </is>
      </c>
      <c r="B577" s="1" t="n">
        <v>45609.44553240741</v>
      </c>
      <c r="C577" s="1" t="n">
        <v>45966</v>
      </c>
      <c r="D577" t="inlineStr">
        <is>
          <t>ÖREBRO LÄN</t>
        </is>
      </c>
      <c r="E577" t="inlineStr">
        <is>
          <t>ÖREBRO</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26338-2021</t>
        </is>
      </c>
      <c r="B578" s="1" t="n">
        <v>44347</v>
      </c>
      <c r="C578" s="1" t="n">
        <v>45966</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53234-2023</t>
        </is>
      </c>
      <c r="B579" s="1" t="n">
        <v>45229</v>
      </c>
      <c r="C579" s="1" t="n">
        <v>45966</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59757-2023</t>
        </is>
      </c>
      <c r="B580" s="1" t="n">
        <v>45257.40833333333</v>
      </c>
      <c r="C580" s="1" t="n">
        <v>45966</v>
      </c>
      <c r="D580" t="inlineStr">
        <is>
          <t>ÖREBRO LÄN</t>
        </is>
      </c>
      <c r="E580" t="inlineStr">
        <is>
          <t>ÖREBRO</t>
        </is>
      </c>
      <c r="G580" t="n">
        <v>1</v>
      </c>
      <c r="H580" t="n">
        <v>0</v>
      </c>
      <c r="I580" t="n">
        <v>0</v>
      </c>
      <c r="J580" t="n">
        <v>0</v>
      </c>
      <c r="K580" t="n">
        <v>0</v>
      </c>
      <c r="L580" t="n">
        <v>0</v>
      </c>
      <c r="M580" t="n">
        <v>0</v>
      </c>
      <c r="N580" t="n">
        <v>0</v>
      </c>
      <c r="O580" t="n">
        <v>0</v>
      </c>
      <c r="P580" t="n">
        <v>0</v>
      </c>
      <c r="Q580" t="n">
        <v>0</v>
      </c>
      <c r="R580" s="2" t="inlineStr"/>
    </row>
    <row r="581" ht="15" customHeight="1">
      <c r="A581" t="inlineStr">
        <is>
          <t>A 11067-2025</t>
        </is>
      </c>
      <c r="B581" s="1" t="n">
        <v>45723</v>
      </c>
      <c r="C581" s="1" t="n">
        <v>45966</v>
      </c>
      <c r="D581" t="inlineStr">
        <is>
          <t>ÖREBRO LÄN</t>
        </is>
      </c>
      <c r="E581" t="inlineStr">
        <is>
          <t>ÖREBRO</t>
        </is>
      </c>
      <c r="G581" t="n">
        <v>3.1</v>
      </c>
      <c r="H581" t="n">
        <v>0</v>
      </c>
      <c r="I581" t="n">
        <v>0</v>
      </c>
      <c r="J581" t="n">
        <v>0</v>
      </c>
      <c r="K581" t="n">
        <v>0</v>
      </c>
      <c r="L581" t="n">
        <v>0</v>
      </c>
      <c r="M581" t="n">
        <v>0</v>
      </c>
      <c r="N581" t="n">
        <v>0</v>
      </c>
      <c r="O581" t="n">
        <v>0</v>
      </c>
      <c r="P581" t="n">
        <v>0</v>
      </c>
      <c r="Q581" t="n">
        <v>0</v>
      </c>
      <c r="R581" s="2" t="inlineStr"/>
    </row>
    <row r="582" ht="15" customHeight="1">
      <c r="A582" t="inlineStr">
        <is>
          <t>A 3659-2025</t>
        </is>
      </c>
      <c r="B582" s="1" t="n">
        <v>45681</v>
      </c>
      <c r="C582" s="1" t="n">
        <v>45966</v>
      </c>
      <c r="D582" t="inlineStr">
        <is>
          <t>ÖREBRO LÄN</t>
        </is>
      </c>
      <c r="E582" t="inlineStr">
        <is>
          <t>ÖREBRO</t>
        </is>
      </c>
      <c r="G582" t="n">
        <v>15.8</v>
      </c>
      <c r="H582" t="n">
        <v>0</v>
      </c>
      <c r="I582" t="n">
        <v>0</v>
      </c>
      <c r="J582" t="n">
        <v>0</v>
      </c>
      <c r="K582" t="n">
        <v>0</v>
      </c>
      <c r="L582" t="n">
        <v>0</v>
      </c>
      <c r="M582" t="n">
        <v>0</v>
      </c>
      <c r="N582" t="n">
        <v>0</v>
      </c>
      <c r="O582" t="n">
        <v>0</v>
      </c>
      <c r="P582" t="n">
        <v>0</v>
      </c>
      <c r="Q582" t="n">
        <v>0</v>
      </c>
      <c r="R582" s="2" t="inlineStr"/>
    </row>
    <row r="583" ht="15" customHeight="1">
      <c r="A583" t="inlineStr">
        <is>
          <t>A 13347-2023</t>
        </is>
      </c>
      <c r="B583" s="1" t="n">
        <v>45004</v>
      </c>
      <c r="C583" s="1" t="n">
        <v>45966</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6752-2022</t>
        </is>
      </c>
      <c r="B584" s="1" t="n">
        <v>44602.48082175926</v>
      </c>
      <c r="C584" s="1" t="n">
        <v>45966</v>
      </c>
      <c r="D584" t="inlineStr">
        <is>
          <t>ÖREBRO LÄN</t>
        </is>
      </c>
      <c r="E584" t="inlineStr">
        <is>
          <t>ÖREBRO</t>
        </is>
      </c>
      <c r="G584" t="n">
        <v>3.1</v>
      </c>
      <c r="H584" t="n">
        <v>0</v>
      </c>
      <c r="I584" t="n">
        <v>0</v>
      </c>
      <c r="J584" t="n">
        <v>0</v>
      </c>
      <c r="K584" t="n">
        <v>0</v>
      </c>
      <c r="L584" t="n">
        <v>0</v>
      </c>
      <c r="M584" t="n">
        <v>0</v>
      </c>
      <c r="N584" t="n">
        <v>0</v>
      </c>
      <c r="O584" t="n">
        <v>0</v>
      </c>
      <c r="P584" t="n">
        <v>0</v>
      </c>
      <c r="Q584" t="n">
        <v>0</v>
      </c>
      <c r="R584" s="2" t="inlineStr"/>
    </row>
    <row r="585" ht="15" customHeight="1">
      <c r="A585" t="inlineStr">
        <is>
          <t>A 57867-2024</t>
        </is>
      </c>
      <c r="B585" s="1" t="n">
        <v>45631.43864583333</v>
      </c>
      <c r="C585" s="1" t="n">
        <v>45966</v>
      </c>
      <c r="D585" t="inlineStr">
        <is>
          <t>ÖREBRO LÄN</t>
        </is>
      </c>
      <c r="E585" t="inlineStr">
        <is>
          <t>ÖREBRO</t>
        </is>
      </c>
      <c r="G585" t="n">
        <v>1.5</v>
      </c>
      <c r="H585" t="n">
        <v>0</v>
      </c>
      <c r="I585" t="n">
        <v>0</v>
      </c>
      <c r="J585" t="n">
        <v>0</v>
      </c>
      <c r="K585" t="n">
        <v>0</v>
      </c>
      <c r="L585" t="n">
        <v>0</v>
      </c>
      <c r="M585" t="n">
        <v>0</v>
      </c>
      <c r="N585" t="n">
        <v>0</v>
      </c>
      <c r="O585" t="n">
        <v>0</v>
      </c>
      <c r="P585" t="n">
        <v>0</v>
      </c>
      <c r="Q585" t="n">
        <v>0</v>
      </c>
      <c r="R585" s="2" t="inlineStr"/>
    </row>
    <row r="586" ht="15" customHeight="1">
      <c r="A586" t="inlineStr">
        <is>
          <t>A 13355-2023</t>
        </is>
      </c>
      <c r="B586" s="1" t="n">
        <v>45004</v>
      </c>
      <c r="C586" s="1" t="n">
        <v>45966</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14544-2023</t>
        </is>
      </c>
      <c r="B587" s="1" t="n">
        <v>45013</v>
      </c>
      <c r="C587" s="1" t="n">
        <v>45966</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71272-2021</t>
        </is>
      </c>
      <c r="B588" s="1" t="n">
        <v>44539.61571759259</v>
      </c>
      <c r="C588" s="1" t="n">
        <v>45966</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3120-2022</t>
        </is>
      </c>
      <c r="B589" s="1" t="n">
        <v>44582</v>
      </c>
      <c r="C589" s="1" t="n">
        <v>45966</v>
      </c>
      <c r="D589" t="inlineStr">
        <is>
          <t>ÖREBRO LÄN</t>
        </is>
      </c>
      <c r="E589" t="inlineStr">
        <is>
          <t>ÖREBRO</t>
        </is>
      </c>
      <c r="G589" t="n">
        <v>0.6</v>
      </c>
      <c r="H589" t="n">
        <v>0</v>
      </c>
      <c r="I589" t="n">
        <v>0</v>
      </c>
      <c r="J589" t="n">
        <v>0</v>
      </c>
      <c r="K589" t="n">
        <v>0</v>
      </c>
      <c r="L589" t="n">
        <v>0</v>
      </c>
      <c r="M589" t="n">
        <v>0</v>
      </c>
      <c r="N589" t="n">
        <v>0</v>
      </c>
      <c r="O589" t="n">
        <v>0</v>
      </c>
      <c r="P589" t="n">
        <v>0</v>
      </c>
      <c r="Q589" t="n">
        <v>0</v>
      </c>
      <c r="R589" s="2" t="inlineStr"/>
    </row>
    <row r="590" ht="15" customHeight="1">
      <c r="A590" t="inlineStr">
        <is>
          <t>A 19388-2024</t>
        </is>
      </c>
      <c r="B590" s="1" t="n">
        <v>45429.37775462963</v>
      </c>
      <c r="C590" s="1" t="n">
        <v>45966</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40597-2021</t>
        </is>
      </c>
      <c r="B591" s="1" t="n">
        <v>44420</v>
      </c>
      <c r="C591" s="1" t="n">
        <v>45966</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2318-2023</t>
        </is>
      </c>
      <c r="B592" s="1" t="n">
        <v>44942</v>
      </c>
      <c r="C592" s="1" t="n">
        <v>45966</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20121-2024</t>
        </is>
      </c>
      <c r="B593" s="1" t="n">
        <v>45434</v>
      </c>
      <c r="C593" s="1" t="n">
        <v>45966</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20150-2024</t>
        </is>
      </c>
      <c r="B594" s="1" t="n">
        <v>45434.57969907407</v>
      </c>
      <c r="C594" s="1" t="n">
        <v>45966</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767-2024</t>
        </is>
      </c>
      <c r="B595" s="1" t="n">
        <v>45300.51892361111</v>
      </c>
      <c r="C595" s="1" t="n">
        <v>45966</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52441-2024</t>
        </is>
      </c>
      <c r="B596" s="1" t="n">
        <v>45609.48451388889</v>
      </c>
      <c r="C596" s="1" t="n">
        <v>45966</v>
      </c>
      <c r="D596" t="inlineStr">
        <is>
          <t>ÖREBRO LÄN</t>
        </is>
      </c>
      <c r="E596" t="inlineStr">
        <is>
          <t>ÖREBRO</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58611-2024</t>
        </is>
      </c>
      <c r="B597" s="1" t="n">
        <v>45635.55555555555</v>
      </c>
      <c r="C597" s="1" t="n">
        <v>45966</v>
      </c>
      <c r="D597" t="inlineStr">
        <is>
          <t>ÖREBRO LÄN</t>
        </is>
      </c>
      <c r="E597" t="inlineStr">
        <is>
          <t>ÖREBRO</t>
        </is>
      </c>
      <c r="F597" t="inlineStr">
        <is>
          <t>Sveaskog</t>
        </is>
      </c>
      <c r="G597" t="n">
        <v>0.3</v>
      </c>
      <c r="H597" t="n">
        <v>0</v>
      </c>
      <c r="I597" t="n">
        <v>0</v>
      </c>
      <c r="J597" t="n">
        <v>0</v>
      </c>
      <c r="K597" t="n">
        <v>0</v>
      </c>
      <c r="L597" t="n">
        <v>0</v>
      </c>
      <c r="M597" t="n">
        <v>0</v>
      </c>
      <c r="N597" t="n">
        <v>0</v>
      </c>
      <c r="O597" t="n">
        <v>0</v>
      </c>
      <c r="P597" t="n">
        <v>0</v>
      </c>
      <c r="Q597" t="n">
        <v>0</v>
      </c>
      <c r="R597" s="2" t="inlineStr"/>
    </row>
    <row r="598" ht="15" customHeight="1">
      <c r="A598" t="inlineStr">
        <is>
          <t>A 38075-2022</t>
        </is>
      </c>
      <c r="B598" s="1" t="n">
        <v>44811</v>
      </c>
      <c r="C598" s="1" t="n">
        <v>45966</v>
      </c>
      <c r="D598" t="inlineStr">
        <is>
          <t>ÖREBRO LÄN</t>
        </is>
      </c>
      <c r="E598" t="inlineStr">
        <is>
          <t>ÖREBRO</t>
        </is>
      </c>
      <c r="G598" t="n">
        <v>0.2</v>
      </c>
      <c r="H598" t="n">
        <v>0</v>
      </c>
      <c r="I598" t="n">
        <v>0</v>
      </c>
      <c r="J598" t="n">
        <v>0</v>
      </c>
      <c r="K598" t="n">
        <v>0</v>
      </c>
      <c r="L598" t="n">
        <v>0</v>
      </c>
      <c r="M598" t="n">
        <v>0</v>
      </c>
      <c r="N598" t="n">
        <v>0</v>
      </c>
      <c r="O598" t="n">
        <v>0</v>
      </c>
      <c r="P598" t="n">
        <v>0</v>
      </c>
      <c r="Q598" t="n">
        <v>0</v>
      </c>
      <c r="R598" s="2" t="inlineStr"/>
    </row>
    <row r="599" ht="15" customHeight="1">
      <c r="A599" t="inlineStr">
        <is>
          <t>A 19831-2021</t>
        </is>
      </c>
      <c r="B599" s="1" t="n">
        <v>44313</v>
      </c>
      <c r="C599" s="1" t="n">
        <v>45966</v>
      </c>
      <c r="D599" t="inlineStr">
        <is>
          <t>ÖREBRO LÄN</t>
        </is>
      </c>
      <c r="E599" t="inlineStr">
        <is>
          <t>ÖREBRO</t>
        </is>
      </c>
      <c r="G599" t="n">
        <v>3.2</v>
      </c>
      <c r="H599" t="n">
        <v>0</v>
      </c>
      <c r="I599" t="n">
        <v>0</v>
      </c>
      <c r="J599" t="n">
        <v>0</v>
      </c>
      <c r="K599" t="n">
        <v>0</v>
      </c>
      <c r="L599" t="n">
        <v>0</v>
      </c>
      <c r="M599" t="n">
        <v>0</v>
      </c>
      <c r="N599" t="n">
        <v>0</v>
      </c>
      <c r="O599" t="n">
        <v>0</v>
      </c>
      <c r="P599" t="n">
        <v>0</v>
      </c>
      <c r="Q599" t="n">
        <v>0</v>
      </c>
      <c r="R599" s="2" t="inlineStr"/>
    </row>
    <row r="600" ht="15" customHeight="1">
      <c r="A600" t="inlineStr">
        <is>
          <t>A 5133-2024</t>
        </is>
      </c>
      <c r="B600" s="1" t="n">
        <v>45330</v>
      </c>
      <c r="C600" s="1" t="n">
        <v>45966</v>
      </c>
      <c r="D600" t="inlineStr">
        <is>
          <t>ÖREBRO LÄN</t>
        </is>
      </c>
      <c r="E600" t="inlineStr">
        <is>
          <t>ÖREBRO</t>
        </is>
      </c>
      <c r="G600" t="n">
        <v>0.5</v>
      </c>
      <c r="H600" t="n">
        <v>0</v>
      </c>
      <c r="I600" t="n">
        <v>0</v>
      </c>
      <c r="J600" t="n">
        <v>0</v>
      </c>
      <c r="K600" t="n">
        <v>0</v>
      </c>
      <c r="L600" t="n">
        <v>0</v>
      </c>
      <c r="M600" t="n">
        <v>0</v>
      </c>
      <c r="N600" t="n">
        <v>0</v>
      </c>
      <c r="O600" t="n">
        <v>0</v>
      </c>
      <c r="P600" t="n">
        <v>0</v>
      </c>
      <c r="Q600" t="n">
        <v>0</v>
      </c>
      <c r="R600" s="2" t="inlineStr"/>
    </row>
    <row r="601" ht="15" customHeight="1">
      <c r="A601" t="inlineStr">
        <is>
          <t>A 58219-2024</t>
        </is>
      </c>
      <c r="B601" s="1" t="n">
        <v>45632</v>
      </c>
      <c r="C601" s="1" t="n">
        <v>45966</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52477-2024</t>
        </is>
      </c>
      <c r="B602" s="1" t="n">
        <v>45609</v>
      </c>
      <c r="C602" s="1" t="n">
        <v>45966</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10368-2021</t>
        </is>
      </c>
      <c r="B603" s="1" t="n">
        <v>44257</v>
      </c>
      <c r="C603" s="1" t="n">
        <v>45966</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4284-2025</t>
        </is>
      </c>
      <c r="B604" s="1" t="n">
        <v>45685</v>
      </c>
      <c r="C604" s="1" t="n">
        <v>45966</v>
      </c>
      <c r="D604" t="inlineStr">
        <is>
          <t>ÖREBRO LÄN</t>
        </is>
      </c>
      <c r="E604" t="inlineStr">
        <is>
          <t>ÖREBRO</t>
        </is>
      </c>
      <c r="G604" t="n">
        <v>1.7</v>
      </c>
      <c r="H604" t="n">
        <v>0</v>
      </c>
      <c r="I604" t="n">
        <v>0</v>
      </c>
      <c r="J604" t="n">
        <v>0</v>
      </c>
      <c r="K604" t="n">
        <v>0</v>
      </c>
      <c r="L604" t="n">
        <v>0</v>
      </c>
      <c r="M604" t="n">
        <v>0</v>
      </c>
      <c r="N604" t="n">
        <v>0</v>
      </c>
      <c r="O604" t="n">
        <v>0</v>
      </c>
      <c r="P604" t="n">
        <v>0</v>
      </c>
      <c r="Q604" t="n">
        <v>0</v>
      </c>
      <c r="R604" s="2" t="inlineStr"/>
    </row>
    <row r="605" ht="15" customHeight="1">
      <c r="A605" t="inlineStr">
        <is>
          <t>A 2771-2023</t>
        </is>
      </c>
      <c r="B605" s="1" t="n">
        <v>44944.64704861111</v>
      </c>
      <c r="C605" s="1" t="n">
        <v>45966</v>
      </c>
      <c r="D605" t="inlineStr">
        <is>
          <t>ÖREBRO LÄN</t>
        </is>
      </c>
      <c r="E605" t="inlineStr">
        <is>
          <t>ÖREBRO</t>
        </is>
      </c>
      <c r="G605" t="n">
        <v>15.4</v>
      </c>
      <c r="H605" t="n">
        <v>0</v>
      </c>
      <c r="I605" t="n">
        <v>0</v>
      </c>
      <c r="J605" t="n">
        <v>0</v>
      </c>
      <c r="K605" t="n">
        <v>0</v>
      </c>
      <c r="L605" t="n">
        <v>0</v>
      </c>
      <c r="M605" t="n">
        <v>0</v>
      </c>
      <c r="N605" t="n">
        <v>0</v>
      </c>
      <c r="O605" t="n">
        <v>0</v>
      </c>
      <c r="P605" t="n">
        <v>0</v>
      </c>
      <c r="Q605" t="n">
        <v>0</v>
      </c>
      <c r="R605" s="2" t="inlineStr"/>
    </row>
    <row r="606" ht="15" customHeight="1">
      <c r="A606" t="inlineStr">
        <is>
          <t>A 2076-2025</t>
        </is>
      </c>
      <c r="B606" s="1" t="n">
        <v>45672</v>
      </c>
      <c r="C606" s="1" t="n">
        <v>45966</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58216-2024</t>
        </is>
      </c>
      <c r="B607" s="1" t="n">
        <v>45632</v>
      </c>
      <c r="C607" s="1" t="n">
        <v>45966</v>
      </c>
      <c r="D607" t="inlineStr">
        <is>
          <t>ÖREBRO LÄN</t>
        </is>
      </c>
      <c r="E607" t="inlineStr">
        <is>
          <t>ÖREBRO</t>
        </is>
      </c>
      <c r="G607" t="n">
        <v>1.9</v>
      </c>
      <c r="H607" t="n">
        <v>0</v>
      </c>
      <c r="I607" t="n">
        <v>0</v>
      </c>
      <c r="J607" t="n">
        <v>0</v>
      </c>
      <c r="K607" t="n">
        <v>0</v>
      </c>
      <c r="L607" t="n">
        <v>0</v>
      </c>
      <c r="M607" t="n">
        <v>0</v>
      </c>
      <c r="N607" t="n">
        <v>0</v>
      </c>
      <c r="O607" t="n">
        <v>0</v>
      </c>
      <c r="P607" t="n">
        <v>0</v>
      </c>
      <c r="Q607" t="n">
        <v>0</v>
      </c>
      <c r="R607" s="2" t="inlineStr"/>
    </row>
    <row r="608" ht="15" customHeight="1">
      <c r="A608" t="inlineStr">
        <is>
          <t>A 3763-2025</t>
        </is>
      </c>
      <c r="B608" s="1" t="n">
        <v>45681</v>
      </c>
      <c r="C608" s="1" t="n">
        <v>45966</v>
      </c>
      <c r="D608" t="inlineStr">
        <is>
          <t>ÖREBRO LÄN</t>
        </is>
      </c>
      <c r="E608" t="inlineStr">
        <is>
          <t>ÖREBRO</t>
        </is>
      </c>
      <c r="G608" t="n">
        <v>10.1</v>
      </c>
      <c r="H608" t="n">
        <v>0</v>
      </c>
      <c r="I608" t="n">
        <v>0</v>
      </c>
      <c r="J608" t="n">
        <v>0</v>
      </c>
      <c r="K608" t="n">
        <v>0</v>
      </c>
      <c r="L608" t="n">
        <v>0</v>
      </c>
      <c r="M608" t="n">
        <v>0</v>
      </c>
      <c r="N608" t="n">
        <v>0</v>
      </c>
      <c r="O608" t="n">
        <v>0</v>
      </c>
      <c r="P608" t="n">
        <v>0</v>
      </c>
      <c r="Q608" t="n">
        <v>0</v>
      </c>
      <c r="R608" s="2" t="inlineStr"/>
    </row>
    <row r="609">
      <c r="A609" t="inlineStr">
        <is>
          <t>A 5324-2024</t>
        </is>
      </c>
      <c r="B609" s="1" t="n">
        <v>45331</v>
      </c>
      <c r="C609" s="1" t="n">
        <v>45966</v>
      </c>
      <c r="D609" t="inlineStr">
        <is>
          <t>ÖREBRO LÄN</t>
        </is>
      </c>
      <c r="E609" t="inlineStr">
        <is>
          <t>ÖREBRO</t>
        </is>
      </c>
      <c r="G609" t="n">
        <v>1.5</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2025-11-05T10:06:32Z</dcterms:created>
  <dcterms:modified xmlns:dcterms="http://purl.org/dc/terms/" xmlns:xsi="http://www.w3.org/2001/XMLSchema-instance" xsi:type="dcterms:W3CDTF">2025-11-05T10:06:32Z</dcterms:modified>
</cp:coreProperties>
</file>