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45809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45809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45809</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45809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45809</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45809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45809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45809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45809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45809</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45809</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45809</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45809</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45809</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45809</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55197-2023</t>
        </is>
      </c>
      <c r="B17" s="1" t="n">
        <v>45237</v>
      </c>
      <c r="C17" s="1" t="n">
        <v>45809</v>
      </c>
      <c r="D17" t="inlineStr">
        <is>
          <t>ÖREBRO LÄN</t>
        </is>
      </c>
      <c r="E17" t="inlineStr">
        <is>
          <t>ÖREBRO</t>
        </is>
      </c>
      <c r="G17" t="n">
        <v>1.3</v>
      </c>
      <c r="H17" t="n">
        <v>3</v>
      </c>
      <c r="I17" t="n">
        <v>1</v>
      </c>
      <c r="J17" t="n">
        <v>5</v>
      </c>
      <c r="K17" t="n">
        <v>0</v>
      </c>
      <c r="L17" t="n">
        <v>0</v>
      </c>
      <c r="M17" t="n">
        <v>0</v>
      </c>
      <c r="N17" t="n">
        <v>0</v>
      </c>
      <c r="O17" t="n">
        <v>5</v>
      </c>
      <c r="P17" t="n">
        <v>0</v>
      </c>
      <c r="Q17" t="n">
        <v>6</v>
      </c>
      <c r="R17" s="2" t="inlineStr">
        <is>
          <t>Buskskvätta
Dånvivel
Entita
Fläckstumpbagge
Gulsparv
Spindelbock</t>
        </is>
      </c>
      <c r="S17">
        <f>HYPERLINK("https://klasma.github.io/Logging_1880/artfynd/A 55197-2023 artfynd.xlsx", "A 55197-2023")</f>
        <v/>
      </c>
      <c r="T17">
        <f>HYPERLINK("https://klasma.github.io/Logging_1880/kartor/A 55197-2023 karta.png", "A 55197-2023")</f>
        <v/>
      </c>
      <c r="V17">
        <f>HYPERLINK("https://klasma.github.io/Logging_1880/klagomål/A 55197-2023 FSC-klagomål.docx", "A 55197-2023")</f>
        <v/>
      </c>
      <c r="W17">
        <f>HYPERLINK("https://klasma.github.io/Logging_1880/klagomålsmail/A 55197-2023 FSC-klagomål mail.docx", "A 55197-2023")</f>
        <v/>
      </c>
      <c r="X17">
        <f>HYPERLINK("https://klasma.github.io/Logging_1880/tillsyn/A 55197-2023 tillsynsbegäran.docx", "A 55197-2023")</f>
        <v/>
      </c>
      <c r="Y17">
        <f>HYPERLINK("https://klasma.github.io/Logging_1880/tillsynsmail/A 55197-2023 tillsynsbegäran mail.docx", "A 55197-2023")</f>
        <v/>
      </c>
      <c r="Z17">
        <f>HYPERLINK("https://klasma.github.io/Logging_1880/fåglar/A 55197-2023 prioriterade fågelarter.docx", "A 55197-2023")</f>
        <v/>
      </c>
    </row>
    <row r="18" ht="15" customHeight="1">
      <c r="A18" t="inlineStr">
        <is>
          <t>A 28299-2024</t>
        </is>
      </c>
      <c r="B18" s="1" t="n">
        <v>45477</v>
      </c>
      <c r="C18" s="1" t="n">
        <v>45809</v>
      </c>
      <c r="D18" t="inlineStr">
        <is>
          <t>ÖREBRO LÄN</t>
        </is>
      </c>
      <c r="E18" t="inlineStr">
        <is>
          <t>ÖREBRO</t>
        </is>
      </c>
      <c r="G18" t="n">
        <v>26.8</v>
      </c>
      <c r="H18" t="n">
        <v>6</v>
      </c>
      <c r="I18" t="n">
        <v>0</v>
      </c>
      <c r="J18" t="n">
        <v>2</v>
      </c>
      <c r="K18" t="n">
        <v>0</v>
      </c>
      <c r="L18" t="n">
        <v>0</v>
      </c>
      <c r="M18" t="n">
        <v>0</v>
      </c>
      <c r="N18" t="n">
        <v>0</v>
      </c>
      <c r="O18" t="n">
        <v>2</v>
      </c>
      <c r="P18" t="n">
        <v>0</v>
      </c>
      <c r="Q18" t="n">
        <v>6</v>
      </c>
      <c r="R18" s="2" t="inlineStr">
        <is>
          <t>Entita
Spillkråka
Mindre vattensalamander
Vanlig groda
Vanlig padda
Revlummer</t>
        </is>
      </c>
      <c r="S18">
        <f>HYPERLINK("https://klasma.github.io/Logging_1880/artfynd/A 28299-2024 artfynd.xlsx", "A 28299-2024")</f>
        <v/>
      </c>
      <c r="T18">
        <f>HYPERLINK("https://klasma.github.io/Logging_1880/kartor/A 28299-2024 karta.png", "A 28299-2024")</f>
        <v/>
      </c>
      <c r="V18">
        <f>HYPERLINK("https://klasma.github.io/Logging_1880/klagomål/A 28299-2024 FSC-klagomål.docx", "A 28299-2024")</f>
        <v/>
      </c>
      <c r="W18">
        <f>HYPERLINK("https://klasma.github.io/Logging_1880/klagomålsmail/A 28299-2024 FSC-klagomål mail.docx", "A 28299-2024")</f>
        <v/>
      </c>
      <c r="X18">
        <f>HYPERLINK("https://klasma.github.io/Logging_1880/tillsyn/A 28299-2024 tillsynsbegäran.docx", "A 28299-2024")</f>
        <v/>
      </c>
      <c r="Y18">
        <f>HYPERLINK("https://klasma.github.io/Logging_1880/tillsynsmail/A 28299-2024 tillsynsbegäran mail.docx", "A 28299-2024")</f>
        <v/>
      </c>
      <c r="Z18">
        <f>HYPERLINK("https://klasma.github.io/Logging_1880/fåglar/A 28299-2024 prioriterade fågelarter.docx", "A 28299-2024")</f>
        <v/>
      </c>
    </row>
    <row r="19" ht="15" customHeight="1">
      <c r="A19" t="inlineStr">
        <is>
          <t>A 32593-2019</t>
        </is>
      </c>
      <c r="B19" s="1" t="n">
        <v>43643</v>
      </c>
      <c r="C19" s="1" t="n">
        <v>45809</v>
      </c>
      <c r="D19" t="inlineStr">
        <is>
          <t>ÖREBRO LÄN</t>
        </is>
      </c>
      <c r="E19" t="inlineStr">
        <is>
          <t>ÖREBRO</t>
        </is>
      </c>
      <c r="F19" t="inlineStr">
        <is>
          <t>Sveaskog</t>
        </is>
      </c>
      <c r="G19" t="n">
        <v>3.7</v>
      </c>
      <c r="H19" t="n">
        <v>3</v>
      </c>
      <c r="I19" t="n">
        <v>1</v>
      </c>
      <c r="J19" t="n">
        <v>2</v>
      </c>
      <c r="K19" t="n">
        <v>0</v>
      </c>
      <c r="L19" t="n">
        <v>0</v>
      </c>
      <c r="M19" t="n">
        <v>0</v>
      </c>
      <c r="N19" t="n">
        <v>0</v>
      </c>
      <c r="O19" t="n">
        <v>2</v>
      </c>
      <c r="P19" t="n">
        <v>0</v>
      </c>
      <c r="Q19" t="n">
        <v>5</v>
      </c>
      <c r="R19" s="2" t="inlineStr">
        <is>
          <t>Fyrflikig jordstjärna
Sommarfibbla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20563-2022</t>
        </is>
      </c>
      <c r="B20" s="1" t="n">
        <v>44700</v>
      </c>
      <c r="C20" s="1" t="n">
        <v>45809</v>
      </c>
      <c r="D20" t="inlineStr">
        <is>
          <t>ÖREBRO LÄN</t>
        </is>
      </c>
      <c r="E20" t="inlineStr">
        <is>
          <t>ÖREBRO</t>
        </is>
      </c>
      <c r="F20" t="inlineStr">
        <is>
          <t>Kommuner</t>
        </is>
      </c>
      <c r="G20" t="n">
        <v>5</v>
      </c>
      <c r="H20" t="n">
        <v>3</v>
      </c>
      <c r="I20" t="n">
        <v>0</v>
      </c>
      <c r="J20" t="n">
        <v>5</v>
      </c>
      <c r="K20" t="n">
        <v>0</v>
      </c>
      <c r="L20" t="n">
        <v>0</v>
      </c>
      <c r="M20" t="n">
        <v>0</v>
      </c>
      <c r="N20" t="n">
        <v>0</v>
      </c>
      <c r="O20" t="n">
        <v>5</v>
      </c>
      <c r="P20" t="n">
        <v>0</v>
      </c>
      <c r="Q20" t="n">
        <v>5</v>
      </c>
      <c r="R20" s="2" t="inlineStr">
        <is>
          <t>Fyrflikig jordstjärna
Grönsångare
Spillkråka
Talltita
Ullticka</t>
        </is>
      </c>
      <c r="S20">
        <f>HYPERLINK("https://klasma.github.io/Logging_1880/artfynd/A 20563-2022 artfynd.xlsx", "A 20563-2022")</f>
        <v/>
      </c>
      <c r="T20">
        <f>HYPERLINK("https://klasma.github.io/Logging_1880/kartor/A 20563-2022 karta.png", "A 20563-2022")</f>
        <v/>
      </c>
      <c r="V20">
        <f>HYPERLINK("https://klasma.github.io/Logging_1880/klagomål/A 20563-2022 FSC-klagomål.docx", "A 20563-2022")</f>
        <v/>
      </c>
      <c r="W20">
        <f>HYPERLINK("https://klasma.github.io/Logging_1880/klagomålsmail/A 20563-2022 FSC-klagomål mail.docx", "A 20563-2022")</f>
        <v/>
      </c>
      <c r="X20">
        <f>HYPERLINK("https://klasma.github.io/Logging_1880/tillsyn/A 20563-2022 tillsynsbegäran.docx", "A 20563-2022")</f>
        <v/>
      </c>
      <c r="Y20">
        <f>HYPERLINK("https://klasma.github.io/Logging_1880/tillsynsmail/A 20563-2022 tillsynsbegäran mail.docx", "A 20563-2022")</f>
        <v/>
      </c>
      <c r="Z20">
        <f>HYPERLINK("https://klasma.github.io/Logging_1880/fåglar/A 20563-2022 prioriterade fågelarter.docx", "A 20563-2022")</f>
        <v/>
      </c>
    </row>
    <row r="21" ht="15" customHeight="1">
      <c r="A21" t="inlineStr">
        <is>
          <t>A 15758-2023</t>
        </is>
      </c>
      <c r="B21" s="1" t="n">
        <v>45021</v>
      </c>
      <c r="C21" s="1" t="n">
        <v>45809</v>
      </c>
      <c r="D21" t="inlineStr">
        <is>
          <t>ÖREBRO LÄN</t>
        </is>
      </c>
      <c r="E21" t="inlineStr">
        <is>
          <t>ÖREBRO</t>
        </is>
      </c>
      <c r="G21" t="n">
        <v>2.6</v>
      </c>
      <c r="H21" t="n">
        <v>2</v>
      </c>
      <c r="I21" t="n">
        <v>2</v>
      </c>
      <c r="J21" t="n">
        <v>2</v>
      </c>
      <c r="K21" t="n">
        <v>1</v>
      </c>
      <c r="L21" t="n">
        <v>0</v>
      </c>
      <c r="M21" t="n">
        <v>0</v>
      </c>
      <c r="N21" t="n">
        <v>0</v>
      </c>
      <c r="O21" t="n">
        <v>3</v>
      </c>
      <c r="P21" t="n">
        <v>1</v>
      </c>
      <c r="Q21" t="n">
        <v>5</v>
      </c>
      <c r="R21" s="2" t="inlineStr">
        <is>
          <t>Knärot
Spillkråka
Ullticka
Grönpyrola
Gullgröppa</t>
        </is>
      </c>
      <c r="S21">
        <f>HYPERLINK("https://klasma.github.io/Logging_1880/artfynd/A 15758-2023 artfynd.xlsx", "A 15758-2023")</f>
        <v/>
      </c>
      <c r="T21">
        <f>HYPERLINK("https://klasma.github.io/Logging_1880/kartor/A 15758-2023 karta.png", "A 15758-2023")</f>
        <v/>
      </c>
      <c r="U21">
        <f>HYPERLINK("https://klasma.github.io/Logging_1880/knärot/A 15758-2023 karta knärot.png", "A 15758-2023")</f>
        <v/>
      </c>
      <c r="V21">
        <f>HYPERLINK("https://klasma.github.io/Logging_1880/klagomål/A 15758-2023 FSC-klagomål.docx", "A 15758-2023")</f>
        <v/>
      </c>
      <c r="W21">
        <f>HYPERLINK("https://klasma.github.io/Logging_1880/klagomålsmail/A 15758-2023 FSC-klagomål mail.docx", "A 15758-2023")</f>
        <v/>
      </c>
      <c r="X21">
        <f>HYPERLINK("https://klasma.github.io/Logging_1880/tillsyn/A 15758-2023 tillsynsbegäran.docx", "A 15758-2023")</f>
        <v/>
      </c>
      <c r="Y21">
        <f>HYPERLINK("https://klasma.github.io/Logging_1880/tillsynsmail/A 15758-2023 tillsynsbegäran mail.docx", "A 15758-2023")</f>
        <v/>
      </c>
      <c r="Z21">
        <f>HYPERLINK("https://klasma.github.io/Logging_1880/fåglar/A 15758-2023 prioriterade fågelarter.docx", "A 15758-2023")</f>
        <v/>
      </c>
    </row>
    <row r="22" ht="15" customHeight="1">
      <c r="A22" t="inlineStr">
        <is>
          <t>A 35545-2019</t>
        </is>
      </c>
      <c r="B22" s="1" t="n">
        <v>43654</v>
      </c>
      <c r="C22" s="1" t="n">
        <v>45809</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45809</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45809</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45809</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45809</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45809</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45809</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45809</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45809</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45809</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45809</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45809</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45809</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45809</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45809</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45809</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45809</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45809</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45809</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45809</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45809</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45809</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45809</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45809</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45809</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45809</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45809</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45809</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45809</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45809</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45809</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45809</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45809</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45809</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45809</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45809</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45809</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45809</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45809</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45809</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45809</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45809</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45809</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45809</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45809</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45809</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45809</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45809</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45809</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45809</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45809</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45809</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45809</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45809</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45809</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45809</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45809</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45809</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45809</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45809</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45809</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45809</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45809</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45809</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45809</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45809</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45809</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45809</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45809</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45809</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45809</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45809</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45809</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45809</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45809</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45809</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45809</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45809</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45809</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45809</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45809</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45809</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45809</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45809</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45809</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45809</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45809</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45809</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45809</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45809</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45809</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45809</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45809</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45809</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45809</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45809</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45809</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45809</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45809</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45809</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45809</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45809</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45809</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45809</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45809</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45809</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45809</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45809</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45809</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45809</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45809</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45809</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45809</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45809</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45809</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45809</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45809</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45809</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45809</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45809</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45809</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45809</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45809</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45809</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45809</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45809</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45809</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45809</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45809</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45809</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45809</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45809</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45809</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45809</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45809</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45809</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45809</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45809</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45809</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45809</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45809</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45809</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45809</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45809</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45809</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45809</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45809</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45809</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45809</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45809</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45809</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45809</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45809</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45809</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45809</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45809</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45809</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45809</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45809</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45809</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45809</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45809</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45809</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45809</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45809</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45809</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45809</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45809</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45809</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45809</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45809</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45809</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45809</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45809</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45809</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45809</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45809</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45809</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45809</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45809</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45809</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45809</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45809</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45809</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45809</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45809</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45809</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45809</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45809</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45809</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45809</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45809</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45809</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45809</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45809</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45809</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45809</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45809</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45809</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45809</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45809</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45809</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45809</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45809</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45809</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45809</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45809</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45809</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45809</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45809</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45809</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45809</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45809</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45809</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45809</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45809</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45809</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45809</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45809</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45809</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45809</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45809</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45809</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45809</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45809</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45809</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45809</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45809</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45809</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45809</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45809</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45809</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45809</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45809</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45809</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45809</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45809</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45809</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45809</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45809</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45809</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45809</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45809</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45809</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45809</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45809</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45809</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45809</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45809</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45809</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45809</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45809</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45809</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45809</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45809</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45809</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45809</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45809</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45809</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45809</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45809</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45809</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45809</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45809</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45809</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45809</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45809</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45809</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45809</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45809</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45809</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45809</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45809</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45809</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45809</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45809</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45809</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45809</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45809</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45809</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45809</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45809</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45809</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45809</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45809</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45809</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45809</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45809</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45809</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45809</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45809</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45809</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45809</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45809</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45809</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45809</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45809</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45809</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45809</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45809</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45809</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45809</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45809</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45809</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45809</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45809</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45809</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45809</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45809</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45809</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45809</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45809</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45809</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45809</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45809</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45809</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45809</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45809</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45809</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45809</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45809</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45809</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45809</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45809</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45809</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45809</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45809</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45809</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45809</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45809</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45809</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45809</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45809</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45809</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45809</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45809</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45809</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45809</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45809</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45809</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45809</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45809</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45809</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45809</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45809</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45809</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45809</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45809</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45809</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45809</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45809</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45809</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45809</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45809</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45809</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45809</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45809</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45809</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45809</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45809</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45809</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45809</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45809</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45809</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45809</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45809</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45809</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45809</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45809</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45809</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45809</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45809</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45809</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45809</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45809</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45809</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45809</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45809</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45809</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45809</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45809</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45809</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45809</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45809</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45809</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45809</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45809</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45809</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45809</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45809</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45809</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45809</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45809</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45809</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45809</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45809</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45809</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45809</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45809</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45809</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45809</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45809</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45809</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45809</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45809</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45809</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45809</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45809</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45809</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45809</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45809</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45809</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45809</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45809</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45809</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45809</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45809</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45809</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45809</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45809</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45809</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45809</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45809</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45809</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45809</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45809</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45809</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45809</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45809</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45809</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45809</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45809</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45809</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45809</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45809</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45809</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45809</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45809</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45809</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45809</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45809</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45809</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45809</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45809</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45809</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45809</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45809</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45809</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45809</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45809</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45809</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45809</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45809</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45809</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45809</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45809</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45809</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45809</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45809</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45809</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45809</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45809</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45809</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45809</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45809</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45809</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45809</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45809</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45809</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45809</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45809</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45809</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45809</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45809</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45809</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45809</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45809</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45809</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45809</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45809</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45809</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45809</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45809</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45809</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45809</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45809</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45809</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45809</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45809</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45809</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45809</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45809</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45809</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45809</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45809</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45809</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45809</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45809</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45809</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45809</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45809</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45809</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45809</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45809</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45809</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45809</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45809</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45809</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45809</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45809</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45809</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45809</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45809</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45809</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45809</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45809</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45809</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45809</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45809</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45809</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45809</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45809</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45809</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45809</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45809</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45809</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45809</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45809</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45809</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45809</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45809</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45809</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45809</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45809</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45809</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45809</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45809</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45809</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45809</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45809</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45809</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45809</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45809</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45809</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45809</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45809</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45809</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45809</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45809</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45809</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45809</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45809</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45809</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45809</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45809</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45809</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45809</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45809</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45809</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45809</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45809</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45809</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45809</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45809</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45809</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45809</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45809</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45809</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45809</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45809</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45809</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45809</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45809</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45809</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45809</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45809</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45809</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45809</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45809</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45809</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45809</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45809</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45809</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45809</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45809</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45809</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45809</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45809</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45809</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45809</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45809</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45809</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45809</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45809</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45809</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45809</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45809</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45809</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45809</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45809</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45809</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45809</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45809</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45809</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45809</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45809</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45809</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45809</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45809</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45809</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45809</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45809</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45809</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45809</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45809</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45809</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45809</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45809</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45809</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45809</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45809</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45809</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45809</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45809</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45809</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45809</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45809</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45809</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45809</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45809</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45809</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45809</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45809</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45809</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45809</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45809</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45809</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45809</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45809</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45809</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45809</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45809</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45809</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45809</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45809</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45809</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45809</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45809</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45809</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45809</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45809</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45809</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45809</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45809</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45809</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45809</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45809</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45809</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45809</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45809</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45809</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45809</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45809</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45809</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45809</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45809</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45809</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45809</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45809</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45809</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45809</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45809</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45809</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45809</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45809</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45809</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45809</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45809</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45809</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45809</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45809</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45809</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45809</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45809</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45809</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45809</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45809</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45809</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45809</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45809</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45809</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45809</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45809</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45809</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45809</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45809</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45809</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45809</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45809</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45809</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45809</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45809</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45809</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45809</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45809</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45809</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45809</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45809</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45809</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45809</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45809</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45809</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45809</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45809</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45809</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45809</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45809</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45809</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45809</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45809</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45809</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45809</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45809</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45809</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45809</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45809</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45809</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45809</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45809</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45809</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45809</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45809</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45809</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45809</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45809</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45809</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45809</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45809</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45809</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45809</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45809</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45809</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45809</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45809</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45809</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45809</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45809</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45809</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45809</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45809</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45809</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45809</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45809</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45809</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45809</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45809</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45809</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45809</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45809</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45809</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45809</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45809</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45809</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45809</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45809</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45809</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45809</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45809</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45809</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45809</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45809</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45809</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45809</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45809</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45809</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45809</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45809</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45809</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45809</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45809</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45809</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45809</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45809</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45809</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45809</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45809</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45809</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45809</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45809</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45809</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45809</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45809</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45809</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45809</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45809</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45809</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45809</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45809</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45809</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45809</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45809</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45809</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45809</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45809</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45809</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45809</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45809</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45809</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45809</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45809</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45809</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45809</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45809</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45809</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45809</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45809</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45809</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45809</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45809</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45809</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45809</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45809</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45809</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45809</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45809</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45809</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45809</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45809</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45809</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45809</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45809</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45809</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45809</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45809</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45809</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45809</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45809</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45809</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45809</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45809</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45809</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45809</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45809</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45809</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45809</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45809</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45809</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45809</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45809</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45809</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45809</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45809</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45809</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45809</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45809</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45809</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45809</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45809</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45809</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45809</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45809</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45809</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45809</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45809</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45809</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45809</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45809</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45809</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45809</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45809</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45809</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45809</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45809</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45809</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45809</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45809</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45809</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45809</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45809</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45809</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45809</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45809</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45809</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45809</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45809</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45809</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45809</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45809</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45809</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45809</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45809</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45809</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45809</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45809</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45809</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45809</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45809</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45809</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45809</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45809</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45809</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45809</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45809</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45809</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45809</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45809</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45809</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45809</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45809</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45809</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45809</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45809</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45809</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45809</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45809</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45809</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45809</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45809</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45809</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45809</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45809</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45809</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45809</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45809</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45809</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45809</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45809</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45809</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45809</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45809</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45809</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45809</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45809</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45809</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45809</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45809</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45809</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45809</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45809</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45809</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45809</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45809</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45809</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45809</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45809</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45809</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45809</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45809</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45809</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45809</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45809</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45809</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45809</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45809</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45809</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45809</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45809</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45809</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45809</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45809</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45809</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45809</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45809</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45809</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45809</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45809</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45809</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45809</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45809</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45809</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45809</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45809</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45809</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45809</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45809</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45809</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45809</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45809</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45809</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45809</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45809</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45809</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45809</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45809</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45809</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45809</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45809</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45809</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45809</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45809</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45809</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45809</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45809</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45809</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45809</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45809</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45809</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45809</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45809</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45809</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45809</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45809</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45809</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45809</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45809</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45809</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45809</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45809</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45809</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45809</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45809</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45809</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45809</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45809</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45809</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45809</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45809</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45809</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45809</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45809</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45809</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45809</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45809</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45809</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45809</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45809</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45809</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45809</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45809</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45809</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45809</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45809</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45809</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45809</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45809</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45809</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45809</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45809</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45809</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45809</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45809</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45809</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45809</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45809</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45809</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45809</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45809</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45809</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45809</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45809</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45809</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45809</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45809</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45809</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45809</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45809</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45809</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45809</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45809</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45809</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45809</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45809</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45809</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45809</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45809</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45809</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45809</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45809</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45809</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45809</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45809</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45809</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45809</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45809</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45809</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45809</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45809</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45809</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45809</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45809</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45809</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45809</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45809</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45809</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45809</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45809</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45809</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45809</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45809</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45809</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45809</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45809</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45809</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45809</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45809</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45809</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45809</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45809</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45809</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45809</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45809</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45809</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45809</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45809</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45809</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45809</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45809</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45809</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45809</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45809</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45809</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45809</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45809</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45809</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45809</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45809</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45809</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45809</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45809</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45809</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45809</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45809</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45809</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45809</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45809</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45809</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45809</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45809</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45809</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45809</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45809</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45809</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45809</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45809</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45809</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45809</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45809</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45809</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45809</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45809</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45809</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45809</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45809</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45809</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45809</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45809</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45809</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45809</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45809</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45809</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45809</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45809</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45809</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45809</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45809</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45809</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25578-2025</t>
        </is>
      </c>
      <c r="B1178" s="1" t="n">
        <v>45803</v>
      </c>
      <c r="C1178" s="1" t="n">
        <v>45809</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c r="A1179" t="inlineStr">
        <is>
          <t>A 25519-2025</t>
        </is>
      </c>
      <c r="B1179" s="1" t="n">
        <v>45803</v>
      </c>
      <c r="C1179" s="1" t="n">
        <v>45809</v>
      </c>
      <c r="D1179" t="inlineStr">
        <is>
          <t>ÖREBRO LÄN</t>
        </is>
      </c>
      <c r="E1179" t="inlineStr">
        <is>
          <t>ÖREBRO</t>
        </is>
      </c>
      <c r="G1179" t="n">
        <v>7.4</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2025-06-01T11:54:49Z</dcterms:created>
  <dcterms:modified xmlns:dcterms="http://purl.org/dc/terms/" xmlns:xsi="http://www.w3.org/2001/XMLSchema-instance" xsi:type="dcterms:W3CDTF">2025-06-01T11:54:50Z</dcterms:modified>
</cp:coreProperties>
</file>