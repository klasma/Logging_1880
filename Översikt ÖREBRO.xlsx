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45895</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45895</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45895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45895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45895</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45895</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45895</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45895</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45895</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45895</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45895</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45895</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17074-2024</t>
        </is>
      </c>
      <c r="B18" s="1" t="n">
        <v>45412</v>
      </c>
      <c r="C18" s="1" t="n">
        <v>45895</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45895</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45895</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45895</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45895</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45895</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45895</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45895</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45895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45895</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14173-2024</t>
        </is>
      </c>
      <c r="B28" s="1" t="n">
        <v>45393.2716087963</v>
      </c>
      <c r="C28" s="1" t="n">
        <v>45895</v>
      </c>
      <c r="D28" t="inlineStr">
        <is>
          <t>ÖREBRO LÄN</t>
        </is>
      </c>
      <c r="E28" t="inlineStr">
        <is>
          <t>ÖREBRO</t>
        </is>
      </c>
      <c r="G28" t="n">
        <v>0.9</v>
      </c>
      <c r="H28" t="n">
        <v>2</v>
      </c>
      <c r="I28" t="n">
        <v>0</v>
      </c>
      <c r="J28" t="n">
        <v>0</v>
      </c>
      <c r="K28" t="n">
        <v>0</v>
      </c>
      <c r="L28" t="n">
        <v>0</v>
      </c>
      <c r="M28" t="n">
        <v>0</v>
      </c>
      <c r="N28" t="n">
        <v>0</v>
      </c>
      <c r="O28" t="n">
        <v>0</v>
      </c>
      <c r="P28" t="n">
        <v>0</v>
      </c>
      <c r="Q28" t="n">
        <v>2</v>
      </c>
      <c r="R28" s="2" t="inlineStr">
        <is>
          <t>Grönsiska
Kungsfågel</t>
        </is>
      </c>
      <c r="S28">
        <f>HYPERLINK("https://klasma.github.io/Logging_1880/artfynd/A 14173-2024 artfynd.xlsx", "A 14173-2024")</f>
        <v/>
      </c>
      <c r="T28">
        <f>HYPERLINK("https://klasma.github.io/Logging_1880/kartor/A 14173-2024 karta.png", "A 14173-2024")</f>
        <v/>
      </c>
      <c r="V28">
        <f>HYPERLINK("https://klasma.github.io/Logging_1880/klagomål/A 14173-2024 FSC-klagomål.docx", "A 14173-2024")</f>
        <v/>
      </c>
      <c r="W28">
        <f>HYPERLINK("https://klasma.github.io/Logging_1880/klagomålsmail/A 14173-2024 FSC-klagomål mail.docx", "A 14173-2024")</f>
        <v/>
      </c>
      <c r="X28">
        <f>HYPERLINK("https://klasma.github.io/Logging_1880/tillsyn/A 14173-2024 tillsynsbegäran.docx", "A 14173-2024")</f>
        <v/>
      </c>
      <c r="Y28">
        <f>HYPERLINK("https://klasma.github.io/Logging_1880/tillsynsmail/A 14173-2024 tillsynsbegäran mail.docx", "A 14173-2024")</f>
        <v/>
      </c>
      <c r="Z28">
        <f>HYPERLINK("https://klasma.github.io/Logging_1880/fåglar/A 14173-2024 prioriterade fågelarter.docx", "A 14173-2024")</f>
        <v/>
      </c>
    </row>
    <row r="29" ht="15" customHeight="1">
      <c r="A29" t="inlineStr">
        <is>
          <t>A 13395-2024</t>
        </is>
      </c>
      <c r="B29" s="1" t="n">
        <v>45387.42296296296</v>
      </c>
      <c r="C29" s="1" t="n">
        <v>45895</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14956-2025</t>
        </is>
      </c>
      <c r="B30" s="1" t="n">
        <v>45743.58409722222</v>
      </c>
      <c r="C30" s="1" t="n">
        <v>45895</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22577-2024</t>
        </is>
      </c>
      <c r="B31" s="1" t="n">
        <v>45447</v>
      </c>
      <c r="C31" s="1" t="n">
        <v>45895</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8267-2021</t>
        </is>
      </c>
      <c r="B32" s="1" t="n">
        <v>44244</v>
      </c>
      <c r="C32" s="1" t="n">
        <v>45895</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45895</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30409-2025</t>
        </is>
      </c>
      <c r="B34" s="1" t="n">
        <v>45827.59738425926</v>
      </c>
      <c r="C34" s="1" t="n">
        <v>45895</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7608-2024</t>
        </is>
      </c>
      <c r="B35" s="1" t="n">
        <v>45348</v>
      </c>
      <c r="C35" s="1" t="n">
        <v>45895</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45895</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29704-2022</t>
        </is>
      </c>
      <c r="B37" s="1" t="n">
        <v>44755</v>
      </c>
      <c r="C37" s="1" t="n">
        <v>45895</v>
      </c>
      <c r="D37" t="inlineStr">
        <is>
          <t>ÖREBRO LÄN</t>
        </is>
      </c>
      <c r="E37" t="inlineStr">
        <is>
          <t>ÖREBRO</t>
        </is>
      </c>
      <c r="F37" t="inlineStr">
        <is>
          <t>Kommuner</t>
        </is>
      </c>
      <c r="G37" t="n">
        <v>1.1</v>
      </c>
      <c r="H37" t="n">
        <v>0</v>
      </c>
      <c r="I37" t="n">
        <v>0</v>
      </c>
      <c r="J37" t="n">
        <v>1</v>
      </c>
      <c r="K37" t="n">
        <v>0</v>
      </c>
      <c r="L37" t="n">
        <v>0</v>
      </c>
      <c r="M37" t="n">
        <v>0</v>
      </c>
      <c r="N37" t="n">
        <v>0</v>
      </c>
      <c r="O37" t="n">
        <v>1</v>
      </c>
      <c r="P37" t="n">
        <v>0</v>
      </c>
      <c r="Q37" t="n">
        <v>1</v>
      </c>
      <c r="R37" s="2" t="inlineStr">
        <is>
          <t>Motaggsvamp</t>
        </is>
      </c>
      <c r="S37">
        <f>HYPERLINK("https://klasma.github.io/Logging_1880/artfynd/A 29704-2022 artfynd.xlsx", "A 29704-2022")</f>
        <v/>
      </c>
      <c r="T37">
        <f>HYPERLINK("https://klasma.github.io/Logging_1880/kartor/A 29704-2022 karta.png", "A 29704-2022")</f>
        <v/>
      </c>
      <c r="V37">
        <f>HYPERLINK("https://klasma.github.io/Logging_1880/klagomål/A 29704-2022 FSC-klagomål.docx", "A 29704-2022")</f>
        <v/>
      </c>
      <c r="W37">
        <f>HYPERLINK("https://klasma.github.io/Logging_1880/klagomålsmail/A 29704-2022 FSC-klagomål mail.docx", "A 29704-2022")</f>
        <v/>
      </c>
      <c r="X37">
        <f>HYPERLINK("https://klasma.github.io/Logging_1880/tillsyn/A 29704-2022 tillsynsbegäran.docx", "A 29704-2022")</f>
        <v/>
      </c>
      <c r="Y37">
        <f>HYPERLINK("https://klasma.github.io/Logging_1880/tillsynsmail/A 29704-2022 tillsynsbegäran mail.docx", "A 29704-2022")</f>
        <v/>
      </c>
    </row>
    <row r="38" ht="15" customHeight="1">
      <c r="A38" t="inlineStr">
        <is>
          <t>A 4943-2022</t>
        </is>
      </c>
      <c r="B38" s="1" t="n">
        <v>44593</v>
      </c>
      <c r="C38" s="1" t="n">
        <v>45895</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6926-2021</t>
        </is>
      </c>
      <c r="B39" s="1" t="n">
        <v>44237</v>
      </c>
      <c r="C39" s="1" t="n">
        <v>45895</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43332-2022</t>
        </is>
      </c>
      <c r="B40" s="1" t="n">
        <v>44834</v>
      </c>
      <c r="C40" s="1" t="n">
        <v>45895</v>
      </c>
      <c r="D40" t="inlineStr">
        <is>
          <t>ÖREBRO LÄN</t>
        </is>
      </c>
      <c r="E40" t="inlineStr">
        <is>
          <t>ÖREBRO</t>
        </is>
      </c>
      <c r="G40" t="n">
        <v>2.3</v>
      </c>
      <c r="H40" t="n">
        <v>1</v>
      </c>
      <c r="I40" t="n">
        <v>0</v>
      </c>
      <c r="J40" t="n">
        <v>1</v>
      </c>
      <c r="K40" t="n">
        <v>0</v>
      </c>
      <c r="L40" t="n">
        <v>0</v>
      </c>
      <c r="M40" t="n">
        <v>0</v>
      </c>
      <c r="N40" t="n">
        <v>0</v>
      </c>
      <c r="O40" t="n">
        <v>1</v>
      </c>
      <c r="P40" t="n">
        <v>0</v>
      </c>
      <c r="Q40" t="n">
        <v>1</v>
      </c>
      <c r="R40" s="2" t="inlineStr">
        <is>
          <t>Spillkråka</t>
        </is>
      </c>
      <c r="S40">
        <f>HYPERLINK("https://klasma.github.io/Logging_1880/artfynd/A 43332-2022 artfynd.xlsx", "A 43332-2022")</f>
        <v/>
      </c>
      <c r="T40">
        <f>HYPERLINK("https://klasma.github.io/Logging_1880/kartor/A 43332-2022 karta.png", "A 43332-2022")</f>
        <v/>
      </c>
      <c r="V40">
        <f>HYPERLINK("https://klasma.github.io/Logging_1880/klagomål/A 43332-2022 FSC-klagomål.docx", "A 43332-2022")</f>
        <v/>
      </c>
      <c r="W40">
        <f>HYPERLINK("https://klasma.github.io/Logging_1880/klagomålsmail/A 43332-2022 FSC-klagomål mail.docx", "A 43332-2022")</f>
        <v/>
      </c>
      <c r="X40">
        <f>HYPERLINK("https://klasma.github.io/Logging_1880/tillsyn/A 43332-2022 tillsynsbegäran.docx", "A 43332-2022")</f>
        <v/>
      </c>
      <c r="Y40">
        <f>HYPERLINK("https://klasma.github.io/Logging_1880/tillsynsmail/A 43332-2022 tillsynsbegäran mail.docx", "A 43332-2022")</f>
        <v/>
      </c>
      <c r="Z40">
        <f>HYPERLINK("https://klasma.github.io/Logging_1880/fåglar/A 43332-2022 prioriterade fågelarter.docx", "A 43332-2022")</f>
        <v/>
      </c>
    </row>
    <row r="41" ht="15" customHeight="1">
      <c r="A41" t="inlineStr">
        <is>
          <t>A 30725-2023</t>
        </is>
      </c>
      <c r="B41" s="1" t="n">
        <v>45112.61451388889</v>
      </c>
      <c r="C41" s="1" t="n">
        <v>45895</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5097-2023</t>
        </is>
      </c>
      <c r="B42" s="1" t="n">
        <v>44958</v>
      </c>
      <c r="C42" s="1" t="n">
        <v>45895</v>
      </c>
      <c r="D42" t="inlineStr">
        <is>
          <t>ÖREBRO LÄN</t>
        </is>
      </c>
      <c r="E42" t="inlineStr">
        <is>
          <t>ÖREBRO</t>
        </is>
      </c>
      <c r="G42" t="n">
        <v>3.6</v>
      </c>
      <c r="H42" t="n">
        <v>1</v>
      </c>
      <c r="I42" t="n">
        <v>0</v>
      </c>
      <c r="J42" t="n">
        <v>0</v>
      </c>
      <c r="K42" t="n">
        <v>0</v>
      </c>
      <c r="L42" t="n">
        <v>0</v>
      </c>
      <c r="M42" t="n">
        <v>0</v>
      </c>
      <c r="N42" t="n">
        <v>0</v>
      </c>
      <c r="O42" t="n">
        <v>0</v>
      </c>
      <c r="P42" t="n">
        <v>0</v>
      </c>
      <c r="Q42" t="n">
        <v>1</v>
      </c>
      <c r="R42" s="2" t="inlineStr">
        <is>
          <t>Grönvit nattviol</t>
        </is>
      </c>
      <c r="S42">
        <f>HYPERLINK("https://klasma.github.io/Logging_1880/artfynd/A 5097-2023 artfynd.xlsx", "A 5097-2023")</f>
        <v/>
      </c>
      <c r="T42">
        <f>HYPERLINK("https://klasma.github.io/Logging_1880/kartor/A 5097-2023 karta.png", "A 5097-2023")</f>
        <v/>
      </c>
      <c r="V42">
        <f>HYPERLINK("https://klasma.github.io/Logging_1880/klagomål/A 5097-2023 FSC-klagomål.docx", "A 5097-2023")</f>
        <v/>
      </c>
      <c r="W42">
        <f>HYPERLINK("https://klasma.github.io/Logging_1880/klagomålsmail/A 5097-2023 FSC-klagomål mail.docx", "A 5097-2023")</f>
        <v/>
      </c>
      <c r="X42">
        <f>HYPERLINK("https://klasma.github.io/Logging_1880/tillsyn/A 5097-2023 tillsynsbegäran.docx", "A 5097-2023")</f>
        <v/>
      </c>
      <c r="Y42">
        <f>HYPERLINK("https://klasma.github.io/Logging_1880/tillsynsmail/A 5097-2023 tillsynsbegäran mail.docx", "A 5097-2023")</f>
        <v/>
      </c>
    </row>
    <row r="43" ht="15" customHeight="1">
      <c r="A43" t="inlineStr">
        <is>
          <t>A 20247-2023</t>
        </is>
      </c>
      <c r="B43" s="1" t="n">
        <v>45055</v>
      </c>
      <c r="C43" s="1" t="n">
        <v>45895</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44744-2024</t>
        </is>
      </c>
      <c r="B44" s="1" t="n">
        <v>45574.59789351852</v>
      </c>
      <c r="C44" s="1" t="n">
        <v>45895</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55904-2024</t>
        </is>
      </c>
      <c r="B45" s="1" t="n">
        <v>45623.58190972222</v>
      </c>
      <c r="C45" s="1" t="n">
        <v>45895</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11501-2025</t>
        </is>
      </c>
      <c r="B46" s="1" t="n">
        <v>45726</v>
      </c>
      <c r="C46" s="1" t="n">
        <v>45895</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23998-2025</t>
        </is>
      </c>
      <c r="B47" s="1" t="n">
        <v>45796.42209490741</v>
      </c>
      <c r="C47" s="1" t="n">
        <v>45895</v>
      </c>
      <c r="D47" t="inlineStr">
        <is>
          <t>ÖREBRO LÄN</t>
        </is>
      </c>
      <c r="E47" t="inlineStr">
        <is>
          <t>ÖREBRO</t>
        </is>
      </c>
      <c r="G47" t="n">
        <v>4.7</v>
      </c>
      <c r="H47" t="n">
        <v>0</v>
      </c>
      <c r="I47" t="n">
        <v>1</v>
      </c>
      <c r="J47" t="n">
        <v>0</v>
      </c>
      <c r="K47" t="n">
        <v>0</v>
      </c>
      <c r="L47" t="n">
        <v>0</v>
      </c>
      <c r="M47" t="n">
        <v>0</v>
      </c>
      <c r="N47" t="n">
        <v>0</v>
      </c>
      <c r="O47" t="n">
        <v>0</v>
      </c>
      <c r="P47" t="n">
        <v>0</v>
      </c>
      <c r="Q47" t="n">
        <v>1</v>
      </c>
      <c r="R47" s="2" t="inlineStr">
        <is>
          <t>Kambräken</t>
        </is>
      </c>
      <c r="S47">
        <f>HYPERLINK("https://klasma.github.io/Logging_1880/artfynd/A 23998-2025 artfynd.xlsx", "A 23998-2025")</f>
        <v/>
      </c>
      <c r="T47">
        <f>HYPERLINK("https://klasma.github.io/Logging_1880/kartor/A 23998-2025 karta.png", "A 23998-2025")</f>
        <v/>
      </c>
      <c r="V47">
        <f>HYPERLINK("https://klasma.github.io/Logging_1880/klagomål/A 23998-2025 FSC-klagomål.docx", "A 23998-2025")</f>
        <v/>
      </c>
      <c r="W47">
        <f>HYPERLINK("https://klasma.github.io/Logging_1880/klagomålsmail/A 23998-2025 FSC-klagomål mail.docx", "A 23998-2025")</f>
        <v/>
      </c>
      <c r="X47">
        <f>HYPERLINK("https://klasma.github.io/Logging_1880/tillsyn/A 23998-2025 tillsynsbegäran.docx", "A 23998-2025")</f>
        <v/>
      </c>
      <c r="Y47">
        <f>HYPERLINK("https://klasma.github.io/Logging_1880/tillsynsmail/A 23998-2025 tillsynsbegäran mail.docx", "A 23998-2025")</f>
        <v/>
      </c>
    </row>
    <row r="48" ht="15" customHeight="1">
      <c r="A48" t="inlineStr">
        <is>
          <t>A 15621-2021</t>
        </is>
      </c>
      <c r="B48" s="1" t="n">
        <v>44285</v>
      </c>
      <c r="C48" s="1" t="n">
        <v>45895</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58966-2020</t>
        </is>
      </c>
      <c r="B49" s="1" t="n">
        <v>44146</v>
      </c>
      <c r="C49" s="1" t="n">
        <v>45895</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26890-2022</t>
        </is>
      </c>
      <c r="B50" s="1" t="n">
        <v>44740</v>
      </c>
      <c r="C50" s="1" t="n">
        <v>45895</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4014-2021</t>
        </is>
      </c>
      <c r="B51" s="1" t="n">
        <v>44218</v>
      </c>
      <c r="C51" s="1" t="n">
        <v>45895</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57920-2024</t>
        </is>
      </c>
      <c r="B52" s="1" t="n">
        <v>45631.50894675926</v>
      </c>
      <c r="C52" s="1" t="n">
        <v>45895</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28936-2025</t>
        </is>
      </c>
      <c r="B53" s="1" t="n">
        <v>45820.69287037037</v>
      </c>
      <c r="C53" s="1" t="n">
        <v>45895</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32105-2023</t>
        </is>
      </c>
      <c r="B54" s="1" t="n">
        <v>45119</v>
      </c>
      <c r="C54" s="1" t="n">
        <v>45895</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32226-2025</t>
        </is>
      </c>
      <c r="B55" s="1" t="n">
        <v>45835.59478009259</v>
      </c>
      <c r="C55" s="1" t="n">
        <v>45895</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45895</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2077-2023</t>
        </is>
      </c>
      <c r="B57" s="1" t="n">
        <v>44939</v>
      </c>
      <c r="C57" s="1" t="n">
        <v>45895</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45895</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20032-2023</t>
        </is>
      </c>
      <c r="B59" s="1" t="n">
        <v>45054</v>
      </c>
      <c r="C59" s="1" t="n">
        <v>45895</v>
      </c>
      <c r="D59" t="inlineStr">
        <is>
          <t>ÖREBRO LÄN</t>
        </is>
      </c>
      <c r="E59" t="inlineStr">
        <is>
          <t>ÖREBRO</t>
        </is>
      </c>
      <c r="G59" t="n">
        <v>2.6</v>
      </c>
      <c r="H59" t="n">
        <v>1</v>
      </c>
      <c r="I59" t="n">
        <v>0</v>
      </c>
      <c r="J59" t="n">
        <v>0</v>
      </c>
      <c r="K59" t="n">
        <v>0</v>
      </c>
      <c r="L59" t="n">
        <v>0</v>
      </c>
      <c r="M59" t="n">
        <v>0</v>
      </c>
      <c r="N59" t="n">
        <v>0</v>
      </c>
      <c r="O59" t="n">
        <v>0</v>
      </c>
      <c r="P59" t="n">
        <v>0</v>
      </c>
      <c r="Q59" t="n">
        <v>1</v>
      </c>
      <c r="R59" s="2" t="inlineStr">
        <is>
          <t>Fiskgjuse</t>
        </is>
      </c>
      <c r="S59">
        <f>HYPERLINK("https://klasma.github.io/Logging_1880/artfynd/A 20032-2023 artfynd.xlsx", "A 20032-2023")</f>
        <v/>
      </c>
      <c r="T59">
        <f>HYPERLINK("https://klasma.github.io/Logging_1880/kartor/A 20032-2023 karta.png", "A 20032-2023")</f>
        <v/>
      </c>
      <c r="V59">
        <f>HYPERLINK("https://klasma.github.io/Logging_1880/klagomål/A 20032-2023 FSC-klagomål.docx", "A 20032-2023")</f>
        <v/>
      </c>
      <c r="W59">
        <f>HYPERLINK("https://klasma.github.io/Logging_1880/klagomålsmail/A 20032-2023 FSC-klagomål mail.docx", "A 20032-2023")</f>
        <v/>
      </c>
      <c r="X59">
        <f>HYPERLINK("https://klasma.github.io/Logging_1880/tillsyn/A 20032-2023 tillsynsbegäran.docx", "A 20032-2023")</f>
        <v/>
      </c>
      <c r="Y59">
        <f>HYPERLINK("https://klasma.github.io/Logging_1880/tillsynsmail/A 20032-2023 tillsynsbegäran mail.docx", "A 20032-2023")</f>
        <v/>
      </c>
      <c r="Z59">
        <f>HYPERLINK("https://klasma.github.io/Logging_1880/fåglar/A 20032-2023 prioriterade fågelarter.docx", "A 20032-2023")</f>
        <v/>
      </c>
    </row>
    <row r="60" ht="15" customHeight="1">
      <c r="A60" t="inlineStr">
        <is>
          <t>A 31695-2024</t>
        </is>
      </c>
      <c r="B60" s="1" t="n">
        <v>45508</v>
      </c>
      <c r="C60" s="1" t="n">
        <v>45895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22604-2024</t>
        </is>
      </c>
      <c r="B61" s="1" t="n">
        <v>45447</v>
      </c>
      <c r="C61" s="1" t="n">
        <v>45895</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9406-2021</t>
        </is>
      </c>
      <c r="B62" s="1" t="n">
        <v>44251</v>
      </c>
      <c r="C62" s="1" t="n">
        <v>45895</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45895</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42957-2020</t>
        </is>
      </c>
      <c r="B64" s="1" t="n">
        <v>44078</v>
      </c>
      <c r="C64" s="1" t="n">
        <v>45895</v>
      </c>
      <c r="D64" t="inlineStr">
        <is>
          <t>ÖREBRO LÄN</t>
        </is>
      </c>
      <c r="E64" t="inlineStr">
        <is>
          <t>ÖREBRO</t>
        </is>
      </c>
      <c r="G64" t="n">
        <v>1.4</v>
      </c>
      <c r="H64" t="n">
        <v>0</v>
      </c>
      <c r="I64" t="n">
        <v>0</v>
      </c>
      <c r="J64" t="n">
        <v>0</v>
      </c>
      <c r="K64" t="n">
        <v>0</v>
      </c>
      <c r="L64" t="n">
        <v>0</v>
      </c>
      <c r="M64" t="n">
        <v>0</v>
      </c>
      <c r="N64" t="n">
        <v>0</v>
      </c>
      <c r="O64" t="n">
        <v>0</v>
      </c>
      <c r="P64" t="n">
        <v>0</v>
      </c>
      <c r="Q64" t="n">
        <v>0</v>
      </c>
      <c r="R64" s="2" t="inlineStr"/>
    </row>
    <row r="65" ht="15" customHeight="1">
      <c r="A65" t="inlineStr">
        <is>
          <t>A 44966-2020</t>
        </is>
      </c>
      <c r="B65" s="1" t="n">
        <v>44088.40716435185</v>
      </c>
      <c r="C65" s="1" t="n">
        <v>45895</v>
      </c>
      <c r="D65" t="inlineStr">
        <is>
          <t>ÖREBRO LÄN</t>
        </is>
      </c>
      <c r="E65" t="inlineStr">
        <is>
          <t>ÖREBRO</t>
        </is>
      </c>
      <c r="G65" t="n">
        <v>1.5</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45895</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54288-2020</t>
        </is>
      </c>
      <c r="B67" s="1" t="n">
        <v>44124</v>
      </c>
      <c r="C67" s="1" t="n">
        <v>45895</v>
      </c>
      <c r="D67" t="inlineStr">
        <is>
          <t>ÖREBRO LÄN</t>
        </is>
      </c>
      <c r="E67" t="inlineStr">
        <is>
          <t>ÖREBRO</t>
        </is>
      </c>
      <c r="G67" t="n">
        <v>0.5</v>
      </c>
      <c r="H67" t="n">
        <v>0</v>
      </c>
      <c r="I67" t="n">
        <v>0</v>
      </c>
      <c r="J67" t="n">
        <v>0</v>
      </c>
      <c r="K67" t="n">
        <v>0</v>
      </c>
      <c r="L67" t="n">
        <v>0</v>
      </c>
      <c r="M67" t="n">
        <v>0</v>
      </c>
      <c r="N67" t="n">
        <v>0</v>
      </c>
      <c r="O67" t="n">
        <v>0</v>
      </c>
      <c r="P67" t="n">
        <v>0</v>
      </c>
      <c r="Q67" t="n">
        <v>0</v>
      </c>
      <c r="R67" s="2" t="inlineStr"/>
    </row>
    <row r="68" ht="15" customHeight="1">
      <c r="A68" t="inlineStr">
        <is>
          <t>A 46053-2020</t>
        </is>
      </c>
      <c r="B68" s="1" t="n">
        <v>44088</v>
      </c>
      <c r="C68" s="1" t="n">
        <v>45895</v>
      </c>
      <c r="D68" t="inlineStr">
        <is>
          <t>ÖREBRO LÄN</t>
        </is>
      </c>
      <c r="E68" t="inlineStr">
        <is>
          <t>ÖREBRO</t>
        </is>
      </c>
      <c r="G68" t="n">
        <v>0.9</v>
      </c>
      <c r="H68" t="n">
        <v>0</v>
      </c>
      <c r="I68" t="n">
        <v>0</v>
      </c>
      <c r="J68" t="n">
        <v>0</v>
      </c>
      <c r="K68" t="n">
        <v>0</v>
      </c>
      <c r="L68" t="n">
        <v>0</v>
      </c>
      <c r="M68" t="n">
        <v>0</v>
      </c>
      <c r="N68" t="n">
        <v>0</v>
      </c>
      <c r="O68" t="n">
        <v>0</v>
      </c>
      <c r="P68" t="n">
        <v>0</v>
      </c>
      <c r="Q68" t="n">
        <v>0</v>
      </c>
      <c r="R68" s="2" t="inlineStr"/>
    </row>
    <row r="69" ht="15" customHeight="1">
      <c r="A69" t="inlineStr">
        <is>
          <t>A 33865-2021</t>
        </is>
      </c>
      <c r="B69" s="1" t="n">
        <v>44378.62756944444</v>
      </c>
      <c r="C69" s="1" t="n">
        <v>45895</v>
      </c>
      <c r="D69" t="inlineStr">
        <is>
          <t>ÖREBRO LÄN</t>
        </is>
      </c>
      <c r="E69" t="inlineStr">
        <is>
          <t>ÖREBRO</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48109-2020</t>
        </is>
      </c>
      <c r="B70" s="1" t="n">
        <v>44101</v>
      </c>
      <c r="C70" s="1" t="n">
        <v>45895</v>
      </c>
      <c r="D70" t="inlineStr">
        <is>
          <t>ÖREBRO LÄN</t>
        </is>
      </c>
      <c r="E70" t="inlineStr">
        <is>
          <t>ÖREBRO</t>
        </is>
      </c>
      <c r="G70" t="n">
        <v>0.7</v>
      </c>
      <c r="H70" t="n">
        <v>0</v>
      </c>
      <c r="I70" t="n">
        <v>0</v>
      </c>
      <c r="J70" t="n">
        <v>0</v>
      </c>
      <c r="K70" t="n">
        <v>0</v>
      </c>
      <c r="L70" t="n">
        <v>0</v>
      </c>
      <c r="M70" t="n">
        <v>0</v>
      </c>
      <c r="N70" t="n">
        <v>0</v>
      </c>
      <c r="O70" t="n">
        <v>0</v>
      </c>
      <c r="P70" t="n">
        <v>0</v>
      </c>
      <c r="Q70" t="n">
        <v>0</v>
      </c>
      <c r="R70" s="2" t="inlineStr"/>
    </row>
    <row r="71" ht="15" customHeight="1">
      <c r="A71" t="inlineStr">
        <is>
          <t>A 12232-2021</t>
        </is>
      </c>
      <c r="B71" s="1" t="n">
        <v>44266.70232638889</v>
      </c>
      <c r="C71" s="1" t="n">
        <v>45895</v>
      </c>
      <c r="D71" t="inlineStr">
        <is>
          <t>ÖREBRO LÄN</t>
        </is>
      </c>
      <c r="E71" t="inlineStr">
        <is>
          <t>ÖREBRO</t>
        </is>
      </c>
      <c r="G71" t="n">
        <v>1.5</v>
      </c>
      <c r="H71" t="n">
        <v>0</v>
      </c>
      <c r="I71" t="n">
        <v>0</v>
      </c>
      <c r="J71" t="n">
        <v>0</v>
      </c>
      <c r="K71" t="n">
        <v>0</v>
      </c>
      <c r="L71" t="n">
        <v>0</v>
      </c>
      <c r="M71" t="n">
        <v>0</v>
      </c>
      <c r="N71" t="n">
        <v>0</v>
      </c>
      <c r="O71" t="n">
        <v>0</v>
      </c>
      <c r="P71" t="n">
        <v>0</v>
      </c>
      <c r="Q71" t="n">
        <v>0</v>
      </c>
      <c r="R71" s="2" t="inlineStr"/>
    </row>
    <row r="72" ht="15" customHeight="1">
      <c r="A72" t="inlineStr">
        <is>
          <t>A 16785-2021</t>
        </is>
      </c>
      <c r="B72" s="1" t="n">
        <v>44295</v>
      </c>
      <c r="C72" s="1" t="n">
        <v>45895</v>
      </c>
      <c r="D72" t="inlineStr">
        <is>
          <t>ÖREBRO LÄN</t>
        </is>
      </c>
      <c r="E72" t="inlineStr">
        <is>
          <t>ÖREBRO</t>
        </is>
      </c>
      <c r="G72" t="n">
        <v>2.8</v>
      </c>
      <c r="H72" t="n">
        <v>0</v>
      </c>
      <c r="I72" t="n">
        <v>0</v>
      </c>
      <c r="J72" t="n">
        <v>0</v>
      </c>
      <c r="K72" t="n">
        <v>0</v>
      </c>
      <c r="L72" t="n">
        <v>0</v>
      </c>
      <c r="M72" t="n">
        <v>0</v>
      </c>
      <c r="N72" t="n">
        <v>0</v>
      </c>
      <c r="O72" t="n">
        <v>0</v>
      </c>
      <c r="P72" t="n">
        <v>0</v>
      </c>
      <c r="Q72" t="n">
        <v>0</v>
      </c>
      <c r="R72" s="2" t="inlineStr"/>
    </row>
    <row r="73" ht="15" customHeight="1">
      <c r="A73" t="inlineStr">
        <is>
          <t>A 13760-2021</t>
        </is>
      </c>
      <c r="B73" s="1" t="n">
        <v>44274</v>
      </c>
      <c r="C73" s="1" t="n">
        <v>45895</v>
      </c>
      <c r="D73" t="inlineStr">
        <is>
          <t>ÖREBRO LÄN</t>
        </is>
      </c>
      <c r="E73" t="inlineStr">
        <is>
          <t>ÖREBRO</t>
        </is>
      </c>
      <c r="G73" t="n">
        <v>2.1</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45895</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3081-2021</t>
        </is>
      </c>
      <c r="B75" s="1" t="n">
        <v>44216</v>
      </c>
      <c r="C75" s="1" t="n">
        <v>45895</v>
      </c>
      <c r="D75" t="inlineStr">
        <is>
          <t>ÖREBRO LÄN</t>
        </is>
      </c>
      <c r="E75" t="inlineStr">
        <is>
          <t>ÖREBRO</t>
        </is>
      </c>
      <c r="G75" t="n">
        <v>4.2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45895</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45895</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45895</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45895</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66799-2020</t>
        </is>
      </c>
      <c r="B80" s="1" t="n">
        <v>44179</v>
      </c>
      <c r="C80" s="1" t="n">
        <v>45895</v>
      </c>
      <c r="D80" t="inlineStr">
        <is>
          <t>ÖREBRO LÄN</t>
        </is>
      </c>
      <c r="E80" t="inlineStr">
        <is>
          <t>ÖREBRO</t>
        </is>
      </c>
      <c r="G80" t="n">
        <v>5.2</v>
      </c>
      <c r="H80" t="n">
        <v>0</v>
      </c>
      <c r="I80" t="n">
        <v>0</v>
      </c>
      <c r="J80" t="n">
        <v>0</v>
      </c>
      <c r="K80" t="n">
        <v>0</v>
      </c>
      <c r="L80" t="n">
        <v>0</v>
      </c>
      <c r="M80" t="n">
        <v>0</v>
      </c>
      <c r="N80" t="n">
        <v>0</v>
      </c>
      <c r="O80" t="n">
        <v>0</v>
      </c>
      <c r="P80" t="n">
        <v>0</v>
      </c>
      <c r="Q80" t="n">
        <v>0</v>
      </c>
      <c r="R80" s="2" t="inlineStr"/>
    </row>
    <row r="81" ht="15" customHeight="1">
      <c r="A81" t="inlineStr">
        <is>
          <t>A 57241-2020</t>
        </is>
      </c>
      <c r="B81" s="1" t="n">
        <v>44139</v>
      </c>
      <c r="C81" s="1" t="n">
        <v>45895</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61965-2020</t>
        </is>
      </c>
      <c r="B82" s="1" t="n">
        <v>44155</v>
      </c>
      <c r="C82" s="1" t="n">
        <v>45895</v>
      </c>
      <c r="D82" t="inlineStr">
        <is>
          <t>ÖREBRO LÄN</t>
        </is>
      </c>
      <c r="E82" t="inlineStr">
        <is>
          <t>ÖREBRO</t>
        </is>
      </c>
      <c r="G82" t="n">
        <v>1.7</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45895</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45895</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65592-2020</t>
        </is>
      </c>
      <c r="B85" s="1" t="n">
        <v>44173</v>
      </c>
      <c r="C85" s="1" t="n">
        <v>45895</v>
      </c>
      <c r="D85" t="inlineStr">
        <is>
          <t>ÖREBRO LÄN</t>
        </is>
      </c>
      <c r="E85" t="inlineStr">
        <is>
          <t>ÖREBRO</t>
        </is>
      </c>
      <c r="G85" t="n">
        <v>8.9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45895</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45895</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45895</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47517-2020</t>
        </is>
      </c>
      <c r="B89" s="1" t="n">
        <v>44095</v>
      </c>
      <c r="C89" s="1" t="n">
        <v>45895</v>
      </c>
      <c r="D89" t="inlineStr">
        <is>
          <t>ÖREBRO LÄN</t>
        </is>
      </c>
      <c r="E89" t="inlineStr">
        <is>
          <t>ÖREBRO</t>
        </is>
      </c>
      <c r="G89" t="n">
        <v>7</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45895</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45895</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45895</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45895</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40652-2020</t>
        </is>
      </c>
      <c r="B94" s="1" t="n">
        <v>44069</v>
      </c>
      <c r="C94" s="1" t="n">
        <v>45895</v>
      </c>
      <c r="D94" t="inlineStr">
        <is>
          <t>ÖREBRO LÄN</t>
        </is>
      </c>
      <c r="E94" t="inlineStr">
        <is>
          <t>ÖREBRO</t>
        </is>
      </c>
      <c r="F94" t="inlineStr">
        <is>
          <t>Övriga Aktiebolag</t>
        </is>
      </c>
      <c r="G94" t="n">
        <v>8.4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45895</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45895</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45895</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45895</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55570-2020</t>
        </is>
      </c>
      <c r="B99" s="1" t="n">
        <v>44131</v>
      </c>
      <c r="C99" s="1" t="n">
        <v>45895</v>
      </c>
      <c r="D99" t="inlineStr">
        <is>
          <t>ÖREBRO LÄN</t>
        </is>
      </c>
      <c r="E99" t="inlineStr">
        <is>
          <t>ÖREBRO</t>
        </is>
      </c>
      <c r="G99" t="n">
        <v>1.9</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45895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45895</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67627-2020</t>
        </is>
      </c>
      <c r="B102" s="1" t="n">
        <v>44182</v>
      </c>
      <c r="C102" s="1" t="n">
        <v>45895</v>
      </c>
      <c r="D102" t="inlineStr">
        <is>
          <t>ÖREBRO LÄN</t>
        </is>
      </c>
      <c r="E102" t="inlineStr">
        <is>
          <t>ÖREBRO</t>
        </is>
      </c>
      <c r="G102" t="n">
        <v>1.4</v>
      </c>
      <c r="H102" t="n">
        <v>0</v>
      </c>
      <c r="I102" t="n">
        <v>0</v>
      </c>
      <c r="J102" t="n">
        <v>0</v>
      </c>
      <c r="K102" t="n">
        <v>0</v>
      </c>
      <c r="L102" t="n">
        <v>0</v>
      </c>
      <c r="M102" t="n">
        <v>0</v>
      </c>
      <c r="N102" t="n">
        <v>0</v>
      </c>
      <c r="O102" t="n">
        <v>0</v>
      </c>
      <c r="P102" t="n">
        <v>0</v>
      </c>
      <c r="Q102" t="n">
        <v>0</v>
      </c>
      <c r="R102" s="2" t="inlineStr"/>
    </row>
    <row r="103" ht="15" customHeight="1">
      <c r="A103" t="inlineStr">
        <is>
          <t>A 48878-2020</t>
        </is>
      </c>
      <c r="B103" s="1" t="n">
        <v>44104</v>
      </c>
      <c r="C103" s="1" t="n">
        <v>45895</v>
      </c>
      <c r="D103" t="inlineStr">
        <is>
          <t>ÖREBRO LÄN</t>
        </is>
      </c>
      <c r="E103" t="inlineStr">
        <is>
          <t>ÖREBRO</t>
        </is>
      </c>
      <c r="G103" t="n">
        <v>12.7</v>
      </c>
      <c r="H103" t="n">
        <v>0</v>
      </c>
      <c r="I103" t="n">
        <v>0</v>
      </c>
      <c r="J103" t="n">
        <v>0</v>
      </c>
      <c r="K103" t="n">
        <v>0</v>
      </c>
      <c r="L103" t="n">
        <v>0</v>
      </c>
      <c r="M103" t="n">
        <v>0</v>
      </c>
      <c r="N103" t="n">
        <v>0</v>
      </c>
      <c r="O103" t="n">
        <v>0</v>
      </c>
      <c r="P103" t="n">
        <v>0</v>
      </c>
      <c r="Q103" t="n">
        <v>0</v>
      </c>
      <c r="R103" s="2" t="inlineStr"/>
    </row>
    <row r="104" ht="15" customHeight="1">
      <c r="A104" t="inlineStr">
        <is>
          <t>A 48889-2020</t>
        </is>
      </c>
      <c r="B104" s="1" t="n">
        <v>44104</v>
      </c>
      <c r="C104" s="1" t="n">
        <v>45895</v>
      </c>
      <c r="D104" t="inlineStr">
        <is>
          <t>ÖREBRO LÄN</t>
        </is>
      </c>
      <c r="E104" t="inlineStr">
        <is>
          <t>ÖREBRO</t>
        </is>
      </c>
      <c r="G104" t="n">
        <v>0.8</v>
      </c>
      <c r="H104" t="n">
        <v>0</v>
      </c>
      <c r="I104" t="n">
        <v>0</v>
      </c>
      <c r="J104" t="n">
        <v>0</v>
      </c>
      <c r="K104" t="n">
        <v>0</v>
      </c>
      <c r="L104" t="n">
        <v>0</v>
      </c>
      <c r="M104" t="n">
        <v>0</v>
      </c>
      <c r="N104" t="n">
        <v>0</v>
      </c>
      <c r="O104" t="n">
        <v>0</v>
      </c>
      <c r="P104" t="n">
        <v>0</v>
      </c>
      <c r="Q104" t="n">
        <v>0</v>
      </c>
      <c r="R104" s="2" t="inlineStr"/>
    </row>
    <row r="105" ht="15" customHeight="1">
      <c r="A105" t="inlineStr">
        <is>
          <t>A 55012-2022</t>
        </is>
      </c>
      <c r="B105" s="1" t="n">
        <v>44886.52833333334</v>
      </c>
      <c r="C105" s="1" t="n">
        <v>45895</v>
      </c>
      <c r="D105" t="inlineStr">
        <is>
          <t>ÖREBRO LÄN</t>
        </is>
      </c>
      <c r="E105" t="inlineStr">
        <is>
          <t>ÖREBRO</t>
        </is>
      </c>
      <c r="G105" t="n">
        <v>5.1</v>
      </c>
      <c r="H105" t="n">
        <v>0</v>
      </c>
      <c r="I105" t="n">
        <v>0</v>
      </c>
      <c r="J105" t="n">
        <v>0</v>
      </c>
      <c r="K105" t="n">
        <v>0</v>
      </c>
      <c r="L105" t="n">
        <v>0</v>
      </c>
      <c r="M105" t="n">
        <v>0</v>
      </c>
      <c r="N105" t="n">
        <v>0</v>
      </c>
      <c r="O105" t="n">
        <v>0</v>
      </c>
      <c r="P105" t="n">
        <v>0</v>
      </c>
      <c r="Q105" t="n">
        <v>0</v>
      </c>
      <c r="R105" s="2" t="inlineStr"/>
    </row>
    <row r="106" ht="15" customHeight="1">
      <c r="A106" t="inlineStr">
        <is>
          <t>A 47993-2020</t>
        </is>
      </c>
      <c r="B106" s="1" t="n">
        <v>44095</v>
      </c>
      <c r="C106" s="1" t="n">
        <v>45895</v>
      </c>
      <c r="D106" t="inlineStr">
        <is>
          <t>ÖREBRO LÄN</t>
        </is>
      </c>
      <c r="E106" t="inlineStr">
        <is>
          <t>ÖREBRO</t>
        </is>
      </c>
      <c r="G106" t="n">
        <v>4.3</v>
      </c>
      <c r="H106" t="n">
        <v>0</v>
      </c>
      <c r="I106" t="n">
        <v>0</v>
      </c>
      <c r="J106" t="n">
        <v>0</v>
      </c>
      <c r="K106" t="n">
        <v>0</v>
      </c>
      <c r="L106" t="n">
        <v>0</v>
      </c>
      <c r="M106" t="n">
        <v>0</v>
      </c>
      <c r="N106" t="n">
        <v>0</v>
      </c>
      <c r="O106" t="n">
        <v>0</v>
      </c>
      <c r="P106" t="n">
        <v>0</v>
      </c>
      <c r="Q106" t="n">
        <v>0</v>
      </c>
      <c r="R106" s="2" t="inlineStr"/>
    </row>
    <row r="107" ht="15" customHeight="1">
      <c r="A107" t="inlineStr">
        <is>
          <t>A 8884-2022</t>
        </is>
      </c>
      <c r="B107" s="1" t="n">
        <v>44614.60990740741</v>
      </c>
      <c r="C107" s="1" t="n">
        <v>45895</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3078-2021</t>
        </is>
      </c>
      <c r="B108" s="1" t="n">
        <v>44216</v>
      </c>
      <c r="C108" s="1" t="n">
        <v>45895</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3085-2021</t>
        </is>
      </c>
      <c r="B109" s="1" t="n">
        <v>44216</v>
      </c>
      <c r="C109" s="1" t="n">
        <v>45895</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70871-2021</t>
        </is>
      </c>
      <c r="B110" s="1" t="n">
        <v>44538</v>
      </c>
      <c r="C110" s="1" t="n">
        <v>45895</v>
      </c>
      <c r="D110" t="inlineStr">
        <is>
          <t>ÖREBRO LÄN</t>
        </is>
      </c>
      <c r="E110" t="inlineStr">
        <is>
          <t>ÖREBRO</t>
        </is>
      </c>
      <c r="G110" t="n">
        <v>0.9</v>
      </c>
      <c r="H110" t="n">
        <v>0</v>
      </c>
      <c r="I110" t="n">
        <v>0</v>
      </c>
      <c r="J110" t="n">
        <v>0</v>
      </c>
      <c r="K110" t="n">
        <v>0</v>
      </c>
      <c r="L110" t="n">
        <v>0</v>
      </c>
      <c r="M110" t="n">
        <v>0</v>
      </c>
      <c r="N110" t="n">
        <v>0</v>
      </c>
      <c r="O110" t="n">
        <v>0</v>
      </c>
      <c r="P110" t="n">
        <v>0</v>
      </c>
      <c r="Q110" t="n">
        <v>0</v>
      </c>
      <c r="R110" s="2" t="inlineStr"/>
    </row>
    <row r="111" ht="15" customHeight="1">
      <c r="A111" t="inlineStr">
        <is>
          <t>A 36794-2022</t>
        </is>
      </c>
      <c r="B111" s="1" t="n">
        <v>44805</v>
      </c>
      <c r="C111" s="1" t="n">
        <v>45895</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15571-2021</t>
        </is>
      </c>
      <c r="B112" s="1" t="n">
        <v>44285</v>
      </c>
      <c r="C112" s="1" t="n">
        <v>45895</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4021-2021</t>
        </is>
      </c>
      <c r="B113" s="1" t="n">
        <v>44218</v>
      </c>
      <c r="C113" s="1" t="n">
        <v>45895</v>
      </c>
      <c r="D113" t="inlineStr">
        <is>
          <t>ÖREBRO LÄN</t>
        </is>
      </c>
      <c r="E113" t="inlineStr">
        <is>
          <t>ÖREBRO</t>
        </is>
      </c>
      <c r="G113" t="n">
        <v>5.3</v>
      </c>
      <c r="H113" t="n">
        <v>0</v>
      </c>
      <c r="I113" t="n">
        <v>0</v>
      </c>
      <c r="J113" t="n">
        <v>0</v>
      </c>
      <c r="K113" t="n">
        <v>0</v>
      </c>
      <c r="L113" t="n">
        <v>0</v>
      </c>
      <c r="M113" t="n">
        <v>0</v>
      </c>
      <c r="N113" t="n">
        <v>0</v>
      </c>
      <c r="O113" t="n">
        <v>0</v>
      </c>
      <c r="P113" t="n">
        <v>0</v>
      </c>
      <c r="Q113" t="n">
        <v>0</v>
      </c>
      <c r="R113" s="2" t="inlineStr"/>
    </row>
    <row r="114" ht="15" customHeight="1">
      <c r="A114" t="inlineStr">
        <is>
          <t>A 25660-2021</t>
        </is>
      </c>
      <c r="B114" s="1" t="n">
        <v>44343.5619212963</v>
      </c>
      <c r="C114" s="1" t="n">
        <v>45895</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70199-2021</t>
        </is>
      </c>
      <c r="B115" s="1" t="n">
        <v>44534.80712962963</v>
      </c>
      <c r="C115" s="1" t="n">
        <v>45895</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26153-2021</t>
        </is>
      </c>
      <c r="B116" s="1" t="n">
        <v>44347</v>
      </c>
      <c r="C116" s="1" t="n">
        <v>45895</v>
      </c>
      <c r="D116" t="inlineStr">
        <is>
          <t>ÖREBRO LÄN</t>
        </is>
      </c>
      <c r="E116" t="inlineStr">
        <is>
          <t>ÖREBRO</t>
        </is>
      </c>
      <c r="G116" t="n">
        <v>1.5</v>
      </c>
      <c r="H116" t="n">
        <v>0</v>
      </c>
      <c r="I116" t="n">
        <v>0</v>
      </c>
      <c r="J116" t="n">
        <v>0</v>
      </c>
      <c r="K116" t="n">
        <v>0</v>
      </c>
      <c r="L116" t="n">
        <v>0</v>
      </c>
      <c r="M116" t="n">
        <v>0</v>
      </c>
      <c r="N116" t="n">
        <v>0</v>
      </c>
      <c r="O116" t="n">
        <v>0</v>
      </c>
      <c r="P116" t="n">
        <v>0</v>
      </c>
      <c r="Q116" t="n">
        <v>0</v>
      </c>
      <c r="R116" s="2" t="inlineStr"/>
    </row>
    <row r="117" ht="15" customHeight="1">
      <c r="A117" t="inlineStr">
        <is>
          <t>A 51429-2021</t>
        </is>
      </c>
      <c r="B117" s="1" t="n">
        <v>44461.92744212963</v>
      </c>
      <c r="C117" s="1" t="n">
        <v>45895</v>
      </c>
      <c r="D117" t="inlineStr">
        <is>
          <t>ÖREBRO LÄN</t>
        </is>
      </c>
      <c r="E117" t="inlineStr">
        <is>
          <t>ÖREBRO</t>
        </is>
      </c>
      <c r="G117" t="n">
        <v>0.7</v>
      </c>
      <c r="H117" t="n">
        <v>0</v>
      </c>
      <c r="I117" t="n">
        <v>0</v>
      </c>
      <c r="J117" t="n">
        <v>0</v>
      </c>
      <c r="K117" t="n">
        <v>0</v>
      </c>
      <c r="L117" t="n">
        <v>0</v>
      </c>
      <c r="M117" t="n">
        <v>0</v>
      </c>
      <c r="N117" t="n">
        <v>0</v>
      </c>
      <c r="O117" t="n">
        <v>0</v>
      </c>
      <c r="P117" t="n">
        <v>0</v>
      </c>
      <c r="Q117" t="n">
        <v>0</v>
      </c>
      <c r="R117" s="2" t="inlineStr"/>
    </row>
    <row r="118" ht="15" customHeight="1">
      <c r="A118" t="inlineStr">
        <is>
          <t>A 24818-2021</t>
        </is>
      </c>
      <c r="B118" s="1" t="n">
        <v>44340</v>
      </c>
      <c r="C118" s="1" t="n">
        <v>45895</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797-2022</t>
        </is>
      </c>
      <c r="B119" s="1" t="n">
        <v>44566</v>
      </c>
      <c r="C119" s="1" t="n">
        <v>45895</v>
      </c>
      <c r="D119" t="inlineStr">
        <is>
          <t>ÖREBRO LÄN</t>
        </is>
      </c>
      <c r="E119" t="inlineStr">
        <is>
          <t>ÖREBRO</t>
        </is>
      </c>
      <c r="G119" t="n">
        <v>0.1</v>
      </c>
      <c r="H119" t="n">
        <v>0</v>
      </c>
      <c r="I119" t="n">
        <v>0</v>
      </c>
      <c r="J119" t="n">
        <v>0</v>
      </c>
      <c r="K119" t="n">
        <v>0</v>
      </c>
      <c r="L119" t="n">
        <v>0</v>
      </c>
      <c r="M119" t="n">
        <v>0</v>
      </c>
      <c r="N119" t="n">
        <v>0</v>
      </c>
      <c r="O119" t="n">
        <v>0</v>
      </c>
      <c r="P119" t="n">
        <v>0</v>
      </c>
      <c r="Q119" t="n">
        <v>0</v>
      </c>
      <c r="R119" s="2" t="inlineStr"/>
    </row>
    <row r="120" ht="15" customHeight="1">
      <c r="A120" t="inlineStr">
        <is>
          <t>A 42865-2020</t>
        </is>
      </c>
      <c r="B120" s="1" t="n">
        <v>44078</v>
      </c>
      <c r="C120" s="1" t="n">
        <v>45895</v>
      </c>
      <c r="D120" t="inlineStr">
        <is>
          <t>ÖREBRO LÄN</t>
        </is>
      </c>
      <c r="E120" t="inlineStr">
        <is>
          <t>ÖREBRO</t>
        </is>
      </c>
      <c r="G120" t="n">
        <v>5.2</v>
      </c>
      <c r="H120" t="n">
        <v>0</v>
      </c>
      <c r="I120" t="n">
        <v>0</v>
      </c>
      <c r="J120" t="n">
        <v>0</v>
      </c>
      <c r="K120" t="n">
        <v>0</v>
      </c>
      <c r="L120" t="n">
        <v>0</v>
      </c>
      <c r="M120" t="n">
        <v>0</v>
      </c>
      <c r="N120" t="n">
        <v>0</v>
      </c>
      <c r="O120" t="n">
        <v>0</v>
      </c>
      <c r="P120" t="n">
        <v>0</v>
      </c>
      <c r="Q120" t="n">
        <v>0</v>
      </c>
      <c r="R120" s="2" t="inlineStr"/>
    </row>
    <row r="121" ht="15" customHeight="1">
      <c r="A121" t="inlineStr">
        <is>
          <t>A 35836-2021</t>
        </is>
      </c>
      <c r="B121" s="1" t="n">
        <v>44386</v>
      </c>
      <c r="C121" s="1" t="n">
        <v>45895</v>
      </c>
      <c r="D121" t="inlineStr">
        <is>
          <t>ÖREBRO LÄN</t>
        </is>
      </c>
      <c r="E121" t="inlineStr">
        <is>
          <t>ÖREBRO</t>
        </is>
      </c>
      <c r="F121" t="inlineStr">
        <is>
          <t>Kommuner</t>
        </is>
      </c>
      <c r="G121" t="n">
        <v>2.1</v>
      </c>
      <c r="H121" t="n">
        <v>0</v>
      </c>
      <c r="I121" t="n">
        <v>0</v>
      </c>
      <c r="J121" t="n">
        <v>0</v>
      </c>
      <c r="K121" t="n">
        <v>0</v>
      </c>
      <c r="L121" t="n">
        <v>0</v>
      </c>
      <c r="M121" t="n">
        <v>0</v>
      </c>
      <c r="N121" t="n">
        <v>0</v>
      </c>
      <c r="O121" t="n">
        <v>0</v>
      </c>
      <c r="P121" t="n">
        <v>0</v>
      </c>
      <c r="Q121" t="n">
        <v>0</v>
      </c>
      <c r="R121" s="2" t="inlineStr"/>
    </row>
    <row r="122" ht="15" customHeight="1">
      <c r="A122" t="inlineStr">
        <is>
          <t>A 13045-2022</t>
        </is>
      </c>
      <c r="B122" s="1" t="n">
        <v>44643</v>
      </c>
      <c r="C122" s="1" t="n">
        <v>45895</v>
      </c>
      <c r="D122" t="inlineStr">
        <is>
          <t>ÖREBRO LÄN</t>
        </is>
      </c>
      <c r="E122" t="inlineStr">
        <is>
          <t>ÖREBRO</t>
        </is>
      </c>
      <c r="G122" t="n">
        <v>1</v>
      </c>
      <c r="H122" t="n">
        <v>0</v>
      </c>
      <c r="I122" t="n">
        <v>0</v>
      </c>
      <c r="J122" t="n">
        <v>0</v>
      </c>
      <c r="K122" t="n">
        <v>0</v>
      </c>
      <c r="L122" t="n">
        <v>0</v>
      </c>
      <c r="M122" t="n">
        <v>0</v>
      </c>
      <c r="N122" t="n">
        <v>0</v>
      </c>
      <c r="O122" t="n">
        <v>0</v>
      </c>
      <c r="P122" t="n">
        <v>0</v>
      </c>
      <c r="Q122" t="n">
        <v>0</v>
      </c>
      <c r="R122" s="2" t="inlineStr"/>
    </row>
    <row r="123" ht="15" customHeight="1">
      <c r="A123" t="inlineStr">
        <is>
          <t>A 58633-2020</t>
        </is>
      </c>
      <c r="B123" s="1" t="n">
        <v>44145</v>
      </c>
      <c r="C123" s="1" t="n">
        <v>45895</v>
      </c>
      <c r="D123" t="inlineStr">
        <is>
          <t>ÖREBRO LÄN</t>
        </is>
      </c>
      <c r="E123" t="inlineStr">
        <is>
          <t>ÖREBRO</t>
        </is>
      </c>
      <c r="G123" t="n">
        <v>1.4</v>
      </c>
      <c r="H123" t="n">
        <v>0</v>
      </c>
      <c r="I123" t="n">
        <v>0</v>
      </c>
      <c r="J123" t="n">
        <v>0</v>
      </c>
      <c r="K123" t="n">
        <v>0</v>
      </c>
      <c r="L123" t="n">
        <v>0</v>
      </c>
      <c r="M123" t="n">
        <v>0</v>
      </c>
      <c r="N123" t="n">
        <v>0</v>
      </c>
      <c r="O123" t="n">
        <v>0</v>
      </c>
      <c r="P123" t="n">
        <v>0</v>
      </c>
      <c r="Q123" t="n">
        <v>0</v>
      </c>
      <c r="R123" s="2" t="inlineStr"/>
    </row>
    <row r="124" ht="15" customHeight="1">
      <c r="A124" t="inlineStr">
        <is>
          <t>A 64523-2021</t>
        </is>
      </c>
      <c r="B124" s="1" t="n">
        <v>44511</v>
      </c>
      <c r="C124" s="1" t="n">
        <v>45895</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60150-2020</t>
        </is>
      </c>
      <c r="B125" s="1" t="n">
        <v>44152</v>
      </c>
      <c r="C125" s="1" t="n">
        <v>45895</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28870-2021</t>
        </is>
      </c>
      <c r="B126" s="1" t="n">
        <v>44357.75265046296</v>
      </c>
      <c r="C126" s="1" t="n">
        <v>45895</v>
      </c>
      <c r="D126" t="inlineStr">
        <is>
          <t>ÖREBRO LÄN</t>
        </is>
      </c>
      <c r="E126" t="inlineStr">
        <is>
          <t>ÖREBRO</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10019-2022</t>
        </is>
      </c>
      <c r="B127" s="1" t="n">
        <v>44621</v>
      </c>
      <c r="C127" s="1" t="n">
        <v>45895</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44146-2021</t>
        </is>
      </c>
      <c r="B128" s="1" t="n">
        <v>44434</v>
      </c>
      <c r="C128" s="1" t="n">
        <v>45895</v>
      </c>
      <c r="D128" t="inlineStr">
        <is>
          <t>ÖREBRO LÄN</t>
        </is>
      </c>
      <c r="E128" t="inlineStr">
        <is>
          <t>ÖREBRO</t>
        </is>
      </c>
      <c r="G128" t="n">
        <v>1.7</v>
      </c>
      <c r="H128" t="n">
        <v>0</v>
      </c>
      <c r="I128" t="n">
        <v>0</v>
      </c>
      <c r="J128" t="n">
        <v>0</v>
      </c>
      <c r="K128" t="n">
        <v>0</v>
      </c>
      <c r="L128" t="n">
        <v>0</v>
      </c>
      <c r="M128" t="n">
        <v>0</v>
      </c>
      <c r="N128" t="n">
        <v>0</v>
      </c>
      <c r="O128" t="n">
        <v>0</v>
      </c>
      <c r="P128" t="n">
        <v>0</v>
      </c>
      <c r="Q128" t="n">
        <v>0</v>
      </c>
      <c r="R128" s="2" t="inlineStr"/>
    </row>
    <row r="129" ht="15" customHeight="1">
      <c r="A129" t="inlineStr">
        <is>
          <t>A 21567-2022</t>
        </is>
      </c>
      <c r="B129" s="1" t="n">
        <v>44706</v>
      </c>
      <c r="C129" s="1" t="n">
        <v>45895</v>
      </c>
      <c r="D129" t="inlineStr">
        <is>
          <t>ÖREBRO LÄN</t>
        </is>
      </c>
      <c r="E129" t="inlineStr">
        <is>
          <t>ÖREBRO</t>
        </is>
      </c>
      <c r="F129" t="inlineStr">
        <is>
          <t>Övriga Aktiebolag</t>
        </is>
      </c>
      <c r="G129" t="n">
        <v>1</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45895</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58138-2021</t>
        </is>
      </c>
      <c r="B131" s="1" t="n">
        <v>44487</v>
      </c>
      <c r="C131" s="1" t="n">
        <v>45895</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46607-2020</t>
        </is>
      </c>
      <c r="B132" s="1" t="n">
        <v>44095</v>
      </c>
      <c r="C132" s="1" t="n">
        <v>45895</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61232-2021</t>
        </is>
      </c>
      <c r="B133" s="1" t="n">
        <v>44498</v>
      </c>
      <c r="C133" s="1" t="n">
        <v>45895</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30760-2022</t>
        </is>
      </c>
      <c r="B134" s="1" t="n">
        <v>44764.51827546296</v>
      </c>
      <c r="C134" s="1" t="n">
        <v>45895</v>
      </c>
      <c r="D134" t="inlineStr">
        <is>
          <t>ÖREBRO LÄN</t>
        </is>
      </c>
      <c r="E134" t="inlineStr">
        <is>
          <t>ÖREBRO</t>
        </is>
      </c>
      <c r="G134" t="n">
        <v>4</v>
      </c>
      <c r="H134" t="n">
        <v>0</v>
      </c>
      <c r="I134" t="n">
        <v>0</v>
      </c>
      <c r="J134" t="n">
        <v>0</v>
      </c>
      <c r="K134" t="n">
        <v>0</v>
      </c>
      <c r="L134" t="n">
        <v>0</v>
      </c>
      <c r="M134" t="n">
        <v>0</v>
      </c>
      <c r="N134" t="n">
        <v>0</v>
      </c>
      <c r="O134" t="n">
        <v>0</v>
      </c>
      <c r="P134" t="n">
        <v>0</v>
      </c>
      <c r="Q134" t="n">
        <v>0</v>
      </c>
      <c r="R134" s="2" t="inlineStr"/>
    </row>
    <row r="135" ht="15" customHeight="1">
      <c r="A135" t="inlineStr">
        <is>
          <t>A 29490-2022</t>
        </is>
      </c>
      <c r="B135" s="1" t="n">
        <v>44753</v>
      </c>
      <c r="C135" s="1" t="n">
        <v>45895</v>
      </c>
      <c r="D135" t="inlineStr">
        <is>
          <t>ÖREBRO LÄN</t>
        </is>
      </c>
      <c r="E135" t="inlineStr">
        <is>
          <t>ÖREBRO</t>
        </is>
      </c>
      <c r="F135" t="inlineStr">
        <is>
          <t>Kommuner</t>
        </is>
      </c>
      <c r="G135" t="n">
        <v>0.3</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45895</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45895</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37395-2021</t>
        </is>
      </c>
      <c r="B138" s="1" t="n">
        <v>44398</v>
      </c>
      <c r="C138" s="1" t="n">
        <v>45895</v>
      </c>
      <c r="D138" t="inlineStr">
        <is>
          <t>ÖREBRO LÄN</t>
        </is>
      </c>
      <c r="E138" t="inlineStr">
        <is>
          <t>ÖREBRO</t>
        </is>
      </c>
      <c r="G138" t="n">
        <v>3</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45895</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66936-2021</t>
        </is>
      </c>
      <c r="B140" s="1" t="n">
        <v>44522.56349537037</v>
      </c>
      <c r="C140" s="1" t="n">
        <v>45895</v>
      </c>
      <c r="D140" t="inlineStr">
        <is>
          <t>ÖREBRO LÄN</t>
        </is>
      </c>
      <c r="E140" t="inlineStr">
        <is>
          <t>ÖREBRO</t>
        </is>
      </c>
      <c r="G140" t="n">
        <v>6.8</v>
      </c>
      <c r="H140" t="n">
        <v>0</v>
      </c>
      <c r="I140" t="n">
        <v>0</v>
      </c>
      <c r="J140" t="n">
        <v>0</v>
      </c>
      <c r="K140" t="n">
        <v>0</v>
      </c>
      <c r="L140" t="n">
        <v>0</v>
      </c>
      <c r="M140" t="n">
        <v>0</v>
      </c>
      <c r="N140" t="n">
        <v>0</v>
      </c>
      <c r="O140" t="n">
        <v>0</v>
      </c>
      <c r="P140" t="n">
        <v>0</v>
      </c>
      <c r="Q140" t="n">
        <v>0</v>
      </c>
      <c r="R140" s="2" t="inlineStr"/>
    </row>
    <row r="141" ht="15" customHeight="1">
      <c r="A141" t="inlineStr">
        <is>
          <t>A 44131-2022</t>
        </is>
      </c>
      <c r="B141" s="1" t="n">
        <v>44839</v>
      </c>
      <c r="C141" s="1" t="n">
        <v>45895</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45895</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18321-2022</t>
        </is>
      </c>
      <c r="B143" s="1" t="n">
        <v>44685</v>
      </c>
      <c r="C143" s="1" t="n">
        <v>45895</v>
      </c>
      <c r="D143" t="inlineStr">
        <is>
          <t>ÖREBRO LÄN</t>
        </is>
      </c>
      <c r="E143" t="inlineStr">
        <is>
          <t>ÖREBRO</t>
        </is>
      </c>
      <c r="G143" t="n">
        <v>2.1</v>
      </c>
      <c r="H143" t="n">
        <v>0</v>
      </c>
      <c r="I143" t="n">
        <v>0</v>
      </c>
      <c r="J143" t="n">
        <v>0</v>
      </c>
      <c r="K143" t="n">
        <v>0</v>
      </c>
      <c r="L143" t="n">
        <v>0</v>
      </c>
      <c r="M143" t="n">
        <v>0</v>
      </c>
      <c r="N143" t="n">
        <v>0</v>
      </c>
      <c r="O143" t="n">
        <v>0</v>
      </c>
      <c r="P143" t="n">
        <v>0</v>
      </c>
      <c r="Q143" t="n">
        <v>0</v>
      </c>
      <c r="R143" s="2" t="inlineStr"/>
    </row>
    <row r="144" ht="15" customHeight="1">
      <c r="A144" t="inlineStr">
        <is>
          <t>A 62651-2020</t>
        </is>
      </c>
      <c r="B144" s="1" t="n">
        <v>44161</v>
      </c>
      <c r="C144" s="1" t="n">
        <v>45895</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15422-2022</t>
        </is>
      </c>
      <c r="B145" s="1" t="n">
        <v>44659.63753472222</v>
      </c>
      <c r="C145" s="1" t="n">
        <v>45895</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45895</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16258-2022</t>
        </is>
      </c>
      <c r="B147" s="1" t="n">
        <v>44670</v>
      </c>
      <c r="C147" s="1" t="n">
        <v>45895</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57343-2021</t>
        </is>
      </c>
      <c r="B148" s="1" t="n">
        <v>44482</v>
      </c>
      <c r="C148" s="1" t="n">
        <v>45895</v>
      </c>
      <c r="D148" t="inlineStr">
        <is>
          <t>ÖREBRO LÄN</t>
        </is>
      </c>
      <c r="E148" t="inlineStr">
        <is>
          <t>ÖREBRO</t>
        </is>
      </c>
      <c r="G148" t="n">
        <v>3.3</v>
      </c>
      <c r="H148" t="n">
        <v>0</v>
      </c>
      <c r="I148" t="n">
        <v>0</v>
      </c>
      <c r="J148" t="n">
        <v>0</v>
      </c>
      <c r="K148" t="n">
        <v>0</v>
      </c>
      <c r="L148" t="n">
        <v>0</v>
      </c>
      <c r="M148" t="n">
        <v>0</v>
      </c>
      <c r="N148" t="n">
        <v>0</v>
      </c>
      <c r="O148" t="n">
        <v>0</v>
      </c>
      <c r="P148" t="n">
        <v>0</v>
      </c>
      <c r="Q148" t="n">
        <v>0</v>
      </c>
      <c r="R148" s="2" t="inlineStr"/>
    </row>
    <row r="149" ht="15" customHeight="1">
      <c r="A149" t="inlineStr">
        <is>
          <t>A 7117-2021</t>
        </is>
      </c>
      <c r="B149" s="1" t="n">
        <v>44238</v>
      </c>
      <c r="C149" s="1" t="n">
        <v>45895</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56138-2020</t>
        </is>
      </c>
      <c r="B150" s="1" t="n">
        <v>44133</v>
      </c>
      <c r="C150" s="1" t="n">
        <v>45895</v>
      </c>
      <c r="D150" t="inlineStr">
        <is>
          <t>ÖREBRO LÄN</t>
        </is>
      </c>
      <c r="E150" t="inlineStr">
        <is>
          <t>ÖREBRO</t>
        </is>
      </c>
      <c r="F150" t="inlineStr">
        <is>
          <t>Allmännings- och besparingsskogar</t>
        </is>
      </c>
      <c r="G150" t="n">
        <v>4.9</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45895</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44514-2020</t>
        </is>
      </c>
      <c r="B152" s="1" t="n">
        <v>44085</v>
      </c>
      <c r="C152" s="1" t="n">
        <v>45895</v>
      </c>
      <c r="D152" t="inlineStr">
        <is>
          <t>ÖREBRO LÄN</t>
        </is>
      </c>
      <c r="E152" t="inlineStr">
        <is>
          <t>ÖREBRO</t>
        </is>
      </c>
      <c r="G152" t="n">
        <v>3</v>
      </c>
      <c r="H152" t="n">
        <v>0</v>
      </c>
      <c r="I152" t="n">
        <v>0</v>
      </c>
      <c r="J152" t="n">
        <v>0</v>
      </c>
      <c r="K152" t="n">
        <v>0</v>
      </c>
      <c r="L152" t="n">
        <v>0</v>
      </c>
      <c r="M152" t="n">
        <v>0</v>
      </c>
      <c r="N152" t="n">
        <v>0</v>
      </c>
      <c r="O152" t="n">
        <v>0</v>
      </c>
      <c r="P152" t="n">
        <v>0</v>
      </c>
      <c r="Q152" t="n">
        <v>0</v>
      </c>
      <c r="R152" s="2" t="inlineStr"/>
    </row>
    <row r="153" ht="15" customHeight="1">
      <c r="A153" t="inlineStr">
        <is>
          <t>A 26118-2021</t>
        </is>
      </c>
      <c r="B153" s="1" t="n">
        <v>44345</v>
      </c>
      <c r="C153" s="1" t="n">
        <v>45895</v>
      </c>
      <c r="D153" t="inlineStr">
        <is>
          <t>ÖREBRO LÄN</t>
        </is>
      </c>
      <c r="E153" t="inlineStr">
        <is>
          <t>ÖREBRO</t>
        </is>
      </c>
      <c r="G153" t="n">
        <v>2.2</v>
      </c>
      <c r="H153" t="n">
        <v>0</v>
      </c>
      <c r="I153" t="n">
        <v>0</v>
      </c>
      <c r="J153" t="n">
        <v>0</v>
      </c>
      <c r="K153" t="n">
        <v>0</v>
      </c>
      <c r="L153" t="n">
        <v>0</v>
      </c>
      <c r="M153" t="n">
        <v>0</v>
      </c>
      <c r="N153" t="n">
        <v>0</v>
      </c>
      <c r="O153" t="n">
        <v>0</v>
      </c>
      <c r="P153" t="n">
        <v>0</v>
      </c>
      <c r="Q153" t="n">
        <v>0</v>
      </c>
      <c r="R153" s="2" t="inlineStr"/>
    </row>
    <row r="154" ht="15" customHeight="1">
      <c r="A154" t="inlineStr">
        <is>
          <t>A 26119-2021</t>
        </is>
      </c>
      <c r="B154" s="1" t="n">
        <v>44345.33282407407</v>
      </c>
      <c r="C154" s="1" t="n">
        <v>45895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3087-2021</t>
        </is>
      </c>
      <c r="B155" s="1" t="n">
        <v>44216</v>
      </c>
      <c r="C155" s="1" t="n">
        <v>45895</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32231-2022</t>
        </is>
      </c>
      <c r="B156" s="1" t="n">
        <v>44781</v>
      </c>
      <c r="C156" s="1" t="n">
        <v>45895</v>
      </c>
      <c r="D156" t="inlineStr">
        <is>
          <t>ÖREBRO LÄN</t>
        </is>
      </c>
      <c r="E156" t="inlineStr">
        <is>
          <t>ÖREBRO</t>
        </is>
      </c>
      <c r="G156" t="n">
        <v>1</v>
      </c>
      <c r="H156" t="n">
        <v>0</v>
      </c>
      <c r="I156" t="n">
        <v>0</v>
      </c>
      <c r="J156" t="n">
        <v>0</v>
      </c>
      <c r="K156" t="n">
        <v>0</v>
      </c>
      <c r="L156" t="n">
        <v>0</v>
      </c>
      <c r="M156" t="n">
        <v>0</v>
      </c>
      <c r="N156" t="n">
        <v>0</v>
      </c>
      <c r="O156" t="n">
        <v>0</v>
      </c>
      <c r="P156" t="n">
        <v>0</v>
      </c>
      <c r="Q156" t="n">
        <v>0</v>
      </c>
      <c r="R156" s="2" t="inlineStr"/>
    </row>
    <row r="157" ht="15" customHeight="1">
      <c r="A157" t="inlineStr">
        <is>
          <t>A 32247-2022</t>
        </is>
      </c>
      <c r="B157" s="1" t="n">
        <v>44781</v>
      </c>
      <c r="C157" s="1" t="n">
        <v>45895</v>
      </c>
      <c r="D157" t="inlineStr">
        <is>
          <t>ÖREBRO LÄN</t>
        </is>
      </c>
      <c r="E157" t="inlineStr">
        <is>
          <t>ÖREBRO</t>
        </is>
      </c>
      <c r="G157" t="n">
        <v>3</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45895</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4766-2022</t>
        </is>
      </c>
      <c r="B159" s="1" t="n">
        <v>44592</v>
      </c>
      <c r="C159" s="1" t="n">
        <v>45895</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69613-2020</t>
        </is>
      </c>
      <c r="B160" s="1" t="n">
        <v>44195</v>
      </c>
      <c r="C160" s="1" t="n">
        <v>45895</v>
      </c>
      <c r="D160" t="inlineStr">
        <is>
          <t>ÖREBRO LÄN</t>
        </is>
      </c>
      <c r="E160" t="inlineStr">
        <is>
          <t>ÖREBRO</t>
        </is>
      </c>
      <c r="G160" t="n">
        <v>4.7</v>
      </c>
      <c r="H160" t="n">
        <v>0</v>
      </c>
      <c r="I160" t="n">
        <v>0</v>
      </c>
      <c r="J160" t="n">
        <v>0</v>
      </c>
      <c r="K160" t="n">
        <v>0</v>
      </c>
      <c r="L160" t="n">
        <v>0</v>
      </c>
      <c r="M160" t="n">
        <v>0</v>
      </c>
      <c r="N160" t="n">
        <v>0</v>
      </c>
      <c r="O160" t="n">
        <v>0</v>
      </c>
      <c r="P160" t="n">
        <v>0</v>
      </c>
      <c r="Q160" t="n">
        <v>0</v>
      </c>
      <c r="R160" s="2" t="inlineStr"/>
    </row>
    <row r="161" ht="15" customHeight="1">
      <c r="A161" t="inlineStr">
        <is>
          <t>A 19468-2021</t>
        </is>
      </c>
      <c r="B161" s="1" t="n">
        <v>44311</v>
      </c>
      <c r="C161" s="1" t="n">
        <v>45895</v>
      </c>
      <c r="D161" t="inlineStr">
        <is>
          <t>ÖREBRO LÄN</t>
        </is>
      </c>
      <c r="E161" t="inlineStr">
        <is>
          <t>ÖREBRO</t>
        </is>
      </c>
      <c r="G161" t="n">
        <v>0.9</v>
      </c>
      <c r="H161" t="n">
        <v>0</v>
      </c>
      <c r="I161" t="n">
        <v>0</v>
      </c>
      <c r="J161" t="n">
        <v>0</v>
      </c>
      <c r="K161" t="n">
        <v>0</v>
      </c>
      <c r="L161" t="n">
        <v>0</v>
      </c>
      <c r="M161" t="n">
        <v>0</v>
      </c>
      <c r="N161" t="n">
        <v>0</v>
      </c>
      <c r="O161" t="n">
        <v>0</v>
      </c>
      <c r="P161" t="n">
        <v>0</v>
      </c>
      <c r="Q161" t="n">
        <v>0</v>
      </c>
      <c r="R161" s="2" t="inlineStr"/>
    </row>
    <row r="162" ht="15" customHeight="1">
      <c r="A162" t="inlineStr">
        <is>
          <t>A 40312-2021</t>
        </is>
      </c>
      <c r="B162" s="1" t="n">
        <v>44419</v>
      </c>
      <c r="C162" s="1" t="n">
        <v>45895</v>
      </c>
      <c r="D162" t="inlineStr">
        <is>
          <t>ÖREBRO LÄN</t>
        </is>
      </c>
      <c r="E162" t="inlineStr">
        <is>
          <t>ÖREBRO</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63247-2021</t>
        </is>
      </c>
      <c r="B163" s="1" t="n">
        <v>44505</v>
      </c>
      <c r="C163" s="1" t="n">
        <v>45895</v>
      </c>
      <c r="D163" t="inlineStr">
        <is>
          <t>ÖREBRO LÄN</t>
        </is>
      </c>
      <c r="E163" t="inlineStr">
        <is>
          <t>ÖREBRO</t>
        </is>
      </c>
      <c r="G163" t="n">
        <v>1.5</v>
      </c>
      <c r="H163" t="n">
        <v>0</v>
      </c>
      <c r="I163" t="n">
        <v>0</v>
      </c>
      <c r="J163" t="n">
        <v>0</v>
      </c>
      <c r="K163" t="n">
        <v>0</v>
      </c>
      <c r="L163" t="n">
        <v>0</v>
      </c>
      <c r="M163" t="n">
        <v>0</v>
      </c>
      <c r="N163" t="n">
        <v>0</v>
      </c>
      <c r="O163" t="n">
        <v>0</v>
      </c>
      <c r="P163" t="n">
        <v>0</v>
      </c>
      <c r="Q163" t="n">
        <v>0</v>
      </c>
      <c r="R163" s="2" t="inlineStr"/>
    </row>
    <row r="164" ht="15" customHeight="1">
      <c r="A164" t="inlineStr">
        <is>
          <t>A 41553-2022</t>
        </is>
      </c>
      <c r="B164" s="1" t="n">
        <v>44827.3940625</v>
      </c>
      <c r="C164" s="1" t="n">
        <v>45895</v>
      </c>
      <c r="D164" t="inlineStr">
        <is>
          <t>ÖREBRO LÄN</t>
        </is>
      </c>
      <c r="E164" t="inlineStr">
        <is>
          <t>ÖREBRO</t>
        </is>
      </c>
      <c r="G164" t="n">
        <v>3.7</v>
      </c>
      <c r="H164" t="n">
        <v>0</v>
      </c>
      <c r="I164" t="n">
        <v>0</v>
      </c>
      <c r="J164" t="n">
        <v>0</v>
      </c>
      <c r="K164" t="n">
        <v>0</v>
      </c>
      <c r="L164" t="n">
        <v>0</v>
      </c>
      <c r="M164" t="n">
        <v>0</v>
      </c>
      <c r="N164" t="n">
        <v>0</v>
      </c>
      <c r="O164" t="n">
        <v>0</v>
      </c>
      <c r="P164" t="n">
        <v>0</v>
      </c>
      <c r="Q164" t="n">
        <v>0</v>
      </c>
      <c r="R164" s="2" t="inlineStr"/>
    </row>
    <row r="165" ht="15" customHeight="1">
      <c r="A165" t="inlineStr">
        <is>
          <t>A 14562-2022</t>
        </is>
      </c>
      <c r="B165" s="1" t="n">
        <v>44655</v>
      </c>
      <c r="C165" s="1" t="n">
        <v>45895</v>
      </c>
      <c r="D165" t="inlineStr">
        <is>
          <t>ÖREBRO LÄN</t>
        </is>
      </c>
      <c r="E165" t="inlineStr">
        <is>
          <t>ÖREBRO</t>
        </is>
      </c>
      <c r="G165" t="n">
        <v>3.6</v>
      </c>
      <c r="H165" t="n">
        <v>0</v>
      </c>
      <c r="I165" t="n">
        <v>0</v>
      </c>
      <c r="J165" t="n">
        <v>0</v>
      </c>
      <c r="K165" t="n">
        <v>0</v>
      </c>
      <c r="L165" t="n">
        <v>0</v>
      </c>
      <c r="M165" t="n">
        <v>0</v>
      </c>
      <c r="N165" t="n">
        <v>0</v>
      </c>
      <c r="O165" t="n">
        <v>0</v>
      </c>
      <c r="P165" t="n">
        <v>0</v>
      </c>
      <c r="Q165" t="n">
        <v>0</v>
      </c>
      <c r="R165" s="2" t="inlineStr"/>
    </row>
    <row r="166" ht="15" customHeight="1">
      <c r="A166" t="inlineStr">
        <is>
          <t>A 12478-2022</t>
        </is>
      </c>
      <c r="B166" s="1" t="n">
        <v>44638</v>
      </c>
      <c r="C166" s="1" t="n">
        <v>45895</v>
      </c>
      <c r="D166" t="inlineStr">
        <is>
          <t>ÖREBRO LÄN</t>
        </is>
      </c>
      <c r="E166" t="inlineStr">
        <is>
          <t>ÖREBRO</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9362-2022</t>
        </is>
      </c>
      <c r="B167" s="1" t="n">
        <v>44616.59946759259</v>
      </c>
      <c r="C167" s="1" t="n">
        <v>45895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5401-2022</t>
        </is>
      </c>
      <c r="B168" s="1" t="n">
        <v>44595</v>
      </c>
      <c r="C168" s="1" t="n">
        <v>45895</v>
      </c>
      <c r="D168" t="inlineStr">
        <is>
          <t>ÖREBRO LÄN</t>
        </is>
      </c>
      <c r="E168" t="inlineStr">
        <is>
          <t>ÖREBRO</t>
        </is>
      </c>
      <c r="G168" t="n">
        <v>2.3</v>
      </c>
      <c r="H168" t="n">
        <v>0</v>
      </c>
      <c r="I168" t="n">
        <v>0</v>
      </c>
      <c r="J168" t="n">
        <v>0</v>
      </c>
      <c r="K168" t="n">
        <v>0</v>
      </c>
      <c r="L168" t="n">
        <v>0</v>
      </c>
      <c r="M168" t="n">
        <v>0</v>
      </c>
      <c r="N168" t="n">
        <v>0</v>
      </c>
      <c r="O168" t="n">
        <v>0</v>
      </c>
      <c r="P168" t="n">
        <v>0</v>
      </c>
      <c r="Q168" t="n">
        <v>0</v>
      </c>
      <c r="R168" s="2" t="inlineStr"/>
    </row>
    <row r="169" ht="15" customHeight="1">
      <c r="A169" t="inlineStr">
        <is>
          <t>A 16261-2022</t>
        </is>
      </c>
      <c r="B169" s="1" t="n">
        <v>44670</v>
      </c>
      <c r="C169" s="1" t="n">
        <v>45895</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60311-2020</t>
        </is>
      </c>
      <c r="B170" s="1" t="n">
        <v>44151</v>
      </c>
      <c r="C170" s="1" t="n">
        <v>45895</v>
      </c>
      <c r="D170" t="inlineStr">
        <is>
          <t>ÖREBRO LÄN</t>
        </is>
      </c>
      <c r="E170" t="inlineStr">
        <is>
          <t>ÖREBRO</t>
        </is>
      </c>
      <c r="F170" t="inlineStr">
        <is>
          <t>Kommuner</t>
        </is>
      </c>
      <c r="G170" t="n">
        <v>0.8</v>
      </c>
      <c r="H170" t="n">
        <v>0</v>
      </c>
      <c r="I170" t="n">
        <v>0</v>
      </c>
      <c r="J170" t="n">
        <v>0</v>
      </c>
      <c r="K170" t="n">
        <v>0</v>
      </c>
      <c r="L170" t="n">
        <v>0</v>
      </c>
      <c r="M170" t="n">
        <v>0</v>
      </c>
      <c r="N170" t="n">
        <v>0</v>
      </c>
      <c r="O170" t="n">
        <v>0</v>
      </c>
      <c r="P170" t="n">
        <v>0</v>
      </c>
      <c r="Q170" t="n">
        <v>0</v>
      </c>
      <c r="R170" s="2" t="inlineStr"/>
    </row>
    <row r="171" ht="15" customHeight="1">
      <c r="A171" t="inlineStr">
        <is>
          <t>A 19831-2021</t>
        </is>
      </c>
      <c r="B171" s="1" t="n">
        <v>44313</v>
      </c>
      <c r="C171" s="1" t="n">
        <v>45895</v>
      </c>
      <c r="D171" t="inlineStr">
        <is>
          <t>ÖREBRO LÄN</t>
        </is>
      </c>
      <c r="E171" t="inlineStr">
        <is>
          <t>ÖREBRO</t>
        </is>
      </c>
      <c r="G171" t="n">
        <v>3.2</v>
      </c>
      <c r="H171" t="n">
        <v>0</v>
      </c>
      <c r="I171" t="n">
        <v>0</v>
      </c>
      <c r="J171" t="n">
        <v>0</v>
      </c>
      <c r="K171" t="n">
        <v>0</v>
      </c>
      <c r="L171" t="n">
        <v>0</v>
      </c>
      <c r="M171" t="n">
        <v>0</v>
      </c>
      <c r="N171" t="n">
        <v>0</v>
      </c>
      <c r="O171" t="n">
        <v>0</v>
      </c>
      <c r="P171" t="n">
        <v>0</v>
      </c>
      <c r="Q171" t="n">
        <v>0</v>
      </c>
      <c r="R171" s="2" t="inlineStr"/>
    </row>
    <row r="172" ht="15" customHeight="1">
      <c r="A172" t="inlineStr">
        <is>
          <t>A 44165-2022</t>
        </is>
      </c>
      <c r="B172" s="1" t="n">
        <v>44839</v>
      </c>
      <c r="C172" s="1" t="n">
        <v>45895</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5357-2024</t>
        </is>
      </c>
      <c r="B173" s="1" t="n">
        <v>45331</v>
      </c>
      <c r="C173" s="1" t="n">
        <v>45895</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15354-2024</t>
        </is>
      </c>
      <c r="B174" s="1" t="n">
        <v>45400.85319444445</v>
      </c>
      <c r="C174" s="1" t="n">
        <v>45895</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11067-2025</t>
        </is>
      </c>
      <c r="B175" s="1" t="n">
        <v>45723</v>
      </c>
      <c r="C175" s="1" t="n">
        <v>45895</v>
      </c>
      <c r="D175" t="inlineStr">
        <is>
          <t>ÖREBRO LÄN</t>
        </is>
      </c>
      <c r="E175" t="inlineStr">
        <is>
          <t>ÖREBRO</t>
        </is>
      </c>
      <c r="G175" t="n">
        <v>3.1</v>
      </c>
      <c r="H175" t="n">
        <v>0</v>
      </c>
      <c r="I175" t="n">
        <v>0</v>
      </c>
      <c r="J175" t="n">
        <v>0</v>
      </c>
      <c r="K175" t="n">
        <v>0</v>
      </c>
      <c r="L175" t="n">
        <v>0</v>
      </c>
      <c r="M175" t="n">
        <v>0</v>
      </c>
      <c r="N175" t="n">
        <v>0</v>
      </c>
      <c r="O175" t="n">
        <v>0</v>
      </c>
      <c r="P175" t="n">
        <v>0</v>
      </c>
      <c r="Q175" t="n">
        <v>0</v>
      </c>
      <c r="R175" s="2" t="inlineStr"/>
    </row>
    <row r="176" ht="15" customHeight="1">
      <c r="A176" t="inlineStr">
        <is>
          <t>A 9585-2025</t>
        </is>
      </c>
      <c r="B176" s="1" t="n">
        <v>45715.63409722222</v>
      </c>
      <c r="C176" s="1" t="n">
        <v>45895</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6879-2024</t>
        </is>
      </c>
      <c r="B177" s="1" t="n">
        <v>45342.85280092592</v>
      </c>
      <c r="C177" s="1" t="n">
        <v>45895</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681-2024</t>
        </is>
      </c>
      <c r="B178" s="1" t="n">
        <v>45300</v>
      </c>
      <c r="C178" s="1" t="n">
        <v>45895</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45029-2020</t>
        </is>
      </c>
      <c r="B179" s="1" t="n">
        <v>44088</v>
      </c>
      <c r="C179" s="1" t="n">
        <v>45895</v>
      </c>
      <c r="D179" t="inlineStr">
        <is>
          <t>ÖREBRO LÄN</t>
        </is>
      </c>
      <c r="E179" t="inlineStr">
        <is>
          <t>ÖREBRO</t>
        </is>
      </c>
      <c r="G179" t="n">
        <v>3.8</v>
      </c>
      <c r="H179" t="n">
        <v>0</v>
      </c>
      <c r="I179" t="n">
        <v>0</v>
      </c>
      <c r="J179" t="n">
        <v>0</v>
      </c>
      <c r="K179" t="n">
        <v>0</v>
      </c>
      <c r="L179" t="n">
        <v>0</v>
      </c>
      <c r="M179" t="n">
        <v>0</v>
      </c>
      <c r="N179" t="n">
        <v>0</v>
      </c>
      <c r="O179" t="n">
        <v>0</v>
      </c>
      <c r="P179" t="n">
        <v>0</v>
      </c>
      <c r="Q179" t="n">
        <v>0</v>
      </c>
      <c r="R179" s="2" t="inlineStr"/>
    </row>
    <row r="180" ht="15" customHeight="1">
      <c r="A180" t="inlineStr">
        <is>
          <t>A 13169-2024</t>
        </is>
      </c>
      <c r="B180" s="1" t="n">
        <v>45386.40489583334</v>
      </c>
      <c r="C180" s="1" t="n">
        <v>45895</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58277-2022</t>
        </is>
      </c>
      <c r="B181" s="1" t="n">
        <v>44901.48108796297</v>
      </c>
      <c r="C181" s="1" t="n">
        <v>45895</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31906-2023</t>
        </is>
      </c>
      <c r="B182" s="1" t="n">
        <v>45118.8353125</v>
      </c>
      <c r="C182" s="1" t="n">
        <v>45895</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6638-2022</t>
        </is>
      </c>
      <c r="B183" s="1" t="n">
        <v>44601</v>
      </c>
      <c r="C183" s="1" t="n">
        <v>45895</v>
      </c>
      <c r="D183" t="inlineStr">
        <is>
          <t>ÖREBRO LÄN</t>
        </is>
      </c>
      <c r="E183" t="inlineStr">
        <is>
          <t>ÖREBRO</t>
        </is>
      </c>
      <c r="G183" t="n">
        <v>3.3</v>
      </c>
      <c r="H183" t="n">
        <v>0</v>
      </c>
      <c r="I183" t="n">
        <v>0</v>
      </c>
      <c r="J183" t="n">
        <v>0</v>
      </c>
      <c r="K183" t="n">
        <v>0</v>
      </c>
      <c r="L183" t="n">
        <v>0</v>
      </c>
      <c r="M183" t="n">
        <v>0</v>
      </c>
      <c r="N183" t="n">
        <v>0</v>
      </c>
      <c r="O183" t="n">
        <v>0</v>
      </c>
      <c r="P183" t="n">
        <v>0</v>
      </c>
      <c r="Q183" t="n">
        <v>0</v>
      </c>
      <c r="R183" s="2" t="inlineStr"/>
    </row>
    <row r="184" ht="15" customHeight="1">
      <c r="A184" t="inlineStr">
        <is>
          <t>A 19978-2025</t>
        </is>
      </c>
      <c r="B184" s="1" t="n">
        <v>45771.7062037037</v>
      </c>
      <c r="C184" s="1" t="n">
        <v>45895</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6387-2021</t>
        </is>
      </c>
      <c r="B185" s="1" t="n">
        <v>44235</v>
      </c>
      <c r="C185" s="1" t="n">
        <v>45895</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5125-2024</t>
        </is>
      </c>
      <c r="B186" s="1" t="n">
        <v>45330</v>
      </c>
      <c r="C186" s="1" t="n">
        <v>45895</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14234-2024</t>
        </is>
      </c>
      <c r="B187" s="1" t="n">
        <v>45393.46980324074</v>
      </c>
      <c r="C187" s="1" t="n">
        <v>45895</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5762-2025</t>
        </is>
      </c>
      <c r="B188" s="1" t="n">
        <v>45694.57181712963</v>
      </c>
      <c r="C188" s="1" t="n">
        <v>45895</v>
      </c>
      <c r="D188" t="inlineStr">
        <is>
          <t>ÖREBRO LÄN</t>
        </is>
      </c>
      <c r="E188" t="inlineStr">
        <is>
          <t>ÖREBRO</t>
        </is>
      </c>
      <c r="F188" t="inlineStr">
        <is>
          <t>Övriga Aktiebolag</t>
        </is>
      </c>
      <c r="G188" t="n">
        <v>1.5</v>
      </c>
      <c r="H188" t="n">
        <v>0</v>
      </c>
      <c r="I188" t="n">
        <v>0</v>
      </c>
      <c r="J188" t="n">
        <v>0</v>
      </c>
      <c r="K188" t="n">
        <v>0</v>
      </c>
      <c r="L188" t="n">
        <v>0</v>
      </c>
      <c r="M188" t="n">
        <v>0</v>
      </c>
      <c r="N188" t="n">
        <v>0</v>
      </c>
      <c r="O188" t="n">
        <v>0</v>
      </c>
      <c r="P188" t="n">
        <v>0</v>
      </c>
      <c r="Q188" t="n">
        <v>0</v>
      </c>
      <c r="R188" s="2" t="inlineStr"/>
    </row>
    <row r="189" ht="15" customHeight="1">
      <c r="A189" t="inlineStr">
        <is>
          <t>A 52256-2023</t>
        </is>
      </c>
      <c r="B189" s="1" t="n">
        <v>45224.51471064815</v>
      </c>
      <c r="C189" s="1" t="n">
        <v>45895</v>
      </c>
      <c r="D189" t="inlineStr">
        <is>
          <t>ÖREBRO LÄN</t>
        </is>
      </c>
      <c r="E189" t="inlineStr">
        <is>
          <t>ÖREBRO</t>
        </is>
      </c>
      <c r="G189" t="n">
        <v>2.8</v>
      </c>
      <c r="H189" t="n">
        <v>0</v>
      </c>
      <c r="I189" t="n">
        <v>0</v>
      </c>
      <c r="J189" t="n">
        <v>0</v>
      </c>
      <c r="K189" t="n">
        <v>0</v>
      </c>
      <c r="L189" t="n">
        <v>0</v>
      </c>
      <c r="M189" t="n">
        <v>0</v>
      </c>
      <c r="N189" t="n">
        <v>0</v>
      </c>
      <c r="O189" t="n">
        <v>0</v>
      </c>
      <c r="P189" t="n">
        <v>0</v>
      </c>
      <c r="Q189" t="n">
        <v>0</v>
      </c>
      <c r="R189" s="2" t="inlineStr"/>
    </row>
    <row r="190" ht="15" customHeight="1">
      <c r="A190" t="inlineStr">
        <is>
          <t>A 10937-2024</t>
        </is>
      </c>
      <c r="B190" s="1" t="n">
        <v>45370.44461805555</v>
      </c>
      <c r="C190" s="1" t="n">
        <v>45895</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22079-2023</t>
        </is>
      </c>
      <c r="B191" s="1" t="n">
        <v>45069</v>
      </c>
      <c r="C191" s="1" t="n">
        <v>45895</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52447-2024</t>
        </is>
      </c>
      <c r="B192" s="1" t="n">
        <v>45609.49157407408</v>
      </c>
      <c r="C192" s="1" t="n">
        <v>45895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3841-2023</t>
        </is>
      </c>
      <c r="B193" s="1" t="n">
        <v>44951</v>
      </c>
      <c r="C193" s="1" t="n">
        <v>45895</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62794-2021</t>
        </is>
      </c>
      <c r="B194" s="1" t="n">
        <v>44504</v>
      </c>
      <c r="C194" s="1" t="n">
        <v>45895</v>
      </c>
      <c r="D194" t="inlineStr">
        <is>
          <t>ÖREBRO LÄN</t>
        </is>
      </c>
      <c r="E194" t="inlineStr">
        <is>
          <t>ÖREBRO</t>
        </is>
      </c>
      <c r="G194" t="n">
        <v>3.3</v>
      </c>
      <c r="H194" t="n">
        <v>0</v>
      </c>
      <c r="I194" t="n">
        <v>0</v>
      </c>
      <c r="J194" t="n">
        <v>0</v>
      </c>
      <c r="K194" t="n">
        <v>0</v>
      </c>
      <c r="L194" t="n">
        <v>0</v>
      </c>
      <c r="M194" t="n">
        <v>0</v>
      </c>
      <c r="N194" t="n">
        <v>0</v>
      </c>
      <c r="O194" t="n">
        <v>0</v>
      </c>
      <c r="P194" t="n">
        <v>0</v>
      </c>
      <c r="Q194" t="n">
        <v>0</v>
      </c>
      <c r="R194" s="2" t="inlineStr"/>
    </row>
    <row r="195" ht="15" customHeight="1">
      <c r="A195" t="inlineStr">
        <is>
          <t>A 52612-2024</t>
        </is>
      </c>
      <c r="B195" s="1" t="n">
        <v>45609</v>
      </c>
      <c r="C195" s="1" t="n">
        <v>45895</v>
      </c>
      <c r="D195" t="inlineStr">
        <is>
          <t>ÖREBRO LÄN</t>
        </is>
      </c>
      <c r="E195" t="inlineStr">
        <is>
          <t>ÖREBRO</t>
        </is>
      </c>
      <c r="F195" t="inlineStr">
        <is>
          <t>Kommuner</t>
        </is>
      </c>
      <c r="G195" t="n">
        <v>5.5</v>
      </c>
      <c r="H195" t="n">
        <v>0</v>
      </c>
      <c r="I195" t="n">
        <v>0</v>
      </c>
      <c r="J195" t="n">
        <v>0</v>
      </c>
      <c r="K195" t="n">
        <v>0</v>
      </c>
      <c r="L195" t="n">
        <v>0</v>
      </c>
      <c r="M195" t="n">
        <v>0</v>
      </c>
      <c r="N195" t="n">
        <v>0</v>
      </c>
      <c r="O195" t="n">
        <v>0</v>
      </c>
      <c r="P195" t="n">
        <v>0</v>
      </c>
      <c r="Q195" t="n">
        <v>0</v>
      </c>
      <c r="R195" s="2" t="inlineStr"/>
    </row>
    <row r="196" ht="15" customHeight="1">
      <c r="A196" t="inlineStr">
        <is>
          <t>A 5795-2024</t>
        </is>
      </c>
      <c r="B196" s="1" t="n">
        <v>45335.4531712963</v>
      </c>
      <c r="C196" s="1" t="n">
        <v>45895</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22510-2024</t>
        </is>
      </c>
      <c r="B197" s="1" t="n">
        <v>45447.37440972222</v>
      </c>
      <c r="C197" s="1" t="n">
        <v>45895</v>
      </c>
      <c r="D197" t="inlineStr">
        <is>
          <t>ÖREBRO LÄN</t>
        </is>
      </c>
      <c r="E197" t="inlineStr">
        <is>
          <t>ÖREBRO</t>
        </is>
      </c>
      <c r="G197" t="n">
        <v>1.7</v>
      </c>
      <c r="H197" t="n">
        <v>0</v>
      </c>
      <c r="I197" t="n">
        <v>0</v>
      </c>
      <c r="J197" t="n">
        <v>0</v>
      </c>
      <c r="K197" t="n">
        <v>0</v>
      </c>
      <c r="L197" t="n">
        <v>0</v>
      </c>
      <c r="M197" t="n">
        <v>0</v>
      </c>
      <c r="N197" t="n">
        <v>0</v>
      </c>
      <c r="O197" t="n">
        <v>0</v>
      </c>
      <c r="P197" t="n">
        <v>0</v>
      </c>
      <c r="Q197" t="n">
        <v>0</v>
      </c>
      <c r="R197" s="2" t="inlineStr"/>
    </row>
    <row r="198" ht="15" customHeight="1">
      <c r="A198" t="inlineStr">
        <is>
          <t>A 37771-2024</t>
        </is>
      </c>
      <c r="B198" s="1" t="n">
        <v>45542.31359953704</v>
      </c>
      <c r="C198" s="1" t="n">
        <v>45895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55593-2022</t>
        </is>
      </c>
      <c r="B199" s="1" t="n">
        <v>44888</v>
      </c>
      <c r="C199" s="1" t="n">
        <v>45895</v>
      </c>
      <c r="D199" t="inlineStr">
        <is>
          <t>ÖREBRO LÄN</t>
        </is>
      </c>
      <c r="E199" t="inlineStr">
        <is>
          <t>ÖREBRO</t>
        </is>
      </c>
      <c r="G199" t="n">
        <v>3.6</v>
      </c>
      <c r="H199" t="n">
        <v>0</v>
      </c>
      <c r="I199" t="n">
        <v>0</v>
      </c>
      <c r="J199" t="n">
        <v>0</v>
      </c>
      <c r="K199" t="n">
        <v>0</v>
      </c>
      <c r="L199" t="n">
        <v>0</v>
      </c>
      <c r="M199" t="n">
        <v>0</v>
      </c>
      <c r="N199" t="n">
        <v>0</v>
      </c>
      <c r="O199" t="n">
        <v>0</v>
      </c>
      <c r="P199" t="n">
        <v>0</v>
      </c>
      <c r="Q199" t="n">
        <v>0</v>
      </c>
      <c r="R199" s="2" t="inlineStr"/>
    </row>
    <row r="200" ht="15" customHeight="1">
      <c r="A200" t="inlineStr">
        <is>
          <t>A 15652-2025</t>
        </is>
      </c>
      <c r="B200" s="1" t="n">
        <v>45748</v>
      </c>
      <c r="C200" s="1" t="n">
        <v>45895</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50446-2023</t>
        </is>
      </c>
      <c r="B201" s="1" t="n">
        <v>45216</v>
      </c>
      <c r="C201" s="1" t="n">
        <v>45895</v>
      </c>
      <c r="D201" t="inlineStr">
        <is>
          <t>ÖREBRO LÄN</t>
        </is>
      </c>
      <c r="E201" t="inlineStr">
        <is>
          <t>ÖREBRO</t>
        </is>
      </c>
      <c r="F201" t="inlineStr">
        <is>
          <t>Övriga Aktiebolag</t>
        </is>
      </c>
      <c r="G201" t="n">
        <v>2.8</v>
      </c>
      <c r="H201" t="n">
        <v>0</v>
      </c>
      <c r="I201" t="n">
        <v>0</v>
      </c>
      <c r="J201" t="n">
        <v>0</v>
      </c>
      <c r="K201" t="n">
        <v>0</v>
      </c>
      <c r="L201" t="n">
        <v>0</v>
      </c>
      <c r="M201" t="n">
        <v>0</v>
      </c>
      <c r="N201" t="n">
        <v>0</v>
      </c>
      <c r="O201" t="n">
        <v>0</v>
      </c>
      <c r="P201" t="n">
        <v>0</v>
      </c>
      <c r="Q201" t="n">
        <v>0</v>
      </c>
      <c r="R201" s="2" t="inlineStr"/>
    </row>
    <row r="202" ht="15" customHeight="1">
      <c r="A202" t="inlineStr">
        <is>
          <t>A 50450-2023</t>
        </is>
      </c>
      <c r="B202" s="1" t="n">
        <v>45216.73533564815</v>
      </c>
      <c r="C202" s="1" t="n">
        <v>45895</v>
      </c>
      <c r="D202" t="inlineStr">
        <is>
          <t>ÖREBRO LÄN</t>
        </is>
      </c>
      <c r="E202" t="inlineStr">
        <is>
          <t>ÖREBRO</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38489-2023</t>
        </is>
      </c>
      <c r="B203" s="1" t="n">
        <v>45162</v>
      </c>
      <c r="C203" s="1" t="n">
        <v>45895</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43612-2022</t>
        </is>
      </c>
      <c r="B204" s="1" t="n">
        <v>44837</v>
      </c>
      <c r="C204" s="1" t="n">
        <v>45895</v>
      </c>
      <c r="D204" t="inlineStr">
        <is>
          <t>ÖREBRO LÄN</t>
        </is>
      </c>
      <c r="E204" t="inlineStr">
        <is>
          <t>ÖREBRO</t>
        </is>
      </c>
      <c r="G204" t="n">
        <v>0.6</v>
      </c>
      <c r="H204" t="n">
        <v>0</v>
      </c>
      <c r="I204" t="n">
        <v>0</v>
      </c>
      <c r="J204" t="n">
        <v>0</v>
      </c>
      <c r="K204" t="n">
        <v>0</v>
      </c>
      <c r="L204" t="n">
        <v>0</v>
      </c>
      <c r="M204" t="n">
        <v>0</v>
      </c>
      <c r="N204" t="n">
        <v>0</v>
      </c>
      <c r="O204" t="n">
        <v>0</v>
      </c>
      <c r="P204" t="n">
        <v>0</v>
      </c>
      <c r="Q204" t="n">
        <v>0</v>
      </c>
      <c r="R204" s="2" t="inlineStr"/>
    </row>
    <row r="205" ht="15" customHeight="1">
      <c r="A205" t="inlineStr">
        <is>
          <t>A 2076-2025</t>
        </is>
      </c>
      <c r="B205" s="1" t="n">
        <v>45672</v>
      </c>
      <c r="C205" s="1" t="n">
        <v>45895</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70719-2021</t>
        </is>
      </c>
      <c r="B206" s="1" t="n">
        <v>44537</v>
      </c>
      <c r="C206" s="1" t="n">
        <v>45895</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38573-2023</t>
        </is>
      </c>
      <c r="B207" s="1" t="n">
        <v>45162.61837962963</v>
      </c>
      <c r="C207" s="1" t="n">
        <v>45895</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4757-2024</t>
        </is>
      </c>
      <c r="B208" s="1" t="n">
        <v>45328</v>
      </c>
      <c r="C208" s="1" t="n">
        <v>45895</v>
      </c>
      <c r="D208" t="inlineStr">
        <is>
          <t>ÖREBRO LÄN</t>
        </is>
      </c>
      <c r="E208" t="inlineStr">
        <is>
          <t>ÖREBRO</t>
        </is>
      </c>
      <c r="G208" t="n">
        <v>1.9</v>
      </c>
      <c r="H208" t="n">
        <v>0</v>
      </c>
      <c r="I208" t="n">
        <v>0</v>
      </c>
      <c r="J208" t="n">
        <v>0</v>
      </c>
      <c r="K208" t="n">
        <v>0</v>
      </c>
      <c r="L208" t="n">
        <v>0</v>
      </c>
      <c r="M208" t="n">
        <v>0</v>
      </c>
      <c r="N208" t="n">
        <v>0</v>
      </c>
      <c r="O208" t="n">
        <v>0</v>
      </c>
      <c r="P208" t="n">
        <v>0</v>
      </c>
      <c r="Q208" t="n">
        <v>0</v>
      </c>
      <c r="R208" s="2" t="inlineStr"/>
    </row>
    <row r="209" ht="15" customHeight="1">
      <c r="A209" t="inlineStr">
        <is>
          <t>A 14960-2025</t>
        </is>
      </c>
      <c r="B209" s="1" t="n">
        <v>45743.5853125</v>
      </c>
      <c r="C209" s="1" t="n">
        <v>45895</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60022-2024</t>
        </is>
      </c>
      <c r="B210" s="1" t="n">
        <v>45642</v>
      </c>
      <c r="C210" s="1" t="n">
        <v>45895</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48140-2024</t>
        </is>
      </c>
      <c r="B211" s="1" t="n">
        <v>45589.66474537037</v>
      </c>
      <c r="C211" s="1" t="n">
        <v>45895</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42138-2024</t>
        </is>
      </c>
      <c r="B212" s="1" t="n">
        <v>45562.41854166667</v>
      </c>
      <c r="C212" s="1" t="n">
        <v>45895</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2658-2023</t>
        </is>
      </c>
      <c r="B213" s="1" t="n">
        <v>44944</v>
      </c>
      <c r="C213" s="1" t="n">
        <v>45895</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11565-2023</t>
        </is>
      </c>
      <c r="B214" s="1" t="n">
        <v>44994</v>
      </c>
      <c r="C214" s="1" t="n">
        <v>45895</v>
      </c>
      <c r="D214" t="inlineStr">
        <is>
          <t>ÖREBRO LÄN</t>
        </is>
      </c>
      <c r="E214" t="inlineStr">
        <is>
          <t>ÖREBRO</t>
        </is>
      </c>
      <c r="G214" t="n">
        <v>4.7</v>
      </c>
      <c r="H214" t="n">
        <v>0</v>
      </c>
      <c r="I214" t="n">
        <v>0</v>
      </c>
      <c r="J214" t="n">
        <v>0</v>
      </c>
      <c r="K214" t="n">
        <v>0</v>
      </c>
      <c r="L214" t="n">
        <v>0</v>
      </c>
      <c r="M214" t="n">
        <v>0</v>
      </c>
      <c r="N214" t="n">
        <v>0</v>
      </c>
      <c r="O214" t="n">
        <v>0</v>
      </c>
      <c r="P214" t="n">
        <v>0</v>
      </c>
      <c r="Q214" t="n">
        <v>0</v>
      </c>
      <c r="R214" s="2" t="inlineStr"/>
    </row>
    <row r="215" ht="15" customHeight="1">
      <c r="A215" t="inlineStr">
        <is>
          <t>A 34874-2022</t>
        </is>
      </c>
      <c r="B215" s="1" t="n">
        <v>44796</v>
      </c>
      <c r="C215" s="1" t="n">
        <v>45895</v>
      </c>
      <c r="D215" t="inlineStr">
        <is>
          <t>ÖREBRO LÄN</t>
        </is>
      </c>
      <c r="E215" t="inlineStr">
        <is>
          <t>ÖREBRO</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16736-2023</t>
        </is>
      </c>
      <c r="B216" s="1" t="n">
        <v>45030.72328703704</v>
      </c>
      <c r="C216" s="1" t="n">
        <v>45895</v>
      </c>
      <c r="D216" t="inlineStr">
        <is>
          <t>ÖREBRO LÄN</t>
        </is>
      </c>
      <c r="E216" t="inlineStr">
        <is>
          <t>ÖREBRO</t>
        </is>
      </c>
      <c r="G216" t="n">
        <v>4</v>
      </c>
      <c r="H216" t="n">
        <v>0</v>
      </c>
      <c r="I216" t="n">
        <v>0</v>
      </c>
      <c r="J216" t="n">
        <v>0</v>
      </c>
      <c r="K216" t="n">
        <v>0</v>
      </c>
      <c r="L216" t="n">
        <v>0</v>
      </c>
      <c r="M216" t="n">
        <v>0</v>
      </c>
      <c r="N216" t="n">
        <v>0</v>
      </c>
      <c r="O216" t="n">
        <v>0</v>
      </c>
      <c r="P216" t="n">
        <v>0</v>
      </c>
      <c r="Q216" t="n">
        <v>0</v>
      </c>
      <c r="R216" s="2" t="inlineStr"/>
    </row>
    <row r="217" ht="15" customHeight="1">
      <c r="A217" t="inlineStr">
        <is>
          <t>A 2630-2023</t>
        </is>
      </c>
      <c r="B217" s="1" t="n">
        <v>44944.39105324074</v>
      </c>
      <c r="C217" s="1" t="n">
        <v>45895</v>
      </c>
      <c r="D217" t="inlineStr">
        <is>
          <t>ÖREBRO LÄN</t>
        </is>
      </c>
      <c r="E217" t="inlineStr">
        <is>
          <t>ÖREBRO</t>
        </is>
      </c>
      <c r="G217" t="n">
        <v>6.1</v>
      </c>
      <c r="H217" t="n">
        <v>0</v>
      </c>
      <c r="I217" t="n">
        <v>0</v>
      </c>
      <c r="J217" t="n">
        <v>0</v>
      </c>
      <c r="K217" t="n">
        <v>0</v>
      </c>
      <c r="L217" t="n">
        <v>0</v>
      </c>
      <c r="M217" t="n">
        <v>0</v>
      </c>
      <c r="N217" t="n">
        <v>0</v>
      </c>
      <c r="O217" t="n">
        <v>0</v>
      </c>
      <c r="P217" t="n">
        <v>0</v>
      </c>
      <c r="Q217" t="n">
        <v>0</v>
      </c>
      <c r="R217" s="2" t="inlineStr"/>
    </row>
    <row r="218" ht="15" customHeight="1">
      <c r="A218" t="inlineStr">
        <is>
          <t>A 21097-2025</t>
        </is>
      </c>
      <c r="B218" s="1" t="n">
        <v>45777.63863425926</v>
      </c>
      <c r="C218" s="1" t="n">
        <v>45895</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61593-2023</t>
        </is>
      </c>
      <c r="B219" s="1" t="n">
        <v>45265</v>
      </c>
      <c r="C219" s="1" t="n">
        <v>45895</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30015-2023</t>
        </is>
      </c>
      <c r="B220" s="1" t="n">
        <v>45109</v>
      </c>
      <c r="C220" s="1" t="n">
        <v>45895</v>
      </c>
      <c r="D220" t="inlineStr">
        <is>
          <t>ÖREBRO LÄN</t>
        </is>
      </c>
      <c r="E220" t="inlineStr">
        <is>
          <t>ÖREBRO</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37968-2024</t>
        </is>
      </c>
      <c r="B221" s="1" t="n">
        <v>45544</v>
      </c>
      <c r="C221" s="1" t="n">
        <v>45895</v>
      </c>
      <c r="D221" t="inlineStr">
        <is>
          <t>ÖREBRO LÄN</t>
        </is>
      </c>
      <c r="E221" t="inlineStr">
        <is>
          <t>ÖREBRO</t>
        </is>
      </c>
      <c r="G221" t="n">
        <v>2</v>
      </c>
      <c r="H221" t="n">
        <v>0</v>
      </c>
      <c r="I221" t="n">
        <v>0</v>
      </c>
      <c r="J221" t="n">
        <v>0</v>
      </c>
      <c r="K221" t="n">
        <v>0</v>
      </c>
      <c r="L221" t="n">
        <v>0</v>
      </c>
      <c r="M221" t="n">
        <v>0</v>
      </c>
      <c r="N221" t="n">
        <v>0</v>
      </c>
      <c r="O221" t="n">
        <v>0</v>
      </c>
      <c r="P221" t="n">
        <v>0</v>
      </c>
      <c r="Q221" t="n">
        <v>0</v>
      </c>
      <c r="R221" s="2" t="inlineStr"/>
    </row>
    <row r="222" ht="15" customHeight="1">
      <c r="A222" t="inlineStr">
        <is>
          <t>A 38842-2022</t>
        </is>
      </c>
      <c r="B222" s="1" t="n">
        <v>44814</v>
      </c>
      <c r="C222" s="1" t="n">
        <v>45895</v>
      </c>
      <c r="D222" t="inlineStr">
        <is>
          <t>ÖREBRO LÄN</t>
        </is>
      </c>
      <c r="E222" t="inlineStr">
        <is>
          <t>ÖREBRO</t>
        </is>
      </c>
      <c r="G222" t="n">
        <v>5</v>
      </c>
      <c r="H222" t="n">
        <v>0</v>
      </c>
      <c r="I222" t="n">
        <v>0</v>
      </c>
      <c r="J222" t="n">
        <v>0</v>
      </c>
      <c r="K222" t="n">
        <v>0</v>
      </c>
      <c r="L222" t="n">
        <v>0</v>
      </c>
      <c r="M222" t="n">
        <v>0</v>
      </c>
      <c r="N222" t="n">
        <v>0</v>
      </c>
      <c r="O222" t="n">
        <v>0</v>
      </c>
      <c r="P222" t="n">
        <v>0</v>
      </c>
      <c r="Q222" t="n">
        <v>0</v>
      </c>
      <c r="R222" s="2" t="inlineStr"/>
    </row>
    <row r="223" ht="15" customHeight="1">
      <c r="A223" t="inlineStr">
        <is>
          <t>A 31326-2024</t>
        </is>
      </c>
      <c r="B223" s="1" t="n">
        <v>45504.5934375</v>
      </c>
      <c r="C223" s="1" t="n">
        <v>45895</v>
      </c>
      <c r="D223" t="inlineStr">
        <is>
          <t>ÖREBRO LÄN</t>
        </is>
      </c>
      <c r="E223" t="inlineStr">
        <is>
          <t>ÖREBRO</t>
        </is>
      </c>
      <c r="G223" t="n">
        <v>6.4</v>
      </c>
      <c r="H223" t="n">
        <v>0</v>
      </c>
      <c r="I223" t="n">
        <v>0</v>
      </c>
      <c r="J223" t="n">
        <v>0</v>
      </c>
      <c r="K223" t="n">
        <v>0</v>
      </c>
      <c r="L223" t="n">
        <v>0</v>
      </c>
      <c r="M223" t="n">
        <v>0</v>
      </c>
      <c r="N223" t="n">
        <v>0</v>
      </c>
      <c r="O223" t="n">
        <v>0</v>
      </c>
      <c r="P223" t="n">
        <v>0</v>
      </c>
      <c r="Q223" t="n">
        <v>0</v>
      </c>
      <c r="R223" s="2" t="inlineStr"/>
    </row>
    <row r="224" ht="15" customHeight="1">
      <c r="A224" t="inlineStr">
        <is>
          <t>A 40597-2021</t>
        </is>
      </c>
      <c r="B224" s="1" t="n">
        <v>44420</v>
      </c>
      <c r="C224" s="1" t="n">
        <v>45895</v>
      </c>
      <c r="D224" t="inlineStr">
        <is>
          <t>ÖREBRO LÄN</t>
        </is>
      </c>
      <c r="E224" t="inlineStr">
        <is>
          <t>ÖREBRO</t>
        </is>
      </c>
      <c r="G224" t="n">
        <v>2.1</v>
      </c>
      <c r="H224" t="n">
        <v>0</v>
      </c>
      <c r="I224" t="n">
        <v>0</v>
      </c>
      <c r="J224" t="n">
        <v>0</v>
      </c>
      <c r="K224" t="n">
        <v>0</v>
      </c>
      <c r="L224" t="n">
        <v>0</v>
      </c>
      <c r="M224" t="n">
        <v>0</v>
      </c>
      <c r="N224" t="n">
        <v>0</v>
      </c>
      <c r="O224" t="n">
        <v>0</v>
      </c>
      <c r="P224" t="n">
        <v>0</v>
      </c>
      <c r="Q224" t="n">
        <v>0</v>
      </c>
      <c r="R224" s="2" t="inlineStr"/>
    </row>
    <row r="225" ht="15" customHeight="1">
      <c r="A225" t="inlineStr">
        <is>
          <t>A 8575-2021</t>
        </is>
      </c>
      <c r="B225" s="1" t="n">
        <v>44245</v>
      </c>
      <c r="C225" s="1" t="n">
        <v>45895</v>
      </c>
      <c r="D225" t="inlineStr">
        <is>
          <t>ÖREBRO LÄN</t>
        </is>
      </c>
      <c r="E225" t="inlineStr">
        <is>
          <t>ÖREBRO</t>
        </is>
      </c>
      <c r="G225" t="n">
        <v>3.4</v>
      </c>
      <c r="H225" t="n">
        <v>0</v>
      </c>
      <c r="I225" t="n">
        <v>0</v>
      </c>
      <c r="J225" t="n">
        <v>0</v>
      </c>
      <c r="K225" t="n">
        <v>0</v>
      </c>
      <c r="L225" t="n">
        <v>0</v>
      </c>
      <c r="M225" t="n">
        <v>0</v>
      </c>
      <c r="N225" t="n">
        <v>0</v>
      </c>
      <c r="O225" t="n">
        <v>0</v>
      </c>
      <c r="P225" t="n">
        <v>0</v>
      </c>
      <c r="Q225" t="n">
        <v>0</v>
      </c>
      <c r="R225" s="2" t="inlineStr"/>
    </row>
    <row r="226" ht="15" customHeight="1">
      <c r="A226" t="inlineStr">
        <is>
          <t>A 35819-2024</t>
        </is>
      </c>
      <c r="B226" s="1" t="n">
        <v>45532</v>
      </c>
      <c r="C226" s="1" t="n">
        <v>45895</v>
      </c>
      <c r="D226" t="inlineStr">
        <is>
          <t>ÖREBRO LÄN</t>
        </is>
      </c>
      <c r="E226" t="inlineStr">
        <is>
          <t>ÖREBRO</t>
        </is>
      </c>
      <c r="G226" t="n">
        <v>6.4</v>
      </c>
      <c r="H226" t="n">
        <v>0</v>
      </c>
      <c r="I226" t="n">
        <v>0</v>
      </c>
      <c r="J226" t="n">
        <v>0</v>
      </c>
      <c r="K226" t="n">
        <v>0</v>
      </c>
      <c r="L226" t="n">
        <v>0</v>
      </c>
      <c r="M226" t="n">
        <v>0</v>
      </c>
      <c r="N226" t="n">
        <v>0</v>
      </c>
      <c r="O226" t="n">
        <v>0</v>
      </c>
      <c r="P226" t="n">
        <v>0</v>
      </c>
      <c r="Q226" t="n">
        <v>0</v>
      </c>
      <c r="R226" s="2" t="inlineStr"/>
    </row>
    <row r="227" ht="15" customHeight="1">
      <c r="A227" t="inlineStr">
        <is>
          <t>A 21578-2025</t>
        </is>
      </c>
      <c r="B227" s="1" t="n">
        <v>45782.88587962963</v>
      </c>
      <c r="C227" s="1" t="n">
        <v>45895</v>
      </c>
      <c r="D227" t="inlineStr">
        <is>
          <t>ÖREBRO LÄN</t>
        </is>
      </c>
      <c r="E227" t="inlineStr">
        <is>
          <t>ÖREBRO</t>
        </is>
      </c>
      <c r="G227" t="n">
        <v>0.7</v>
      </c>
      <c r="H227" t="n">
        <v>0</v>
      </c>
      <c r="I227" t="n">
        <v>0</v>
      </c>
      <c r="J227" t="n">
        <v>0</v>
      </c>
      <c r="K227" t="n">
        <v>0</v>
      </c>
      <c r="L227" t="n">
        <v>0</v>
      </c>
      <c r="M227" t="n">
        <v>0</v>
      </c>
      <c r="N227" t="n">
        <v>0</v>
      </c>
      <c r="O227" t="n">
        <v>0</v>
      </c>
      <c r="P227" t="n">
        <v>0</v>
      </c>
      <c r="Q227" t="n">
        <v>0</v>
      </c>
      <c r="R227" s="2" t="inlineStr"/>
    </row>
    <row r="228" ht="15" customHeight="1">
      <c r="A228" t="inlineStr">
        <is>
          <t>A 32076-2023</t>
        </is>
      </c>
      <c r="B228" s="1" t="n">
        <v>45119.58324074074</v>
      </c>
      <c r="C228" s="1" t="n">
        <v>45895</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26338-2021</t>
        </is>
      </c>
      <c r="B229" s="1" t="n">
        <v>44347</v>
      </c>
      <c r="C229" s="1" t="n">
        <v>45895</v>
      </c>
      <c r="D229" t="inlineStr">
        <is>
          <t>ÖREBRO LÄN</t>
        </is>
      </c>
      <c r="E229" t="inlineStr">
        <is>
          <t>ÖREBRO</t>
        </is>
      </c>
      <c r="G229" t="n">
        <v>0.5</v>
      </c>
      <c r="H229" t="n">
        <v>0</v>
      </c>
      <c r="I229" t="n">
        <v>0</v>
      </c>
      <c r="J229" t="n">
        <v>0</v>
      </c>
      <c r="K229" t="n">
        <v>0</v>
      </c>
      <c r="L229" t="n">
        <v>0</v>
      </c>
      <c r="M229" t="n">
        <v>0</v>
      </c>
      <c r="N229" t="n">
        <v>0</v>
      </c>
      <c r="O229" t="n">
        <v>0</v>
      </c>
      <c r="P229" t="n">
        <v>0</v>
      </c>
      <c r="Q229" t="n">
        <v>0</v>
      </c>
      <c r="R229" s="2" t="inlineStr"/>
    </row>
    <row r="230" ht="15" customHeight="1">
      <c r="A230" t="inlineStr">
        <is>
          <t>A 13418-2024</t>
        </is>
      </c>
      <c r="B230" s="1" t="n">
        <v>45387.46482638889</v>
      </c>
      <c r="C230" s="1" t="n">
        <v>45895</v>
      </c>
      <c r="D230" t="inlineStr">
        <is>
          <t>ÖREBRO LÄN</t>
        </is>
      </c>
      <c r="E230" t="inlineStr">
        <is>
          <t>ÖREBRO</t>
        </is>
      </c>
      <c r="G230" t="n">
        <v>4.2</v>
      </c>
      <c r="H230" t="n">
        <v>0</v>
      </c>
      <c r="I230" t="n">
        <v>0</v>
      </c>
      <c r="J230" t="n">
        <v>0</v>
      </c>
      <c r="K230" t="n">
        <v>0</v>
      </c>
      <c r="L230" t="n">
        <v>0</v>
      </c>
      <c r="M230" t="n">
        <v>0</v>
      </c>
      <c r="N230" t="n">
        <v>0</v>
      </c>
      <c r="O230" t="n">
        <v>0</v>
      </c>
      <c r="P230" t="n">
        <v>0</v>
      </c>
      <c r="Q230" t="n">
        <v>0</v>
      </c>
      <c r="R230" s="2" t="inlineStr"/>
    </row>
    <row r="231" ht="15" customHeight="1">
      <c r="A231" t="inlineStr">
        <is>
          <t>A 71266-2021</t>
        </is>
      </c>
      <c r="B231" s="1" t="n">
        <v>44539</v>
      </c>
      <c r="C231" s="1" t="n">
        <v>45895</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71267-2021</t>
        </is>
      </c>
      <c r="B232" s="1" t="n">
        <v>44539</v>
      </c>
      <c r="C232" s="1" t="n">
        <v>45895</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71280-2021</t>
        </is>
      </c>
      <c r="B233" s="1" t="n">
        <v>44539</v>
      </c>
      <c r="C233" s="1" t="n">
        <v>45895</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764-2024</t>
        </is>
      </c>
      <c r="B234" s="1" t="n">
        <v>45300.51512731481</v>
      </c>
      <c r="C234" s="1" t="n">
        <v>45895</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22045-2024</t>
        </is>
      </c>
      <c r="B235" s="1" t="n">
        <v>45443.61171296296</v>
      </c>
      <c r="C235" s="1" t="n">
        <v>45895</v>
      </c>
      <c r="D235" t="inlineStr">
        <is>
          <t>ÖREBRO LÄN</t>
        </is>
      </c>
      <c r="E235" t="inlineStr">
        <is>
          <t>ÖREBRO</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48581-2024</t>
        </is>
      </c>
      <c r="B236" s="1" t="n">
        <v>45593.41642361111</v>
      </c>
      <c r="C236" s="1" t="n">
        <v>45895</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58684-2023</t>
        </is>
      </c>
      <c r="B237" s="1" t="n">
        <v>45251</v>
      </c>
      <c r="C237" s="1" t="n">
        <v>45895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38898-2023</t>
        </is>
      </c>
      <c r="B238" s="1" t="n">
        <v>45163</v>
      </c>
      <c r="C238" s="1" t="n">
        <v>45895</v>
      </c>
      <c r="D238" t="inlineStr">
        <is>
          <t>ÖREBRO LÄN</t>
        </is>
      </c>
      <c r="E238" t="inlineStr">
        <is>
          <t>ÖREBRO</t>
        </is>
      </c>
      <c r="G238" t="n">
        <v>5.1</v>
      </c>
      <c r="H238" t="n">
        <v>0</v>
      </c>
      <c r="I238" t="n">
        <v>0</v>
      </c>
      <c r="J238" t="n">
        <v>0</v>
      </c>
      <c r="K238" t="n">
        <v>0</v>
      </c>
      <c r="L238" t="n">
        <v>0</v>
      </c>
      <c r="M238" t="n">
        <v>0</v>
      </c>
      <c r="N238" t="n">
        <v>0</v>
      </c>
      <c r="O238" t="n">
        <v>0</v>
      </c>
      <c r="P238" t="n">
        <v>0</v>
      </c>
      <c r="Q238" t="n">
        <v>0</v>
      </c>
      <c r="R238" s="2" t="inlineStr"/>
    </row>
    <row r="239" ht="15" customHeight="1">
      <c r="A239" t="inlineStr">
        <is>
          <t>A 13321-2024</t>
        </is>
      </c>
      <c r="B239" s="1" t="n">
        <v>45386.83142361111</v>
      </c>
      <c r="C239" s="1" t="n">
        <v>45895</v>
      </c>
      <c r="D239" t="inlineStr">
        <is>
          <t>ÖREBRO LÄN</t>
        </is>
      </c>
      <c r="E239" t="inlineStr">
        <is>
          <t>ÖREBRO</t>
        </is>
      </c>
      <c r="G239" t="n">
        <v>13.1</v>
      </c>
      <c r="H239" t="n">
        <v>0</v>
      </c>
      <c r="I239" t="n">
        <v>0</v>
      </c>
      <c r="J239" t="n">
        <v>0</v>
      </c>
      <c r="K239" t="n">
        <v>0</v>
      </c>
      <c r="L239" t="n">
        <v>0</v>
      </c>
      <c r="M239" t="n">
        <v>0</v>
      </c>
      <c r="N239" t="n">
        <v>0</v>
      </c>
      <c r="O239" t="n">
        <v>0</v>
      </c>
      <c r="P239" t="n">
        <v>0</v>
      </c>
      <c r="Q239" t="n">
        <v>0</v>
      </c>
      <c r="R239" s="2" t="inlineStr"/>
    </row>
    <row r="240" ht="15" customHeight="1">
      <c r="A240" t="inlineStr">
        <is>
          <t>A 42636-2023</t>
        </is>
      </c>
      <c r="B240" s="1" t="n">
        <v>45181.49559027778</v>
      </c>
      <c r="C240" s="1" t="n">
        <v>45895</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58644-2023</t>
        </is>
      </c>
      <c r="B241" s="1" t="n">
        <v>45251.58716435185</v>
      </c>
      <c r="C241" s="1" t="n">
        <v>45895</v>
      </c>
      <c r="D241" t="inlineStr">
        <is>
          <t>ÖREBRO LÄN</t>
        </is>
      </c>
      <c r="E241" t="inlineStr">
        <is>
          <t>ÖREBRO</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45895</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38583-2023</t>
        </is>
      </c>
      <c r="B243" s="1" t="n">
        <v>45162.62861111111</v>
      </c>
      <c r="C243" s="1" t="n">
        <v>45895</v>
      </c>
      <c r="D243" t="inlineStr">
        <is>
          <t>ÖREBRO LÄN</t>
        </is>
      </c>
      <c r="E243" t="inlineStr">
        <is>
          <t>ÖREBRO</t>
        </is>
      </c>
      <c r="G243" t="n">
        <v>5.7</v>
      </c>
      <c r="H243" t="n">
        <v>0</v>
      </c>
      <c r="I243" t="n">
        <v>0</v>
      </c>
      <c r="J243" t="n">
        <v>0</v>
      </c>
      <c r="K243" t="n">
        <v>0</v>
      </c>
      <c r="L243" t="n">
        <v>0</v>
      </c>
      <c r="M243" t="n">
        <v>0</v>
      </c>
      <c r="N243" t="n">
        <v>0</v>
      </c>
      <c r="O243" t="n">
        <v>0</v>
      </c>
      <c r="P243" t="n">
        <v>0</v>
      </c>
      <c r="Q243" t="n">
        <v>0</v>
      </c>
      <c r="R243" s="2" t="inlineStr"/>
    </row>
    <row r="244" ht="15" customHeight="1">
      <c r="A244" t="inlineStr">
        <is>
          <t>A 14291-2023</t>
        </is>
      </c>
      <c r="B244" s="1" t="n">
        <v>45010</v>
      </c>
      <c r="C244" s="1" t="n">
        <v>45895</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21338-2025</t>
        </is>
      </c>
      <c r="B245" s="1" t="n">
        <v>45780</v>
      </c>
      <c r="C245" s="1" t="n">
        <v>45895</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21036-2024</t>
        </is>
      </c>
      <c r="B246" s="1" t="n">
        <v>45439.65954861111</v>
      </c>
      <c r="C246" s="1" t="n">
        <v>45895</v>
      </c>
      <c r="D246" t="inlineStr">
        <is>
          <t>ÖREBRO LÄN</t>
        </is>
      </c>
      <c r="E246" t="inlineStr">
        <is>
          <t>ÖREBRO</t>
        </is>
      </c>
      <c r="F246" t="inlineStr">
        <is>
          <t>Övriga Aktiebolag</t>
        </is>
      </c>
      <c r="G246" t="n">
        <v>5.7</v>
      </c>
      <c r="H246" t="n">
        <v>0</v>
      </c>
      <c r="I246" t="n">
        <v>0</v>
      </c>
      <c r="J246" t="n">
        <v>0</v>
      </c>
      <c r="K246" t="n">
        <v>0</v>
      </c>
      <c r="L246" t="n">
        <v>0</v>
      </c>
      <c r="M246" t="n">
        <v>0</v>
      </c>
      <c r="N246" t="n">
        <v>0</v>
      </c>
      <c r="O246" t="n">
        <v>0</v>
      </c>
      <c r="P246" t="n">
        <v>0</v>
      </c>
      <c r="Q246" t="n">
        <v>0</v>
      </c>
      <c r="R246" s="2" t="inlineStr"/>
    </row>
    <row r="247" ht="15" customHeight="1">
      <c r="A247" t="inlineStr">
        <is>
          <t>A 9314-2023</t>
        </is>
      </c>
      <c r="B247" s="1" t="n">
        <v>44980.67747685185</v>
      </c>
      <c r="C247" s="1" t="n">
        <v>45895</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33455-2023</t>
        </is>
      </c>
      <c r="B248" s="1" t="n">
        <v>45130.98962962963</v>
      </c>
      <c r="C248" s="1" t="n">
        <v>45895</v>
      </c>
      <c r="D248" t="inlineStr">
        <is>
          <t>ÖREBRO LÄN</t>
        </is>
      </c>
      <c r="E248" t="inlineStr">
        <is>
          <t>ÖREBRO</t>
        </is>
      </c>
      <c r="G248" t="n">
        <v>0.7</v>
      </c>
      <c r="H248" t="n">
        <v>0</v>
      </c>
      <c r="I248" t="n">
        <v>0</v>
      </c>
      <c r="J248" t="n">
        <v>0</v>
      </c>
      <c r="K248" t="n">
        <v>0</v>
      </c>
      <c r="L248" t="n">
        <v>0</v>
      </c>
      <c r="M248" t="n">
        <v>0</v>
      </c>
      <c r="N248" t="n">
        <v>0</v>
      </c>
      <c r="O248" t="n">
        <v>0</v>
      </c>
      <c r="P248" t="n">
        <v>0</v>
      </c>
      <c r="Q248" t="n">
        <v>0</v>
      </c>
      <c r="R248" s="2" t="inlineStr"/>
    </row>
    <row r="249" ht="15" customHeight="1">
      <c r="A249" t="inlineStr">
        <is>
          <t>A 21306-2024</t>
        </is>
      </c>
      <c r="B249" s="1" t="n">
        <v>45440.67883101852</v>
      </c>
      <c r="C249" s="1" t="n">
        <v>45895</v>
      </c>
      <c r="D249" t="inlineStr">
        <is>
          <t>ÖREBRO LÄN</t>
        </is>
      </c>
      <c r="E249" t="inlineStr">
        <is>
          <t>ÖREBRO</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7634-2024</t>
        </is>
      </c>
      <c r="B250" s="1" t="n">
        <v>45348</v>
      </c>
      <c r="C250" s="1" t="n">
        <v>45895</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5324-2024</t>
        </is>
      </c>
      <c r="B251" s="1" t="n">
        <v>45331</v>
      </c>
      <c r="C251" s="1" t="n">
        <v>45895</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52401-2024</t>
        </is>
      </c>
      <c r="B252" s="1" t="n">
        <v>45609.44553240741</v>
      </c>
      <c r="C252" s="1" t="n">
        <v>45895</v>
      </c>
      <c r="D252" t="inlineStr">
        <is>
          <t>ÖREBRO LÄN</t>
        </is>
      </c>
      <c r="E252" t="inlineStr">
        <is>
          <t>ÖREBRO</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22755-2025</t>
        </is>
      </c>
      <c r="B253" s="1" t="n">
        <v>45789.61872685186</v>
      </c>
      <c r="C253" s="1" t="n">
        <v>45895</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44199-2024</t>
        </is>
      </c>
      <c r="B254" s="1" t="n">
        <v>45573</v>
      </c>
      <c r="C254" s="1" t="n">
        <v>45895</v>
      </c>
      <c r="D254" t="inlineStr">
        <is>
          <t>ÖREBRO LÄN</t>
        </is>
      </c>
      <c r="E254" t="inlineStr">
        <is>
          <t>ÖREBRO</t>
        </is>
      </c>
      <c r="G254" t="n">
        <v>4.3</v>
      </c>
      <c r="H254" t="n">
        <v>0</v>
      </c>
      <c r="I254" t="n">
        <v>0</v>
      </c>
      <c r="J254" t="n">
        <v>0</v>
      </c>
      <c r="K254" t="n">
        <v>0</v>
      </c>
      <c r="L254" t="n">
        <v>0</v>
      </c>
      <c r="M254" t="n">
        <v>0</v>
      </c>
      <c r="N254" t="n">
        <v>0</v>
      </c>
      <c r="O254" t="n">
        <v>0</v>
      </c>
      <c r="P254" t="n">
        <v>0</v>
      </c>
      <c r="Q254" t="n">
        <v>0</v>
      </c>
      <c r="R254" s="2" t="inlineStr"/>
    </row>
    <row r="255" ht="15" customHeight="1">
      <c r="A255" t="inlineStr">
        <is>
          <t>A 14963-2025</t>
        </is>
      </c>
      <c r="B255" s="1" t="n">
        <v>45743.58699074074</v>
      </c>
      <c r="C255" s="1" t="n">
        <v>45895</v>
      </c>
      <c r="D255" t="inlineStr">
        <is>
          <t>ÖREBRO LÄN</t>
        </is>
      </c>
      <c r="E255" t="inlineStr">
        <is>
          <t>ÖREBRO</t>
        </is>
      </c>
      <c r="G255" t="n">
        <v>9.1</v>
      </c>
      <c r="H255" t="n">
        <v>0</v>
      </c>
      <c r="I255" t="n">
        <v>0</v>
      </c>
      <c r="J255" t="n">
        <v>0</v>
      </c>
      <c r="K255" t="n">
        <v>0</v>
      </c>
      <c r="L255" t="n">
        <v>0</v>
      </c>
      <c r="M255" t="n">
        <v>0</v>
      </c>
      <c r="N255" t="n">
        <v>0</v>
      </c>
      <c r="O255" t="n">
        <v>0</v>
      </c>
      <c r="P255" t="n">
        <v>0</v>
      </c>
      <c r="Q255" t="n">
        <v>0</v>
      </c>
      <c r="R255" s="2" t="inlineStr"/>
    </row>
    <row r="256" ht="15" customHeight="1">
      <c r="A256" t="inlineStr">
        <is>
          <t>A 34336-2024</t>
        </is>
      </c>
      <c r="B256" s="1" t="n">
        <v>45524.94774305556</v>
      </c>
      <c r="C256" s="1" t="n">
        <v>45895</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26443-2024</t>
        </is>
      </c>
      <c r="B257" s="1" t="n">
        <v>45469.49901620371</v>
      </c>
      <c r="C257" s="1" t="n">
        <v>45895</v>
      </c>
      <c r="D257" t="inlineStr">
        <is>
          <t>ÖREBRO LÄN</t>
        </is>
      </c>
      <c r="E257" t="inlineStr">
        <is>
          <t>ÖREBRO</t>
        </is>
      </c>
      <c r="G257" t="n">
        <v>5.7</v>
      </c>
      <c r="H257" t="n">
        <v>0</v>
      </c>
      <c r="I257" t="n">
        <v>0</v>
      </c>
      <c r="J257" t="n">
        <v>0</v>
      </c>
      <c r="K257" t="n">
        <v>0</v>
      </c>
      <c r="L257" t="n">
        <v>0</v>
      </c>
      <c r="M257" t="n">
        <v>0</v>
      </c>
      <c r="N257" t="n">
        <v>0</v>
      </c>
      <c r="O257" t="n">
        <v>0</v>
      </c>
      <c r="P257" t="n">
        <v>0</v>
      </c>
      <c r="Q257" t="n">
        <v>0</v>
      </c>
      <c r="R257" s="2" t="inlineStr"/>
    </row>
    <row r="258" ht="15" customHeight="1">
      <c r="A258" t="inlineStr">
        <is>
          <t>A 35477-2024</t>
        </is>
      </c>
      <c r="B258" s="1" t="n">
        <v>45531</v>
      </c>
      <c r="C258" s="1" t="n">
        <v>45895</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55357-2024</t>
        </is>
      </c>
      <c r="B259" s="1" t="n">
        <v>45621.81126157408</v>
      </c>
      <c r="C259" s="1" t="n">
        <v>45895</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38422-2023</t>
        </is>
      </c>
      <c r="B260" s="1" t="n">
        <v>45162.36422453704</v>
      </c>
      <c r="C260" s="1" t="n">
        <v>45895</v>
      </c>
      <c r="D260" t="inlineStr">
        <is>
          <t>ÖREBRO LÄN</t>
        </is>
      </c>
      <c r="E260" t="inlineStr">
        <is>
          <t>ÖREBRO</t>
        </is>
      </c>
      <c r="G260" t="n">
        <v>8</v>
      </c>
      <c r="H260" t="n">
        <v>0</v>
      </c>
      <c r="I260" t="n">
        <v>0</v>
      </c>
      <c r="J260" t="n">
        <v>0</v>
      </c>
      <c r="K260" t="n">
        <v>0</v>
      </c>
      <c r="L260" t="n">
        <v>0</v>
      </c>
      <c r="M260" t="n">
        <v>0</v>
      </c>
      <c r="N260" t="n">
        <v>0</v>
      </c>
      <c r="O260" t="n">
        <v>0</v>
      </c>
      <c r="P260" t="n">
        <v>0</v>
      </c>
      <c r="Q260" t="n">
        <v>0</v>
      </c>
      <c r="R260" s="2" t="inlineStr"/>
    </row>
    <row r="261" ht="15" customHeight="1">
      <c r="A261" t="inlineStr">
        <is>
          <t>A 22719-2025</t>
        </is>
      </c>
      <c r="B261" s="1" t="n">
        <v>45789</v>
      </c>
      <c r="C261" s="1" t="n">
        <v>45895</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46518-2023</t>
        </is>
      </c>
      <c r="B262" s="1" t="n">
        <v>45197.72777777778</v>
      </c>
      <c r="C262" s="1" t="n">
        <v>45895</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30316-2024</t>
        </is>
      </c>
      <c r="B263" s="1" t="n">
        <v>45490</v>
      </c>
      <c r="C263" s="1" t="n">
        <v>45895</v>
      </c>
      <c r="D263" t="inlineStr">
        <is>
          <t>ÖREBRO LÄN</t>
        </is>
      </c>
      <c r="E263" t="inlineStr">
        <is>
          <t>ÖREBRO</t>
        </is>
      </c>
      <c r="G263" t="n">
        <v>5.5</v>
      </c>
      <c r="H263" t="n">
        <v>0</v>
      </c>
      <c r="I263" t="n">
        <v>0</v>
      </c>
      <c r="J263" t="n">
        <v>0</v>
      </c>
      <c r="K263" t="n">
        <v>0</v>
      </c>
      <c r="L263" t="n">
        <v>0</v>
      </c>
      <c r="M263" t="n">
        <v>0</v>
      </c>
      <c r="N263" t="n">
        <v>0</v>
      </c>
      <c r="O263" t="n">
        <v>0</v>
      </c>
      <c r="P263" t="n">
        <v>0</v>
      </c>
      <c r="Q263" t="n">
        <v>0</v>
      </c>
      <c r="R263" s="2" t="inlineStr"/>
    </row>
    <row r="264" ht="15" customHeight="1">
      <c r="A264" t="inlineStr">
        <is>
          <t>A 38790-2024</t>
        </is>
      </c>
      <c r="B264" s="1" t="n">
        <v>45547.48450231482</v>
      </c>
      <c r="C264" s="1" t="n">
        <v>45895</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61279-2024</t>
        </is>
      </c>
      <c r="B265" s="1" t="n">
        <v>45645</v>
      </c>
      <c r="C265" s="1" t="n">
        <v>45895</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71269-2021</t>
        </is>
      </c>
      <c r="B266" s="1" t="n">
        <v>44539</v>
      </c>
      <c r="C266" s="1" t="n">
        <v>45895</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16739-2023</t>
        </is>
      </c>
      <c r="B267" s="1" t="n">
        <v>45030.72627314815</v>
      </c>
      <c r="C267" s="1" t="n">
        <v>45895</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15555-2025</t>
        </is>
      </c>
      <c r="B268" s="1" t="n">
        <v>45747.67768518518</v>
      </c>
      <c r="C268" s="1" t="n">
        <v>45895</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2771-2023</t>
        </is>
      </c>
      <c r="B269" s="1" t="n">
        <v>44944.64704861111</v>
      </c>
      <c r="C269" s="1" t="n">
        <v>45895</v>
      </c>
      <c r="D269" t="inlineStr">
        <is>
          <t>ÖREBRO LÄN</t>
        </is>
      </c>
      <c r="E269" t="inlineStr">
        <is>
          <t>ÖREBRO</t>
        </is>
      </c>
      <c r="G269" t="n">
        <v>15.4</v>
      </c>
      <c r="H269" t="n">
        <v>0</v>
      </c>
      <c r="I269" t="n">
        <v>0</v>
      </c>
      <c r="J269" t="n">
        <v>0</v>
      </c>
      <c r="K269" t="n">
        <v>0</v>
      </c>
      <c r="L269" t="n">
        <v>0</v>
      </c>
      <c r="M269" t="n">
        <v>0</v>
      </c>
      <c r="N269" t="n">
        <v>0</v>
      </c>
      <c r="O269" t="n">
        <v>0</v>
      </c>
      <c r="P269" t="n">
        <v>0</v>
      </c>
      <c r="Q269" t="n">
        <v>0</v>
      </c>
      <c r="R269" s="2" t="inlineStr"/>
    </row>
    <row r="270" ht="15" customHeight="1">
      <c r="A270" t="inlineStr">
        <is>
          <t>A 41703-2024</t>
        </is>
      </c>
      <c r="B270" s="1" t="n">
        <v>45560</v>
      </c>
      <c r="C270" s="1" t="n">
        <v>45895</v>
      </c>
      <c r="D270" t="inlineStr">
        <is>
          <t>ÖREBRO LÄN</t>
        </is>
      </c>
      <c r="E270" t="inlineStr">
        <is>
          <t>ÖREBRO</t>
        </is>
      </c>
      <c r="G270" t="n">
        <v>6.4</v>
      </c>
      <c r="H270" t="n">
        <v>0</v>
      </c>
      <c r="I270" t="n">
        <v>0</v>
      </c>
      <c r="J270" t="n">
        <v>0</v>
      </c>
      <c r="K270" t="n">
        <v>0</v>
      </c>
      <c r="L270" t="n">
        <v>0</v>
      </c>
      <c r="M270" t="n">
        <v>0</v>
      </c>
      <c r="N270" t="n">
        <v>0</v>
      </c>
      <c r="O270" t="n">
        <v>0</v>
      </c>
      <c r="P270" t="n">
        <v>0</v>
      </c>
      <c r="Q270" t="n">
        <v>0</v>
      </c>
      <c r="R270" s="2" t="inlineStr"/>
    </row>
    <row r="271" ht="15" customHeight="1">
      <c r="A271" t="inlineStr">
        <is>
          <t>A 19763-2024</t>
        </is>
      </c>
      <c r="B271" s="1" t="n">
        <v>45432</v>
      </c>
      <c r="C271" s="1" t="n">
        <v>45895</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5136-2024</t>
        </is>
      </c>
      <c r="B272" s="1" t="n">
        <v>45330</v>
      </c>
      <c r="C272" s="1" t="n">
        <v>45895</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12017-2024</t>
        </is>
      </c>
      <c r="B273" s="1" t="n">
        <v>45377</v>
      </c>
      <c r="C273" s="1" t="n">
        <v>45895</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31247-2023</t>
        </is>
      </c>
      <c r="B274" s="1" t="n">
        <v>45114</v>
      </c>
      <c r="C274" s="1" t="n">
        <v>45895</v>
      </c>
      <c r="D274" t="inlineStr">
        <is>
          <t>ÖREBRO LÄN</t>
        </is>
      </c>
      <c r="E274" t="inlineStr">
        <is>
          <t>ÖREBRO</t>
        </is>
      </c>
      <c r="F274" t="inlineStr">
        <is>
          <t>Allmännings- och besparingsskogar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40442-2020</t>
        </is>
      </c>
      <c r="B275" s="1" t="n">
        <v>44069</v>
      </c>
      <c r="C275" s="1" t="n">
        <v>45895</v>
      </c>
      <c r="D275" t="inlineStr">
        <is>
          <t>ÖREBRO LÄN</t>
        </is>
      </c>
      <c r="E275" t="inlineStr">
        <is>
          <t>ÖREBRO</t>
        </is>
      </c>
      <c r="G275" t="n">
        <v>0.6</v>
      </c>
      <c r="H275" t="n">
        <v>0</v>
      </c>
      <c r="I275" t="n">
        <v>0</v>
      </c>
      <c r="J275" t="n">
        <v>0</v>
      </c>
      <c r="K275" t="n">
        <v>0</v>
      </c>
      <c r="L275" t="n">
        <v>0</v>
      </c>
      <c r="M275" t="n">
        <v>0</v>
      </c>
      <c r="N275" t="n">
        <v>0</v>
      </c>
      <c r="O275" t="n">
        <v>0</v>
      </c>
      <c r="P275" t="n">
        <v>0</v>
      </c>
      <c r="Q275" t="n">
        <v>0</v>
      </c>
      <c r="R275" s="2" t="inlineStr"/>
    </row>
    <row r="276" ht="15" customHeight="1">
      <c r="A276" t="inlineStr">
        <is>
          <t>A 56077-2022</t>
        </is>
      </c>
      <c r="B276" s="1" t="n">
        <v>44889.60872685185</v>
      </c>
      <c r="C276" s="1" t="n">
        <v>45895</v>
      </c>
      <c r="D276" t="inlineStr">
        <is>
          <t>ÖREBRO LÄN</t>
        </is>
      </c>
      <c r="E276" t="inlineStr">
        <is>
          <t>ÖREBRO</t>
        </is>
      </c>
      <c r="F276" t="inlineStr">
        <is>
          <t>Övriga Aktiebolag</t>
        </is>
      </c>
      <c r="G276" t="n">
        <v>2.5</v>
      </c>
      <c r="H276" t="n">
        <v>0</v>
      </c>
      <c r="I276" t="n">
        <v>0</v>
      </c>
      <c r="J276" t="n">
        <v>0</v>
      </c>
      <c r="K276" t="n">
        <v>0</v>
      </c>
      <c r="L276" t="n">
        <v>0</v>
      </c>
      <c r="M276" t="n">
        <v>0</v>
      </c>
      <c r="N276" t="n">
        <v>0</v>
      </c>
      <c r="O276" t="n">
        <v>0</v>
      </c>
      <c r="P276" t="n">
        <v>0</v>
      </c>
      <c r="Q276" t="n">
        <v>0</v>
      </c>
      <c r="R276" s="2" t="inlineStr"/>
    </row>
    <row r="277" ht="15" customHeight="1">
      <c r="A277" t="inlineStr">
        <is>
          <t>A 36635-2023</t>
        </is>
      </c>
      <c r="B277" s="1" t="n">
        <v>45153</v>
      </c>
      <c r="C277" s="1" t="n">
        <v>45895</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54149-2024</t>
        </is>
      </c>
      <c r="B278" s="1" t="n">
        <v>45616</v>
      </c>
      <c r="C278" s="1" t="n">
        <v>45895</v>
      </c>
      <c r="D278" t="inlineStr">
        <is>
          <t>ÖREBRO LÄN</t>
        </is>
      </c>
      <c r="E278" t="inlineStr">
        <is>
          <t>ÖREBRO</t>
        </is>
      </c>
      <c r="G278" t="n">
        <v>2.7</v>
      </c>
      <c r="H278" t="n">
        <v>0</v>
      </c>
      <c r="I278" t="n">
        <v>0</v>
      </c>
      <c r="J278" t="n">
        <v>0</v>
      </c>
      <c r="K278" t="n">
        <v>0</v>
      </c>
      <c r="L278" t="n">
        <v>0</v>
      </c>
      <c r="M278" t="n">
        <v>0</v>
      </c>
      <c r="N278" t="n">
        <v>0</v>
      </c>
      <c r="O278" t="n">
        <v>0</v>
      </c>
      <c r="P278" t="n">
        <v>0</v>
      </c>
      <c r="Q278" t="n">
        <v>0</v>
      </c>
      <c r="R278" s="2" t="inlineStr"/>
    </row>
    <row r="279" ht="15" customHeight="1">
      <c r="A279" t="inlineStr">
        <is>
          <t>A 4380-2025</t>
        </is>
      </c>
      <c r="B279" s="1" t="n">
        <v>45686.3959375</v>
      </c>
      <c r="C279" s="1" t="n">
        <v>45895</v>
      </c>
      <c r="D279" t="inlineStr">
        <is>
          <t>ÖREBRO LÄN</t>
        </is>
      </c>
      <c r="E279" t="inlineStr">
        <is>
          <t>ÖREBRO</t>
        </is>
      </c>
      <c r="G279" t="n">
        <v>3.2</v>
      </c>
      <c r="H279" t="n">
        <v>0</v>
      </c>
      <c r="I279" t="n">
        <v>0</v>
      </c>
      <c r="J279" t="n">
        <v>0</v>
      </c>
      <c r="K279" t="n">
        <v>0</v>
      </c>
      <c r="L279" t="n">
        <v>0</v>
      </c>
      <c r="M279" t="n">
        <v>0</v>
      </c>
      <c r="N279" t="n">
        <v>0</v>
      </c>
      <c r="O279" t="n">
        <v>0</v>
      </c>
      <c r="P279" t="n">
        <v>0</v>
      </c>
      <c r="Q279" t="n">
        <v>0</v>
      </c>
      <c r="R279" s="2" t="inlineStr"/>
    </row>
    <row r="280" ht="15" customHeight="1">
      <c r="A280" t="inlineStr">
        <is>
          <t>A 9609-2023</t>
        </is>
      </c>
      <c r="B280" s="1" t="n">
        <v>44983.93344907407</v>
      </c>
      <c r="C280" s="1" t="n">
        <v>45895</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70707-2021</t>
        </is>
      </c>
      <c r="B281" s="1" t="n">
        <v>44537</v>
      </c>
      <c r="C281" s="1" t="n">
        <v>45895</v>
      </c>
      <c r="D281" t="inlineStr">
        <is>
          <t>ÖREBRO LÄN</t>
        </is>
      </c>
      <c r="E281" t="inlineStr">
        <is>
          <t>ÖREBRO</t>
        </is>
      </c>
      <c r="G281" t="n">
        <v>13.2</v>
      </c>
      <c r="H281" t="n">
        <v>0</v>
      </c>
      <c r="I281" t="n">
        <v>0</v>
      </c>
      <c r="J281" t="n">
        <v>0</v>
      </c>
      <c r="K281" t="n">
        <v>0</v>
      </c>
      <c r="L281" t="n">
        <v>0</v>
      </c>
      <c r="M281" t="n">
        <v>0</v>
      </c>
      <c r="N281" t="n">
        <v>0</v>
      </c>
      <c r="O281" t="n">
        <v>0</v>
      </c>
      <c r="P281" t="n">
        <v>0</v>
      </c>
      <c r="Q281" t="n">
        <v>0</v>
      </c>
      <c r="R281" s="2" t="inlineStr"/>
    </row>
    <row r="282" ht="15" customHeight="1">
      <c r="A282" t="inlineStr">
        <is>
          <t>A 57243-2022</t>
        </is>
      </c>
      <c r="B282" s="1" t="n">
        <v>44895.71835648148</v>
      </c>
      <c r="C282" s="1" t="n">
        <v>45895</v>
      </c>
      <c r="D282" t="inlineStr">
        <is>
          <t>ÖREBRO LÄN</t>
        </is>
      </c>
      <c r="E282" t="inlineStr">
        <is>
          <t>ÖREBRO</t>
        </is>
      </c>
      <c r="G282" t="n">
        <v>6</v>
      </c>
      <c r="H282" t="n">
        <v>0</v>
      </c>
      <c r="I282" t="n">
        <v>0</v>
      </c>
      <c r="J282" t="n">
        <v>0</v>
      </c>
      <c r="K282" t="n">
        <v>0</v>
      </c>
      <c r="L282" t="n">
        <v>0</v>
      </c>
      <c r="M282" t="n">
        <v>0</v>
      </c>
      <c r="N282" t="n">
        <v>0</v>
      </c>
      <c r="O282" t="n">
        <v>0</v>
      </c>
      <c r="P282" t="n">
        <v>0</v>
      </c>
      <c r="Q282" t="n">
        <v>0</v>
      </c>
      <c r="R282" s="2" t="inlineStr"/>
    </row>
    <row r="283" ht="15" customHeight="1">
      <c r="A283" t="inlineStr">
        <is>
          <t>A 58621-2024</t>
        </is>
      </c>
      <c r="B283" s="1" t="n">
        <v>45635.56321759259</v>
      </c>
      <c r="C283" s="1" t="n">
        <v>45895</v>
      </c>
      <c r="D283" t="inlineStr">
        <is>
          <t>ÖREBRO LÄN</t>
        </is>
      </c>
      <c r="E283" t="inlineStr">
        <is>
          <t>ÖREBRO</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58216-2024</t>
        </is>
      </c>
      <c r="B284" s="1" t="n">
        <v>45632</v>
      </c>
      <c r="C284" s="1" t="n">
        <v>45895</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34358-2022</t>
        </is>
      </c>
      <c r="B285" s="1" t="n">
        <v>44792.45494212963</v>
      </c>
      <c r="C285" s="1" t="n">
        <v>45895</v>
      </c>
      <c r="D285" t="inlineStr">
        <is>
          <t>ÖREBRO LÄN</t>
        </is>
      </c>
      <c r="E285" t="inlineStr">
        <is>
          <t>ÖREBRO</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15695-2024</t>
        </is>
      </c>
      <c r="B286" s="1" t="n">
        <v>45404.45487268519</v>
      </c>
      <c r="C286" s="1" t="n">
        <v>45895</v>
      </c>
      <c r="D286" t="inlineStr">
        <is>
          <t>ÖREBRO LÄN</t>
        </is>
      </c>
      <c r="E286" t="inlineStr">
        <is>
          <t>ÖREBRO</t>
        </is>
      </c>
      <c r="G286" t="n">
        <v>2.7</v>
      </c>
      <c r="H286" t="n">
        <v>0</v>
      </c>
      <c r="I286" t="n">
        <v>0</v>
      </c>
      <c r="J286" t="n">
        <v>0</v>
      </c>
      <c r="K286" t="n">
        <v>0</v>
      </c>
      <c r="L286" t="n">
        <v>0</v>
      </c>
      <c r="M286" t="n">
        <v>0</v>
      </c>
      <c r="N286" t="n">
        <v>0</v>
      </c>
      <c r="O286" t="n">
        <v>0</v>
      </c>
      <c r="P286" t="n">
        <v>0</v>
      </c>
      <c r="Q286" t="n">
        <v>0</v>
      </c>
      <c r="R286" s="2" t="inlineStr"/>
    </row>
    <row r="287" ht="15" customHeight="1">
      <c r="A287" t="inlineStr">
        <is>
          <t>A 49797-2024</t>
        </is>
      </c>
      <c r="B287" s="1" t="n">
        <v>45597.37265046296</v>
      </c>
      <c r="C287" s="1" t="n">
        <v>45895</v>
      </c>
      <c r="D287" t="inlineStr">
        <is>
          <t>ÖREBRO LÄN</t>
        </is>
      </c>
      <c r="E287" t="inlineStr">
        <is>
          <t>ÖREBRO</t>
        </is>
      </c>
      <c r="G287" t="n">
        <v>11.6</v>
      </c>
      <c r="H287" t="n">
        <v>0</v>
      </c>
      <c r="I287" t="n">
        <v>0</v>
      </c>
      <c r="J287" t="n">
        <v>0</v>
      </c>
      <c r="K287" t="n">
        <v>0</v>
      </c>
      <c r="L287" t="n">
        <v>0</v>
      </c>
      <c r="M287" t="n">
        <v>0</v>
      </c>
      <c r="N287" t="n">
        <v>0</v>
      </c>
      <c r="O287" t="n">
        <v>0</v>
      </c>
      <c r="P287" t="n">
        <v>0</v>
      </c>
      <c r="Q287" t="n">
        <v>0</v>
      </c>
      <c r="R287" s="2" t="inlineStr"/>
    </row>
    <row r="288" ht="15" customHeight="1">
      <c r="A288" t="inlineStr">
        <is>
          <t>A 11663-2024</t>
        </is>
      </c>
      <c r="B288" s="1" t="n">
        <v>45373</v>
      </c>
      <c r="C288" s="1" t="n">
        <v>45895</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5406-2025</t>
        </is>
      </c>
      <c r="B289" s="1" t="n">
        <v>45692.64821759259</v>
      </c>
      <c r="C289" s="1" t="n">
        <v>45895</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32086-2023</t>
        </is>
      </c>
      <c r="B290" s="1" t="n">
        <v>45119.59789351852</v>
      </c>
      <c r="C290" s="1" t="n">
        <v>45895</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13856-2022</t>
        </is>
      </c>
      <c r="B291" s="1" t="n">
        <v>44649.6965162037</v>
      </c>
      <c r="C291" s="1" t="n">
        <v>45895</v>
      </c>
      <c r="D291" t="inlineStr">
        <is>
          <t>ÖREBRO LÄN</t>
        </is>
      </c>
      <c r="E291" t="inlineStr">
        <is>
          <t>ÖREBRO</t>
        </is>
      </c>
      <c r="G291" t="n">
        <v>1.8</v>
      </c>
      <c r="H291" t="n">
        <v>0</v>
      </c>
      <c r="I291" t="n">
        <v>0</v>
      </c>
      <c r="J291" t="n">
        <v>0</v>
      </c>
      <c r="K291" t="n">
        <v>0</v>
      </c>
      <c r="L291" t="n">
        <v>0</v>
      </c>
      <c r="M291" t="n">
        <v>0</v>
      </c>
      <c r="N291" t="n">
        <v>0</v>
      </c>
      <c r="O291" t="n">
        <v>0</v>
      </c>
      <c r="P291" t="n">
        <v>0</v>
      </c>
      <c r="Q291" t="n">
        <v>0</v>
      </c>
      <c r="R291" s="2" t="inlineStr"/>
    </row>
    <row r="292" ht="15" customHeight="1">
      <c r="A292" t="inlineStr">
        <is>
          <t>A 23863-2023</t>
        </is>
      </c>
      <c r="B292" s="1" t="n">
        <v>45078.48994212963</v>
      </c>
      <c r="C292" s="1" t="n">
        <v>45895</v>
      </c>
      <c r="D292" t="inlineStr">
        <is>
          <t>ÖREBRO LÄN</t>
        </is>
      </c>
      <c r="E292" t="inlineStr">
        <is>
          <t>ÖREBRO</t>
        </is>
      </c>
      <c r="F292" t="inlineStr">
        <is>
          <t>Övriga Aktiebolag</t>
        </is>
      </c>
      <c r="G292" t="n">
        <v>5.9</v>
      </c>
      <c r="H292" t="n">
        <v>0</v>
      </c>
      <c r="I292" t="n">
        <v>0</v>
      </c>
      <c r="J292" t="n">
        <v>0</v>
      </c>
      <c r="K292" t="n">
        <v>0</v>
      </c>
      <c r="L292" t="n">
        <v>0</v>
      </c>
      <c r="M292" t="n">
        <v>0</v>
      </c>
      <c r="N292" t="n">
        <v>0</v>
      </c>
      <c r="O292" t="n">
        <v>0</v>
      </c>
      <c r="P292" t="n">
        <v>0</v>
      </c>
      <c r="Q292" t="n">
        <v>0</v>
      </c>
      <c r="R292" s="2" t="inlineStr"/>
    </row>
    <row r="293" ht="15" customHeight="1">
      <c r="A293" t="inlineStr">
        <is>
          <t>A 39130-2023</t>
        </is>
      </c>
      <c r="B293" s="1" t="n">
        <v>45165</v>
      </c>
      <c r="C293" s="1" t="n">
        <v>45895</v>
      </c>
      <c r="D293" t="inlineStr">
        <is>
          <t>ÖREBRO LÄN</t>
        </is>
      </c>
      <c r="E293" t="inlineStr">
        <is>
          <t>ÖREBRO</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45895</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45895</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45895</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13599-2025</t>
        </is>
      </c>
      <c r="B297" s="1" t="n">
        <v>45736.60597222222</v>
      </c>
      <c r="C297" s="1" t="n">
        <v>45895</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22348-2024</t>
        </is>
      </c>
      <c r="B298" s="1" t="n">
        <v>45446.61256944444</v>
      </c>
      <c r="C298" s="1" t="n">
        <v>45895</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541-2025</t>
        </is>
      </c>
      <c r="B299" s="1" t="n">
        <v>45664.52034722222</v>
      </c>
      <c r="C299" s="1" t="n">
        <v>45895</v>
      </c>
      <c r="D299" t="inlineStr">
        <is>
          <t>ÖREBRO LÄN</t>
        </is>
      </c>
      <c r="E299" t="inlineStr">
        <is>
          <t>ÖREBRO</t>
        </is>
      </c>
      <c r="G299" t="n">
        <v>2.2</v>
      </c>
      <c r="H299" t="n">
        <v>0</v>
      </c>
      <c r="I299" t="n">
        <v>0</v>
      </c>
      <c r="J299" t="n">
        <v>0</v>
      </c>
      <c r="K299" t="n">
        <v>0</v>
      </c>
      <c r="L299" t="n">
        <v>0</v>
      </c>
      <c r="M299" t="n">
        <v>0</v>
      </c>
      <c r="N299" t="n">
        <v>0</v>
      </c>
      <c r="O299" t="n">
        <v>0</v>
      </c>
      <c r="P299" t="n">
        <v>0</v>
      </c>
      <c r="Q299" t="n">
        <v>0</v>
      </c>
      <c r="R299" s="2" t="inlineStr"/>
    </row>
    <row r="300" ht="15" customHeight="1">
      <c r="A300" t="inlineStr">
        <is>
          <t>A 52018-2024</t>
        </is>
      </c>
      <c r="B300" s="1" t="n">
        <v>45607.82974537037</v>
      </c>
      <c r="C300" s="1" t="n">
        <v>45895</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30089-2024</t>
        </is>
      </c>
      <c r="B301" s="1" t="n">
        <v>45485</v>
      </c>
      <c r="C301" s="1" t="n">
        <v>45895</v>
      </c>
      <c r="D301" t="inlineStr">
        <is>
          <t>ÖREBRO LÄN</t>
        </is>
      </c>
      <c r="E301" t="inlineStr">
        <is>
          <t>ÖREBRO</t>
        </is>
      </c>
      <c r="G301" t="n">
        <v>2.2</v>
      </c>
      <c r="H301" t="n">
        <v>0</v>
      </c>
      <c r="I301" t="n">
        <v>0</v>
      </c>
      <c r="J301" t="n">
        <v>0</v>
      </c>
      <c r="K301" t="n">
        <v>0</v>
      </c>
      <c r="L301" t="n">
        <v>0</v>
      </c>
      <c r="M301" t="n">
        <v>0</v>
      </c>
      <c r="N301" t="n">
        <v>0</v>
      </c>
      <c r="O301" t="n">
        <v>0</v>
      </c>
      <c r="P301" t="n">
        <v>0</v>
      </c>
      <c r="Q301" t="n">
        <v>0</v>
      </c>
      <c r="R301" s="2" t="inlineStr"/>
    </row>
    <row r="302" ht="15" customHeight="1">
      <c r="A302" t="inlineStr">
        <is>
          <t>A 19553-2023</t>
        </is>
      </c>
      <c r="B302" s="1" t="n">
        <v>45050</v>
      </c>
      <c r="C302" s="1" t="n">
        <v>45895</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37025-2024</t>
        </is>
      </c>
      <c r="B303" s="1" t="n">
        <v>45539.3840162037</v>
      </c>
      <c r="C303" s="1" t="n">
        <v>45895</v>
      </c>
      <c r="D303" t="inlineStr">
        <is>
          <t>ÖREBRO LÄN</t>
        </is>
      </c>
      <c r="E303" t="inlineStr">
        <is>
          <t>ÖREBRO</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37027-2024</t>
        </is>
      </c>
      <c r="B304" s="1" t="n">
        <v>45539.38487268519</v>
      </c>
      <c r="C304" s="1" t="n">
        <v>45895</v>
      </c>
      <c r="D304" t="inlineStr">
        <is>
          <t>ÖREBRO LÄN</t>
        </is>
      </c>
      <c r="E304" t="inlineStr">
        <is>
          <t>ÖREBRO</t>
        </is>
      </c>
      <c r="F304" t="inlineStr">
        <is>
          <t>Sveaskog</t>
        </is>
      </c>
      <c r="G304" t="n">
        <v>1</v>
      </c>
      <c r="H304" t="n">
        <v>0</v>
      </c>
      <c r="I304" t="n">
        <v>0</v>
      </c>
      <c r="J304" t="n">
        <v>0</v>
      </c>
      <c r="K304" t="n">
        <v>0</v>
      </c>
      <c r="L304" t="n">
        <v>0</v>
      </c>
      <c r="M304" t="n">
        <v>0</v>
      </c>
      <c r="N304" t="n">
        <v>0</v>
      </c>
      <c r="O304" t="n">
        <v>0</v>
      </c>
      <c r="P304" t="n">
        <v>0</v>
      </c>
      <c r="Q304" t="n">
        <v>0</v>
      </c>
      <c r="R304" s="2" t="inlineStr"/>
    </row>
    <row r="305" ht="15" customHeight="1">
      <c r="A305" t="inlineStr">
        <is>
          <t>A 71295-2021</t>
        </is>
      </c>
      <c r="B305" s="1" t="n">
        <v>44539.63009259259</v>
      </c>
      <c r="C305" s="1" t="n">
        <v>45895</v>
      </c>
      <c r="D305" t="inlineStr">
        <is>
          <t>ÖREBRO LÄN</t>
        </is>
      </c>
      <c r="E305" t="inlineStr">
        <is>
          <t>ÖREBRO</t>
        </is>
      </c>
      <c r="G305" t="n">
        <v>2.3</v>
      </c>
      <c r="H305" t="n">
        <v>0</v>
      </c>
      <c r="I305" t="n">
        <v>0</v>
      </c>
      <c r="J305" t="n">
        <v>0</v>
      </c>
      <c r="K305" t="n">
        <v>0</v>
      </c>
      <c r="L305" t="n">
        <v>0</v>
      </c>
      <c r="M305" t="n">
        <v>0</v>
      </c>
      <c r="N305" t="n">
        <v>0</v>
      </c>
      <c r="O305" t="n">
        <v>0</v>
      </c>
      <c r="P305" t="n">
        <v>0</v>
      </c>
      <c r="Q305" t="n">
        <v>0</v>
      </c>
      <c r="R305" s="2" t="inlineStr"/>
    </row>
    <row r="306" ht="15" customHeight="1">
      <c r="A306" t="inlineStr">
        <is>
          <t>A 23594-2023</t>
        </is>
      </c>
      <c r="B306" s="1" t="n">
        <v>45077</v>
      </c>
      <c r="C306" s="1" t="n">
        <v>45895</v>
      </c>
      <c r="D306" t="inlineStr">
        <is>
          <t>ÖREBRO LÄN</t>
        </is>
      </c>
      <c r="E306" t="inlineStr">
        <is>
          <t>ÖREBRO</t>
        </is>
      </c>
      <c r="G306" t="n">
        <v>9.9</v>
      </c>
      <c r="H306" t="n">
        <v>0</v>
      </c>
      <c r="I306" t="n">
        <v>0</v>
      </c>
      <c r="J306" t="n">
        <v>0</v>
      </c>
      <c r="K306" t="n">
        <v>0</v>
      </c>
      <c r="L306" t="n">
        <v>0</v>
      </c>
      <c r="M306" t="n">
        <v>0</v>
      </c>
      <c r="N306" t="n">
        <v>0</v>
      </c>
      <c r="O306" t="n">
        <v>0</v>
      </c>
      <c r="P306" t="n">
        <v>0</v>
      </c>
      <c r="Q306" t="n">
        <v>0</v>
      </c>
      <c r="R306" s="2" t="inlineStr"/>
    </row>
    <row r="307" ht="15" customHeight="1">
      <c r="A307" t="inlineStr">
        <is>
          <t>A 8022-2022</t>
        </is>
      </c>
      <c r="B307" s="1" t="n">
        <v>44609</v>
      </c>
      <c r="C307" s="1" t="n">
        <v>45895</v>
      </c>
      <c r="D307" t="inlineStr">
        <is>
          <t>ÖREBRO LÄN</t>
        </is>
      </c>
      <c r="E307" t="inlineStr">
        <is>
          <t>ÖREBRO</t>
        </is>
      </c>
      <c r="G307" t="n">
        <v>5.6</v>
      </c>
      <c r="H307" t="n">
        <v>0</v>
      </c>
      <c r="I307" t="n">
        <v>0</v>
      </c>
      <c r="J307" t="n">
        <v>0</v>
      </c>
      <c r="K307" t="n">
        <v>0</v>
      </c>
      <c r="L307" t="n">
        <v>0</v>
      </c>
      <c r="M307" t="n">
        <v>0</v>
      </c>
      <c r="N307" t="n">
        <v>0</v>
      </c>
      <c r="O307" t="n">
        <v>0</v>
      </c>
      <c r="P307" t="n">
        <v>0</v>
      </c>
      <c r="Q307" t="n">
        <v>0</v>
      </c>
      <c r="R307" s="2" t="inlineStr"/>
    </row>
    <row r="308" ht="15" customHeight="1">
      <c r="A308" t="inlineStr">
        <is>
          <t>A 47193-2023</t>
        </is>
      </c>
      <c r="B308" s="1" t="n">
        <v>45202.3074537037</v>
      </c>
      <c r="C308" s="1" t="n">
        <v>45895</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46030-2024</t>
        </is>
      </c>
      <c r="B309" s="1" t="n">
        <v>45580.70377314815</v>
      </c>
      <c r="C309" s="1" t="n">
        <v>45895</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5643-2025</t>
        </is>
      </c>
      <c r="B310" s="1" t="n">
        <v>45693</v>
      </c>
      <c r="C310" s="1" t="n">
        <v>45895</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58598-2022</t>
        </is>
      </c>
      <c r="B311" s="1" t="n">
        <v>44902</v>
      </c>
      <c r="C311" s="1" t="n">
        <v>45895</v>
      </c>
      <c r="D311" t="inlineStr">
        <is>
          <t>ÖREBRO LÄN</t>
        </is>
      </c>
      <c r="E311" t="inlineStr">
        <is>
          <t>ÖREBRO</t>
        </is>
      </c>
      <c r="G311" t="n">
        <v>0.4</v>
      </c>
      <c r="H311" t="n">
        <v>0</v>
      </c>
      <c r="I311" t="n">
        <v>0</v>
      </c>
      <c r="J311" t="n">
        <v>0</v>
      </c>
      <c r="K311" t="n">
        <v>0</v>
      </c>
      <c r="L311" t="n">
        <v>0</v>
      </c>
      <c r="M311" t="n">
        <v>0</v>
      </c>
      <c r="N311" t="n">
        <v>0</v>
      </c>
      <c r="O311" t="n">
        <v>0</v>
      </c>
      <c r="P311" t="n">
        <v>0</v>
      </c>
      <c r="Q311" t="n">
        <v>0</v>
      </c>
      <c r="R311" s="2" t="inlineStr"/>
    </row>
    <row r="312" ht="15" customHeight="1">
      <c r="A312" t="inlineStr">
        <is>
          <t>A 11516-2024</t>
        </is>
      </c>
      <c r="B312" s="1" t="n">
        <v>45372</v>
      </c>
      <c r="C312" s="1" t="n">
        <v>45895</v>
      </c>
      <c r="D312" t="inlineStr">
        <is>
          <t>ÖREBRO LÄN</t>
        </is>
      </c>
      <c r="E312" t="inlineStr">
        <is>
          <t>ÖREBRO</t>
        </is>
      </c>
      <c r="G312" t="n">
        <v>10.7</v>
      </c>
      <c r="H312" t="n">
        <v>0</v>
      </c>
      <c r="I312" t="n">
        <v>0</v>
      </c>
      <c r="J312" t="n">
        <v>0</v>
      </c>
      <c r="K312" t="n">
        <v>0</v>
      </c>
      <c r="L312" t="n">
        <v>0</v>
      </c>
      <c r="M312" t="n">
        <v>0</v>
      </c>
      <c r="N312" t="n">
        <v>0</v>
      </c>
      <c r="O312" t="n">
        <v>0</v>
      </c>
      <c r="P312" t="n">
        <v>0</v>
      </c>
      <c r="Q312" t="n">
        <v>0</v>
      </c>
      <c r="R312" s="2" t="inlineStr"/>
    </row>
    <row r="313" ht="15" customHeight="1">
      <c r="A313" t="inlineStr">
        <is>
          <t>A 5342-2024</t>
        </is>
      </c>
      <c r="B313" s="1" t="n">
        <v>45331.44145833333</v>
      </c>
      <c r="C313" s="1" t="n">
        <v>45895</v>
      </c>
      <c r="D313" t="inlineStr">
        <is>
          <t>ÖREBRO LÄN</t>
        </is>
      </c>
      <c r="E313" t="inlineStr">
        <is>
          <t>ÖREBRO</t>
        </is>
      </c>
      <c r="G313" t="n">
        <v>2.5</v>
      </c>
      <c r="H313" t="n">
        <v>0</v>
      </c>
      <c r="I313" t="n">
        <v>0</v>
      </c>
      <c r="J313" t="n">
        <v>0</v>
      </c>
      <c r="K313" t="n">
        <v>0</v>
      </c>
      <c r="L313" t="n">
        <v>0</v>
      </c>
      <c r="M313" t="n">
        <v>0</v>
      </c>
      <c r="N313" t="n">
        <v>0</v>
      </c>
      <c r="O313" t="n">
        <v>0</v>
      </c>
      <c r="P313" t="n">
        <v>0</v>
      </c>
      <c r="Q313" t="n">
        <v>0</v>
      </c>
      <c r="R313" s="2" t="inlineStr"/>
    </row>
    <row r="314" ht="15" customHeight="1">
      <c r="A314" t="inlineStr">
        <is>
          <t>A 71206-2021</t>
        </is>
      </c>
      <c r="B314" s="1" t="n">
        <v>44539</v>
      </c>
      <c r="C314" s="1" t="n">
        <v>45895</v>
      </c>
      <c r="D314" t="inlineStr">
        <is>
          <t>ÖREBRO LÄN</t>
        </is>
      </c>
      <c r="E314" t="inlineStr">
        <is>
          <t>ÖREBRO</t>
        </is>
      </c>
      <c r="G314" t="n">
        <v>2.5</v>
      </c>
      <c r="H314" t="n">
        <v>0</v>
      </c>
      <c r="I314" t="n">
        <v>0</v>
      </c>
      <c r="J314" t="n">
        <v>0</v>
      </c>
      <c r="K314" t="n">
        <v>0</v>
      </c>
      <c r="L314" t="n">
        <v>0</v>
      </c>
      <c r="M314" t="n">
        <v>0</v>
      </c>
      <c r="N314" t="n">
        <v>0</v>
      </c>
      <c r="O314" t="n">
        <v>0</v>
      </c>
      <c r="P314" t="n">
        <v>0</v>
      </c>
      <c r="Q314" t="n">
        <v>0</v>
      </c>
      <c r="R314" s="2" t="inlineStr"/>
    </row>
    <row r="315" ht="15" customHeight="1">
      <c r="A315" t="inlineStr">
        <is>
          <t>A 50375-2024</t>
        </is>
      </c>
      <c r="B315" s="1" t="n">
        <v>45601.29311342593</v>
      </c>
      <c r="C315" s="1" t="n">
        <v>45895</v>
      </c>
      <c r="D315" t="inlineStr">
        <is>
          <t>ÖREBRO LÄN</t>
        </is>
      </c>
      <c r="E315" t="inlineStr">
        <is>
          <t>ÖREBRO</t>
        </is>
      </c>
      <c r="G315" t="n">
        <v>5</v>
      </c>
      <c r="H315" t="n">
        <v>0</v>
      </c>
      <c r="I315" t="n">
        <v>0</v>
      </c>
      <c r="J315" t="n">
        <v>0</v>
      </c>
      <c r="K315" t="n">
        <v>0</v>
      </c>
      <c r="L315" t="n">
        <v>0</v>
      </c>
      <c r="M315" t="n">
        <v>0</v>
      </c>
      <c r="N315" t="n">
        <v>0</v>
      </c>
      <c r="O315" t="n">
        <v>0</v>
      </c>
      <c r="P315" t="n">
        <v>0</v>
      </c>
      <c r="Q315" t="n">
        <v>0</v>
      </c>
      <c r="R315" s="2" t="inlineStr"/>
    </row>
    <row r="316" ht="15" customHeight="1">
      <c r="A316" t="inlineStr">
        <is>
          <t>A 52391-2024</t>
        </is>
      </c>
      <c r="B316" s="1" t="n">
        <v>45609.43180555556</v>
      </c>
      <c r="C316" s="1" t="n">
        <v>45895</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16739-2022</t>
        </is>
      </c>
      <c r="B317" s="1" t="n">
        <v>44673</v>
      </c>
      <c r="C317" s="1" t="n">
        <v>45895</v>
      </c>
      <c r="D317" t="inlineStr">
        <is>
          <t>ÖREBRO LÄN</t>
        </is>
      </c>
      <c r="E317" t="inlineStr">
        <is>
          <t>ÖREBRO</t>
        </is>
      </c>
      <c r="G317" t="n">
        <v>4.7</v>
      </c>
      <c r="H317" t="n">
        <v>0</v>
      </c>
      <c r="I317" t="n">
        <v>0</v>
      </c>
      <c r="J317" t="n">
        <v>0</v>
      </c>
      <c r="K317" t="n">
        <v>0</v>
      </c>
      <c r="L317" t="n">
        <v>0</v>
      </c>
      <c r="M317" t="n">
        <v>0</v>
      </c>
      <c r="N317" t="n">
        <v>0</v>
      </c>
      <c r="O317" t="n">
        <v>0</v>
      </c>
      <c r="P317" t="n">
        <v>0</v>
      </c>
      <c r="Q317" t="n">
        <v>0</v>
      </c>
      <c r="R317" s="2" t="inlineStr"/>
    </row>
    <row r="318" ht="15" customHeight="1">
      <c r="A318" t="inlineStr">
        <is>
          <t>A 9379-2024</t>
        </is>
      </c>
      <c r="B318" s="1" t="n">
        <v>45359.37298611111</v>
      </c>
      <c r="C318" s="1" t="n">
        <v>45895</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5398-2022</t>
        </is>
      </c>
      <c r="B319" s="1" t="n">
        <v>44595.3353587963</v>
      </c>
      <c r="C319" s="1" t="n">
        <v>45895</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25578-2025</t>
        </is>
      </c>
      <c r="B320" s="1" t="n">
        <v>45803.47803240741</v>
      </c>
      <c r="C320" s="1" t="n">
        <v>45895</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58532-2024</t>
        </is>
      </c>
      <c r="B321" s="1" t="n">
        <v>45635.44899305556</v>
      </c>
      <c r="C321" s="1" t="n">
        <v>45895</v>
      </c>
      <c r="D321" t="inlineStr">
        <is>
          <t>ÖREBRO LÄN</t>
        </is>
      </c>
      <c r="E321" t="inlineStr">
        <is>
          <t>ÖREBRO</t>
        </is>
      </c>
      <c r="F321" t="inlineStr">
        <is>
          <t>Sveaskog</t>
        </is>
      </c>
      <c r="G321" t="n">
        <v>5.2</v>
      </c>
      <c r="H321" t="n">
        <v>0</v>
      </c>
      <c r="I321" t="n">
        <v>0</v>
      </c>
      <c r="J321" t="n">
        <v>0</v>
      </c>
      <c r="K321" t="n">
        <v>0</v>
      </c>
      <c r="L321" t="n">
        <v>0</v>
      </c>
      <c r="M321" t="n">
        <v>0</v>
      </c>
      <c r="N321" t="n">
        <v>0</v>
      </c>
      <c r="O321" t="n">
        <v>0</v>
      </c>
      <c r="P321" t="n">
        <v>0</v>
      </c>
      <c r="Q321" t="n">
        <v>0</v>
      </c>
      <c r="R321" s="2" t="inlineStr"/>
    </row>
    <row r="322" ht="15" customHeight="1">
      <c r="A322" t="inlineStr">
        <is>
          <t>A 41995-2024</t>
        </is>
      </c>
      <c r="B322" s="1" t="n">
        <v>45561.6475462963</v>
      </c>
      <c r="C322" s="1" t="n">
        <v>45895</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25519-2025</t>
        </is>
      </c>
      <c r="B323" s="1" t="n">
        <v>45803.38447916666</v>
      </c>
      <c r="C323" s="1" t="n">
        <v>45895</v>
      </c>
      <c r="D323" t="inlineStr">
        <is>
          <t>ÖREBRO LÄN</t>
        </is>
      </c>
      <c r="E323" t="inlineStr">
        <is>
          <t>ÖREBRO</t>
        </is>
      </c>
      <c r="G323" t="n">
        <v>7.4</v>
      </c>
      <c r="H323" t="n">
        <v>0</v>
      </c>
      <c r="I323" t="n">
        <v>0</v>
      </c>
      <c r="J323" t="n">
        <v>0</v>
      </c>
      <c r="K323" t="n">
        <v>0</v>
      </c>
      <c r="L323" t="n">
        <v>0</v>
      </c>
      <c r="M323" t="n">
        <v>0</v>
      </c>
      <c r="N323" t="n">
        <v>0</v>
      </c>
      <c r="O323" t="n">
        <v>0</v>
      </c>
      <c r="P323" t="n">
        <v>0</v>
      </c>
      <c r="Q323" t="n">
        <v>0</v>
      </c>
      <c r="R323" s="2" t="inlineStr"/>
    </row>
    <row r="324" ht="15" customHeight="1">
      <c r="A324" t="inlineStr">
        <is>
          <t>A 20150-2024</t>
        </is>
      </c>
      <c r="B324" s="1" t="n">
        <v>45434.57969907407</v>
      </c>
      <c r="C324" s="1" t="n">
        <v>45895</v>
      </c>
      <c r="D324" t="inlineStr">
        <is>
          <t>ÖREBRO LÄN</t>
        </is>
      </c>
      <c r="E324" t="inlineStr">
        <is>
          <t>ÖREBRO</t>
        </is>
      </c>
      <c r="G324" t="n">
        <v>0.5</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45895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45895</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2318-2023</t>
        </is>
      </c>
      <c r="B327" s="1" t="n">
        <v>44942</v>
      </c>
      <c r="C327" s="1" t="n">
        <v>45895</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58208-2024</t>
        </is>
      </c>
      <c r="B328" s="1" t="n">
        <v>45632</v>
      </c>
      <c r="C328" s="1" t="n">
        <v>45895</v>
      </c>
      <c r="D328" t="inlineStr">
        <is>
          <t>ÖREBRO LÄN</t>
        </is>
      </c>
      <c r="E328" t="inlineStr">
        <is>
          <t>ÖREBRO</t>
        </is>
      </c>
      <c r="G328" t="n">
        <v>3.1</v>
      </c>
      <c r="H328" t="n">
        <v>0</v>
      </c>
      <c r="I328" t="n">
        <v>0</v>
      </c>
      <c r="J328" t="n">
        <v>0</v>
      </c>
      <c r="K328" t="n">
        <v>0</v>
      </c>
      <c r="L328" t="n">
        <v>0</v>
      </c>
      <c r="M328" t="n">
        <v>0</v>
      </c>
      <c r="N328" t="n">
        <v>0</v>
      </c>
      <c r="O328" t="n">
        <v>0</v>
      </c>
      <c r="P328" t="n">
        <v>0</v>
      </c>
      <c r="Q328" t="n">
        <v>0</v>
      </c>
      <c r="R328" s="2" t="inlineStr"/>
    </row>
    <row r="329" ht="15" customHeight="1">
      <c r="A329" t="inlineStr">
        <is>
          <t>A 19388-2024</t>
        </is>
      </c>
      <c r="B329" s="1" t="n">
        <v>45429.37775462963</v>
      </c>
      <c r="C329" s="1" t="n">
        <v>45895</v>
      </c>
      <c r="D329" t="inlineStr">
        <is>
          <t>ÖREBRO LÄN</t>
        </is>
      </c>
      <c r="E329" t="inlineStr">
        <is>
          <t>ÖREBRO</t>
        </is>
      </c>
      <c r="G329" t="n">
        <v>4.3</v>
      </c>
      <c r="H329" t="n">
        <v>0</v>
      </c>
      <c r="I329" t="n">
        <v>0</v>
      </c>
      <c r="J329" t="n">
        <v>0</v>
      </c>
      <c r="K329" t="n">
        <v>0</v>
      </c>
      <c r="L329" t="n">
        <v>0</v>
      </c>
      <c r="M329" t="n">
        <v>0</v>
      </c>
      <c r="N329" t="n">
        <v>0</v>
      </c>
      <c r="O329" t="n">
        <v>0</v>
      </c>
      <c r="P329" t="n">
        <v>0</v>
      </c>
      <c r="Q329" t="n">
        <v>0</v>
      </c>
      <c r="R329" s="2" t="inlineStr"/>
    </row>
    <row r="330" ht="15" customHeight="1">
      <c r="A330" t="inlineStr">
        <is>
          <t>A 5764-2022</t>
        </is>
      </c>
      <c r="B330" s="1" t="n">
        <v>44596</v>
      </c>
      <c r="C330" s="1" t="n">
        <v>45895</v>
      </c>
      <c r="D330" t="inlineStr">
        <is>
          <t>ÖREBRO LÄN</t>
        </is>
      </c>
      <c r="E330" t="inlineStr">
        <is>
          <t>ÖREBRO</t>
        </is>
      </c>
      <c r="G330" t="n">
        <v>3.5</v>
      </c>
      <c r="H330" t="n">
        <v>0</v>
      </c>
      <c r="I330" t="n">
        <v>0</v>
      </c>
      <c r="J330" t="n">
        <v>0</v>
      </c>
      <c r="K330" t="n">
        <v>0</v>
      </c>
      <c r="L330" t="n">
        <v>0</v>
      </c>
      <c r="M330" t="n">
        <v>0</v>
      </c>
      <c r="N330" t="n">
        <v>0</v>
      </c>
      <c r="O330" t="n">
        <v>0</v>
      </c>
      <c r="P330" t="n">
        <v>0</v>
      </c>
      <c r="Q330" t="n">
        <v>0</v>
      </c>
      <c r="R330" s="2" t="inlineStr"/>
    </row>
    <row r="331" ht="15" customHeight="1">
      <c r="A331" t="inlineStr">
        <is>
          <t>A 7506-2025</t>
        </is>
      </c>
      <c r="B331" s="1" t="n">
        <v>45705</v>
      </c>
      <c r="C331" s="1" t="n">
        <v>45895</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4344-2025</t>
        </is>
      </c>
      <c r="B332" s="1" t="n">
        <v>45685</v>
      </c>
      <c r="C332" s="1" t="n">
        <v>45895</v>
      </c>
      <c r="D332" t="inlineStr">
        <is>
          <t>ÖREBRO LÄN</t>
        </is>
      </c>
      <c r="E332" t="inlineStr">
        <is>
          <t>ÖREBRO</t>
        </is>
      </c>
      <c r="G332" t="n">
        <v>1.6</v>
      </c>
      <c r="H332" t="n">
        <v>0</v>
      </c>
      <c r="I332" t="n">
        <v>0</v>
      </c>
      <c r="J332" t="n">
        <v>0</v>
      </c>
      <c r="K332" t="n">
        <v>0</v>
      </c>
      <c r="L332" t="n">
        <v>0</v>
      </c>
      <c r="M332" t="n">
        <v>0</v>
      </c>
      <c r="N332" t="n">
        <v>0</v>
      </c>
      <c r="O332" t="n">
        <v>0</v>
      </c>
      <c r="P332" t="n">
        <v>0</v>
      </c>
      <c r="Q332" t="n">
        <v>0</v>
      </c>
      <c r="R332" s="2" t="inlineStr"/>
    </row>
    <row r="333" ht="15" customHeight="1">
      <c r="A333" t="inlineStr">
        <is>
          <t>A 45027-2024</t>
        </is>
      </c>
      <c r="B333" s="1" t="n">
        <v>45575</v>
      </c>
      <c r="C333" s="1" t="n">
        <v>45895</v>
      </c>
      <c r="D333" t="inlineStr">
        <is>
          <t>ÖREBRO LÄN</t>
        </is>
      </c>
      <c r="E333" t="inlineStr">
        <is>
          <t>ÖREBRO</t>
        </is>
      </c>
      <c r="G333" t="n">
        <v>6.3</v>
      </c>
      <c r="H333" t="n">
        <v>0</v>
      </c>
      <c r="I333" t="n">
        <v>0</v>
      </c>
      <c r="J333" t="n">
        <v>0</v>
      </c>
      <c r="K333" t="n">
        <v>0</v>
      </c>
      <c r="L333" t="n">
        <v>0</v>
      </c>
      <c r="M333" t="n">
        <v>0</v>
      </c>
      <c r="N333" t="n">
        <v>0</v>
      </c>
      <c r="O333" t="n">
        <v>0</v>
      </c>
      <c r="P333" t="n">
        <v>0</v>
      </c>
      <c r="Q333" t="n">
        <v>0</v>
      </c>
      <c r="R333" s="2" t="inlineStr"/>
    </row>
    <row r="334" ht="15" customHeight="1">
      <c r="A334" t="inlineStr">
        <is>
          <t>A 40051-2024</t>
        </is>
      </c>
      <c r="B334" s="1" t="n">
        <v>45553</v>
      </c>
      <c r="C334" s="1" t="n">
        <v>45895</v>
      </c>
      <c r="D334" t="inlineStr">
        <is>
          <t>ÖREBRO LÄN</t>
        </is>
      </c>
      <c r="E334" t="inlineStr">
        <is>
          <t>ÖREBRO</t>
        </is>
      </c>
      <c r="G334" t="n">
        <v>3.5</v>
      </c>
      <c r="H334" t="n">
        <v>0</v>
      </c>
      <c r="I334" t="n">
        <v>0</v>
      </c>
      <c r="J334" t="n">
        <v>0</v>
      </c>
      <c r="K334" t="n">
        <v>0</v>
      </c>
      <c r="L334" t="n">
        <v>0</v>
      </c>
      <c r="M334" t="n">
        <v>0</v>
      </c>
      <c r="N334" t="n">
        <v>0</v>
      </c>
      <c r="O334" t="n">
        <v>0</v>
      </c>
      <c r="P334" t="n">
        <v>0</v>
      </c>
      <c r="Q334" t="n">
        <v>0</v>
      </c>
      <c r="R334" s="2" t="inlineStr"/>
    </row>
    <row r="335" ht="15" customHeight="1">
      <c r="A335" t="inlineStr">
        <is>
          <t>A 16300-2022</t>
        </is>
      </c>
      <c r="B335" s="1" t="n">
        <v>44670</v>
      </c>
      <c r="C335" s="1" t="n">
        <v>45895</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41543-2024</t>
        </is>
      </c>
      <c r="B336" s="1" t="n">
        <v>45560</v>
      </c>
      <c r="C336" s="1" t="n">
        <v>45895</v>
      </c>
      <c r="D336" t="inlineStr">
        <is>
          <t>ÖREBRO LÄN</t>
        </is>
      </c>
      <c r="E336" t="inlineStr">
        <is>
          <t>ÖREBRO</t>
        </is>
      </c>
      <c r="G336" t="n">
        <v>2.8</v>
      </c>
      <c r="H336" t="n">
        <v>0</v>
      </c>
      <c r="I336" t="n">
        <v>0</v>
      </c>
      <c r="J336" t="n">
        <v>0</v>
      </c>
      <c r="K336" t="n">
        <v>0</v>
      </c>
      <c r="L336" t="n">
        <v>0</v>
      </c>
      <c r="M336" t="n">
        <v>0</v>
      </c>
      <c r="N336" t="n">
        <v>0</v>
      </c>
      <c r="O336" t="n">
        <v>0</v>
      </c>
      <c r="P336" t="n">
        <v>0</v>
      </c>
      <c r="Q336" t="n">
        <v>0</v>
      </c>
      <c r="R336" s="2" t="inlineStr"/>
    </row>
    <row r="337" ht="15" customHeight="1">
      <c r="A337" t="inlineStr">
        <is>
          <t>A 10799-2024</t>
        </is>
      </c>
      <c r="B337" s="1" t="n">
        <v>45369</v>
      </c>
      <c r="C337" s="1" t="n">
        <v>45895</v>
      </c>
      <c r="D337" t="inlineStr">
        <is>
          <t>ÖREBRO LÄN</t>
        </is>
      </c>
      <c r="E337" t="inlineStr">
        <is>
          <t>ÖREBRO</t>
        </is>
      </c>
      <c r="G337" t="n">
        <v>5.8</v>
      </c>
      <c r="H337" t="n">
        <v>0</v>
      </c>
      <c r="I337" t="n">
        <v>0</v>
      </c>
      <c r="J337" t="n">
        <v>0</v>
      </c>
      <c r="K337" t="n">
        <v>0</v>
      </c>
      <c r="L337" t="n">
        <v>0</v>
      </c>
      <c r="M337" t="n">
        <v>0</v>
      </c>
      <c r="N337" t="n">
        <v>0</v>
      </c>
      <c r="O337" t="n">
        <v>0</v>
      </c>
      <c r="P337" t="n">
        <v>0</v>
      </c>
      <c r="Q337" t="n">
        <v>0</v>
      </c>
      <c r="R337" s="2" t="inlineStr"/>
    </row>
    <row r="338" ht="15" customHeight="1">
      <c r="A338" t="inlineStr">
        <is>
          <t>A 16958-2022</t>
        </is>
      </c>
      <c r="B338" s="1" t="n">
        <v>44676.50481481481</v>
      </c>
      <c r="C338" s="1" t="n">
        <v>45895</v>
      </c>
      <c r="D338" t="inlineStr">
        <is>
          <t>ÖREBRO LÄN</t>
        </is>
      </c>
      <c r="E338" t="inlineStr">
        <is>
          <t>ÖREBRO</t>
        </is>
      </c>
      <c r="G338" t="n">
        <v>3.1</v>
      </c>
      <c r="H338" t="n">
        <v>0</v>
      </c>
      <c r="I338" t="n">
        <v>0</v>
      </c>
      <c r="J338" t="n">
        <v>0</v>
      </c>
      <c r="K338" t="n">
        <v>0</v>
      </c>
      <c r="L338" t="n">
        <v>0</v>
      </c>
      <c r="M338" t="n">
        <v>0</v>
      </c>
      <c r="N338" t="n">
        <v>0</v>
      </c>
      <c r="O338" t="n">
        <v>0</v>
      </c>
      <c r="P338" t="n">
        <v>0</v>
      </c>
      <c r="Q338" t="n">
        <v>0</v>
      </c>
      <c r="R338" s="2" t="inlineStr"/>
    </row>
    <row r="339" ht="15" customHeight="1">
      <c r="A339" t="inlineStr">
        <is>
          <t>A 55472-2023</t>
        </is>
      </c>
      <c r="B339" s="1" t="n">
        <v>45238</v>
      </c>
      <c r="C339" s="1" t="n">
        <v>45895</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16694-2025</t>
        </is>
      </c>
      <c r="B340" s="1" t="n">
        <v>45754.46480324074</v>
      </c>
      <c r="C340" s="1" t="n">
        <v>45895</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49465-2024</t>
        </is>
      </c>
      <c r="B341" s="1" t="n">
        <v>45596</v>
      </c>
      <c r="C341" s="1" t="n">
        <v>45895</v>
      </c>
      <c r="D341" t="inlineStr">
        <is>
          <t>ÖREBRO LÄN</t>
        </is>
      </c>
      <c r="E341" t="inlineStr">
        <is>
          <t>ÖREBRO</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54925-2023</t>
        </is>
      </c>
      <c r="B342" s="1" t="n">
        <v>45229</v>
      </c>
      <c r="C342" s="1" t="n">
        <v>45895</v>
      </c>
      <c r="D342" t="inlineStr">
        <is>
          <t>ÖREBRO LÄN</t>
        </is>
      </c>
      <c r="E342" t="inlineStr">
        <is>
          <t>ÖREBRO</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8568-2021</t>
        </is>
      </c>
      <c r="B343" s="1" t="n">
        <v>44245</v>
      </c>
      <c r="C343" s="1" t="n">
        <v>45895</v>
      </c>
      <c r="D343" t="inlineStr">
        <is>
          <t>ÖREBRO LÄN</t>
        </is>
      </c>
      <c r="E343" t="inlineStr">
        <is>
          <t>ÖREBRO</t>
        </is>
      </c>
      <c r="G343" t="n">
        <v>4.8</v>
      </c>
      <c r="H343" t="n">
        <v>0</v>
      </c>
      <c r="I343" t="n">
        <v>0</v>
      </c>
      <c r="J343" t="n">
        <v>0</v>
      </c>
      <c r="K343" t="n">
        <v>0</v>
      </c>
      <c r="L343" t="n">
        <v>0</v>
      </c>
      <c r="M343" t="n">
        <v>0</v>
      </c>
      <c r="N343" t="n">
        <v>0</v>
      </c>
      <c r="O343" t="n">
        <v>0</v>
      </c>
      <c r="P343" t="n">
        <v>0</v>
      </c>
      <c r="Q343" t="n">
        <v>0</v>
      </c>
      <c r="R343" s="2" t="inlineStr"/>
    </row>
    <row r="344" ht="15" customHeight="1">
      <c r="A344" t="inlineStr">
        <is>
          <t>A 16961-2022</t>
        </is>
      </c>
      <c r="B344" s="1" t="n">
        <v>44676</v>
      </c>
      <c r="C344" s="1" t="n">
        <v>45895</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45895</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59121-2024</t>
        </is>
      </c>
      <c r="B346" s="1" t="n">
        <v>45637.37755787037</v>
      </c>
      <c r="C346" s="1" t="n">
        <v>45895</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49215-2023</t>
        </is>
      </c>
      <c r="B347" s="1" t="n">
        <v>45210.61050925926</v>
      </c>
      <c r="C347" s="1" t="n">
        <v>45895</v>
      </c>
      <c r="D347" t="inlineStr">
        <is>
          <t>ÖREBRO LÄN</t>
        </is>
      </c>
      <c r="E347" t="inlineStr">
        <is>
          <t>ÖREBRO</t>
        </is>
      </c>
      <c r="F347" t="inlineStr">
        <is>
          <t>Övriga Aktiebolag</t>
        </is>
      </c>
      <c r="G347" t="n">
        <v>4.2</v>
      </c>
      <c r="H347" t="n">
        <v>0</v>
      </c>
      <c r="I347" t="n">
        <v>0</v>
      </c>
      <c r="J347" t="n">
        <v>0</v>
      </c>
      <c r="K347" t="n">
        <v>0</v>
      </c>
      <c r="L347" t="n">
        <v>0</v>
      </c>
      <c r="M347" t="n">
        <v>0</v>
      </c>
      <c r="N347" t="n">
        <v>0</v>
      </c>
      <c r="O347" t="n">
        <v>0</v>
      </c>
      <c r="P347" t="n">
        <v>0</v>
      </c>
      <c r="Q347" t="n">
        <v>0</v>
      </c>
      <c r="R347" s="2" t="inlineStr"/>
    </row>
    <row r="348" ht="15" customHeight="1">
      <c r="A348" t="inlineStr">
        <is>
          <t>A 13700-2024</t>
        </is>
      </c>
      <c r="B348" s="1" t="n">
        <v>45390.59277777778</v>
      </c>
      <c r="C348" s="1" t="n">
        <v>45895</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17983-2025</t>
        </is>
      </c>
      <c r="B349" s="1" t="n">
        <v>45761.38829861111</v>
      </c>
      <c r="C349" s="1" t="n">
        <v>45895</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3659-2025</t>
        </is>
      </c>
      <c r="B350" s="1" t="n">
        <v>45681</v>
      </c>
      <c r="C350" s="1" t="n">
        <v>45895</v>
      </c>
      <c r="D350" t="inlineStr">
        <is>
          <t>ÖREBRO LÄN</t>
        </is>
      </c>
      <c r="E350" t="inlineStr">
        <is>
          <t>ÖREBRO</t>
        </is>
      </c>
      <c r="G350" t="n">
        <v>15.8</v>
      </c>
      <c r="H350" t="n">
        <v>0</v>
      </c>
      <c r="I350" t="n">
        <v>0</v>
      </c>
      <c r="J350" t="n">
        <v>0</v>
      </c>
      <c r="K350" t="n">
        <v>0</v>
      </c>
      <c r="L350" t="n">
        <v>0</v>
      </c>
      <c r="M350" t="n">
        <v>0</v>
      </c>
      <c r="N350" t="n">
        <v>0</v>
      </c>
      <c r="O350" t="n">
        <v>0</v>
      </c>
      <c r="P350" t="n">
        <v>0</v>
      </c>
      <c r="Q350" t="n">
        <v>0</v>
      </c>
      <c r="R350" s="2" t="inlineStr"/>
    </row>
    <row r="351" ht="15" customHeight="1">
      <c r="A351" t="inlineStr">
        <is>
          <t>A 8571-2021</t>
        </is>
      </c>
      <c r="B351" s="1" t="n">
        <v>44245</v>
      </c>
      <c r="C351" s="1" t="n">
        <v>45895</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1014-2024</t>
        </is>
      </c>
      <c r="B352" s="1" t="n">
        <v>45301</v>
      </c>
      <c r="C352" s="1" t="n">
        <v>45895</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27220-2025</t>
        </is>
      </c>
      <c r="B353" s="1" t="n">
        <v>45812.42293981482</v>
      </c>
      <c r="C353" s="1" t="n">
        <v>45895</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55692-2023</t>
        </is>
      </c>
      <c r="B354" s="1" t="n">
        <v>45239</v>
      </c>
      <c r="C354" s="1" t="n">
        <v>45895</v>
      </c>
      <c r="D354" t="inlineStr">
        <is>
          <t>ÖREBRO LÄN</t>
        </is>
      </c>
      <c r="E354" t="inlineStr">
        <is>
          <t>ÖREBRO</t>
        </is>
      </c>
      <c r="F354" t="inlineStr">
        <is>
          <t>Övriga Aktiebolag</t>
        </is>
      </c>
      <c r="G354" t="n">
        <v>0.4</v>
      </c>
      <c r="H354" t="n">
        <v>0</v>
      </c>
      <c r="I354" t="n">
        <v>0</v>
      </c>
      <c r="J354" t="n">
        <v>0</v>
      </c>
      <c r="K354" t="n">
        <v>0</v>
      </c>
      <c r="L354" t="n">
        <v>0</v>
      </c>
      <c r="M354" t="n">
        <v>0</v>
      </c>
      <c r="N354" t="n">
        <v>0</v>
      </c>
      <c r="O354" t="n">
        <v>0</v>
      </c>
      <c r="P354" t="n">
        <v>0</v>
      </c>
      <c r="Q354" t="n">
        <v>0</v>
      </c>
      <c r="R354" s="2" t="inlineStr"/>
    </row>
    <row r="355" ht="15" customHeight="1">
      <c r="A355" t="inlineStr">
        <is>
          <t>A 14715-2024</t>
        </is>
      </c>
      <c r="B355" s="1" t="n">
        <v>45397.5500462963</v>
      </c>
      <c r="C355" s="1" t="n">
        <v>45895</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8374-2021</t>
        </is>
      </c>
      <c r="B356" s="1" t="n">
        <v>44244</v>
      </c>
      <c r="C356" s="1" t="n">
        <v>45895</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12682-2023</t>
        </is>
      </c>
      <c r="B357" s="1" t="n">
        <v>45000.6115625</v>
      </c>
      <c r="C357" s="1" t="n">
        <v>45895</v>
      </c>
      <c r="D357" t="inlineStr">
        <is>
          <t>ÖREBRO LÄN</t>
        </is>
      </c>
      <c r="E357" t="inlineStr">
        <is>
          <t>ÖREBRO</t>
        </is>
      </c>
      <c r="F357" t="inlineStr">
        <is>
          <t>Övriga Aktiebolag</t>
        </is>
      </c>
      <c r="G357" t="n">
        <v>4.4</v>
      </c>
      <c r="H357" t="n">
        <v>0</v>
      </c>
      <c r="I357" t="n">
        <v>0</v>
      </c>
      <c r="J357" t="n">
        <v>0</v>
      </c>
      <c r="K357" t="n">
        <v>0</v>
      </c>
      <c r="L357" t="n">
        <v>0</v>
      </c>
      <c r="M357" t="n">
        <v>0</v>
      </c>
      <c r="N357" t="n">
        <v>0</v>
      </c>
      <c r="O357" t="n">
        <v>0</v>
      </c>
      <c r="P357" t="n">
        <v>0</v>
      </c>
      <c r="Q357" t="n">
        <v>0</v>
      </c>
      <c r="R357" s="2" t="inlineStr"/>
    </row>
    <row r="358" ht="15" customHeight="1">
      <c r="A358" t="inlineStr">
        <is>
          <t>A 13592-2023</t>
        </is>
      </c>
      <c r="B358" s="1" t="n">
        <v>45006.56870370371</v>
      </c>
      <c r="C358" s="1" t="n">
        <v>45895</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27180-2025</t>
        </is>
      </c>
      <c r="B359" s="1" t="n">
        <v>45812.35736111111</v>
      </c>
      <c r="C359" s="1" t="n">
        <v>45895</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27215-2025</t>
        </is>
      </c>
      <c r="B360" s="1" t="n">
        <v>45812.41869212963</v>
      </c>
      <c r="C360" s="1" t="n">
        <v>45895</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27225-2025</t>
        </is>
      </c>
      <c r="B361" s="1" t="n">
        <v>45812.42856481481</v>
      </c>
      <c r="C361" s="1" t="n">
        <v>45895</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10368-2021</t>
        </is>
      </c>
      <c r="B362" s="1" t="n">
        <v>44257</v>
      </c>
      <c r="C362" s="1" t="n">
        <v>45895</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767-2024</t>
        </is>
      </c>
      <c r="B363" s="1" t="n">
        <v>45300.51892361111</v>
      </c>
      <c r="C363" s="1" t="n">
        <v>45895</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44511-2023</t>
        </is>
      </c>
      <c r="B364" s="1" t="n">
        <v>45189</v>
      </c>
      <c r="C364" s="1" t="n">
        <v>45895</v>
      </c>
      <c r="D364" t="inlineStr">
        <is>
          <t>ÖREBRO LÄN</t>
        </is>
      </c>
      <c r="E364" t="inlineStr">
        <is>
          <t>ÖREBRO</t>
        </is>
      </c>
      <c r="F364" t="inlineStr">
        <is>
          <t>Allmännings- och besparingsskogar</t>
        </is>
      </c>
      <c r="G364" t="n">
        <v>2.7</v>
      </c>
      <c r="H364" t="n">
        <v>0</v>
      </c>
      <c r="I364" t="n">
        <v>0</v>
      </c>
      <c r="J364" t="n">
        <v>0</v>
      </c>
      <c r="K364" t="n">
        <v>0</v>
      </c>
      <c r="L364" t="n">
        <v>0</v>
      </c>
      <c r="M364" t="n">
        <v>0</v>
      </c>
      <c r="N364" t="n">
        <v>0</v>
      </c>
      <c r="O364" t="n">
        <v>0</v>
      </c>
      <c r="P364" t="n">
        <v>0</v>
      </c>
      <c r="Q364" t="n">
        <v>0</v>
      </c>
      <c r="R364" s="2" t="inlineStr"/>
    </row>
    <row r="365" ht="15" customHeight="1">
      <c r="A365" t="inlineStr">
        <is>
          <t>A 53234-2023</t>
        </is>
      </c>
      <c r="B365" s="1" t="n">
        <v>45229</v>
      </c>
      <c r="C365" s="1" t="n">
        <v>45895</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8512-2025</t>
        </is>
      </c>
      <c r="B366" s="1" t="n">
        <v>45709.54873842592</v>
      </c>
      <c r="C366" s="1" t="n">
        <v>45895</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59736-2023</t>
        </is>
      </c>
      <c r="B367" s="1" t="n">
        <v>45257.374375</v>
      </c>
      <c r="C367" s="1" t="n">
        <v>45895</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28054-2022</t>
        </is>
      </c>
      <c r="B368" s="1" t="n">
        <v>44746.41938657407</v>
      </c>
      <c r="C368" s="1" t="n">
        <v>45895</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55355-2024</t>
        </is>
      </c>
      <c r="B369" s="1" t="n">
        <v>45621.80475694445</v>
      </c>
      <c r="C369" s="1" t="n">
        <v>45895</v>
      </c>
      <c r="D369" t="inlineStr">
        <is>
          <t>ÖREBRO LÄN</t>
        </is>
      </c>
      <c r="E369" t="inlineStr">
        <is>
          <t>ÖREBRO</t>
        </is>
      </c>
      <c r="G369" t="n">
        <v>1.6</v>
      </c>
      <c r="H369" t="n">
        <v>0</v>
      </c>
      <c r="I369" t="n">
        <v>0</v>
      </c>
      <c r="J369" t="n">
        <v>0</v>
      </c>
      <c r="K369" t="n">
        <v>0</v>
      </c>
      <c r="L369" t="n">
        <v>0</v>
      </c>
      <c r="M369" t="n">
        <v>0</v>
      </c>
      <c r="N369" t="n">
        <v>0</v>
      </c>
      <c r="O369" t="n">
        <v>0</v>
      </c>
      <c r="P369" t="n">
        <v>0</v>
      </c>
      <c r="Q369" t="n">
        <v>0</v>
      </c>
      <c r="R369" s="2" t="inlineStr"/>
    </row>
    <row r="370" ht="15" customHeight="1">
      <c r="A370" t="inlineStr">
        <is>
          <t>A 1647-2024</t>
        </is>
      </c>
      <c r="B370" s="1" t="n">
        <v>45306</v>
      </c>
      <c r="C370" s="1" t="n">
        <v>45895</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57485-2023</t>
        </is>
      </c>
      <c r="B371" s="1" t="n">
        <v>45246</v>
      </c>
      <c r="C371" s="1" t="n">
        <v>45895</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49029-2024</t>
        </is>
      </c>
      <c r="B372" s="1" t="n">
        <v>45594</v>
      </c>
      <c r="C372" s="1" t="n">
        <v>45895</v>
      </c>
      <c r="D372" t="inlineStr">
        <is>
          <t>ÖREBRO LÄN</t>
        </is>
      </c>
      <c r="E372" t="inlineStr">
        <is>
          <t>ÖREBRO</t>
        </is>
      </c>
      <c r="G372" t="n">
        <v>3.7</v>
      </c>
      <c r="H372" t="n">
        <v>0</v>
      </c>
      <c r="I372" t="n">
        <v>0</v>
      </c>
      <c r="J372" t="n">
        <v>0</v>
      </c>
      <c r="K372" t="n">
        <v>0</v>
      </c>
      <c r="L372" t="n">
        <v>0</v>
      </c>
      <c r="M372" t="n">
        <v>0</v>
      </c>
      <c r="N372" t="n">
        <v>0</v>
      </c>
      <c r="O372" t="n">
        <v>0</v>
      </c>
      <c r="P372" t="n">
        <v>0</v>
      </c>
      <c r="Q372" t="n">
        <v>0</v>
      </c>
      <c r="R372" s="2" t="inlineStr"/>
    </row>
    <row r="373" ht="15" customHeight="1">
      <c r="A373" t="inlineStr">
        <is>
          <t>A 58032-2023</t>
        </is>
      </c>
      <c r="B373" s="1" t="n">
        <v>45247</v>
      </c>
      <c r="C373" s="1" t="n">
        <v>45895</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58035-2023</t>
        </is>
      </c>
      <c r="B374" s="1" t="n">
        <v>45247</v>
      </c>
      <c r="C374" s="1" t="n">
        <v>45895</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20115-2024</t>
        </is>
      </c>
      <c r="B375" s="1" t="n">
        <v>45434</v>
      </c>
      <c r="C375" s="1" t="n">
        <v>45895</v>
      </c>
      <c r="D375" t="inlineStr">
        <is>
          <t>ÖREBRO LÄN</t>
        </is>
      </c>
      <c r="E375" t="inlineStr">
        <is>
          <t>ÖREBRO</t>
        </is>
      </c>
      <c r="G375" t="n">
        <v>1.7</v>
      </c>
      <c r="H375" t="n">
        <v>0</v>
      </c>
      <c r="I375" t="n">
        <v>0</v>
      </c>
      <c r="J375" t="n">
        <v>0</v>
      </c>
      <c r="K375" t="n">
        <v>0</v>
      </c>
      <c r="L375" t="n">
        <v>0</v>
      </c>
      <c r="M375" t="n">
        <v>0</v>
      </c>
      <c r="N375" t="n">
        <v>0</v>
      </c>
      <c r="O375" t="n">
        <v>0</v>
      </c>
      <c r="P375" t="n">
        <v>0</v>
      </c>
      <c r="Q375" t="n">
        <v>0</v>
      </c>
      <c r="R375" s="2" t="inlineStr"/>
    </row>
    <row r="376" ht="15" customHeight="1">
      <c r="A376" t="inlineStr">
        <is>
          <t>A 55875-2024</t>
        </is>
      </c>
      <c r="B376" s="1" t="n">
        <v>45623.55375</v>
      </c>
      <c r="C376" s="1" t="n">
        <v>45895</v>
      </c>
      <c r="D376" t="inlineStr">
        <is>
          <t>ÖREBRO LÄN</t>
        </is>
      </c>
      <c r="E376" t="inlineStr">
        <is>
          <t>ÖREBRO</t>
        </is>
      </c>
      <c r="G376" t="n">
        <v>3.5</v>
      </c>
      <c r="H376" t="n">
        <v>0</v>
      </c>
      <c r="I376" t="n">
        <v>0</v>
      </c>
      <c r="J376" t="n">
        <v>0</v>
      </c>
      <c r="K376" t="n">
        <v>0</v>
      </c>
      <c r="L376" t="n">
        <v>0</v>
      </c>
      <c r="M376" t="n">
        <v>0</v>
      </c>
      <c r="N376" t="n">
        <v>0</v>
      </c>
      <c r="O376" t="n">
        <v>0</v>
      </c>
      <c r="P376" t="n">
        <v>0</v>
      </c>
      <c r="Q376" t="n">
        <v>0</v>
      </c>
      <c r="R376" s="2" t="inlineStr"/>
    </row>
    <row r="377" ht="15" customHeight="1">
      <c r="A377" t="inlineStr">
        <is>
          <t>A 35829-2024</t>
        </is>
      </c>
      <c r="B377" s="1" t="n">
        <v>45532</v>
      </c>
      <c r="C377" s="1" t="n">
        <v>45895</v>
      </c>
      <c r="D377" t="inlineStr">
        <is>
          <t>ÖREBRO LÄN</t>
        </is>
      </c>
      <c r="E377" t="inlineStr">
        <is>
          <t>ÖREBRO</t>
        </is>
      </c>
      <c r="G377" t="n">
        <v>4.6</v>
      </c>
      <c r="H377" t="n">
        <v>0</v>
      </c>
      <c r="I377" t="n">
        <v>0</v>
      </c>
      <c r="J377" t="n">
        <v>0</v>
      </c>
      <c r="K377" t="n">
        <v>0</v>
      </c>
      <c r="L377" t="n">
        <v>0</v>
      </c>
      <c r="M377" t="n">
        <v>0</v>
      </c>
      <c r="N377" t="n">
        <v>0</v>
      </c>
      <c r="O377" t="n">
        <v>0</v>
      </c>
      <c r="P377" t="n">
        <v>0</v>
      </c>
      <c r="Q377" t="n">
        <v>0</v>
      </c>
      <c r="R377" s="2" t="inlineStr"/>
    </row>
    <row r="378" ht="15" customHeight="1">
      <c r="A378" t="inlineStr">
        <is>
          <t>A 35833-2024</t>
        </is>
      </c>
      <c r="B378" s="1" t="n">
        <v>45532.68699074074</v>
      </c>
      <c r="C378" s="1" t="n">
        <v>45895</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23710-2022</t>
        </is>
      </c>
      <c r="B379" s="1" t="n">
        <v>44722</v>
      </c>
      <c r="C379" s="1" t="n">
        <v>45895</v>
      </c>
      <c r="D379" t="inlineStr">
        <is>
          <t>ÖREBRO LÄN</t>
        </is>
      </c>
      <c r="E379" t="inlineStr">
        <is>
          <t>ÖREBRO</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28120-2025</t>
        </is>
      </c>
      <c r="B380" s="1" t="n">
        <v>45818.30459490741</v>
      </c>
      <c r="C380" s="1" t="n">
        <v>45895</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10470-2025</t>
        </is>
      </c>
      <c r="B381" s="1" t="n">
        <v>45720</v>
      </c>
      <c r="C381" s="1" t="n">
        <v>45895</v>
      </c>
      <c r="D381" t="inlineStr">
        <is>
          <t>ÖREBRO LÄN</t>
        </is>
      </c>
      <c r="E381" t="inlineStr">
        <is>
          <t>ÖREBRO</t>
        </is>
      </c>
      <c r="G381" t="n">
        <v>11.5</v>
      </c>
      <c r="H381" t="n">
        <v>0</v>
      </c>
      <c r="I381" t="n">
        <v>0</v>
      </c>
      <c r="J381" t="n">
        <v>0</v>
      </c>
      <c r="K381" t="n">
        <v>0</v>
      </c>
      <c r="L381" t="n">
        <v>0</v>
      </c>
      <c r="M381" t="n">
        <v>0</v>
      </c>
      <c r="N381" t="n">
        <v>0</v>
      </c>
      <c r="O381" t="n">
        <v>0</v>
      </c>
      <c r="P381" t="n">
        <v>0</v>
      </c>
      <c r="Q381" t="n">
        <v>0</v>
      </c>
      <c r="R381" s="2" t="inlineStr"/>
    </row>
    <row r="382" ht="15" customHeight="1">
      <c r="A382" t="inlineStr">
        <is>
          <t>A 46056-2024</t>
        </is>
      </c>
      <c r="B382" s="1" t="n">
        <v>45580.91502314815</v>
      </c>
      <c r="C382" s="1" t="n">
        <v>45895</v>
      </c>
      <c r="D382" t="inlineStr">
        <is>
          <t>ÖREBRO LÄN</t>
        </is>
      </c>
      <c r="E382" t="inlineStr">
        <is>
          <t>ÖREBRO</t>
        </is>
      </c>
      <c r="F382" t="inlineStr">
        <is>
          <t>Övriga Aktiebolag</t>
        </is>
      </c>
      <c r="G382" t="n">
        <v>4.5</v>
      </c>
      <c r="H382" t="n">
        <v>0</v>
      </c>
      <c r="I382" t="n">
        <v>0</v>
      </c>
      <c r="J382" t="n">
        <v>0</v>
      </c>
      <c r="K382" t="n">
        <v>0</v>
      </c>
      <c r="L382" t="n">
        <v>0</v>
      </c>
      <c r="M382" t="n">
        <v>0</v>
      </c>
      <c r="N382" t="n">
        <v>0</v>
      </c>
      <c r="O382" t="n">
        <v>0</v>
      </c>
      <c r="P382" t="n">
        <v>0</v>
      </c>
      <c r="Q382" t="n">
        <v>0</v>
      </c>
      <c r="R382" s="2" t="inlineStr"/>
    </row>
    <row r="383" ht="15" customHeight="1">
      <c r="A383" t="inlineStr">
        <is>
          <t>A 14717-2024</t>
        </is>
      </c>
      <c r="B383" s="1" t="n">
        <v>45397.55104166667</v>
      </c>
      <c r="C383" s="1" t="n">
        <v>45895</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13355-2023</t>
        </is>
      </c>
      <c r="B384" s="1" t="n">
        <v>45004</v>
      </c>
      <c r="C384" s="1" t="n">
        <v>45895</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65257-2023</t>
        </is>
      </c>
      <c r="B385" s="1" t="n">
        <v>45290</v>
      </c>
      <c r="C385" s="1" t="n">
        <v>45895</v>
      </c>
      <c r="D385" t="inlineStr">
        <is>
          <t>ÖREBRO LÄN</t>
        </is>
      </c>
      <c r="E385" t="inlineStr">
        <is>
          <t>ÖREBRO</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6522-2023</t>
        </is>
      </c>
      <c r="B386" s="1" t="n">
        <v>44966</v>
      </c>
      <c r="C386" s="1" t="n">
        <v>45895</v>
      </c>
      <c r="D386" t="inlineStr">
        <is>
          <t>ÖREBRO LÄN</t>
        </is>
      </c>
      <c r="E386" t="inlineStr">
        <is>
          <t>ÖREBRO</t>
        </is>
      </c>
      <c r="G386" t="n">
        <v>4.4</v>
      </c>
      <c r="H386" t="n">
        <v>0</v>
      </c>
      <c r="I386" t="n">
        <v>0</v>
      </c>
      <c r="J386" t="n">
        <v>0</v>
      </c>
      <c r="K386" t="n">
        <v>0</v>
      </c>
      <c r="L386" t="n">
        <v>0</v>
      </c>
      <c r="M386" t="n">
        <v>0</v>
      </c>
      <c r="N386" t="n">
        <v>0</v>
      </c>
      <c r="O386" t="n">
        <v>0</v>
      </c>
      <c r="P386" t="n">
        <v>0</v>
      </c>
      <c r="Q386" t="n">
        <v>0</v>
      </c>
      <c r="R386" s="2" t="inlineStr"/>
    </row>
    <row r="387" ht="15" customHeight="1">
      <c r="A387" t="inlineStr">
        <is>
          <t>A 35637-2025</t>
        </is>
      </c>
      <c r="B387" s="1" t="n">
        <v>45859.46859953704</v>
      </c>
      <c r="C387" s="1" t="n">
        <v>45895</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56040-2024</t>
        </is>
      </c>
      <c r="B388" s="1" t="n">
        <v>45624.3344212963</v>
      </c>
      <c r="C388" s="1" t="n">
        <v>45895</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52444-2024</t>
        </is>
      </c>
      <c r="B389" s="1" t="n">
        <v>45609.48894675926</v>
      </c>
      <c r="C389" s="1" t="n">
        <v>45895</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60128-2023</t>
        </is>
      </c>
      <c r="B390" s="1" t="n">
        <v>45258</v>
      </c>
      <c r="C390" s="1" t="n">
        <v>45895</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16140-2023</t>
        </is>
      </c>
      <c r="B391" s="1" t="n">
        <v>45027.6433912037</v>
      </c>
      <c r="C391" s="1" t="n">
        <v>45895</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5133-2024</t>
        </is>
      </c>
      <c r="B392" s="1" t="n">
        <v>45330</v>
      </c>
      <c r="C392" s="1" t="n">
        <v>45895</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14432-2023</t>
        </is>
      </c>
      <c r="B393" s="1" t="n">
        <v>45012</v>
      </c>
      <c r="C393" s="1" t="n">
        <v>45895</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10339-2023</t>
        </is>
      </c>
      <c r="B394" s="1" t="n">
        <v>44987</v>
      </c>
      <c r="C394" s="1" t="n">
        <v>45895</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190-2024</t>
        </is>
      </c>
      <c r="B395" s="1" t="n">
        <v>45294.61858796296</v>
      </c>
      <c r="C395" s="1" t="n">
        <v>45895</v>
      </c>
      <c r="D395" t="inlineStr">
        <is>
          <t>ÖREBRO LÄN</t>
        </is>
      </c>
      <c r="E395" t="inlineStr">
        <is>
          <t>ÖREBRO</t>
        </is>
      </c>
      <c r="G395" t="n">
        <v>2.4</v>
      </c>
      <c r="H395" t="n">
        <v>0</v>
      </c>
      <c r="I395" t="n">
        <v>0</v>
      </c>
      <c r="J395" t="n">
        <v>0</v>
      </c>
      <c r="K395" t="n">
        <v>0</v>
      </c>
      <c r="L395" t="n">
        <v>0</v>
      </c>
      <c r="M395" t="n">
        <v>0</v>
      </c>
      <c r="N395" t="n">
        <v>0</v>
      </c>
      <c r="O395" t="n">
        <v>0</v>
      </c>
      <c r="P395" t="n">
        <v>0</v>
      </c>
      <c r="Q395" t="n">
        <v>0</v>
      </c>
      <c r="R395" s="2" t="inlineStr"/>
    </row>
    <row r="396" ht="15" customHeight="1">
      <c r="A396" t="inlineStr">
        <is>
          <t>A 28938-2025</t>
        </is>
      </c>
      <c r="B396" s="1" t="n">
        <v>45820.70626157407</v>
      </c>
      <c r="C396" s="1" t="n">
        <v>45895</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28920-2025</t>
        </is>
      </c>
      <c r="B397" s="1" t="n">
        <v>45820.66532407407</v>
      </c>
      <c r="C397" s="1" t="n">
        <v>45895</v>
      </c>
      <c r="D397" t="inlineStr">
        <is>
          <t>ÖREBRO LÄN</t>
        </is>
      </c>
      <c r="E397" t="inlineStr">
        <is>
          <t>ÖREBRO</t>
        </is>
      </c>
      <c r="G397" t="n">
        <v>3</v>
      </c>
      <c r="H397" t="n">
        <v>0</v>
      </c>
      <c r="I397" t="n">
        <v>0</v>
      </c>
      <c r="J397" t="n">
        <v>0</v>
      </c>
      <c r="K397" t="n">
        <v>0</v>
      </c>
      <c r="L397" t="n">
        <v>0</v>
      </c>
      <c r="M397" t="n">
        <v>0</v>
      </c>
      <c r="N397" t="n">
        <v>0</v>
      </c>
      <c r="O397" t="n">
        <v>0</v>
      </c>
      <c r="P397" t="n">
        <v>0</v>
      </c>
      <c r="Q397" t="n">
        <v>0</v>
      </c>
      <c r="R397" s="2" t="inlineStr"/>
    </row>
    <row r="398" ht="15" customHeight="1">
      <c r="A398" t="inlineStr">
        <is>
          <t>A 62497-2023</t>
        </is>
      </c>
      <c r="B398" s="1" t="n">
        <v>45268.59935185185</v>
      </c>
      <c r="C398" s="1" t="n">
        <v>45895</v>
      </c>
      <c r="D398" t="inlineStr">
        <is>
          <t>ÖREBRO LÄN</t>
        </is>
      </c>
      <c r="E398" t="inlineStr">
        <is>
          <t>ÖREBRO</t>
        </is>
      </c>
      <c r="F398" t="inlineStr">
        <is>
          <t>Övriga Aktiebolag</t>
        </is>
      </c>
      <c r="G398" t="n">
        <v>3.2</v>
      </c>
      <c r="H398" t="n">
        <v>0</v>
      </c>
      <c r="I398" t="n">
        <v>0</v>
      </c>
      <c r="J398" t="n">
        <v>0</v>
      </c>
      <c r="K398" t="n">
        <v>0</v>
      </c>
      <c r="L398" t="n">
        <v>0</v>
      </c>
      <c r="M398" t="n">
        <v>0</v>
      </c>
      <c r="N398" t="n">
        <v>0</v>
      </c>
      <c r="O398" t="n">
        <v>0</v>
      </c>
      <c r="P398" t="n">
        <v>0</v>
      </c>
      <c r="Q398" t="n">
        <v>0</v>
      </c>
      <c r="R398" s="2" t="inlineStr"/>
    </row>
    <row r="399" ht="15" customHeight="1">
      <c r="A399" t="inlineStr">
        <is>
          <t>A 6752-2022</t>
        </is>
      </c>
      <c r="B399" s="1" t="n">
        <v>44602.48082175926</v>
      </c>
      <c r="C399" s="1" t="n">
        <v>45895</v>
      </c>
      <c r="D399" t="inlineStr">
        <is>
          <t>ÖREBRO LÄN</t>
        </is>
      </c>
      <c r="E399" t="inlineStr">
        <is>
          <t>ÖREBRO</t>
        </is>
      </c>
      <c r="G399" t="n">
        <v>3.1</v>
      </c>
      <c r="H399" t="n">
        <v>0</v>
      </c>
      <c r="I399" t="n">
        <v>0</v>
      </c>
      <c r="J399" t="n">
        <v>0</v>
      </c>
      <c r="K399" t="n">
        <v>0</v>
      </c>
      <c r="L399" t="n">
        <v>0</v>
      </c>
      <c r="M399" t="n">
        <v>0</v>
      </c>
      <c r="N399" t="n">
        <v>0</v>
      </c>
      <c r="O399" t="n">
        <v>0</v>
      </c>
      <c r="P399" t="n">
        <v>0</v>
      </c>
      <c r="Q399" t="n">
        <v>0</v>
      </c>
      <c r="R399" s="2" t="inlineStr"/>
    </row>
    <row r="400" ht="15" customHeight="1">
      <c r="A400" t="inlineStr">
        <is>
          <t>A 43399-2022</t>
        </is>
      </c>
      <c r="B400" s="1" t="n">
        <v>44834</v>
      </c>
      <c r="C400" s="1" t="n">
        <v>45895</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29286-2025</t>
        </is>
      </c>
      <c r="B401" s="1" t="n">
        <v>45824.43502314815</v>
      </c>
      <c r="C401" s="1" t="n">
        <v>45895</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35928-2025</t>
        </is>
      </c>
      <c r="B402" s="1" t="n">
        <v>45862</v>
      </c>
      <c r="C402" s="1" t="n">
        <v>45895</v>
      </c>
      <c r="D402" t="inlineStr">
        <is>
          <t>ÖREBRO LÄN</t>
        </is>
      </c>
      <c r="E402" t="inlineStr">
        <is>
          <t>ÖREBRO</t>
        </is>
      </c>
      <c r="G402" t="n">
        <v>4.4</v>
      </c>
      <c r="H402" t="n">
        <v>0</v>
      </c>
      <c r="I402" t="n">
        <v>0</v>
      </c>
      <c r="J402" t="n">
        <v>0</v>
      </c>
      <c r="K402" t="n">
        <v>0</v>
      </c>
      <c r="L402" t="n">
        <v>0</v>
      </c>
      <c r="M402" t="n">
        <v>0</v>
      </c>
      <c r="N402" t="n">
        <v>0</v>
      </c>
      <c r="O402" t="n">
        <v>0</v>
      </c>
      <c r="P402" t="n">
        <v>0</v>
      </c>
      <c r="Q402" t="n">
        <v>0</v>
      </c>
      <c r="R402" s="2" t="inlineStr"/>
    </row>
    <row r="403" ht="15" customHeight="1">
      <c r="A403" t="inlineStr">
        <is>
          <t>A 34056-2023</t>
        </is>
      </c>
      <c r="B403" s="1" t="n">
        <v>45135</v>
      </c>
      <c r="C403" s="1" t="n">
        <v>45895</v>
      </c>
      <c r="D403" t="inlineStr">
        <is>
          <t>ÖREBRO LÄN</t>
        </is>
      </c>
      <c r="E403" t="inlineStr">
        <is>
          <t>ÖREBRO</t>
        </is>
      </c>
      <c r="F403" t="inlineStr">
        <is>
          <t>Övriga Aktiebolag</t>
        </is>
      </c>
      <c r="G403" t="n">
        <v>4.1</v>
      </c>
      <c r="H403" t="n">
        <v>0</v>
      </c>
      <c r="I403" t="n">
        <v>0</v>
      </c>
      <c r="J403" t="n">
        <v>0</v>
      </c>
      <c r="K403" t="n">
        <v>0</v>
      </c>
      <c r="L403" t="n">
        <v>0</v>
      </c>
      <c r="M403" t="n">
        <v>0</v>
      </c>
      <c r="N403" t="n">
        <v>0</v>
      </c>
      <c r="O403" t="n">
        <v>0</v>
      </c>
      <c r="P403" t="n">
        <v>0</v>
      </c>
      <c r="Q403" t="n">
        <v>0</v>
      </c>
      <c r="R403" s="2" t="inlineStr"/>
    </row>
    <row r="404" ht="15" customHeight="1">
      <c r="A404" t="inlineStr">
        <is>
          <t>A 33457-2023</t>
        </is>
      </c>
      <c r="B404" s="1" t="n">
        <v>45131</v>
      </c>
      <c r="C404" s="1" t="n">
        <v>45895</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45237-2023</t>
        </is>
      </c>
      <c r="B405" s="1" t="n">
        <v>45191</v>
      </c>
      <c r="C405" s="1" t="n">
        <v>45895</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5946-2021</t>
        </is>
      </c>
      <c r="B406" s="1" t="n">
        <v>44230</v>
      </c>
      <c r="C406" s="1" t="n">
        <v>45895</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51180-2023</t>
        </is>
      </c>
      <c r="B407" s="1" t="n">
        <v>45219</v>
      </c>
      <c r="C407" s="1" t="n">
        <v>45895</v>
      </c>
      <c r="D407" t="inlineStr">
        <is>
          <t>ÖREBRO LÄN</t>
        </is>
      </c>
      <c r="E407" t="inlineStr">
        <is>
          <t>ÖREBRO</t>
        </is>
      </c>
      <c r="G407" t="n">
        <v>6.5</v>
      </c>
      <c r="H407" t="n">
        <v>0</v>
      </c>
      <c r="I407" t="n">
        <v>0</v>
      </c>
      <c r="J407" t="n">
        <v>0</v>
      </c>
      <c r="K407" t="n">
        <v>0</v>
      </c>
      <c r="L407" t="n">
        <v>0</v>
      </c>
      <c r="M407" t="n">
        <v>0</v>
      </c>
      <c r="N407" t="n">
        <v>0</v>
      </c>
      <c r="O407" t="n">
        <v>0</v>
      </c>
      <c r="P407" t="n">
        <v>0</v>
      </c>
      <c r="Q407" t="n">
        <v>0</v>
      </c>
      <c r="R407" s="2" t="inlineStr"/>
    </row>
    <row r="408" ht="15" customHeight="1">
      <c r="A408" t="inlineStr">
        <is>
          <t>A 29339-2025</t>
        </is>
      </c>
      <c r="B408" s="1" t="n">
        <v>45824.5044212963</v>
      </c>
      <c r="C408" s="1" t="n">
        <v>45895</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63142-2023</t>
        </is>
      </c>
      <c r="B409" s="1" t="n">
        <v>45273</v>
      </c>
      <c r="C409" s="1" t="n">
        <v>45895</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60028-2024</t>
        </is>
      </c>
      <c r="B410" s="1" t="n">
        <v>45642</v>
      </c>
      <c r="C410" s="1" t="n">
        <v>45895</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33294-2023</t>
        </is>
      </c>
      <c r="B411" s="1" t="n">
        <v>45127</v>
      </c>
      <c r="C411" s="1" t="n">
        <v>45895</v>
      </c>
      <c r="D411" t="inlineStr">
        <is>
          <t>ÖREBRO LÄN</t>
        </is>
      </c>
      <c r="E411" t="inlineStr">
        <is>
          <t>ÖREBRO</t>
        </is>
      </c>
      <c r="F411" t="inlineStr">
        <is>
          <t>Övriga Aktiebolag</t>
        </is>
      </c>
      <c r="G411" t="n">
        <v>6.7</v>
      </c>
      <c r="H411" t="n">
        <v>0</v>
      </c>
      <c r="I411" t="n">
        <v>0</v>
      </c>
      <c r="J411" t="n">
        <v>0</v>
      </c>
      <c r="K411" t="n">
        <v>0</v>
      </c>
      <c r="L411" t="n">
        <v>0</v>
      </c>
      <c r="M411" t="n">
        <v>0</v>
      </c>
      <c r="N411" t="n">
        <v>0</v>
      </c>
      <c r="O411" t="n">
        <v>0</v>
      </c>
      <c r="P411" t="n">
        <v>0</v>
      </c>
      <c r="Q411" t="n">
        <v>0</v>
      </c>
      <c r="R411" s="2" t="inlineStr"/>
    </row>
    <row r="412" ht="15" customHeight="1">
      <c r="A412" t="inlineStr">
        <is>
          <t>A 37021-2024</t>
        </is>
      </c>
      <c r="B412" s="1" t="n">
        <v>45539.38146990741</v>
      </c>
      <c r="C412" s="1" t="n">
        <v>45895</v>
      </c>
      <c r="D412" t="inlineStr">
        <is>
          <t>ÖREBRO LÄN</t>
        </is>
      </c>
      <c r="E412" t="inlineStr">
        <is>
          <t>ÖREBRO</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23573-2023</t>
        </is>
      </c>
      <c r="B413" s="1" t="n">
        <v>45077.41672453703</v>
      </c>
      <c r="C413" s="1" t="n">
        <v>45895</v>
      </c>
      <c r="D413" t="inlineStr">
        <is>
          <t>ÖREBRO LÄN</t>
        </is>
      </c>
      <c r="E413" t="inlineStr">
        <is>
          <t>ÖREBRO</t>
        </is>
      </c>
      <c r="G413" t="n">
        <v>2.9</v>
      </c>
      <c r="H413" t="n">
        <v>0</v>
      </c>
      <c r="I413" t="n">
        <v>0</v>
      </c>
      <c r="J413" t="n">
        <v>0</v>
      </c>
      <c r="K413" t="n">
        <v>0</v>
      </c>
      <c r="L413" t="n">
        <v>0</v>
      </c>
      <c r="M413" t="n">
        <v>0</v>
      </c>
      <c r="N413" t="n">
        <v>0</v>
      </c>
      <c r="O413" t="n">
        <v>0</v>
      </c>
      <c r="P413" t="n">
        <v>0</v>
      </c>
      <c r="Q413" t="n">
        <v>0</v>
      </c>
      <c r="R413" s="2" t="inlineStr"/>
    </row>
    <row r="414" ht="15" customHeight="1">
      <c r="A414" t="inlineStr">
        <is>
          <t>A 13762-2023</t>
        </is>
      </c>
      <c r="B414" s="1" t="n">
        <v>45007.43729166667</v>
      </c>
      <c r="C414" s="1" t="n">
        <v>45895</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45258.38157407408</v>
      </c>
      <c r="C415" s="1" t="n">
        <v>45895</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13857-2022</t>
        </is>
      </c>
      <c r="B416" s="1" t="n">
        <v>44649</v>
      </c>
      <c r="C416" s="1" t="n">
        <v>45895</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61078-2024</t>
        </is>
      </c>
      <c r="B417" s="1" t="n">
        <v>45645.51034722223</v>
      </c>
      <c r="C417" s="1" t="n">
        <v>45895</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5129-2024</t>
        </is>
      </c>
      <c r="B418" s="1" t="n">
        <v>45330</v>
      </c>
      <c r="C418" s="1" t="n">
        <v>45895</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26858-2024</t>
        </is>
      </c>
      <c r="B419" s="1" t="n">
        <v>45470</v>
      </c>
      <c r="C419" s="1" t="n">
        <v>45895</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12871-2021</t>
        </is>
      </c>
      <c r="B420" s="1" t="n">
        <v>44271.42121527778</v>
      </c>
      <c r="C420" s="1" t="n">
        <v>45895</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13158-2024</t>
        </is>
      </c>
      <c r="B421" s="1" t="n">
        <v>45386.38728009259</v>
      </c>
      <c r="C421" s="1" t="n">
        <v>45895</v>
      </c>
      <c r="D421" t="inlineStr">
        <is>
          <t>ÖREBRO LÄN</t>
        </is>
      </c>
      <c r="E421" t="inlineStr">
        <is>
          <t>ÖREBRO</t>
        </is>
      </c>
      <c r="G421" t="n">
        <v>1.8</v>
      </c>
      <c r="H421" t="n">
        <v>0</v>
      </c>
      <c r="I421" t="n">
        <v>0</v>
      </c>
      <c r="J421" t="n">
        <v>0</v>
      </c>
      <c r="K421" t="n">
        <v>0</v>
      </c>
      <c r="L421" t="n">
        <v>0</v>
      </c>
      <c r="M421" t="n">
        <v>0</v>
      </c>
      <c r="N421" t="n">
        <v>0</v>
      </c>
      <c r="O421" t="n">
        <v>0</v>
      </c>
      <c r="P421" t="n">
        <v>0</v>
      </c>
      <c r="Q421" t="n">
        <v>0</v>
      </c>
      <c r="R421" s="2" t="inlineStr"/>
    </row>
    <row r="422" ht="15" customHeight="1">
      <c r="A422" t="inlineStr">
        <is>
          <t>A 13181-2023</t>
        </is>
      </c>
      <c r="B422" s="1" t="n">
        <v>45002.60659722222</v>
      </c>
      <c r="C422" s="1" t="n">
        <v>45895</v>
      </c>
      <c r="D422" t="inlineStr">
        <is>
          <t>ÖREBRO LÄN</t>
        </is>
      </c>
      <c r="E422" t="inlineStr">
        <is>
          <t>ÖREBRO</t>
        </is>
      </c>
      <c r="G422" t="n">
        <v>1.2</v>
      </c>
      <c r="H422" t="n">
        <v>0</v>
      </c>
      <c r="I422" t="n">
        <v>0</v>
      </c>
      <c r="J422" t="n">
        <v>0</v>
      </c>
      <c r="K422" t="n">
        <v>0</v>
      </c>
      <c r="L422" t="n">
        <v>0</v>
      </c>
      <c r="M422" t="n">
        <v>0</v>
      </c>
      <c r="N422" t="n">
        <v>0</v>
      </c>
      <c r="O422" t="n">
        <v>0</v>
      </c>
      <c r="P422" t="n">
        <v>0</v>
      </c>
      <c r="Q422" t="n">
        <v>0</v>
      </c>
      <c r="R422" s="2" t="inlineStr"/>
    </row>
    <row r="423" ht="15" customHeight="1">
      <c r="A423" t="inlineStr">
        <is>
          <t>A 25996-2024</t>
        </is>
      </c>
      <c r="B423" s="1" t="n">
        <v>45467.89081018518</v>
      </c>
      <c r="C423" s="1" t="n">
        <v>45895</v>
      </c>
      <c r="D423" t="inlineStr">
        <is>
          <t>ÖREBRO LÄN</t>
        </is>
      </c>
      <c r="E423" t="inlineStr">
        <is>
          <t>ÖREBRO</t>
        </is>
      </c>
      <c r="G423" t="n">
        <v>4.7</v>
      </c>
      <c r="H423" t="n">
        <v>0</v>
      </c>
      <c r="I423" t="n">
        <v>0</v>
      </c>
      <c r="J423" t="n">
        <v>0</v>
      </c>
      <c r="K423" t="n">
        <v>0</v>
      </c>
      <c r="L423" t="n">
        <v>0</v>
      </c>
      <c r="M423" t="n">
        <v>0</v>
      </c>
      <c r="N423" t="n">
        <v>0</v>
      </c>
      <c r="O423" t="n">
        <v>0</v>
      </c>
      <c r="P423" t="n">
        <v>0</v>
      </c>
      <c r="Q423" t="n">
        <v>0</v>
      </c>
      <c r="R423" s="2" t="inlineStr"/>
    </row>
    <row r="424" ht="15" customHeight="1">
      <c r="A424" t="inlineStr">
        <is>
          <t>A 1492-2022</t>
        </is>
      </c>
      <c r="B424" s="1" t="n">
        <v>44573</v>
      </c>
      <c r="C424" s="1" t="n">
        <v>45895</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16676-2025</t>
        </is>
      </c>
      <c r="B425" s="1" t="n">
        <v>45754.44658564815</v>
      </c>
      <c r="C425" s="1" t="n">
        <v>45895</v>
      </c>
      <c r="D425" t="inlineStr">
        <is>
          <t>ÖREBRO LÄN</t>
        </is>
      </c>
      <c r="E425" t="inlineStr">
        <is>
          <t>ÖREBRO</t>
        </is>
      </c>
      <c r="G425" t="n">
        <v>5.8</v>
      </c>
      <c r="H425" t="n">
        <v>0</v>
      </c>
      <c r="I425" t="n">
        <v>0</v>
      </c>
      <c r="J425" t="n">
        <v>0</v>
      </c>
      <c r="K425" t="n">
        <v>0</v>
      </c>
      <c r="L425" t="n">
        <v>0</v>
      </c>
      <c r="M425" t="n">
        <v>0</v>
      </c>
      <c r="N425" t="n">
        <v>0</v>
      </c>
      <c r="O425" t="n">
        <v>0</v>
      </c>
      <c r="P425" t="n">
        <v>0</v>
      </c>
      <c r="Q425" t="n">
        <v>0</v>
      </c>
      <c r="R425" s="2" t="inlineStr"/>
    </row>
    <row r="426" ht="15" customHeight="1">
      <c r="A426" t="inlineStr">
        <is>
          <t>A 23741-2022</t>
        </is>
      </c>
      <c r="B426" s="1" t="n">
        <v>44722</v>
      </c>
      <c r="C426" s="1" t="n">
        <v>45895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59026-2024</t>
        </is>
      </c>
      <c r="B427" s="1" t="n">
        <v>45636.6875</v>
      </c>
      <c r="C427" s="1" t="n">
        <v>45895</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8274-2025</t>
        </is>
      </c>
      <c r="B428" s="1" t="n">
        <v>45708</v>
      </c>
      <c r="C428" s="1" t="n">
        <v>45895</v>
      </c>
      <c r="D428" t="inlineStr">
        <is>
          <t>ÖREBRO LÄN</t>
        </is>
      </c>
      <c r="E428" t="inlineStr">
        <is>
          <t>ÖREBRO</t>
        </is>
      </c>
      <c r="G428" t="n">
        <v>5.8</v>
      </c>
      <c r="H428" t="n">
        <v>0</v>
      </c>
      <c r="I428" t="n">
        <v>0</v>
      </c>
      <c r="J428" t="n">
        <v>0</v>
      </c>
      <c r="K428" t="n">
        <v>0</v>
      </c>
      <c r="L428" t="n">
        <v>0</v>
      </c>
      <c r="M428" t="n">
        <v>0</v>
      </c>
      <c r="N428" t="n">
        <v>0</v>
      </c>
      <c r="O428" t="n">
        <v>0</v>
      </c>
      <c r="P428" t="n">
        <v>0</v>
      </c>
      <c r="Q428" t="n">
        <v>0</v>
      </c>
      <c r="R428" s="2" t="inlineStr"/>
    </row>
    <row r="429" ht="15" customHeight="1">
      <c r="A429" t="inlineStr">
        <is>
          <t>A 58620-2024</t>
        </is>
      </c>
      <c r="B429" s="1" t="n">
        <v>45635.56246527778</v>
      </c>
      <c r="C429" s="1" t="n">
        <v>45895</v>
      </c>
      <c r="D429" t="inlineStr">
        <is>
          <t>ÖREBRO LÄN</t>
        </is>
      </c>
      <c r="E429" t="inlineStr">
        <is>
          <t>ÖREBRO</t>
        </is>
      </c>
      <c r="F429" t="inlineStr">
        <is>
          <t>Sveaskog</t>
        </is>
      </c>
      <c r="G429" t="n">
        <v>4.5</v>
      </c>
      <c r="H429" t="n">
        <v>0</v>
      </c>
      <c r="I429" t="n">
        <v>0</v>
      </c>
      <c r="J429" t="n">
        <v>0</v>
      </c>
      <c r="K429" t="n">
        <v>0</v>
      </c>
      <c r="L429" t="n">
        <v>0</v>
      </c>
      <c r="M429" t="n">
        <v>0</v>
      </c>
      <c r="N429" t="n">
        <v>0</v>
      </c>
      <c r="O429" t="n">
        <v>0</v>
      </c>
      <c r="P429" t="n">
        <v>0</v>
      </c>
      <c r="Q429" t="n">
        <v>0</v>
      </c>
      <c r="R429" s="2" t="inlineStr"/>
    </row>
    <row r="430" ht="15" customHeight="1">
      <c r="A430" t="inlineStr">
        <is>
          <t>A 29701-2025</t>
        </is>
      </c>
      <c r="B430" s="1" t="n">
        <v>45825.55261574074</v>
      </c>
      <c r="C430" s="1" t="n">
        <v>45895</v>
      </c>
      <c r="D430" t="inlineStr">
        <is>
          <t>ÖREBRO LÄN</t>
        </is>
      </c>
      <c r="E430" t="inlineStr">
        <is>
          <t>ÖREBRO</t>
        </is>
      </c>
      <c r="G430" t="n">
        <v>5.8</v>
      </c>
      <c r="H430" t="n">
        <v>0</v>
      </c>
      <c r="I430" t="n">
        <v>0</v>
      </c>
      <c r="J430" t="n">
        <v>0</v>
      </c>
      <c r="K430" t="n">
        <v>0</v>
      </c>
      <c r="L430" t="n">
        <v>0</v>
      </c>
      <c r="M430" t="n">
        <v>0</v>
      </c>
      <c r="N430" t="n">
        <v>0</v>
      </c>
      <c r="O430" t="n">
        <v>0</v>
      </c>
      <c r="P430" t="n">
        <v>0</v>
      </c>
      <c r="Q430" t="n">
        <v>0</v>
      </c>
      <c r="R430" s="2" t="inlineStr"/>
    </row>
    <row r="431" ht="15" customHeight="1">
      <c r="A431" t="inlineStr">
        <is>
          <t>A 52623-2024</t>
        </is>
      </c>
      <c r="B431" s="1" t="n">
        <v>45609</v>
      </c>
      <c r="C431" s="1" t="n">
        <v>45895</v>
      </c>
      <c r="D431" t="inlineStr">
        <is>
          <t>ÖREBRO LÄN</t>
        </is>
      </c>
      <c r="E431" t="inlineStr">
        <is>
          <t>ÖREBRO</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29554-2025</t>
        </is>
      </c>
      <c r="B432" s="1" t="n">
        <v>45825</v>
      </c>
      <c r="C432" s="1" t="n">
        <v>45895</v>
      </c>
      <c r="D432" t="inlineStr">
        <is>
          <t>ÖREBRO LÄN</t>
        </is>
      </c>
      <c r="E432" t="inlineStr">
        <is>
          <t>ÖREBRO</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62511-2023</t>
        </is>
      </c>
      <c r="B433" s="1" t="n">
        <v>45268.61855324074</v>
      </c>
      <c r="C433" s="1" t="n">
        <v>45895</v>
      </c>
      <c r="D433" t="inlineStr">
        <is>
          <t>ÖREBRO LÄN</t>
        </is>
      </c>
      <c r="E433" t="inlineStr">
        <is>
          <t>ÖREBRO</t>
        </is>
      </c>
      <c r="F433" t="inlineStr">
        <is>
          <t>Övriga Aktiebolag</t>
        </is>
      </c>
      <c r="G433" t="n">
        <v>3.6</v>
      </c>
      <c r="H433" t="n">
        <v>0</v>
      </c>
      <c r="I433" t="n">
        <v>0</v>
      </c>
      <c r="J433" t="n">
        <v>0</v>
      </c>
      <c r="K433" t="n">
        <v>0</v>
      </c>
      <c r="L433" t="n">
        <v>0</v>
      </c>
      <c r="M433" t="n">
        <v>0</v>
      </c>
      <c r="N433" t="n">
        <v>0</v>
      </c>
      <c r="O433" t="n">
        <v>0</v>
      </c>
      <c r="P433" t="n">
        <v>0</v>
      </c>
      <c r="Q433" t="n">
        <v>0</v>
      </c>
      <c r="R433" s="2" t="inlineStr"/>
    </row>
    <row r="434" ht="15" customHeight="1">
      <c r="A434" t="inlineStr">
        <is>
          <t>A 48644-2024</t>
        </is>
      </c>
      <c r="B434" s="1" t="n">
        <v>45593.47466435185</v>
      </c>
      <c r="C434" s="1" t="n">
        <v>45895</v>
      </c>
      <c r="D434" t="inlineStr">
        <is>
          <t>ÖREBRO LÄN</t>
        </is>
      </c>
      <c r="E434" t="inlineStr">
        <is>
          <t>ÖREBRO</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36448-2025</t>
        </is>
      </c>
      <c r="B435" s="1" t="n">
        <v>45869.41929398148</v>
      </c>
      <c r="C435" s="1" t="n">
        <v>45895</v>
      </c>
      <c r="D435" t="inlineStr">
        <is>
          <t>ÖREBRO LÄN</t>
        </is>
      </c>
      <c r="E435" t="inlineStr">
        <is>
          <t>ÖREBRO</t>
        </is>
      </c>
      <c r="F435" t="inlineStr">
        <is>
          <t>Övriga Aktiebolag</t>
        </is>
      </c>
      <c r="G435" t="n">
        <v>4.3</v>
      </c>
      <c r="H435" t="n">
        <v>0</v>
      </c>
      <c r="I435" t="n">
        <v>0</v>
      </c>
      <c r="J435" t="n">
        <v>0</v>
      </c>
      <c r="K435" t="n">
        <v>0</v>
      </c>
      <c r="L435" t="n">
        <v>0</v>
      </c>
      <c r="M435" t="n">
        <v>0</v>
      </c>
      <c r="N435" t="n">
        <v>0</v>
      </c>
      <c r="O435" t="n">
        <v>0</v>
      </c>
      <c r="P435" t="n">
        <v>0</v>
      </c>
      <c r="Q435" t="n">
        <v>0</v>
      </c>
      <c r="R435" s="2" t="inlineStr"/>
    </row>
    <row r="436" ht="15" customHeight="1">
      <c r="A436" t="inlineStr">
        <is>
          <t>A 7141-2025</t>
        </is>
      </c>
      <c r="B436" s="1" t="n">
        <v>45702</v>
      </c>
      <c r="C436" s="1" t="n">
        <v>45895</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59024-2024</t>
        </is>
      </c>
      <c r="B437" s="1" t="n">
        <v>45636.68505787037</v>
      </c>
      <c r="C437" s="1" t="n">
        <v>45895</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36447-2025</t>
        </is>
      </c>
      <c r="B438" s="1" t="n">
        <v>45869.41387731482</v>
      </c>
      <c r="C438" s="1" t="n">
        <v>45895</v>
      </c>
      <c r="D438" t="inlineStr">
        <is>
          <t>ÖREBRO LÄN</t>
        </is>
      </c>
      <c r="E438" t="inlineStr">
        <is>
          <t>ÖREBRO</t>
        </is>
      </c>
      <c r="F438" t="inlineStr">
        <is>
          <t>Övriga Aktiebolag</t>
        </is>
      </c>
      <c r="G438" t="n">
        <v>12.6</v>
      </c>
      <c r="H438" t="n">
        <v>0</v>
      </c>
      <c r="I438" t="n">
        <v>0</v>
      </c>
      <c r="J438" t="n">
        <v>0</v>
      </c>
      <c r="K438" t="n">
        <v>0</v>
      </c>
      <c r="L438" t="n">
        <v>0</v>
      </c>
      <c r="M438" t="n">
        <v>0</v>
      </c>
      <c r="N438" t="n">
        <v>0</v>
      </c>
      <c r="O438" t="n">
        <v>0</v>
      </c>
      <c r="P438" t="n">
        <v>0</v>
      </c>
      <c r="Q438" t="n">
        <v>0</v>
      </c>
      <c r="R438" s="2" t="inlineStr"/>
    </row>
    <row r="439" ht="15" customHeight="1">
      <c r="A439" t="inlineStr">
        <is>
          <t>A 13657-2025</t>
        </is>
      </c>
      <c r="B439" s="1" t="n">
        <v>45736.7427662037</v>
      </c>
      <c r="C439" s="1" t="n">
        <v>45895</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57867-2024</t>
        </is>
      </c>
      <c r="B440" s="1" t="n">
        <v>45631.43864583333</v>
      </c>
      <c r="C440" s="1" t="n">
        <v>45895</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29138-2022</t>
        </is>
      </c>
      <c r="B441" s="1" t="n">
        <v>44750</v>
      </c>
      <c r="C441" s="1" t="n">
        <v>45895</v>
      </c>
      <c r="D441" t="inlineStr">
        <is>
          <t>ÖREBRO LÄN</t>
        </is>
      </c>
      <c r="E441" t="inlineStr">
        <is>
          <t>ÖREBRO</t>
        </is>
      </c>
      <c r="G441" t="n">
        <v>3.3</v>
      </c>
      <c r="H441" t="n">
        <v>0</v>
      </c>
      <c r="I441" t="n">
        <v>0</v>
      </c>
      <c r="J441" t="n">
        <v>0</v>
      </c>
      <c r="K441" t="n">
        <v>0</v>
      </c>
      <c r="L441" t="n">
        <v>0</v>
      </c>
      <c r="M441" t="n">
        <v>0</v>
      </c>
      <c r="N441" t="n">
        <v>0</v>
      </c>
      <c r="O441" t="n">
        <v>0</v>
      </c>
      <c r="P441" t="n">
        <v>0</v>
      </c>
      <c r="Q441" t="n">
        <v>0</v>
      </c>
      <c r="R441" s="2" t="inlineStr"/>
    </row>
    <row r="442" ht="15" customHeight="1">
      <c r="A442" t="inlineStr">
        <is>
          <t>A 29143-2022</t>
        </is>
      </c>
      <c r="B442" s="1" t="n">
        <v>44750</v>
      </c>
      <c r="C442" s="1" t="n">
        <v>45895</v>
      </c>
      <c r="D442" t="inlineStr">
        <is>
          <t>ÖREBRO LÄN</t>
        </is>
      </c>
      <c r="E442" t="inlineStr">
        <is>
          <t>ÖREBRO</t>
        </is>
      </c>
      <c r="G442" t="n">
        <v>5.6</v>
      </c>
      <c r="H442" t="n">
        <v>0</v>
      </c>
      <c r="I442" t="n">
        <v>0</v>
      </c>
      <c r="J442" t="n">
        <v>0</v>
      </c>
      <c r="K442" t="n">
        <v>0</v>
      </c>
      <c r="L442" t="n">
        <v>0</v>
      </c>
      <c r="M442" t="n">
        <v>0</v>
      </c>
      <c r="N442" t="n">
        <v>0</v>
      </c>
      <c r="O442" t="n">
        <v>0</v>
      </c>
      <c r="P442" t="n">
        <v>0</v>
      </c>
      <c r="Q442" t="n">
        <v>0</v>
      </c>
      <c r="R442" s="2" t="inlineStr"/>
    </row>
    <row r="443" ht="15" customHeight="1">
      <c r="A443" t="inlineStr">
        <is>
          <t>A 40522-2024</t>
        </is>
      </c>
      <c r="B443" s="1" t="n">
        <v>45555.59717592593</v>
      </c>
      <c r="C443" s="1" t="n">
        <v>45895</v>
      </c>
      <c r="D443" t="inlineStr">
        <is>
          <t>ÖREBRO LÄN</t>
        </is>
      </c>
      <c r="E443" t="inlineStr">
        <is>
          <t>ÖREBRO</t>
        </is>
      </c>
      <c r="G443" t="n">
        <v>5.1</v>
      </c>
      <c r="H443" t="n">
        <v>0</v>
      </c>
      <c r="I443" t="n">
        <v>0</v>
      </c>
      <c r="J443" t="n">
        <v>0</v>
      </c>
      <c r="K443" t="n">
        <v>0</v>
      </c>
      <c r="L443" t="n">
        <v>0</v>
      </c>
      <c r="M443" t="n">
        <v>0</v>
      </c>
      <c r="N443" t="n">
        <v>0</v>
      </c>
      <c r="O443" t="n">
        <v>0</v>
      </c>
      <c r="P443" t="n">
        <v>0</v>
      </c>
      <c r="Q443" t="n">
        <v>0</v>
      </c>
      <c r="R443" s="2" t="inlineStr"/>
    </row>
    <row r="444" ht="15" customHeight="1">
      <c r="A444" t="inlineStr">
        <is>
          <t>A 30550-2025</t>
        </is>
      </c>
      <c r="B444" s="1" t="n">
        <v>45831.38224537037</v>
      </c>
      <c r="C444" s="1" t="n">
        <v>45895</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45895</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30731-2025</t>
        </is>
      </c>
      <c r="B446" s="1" t="n">
        <v>45831.57280092593</v>
      </c>
      <c r="C446" s="1" t="n">
        <v>45895</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3120-2022</t>
        </is>
      </c>
      <c r="B447" s="1" t="n">
        <v>44582</v>
      </c>
      <c r="C447" s="1" t="n">
        <v>45895</v>
      </c>
      <c r="D447" t="inlineStr">
        <is>
          <t>ÖREBRO LÄN</t>
        </is>
      </c>
      <c r="E447" t="inlineStr">
        <is>
          <t>ÖREBRO</t>
        </is>
      </c>
      <c r="G447" t="n">
        <v>0.6</v>
      </c>
      <c r="H447" t="n">
        <v>0</v>
      </c>
      <c r="I447" t="n">
        <v>0</v>
      </c>
      <c r="J447" t="n">
        <v>0</v>
      </c>
      <c r="K447" t="n">
        <v>0</v>
      </c>
      <c r="L447" t="n">
        <v>0</v>
      </c>
      <c r="M447" t="n">
        <v>0</v>
      </c>
      <c r="N447" t="n">
        <v>0</v>
      </c>
      <c r="O447" t="n">
        <v>0</v>
      </c>
      <c r="P447" t="n">
        <v>0</v>
      </c>
      <c r="Q447" t="n">
        <v>0</v>
      </c>
      <c r="R447" s="2" t="inlineStr"/>
    </row>
    <row r="448" ht="15" customHeight="1">
      <c r="A448" t="inlineStr">
        <is>
          <t>A 58606-2024</t>
        </is>
      </c>
      <c r="B448" s="1" t="n">
        <v>45635.54747685185</v>
      </c>
      <c r="C448" s="1" t="n">
        <v>45895</v>
      </c>
      <c r="D448" t="inlineStr">
        <is>
          <t>ÖREBRO LÄN</t>
        </is>
      </c>
      <c r="E448" t="inlineStr">
        <is>
          <t>ÖREBRO</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18550-2025</t>
        </is>
      </c>
      <c r="B449" s="1" t="n">
        <v>45763.43422453704</v>
      </c>
      <c r="C449" s="1" t="n">
        <v>45895</v>
      </c>
      <c r="D449" t="inlineStr">
        <is>
          <t>ÖREBRO LÄN</t>
        </is>
      </c>
      <c r="E449" t="inlineStr">
        <is>
          <t>ÖREBRO</t>
        </is>
      </c>
      <c r="G449" t="n">
        <v>11.5</v>
      </c>
      <c r="H449" t="n">
        <v>0</v>
      </c>
      <c r="I449" t="n">
        <v>0</v>
      </c>
      <c r="J449" t="n">
        <v>0</v>
      </c>
      <c r="K449" t="n">
        <v>0</v>
      </c>
      <c r="L449" t="n">
        <v>0</v>
      </c>
      <c r="M449" t="n">
        <v>0</v>
      </c>
      <c r="N449" t="n">
        <v>0</v>
      </c>
      <c r="O449" t="n">
        <v>0</v>
      </c>
      <c r="P449" t="n">
        <v>0</v>
      </c>
      <c r="Q449" t="n">
        <v>0</v>
      </c>
      <c r="R449" s="2" t="inlineStr"/>
    </row>
    <row r="450" ht="15" customHeight="1">
      <c r="A450" t="inlineStr">
        <is>
          <t>A 30951-2025</t>
        </is>
      </c>
      <c r="B450" s="1" t="n">
        <v>45832.43225694444</v>
      </c>
      <c r="C450" s="1" t="n">
        <v>45895</v>
      </c>
      <c r="D450" t="inlineStr">
        <is>
          <t>ÖREBRO LÄN</t>
        </is>
      </c>
      <c r="E450" t="inlineStr">
        <is>
          <t>ÖREBRO</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26101-2022</t>
        </is>
      </c>
      <c r="B451" s="1" t="n">
        <v>44734</v>
      </c>
      <c r="C451" s="1" t="n">
        <v>45895</v>
      </c>
      <c r="D451" t="inlineStr">
        <is>
          <t>ÖREBRO LÄN</t>
        </is>
      </c>
      <c r="E451" t="inlineStr">
        <is>
          <t>ÖREBRO</t>
        </is>
      </c>
      <c r="G451" t="n">
        <v>15.8</v>
      </c>
      <c r="H451" t="n">
        <v>0</v>
      </c>
      <c r="I451" t="n">
        <v>0</v>
      </c>
      <c r="J451" t="n">
        <v>0</v>
      </c>
      <c r="K451" t="n">
        <v>0</v>
      </c>
      <c r="L451" t="n">
        <v>0</v>
      </c>
      <c r="M451" t="n">
        <v>0</v>
      </c>
      <c r="N451" t="n">
        <v>0</v>
      </c>
      <c r="O451" t="n">
        <v>0</v>
      </c>
      <c r="P451" t="n">
        <v>0</v>
      </c>
      <c r="Q451" t="n">
        <v>0</v>
      </c>
      <c r="R451" s="2" t="inlineStr"/>
    </row>
    <row r="452" ht="15" customHeight="1">
      <c r="A452" t="inlineStr">
        <is>
          <t>A 59265-2020</t>
        </is>
      </c>
      <c r="B452" s="1" t="n">
        <v>44147.67359953704</v>
      </c>
      <c r="C452" s="1" t="n">
        <v>45895</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31066-2025</t>
        </is>
      </c>
      <c r="B453" s="1" t="n">
        <v>45832</v>
      </c>
      <c r="C453" s="1" t="n">
        <v>45895</v>
      </c>
      <c r="D453" t="inlineStr">
        <is>
          <t>ÖREBRO LÄN</t>
        </is>
      </c>
      <c r="E453" t="inlineStr">
        <is>
          <t>ÖREBRO</t>
        </is>
      </c>
      <c r="G453" t="n">
        <v>11.1</v>
      </c>
      <c r="H453" t="n">
        <v>0</v>
      </c>
      <c r="I453" t="n">
        <v>0</v>
      </c>
      <c r="J453" t="n">
        <v>0</v>
      </c>
      <c r="K453" t="n">
        <v>0</v>
      </c>
      <c r="L453" t="n">
        <v>0</v>
      </c>
      <c r="M453" t="n">
        <v>0</v>
      </c>
      <c r="N453" t="n">
        <v>0</v>
      </c>
      <c r="O453" t="n">
        <v>0</v>
      </c>
      <c r="P453" t="n">
        <v>0</v>
      </c>
      <c r="Q453" t="n">
        <v>0</v>
      </c>
      <c r="R453" s="2" t="inlineStr"/>
    </row>
    <row r="454" ht="15" customHeight="1">
      <c r="A454" t="inlineStr">
        <is>
          <t>A 33577-2023</t>
        </is>
      </c>
      <c r="B454" s="1" t="n">
        <v>45131</v>
      </c>
      <c r="C454" s="1" t="n">
        <v>45895</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18360-2024</t>
        </is>
      </c>
      <c r="B455" s="1" t="n">
        <v>45422</v>
      </c>
      <c r="C455" s="1" t="n">
        <v>45895</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7611-2024</t>
        </is>
      </c>
      <c r="B456" s="1" t="n">
        <v>45348.58864583333</v>
      </c>
      <c r="C456" s="1" t="n">
        <v>45895</v>
      </c>
      <c r="D456" t="inlineStr">
        <is>
          <t>ÖREBRO LÄN</t>
        </is>
      </c>
      <c r="E456" t="inlineStr">
        <is>
          <t>ÖREBRO</t>
        </is>
      </c>
      <c r="G456" t="n">
        <v>4.2</v>
      </c>
      <c r="H456" t="n">
        <v>0</v>
      </c>
      <c r="I456" t="n">
        <v>0</v>
      </c>
      <c r="J456" t="n">
        <v>0</v>
      </c>
      <c r="K456" t="n">
        <v>0</v>
      </c>
      <c r="L456" t="n">
        <v>0</v>
      </c>
      <c r="M456" t="n">
        <v>0</v>
      </c>
      <c r="N456" t="n">
        <v>0</v>
      </c>
      <c r="O456" t="n">
        <v>0</v>
      </c>
      <c r="P456" t="n">
        <v>0</v>
      </c>
      <c r="Q456" t="n">
        <v>0</v>
      </c>
      <c r="R456" s="2" t="inlineStr"/>
    </row>
    <row r="457" ht="15" customHeight="1">
      <c r="A457" t="inlineStr">
        <is>
          <t>A 13347-2023</t>
        </is>
      </c>
      <c r="B457" s="1" t="n">
        <v>45004</v>
      </c>
      <c r="C457" s="1" t="n">
        <v>45895</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58486-2024</t>
        </is>
      </c>
      <c r="B458" s="1" t="n">
        <v>45635</v>
      </c>
      <c r="C458" s="1" t="n">
        <v>45895</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14053-2025</t>
        </is>
      </c>
      <c r="B459" s="1" t="n">
        <v>45739</v>
      </c>
      <c r="C459" s="1" t="n">
        <v>45895</v>
      </c>
      <c r="D459" t="inlineStr">
        <is>
          <t>ÖREBRO LÄN</t>
        </is>
      </c>
      <c r="E459" t="inlineStr">
        <is>
          <t>ÖREBRO</t>
        </is>
      </c>
      <c r="G459" t="n">
        <v>3.5</v>
      </c>
      <c r="H459" t="n">
        <v>0</v>
      </c>
      <c r="I459" t="n">
        <v>0</v>
      </c>
      <c r="J459" t="n">
        <v>0</v>
      </c>
      <c r="K459" t="n">
        <v>0</v>
      </c>
      <c r="L459" t="n">
        <v>0</v>
      </c>
      <c r="M459" t="n">
        <v>0</v>
      </c>
      <c r="N459" t="n">
        <v>0</v>
      </c>
      <c r="O459" t="n">
        <v>0</v>
      </c>
      <c r="P459" t="n">
        <v>0</v>
      </c>
      <c r="Q459" t="n">
        <v>0</v>
      </c>
      <c r="R459" s="2" t="inlineStr"/>
    </row>
    <row r="460" ht="15" customHeight="1">
      <c r="A460" t="inlineStr">
        <is>
          <t>A 35345-2024</t>
        </is>
      </c>
      <c r="B460" s="1" t="n">
        <v>45530</v>
      </c>
      <c r="C460" s="1" t="n">
        <v>45895</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187-2024</t>
        </is>
      </c>
      <c r="B461" s="1" t="n">
        <v>45294</v>
      </c>
      <c r="C461" s="1" t="n">
        <v>45895</v>
      </c>
      <c r="D461" t="inlineStr">
        <is>
          <t>ÖREBRO LÄN</t>
        </is>
      </c>
      <c r="E461" t="inlineStr">
        <is>
          <t>ÖREBRO</t>
        </is>
      </c>
      <c r="G461" t="n">
        <v>5.9</v>
      </c>
      <c r="H461" t="n">
        <v>0</v>
      </c>
      <c r="I461" t="n">
        <v>0</v>
      </c>
      <c r="J461" t="n">
        <v>0</v>
      </c>
      <c r="K461" t="n">
        <v>0</v>
      </c>
      <c r="L461" t="n">
        <v>0</v>
      </c>
      <c r="M461" t="n">
        <v>0</v>
      </c>
      <c r="N461" t="n">
        <v>0</v>
      </c>
      <c r="O461" t="n">
        <v>0</v>
      </c>
      <c r="P461" t="n">
        <v>0</v>
      </c>
      <c r="Q461" t="n">
        <v>0</v>
      </c>
      <c r="R461" s="2" t="inlineStr"/>
    </row>
    <row r="462" ht="15" customHeight="1">
      <c r="A462" t="inlineStr">
        <is>
          <t>A 10832-2023</t>
        </is>
      </c>
      <c r="B462" s="1" t="n">
        <v>44990.91711805556</v>
      </c>
      <c r="C462" s="1" t="n">
        <v>45895</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123-2025</t>
        </is>
      </c>
      <c r="B463" s="1" t="n">
        <v>45659.54851851852</v>
      </c>
      <c r="C463" s="1" t="n">
        <v>45895</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30472-2022</t>
        </is>
      </c>
      <c r="B464" s="1" t="n">
        <v>44761.70467592592</v>
      </c>
      <c r="C464" s="1" t="n">
        <v>45895</v>
      </c>
      <c r="D464" t="inlineStr">
        <is>
          <t>ÖREBRO LÄN</t>
        </is>
      </c>
      <c r="E464" t="inlineStr">
        <is>
          <t>ÖREBRO</t>
        </is>
      </c>
      <c r="F464" t="inlineStr">
        <is>
          <t>Övriga Aktiebolag</t>
        </is>
      </c>
      <c r="G464" t="n">
        <v>5.6</v>
      </c>
      <c r="H464" t="n">
        <v>0</v>
      </c>
      <c r="I464" t="n">
        <v>0</v>
      </c>
      <c r="J464" t="n">
        <v>0</v>
      </c>
      <c r="K464" t="n">
        <v>0</v>
      </c>
      <c r="L464" t="n">
        <v>0</v>
      </c>
      <c r="M464" t="n">
        <v>0</v>
      </c>
      <c r="N464" t="n">
        <v>0</v>
      </c>
      <c r="O464" t="n">
        <v>0</v>
      </c>
      <c r="P464" t="n">
        <v>0</v>
      </c>
      <c r="Q464" t="n">
        <v>0</v>
      </c>
      <c r="R464" s="2" t="inlineStr"/>
    </row>
    <row r="465" ht="15" customHeight="1">
      <c r="A465" t="inlineStr">
        <is>
          <t>A 2596-2022</t>
        </is>
      </c>
      <c r="B465" s="1" t="n">
        <v>44580</v>
      </c>
      <c r="C465" s="1" t="n">
        <v>45895</v>
      </c>
      <c r="D465" t="inlineStr">
        <is>
          <t>ÖREBRO LÄN</t>
        </is>
      </c>
      <c r="E465" t="inlineStr">
        <is>
          <t>ÖREBRO</t>
        </is>
      </c>
      <c r="G465" t="n">
        <v>4.3</v>
      </c>
      <c r="H465" t="n">
        <v>0</v>
      </c>
      <c r="I465" t="n">
        <v>0</v>
      </c>
      <c r="J465" t="n">
        <v>0</v>
      </c>
      <c r="K465" t="n">
        <v>0</v>
      </c>
      <c r="L465" t="n">
        <v>0</v>
      </c>
      <c r="M465" t="n">
        <v>0</v>
      </c>
      <c r="N465" t="n">
        <v>0</v>
      </c>
      <c r="O465" t="n">
        <v>0</v>
      </c>
      <c r="P465" t="n">
        <v>0</v>
      </c>
      <c r="Q465" t="n">
        <v>0</v>
      </c>
      <c r="R465" s="2" t="inlineStr"/>
    </row>
    <row r="466" ht="15" customHeight="1">
      <c r="A466" t="inlineStr">
        <is>
          <t>A 6869-2025</t>
        </is>
      </c>
      <c r="B466" s="1" t="n">
        <v>45700</v>
      </c>
      <c r="C466" s="1" t="n">
        <v>45895</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5338-2024</t>
        </is>
      </c>
      <c r="B467" s="1" t="n">
        <v>45331</v>
      </c>
      <c r="C467" s="1" t="n">
        <v>45895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31233-2025</t>
        </is>
      </c>
      <c r="B468" s="1" t="n">
        <v>45832.83341435185</v>
      </c>
      <c r="C468" s="1" t="n">
        <v>45895</v>
      </c>
      <c r="D468" t="inlineStr">
        <is>
          <t>ÖREBRO LÄN</t>
        </is>
      </c>
      <c r="E468" t="inlineStr">
        <is>
          <t>ÖREBRO</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57869-2024</t>
        </is>
      </c>
      <c r="B469" s="1" t="n">
        <v>45631.44207175926</v>
      </c>
      <c r="C469" s="1" t="n">
        <v>45895</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31232-2025</t>
        </is>
      </c>
      <c r="B470" s="1" t="n">
        <v>45832.8252199074</v>
      </c>
      <c r="C470" s="1" t="n">
        <v>45895</v>
      </c>
      <c r="D470" t="inlineStr">
        <is>
          <t>ÖREBRO LÄN</t>
        </is>
      </c>
      <c r="E470" t="inlineStr">
        <is>
          <t>ÖREBRO</t>
        </is>
      </c>
      <c r="F470" t="inlineStr">
        <is>
          <t>Övriga Aktiebolag</t>
        </is>
      </c>
      <c r="G470" t="n">
        <v>2.1</v>
      </c>
      <c r="H470" t="n">
        <v>0</v>
      </c>
      <c r="I470" t="n">
        <v>0</v>
      </c>
      <c r="J470" t="n">
        <v>0</v>
      </c>
      <c r="K470" t="n">
        <v>0</v>
      </c>
      <c r="L470" t="n">
        <v>0</v>
      </c>
      <c r="M470" t="n">
        <v>0</v>
      </c>
      <c r="N470" t="n">
        <v>0</v>
      </c>
      <c r="O470" t="n">
        <v>0</v>
      </c>
      <c r="P470" t="n">
        <v>0</v>
      </c>
      <c r="Q470" t="n">
        <v>0</v>
      </c>
      <c r="R470" s="2" t="inlineStr"/>
    </row>
    <row r="471" ht="15" customHeight="1">
      <c r="A471" t="inlineStr">
        <is>
          <t>A 14487-2023</t>
        </is>
      </c>
      <c r="B471" s="1" t="n">
        <v>45012</v>
      </c>
      <c r="C471" s="1" t="n">
        <v>45895</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31237-2025</t>
        </is>
      </c>
      <c r="B472" s="1" t="n">
        <v>45832.84313657408</v>
      </c>
      <c r="C472" s="1" t="n">
        <v>45895</v>
      </c>
      <c r="D472" t="inlineStr">
        <is>
          <t>ÖREBRO LÄN</t>
        </is>
      </c>
      <c r="E472" t="inlineStr">
        <is>
          <t>ÖREBRO</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32025-2024</t>
        </is>
      </c>
      <c r="B473" s="1" t="n">
        <v>45510.65754629629</v>
      </c>
      <c r="C473" s="1" t="n">
        <v>45895</v>
      </c>
      <c r="D473" t="inlineStr">
        <is>
          <t>ÖREBRO LÄN</t>
        </is>
      </c>
      <c r="E473" t="inlineStr">
        <is>
          <t>ÖREBRO</t>
        </is>
      </c>
      <c r="G473" t="n">
        <v>4</v>
      </c>
      <c r="H473" t="n">
        <v>0</v>
      </c>
      <c r="I473" t="n">
        <v>0</v>
      </c>
      <c r="J473" t="n">
        <v>0</v>
      </c>
      <c r="K473" t="n">
        <v>0</v>
      </c>
      <c r="L473" t="n">
        <v>0</v>
      </c>
      <c r="M473" t="n">
        <v>0</v>
      </c>
      <c r="N473" t="n">
        <v>0</v>
      </c>
      <c r="O473" t="n">
        <v>0</v>
      </c>
      <c r="P473" t="n">
        <v>0</v>
      </c>
      <c r="Q473" t="n">
        <v>0</v>
      </c>
      <c r="R473" s="2" t="inlineStr"/>
    </row>
    <row r="474" ht="15" customHeight="1">
      <c r="A474" t="inlineStr">
        <is>
          <t>A 8565-2021</t>
        </is>
      </c>
      <c r="B474" s="1" t="n">
        <v>44245</v>
      </c>
      <c r="C474" s="1" t="n">
        <v>45895</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44593.51175925926</v>
      </c>
      <c r="C475" s="1" t="n">
        <v>45895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18047-2023</t>
        </is>
      </c>
      <c r="B476" s="1" t="n">
        <v>45040</v>
      </c>
      <c r="C476" s="1" t="n">
        <v>45895</v>
      </c>
      <c r="D476" t="inlineStr">
        <is>
          <t>ÖREBRO LÄN</t>
        </is>
      </c>
      <c r="E476" t="inlineStr">
        <is>
          <t>ÖREBRO</t>
        </is>
      </c>
      <c r="G476" t="n">
        <v>3.9</v>
      </c>
      <c r="H476" t="n">
        <v>0</v>
      </c>
      <c r="I476" t="n">
        <v>0</v>
      </c>
      <c r="J476" t="n">
        <v>0</v>
      </c>
      <c r="K476" t="n">
        <v>0</v>
      </c>
      <c r="L476" t="n">
        <v>0</v>
      </c>
      <c r="M476" t="n">
        <v>0</v>
      </c>
      <c r="N476" t="n">
        <v>0</v>
      </c>
      <c r="O476" t="n">
        <v>0</v>
      </c>
      <c r="P476" t="n">
        <v>0</v>
      </c>
      <c r="Q476" t="n">
        <v>0</v>
      </c>
      <c r="R476" s="2" t="inlineStr"/>
    </row>
    <row r="477" ht="15" customHeight="1">
      <c r="A477" t="inlineStr">
        <is>
          <t>A 37277-2022</t>
        </is>
      </c>
      <c r="B477" s="1" t="n">
        <v>44807.49150462963</v>
      </c>
      <c r="C477" s="1" t="n">
        <v>45895</v>
      </c>
      <c r="D477" t="inlineStr">
        <is>
          <t>ÖREBRO LÄN</t>
        </is>
      </c>
      <c r="E477" t="inlineStr">
        <is>
          <t>ÖREBRO</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3789-2023</t>
        </is>
      </c>
      <c r="B478" s="1" t="n">
        <v>44951</v>
      </c>
      <c r="C478" s="1" t="n">
        <v>45895</v>
      </c>
      <c r="D478" t="inlineStr">
        <is>
          <t>ÖREBRO LÄN</t>
        </is>
      </c>
      <c r="E478" t="inlineStr">
        <is>
          <t>ÖREBRO</t>
        </is>
      </c>
      <c r="G478" t="n">
        <v>7.5</v>
      </c>
      <c r="H478" t="n">
        <v>0</v>
      </c>
      <c r="I478" t="n">
        <v>0</v>
      </c>
      <c r="J478" t="n">
        <v>0</v>
      </c>
      <c r="K478" t="n">
        <v>0</v>
      </c>
      <c r="L478" t="n">
        <v>0</v>
      </c>
      <c r="M478" t="n">
        <v>0</v>
      </c>
      <c r="N478" t="n">
        <v>0</v>
      </c>
      <c r="O478" t="n">
        <v>0</v>
      </c>
      <c r="P478" t="n">
        <v>0</v>
      </c>
      <c r="Q478" t="n">
        <v>0</v>
      </c>
      <c r="R478" s="2" t="inlineStr"/>
    </row>
    <row r="479" ht="15" customHeight="1">
      <c r="A479" t="inlineStr">
        <is>
          <t>A 27956-2023</t>
        </is>
      </c>
      <c r="B479" s="1" t="n">
        <v>45098</v>
      </c>
      <c r="C479" s="1" t="n">
        <v>45895</v>
      </c>
      <c r="D479" t="inlineStr">
        <is>
          <t>ÖREBRO LÄN</t>
        </is>
      </c>
      <c r="E479" t="inlineStr">
        <is>
          <t>ÖREBRO</t>
        </is>
      </c>
      <c r="G479" t="n">
        <v>0.8</v>
      </c>
      <c r="H479" t="n">
        <v>0</v>
      </c>
      <c r="I479" t="n">
        <v>0</v>
      </c>
      <c r="J479" t="n">
        <v>0</v>
      </c>
      <c r="K479" t="n">
        <v>0</v>
      </c>
      <c r="L479" t="n">
        <v>0</v>
      </c>
      <c r="M479" t="n">
        <v>0</v>
      </c>
      <c r="N479" t="n">
        <v>0</v>
      </c>
      <c r="O479" t="n">
        <v>0</v>
      </c>
      <c r="P479" t="n">
        <v>0</v>
      </c>
      <c r="Q479" t="n">
        <v>0</v>
      </c>
      <c r="R479" s="2" t="inlineStr"/>
    </row>
    <row r="480" ht="15" customHeight="1">
      <c r="A480" t="inlineStr">
        <is>
          <t>A 51331-2023</t>
        </is>
      </c>
      <c r="B480" s="1" t="n">
        <v>45219</v>
      </c>
      <c r="C480" s="1" t="n">
        <v>45895</v>
      </c>
      <c r="D480" t="inlineStr">
        <is>
          <t>ÖREBRO LÄN</t>
        </is>
      </c>
      <c r="E480" t="inlineStr">
        <is>
          <t>ÖREBRO</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40588-2021</t>
        </is>
      </c>
      <c r="B481" s="1" t="n">
        <v>44420</v>
      </c>
      <c r="C481" s="1" t="n">
        <v>45895</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32218-2025</t>
        </is>
      </c>
      <c r="B482" s="1" t="n">
        <v>45835.58880787037</v>
      </c>
      <c r="C482" s="1" t="n">
        <v>45895</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40231-2022</t>
        </is>
      </c>
      <c r="B483" s="1" t="n">
        <v>44820</v>
      </c>
      <c r="C483" s="1" t="n">
        <v>45895</v>
      </c>
      <c r="D483" t="inlineStr">
        <is>
          <t>ÖREBRO LÄN</t>
        </is>
      </c>
      <c r="E483" t="inlineStr">
        <is>
          <t>ÖREBRO</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4284-2025</t>
        </is>
      </c>
      <c r="B484" s="1" t="n">
        <v>45685</v>
      </c>
      <c r="C484" s="1" t="n">
        <v>45895</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8331-2021</t>
        </is>
      </c>
      <c r="B485" s="1" t="n">
        <v>44244</v>
      </c>
      <c r="C485" s="1" t="n">
        <v>45895</v>
      </c>
      <c r="D485" t="inlineStr">
        <is>
          <t>ÖREBRO LÄN</t>
        </is>
      </c>
      <c r="E485" t="inlineStr">
        <is>
          <t>ÖREBRO</t>
        </is>
      </c>
      <c r="G485" t="n">
        <v>9.1</v>
      </c>
      <c r="H485" t="n">
        <v>0</v>
      </c>
      <c r="I485" t="n">
        <v>0</v>
      </c>
      <c r="J485" t="n">
        <v>0</v>
      </c>
      <c r="K485" t="n">
        <v>0</v>
      </c>
      <c r="L485" t="n">
        <v>0</v>
      </c>
      <c r="M485" t="n">
        <v>0</v>
      </c>
      <c r="N485" t="n">
        <v>0</v>
      </c>
      <c r="O485" t="n">
        <v>0</v>
      </c>
      <c r="P485" t="n">
        <v>0</v>
      </c>
      <c r="Q485" t="n">
        <v>0</v>
      </c>
      <c r="R485" s="2" t="inlineStr"/>
    </row>
    <row r="486" ht="15" customHeight="1">
      <c r="A486" t="inlineStr">
        <is>
          <t>A 8332-2021</t>
        </is>
      </c>
      <c r="B486" s="1" t="n">
        <v>44244</v>
      </c>
      <c r="C486" s="1" t="n">
        <v>45895</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32188-2025</t>
        </is>
      </c>
      <c r="B487" s="1" t="n">
        <v>45835.56965277778</v>
      </c>
      <c r="C487" s="1" t="n">
        <v>45895</v>
      </c>
      <c r="D487" t="inlineStr">
        <is>
          <t>ÖREBRO LÄN</t>
        </is>
      </c>
      <c r="E487" t="inlineStr">
        <is>
          <t>ÖREBRO</t>
        </is>
      </c>
      <c r="G487" t="n">
        <v>2.9</v>
      </c>
      <c r="H487" t="n">
        <v>0</v>
      </c>
      <c r="I487" t="n">
        <v>0</v>
      </c>
      <c r="J487" t="n">
        <v>0</v>
      </c>
      <c r="K487" t="n">
        <v>0</v>
      </c>
      <c r="L487" t="n">
        <v>0</v>
      </c>
      <c r="M487" t="n">
        <v>0</v>
      </c>
      <c r="N487" t="n">
        <v>0</v>
      </c>
      <c r="O487" t="n">
        <v>0</v>
      </c>
      <c r="P487" t="n">
        <v>0</v>
      </c>
      <c r="Q487" t="n">
        <v>0</v>
      </c>
      <c r="R487" s="2" t="inlineStr"/>
    </row>
    <row r="488" ht="15" customHeight="1">
      <c r="A488" t="inlineStr">
        <is>
          <t>A 32195-2025</t>
        </is>
      </c>
      <c r="B488" s="1" t="n">
        <v>45835.57407407407</v>
      </c>
      <c r="C488" s="1" t="n">
        <v>45895</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5026-2022</t>
        </is>
      </c>
      <c r="B489" s="1" t="n">
        <v>44593.63974537037</v>
      </c>
      <c r="C489" s="1" t="n">
        <v>45895</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45895</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18661-2025</t>
        </is>
      </c>
      <c r="B491" s="1" t="n">
        <v>45763.58675925926</v>
      </c>
      <c r="C491" s="1" t="n">
        <v>45895</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38057-2025</t>
        </is>
      </c>
      <c r="B492" s="1" t="n">
        <v>45882.42570601852</v>
      </c>
      <c r="C492" s="1" t="n">
        <v>45895</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33191-2025</t>
        </is>
      </c>
      <c r="B493" s="1" t="n">
        <v>45840.6003587963</v>
      </c>
      <c r="C493" s="1" t="n">
        <v>45895</v>
      </c>
      <c r="D493" t="inlineStr">
        <is>
          <t>ÖREBRO LÄN</t>
        </is>
      </c>
      <c r="E493" t="inlineStr">
        <is>
          <t>ÖREBRO</t>
        </is>
      </c>
      <c r="G493" t="n">
        <v>2.6</v>
      </c>
      <c r="H493" t="n">
        <v>0</v>
      </c>
      <c r="I493" t="n">
        <v>0</v>
      </c>
      <c r="J493" t="n">
        <v>0</v>
      </c>
      <c r="K493" t="n">
        <v>0</v>
      </c>
      <c r="L493" t="n">
        <v>0</v>
      </c>
      <c r="M493" t="n">
        <v>0</v>
      </c>
      <c r="N493" t="n">
        <v>0</v>
      </c>
      <c r="O493" t="n">
        <v>0</v>
      </c>
      <c r="P493" t="n">
        <v>0</v>
      </c>
      <c r="Q493" t="n">
        <v>0</v>
      </c>
      <c r="R493" s="2" t="inlineStr"/>
    </row>
    <row r="494" ht="15" customHeight="1">
      <c r="A494" t="inlineStr">
        <is>
          <t>A 32426-2025</t>
        </is>
      </c>
      <c r="B494" s="1" t="n">
        <v>45838.36179398148</v>
      </c>
      <c r="C494" s="1" t="n">
        <v>45895</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54917-2023</t>
        </is>
      </c>
      <c r="B495" s="1" t="n">
        <v>45229</v>
      </c>
      <c r="C495" s="1" t="n">
        <v>45895</v>
      </c>
      <c r="D495" t="inlineStr">
        <is>
          <t>ÖREBRO LÄN</t>
        </is>
      </c>
      <c r="E495" t="inlineStr">
        <is>
          <t>ÖREBRO</t>
        </is>
      </c>
      <c r="G495" t="n">
        <v>3.1</v>
      </c>
      <c r="H495" t="n">
        <v>0</v>
      </c>
      <c r="I495" t="n">
        <v>0</v>
      </c>
      <c r="J495" t="n">
        <v>0</v>
      </c>
      <c r="K495" t="n">
        <v>0</v>
      </c>
      <c r="L495" t="n">
        <v>0</v>
      </c>
      <c r="M495" t="n">
        <v>0</v>
      </c>
      <c r="N495" t="n">
        <v>0</v>
      </c>
      <c r="O495" t="n">
        <v>0</v>
      </c>
      <c r="P495" t="n">
        <v>0</v>
      </c>
      <c r="Q495" t="n">
        <v>0</v>
      </c>
      <c r="R495" s="2" t="inlineStr"/>
    </row>
    <row r="496" ht="15" customHeight="1">
      <c r="A496" t="inlineStr">
        <is>
          <t>A 72329-2021</t>
        </is>
      </c>
      <c r="B496" s="1" t="n">
        <v>44545.46072916667</v>
      </c>
      <c r="C496" s="1" t="n">
        <v>45895</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32904-2025</t>
        </is>
      </c>
      <c r="B497" s="1" t="n">
        <v>45839</v>
      </c>
      <c r="C497" s="1" t="n">
        <v>45895</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43803-2023</t>
        </is>
      </c>
      <c r="B498" s="1" t="n">
        <v>45187</v>
      </c>
      <c r="C498" s="1" t="n">
        <v>45895</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42623-2022</t>
        </is>
      </c>
      <c r="B499" s="1" t="n">
        <v>44831</v>
      </c>
      <c r="C499" s="1" t="n">
        <v>45895</v>
      </c>
      <c r="D499" t="inlineStr">
        <is>
          <t>ÖREBRO LÄN</t>
        </is>
      </c>
      <c r="E499" t="inlineStr">
        <is>
          <t>ÖREBRO</t>
        </is>
      </c>
      <c r="G499" t="n">
        <v>3.6</v>
      </c>
      <c r="H499" t="n">
        <v>0</v>
      </c>
      <c r="I499" t="n">
        <v>0</v>
      </c>
      <c r="J499" t="n">
        <v>0</v>
      </c>
      <c r="K499" t="n">
        <v>0</v>
      </c>
      <c r="L499" t="n">
        <v>0</v>
      </c>
      <c r="M499" t="n">
        <v>0</v>
      </c>
      <c r="N499" t="n">
        <v>0</v>
      </c>
      <c r="O499" t="n">
        <v>0</v>
      </c>
      <c r="P499" t="n">
        <v>0</v>
      </c>
      <c r="Q499" t="n">
        <v>0</v>
      </c>
      <c r="R499" s="2" t="inlineStr"/>
    </row>
    <row r="500" ht="15" customHeight="1">
      <c r="A500" t="inlineStr">
        <is>
          <t>A 33019-2025</t>
        </is>
      </c>
      <c r="B500" s="1" t="n">
        <v>45840</v>
      </c>
      <c r="C500" s="1" t="n">
        <v>45895</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3763-2025</t>
        </is>
      </c>
      <c r="B501" s="1" t="n">
        <v>45681</v>
      </c>
      <c r="C501" s="1" t="n">
        <v>45895</v>
      </c>
      <c r="D501" t="inlineStr">
        <is>
          <t>ÖREBRO LÄN</t>
        </is>
      </c>
      <c r="E501" t="inlineStr">
        <is>
          <t>ÖREBRO</t>
        </is>
      </c>
      <c r="G501" t="n">
        <v>10.1</v>
      </c>
      <c r="H501" t="n">
        <v>0</v>
      </c>
      <c r="I501" t="n">
        <v>0</v>
      </c>
      <c r="J501" t="n">
        <v>0</v>
      </c>
      <c r="K501" t="n">
        <v>0</v>
      </c>
      <c r="L501" t="n">
        <v>0</v>
      </c>
      <c r="M501" t="n">
        <v>0</v>
      </c>
      <c r="N501" t="n">
        <v>0</v>
      </c>
      <c r="O501" t="n">
        <v>0</v>
      </c>
      <c r="P501" t="n">
        <v>0</v>
      </c>
      <c r="Q501" t="n">
        <v>0</v>
      </c>
      <c r="R501" s="2" t="inlineStr"/>
    </row>
    <row r="502" ht="15" customHeight="1">
      <c r="A502" t="inlineStr">
        <is>
          <t>A 15789-2023</t>
        </is>
      </c>
      <c r="B502" s="1" t="n">
        <v>45021.71539351852</v>
      </c>
      <c r="C502" s="1" t="n">
        <v>45895</v>
      </c>
      <c r="D502" t="inlineStr">
        <is>
          <t>ÖREBRO LÄN</t>
        </is>
      </c>
      <c r="E502" t="inlineStr">
        <is>
          <t>ÖREBRO</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58539-2024</t>
        </is>
      </c>
      <c r="B503" s="1" t="n">
        <v>45635.45157407408</v>
      </c>
      <c r="C503" s="1" t="n">
        <v>45895</v>
      </c>
      <c r="D503" t="inlineStr">
        <is>
          <t>ÖREBRO LÄN</t>
        </is>
      </c>
      <c r="E503" t="inlineStr">
        <is>
          <t>ÖREBRO</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59757-2023</t>
        </is>
      </c>
      <c r="B504" s="1" t="n">
        <v>45257.40833333333</v>
      </c>
      <c r="C504" s="1" t="n">
        <v>45895</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17869-2024</t>
        </is>
      </c>
      <c r="B505" s="1" t="n">
        <v>45419</v>
      </c>
      <c r="C505" s="1" t="n">
        <v>45895</v>
      </c>
      <c r="D505" t="inlineStr">
        <is>
          <t>ÖREBRO LÄN</t>
        </is>
      </c>
      <c r="E505" t="inlineStr">
        <is>
          <t>ÖREBRO</t>
        </is>
      </c>
      <c r="G505" t="n">
        <v>3.7</v>
      </c>
      <c r="H505" t="n">
        <v>0</v>
      </c>
      <c r="I505" t="n">
        <v>0</v>
      </c>
      <c r="J505" t="n">
        <v>0</v>
      </c>
      <c r="K505" t="n">
        <v>0</v>
      </c>
      <c r="L505" t="n">
        <v>0</v>
      </c>
      <c r="M505" t="n">
        <v>0</v>
      </c>
      <c r="N505" t="n">
        <v>0</v>
      </c>
      <c r="O505" t="n">
        <v>0</v>
      </c>
      <c r="P505" t="n">
        <v>0</v>
      </c>
      <c r="Q505" t="n">
        <v>0</v>
      </c>
      <c r="R505" s="2" t="inlineStr"/>
    </row>
    <row r="506" ht="15" customHeight="1">
      <c r="A506" t="inlineStr">
        <is>
          <t>A 55453-2024</t>
        </is>
      </c>
      <c r="B506" s="1" t="n">
        <v>45622.42097222222</v>
      </c>
      <c r="C506" s="1" t="n">
        <v>45895</v>
      </c>
      <c r="D506" t="inlineStr">
        <is>
          <t>ÖREBRO LÄN</t>
        </is>
      </c>
      <c r="E506" t="inlineStr">
        <is>
          <t>ÖREBRO</t>
        </is>
      </c>
      <c r="G506" t="n">
        <v>8.5</v>
      </c>
      <c r="H506" t="n">
        <v>0</v>
      </c>
      <c r="I506" t="n">
        <v>0</v>
      </c>
      <c r="J506" t="n">
        <v>0</v>
      </c>
      <c r="K506" t="n">
        <v>0</v>
      </c>
      <c r="L506" t="n">
        <v>0</v>
      </c>
      <c r="M506" t="n">
        <v>0</v>
      </c>
      <c r="N506" t="n">
        <v>0</v>
      </c>
      <c r="O506" t="n">
        <v>0</v>
      </c>
      <c r="P506" t="n">
        <v>0</v>
      </c>
      <c r="Q506" t="n">
        <v>0</v>
      </c>
      <c r="R506" s="2" t="inlineStr"/>
    </row>
    <row r="507" ht="15" customHeight="1">
      <c r="A507" t="inlineStr">
        <is>
          <t>A 10829-2023</t>
        </is>
      </c>
      <c r="B507" s="1" t="n">
        <v>44990.88512731482</v>
      </c>
      <c r="C507" s="1" t="n">
        <v>45895</v>
      </c>
      <c r="D507" t="inlineStr">
        <is>
          <t>ÖREBRO LÄN</t>
        </is>
      </c>
      <c r="E507" t="inlineStr">
        <is>
          <t>ÖREBRO</t>
        </is>
      </c>
      <c r="G507" t="n">
        <v>4.4</v>
      </c>
      <c r="H507" t="n">
        <v>0</v>
      </c>
      <c r="I507" t="n">
        <v>0</v>
      </c>
      <c r="J507" t="n">
        <v>0</v>
      </c>
      <c r="K507" t="n">
        <v>0</v>
      </c>
      <c r="L507" t="n">
        <v>0</v>
      </c>
      <c r="M507" t="n">
        <v>0</v>
      </c>
      <c r="N507" t="n">
        <v>0</v>
      </c>
      <c r="O507" t="n">
        <v>0</v>
      </c>
      <c r="P507" t="n">
        <v>0</v>
      </c>
      <c r="Q507" t="n">
        <v>0</v>
      </c>
      <c r="R507" s="2" t="inlineStr"/>
    </row>
    <row r="508" ht="15" customHeight="1">
      <c r="A508" t="inlineStr">
        <is>
          <t>A 10831-2023</t>
        </is>
      </c>
      <c r="B508" s="1" t="n">
        <v>44990.90357638889</v>
      </c>
      <c r="C508" s="1" t="n">
        <v>45895</v>
      </c>
      <c r="D508" t="inlineStr">
        <is>
          <t>ÖREBRO LÄN</t>
        </is>
      </c>
      <c r="E508" t="inlineStr">
        <is>
          <t>ÖREBRO</t>
        </is>
      </c>
      <c r="G508" t="n">
        <v>1.9</v>
      </c>
      <c r="H508" t="n">
        <v>0</v>
      </c>
      <c r="I508" t="n">
        <v>0</v>
      </c>
      <c r="J508" t="n">
        <v>0</v>
      </c>
      <c r="K508" t="n">
        <v>0</v>
      </c>
      <c r="L508" t="n">
        <v>0</v>
      </c>
      <c r="M508" t="n">
        <v>0</v>
      </c>
      <c r="N508" t="n">
        <v>0</v>
      </c>
      <c r="O508" t="n">
        <v>0</v>
      </c>
      <c r="P508" t="n">
        <v>0</v>
      </c>
      <c r="Q508" t="n">
        <v>0</v>
      </c>
      <c r="R508" s="2" t="inlineStr"/>
    </row>
    <row r="509" ht="15" customHeight="1">
      <c r="A509" t="inlineStr">
        <is>
          <t>A 71272-2021</t>
        </is>
      </c>
      <c r="B509" s="1" t="n">
        <v>44539.61571759259</v>
      </c>
      <c r="C509" s="1" t="n">
        <v>45895</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4557-2023</t>
        </is>
      </c>
      <c r="B510" s="1" t="n">
        <v>44956.6655787037</v>
      </c>
      <c r="C510" s="1" t="n">
        <v>45895</v>
      </c>
      <c r="D510" t="inlineStr">
        <is>
          <t>ÖREBRO LÄN</t>
        </is>
      </c>
      <c r="E510" t="inlineStr">
        <is>
          <t>ÖREBRO</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16165-2023</t>
        </is>
      </c>
      <c r="B511" s="1" t="n">
        <v>45027</v>
      </c>
      <c r="C511" s="1" t="n">
        <v>45895</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60100-2022</t>
        </is>
      </c>
      <c r="B512" s="1" t="n">
        <v>44902</v>
      </c>
      <c r="C512" s="1" t="n">
        <v>45895</v>
      </c>
      <c r="D512" t="inlineStr">
        <is>
          <t>ÖREBRO LÄN</t>
        </is>
      </c>
      <c r="E512" t="inlineStr">
        <is>
          <t>ÖREBRO</t>
        </is>
      </c>
      <c r="G512" t="n">
        <v>1.4</v>
      </c>
      <c r="H512" t="n">
        <v>0</v>
      </c>
      <c r="I512" t="n">
        <v>0</v>
      </c>
      <c r="J512" t="n">
        <v>0</v>
      </c>
      <c r="K512" t="n">
        <v>0</v>
      </c>
      <c r="L512" t="n">
        <v>0</v>
      </c>
      <c r="M512" t="n">
        <v>0</v>
      </c>
      <c r="N512" t="n">
        <v>0</v>
      </c>
      <c r="O512" t="n">
        <v>0</v>
      </c>
      <c r="P512" t="n">
        <v>0</v>
      </c>
      <c r="Q512" t="n">
        <v>0</v>
      </c>
      <c r="R512" s="2" t="inlineStr"/>
    </row>
    <row r="513" ht="15" customHeight="1">
      <c r="A513" t="inlineStr">
        <is>
          <t>A 57247-2022</t>
        </is>
      </c>
      <c r="B513" s="1" t="n">
        <v>44895.73065972222</v>
      </c>
      <c r="C513" s="1" t="n">
        <v>45895</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17465-2023</t>
        </is>
      </c>
      <c r="B514" s="1" t="n">
        <v>45036</v>
      </c>
      <c r="C514" s="1" t="n">
        <v>45895</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28821-2025</t>
        </is>
      </c>
      <c r="B515" s="1" t="n">
        <v>45820</v>
      </c>
      <c r="C515" s="1" t="n">
        <v>45895</v>
      </c>
      <c r="D515" t="inlineStr">
        <is>
          <t>ÖREBRO LÄN</t>
        </is>
      </c>
      <c r="E515" t="inlineStr">
        <is>
          <t>ÖREBRO</t>
        </is>
      </c>
      <c r="G515" t="n">
        <v>12.6</v>
      </c>
      <c r="H515" t="n">
        <v>0</v>
      </c>
      <c r="I515" t="n">
        <v>0</v>
      </c>
      <c r="J515" t="n">
        <v>0</v>
      </c>
      <c r="K515" t="n">
        <v>0</v>
      </c>
      <c r="L515" t="n">
        <v>0</v>
      </c>
      <c r="M515" t="n">
        <v>0</v>
      </c>
      <c r="N515" t="n">
        <v>0</v>
      </c>
      <c r="O515" t="n">
        <v>0</v>
      </c>
      <c r="P515" t="n">
        <v>0</v>
      </c>
      <c r="Q515" t="n">
        <v>0</v>
      </c>
      <c r="R515" s="2" t="inlineStr"/>
    </row>
    <row r="516" ht="15" customHeight="1">
      <c r="A516" t="inlineStr">
        <is>
          <t>A 6213-2021</t>
        </is>
      </c>
      <c r="B516" s="1" t="n">
        <v>44232</v>
      </c>
      <c r="C516" s="1" t="n">
        <v>45895</v>
      </c>
      <c r="D516" t="inlineStr">
        <is>
          <t>ÖREBRO LÄN</t>
        </is>
      </c>
      <c r="E516" t="inlineStr">
        <is>
          <t>ÖREBRO</t>
        </is>
      </c>
      <c r="G516" t="n">
        <v>4</v>
      </c>
      <c r="H516" t="n">
        <v>0</v>
      </c>
      <c r="I516" t="n">
        <v>0</v>
      </c>
      <c r="J516" t="n">
        <v>0</v>
      </c>
      <c r="K516" t="n">
        <v>0</v>
      </c>
      <c r="L516" t="n">
        <v>0</v>
      </c>
      <c r="M516" t="n">
        <v>0</v>
      </c>
      <c r="N516" t="n">
        <v>0</v>
      </c>
      <c r="O516" t="n">
        <v>0</v>
      </c>
      <c r="P516" t="n">
        <v>0</v>
      </c>
      <c r="Q516" t="n">
        <v>0</v>
      </c>
      <c r="R516" s="2" t="inlineStr"/>
    </row>
    <row r="517" ht="15" customHeight="1">
      <c r="A517" t="inlineStr">
        <is>
          <t>A 52016-2024</t>
        </is>
      </c>
      <c r="B517" s="1" t="n">
        <v>45607.81917824074</v>
      </c>
      <c r="C517" s="1" t="n">
        <v>45895</v>
      </c>
      <c r="D517" t="inlineStr">
        <is>
          <t>ÖREBRO LÄN</t>
        </is>
      </c>
      <c r="E517" t="inlineStr">
        <is>
          <t>ÖREBRO</t>
        </is>
      </c>
      <c r="G517" t="n">
        <v>1.9</v>
      </c>
      <c r="H517" t="n">
        <v>0</v>
      </c>
      <c r="I517" t="n">
        <v>0</v>
      </c>
      <c r="J517" t="n">
        <v>0</v>
      </c>
      <c r="K517" t="n">
        <v>0</v>
      </c>
      <c r="L517" t="n">
        <v>0</v>
      </c>
      <c r="M517" t="n">
        <v>0</v>
      </c>
      <c r="N517" t="n">
        <v>0</v>
      </c>
      <c r="O517" t="n">
        <v>0</v>
      </c>
      <c r="P517" t="n">
        <v>0</v>
      </c>
      <c r="Q517" t="n">
        <v>0</v>
      </c>
      <c r="R517" s="2" t="inlineStr"/>
    </row>
    <row r="518" ht="15" customHeight="1">
      <c r="A518" t="inlineStr">
        <is>
          <t>A 52477-2024</t>
        </is>
      </c>
      <c r="B518" s="1" t="n">
        <v>45609</v>
      </c>
      <c r="C518" s="1" t="n">
        <v>45895</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53558-2023</t>
        </is>
      </c>
      <c r="B519" s="1" t="n">
        <v>45230.47266203703</v>
      </c>
      <c r="C519" s="1" t="n">
        <v>45895</v>
      </c>
      <c r="D519" t="inlineStr">
        <is>
          <t>ÖREBRO LÄN</t>
        </is>
      </c>
      <c r="E519" t="inlineStr">
        <is>
          <t>ÖREBRO</t>
        </is>
      </c>
      <c r="F519" t="inlineStr">
        <is>
          <t>Övriga Aktiebolag</t>
        </is>
      </c>
      <c r="G519" t="n">
        <v>4.7</v>
      </c>
      <c r="H519" t="n">
        <v>0</v>
      </c>
      <c r="I519" t="n">
        <v>0</v>
      </c>
      <c r="J519" t="n">
        <v>0</v>
      </c>
      <c r="K519" t="n">
        <v>0</v>
      </c>
      <c r="L519" t="n">
        <v>0</v>
      </c>
      <c r="M519" t="n">
        <v>0</v>
      </c>
      <c r="N519" t="n">
        <v>0</v>
      </c>
      <c r="O519" t="n">
        <v>0</v>
      </c>
      <c r="P519" t="n">
        <v>0</v>
      </c>
      <c r="Q519" t="n">
        <v>0</v>
      </c>
      <c r="R519" s="2" t="inlineStr"/>
    </row>
    <row r="520" ht="15" customHeight="1">
      <c r="A520" t="inlineStr">
        <is>
          <t>A 35843-2022</t>
        </is>
      </c>
      <c r="B520" s="1" t="n">
        <v>44802</v>
      </c>
      <c r="C520" s="1" t="n">
        <v>45895</v>
      </c>
      <c r="D520" t="inlineStr">
        <is>
          <t>ÖREBRO LÄN</t>
        </is>
      </c>
      <c r="E520" t="inlineStr">
        <is>
          <t>ÖREBRO</t>
        </is>
      </c>
      <c r="G520" t="n">
        <v>2.4</v>
      </c>
      <c r="H520" t="n">
        <v>0</v>
      </c>
      <c r="I520" t="n">
        <v>0</v>
      </c>
      <c r="J520" t="n">
        <v>0</v>
      </c>
      <c r="K520" t="n">
        <v>0</v>
      </c>
      <c r="L520" t="n">
        <v>0</v>
      </c>
      <c r="M520" t="n">
        <v>0</v>
      </c>
      <c r="N520" t="n">
        <v>0</v>
      </c>
      <c r="O520" t="n">
        <v>0</v>
      </c>
      <c r="P520" t="n">
        <v>0</v>
      </c>
      <c r="Q520" t="n">
        <v>0</v>
      </c>
      <c r="R520" s="2" t="inlineStr"/>
    </row>
    <row r="521" ht="15" customHeight="1">
      <c r="A521" t="inlineStr">
        <is>
          <t>A 46757-2021</t>
        </is>
      </c>
      <c r="B521" s="1" t="n">
        <v>44445</v>
      </c>
      <c r="C521" s="1" t="n">
        <v>45895</v>
      </c>
      <c r="D521" t="inlineStr">
        <is>
          <t>ÖREBRO LÄN</t>
        </is>
      </c>
      <c r="E521" t="inlineStr">
        <is>
          <t>ÖREBRO</t>
        </is>
      </c>
      <c r="G521" t="n">
        <v>5.6</v>
      </c>
      <c r="H521" t="n">
        <v>0</v>
      </c>
      <c r="I521" t="n">
        <v>0</v>
      </c>
      <c r="J521" t="n">
        <v>0</v>
      </c>
      <c r="K521" t="n">
        <v>0</v>
      </c>
      <c r="L521" t="n">
        <v>0</v>
      </c>
      <c r="M521" t="n">
        <v>0</v>
      </c>
      <c r="N521" t="n">
        <v>0</v>
      </c>
      <c r="O521" t="n">
        <v>0</v>
      </c>
      <c r="P521" t="n">
        <v>0</v>
      </c>
      <c r="Q521" t="n">
        <v>0</v>
      </c>
      <c r="R521" s="2" t="inlineStr"/>
    </row>
    <row r="522" ht="15" customHeight="1">
      <c r="A522" t="inlineStr">
        <is>
          <t>A 51373-2023</t>
        </is>
      </c>
      <c r="B522" s="1" t="n">
        <v>45213</v>
      </c>
      <c r="C522" s="1" t="n">
        <v>45895</v>
      </c>
      <c r="D522" t="inlineStr">
        <is>
          <t>ÖREBRO LÄN</t>
        </is>
      </c>
      <c r="E522" t="inlineStr">
        <is>
          <t>ÖREBRO</t>
        </is>
      </c>
      <c r="G522" t="n">
        <v>5.9</v>
      </c>
      <c r="H522" t="n">
        <v>0</v>
      </c>
      <c r="I522" t="n">
        <v>0</v>
      </c>
      <c r="J522" t="n">
        <v>0</v>
      </c>
      <c r="K522" t="n">
        <v>0</v>
      </c>
      <c r="L522" t="n">
        <v>0</v>
      </c>
      <c r="M522" t="n">
        <v>0</v>
      </c>
      <c r="N522" t="n">
        <v>0</v>
      </c>
      <c r="O522" t="n">
        <v>0</v>
      </c>
      <c r="P522" t="n">
        <v>0</v>
      </c>
      <c r="Q522" t="n">
        <v>0</v>
      </c>
      <c r="R522" s="2" t="inlineStr"/>
    </row>
    <row r="523" ht="15" customHeight="1">
      <c r="A523" t="inlineStr">
        <is>
          <t>A 1257-2022</t>
        </is>
      </c>
      <c r="B523" s="1" t="n">
        <v>44572</v>
      </c>
      <c r="C523" s="1" t="n">
        <v>45895</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39003-2025</t>
        </is>
      </c>
      <c r="B524" s="1" t="n">
        <v>45888.34467592592</v>
      </c>
      <c r="C524" s="1" t="n">
        <v>45895</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40656-2023</t>
        </is>
      </c>
      <c r="B525" s="1" t="n">
        <v>45170</v>
      </c>
      <c r="C525" s="1" t="n">
        <v>45895</v>
      </c>
      <c r="D525" t="inlineStr">
        <is>
          <t>ÖREBRO LÄN</t>
        </is>
      </c>
      <c r="E525" t="inlineStr">
        <is>
          <t>ÖREBRO</t>
        </is>
      </c>
      <c r="F525" t="inlineStr">
        <is>
          <t>Övriga Aktiebolag</t>
        </is>
      </c>
      <c r="G525" t="n">
        <v>0.8</v>
      </c>
      <c r="H525" t="n">
        <v>0</v>
      </c>
      <c r="I525" t="n">
        <v>0</v>
      </c>
      <c r="J525" t="n">
        <v>0</v>
      </c>
      <c r="K525" t="n">
        <v>0</v>
      </c>
      <c r="L525" t="n">
        <v>0</v>
      </c>
      <c r="M525" t="n">
        <v>0</v>
      </c>
      <c r="N525" t="n">
        <v>0</v>
      </c>
      <c r="O525" t="n">
        <v>0</v>
      </c>
      <c r="P525" t="n">
        <v>0</v>
      </c>
      <c r="Q525" t="n">
        <v>0</v>
      </c>
      <c r="R525" s="2" t="inlineStr"/>
    </row>
    <row r="526" ht="15" customHeight="1">
      <c r="A526" t="inlineStr">
        <is>
          <t>A 30374-2023</t>
        </is>
      </c>
      <c r="B526" s="1" t="n">
        <v>45111</v>
      </c>
      <c r="C526" s="1" t="n">
        <v>45895</v>
      </c>
      <c r="D526" t="inlineStr">
        <is>
          <t>ÖREBRO LÄN</t>
        </is>
      </c>
      <c r="E526" t="inlineStr">
        <is>
          <t>ÖREBRO</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22677-2022</t>
        </is>
      </c>
      <c r="B527" s="1" t="n">
        <v>44714</v>
      </c>
      <c r="C527" s="1" t="n">
        <v>45895</v>
      </c>
      <c r="D527" t="inlineStr">
        <is>
          <t>ÖREBRO LÄN</t>
        </is>
      </c>
      <c r="E527" t="inlineStr">
        <is>
          <t>ÖREBRO</t>
        </is>
      </c>
      <c r="G527" t="n">
        <v>2.3</v>
      </c>
      <c r="H527" t="n">
        <v>0</v>
      </c>
      <c r="I527" t="n">
        <v>0</v>
      </c>
      <c r="J527" t="n">
        <v>0</v>
      </c>
      <c r="K527" t="n">
        <v>0</v>
      </c>
      <c r="L527" t="n">
        <v>0</v>
      </c>
      <c r="M527" t="n">
        <v>0</v>
      </c>
      <c r="N527" t="n">
        <v>0</v>
      </c>
      <c r="O527" t="n">
        <v>0</v>
      </c>
      <c r="P527" t="n">
        <v>0</v>
      </c>
      <c r="Q527" t="n">
        <v>0</v>
      </c>
      <c r="R527" s="2" t="inlineStr"/>
    </row>
    <row r="528" ht="15" customHeight="1">
      <c r="A528" t="inlineStr">
        <is>
          <t>A 71288-2021</t>
        </is>
      </c>
      <c r="B528" s="1" t="n">
        <v>44539.62481481482</v>
      </c>
      <c r="C528" s="1" t="n">
        <v>45895</v>
      </c>
      <c r="D528" t="inlineStr">
        <is>
          <t>ÖREBRO LÄN</t>
        </is>
      </c>
      <c r="E528" t="inlineStr">
        <is>
          <t>ÖREBRO</t>
        </is>
      </c>
      <c r="G528" t="n">
        <v>3.9</v>
      </c>
      <c r="H528" t="n">
        <v>0</v>
      </c>
      <c r="I528" t="n">
        <v>0</v>
      </c>
      <c r="J528" t="n">
        <v>0</v>
      </c>
      <c r="K528" t="n">
        <v>0</v>
      </c>
      <c r="L528" t="n">
        <v>0</v>
      </c>
      <c r="M528" t="n">
        <v>0</v>
      </c>
      <c r="N528" t="n">
        <v>0</v>
      </c>
      <c r="O528" t="n">
        <v>0</v>
      </c>
      <c r="P528" t="n">
        <v>0</v>
      </c>
      <c r="Q528" t="n">
        <v>0</v>
      </c>
      <c r="R528" s="2" t="inlineStr"/>
    </row>
    <row r="529" ht="15" customHeight="1">
      <c r="A529" t="inlineStr">
        <is>
          <t>A 10830-2023</t>
        </is>
      </c>
      <c r="B529" s="1" t="n">
        <v>44990.89752314815</v>
      </c>
      <c r="C529" s="1" t="n">
        <v>45895</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7692-2023</t>
        </is>
      </c>
      <c r="B530" s="1" t="n">
        <v>44972.7762962963</v>
      </c>
      <c r="C530" s="1" t="n">
        <v>45895</v>
      </c>
      <c r="D530" t="inlineStr">
        <is>
          <t>ÖREBRO LÄN</t>
        </is>
      </c>
      <c r="E530" t="inlineStr">
        <is>
          <t>ÖREBRO</t>
        </is>
      </c>
      <c r="G530" t="n">
        <v>1.5</v>
      </c>
      <c r="H530" t="n">
        <v>0</v>
      </c>
      <c r="I530" t="n">
        <v>0</v>
      </c>
      <c r="J530" t="n">
        <v>0</v>
      </c>
      <c r="K530" t="n">
        <v>0</v>
      </c>
      <c r="L530" t="n">
        <v>0</v>
      </c>
      <c r="M530" t="n">
        <v>0</v>
      </c>
      <c r="N530" t="n">
        <v>0</v>
      </c>
      <c r="O530" t="n">
        <v>0</v>
      </c>
      <c r="P530" t="n">
        <v>0</v>
      </c>
      <c r="Q530" t="n">
        <v>0</v>
      </c>
      <c r="R530" s="2" t="inlineStr"/>
    </row>
    <row r="531" ht="15" customHeight="1">
      <c r="A531" t="inlineStr">
        <is>
          <t>A 41678-2024</t>
        </is>
      </c>
      <c r="B531" s="1" t="n">
        <v>45560</v>
      </c>
      <c r="C531" s="1" t="n">
        <v>45895</v>
      </c>
      <c r="D531" t="inlineStr">
        <is>
          <t>ÖREBRO LÄN</t>
        </is>
      </c>
      <c r="E531" t="inlineStr">
        <is>
          <t>ÖREBRO</t>
        </is>
      </c>
      <c r="G531" t="n">
        <v>11.3</v>
      </c>
      <c r="H531" t="n">
        <v>0</v>
      </c>
      <c r="I531" t="n">
        <v>0</v>
      </c>
      <c r="J531" t="n">
        <v>0</v>
      </c>
      <c r="K531" t="n">
        <v>0</v>
      </c>
      <c r="L531" t="n">
        <v>0</v>
      </c>
      <c r="M531" t="n">
        <v>0</v>
      </c>
      <c r="N531" t="n">
        <v>0</v>
      </c>
      <c r="O531" t="n">
        <v>0</v>
      </c>
      <c r="P531" t="n">
        <v>0</v>
      </c>
      <c r="Q531" t="n">
        <v>0</v>
      </c>
      <c r="R531" s="2" t="inlineStr"/>
    </row>
    <row r="532" ht="15" customHeight="1">
      <c r="A532" t="inlineStr">
        <is>
          <t>A 48687-2024</t>
        </is>
      </c>
      <c r="B532" s="1" t="n">
        <v>45593.49899305555</v>
      </c>
      <c r="C532" s="1" t="n">
        <v>45895</v>
      </c>
      <c r="D532" t="inlineStr">
        <is>
          <t>ÖREBRO LÄN</t>
        </is>
      </c>
      <c r="E532" t="inlineStr">
        <is>
          <t>ÖREBRO</t>
        </is>
      </c>
      <c r="F532" t="inlineStr">
        <is>
          <t>Övriga Aktiebolag</t>
        </is>
      </c>
      <c r="G532" t="n">
        <v>3.8</v>
      </c>
      <c r="H532" t="n">
        <v>0</v>
      </c>
      <c r="I532" t="n">
        <v>0</v>
      </c>
      <c r="J532" t="n">
        <v>0</v>
      </c>
      <c r="K532" t="n">
        <v>0</v>
      </c>
      <c r="L532" t="n">
        <v>0</v>
      </c>
      <c r="M532" t="n">
        <v>0</v>
      </c>
      <c r="N532" t="n">
        <v>0</v>
      </c>
      <c r="O532" t="n">
        <v>0</v>
      </c>
      <c r="P532" t="n">
        <v>0</v>
      </c>
      <c r="Q532" t="n">
        <v>0</v>
      </c>
      <c r="R532" s="2" t="inlineStr"/>
    </row>
    <row r="533" ht="15" customHeight="1">
      <c r="A533" t="inlineStr">
        <is>
          <t>A 31240-2023</t>
        </is>
      </c>
      <c r="B533" s="1" t="n">
        <v>45114</v>
      </c>
      <c r="C533" s="1" t="n">
        <v>45895</v>
      </c>
      <c r="D533" t="inlineStr">
        <is>
          <t>ÖREBRO LÄN</t>
        </is>
      </c>
      <c r="E533" t="inlineStr">
        <is>
          <t>ÖREBRO</t>
        </is>
      </c>
      <c r="F533" t="inlineStr">
        <is>
          <t>Allmännings- och besparingsskogar</t>
        </is>
      </c>
      <c r="G533" t="n">
        <v>6.2</v>
      </c>
      <c r="H533" t="n">
        <v>0</v>
      </c>
      <c r="I533" t="n">
        <v>0</v>
      </c>
      <c r="J533" t="n">
        <v>0</v>
      </c>
      <c r="K533" t="n">
        <v>0</v>
      </c>
      <c r="L533" t="n">
        <v>0</v>
      </c>
      <c r="M533" t="n">
        <v>0</v>
      </c>
      <c r="N533" t="n">
        <v>0</v>
      </c>
      <c r="O533" t="n">
        <v>0</v>
      </c>
      <c r="P533" t="n">
        <v>0</v>
      </c>
      <c r="Q533" t="n">
        <v>0</v>
      </c>
      <c r="R533" s="2" t="inlineStr"/>
    </row>
    <row r="534" ht="15" customHeight="1">
      <c r="A534" t="inlineStr">
        <is>
          <t>A 42285-2020</t>
        </is>
      </c>
      <c r="B534" s="1" t="n">
        <v>44076</v>
      </c>
      <c r="C534" s="1" t="n">
        <v>45895</v>
      </c>
      <c r="D534" t="inlineStr">
        <is>
          <t>ÖREBRO LÄN</t>
        </is>
      </c>
      <c r="E534" t="inlineStr">
        <is>
          <t>ÖREBRO</t>
        </is>
      </c>
      <c r="F534" t="inlineStr">
        <is>
          <t>Övriga Aktiebolag</t>
        </is>
      </c>
      <c r="G534" t="n">
        <v>0.4</v>
      </c>
      <c r="H534" t="n">
        <v>0</v>
      </c>
      <c r="I534" t="n">
        <v>0</v>
      </c>
      <c r="J534" t="n">
        <v>0</v>
      </c>
      <c r="K534" t="n">
        <v>0</v>
      </c>
      <c r="L534" t="n">
        <v>0</v>
      </c>
      <c r="M534" t="n">
        <v>0</v>
      </c>
      <c r="N534" t="n">
        <v>0</v>
      </c>
      <c r="O534" t="n">
        <v>0</v>
      </c>
      <c r="P534" t="n">
        <v>0</v>
      </c>
      <c r="Q534" t="n">
        <v>0</v>
      </c>
      <c r="R534" s="2" t="inlineStr"/>
    </row>
    <row r="535" ht="15" customHeight="1">
      <c r="A535" t="inlineStr">
        <is>
          <t>A 39479-2025</t>
        </is>
      </c>
      <c r="B535" s="1" t="n">
        <v>45890.34752314815</v>
      </c>
      <c r="C535" s="1" t="n">
        <v>45895</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50026-2024</t>
        </is>
      </c>
      <c r="B536" s="1" t="n">
        <v>45599.60541666667</v>
      </c>
      <c r="C536" s="1" t="n">
        <v>45895</v>
      </c>
      <c r="D536" t="inlineStr">
        <is>
          <t>ÖREBRO LÄN</t>
        </is>
      </c>
      <c r="E536" t="inlineStr">
        <is>
          <t>ÖREBRO</t>
        </is>
      </c>
      <c r="G536" t="n">
        <v>2.2</v>
      </c>
      <c r="H536" t="n">
        <v>0</v>
      </c>
      <c r="I536" t="n">
        <v>0</v>
      </c>
      <c r="J536" t="n">
        <v>0</v>
      </c>
      <c r="K536" t="n">
        <v>0</v>
      </c>
      <c r="L536" t="n">
        <v>0</v>
      </c>
      <c r="M536" t="n">
        <v>0</v>
      </c>
      <c r="N536" t="n">
        <v>0</v>
      </c>
      <c r="O536" t="n">
        <v>0</v>
      </c>
      <c r="P536" t="n">
        <v>0</v>
      </c>
      <c r="Q536" t="n">
        <v>0</v>
      </c>
      <c r="R536" s="2" t="inlineStr"/>
    </row>
    <row r="537" ht="15" customHeight="1">
      <c r="A537" t="inlineStr">
        <is>
          <t>A 39446-2025</t>
        </is>
      </c>
      <c r="B537" s="1" t="n">
        <v>45889.70388888889</v>
      </c>
      <c r="C537" s="1" t="n">
        <v>45895</v>
      </c>
      <c r="D537" t="inlineStr">
        <is>
          <t>ÖREBRO LÄN</t>
        </is>
      </c>
      <c r="E537" t="inlineStr">
        <is>
          <t>ÖREBRO</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18449-2023</t>
        </is>
      </c>
      <c r="B538" s="1" t="n">
        <v>45042.5203125</v>
      </c>
      <c r="C538" s="1" t="n">
        <v>45895</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54678-2023</t>
        </is>
      </c>
      <c r="B539" s="1" t="n">
        <v>45235</v>
      </c>
      <c r="C539" s="1" t="n">
        <v>45895</v>
      </c>
      <c r="D539" t="inlineStr">
        <is>
          <t>ÖREBRO LÄN</t>
        </is>
      </c>
      <c r="E539" t="inlineStr">
        <is>
          <t>ÖREBRO</t>
        </is>
      </c>
      <c r="G539" t="n">
        <v>1.7</v>
      </c>
      <c r="H539" t="n">
        <v>0</v>
      </c>
      <c r="I539" t="n">
        <v>0</v>
      </c>
      <c r="J539" t="n">
        <v>0</v>
      </c>
      <c r="K539" t="n">
        <v>0</v>
      </c>
      <c r="L539" t="n">
        <v>0</v>
      </c>
      <c r="M539" t="n">
        <v>0</v>
      </c>
      <c r="N539" t="n">
        <v>0</v>
      </c>
      <c r="O539" t="n">
        <v>0</v>
      </c>
      <c r="P539" t="n">
        <v>0</v>
      </c>
      <c r="Q539" t="n">
        <v>0</v>
      </c>
      <c r="R539" s="2" t="inlineStr"/>
    </row>
    <row r="540" ht="15" customHeight="1">
      <c r="A540" t="inlineStr">
        <is>
          <t>A 16936-2023</t>
        </is>
      </c>
      <c r="B540" s="1" t="n">
        <v>45033.63005787037</v>
      </c>
      <c r="C540" s="1" t="n">
        <v>45895</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35062-2025</t>
        </is>
      </c>
      <c r="B541" s="1" t="n">
        <v>45852</v>
      </c>
      <c r="C541" s="1" t="n">
        <v>45895</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58145-2024</t>
        </is>
      </c>
      <c r="B542" s="1" t="n">
        <v>45632.43230324074</v>
      </c>
      <c r="C542" s="1" t="n">
        <v>45895</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64730-2023</t>
        </is>
      </c>
      <c r="B543" s="1" t="n">
        <v>45281</v>
      </c>
      <c r="C543" s="1" t="n">
        <v>45895</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58219-2024</t>
        </is>
      </c>
      <c r="B544" s="1" t="n">
        <v>45632</v>
      </c>
      <c r="C544" s="1" t="n">
        <v>45895</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42518-2021</t>
        </is>
      </c>
      <c r="B545" s="1" t="n">
        <v>44427.81496527778</v>
      </c>
      <c r="C545" s="1" t="n">
        <v>45895</v>
      </c>
      <c r="D545" t="inlineStr">
        <is>
          <t>ÖREBRO LÄN</t>
        </is>
      </c>
      <c r="E545" t="inlineStr">
        <is>
          <t>ÖREBRO</t>
        </is>
      </c>
      <c r="G545" t="n">
        <v>4.5</v>
      </c>
      <c r="H545" t="n">
        <v>0</v>
      </c>
      <c r="I545" t="n">
        <v>0</v>
      </c>
      <c r="J545" t="n">
        <v>0</v>
      </c>
      <c r="K545" t="n">
        <v>0</v>
      </c>
      <c r="L545" t="n">
        <v>0</v>
      </c>
      <c r="M545" t="n">
        <v>0</v>
      </c>
      <c r="N545" t="n">
        <v>0</v>
      </c>
      <c r="O545" t="n">
        <v>0</v>
      </c>
      <c r="P545" t="n">
        <v>0</v>
      </c>
      <c r="Q545" t="n">
        <v>0</v>
      </c>
      <c r="R545" s="2" t="inlineStr"/>
    </row>
    <row r="546" ht="15" customHeight="1">
      <c r="A546" t="inlineStr">
        <is>
          <t>A 14545-2023</t>
        </is>
      </c>
      <c r="B546" s="1" t="n">
        <v>45013.34895833334</v>
      </c>
      <c r="C546" s="1" t="n">
        <v>45895</v>
      </c>
      <c r="D546" t="inlineStr">
        <is>
          <t>ÖREBRO LÄN</t>
        </is>
      </c>
      <c r="E546" t="inlineStr">
        <is>
          <t>ÖREBRO</t>
        </is>
      </c>
      <c r="G546" t="n">
        <v>2.5</v>
      </c>
      <c r="H546" t="n">
        <v>0</v>
      </c>
      <c r="I546" t="n">
        <v>0</v>
      </c>
      <c r="J546" t="n">
        <v>0</v>
      </c>
      <c r="K546" t="n">
        <v>0</v>
      </c>
      <c r="L546" t="n">
        <v>0</v>
      </c>
      <c r="M546" t="n">
        <v>0</v>
      </c>
      <c r="N546" t="n">
        <v>0</v>
      </c>
      <c r="O546" t="n">
        <v>0</v>
      </c>
      <c r="P546" t="n">
        <v>0</v>
      </c>
      <c r="Q546" t="n">
        <v>0</v>
      </c>
      <c r="R546" s="2" t="inlineStr"/>
    </row>
    <row r="547" ht="15" customHeight="1">
      <c r="A547" t="inlineStr">
        <is>
          <t>A 44284-2022</t>
        </is>
      </c>
      <c r="B547" s="1" t="n">
        <v>44839.59194444444</v>
      </c>
      <c r="C547" s="1" t="n">
        <v>45895</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14544-2023</t>
        </is>
      </c>
      <c r="B548" s="1" t="n">
        <v>45013</v>
      </c>
      <c r="C548" s="1" t="n">
        <v>45895</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27112-2023</t>
        </is>
      </c>
      <c r="B549" s="1" t="n">
        <v>45096</v>
      </c>
      <c r="C549" s="1" t="n">
        <v>45895</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14524-2025</t>
        </is>
      </c>
      <c r="B550" s="1" t="n">
        <v>45741.64815972222</v>
      </c>
      <c r="C550" s="1" t="n">
        <v>45895</v>
      </c>
      <c r="D550" t="inlineStr">
        <is>
          <t>ÖREBRO LÄN</t>
        </is>
      </c>
      <c r="E550" t="inlineStr">
        <is>
          <t>ÖREBRO</t>
        </is>
      </c>
      <c r="G550" t="n">
        <v>2.8</v>
      </c>
      <c r="H550" t="n">
        <v>0</v>
      </c>
      <c r="I550" t="n">
        <v>0</v>
      </c>
      <c r="J550" t="n">
        <v>0</v>
      </c>
      <c r="K550" t="n">
        <v>0</v>
      </c>
      <c r="L550" t="n">
        <v>0</v>
      </c>
      <c r="M550" t="n">
        <v>0</v>
      </c>
      <c r="N550" t="n">
        <v>0</v>
      </c>
      <c r="O550" t="n">
        <v>0</v>
      </c>
      <c r="P550" t="n">
        <v>0</v>
      </c>
      <c r="Q550" t="n">
        <v>0</v>
      </c>
      <c r="R550" s="2" t="inlineStr"/>
    </row>
    <row r="551" ht="15" customHeight="1">
      <c r="A551" t="inlineStr">
        <is>
          <t>A 46834-2022</t>
        </is>
      </c>
      <c r="B551" s="1" t="n">
        <v>44851</v>
      </c>
      <c r="C551" s="1" t="n">
        <v>45895</v>
      </c>
      <c r="D551" t="inlineStr">
        <is>
          <t>ÖREBRO LÄN</t>
        </is>
      </c>
      <c r="E551" t="inlineStr">
        <is>
          <t>ÖREBRO</t>
        </is>
      </c>
      <c r="G551" t="n">
        <v>1.6</v>
      </c>
      <c r="H551" t="n">
        <v>0</v>
      </c>
      <c r="I551" t="n">
        <v>0</v>
      </c>
      <c r="J551" t="n">
        <v>0</v>
      </c>
      <c r="K551" t="n">
        <v>0</v>
      </c>
      <c r="L551" t="n">
        <v>0</v>
      </c>
      <c r="M551" t="n">
        <v>0</v>
      </c>
      <c r="N551" t="n">
        <v>0</v>
      </c>
      <c r="O551" t="n">
        <v>0</v>
      </c>
      <c r="P551" t="n">
        <v>0</v>
      </c>
      <c r="Q551" t="n">
        <v>0</v>
      </c>
      <c r="R551" s="2" t="inlineStr"/>
    </row>
    <row r="552" ht="15" customHeight="1">
      <c r="A552" t="inlineStr">
        <is>
          <t>A 57638-2022</t>
        </is>
      </c>
      <c r="B552" s="1" t="n">
        <v>44897</v>
      </c>
      <c r="C552" s="1" t="n">
        <v>45895</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2152-2023</t>
        </is>
      </c>
      <c r="B553" s="1" t="n">
        <v>44941.55056712963</v>
      </c>
      <c r="C553" s="1" t="n">
        <v>45895</v>
      </c>
      <c r="D553" t="inlineStr">
        <is>
          <t>ÖREBRO LÄN</t>
        </is>
      </c>
      <c r="E553" t="inlineStr">
        <is>
          <t>ÖREBRO</t>
        </is>
      </c>
      <c r="G553" t="n">
        <v>8</v>
      </c>
      <c r="H553" t="n">
        <v>0</v>
      </c>
      <c r="I553" t="n">
        <v>0</v>
      </c>
      <c r="J553" t="n">
        <v>0</v>
      </c>
      <c r="K553" t="n">
        <v>0</v>
      </c>
      <c r="L553" t="n">
        <v>0</v>
      </c>
      <c r="M553" t="n">
        <v>0</v>
      </c>
      <c r="N553" t="n">
        <v>0</v>
      </c>
      <c r="O553" t="n">
        <v>0</v>
      </c>
      <c r="P553" t="n">
        <v>0</v>
      </c>
      <c r="Q553" t="n">
        <v>0</v>
      </c>
      <c r="R553" s="2" t="inlineStr"/>
    </row>
    <row r="554" ht="15" customHeight="1">
      <c r="A554" t="inlineStr">
        <is>
          <t>A 15682-2023</t>
        </is>
      </c>
      <c r="B554" s="1" t="n">
        <v>45021</v>
      </c>
      <c r="C554" s="1" t="n">
        <v>45895</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4416-2023</t>
        </is>
      </c>
      <c r="B555" s="1" t="n">
        <v>44956</v>
      </c>
      <c r="C555" s="1" t="n">
        <v>45895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49062-2023</t>
        </is>
      </c>
      <c r="B556" s="1" t="n">
        <v>45210.35119212963</v>
      </c>
      <c r="C556" s="1" t="n">
        <v>45895</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55745-2023</t>
        </is>
      </c>
      <c r="B557" s="1" t="n">
        <v>45239.44811342593</v>
      </c>
      <c r="C557" s="1" t="n">
        <v>45895</v>
      </c>
      <c r="D557" t="inlineStr">
        <is>
          <t>ÖREBRO LÄN</t>
        </is>
      </c>
      <c r="E557" t="inlineStr">
        <is>
          <t>ÖREBRO</t>
        </is>
      </c>
      <c r="G557" t="n">
        <v>13.3</v>
      </c>
      <c r="H557" t="n">
        <v>0</v>
      </c>
      <c r="I557" t="n">
        <v>0</v>
      </c>
      <c r="J557" t="n">
        <v>0</v>
      </c>
      <c r="K557" t="n">
        <v>0</v>
      </c>
      <c r="L557" t="n">
        <v>0</v>
      </c>
      <c r="M557" t="n">
        <v>0</v>
      </c>
      <c r="N557" t="n">
        <v>0</v>
      </c>
      <c r="O557" t="n">
        <v>0</v>
      </c>
      <c r="P557" t="n">
        <v>0</v>
      </c>
      <c r="Q557" t="n">
        <v>0</v>
      </c>
      <c r="R557" s="2" t="inlineStr"/>
    </row>
    <row r="558" ht="15" customHeight="1">
      <c r="A558" t="inlineStr">
        <is>
          <t>A 20589-2024</t>
        </is>
      </c>
      <c r="B558" s="1" t="n">
        <v>45436.42077546296</v>
      </c>
      <c r="C558" s="1" t="n">
        <v>45895</v>
      </c>
      <c r="D558" t="inlineStr">
        <is>
          <t>ÖREBRO LÄN</t>
        </is>
      </c>
      <c r="E558" t="inlineStr">
        <is>
          <t>ÖREBRO</t>
        </is>
      </c>
      <c r="G558" t="n">
        <v>3.7</v>
      </c>
      <c r="H558" t="n">
        <v>0</v>
      </c>
      <c r="I558" t="n">
        <v>0</v>
      </c>
      <c r="J558" t="n">
        <v>0</v>
      </c>
      <c r="K558" t="n">
        <v>0</v>
      </c>
      <c r="L558" t="n">
        <v>0</v>
      </c>
      <c r="M558" t="n">
        <v>0</v>
      </c>
      <c r="N558" t="n">
        <v>0</v>
      </c>
      <c r="O558" t="n">
        <v>0</v>
      </c>
      <c r="P558" t="n">
        <v>0</v>
      </c>
      <c r="Q558" t="n">
        <v>0</v>
      </c>
      <c r="R558" s="2" t="inlineStr"/>
    </row>
    <row r="559" ht="15" customHeight="1">
      <c r="A559" t="inlineStr">
        <is>
          <t>A 71285-2021</t>
        </is>
      </c>
      <c r="B559" s="1" t="n">
        <v>44539.62236111111</v>
      </c>
      <c r="C559" s="1" t="n">
        <v>45895</v>
      </c>
      <c r="D559" t="inlineStr">
        <is>
          <t>ÖREBRO LÄN</t>
        </is>
      </c>
      <c r="E559" t="inlineStr">
        <is>
          <t>ÖREBRO</t>
        </is>
      </c>
      <c r="G559" t="n">
        <v>0.8</v>
      </c>
      <c r="H559" t="n">
        <v>0</v>
      </c>
      <c r="I559" t="n">
        <v>0</v>
      </c>
      <c r="J559" t="n">
        <v>0</v>
      </c>
      <c r="K559" t="n">
        <v>0</v>
      </c>
      <c r="L559" t="n">
        <v>0</v>
      </c>
      <c r="M559" t="n">
        <v>0</v>
      </c>
      <c r="N559" t="n">
        <v>0</v>
      </c>
      <c r="O559" t="n">
        <v>0</v>
      </c>
      <c r="P559" t="n">
        <v>0</v>
      </c>
      <c r="Q559" t="n">
        <v>0</v>
      </c>
      <c r="R559" s="2" t="inlineStr"/>
    </row>
    <row r="560" ht="15" customHeight="1">
      <c r="A560" t="inlineStr">
        <is>
          <t>A 32321-2023</t>
        </is>
      </c>
      <c r="B560" s="1" t="n">
        <v>45120</v>
      </c>
      <c r="C560" s="1" t="n">
        <v>45895</v>
      </c>
      <c r="D560" t="inlineStr">
        <is>
          <t>ÖREBRO LÄN</t>
        </is>
      </c>
      <c r="E560" t="inlineStr">
        <is>
          <t>ÖREBRO</t>
        </is>
      </c>
      <c r="G560" t="n">
        <v>3.4</v>
      </c>
      <c r="H560" t="n">
        <v>0</v>
      </c>
      <c r="I560" t="n">
        <v>0</v>
      </c>
      <c r="J560" t="n">
        <v>0</v>
      </c>
      <c r="K560" t="n">
        <v>0</v>
      </c>
      <c r="L560" t="n">
        <v>0</v>
      </c>
      <c r="M560" t="n">
        <v>0</v>
      </c>
      <c r="N560" t="n">
        <v>0</v>
      </c>
      <c r="O560" t="n">
        <v>0</v>
      </c>
      <c r="P560" t="n">
        <v>0</v>
      </c>
      <c r="Q560" t="n">
        <v>0</v>
      </c>
      <c r="R560" s="2" t="inlineStr"/>
    </row>
    <row r="561" ht="15" customHeight="1">
      <c r="A561" t="inlineStr">
        <is>
          <t>A 2095-2025</t>
        </is>
      </c>
      <c r="B561" s="1" t="n">
        <v>45672</v>
      </c>
      <c r="C561" s="1" t="n">
        <v>45895</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71275-2021</t>
        </is>
      </c>
      <c r="B562" s="1" t="n">
        <v>44539</v>
      </c>
      <c r="C562" s="1" t="n">
        <v>45895</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60289-2023</t>
        </is>
      </c>
      <c r="B563" s="1" t="n">
        <v>45257</v>
      </c>
      <c r="C563" s="1" t="n">
        <v>45895</v>
      </c>
      <c r="D563" t="inlineStr">
        <is>
          <t>ÖREBRO LÄN</t>
        </is>
      </c>
      <c r="E563" t="inlineStr">
        <is>
          <t>ÖREBRO</t>
        </is>
      </c>
      <c r="G563" t="n">
        <v>10.9</v>
      </c>
      <c r="H563" t="n">
        <v>0</v>
      </c>
      <c r="I563" t="n">
        <v>0</v>
      </c>
      <c r="J563" t="n">
        <v>0</v>
      </c>
      <c r="K563" t="n">
        <v>0</v>
      </c>
      <c r="L563" t="n">
        <v>0</v>
      </c>
      <c r="M563" t="n">
        <v>0</v>
      </c>
      <c r="N563" t="n">
        <v>0</v>
      </c>
      <c r="O563" t="n">
        <v>0</v>
      </c>
      <c r="P563" t="n">
        <v>0</v>
      </c>
      <c r="Q563" t="n">
        <v>0</v>
      </c>
      <c r="R563" s="2" t="inlineStr"/>
    </row>
    <row r="564" ht="15" customHeight="1">
      <c r="A564" t="inlineStr">
        <is>
          <t>A 12099-2023</t>
        </is>
      </c>
      <c r="B564" s="1" t="n">
        <v>44998.37043981482</v>
      </c>
      <c r="C564" s="1" t="n">
        <v>45895</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58608-2024</t>
        </is>
      </c>
      <c r="B565" s="1" t="n">
        <v>45635.55185185185</v>
      </c>
      <c r="C565" s="1" t="n">
        <v>45895</v>
      </c>
      <c r="D565" t="inlineStr">
        <is>
          <t>ÖREBRO LÄN</t>
        </is>
      </c>
      <c r="E565" t="inlineStr">
        <is>
          <t>ÖREBRO</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2153-2023</t>
        </is>
      </c>
      <c r="B566" s="1" t="n">
        <v>44941</v>
      </c>
      <c r="C566" s="1" t="n">
        <v>45895</v>
      </c>
      <c r="D566" t="inlineStr">
        <is>
          <t>ÖREBRO LÄN</t>
        </is>
      </c>
      <c r="E566" t="inlineStr">
        <is>
          <t>ÖREBRO</t>
        </is>
      </c>
      <c r="G566" t="n">
        <v>6.3</v>
      </c>
      <c r="H566" t="n">
        <v>0</v>
      </c>
      <c r="I566" t="n">
        <v>0</v>
      </c>
      <c r="J566" t="n">
        <v>0</v>
      </c>
      <c r="K566" t="n">
        <v>0</v>
      </c>
      <c r="L566" t="n">
        <v>0</v>
      </c>
      <c r="M566" t="n">
        <v>0</v>
      </c>
      <c r="N566" t="n">
        <v>0</v>
      </c>
      <c r="O566" t="n">
        <v>0</v>
      </c>
      <c r="P566" t="n">
        <v>0</v>
      </c>
      <c r="Q566" t="n">
        <v>0</v>
      </c>
      <c r="R566" s="2" t="inlineStr"/>
    </row>
    <row r="567" ht="15" customHeight="1">
      <c r="A567" t="inlineStr">
        <is>
          <t>A 2069-2025</t>
        </is>
      </c>
      <c r="B567" s="1" t="n">
        <v>45672.56614583333</v>
      </c>
      <c r="C567" s="1" t="n">
        <v>45895</v>
      </c>
      <c r="D567" t="inlineStr">
        <is>
          <t>ÖREBRO LÄN</t>
        </is>
      </c>
      <c r="E567" t="inlineStr">
        <is>
          <t>ÖREBRO</t>
        </is>
      </c>
      <c r="G567" t="n">
        <v>3.8</v>
      </c>
      <c r="H567" t="n">
        <v>0</v>
      </c>
      <c r="I567" t="n">
        <v>0</v>
      </c>
      <c r="J567" t="n">
        <v>0</v>
      </c>
      <c r="K567" t="n">
        <v>0</v>
      </c>
      <c r="L567" t="n">
        <v>0</v>
      </c>
      <c r="M567" t="n">
        <v>0</v>
      </c>
      <c r="N567" t="n">
        <v>0</v>
      </c>
      <c r="O567" t="n">
        <v>0</v>
      </c>
      <c r="P567" t="n">
        <v>0</v>
      </c>
      <c r="Q567" t="n">
        <v>0</v>
      </c>
      <c r="R567" s="2" t="inlineStr"/>
    </row>
    <row r="568" ht="15" customHeight="1">
      <c r="A568" t="inlineStr">
        <is>
          <t>A 852-2025</t>
        </is>
      </c>
      <c r="B568" s="1" t="n">
        <v>45665.60148148148</v>
      </c>
      <c r="C568" s="1" t="n">
        <v>45895</v>
      </c>
      <c r="D568" t="inlineStr">
        <is>
          <t>ÖREBRO LÄN</t>
        </is>
      </c>
      <c r="E568" t="inlineStr">
        <is>
          <t>ÖREBRO</t>
        </is>
      </c>
      <c r="G568" t="n">
        <v>2.9</v>
      </c>
      <c r="H568" t="n">
        <v>0</v>
      </c>
      <c r="I568" t="n">
        <v>0</v>
      </c>
      <c r="J568" t="n">
        <v>0</v>
      </c>
      <c r="K568" t="n">
        <v>0</v>
      </c>
      <c r="L568" t="n">
        <v>0</v>
      </c>
      <c r="M568" t="n">
        <v>0</v>
      </c>
      <c r="N568" t="n">
        <v>0</v>
      </c>
      <c r="O568" t="n">
        <v>0</v>
      </c>
      <c r="P568" t="n">
        <v>0</v>
      </c>
      <c r="Q568" t="n">
        <v>0</v>
      </c>
      <c r="R568" s="2" t="inlineStr"/>
    </row>
    <row r="569" ht="15" customHeight="1">
      <c r="A569" t="inlineStr">
        <is>
          <t>A 50398-2022</t>
        </is>
      </c>
      <c r="B569" s="1" t="n">
        <v>44861</v>
      </c>
      <c r="C569" s="1" t="n">
        <v>45895</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52441-2024</t>
        </is>
      </c>
      <c r="B570" s="1" t="n">
        <v>45609.48451388889</v>
      </c>
      <c r="C570" s="1" t="n">
        <v>45895</v>
      </c>
      <c r="D570" t="inlineStr">
        <is>
          <t>ÖREBRO LÄN</t>
        </is>
      </c>
      <c r="E570" t="inlineStr">
        <is>
          <t>ÖREBRO</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52499-2024</t>
        </is>
      </c>
      <c r="B571" s="1" t="n">
        <v>45609.58422453704</v>
      </c>
      <c r="C571" s="1" t="n">
        <v>45895</v>
      </c>
      <c r="D571" t="inlineStr">
        <is>
          <t>ÖREBRO LÄN</t>
        </is>
      </c>
      <c r="E571" t="inlineStr">
        <is>
          <t>ÖREBRO</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8008-2024</t>
        </is>
      </c>
      <c r="B572" s="1" t="n">
        <v>45350.6794212963</v>
      </c>
      <c r="C572" s="1" t="n">
        <v>45895</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18181-2024</t>
        </is>
      </c>
      <c r="B573" s="1" t="n">
        <v>45420.64561342593</v>
      </c>
      <c r="C573" s="1" t="n">
        <v>45895</v>
      </c>
      <c r="D573" t="inlineStr">
        <is>
          <t>ÖREBRO LÄN</t>
        </is>
      </c>
      <c r="E573" t="inlineStr">
        <is>
          <t>ÖREBRO</t>
        </is>
      </c>
      <c r="G573" t="n">
        <v>7.6</v>
      </c>
      <c r="H573" t="n">
        <v>0</v>
      </c>
      <c r="I573" t="n">
        <v>0</v>
      </c>
      <c r="J573" t="n">
        <v>0</v>
      </c>
      <c r="K573" t="n">
        <v>0</v>
      </c>
      <c r="L573" t="n">
        <v>0</v>
      </c>
      <c r="M573" t="n">
        <v>0</v>
      </c>
      <c r="N573" t="n">
        <v>0</v>
      </c>
      <c r="O573" t="n">
        <v>0</v>
      </c>
      <c r="P573" t="n">
        <v>0</v>
      </c>
      <c r="Q573" t="n">
        <v>0</v>
      </c>
      <c r="R573" s="2" t="inlineStr"/>
    </row>
    <row r="574" ht="15" customHeight="1">
      <c r="A574" t="inlineStr">
        <is>
          <t>A 38415-2023</t>
        </is>
      </c>
      <c r="B574" s="1" t="n">
        <v>45162.35502314815</v>
      </c>
      <c r="C574" s="1" t="n">
        <v>45895</v>
      </c>
      <c r="D574" t="inlineStr">
        <is>
          <t>ÖREBRO LÄN</t>
        </is>
      </c>
      <c r="E574" t="inlineStr">
        <is>
          <t>ÖREBRO</t>
        </is>
      </c>
      <c r="G574" t="n">
        <v>2.6</v>
      </c>
      <c r="H574" t="n">
        <v>0</v>
      </c>
      <c r="I574" t="n">
        <v>0</v>
      </c>
      <c r="J574" t="n">
        <v>0</v>
      </c>
      <c r="K574" t="n">
        <v>0</v>
      </c>
      <c r="L574" t="n">
        <v>0</v>
      </c>
      <c r="M574" t="n">
        <v>0</v>
      </c>
      <c r="N574" t="n">
        <v>0</v>
      </c>
      <c r="O574" t="n">
        <v>0</v>
      </c>
      <c r="P574" t="n">
        <v>0</v>
      </c>
      <c r="Q574" t="n">
        <v>0</v>
      </c>
      <c r="R574" s="2" t="inlineStr"/>
    </row>
    <row r="575" ht="15" customHeight="1">
      <c r="A575" t="inlineStr">
        <is>
          <t>A 16374-2022</t>
        </is>
      </c>
      <c r="B575" s="1" t="n">
        <v>44671</v>
      </c>
      <c r="C575" s="1" t="n">
        <v>45895</v>
      </c>
      <c r="D575" t="inlineStr">
        <is>
          <t>ÖREBRO LÄN</t>
        </is>
      </c>
      <c r="E575" t="inlineStr">
        <is>
          <t>ÖREBRO</t>
        </is>
      </c>
      <c r="F575" t="inlineStr">
        <is>
          <t>Övriga Aktiebolag</t>
        </is>
      </c>
      <c r="G575" t="n">
        <v>30.3</v>
      </c>
      <c r="H575" t="n">
        <v>0</v>
      </c>
      <c r="I575" t="n">
        <v>0</v>
      </c>
      <c r="J575" t="n">
        <v>0</v>
      </c>
      <c r="K575" t="n">
        <v>0</v>
      </c>
      <c r="L575" t="n">
        <v>0</v>
      </c>
      <c r="M575" t="n">
        <v>0</v>
      </c>
      <c r="N575" t="n">
        <v>0</v>
      </c>
      <c r="O575" t="n">
        <v>0</v>
      </c>
      <c r="P575" t="n">
        <v>0</v>
      </c>
      <c r="Q575" t="n">
        <v>0</v>
      </c>
      <c r="R575" s="2" t="inlineStr"/>
    </row>
    <row r="576" ht="15" customHeight="1">
      <c r="A576" t="inlineStr">
        <is>
          <t>A 9704-2023</t>
        </is>
      </c>
      <c r="B576" s="1" t="n">
        <v>44984</v>
      </c>
      <c r="C576" s="1" t="n">
        <v>45895</v>
      </c>
      <c r="D576" t="inlineStr">
        <is>
          <t>ÖREBRO LÄN</t>
        </is>
      </c>
      <c r="E576" t="inlineStr">
        <is>
          <t>ÖREBRO</t>
        </is>
      </c>
      <c r="G576" t="n">
        <v>1</v>
      </c>
      <c r="H576" t="n">
        <v>0</v>
      </c>
      <c r="I576" t="n">
        <v>0</v>
      </c>
      <c r="J576" t="n">
        <v>0</v>
      </c>
      <c r="K576" t="n">
        <v>0</v>
      </c>
      <c r="L576" t="n">
        <v>0</v>
      </c>
      <c r="M576" t="n">
        <v>0</v>
      </c>
      <c r="N576" t="n">
        <v>0</v>
      </c>
      <c r="O576" t="n">
        <v>0</v>
      </c>
      <c r="P576" t="n">
        <v>0</v>
      </c>
      <c r="Q576" t="n">
        <v>0</v>
      </c>
      <c r="R576" s="2" t="inlineStr"/>
    </row>
    <row r="577" ht="15" customHeight="1">
      <c r="A577" t="inlineStr">
        <is>
          <t>A 19180-2025</t>
        </is>
      </c>
      <c r="B577" s="1" t="n">
        <v>45769.40133101852</v>
      </c>
      <c r="C577" s="1" t="n">
        <v>45895</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46052-2024</t>
        </is>
      </c>
      <c r="B578" s="1" t="n">
        <v>45580.89116898148</v>
      </c>
      <c r="C578" s="1" t="n">
        <v>45895</v>
      </c>
      <c r="D578" t="inlineStr">
        <is>
          <t>ÖREBRO LÄN</t>
        </is>
      </c>
      <c r="E578" t="inlineStr">
        <is>
          <t>ÖREBRO</t>
        </is>
      </c>
      <c r="F578" t="inlineStr">
        <is>
          <t>Övriga Aktiebolag</t>
        </is>
      </c>
      <c r="G578" t="n">
        <v>0.6</v>
      </c>
      <c r="H578" t="n">
        <v>0</v>
      </c>
      <c r="I578" t="n">
        <v>0</v>
      </c>
      <c r="J578" t="n">
        <v>0</v>
      </c>
      <c r="K578" t="n">
        <v>0</v>
      </c>
      <c r="L578" t="n">
        <v>0</v>
      </c>
      <c r="M578" t="n">
        <v>0</v>
      </c>
      <c r="N578" t="n">
        <v>0</v>
      </c>
      <c r="O578" t="n">
        <v>0</v>
      </c>
      <c r="P578" t="n">
        <v>0</v>
      </c>
      <c r="Q578" t="n">
        <v>0</v>
      </c>
      <c r="R578" s="2" t="inlineStr"/>
    </row>
    <row r="579" ht="15" customHeight="1">
      <c r="A579" t="inlineStr">
        <is>
          <t>A 58527-2024</t>
        </is>
      </c>
      <c r="B579" s="1" t="n">
        <v>45635.44388888889</v>
      </c>
      <c r="C579" s="1" t="n">
        <v>45895</v>
      </c>
      <c r="D579" t="inlineStr">
        <is>
          <t>ÖREBRO LÄN</t>
        </is>
      </c>
      <c r="E579" t="inlineStr">
        <is>
          <t>ÖREBRO</t>
        </is>
      </c>
      <c r="F579" t="inlineStr">
        <is>
          <t>Sveaskog</t>
        </is>
      </c>
      <c r="G579" t="n">
        <v>6.4</v>
      </c>
      <c r="H579" t="n">
        <v>0</v>
      </c>
      <c r="I579" t="n">
        <v>0</v>
      </c>
      <c r="J579" t="n">
        <v>0</v>
      </c>
      <c r="K579" t="n">
        <v>0</v>
      </c>
      <c r="L579" t="n">
        <v>0</v>
      </c>
      <c r="M579" t="n">
        <v>0</v>
      </c>
      <c r="N579" t="n">
        <v>0</v>
      </c>
      <c r="O579" t="n">
        <v>0</v>
      </c>
      <c r="P579" t="n">
        <v>0</v>
      </c>
      <c r="Q579" t="n">
        <v>0</v>
      </c>
      <c r="R579" s="2" t="inlineStr"/>
    </row>
    <row r="580" ht="15" customHeight="1">
      <c r="A580" t="inlineStr">
        <is>
          <t>A 37022-2024</t>
        </is>
      </c>
      <c r="B580" s="1" t="n">
        <v>45539.3822337963</v>
      </c>
      <c r="C580" s="1" t="n">
        <v>45895</v>
      </c>
      <c r="D580" t="inlineStr">
        <is>
          <t>ÖREBRO LÄN</t>
        </is>
      </c>
      <c r="E580" t="inlineStr">
        <is>
          <t>ÖREBRO</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37024-2024</t>
        </is>
      </c>
      <c r="B581" s="1" t="n">
        <v>45539.38329861111</v>
      </c>
      <c r="C581" s="1" t="n">
        <v>45895</v>
      </c>
      <c r="D581" t="inlineStr">
        <is>
          <t>ÖREBRO LÄN</t>
        </is>
      </c>
      <c r="E581" t="inlineStr">
        <is>
          <t>ÖREBRO</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38075-2022</t>
        </is>
      </c>
      <c r="B582" s="1" t="n">
        <v>44811</v>
      </c>
      <c r="C582" s="1" t="n">
        <v>45895</v>
      </c>
      <c r="D582" t="inlineStr">
        <is>
          <t>ÖREBRO LÄN</t>
        </is>
      </c>
      <c r="E582" t="inlineStr">
        <is>
          <t>ÖREBRO</t>
        </is>
      </c>
      <c r="G582" t="n">
        <v>0.2</v>
      </c>
      <c r="H582" t="n">
        <v>0</v>
      </c>
      <c r="I582" t="n">
        <v>0</v>
      </c>
      <c r="J582" t="n">
        <v>0</v>
      </c>
      <c r="K582" t="n">
        <v>0</v>
      </c>
      <c r="L582" t="n">
        <v>0</v>
      </c>
      <c r="M582" t="n">
        <v>0</v>
      </c>
      <c r="N582" t="n">
        <v>0</v>
      </c>
      <c r="O582" t="n">
        <v>0</v>
      </c>
      <c r="P582" t="n">
        <v>0</v>
      </c>
      <c r="Q582" t="n">
        <v>0</v>
      </c>
      <c r="R582" s="2" t="inlineStr"/>
    </row>
    <row r="583" ht="15" customHeight="1">
      <c r="A583" t="inlineStr">
        <is>
          <t>A 11382-2023</t>
        </is>
      </c>
      <c r="B583" s="1" t="n">
        <v>44993.45635416666</v>
      </c>
      <c r="C583" s="1" t="n">
        <v>45895</v>
      </c>
      <c r="D583" t="inlineStr">
        <is>
          <t>ÖREBRO LÄN</t>
        </is>
      </c>
      <c r="E583" t="inlineStr">
        <is>
          <t>ÖREBRO</t>
        </is>
      </c>
      <c r="G583" t="n">
        <v>3.3</v>
      </c>
      <c r="H583" t="n">
        <v>0</v>
      </c>
      <c r="I583" t="n">
        <v>0</v>
      </c>
      <c r="J583" t="n">
        <v>0</v>
      </c>
      <c r="K583" t="n">
        <v>0</v>
      </c>
      <c r="L583" t="n">
        <v>0</v>
      </c>
      <c r="M583" t="n">
        <v>0</v>
      </c>
      <c r="N583" t="n">
        <v>0</v>
      </c>
      <c r="O583" t="n">
        <v>0</v>
      </c>
      <c r="P583" t="n">
        <v>0</v>
      </c>
      <c r="Q583" t="n">
        <v>0</v>
      </c>
      <c r="R583" s="2" t="inlineStr"/>
    </row>
    <row r="584" ht="15" customHeight="1">
      <c r="A584" t="inlineStr">
        <is>
          <t>A 20121-2024</t>
        </is>
      </c>
      <c r="B584" s="1" t="n">
        <v>45434</v>
      </c>
      <c r="C584" s="1" t="n">
        <v>45895</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26117-2021</t>
        </is>
      </c>
      <c r="B585" s="1" t="n">
        <v>44345</v>
      </c>
      <c r="C585" s="1" t="n">
        <v>45895</v>
      </c>
      <c r="D585" t="inlineStr">
        <is>
          <t>ÖREBRO LÄN</t>
        </is>
      </c>
      <c r="E585" t="inlineStr">
        <is>
          <t>ÖREBRO</t>
        </is>
      </c>
      <c r="G585" t="n">
        <v>8.1</v>
      </c>
      <c r="H585" t="n">
        <v>0</v>
      </c>
      <c r="I585" t="n">
        <v>0</v>
      </c>
      <c r="J585" t="n">
        <v>0</v>
      </c>
      <c r="K585" t="n">
        <v>0</v>
      </c>
      <c r="L585" t="n">
        <v>0</v>
      </c>
      <c r="M585" t="n">
        <v>0</v>
      </c>
      <c r="N585" t="n">
        <v>0</v>
      </c>
      <c r="O585" t="n">
        <v>0</v>
      </c>
      <c r="P585" t="n">
        <v>0</v>
      </c>
      <c r="Q585" t="n">
        <v>0</v>
      </c>
      <c r="R585" s="2" t="inlineStr"/>
    </row>
    <row r="586" ht="15" customHeight="1">
      <c r="A586" t="inlineStr">
        <is>
          <t>A 55943-2024</t>
        </is>
      </c>
      <c r="B586" s="1" t="n">
        <v>45623.61278935185</v>
      </c>
      <c r="C586" s="1" t="n">
        <v>45895</v>
      </c>
      <c r="D586" t="inlineStr">
        <is>
          <t>ÖREBRO LÄN</t>
        </is>
      </c>
      <c r="E586" t="inlineStr">
        <is>
          <t>ÖREBRO</t>
        </is>
      </c>
      <c r="G586" t="n">
        <v>4.8</v>
      </c>
      <c r="H586" t="n">
        <v>0</v>
      </c>
      <c r="I586" t="n">
        <v>0</v>
      </c>
      <c r="J586" t="n">
        <v>0</v>
      </c>
      <c r="K586" t="n">
        <v>0</v>
      </c>
      <c r="L586" t="n">
        <v>0</v>
      </c>
      <c r="M586" t="n">
        <v>0</v>
      </c>
      <c r="N586" t="n">
        <v>0</v>
      </c>
      <c r="O586" t="n">
        <v>0</v>
      </c>
      <c r="P586" t="n">
        <v>0</v>
      </c>
      <c r="Q586" t="n">
        <v>0</v>
      </c>
      <c r="R586" s="2" t="inlineStr"/>
    </row>
    <row r="587" ht="15" customHeight="1">
      <c r="A587" t="inlineStr">
        <is>
          <t>A 1013-2024</t>
        </is>
      </c>
      <c r="B587" s="1" t="n">
        <v>45301</v>
      </c>
      <c r="C587" s="1" t="n">
        <v>45895</v>
      </c>
      <c r="D587" t="inlineStr">
        <is>
          <t>ÖREBRO LÄN</t>
        </is>
      </c>
      <c r="E587" t="inlineStr">
        <is>
          <t>ÖREBRO</t>
        </is>
      </c>
      <c r="G587" t="n">
        <v>2.6</v>
      </c>
      <c r="H587" t="n">
        <v>0</v>
      </c>
      <c r="I587" t="n">
        <v>0</v>
      </c>
      <c r="J587" t="n">
        <v>0</v>
      </c>
      <c r="K587" t="n">
        <v>0</v>
      </c>
      <c r="L587" t="n">
        <v>0</v>
      </c>
      <c r="M587" t="n">
        <v>0</v>
      </c>
      <c r="N587" t="n">
        <v>0</v>
      </c>
      <c r="O587" t="n">
        <v>0</v>
      </c>
      <c r="P587" t="n">
        <v>0</v>
      </c>
      <c r="Q587" t="n">
        <v>0</v>
      </c>
      <c r="R587" s="2" t="inlineStr"/>
    </row>
    <row r="588" ht="15" customHeight="1">
      <c r="A588" t="inlineStr">
        <is>
          <t>A 13623-2024</t>
        </is>
      </c>
      <c r="B588" s="1" t="n">
        <v>45390.38626157407</v>
      </c>
      <c r="C588" s="1" t="n">
        <v>45895</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5330-2024</t>
        </is>
      </c>
      <c r="B589" s="1" t="n">
        <v>45331.4187962963</v>
      </c>
      <c r="C589" s="1" t="n">
        <v>45895</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6794-2025</t>
        </is>
      </c>
      <c r="B590" s="1" t="n">
        <v>45700.66429398148</v>
      </c>
      <c r="C590" s="1" t="n">
        <v>45895</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3-2024</t>
        </is>
      </c>
      <c r="B591" s="1" t="n">
        <v>45292</v>
      </c>
      <c r="C591" s="1" t="n">
        <v>45895</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5619-2023</t>
        </is>
      </c>
      <c r="B592" s="1" t="n">
        <v>44958</v>
      </c>
      <c r="C592" s="1" t="n">
        <v>45895</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5578-2024</t>
        </is>
      </c>
      <c r="B593" s="1" t="n">
        <v>45334.49104166667</v>
      </c>
      <c r="C593" s="1" t="n">
        <v>45895</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46050-2024</t>
        </is>
      </c>
      <c r="B594" s="1" t="n">
        <v>45580.88078703704</v>
      </c>
      <c r="C594" s="1" t="n">
        <v>45895</v>
      </c>
      <c r="D594" t="inlineStr">
        <is>
          <t>ÖREBRO LÄN</t>
        </is>
      </c>
      <c r="E594" t="inlineStr">
        <is>
          <t>ÖREBRO</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45895</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45895</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45895</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45895</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45895</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45895</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45895</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45895</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45895</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45895</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45895</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46323-2024</t>
        </is>
      </c>
      <c r="B606" s="1" t="n">
        <v>45581.84538194445</v>
      </c>
      <c r="C606" s="1" t="n">
        <v>45895</v>
      </c>
      <c r="D606" t="inlineStr">
        <is>
          <t>ÖREBRO LÄN</t>
        </is>
      </c>
      <c r="E606" t="inlineStr">
        <is>
          <t>ÖREBRO</t>
        </is>
      </c>
      <c r="F606" t="inlineStr">
        <is>
          <t>Övriga Aktiebolag</t>
        </is>
      </c>
      <c r="G606" t="n">
        <v>1.4</v>
      </c>
      <c r="H606" t="n">
        <v>0</v>
      </c>
      <c r="I606" t="n">
        <v>0</v>
      </c>
      <c r="J606" t="n">
        <v>0</v>
      </c>
      <c r="K606" t="n">
        <v>0</v>
      </c>
      <c r="L606" t="n">
        <v>0</v>
      </c>
      <c r="M606" t="n">
        <v>0</v>
      </c>
      <c r="N606" t="n">
        <v>0</v>
      </c>
      <c r="O606" t="n">
        <v>0</v>
      </c>
      <c r="P606" t="n">
        <v>0</v>
      </c>
      <c r="Q606" t="n">
        <v>0</v>
      </c>
      <c r="R606" s="2" t="inlineStr"/>
    </row>
    <row r="607" ht="15" customHeight="1">
      <c r="A607" t="inlineStr">
        <is>
          <t>A 20146-2024</t>
        </is>
      </c>
      <c r="B607" s="1" t="n">
        <v>45434.57641203704</v>
      </c>
      <c r="C607" s="1" t="n">
        <v>45895</v>
      </c>
      <c r="D607" t="inlineStr">
        <is>
          <t>ÖREBRO LÄN</t>
        </is>
      </c>
      <c r="E607" t="inlineStr">
        <is>
          <t>ÖREBRO</t>
        </is>
      </c>
      <c r="G607" t="n">
        <v>0.5</v>
      </c>
      <c r="H607" t="n">
        <v>0</v>
      </c>
      <c r="I607" t="n">
        <v>0</v>
      </c>
      <c r="J607" t="n">
        <v>0</v>
      </c>
      <c r="K607" t="n">
        <v>0</v>
      </c>
      <c r="L607" t="n">
        <v>0</v>
      </c>
      <c r="M607" t="n">
        <v>0</v>
      </c>
      <c r="N607" t="n">
        <v>0</v>
      </c>
      <c r="O607" t="n">
        <v>0</v>
      </c>
      <c r="P607" t="n">
        <v>0</v>
      </c>
      <c r="Q607" t="n">
        <v>0</v>
      </c>
      <c r="R607" s="2" t="inlineStr"/>
    </row>
    <row r="608" ht="15" customHeight="1">
      <c r="A608" t="inlineStr">
        <is>
          <t>A 53143-2023</t>
        </is>
      </c>
      <c r="B608" s="1" t="n">
        <v>45229</v>
      </c>
      <c r="C608" s="1" t="n">
        <v>45895</v>
      </c>
      <c r="D608" t="inlineStr">
        <is>
          <t>ÖREBRO LÄN</t>
        </is>
      </c>
      <c r="E608" t="inlineStr">
        <is>
          <t>ÖREBRO</t>
        </is>
      </c>
      <c r="G608" t="n">
        <v>3.3</v>
      </c>
      <c r="H608" t="n">
        <v>0</v>
      </c>
      <c r="I608" t="n">
        <v>0</v>
      </c>
      <c r="J608" t="n">
        <v>0</v>
      </c>
      <c r="K608" t="n">
        <v>0</v>
      </c>
      <c r="L608" t="n">
        <v>0</v>
      </c>
      <c r="M608" t="n">
        <v>0</v>
      </c>
      <c r="N608" t="n">
        <v>0</v>
      </c>
      <c r="O608" t="n">
        <v>0</v>
      </c>
      <c r="P608" t="n">
        <v>0</v>
      </c>
      <c r="Q608" t="n">
        <v>0</v>
      </c>
      <c r="R608" s="2" t="inlineStr"/>
    </row>
    <row r="609">
      <c r="A609" t="inlineStr">
        <is>
          <t>A 8656-2025</t>
        </is>
      </c>
      <c r="B609" s="1" t="n">
        <v>45712.38268518518</v>
      </c>
      <c r="C609" s="1" t="n">
        <v>45895</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2025-08-26T08:32:54Z</dcterms:created>
  <dcterms:modified xmlns:dcterms="http://purl.org/dc/terms/" xmlns:xsi="http://www.w3.org/2001/XMLSchema-instance" xsi:type="dcterms:W3CDTF">2025-08-26T08:32:55Z</dcterms:modified>
</cp:coreProperties>
</file>