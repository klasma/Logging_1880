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45996</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45996</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45996</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45996</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45996</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45996</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57553-2023</t>
        </is>
      </c>
      <c r="B12" s="1" t="n">
        <v>45246</v>
      </c>
      <c r="C12" s="1" t="n">
        <v>45996</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33069-2025</t>
        </is>
      </c>
      <c r="B13" s="1" t="n">
        <v>45840</v>
      </c>
      <c r="C13" s="1" t="n">
        <v>45996</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45996</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45996</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12974-2022</t>
        </is>
      </c>
      <c r="B16" s="1" t="n">
        <v>44643.38490740741</v>
      </c>
      <c r="C16" s="1" t="n">
        <v>45996</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51530-2024</t>
        </is>
      </c>
      <c r="B17" s="1" t="n">
        <v>45604</v>
      </c>
      <c r="C17" s="1" t="n">
        <v>45996</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29487-2022</t>
        </is>
      </c>
      <c r="B18" s="1" t="n">
        <v>44753</v>
      </c>
      <c r="C18" s="1" t="n">
        <v>45996</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45996</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17074-2024</t>
        </is>
      </c>
      <c r="B20" s="1" t="n">
        <v>45412</v>
      </c>
      <c r="C20" s="1" t="n">
        <v>45996</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575-2024</t>
        </is>
      </c>
      <c r="B21" s="1" t="n">
        <v>45299</v>
      </c>
      <c r="C21" s="1" t="n">
        <v>45996</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13627-2025</t>
        </is>
      </c>
      <c r="B22" s="1" t="n">
        <v>45736</v>
      </c>
      <c r="C22" s="1" t="n">
        <v>45996</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45996</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50096-2023</t>
        </is>
      </c>
      <c r="B24" s="1" t="n">
        <v>45215</v>
      </c>
      <c r="C24" s="1" t="n">
        <v>45996</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59517-2025</t>
        </is>
      </c>
      <c r="B25" s="1" t="n">
        <v>45989.65462962963</v>
      </c>
      <c r="C25" s="1" t="n">
        <v>45996</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29478-2022</t>
        </is>
      </c>
      <c r="B26" s="1" t="n">
        <v>44753</v>
      </c>
      <c r="C26" s="1" t="n">
        <v>45996</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32782-2022</t>
        </is>
      </c>
      <c r="B27" s="1" t="n">
        <v>44783</v>
      </c>
      <c r="C27" s="1" t="n">
        <v>45996</v>
      </c>
      <c r="D27" t="inlineStr">
        <is>
          <t>ÖREBRO LÄN</t>
        </is>
      </c>
      <c r="E27" t="inlineStr">
        <is>
          <t>ÖREBRO</t>
        </is>
      </c>
      <c r="G27" t="n">
        <v>2.8</v>
      </c>
      <c r="H27" t="n">
        <v>1</v>
      </c>
      <c r="I27" t="n">
        <v>0</v>
      </c>
      <c r="J27" t="n">
        <v>1</v>
      </c>
      <c r="K27" t="n">
        <v>0</v>
      </c>
      <c r="L27" t="n">
        <v>0</v>
      </c>
      <c r="M27" t="n">
        <v>0</v>
      </c>
      <c r="N27" t="n">
        <v>0</v>
      </c>
      <c r="O27" t="n">
        <v>1</v>
      </c>
      <c r="P27" t="n">
        <v>0</v>
      </c>
      <c r="Q27" t="n">
        <v>2</v>
      </c>
      <c r="R27" s="2" t="inlineStr">
        <is>
          <t>Loppstarr
Blåsippa</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2586-2021</t>
        </is>
      </c>
      <c r="B28" s="1" t="n">
        <v>44214</v>
      </c>
      <c r="C28" s="1" t="n">
        <v>45996</v>
      </c>
      <c r="D28" t="inlineStr">
        <is>
          <t>ÖREBRO LÄN</t>
        </is>
      </c>
      <c r="E28" t="inlineStr">
        <is>
          <t>ÖREBRO</t>
        </is>
      </c>
      <c r="G28" t="n">
        <v>8</v>
      </c>
      <c r="H28" t="n">
        <v>1</v>
      </c>
      <c r="I28" t="n">
        <v>0</v>
      </c>
      <c r="J28" t="n">
        <v>1</v>
      </c>
      <c r="K28" t="n">
        <v>0</v>
      </c>
      <c r="L28" t="n">
        <v>0</v>
      </c>
      <c r="M28" t="n">
        <v>0</v>
      </c>
      <c r="N28" t="n">
        <v>0</v>
      </c>
      <c r="O28" t="n">
        <v>1</v>
      </c>
      <c r="P28" t="n">
        <v>0</v>
      </c>
      <c r="Q28" t="n">
        <v>2</v>
      </c>
      <c r="R28" s="2" t="inlineStr">
        <is>
          <t>Tallticka
Fläcknycklar</t>
        </is>
      </c>
      <c r="S28">
        <f>HYPERLINK("https://klasma.github.io/Logging_1880/artfynd/A 2586-2021 artfynd.xlsx", "A 2586-2021")</f>
        <v/>
      </c>
      <c r="T28">
        <f>HYPERLINK("https://klasma.github.io/Logging_1880/kartor/A 2586-2021 karta.png", "A 2586-2021")</f>
        <v/>
      </c>
      <c r="V28">
        <f>HYPERLINK("https://klasma.github.io/Logging_1880/klagomål/A 2586-2021 FSC-klagomål.docx", "A 2586-2021")</f>
        <v/>
      </c>
      <c r="W28">
        <f>HYPERLINK("https://klasma.github.io/Logging_1880/klagomålsmail/A 2586-2021 FSC-klagomål mail.docx", "A 2586-2021")</f>
        <v/>
      </c>
      <c r="X28">
        <f>HYPERLINK("https://klasma.github.io/Logging_1880/tillsyn/A 2586-2021 tillsynsbegäran.docx", "A 2586-2021")</f>
        <v/>
      </c>
      <c r="Y28">
        <f>HYPERLINK("https://klasma.github.io/Logging_1880/tillsynsmail/A 2586-2021 tillsynsbegäran mail.docx", "A 2586-2021")</f>
        <v/>
      </c>
    </row>
    <row r="29" ht="15" customHeight="1">
      <c r="A29" t="inlineStr">
        <is>
          <t>A 49552-2022</t>
        </is>
      </c>
      <c r="B29" s="1" t="n">
        <v>44862.31013888889</v>
      </c>
      <c r="C29" s="1" t="n">
        <v>45996</v>
      </c>
      <c r="D29" t="inlineStr">
        <is>
          <t>ÖREBRO LÄN</t>
        </is>
      </c>
      <c r="E29" t="inlineStr">
        <is>
          <t>ÖREBRO</t>
        </is>
      </c>
      <c r="G29" t="n">
        <v>2.1</v>
      </c>
      <c r="H29" t="n">
        <v>0</v>
      </c>
      <c r="I29" t="n">
        <v>0</v>
      </c>
      <c r="J29" t="n">
        <v>1</v>
      </c>
      <c r="K29" t="n">
        <v>1</v>
      </c>
      <c r="L29" t="n">
        <v>0</v>
      </c>
      <c r="M29" t="n">
        <v>0</v>
      </c>
      <c r="N29" t="n">
        <v>0</v>
      </c>
      <c r="O29" t="n">
        <v>2</v>
      </c>
      <c r="P29" t="n">
        <v>1</v>
      </c>
      <c r="Q29" t="n">
        <v>2</v>
      </c>
      <c r="R29" s="2" t="inlineStr">
        <is>
          <t>Ulltickeporing
Ullticka</t>
        </is>
      </c>
      <c r="S29">
        <f>HYPERLINK("https://klasma.github.io/Logging_1880/artfynd/A 49552-2022 artfynd.xlsx", "A 49552-2022")</f>
        <v/>
      </c>
      <c r="T29">
        <f>HYPERLINK("https://klasma.github.io/Logging_1880/kartor/A 49552-2022 karta.png", "A 49552-2022")</f>
        <v/>
      </c>
      <c r="V29">
        <f>HYPERLINK("https://klasma.github.io/Logging_1880/klagomål/A 49552-2022 FSC-klagomål.docx", "A 49552-2022")</f>
        <v/>
      </c>
      <c r="W29">
        <f>HYPERLINK("https://klasma.github.io/Logging_1880/klagomålsmail/A 49552-2022 FSC-klagomål mail.docx", "A 49552-2022")</f>
        <v/>
      </c>
      <c r="X29">
        <f>HYPERLINK("https://klasma.github.io/Logging_1880/tillsyn/A 49552-2022 tillsynsbegäran.docx", "A 49552-2022")</f>
        <v/>
      </c>
      <c r="Y29">
        <f>HYPERLINK("https://klasma.github.io/Logging_1880/tillsynsmail/A 49552-2022 tillsynsbegäran mail.docx", "A 49552-2022")</f>
        <v/>
      </c>
    </row>
    <row r="30" ht="15" customHeight="1">
      <c r="A30" t="inlineStr">
        <is>
          <t>A 30409-2025</t>
        </is>
      </c>
      <c r="B30" s="1" t="n">
        <v>45827.59738425926</v>
      </c>
      <c r="C30" s="1" t="n">
        <v>45996</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13395-2024</t>
        </is>
      </c>
      <c r="B31" s="1" t="n">
        <v>45387.42296296296</v>
      </c>
      <c r="C31" s="1" t="n">
        <v>45996</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14956-2025</t>
        </is>
      </c>
      <c r="B32" s="1" t="n">
        <v>45743.58409722222</v>
      </c>
      <c r="C32" s="1" t="n">
        <v>45996</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13458-2024</t>
        </is>
      </c>
      <c r="B33" s="1" t="n">
        <v>45387.54642361111</v>
      </c>
      <c r="C33" s="1" t="n">
        <v>45996</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7608-2024</t>
        </is>
      </c>
      <c r="B34" s="1" t="n">
        <v>45348</v>
      </c>
      <c r="C34" s="1" t="n">
        <v>45996</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45996</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22577-2024</t>
        </is>
      </c>
      <c r="B36" s="1" t="n">
        <v>45447</v>
      </c>
      <c r="C36" s="1" t="n">
        <v>45996</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37019-2024</t>
        </is>
      </c>
      <c r="B37" s="1" t="n">
        <v>45539.37905092593</v>
      </c>
      <c r="C37" s="1" t="n">
        <v>45996</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8267-2021</t>
        </is>
      </c>
      <c r="B38" s="1" t="n">
        <v>44244</v>
      </c>
      <c r="C38" s="1" t="n">
        <v>45996</v>
      </c>
      <c r="D38" t="inlineStr">
        <is>
          <t>ÖREBRO LÄN</t>
        </is>
      </c>
      <c r="E38" t="inlineStr">
        <is>
          <t>ÖREBRO</t>
        </is>
      </c>
      <c r="G38" t="n">
        <v>2.5</v>
      </c>
      <c r="H38" t="n">
        <v>1</v>
      </c>
      <c r="I38" t="n">
        <v>1</v>
      </c>
      <c r="J38" t="n">
        <v>0</v>
      </c>
      <c r="K38" t="n">
        <v>0</v>
      </c>
      <c r="L38" t="n">
        <v>0</v>
      </c>
      <c r="M38" t="n">
        <v>0</v>
      </c>
      <c r="N38" t="n">
        <v>0</v>
      </c>
      <c r="O38" t="n">
        <v>0</v>
      </c>
      <c r="P38" t="n">
        <v>0</v>
      </c>
      <c r="Q38" t="n">
        <v>2</v>
      </c>
      <c r="R38" s="2" t="inlineStr">
        <is>
          <t>Svart trolldruva
Blåsippa</t>
        </is>
      </c>
      <c r="S38">
        <f>HYPERLINK("https://klasma.github.io/Logging_1880/artfynd/A 8267-2021 artfynd.xlsx", "A 8267-2021")</f>
        <v/>
      </c>
      <c r="T38">
        <f>HYPERLINK("https://klasma.github.io/Logging_1880/kartor/A 8267-2021 karta.png", "A 8267-2021")</f>
        <v/>
      </c>
      <c r="V38">
        <f>HYPERLINK("https://klasma.github.io/Logging_1880/klagomål/A 8267-2021 FSC-klagomål.docx", "A 8267-2021")</f>
        <v/>
      </c>
      <c r="W38">
        <f>HYPERLINK("https://klasma.github.io/Logging_1880/klagomålsmail/A 8267-2021 FSC-klagomål mail.docx", "A 8267-2021")</f>
        <v/>
      </c>
      <c r="X38">
        <f>HYPERLINK("https://klasma.github.io/Logging_1880/tillsyn/A 8267-2021 tillsynsbegäran.docx", "A 8267-2021")</f>
        <v/>
      </c>
      <c r="Y38">
        <f>HYPERLINK("https://klasma.github.io/Logging_1880/tillsynsmail/A 8267-2021 tillsynsbegäran mail.docx", "A 8267-2021")</f>
        <v/>
      </c>
    </row>
    <row r="39" ht="15" customHeight="1">
      <c r="A39" t="inlineStr">
        <is>
          <t>A 58837-2025</t>
        </is>
      </c>
      <c r="B39" s="1" t="n">
        <v>45987.35875</v>
      </c>
      <c r="C39" s="1" t="n">
        <v>45996</v>
      </c>
      <c r="D39" t="inlineStr">
        <is>
          <t>ÖREBRO LÄN</t>
        </is>
      </c>
      <c r="E39" t="inlineStr">
        <is>
          <t>ÖREBRO</t>
        </is>
      </c>
      <c r="G39" t="n">
        <v>3.8</v>
      </c>
      <c r="H39" t="n">
        <v>1</v>
      </c>
      <c r="I39" t="n">
        <v>0</v>
      </c>
      <c r="J39" t="n">
        <v>1</v>
      </c>
      <c r="K39" t="n">
        <v>0</v>
      </c>
      <c r="L39" t="n">
        <v>0</v>
      </c>
      <c r="M39" t="n">
        <v>0</v>
      </c>
      <c r="N39" t="n">
        <v>0</v>
      </c>
      <c r="O39" t="n">
        <v>1</v>
      </c>
      <c r="P39" t="n">
        <v>0</v>
      </c>
      <c r="Q39" t="n">
        <v>2</v>
      </c>
      <c r="R39" s="2" t="inlineStr">
        <is>
          <t>Svartöra
Kungsfågel</t>
        </is>
      </c>
      <c r="S39">
        <f>HYPERLINK("https://klasma.github.io/Logging_1880/artfynd/A 58837-2025 artfynd.xlsx", "A 58837-2025")</f>
        <v/>
      </c>
      <c r="T39">
        <f>HYPERLINK("https://klasma.github.io/Logging_1880/kartor/A 58837-2025 karta.png", "A 58837-2025")</f>
        <v/>
      </c>
      <c r="V39">
        <f>HYPERLINK("https://klasma.github.io/Logging_1880/klagomål/A 58837-2025 FSC-klagomål.docx", "A 58837-2025")</f>
        <v/>
      </c>
      <c r="W39">
        <f>HYPERLINK("https://klasma.github.io/Logging_1880/klagomålsmail/A 58837-2025 FSC-klagomål mail.docx", "A 58837-2025")</f>
        <v/>
      </c>
      <c r="X39">
        <f>HYPERLINK("https://klasma.github.io/Logging_1880/tillsyn/A 58837-2025 tillsynsbegäran.docx", "A 58837-2025")</f>
        <v/>
      </c>
      <c r="Y39">
        <f>HYPERLINK("https://klasma.github.io/Logging_1880/tillsynsmail/A 58837-2025 tillsynsbegäran mail.docx", "A 58837-2025")</f>
        <v/>
      </c>
      <c r="Z39">
        <f>HYPERLINK("https://klasma.github.io/Logging_1880/fåglar/A 58837-2025 prioriterade fågelarter.docx", "A 58837-2025")</f>
        <v/>
      </c>
    </row>
    <row r="40" ht="15" customHeight="1">
      <c r="A40" t="inlineStr">
        <is>
          <t>A 59519-2025</t>
        </is>
      </c>
      <c r="B40" s="1" t="n">
        <v>45989.65541666667</v>
      </c>
      <c r="C40" s="1" t="n">
        <v>45996</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51550-2025</t>
        </is>
      </c>
      <c r="B41" s="1" t="n">
        <v>45950.83359953704</v>
      </c>
      <c r="C41" s="1" t="n">
        <v>45996</v>
      </c>
      <c r="D41" t="inlineStr">
        <is>
          <t>ÖREBRO LÄN</t>
        </is>
      </c>
      <c r="E41" t="inlineStr">
        <is>
          <t>ÖREBRO</t>
        </is>
      </c>
      <c r="F41" t="inlineStr">
        <is>
          <t>Övriga Aktiebolag</t>
        </is>
      </c>
      <c r="G41" t="n">
        <v>5.5</v>
      </c>
      <c r="H41" t="n">
        <v>0</v>
      </c>
      <c r="I41" t="n">
        <v>1</v>
      </c>
      <c r="J41" t="n">
        <v>1</v>
      </c>
      <c r="K41" t="n">
        <v>0</v>
      </c>
      <c r="L41" t="n">
        <v>0</v>
      </c>
      <c r="M41" t="n">
        <v>0</v>
      </c>
      <c r="N41" t="n">
        <v>0</v>
      </c>
      <c r="O41" t="n">
        <v>1</v>
      </c>
      <c r="P41" t="n">
        <v>0</v>
      </c>
      <c r="Q41" t="n">
        <v>2</v>
      </c>
      <c r="R41" s="2" t="inlineStr">
        <is>
          <t>Bryngökbi
Tibast</t>
        </is>
      </c>
      <c r="S41">
        <f>HYPERLINK("https://klasma.github.io/Logging_1880/artfynd/A 51550-2025 artfynd.xlsx", "A 51550-2025")</f>
        <v/>
      </c>
      <c r="T41">
        <f>HYPERLINK("https://klasma.github.io/Logging_1880/kartor/A 51550-2025 karta.png", "A 51550-2025")</f>
        <v/>
      </c>
      <c r="V41">
        <f>HYPERLINK("https://klasma.github.io/Logging_1880/klagomål/A 51550-2025 FSC-klagomål.docx", "A 51550-2025")</f>
        <v/>
      </c>
      <c r="W41">
        <f>HYPERLINK("https://klasma.github.io/Logging_1880/klagomålsmail/A 51550-2025 FSC-klagomål mail.docx", "A 51550-2025")</f>
        <v/>
      </c>
      <c r="X41">
        <f>HYPERLINK("https://klasma.github.io/Logging_1880/tillsyn/A 51550-2025 tillsynsbegäran.docx", "A 51550-2025")</f>
        <v/>
      </c>
      <c r="Y41">
        <f>HYPERLINK("https://klasma.github.io/Logging_1880/tillsynsmail/A 51550-2025 tillsynsbegäran mail.docx", "A 51550-2025")</f>
        <v/>
      </c>
    </row>
    <row r="42" ht="15" customHeight="1">
      <c r="A42" t="inlineStr">
        <is>
          <t>A 60557-2025</t>
        </is>
      </c>
      <c r="B42" s="1" t="n">
        <v>45995.74444444444</v>
      </c>
      <c r="C42" s="1" t="n">
        <v>45996</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29704-2022</t>
        </is>
      </c>
      <c r="B43" s="1" t="n">
        <v>44755</v>
      </c>
      <c r="C43" s="1" t="n">
        <v>45996</v>
      </c>
      <c r="D43" t="inlineStr">
        <is>
          <t>ÖREBRO LÄN</t>
        </is>
      </c>
      <c r="E43" t="inlineStr">
        <is>
          <t>ÖREBRO</t>
        </is>
      </c>
      <c r="F43" t="inlineStr">
        <is>
          <t>Kommuner</t>
        </is>
      </c>
      <c r="G43" t="n">
        <v>1.1</v>
      </c>
      <c r="H43" t="n">
        <v>0</v>
      </c>
      <c r="I43" t="n">
        <v>0</v>
      </c>
      <c r="J43" t="n">
        <v>1</v>
      </c>
      <c r="K43" t="n">
        <v>0</v>
      </c>
      <c r="L43" t="n">
        <v>0</v>
      </c>
      <c r="M43" t="n">
        <v>0</v>
      </c>
      <c r="N43" t="n">
        <v>0</v>
      </c>
      <c r="O43" t="n">
        <v>1</v>
      </c>
      <c r="P43" t="n">
        <v>0</v>
      </c>
      <c r="Q43" t="n">
        <v>1</v>
      </c>
      <c r="R43" s="2" t="inlineStr">
        <is>
          <t>Motaggsvamp</t>
        </is>
      </c>
      <c r="S43">
        <f>HYPERLINK("https://klasma.github.io/Logging_1880/artfynd/A 29704-2022 artfynd.xlsx", "A 29704-2022")</f>
        <v/>
      </c>
      <c r="T43">
        <f>HYPERLINK("https://klasma.github.io/Logging_1880/kartor/A 29704-2022 karta.png", "A 29704-2022")</f>
        <v/>
      </c>
      <c r="V43">
        <f>HYPERLINK("https://klasma.github.io/Logging_1880/klagomål/A 29704-2022 FSC-klagomål.docx", "A 29704-2022")</f>
        <v/>
      </c>
      <c r="W43">
        <f>HYPERLINK("https://klasma.github.io/Logging_1880/klagomålsmail/A 29704-2022 FSC-klagomål mail.docx", "A 29704-2022")</f>
        <v/>
      </c>
      <c r="X43">
        <f>HYPERLINK("https://klasma.github.io/Logging_1880/tillsyn/A 29704-2022 tillsynsbegäran.docx", "A 29704-2022")</f>
        <v/>
      </c>
      <c r="Y43">
        <f>HYPERLINK("https://klasma.github.io/Logging_1880/tillsynsmail/A 29704-2022 tillsynsbegäran mail.docx", "A 29704-2022")</f>
        <v/>
      </c>
    </row>
    <row r="44" ht="15" customHeight="1">
      <c r="A44" t="inlineStr">
        <is>
          <t>A 4943-2022</t>
        </is>
      </c>
      <c r="B44" s="1" t="n">
        <v>44593</v>
      </c>
      <c r="C44" s="1" t="n">
        <v>45996</v>
      </c>
      <c r="D44" t="inlineStr">
        <is>
          <t>ÖREBRO LÄN</t>
        </is>
      </c>
      <c r="E44" t="inlineStr">
        <is>
          <t>ÖREBRO</t>
        </is>
      </c>
      <c r="G44" t="n">
        <v>1.1</v>
      </c>
      <c r="H44" t="n">
        <v>0</v>
      </c>
      <c r="I44" t="n">
        <v>0</v>
      </c>
      <c r="J44" t="n">
        <v>1</v>
      </c>
      <c r="K44" t="n">
        <v>0</v>
      </c>
      <c r="L44" t="n">
        <v>0</v>
      </c>
      <c r="M44" t="n">
        <v>0</v>
      </c>
      <c r="N44" t="n">
        <v>0</v>
      </c>
      <c r="O44" t="n">
        <v>1</v>
      </c>
      <c r="P44" t="n">
        <v>0</v>
      </c>
      <c r="Q44" t="n">
        <v>1</v>
      </c>
      <c r="R44" s="2" t="inlineStr">
        <is>
          <t>Skinntagging</t>
        </is>
      </c>
      <c r="S44">
        <f>HYPERLINK("https://klasma.github.io/Logging_1880/artfynd/A 4943-2022 artfynd.xlsx", "A 4943-2022")</f>
        <v/>
      </c>
      <c r="T44">
        <f>HYPERLINK("https://klasma.github.io/Logging_1880/kartor/A 4943-2022 karta.png", "A 4943-2022")</f>
        <v/>
      </c>
      <c r="V44">
        <f>HYPERLINK("https://klasma.github.io/Logging_1880/klagomål/A 4943-2022 FSC-klagomål.docx", "A 4943-2022")</f>
        <v/>
      </c>
      <c r="W44">
        <f>HYPERLINK("https://klasma.github.io/Logging_1880/klagomålsmail/A 4943-2022 FSC-klagomål mail.docx", "A 4943-2022")</f>
        <v/>
      </c>
      <c r="X44">
        <f>HYPERLINK("https://klasma.github.io/Logging_1880/tillsyn/A 4943-2022 tillsynsbegäran.docx", "A 4943-2022")</f>
        <v/>
      </c>
      <c r="Y44">
        <f>HYPERLINK("https://klasma.github.io/Logging_1880/tillsynsmail/A 4943-2022 tillsynsbegäran mail.docx", "A 4943-2022")</f>
        <v/>
      </c>
    </row>
    <row r="45" ht="15" customHeight="1">
      <c r="A45" t="inlineStr">
        <is>
          <t>A 6926-2021</t>
        </is>
      </c>
      <c r="B45" s="1" t="n">
        <v>44237</v>
      </c>
      <c r="C45" s="1" t="n">
        <v>45996</v>
      </c>
      <c r="D45" t="inlineStr">
        <is>
          <t>ÖREBRO LÄN</t>
        </is>
      </c>
      <c r="E45" t="inlineStr">
        <is>
          <t>ÖREBRO</t>
        </is>
      </c>
      <c r="G45" t="n">
        <v>0.9</v>
      </c>
      <c r="H45" t="n">
        <v>1</v>
      </c>
      <c r="I45" t="n">
        <v>1</v>
      </c>
      <c r="J45" t="n">
        <v>0</v>
      </c>
      <c r="K45" t="n">
        <v>0</v>
      </c>
      <c r="L45" t="n">
        <v>0</v>
      </c>
      <c r="M45" t="n">
        <v>0</v>
      </c>
      <c r="N45" t="n">
        <v>0</v>
      </c>
      <c r="O45" t="n">
        <v>0</v>
      </c>
      <c r="P45" t="n">
        <v>0</v>
      </c>
      <c r="Q45" t="n">
        <v>1</v>
      </c>
      <c r="R45" s="2" t="inlineStr">
        <is>
          <t>Skogsknipprot</t>
        </is>
      </c>
      <c r="S45">
        <f>HYPERLINK("https://klasma.github.io/Logging_1880/artfynd/A 6926-2021 artfynd.xlsx", "A 6926-2021")</f>
        <v/>
      </c>
      <c r="T45">
        <f>HYPERLINK("https://klasma.github.io/Logging_1880/kartor/A 6926-2021 karta.png", "A 6926-2021")</f>
        <v/>
      </c>
      <c r="V45">
        <f>HYPERLINK("https://klasma.github.io/Logging_1880/klagomål/A 6926-2021 FSC-klagomål.docx", "A 6926-2021")</f>
        <v/>
      </c>
      <c r="W45">
        <f>HYPERLINK("https://klasma.github.io/Logging_1880/klagomålsmail/A 6926-2021 FSC-klagomål mail.docx", "A 6926-2021")</f>
        <v/>
      </c>
      <c r="X45">
        <f>HYPERLINK("https://klasma.github.io/Logging_1880/tillsyn/A 6926-2021 tillsynsbegäran.docx", "A 6926-2021")</f>
        <v/>
      </c>
      <c r="Y45">
        <f>HYPERLINK("https://klasma.github.io/Logging_1880/tillsynsmail/A 6926-2021 tillsynsbegäran mail.docx", "A 6926-2021")</f>
        <v/>
      </c>
    </row>
    <row r="46" ht="15" customHeight="1">
      <c r="A46" t="inlineStr">
        <is>
          <t>A 20032-2023</t>
        </is>
      </c>
      <c r="B46" s="1" t="n">
        <v>45054</v>
      </c>
      <c r="C46" s="1" t="n">
        <v>45996</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2077-2023</t>
        </is>
      </c>
      <c r="B47" s="1" t="n">
        <v>44939</v>
      </c>
      <c r="C47" s="1" t="n">
        <v>45996</v>
      </c>
      <c r="D47" t="inlineStr">
        <is>
          <t>ÖREBRO LÄN</t>
        </is>
      </c>
      <c r="E47" t="inlineStr">
        <is>
          <t>ÖREBRO</t>
        </is>
      </c>
      <c r="G47" t="n">
        <v>1.4</v>
      </c>
      <c r="H47" t="n">
        <v>1</v>
      </c>
      <c r="I47" t="n">
        <v>0</v>
      </c>
      <c r="J47" t="n">
        <v>1</v>
      </c>
      <c r="K47" t="n">
        <v>0</v>
      </c>
      <c r="L47" t="n">
        <v>0</v>
      </c>
      <c r="M47" t="n">
        <v>0</v>
      </c>
      <c r="N47" t="n">
        <v>0</v>
      </c>
      <c r="O47" t="n">
        <v>1</v>
      </c>
      <c r="P47" t="n">
        <v>0</v>
      </c>
      <c r="Q47" t="n">
        <v>1</v>
      </c>
      <c r="R47" s="2" t="inlineStr">
        <is>
          <t>Rödvingetrast</t>
        </is>
      </c>
      <c r="S47">
        <f>HYPERLINK("https://klasma.github.io/Logging_1880/artfynd/A 2077-2023 artfynd.xlsx", "A 2077-2023")</f>
        <v/>
      </c>
      <c r="T47">
        <f>HYPERLINK("https://klasma.github.io/Logging_1880/kartor/A 2077-2023 karta.png", "A 2077-2023")</f>
        <v/>
      </c>
      <c r="V47">
        <f>HYPERLINK("https://klasma.github.io/Logging_1880/klagomål/A 2077-2023 FSC-klagomål.docx", "A 2077-2023")</f>
        <v/>
      </c>
      <c r="W47">
        <f>HYPERLINK("https://klasma.github.io/Logging_1880/klagomålsmail/A 2077-2023 FSC-klagomål mail.docx", "A 2077-2023")</f>
        <v/>
      </c>
      <c r="X47">
        <f>HYPERLINK("https://klasma.github.io/Logging_1880/tillsyn/A 2077-2023 tillsynsbegäran.docx", "A 2077-2023")</f>
        <v/>
      </c>
      <c r="Y47">
        <f>HYPERLINK("https://klasma.github.io/Logging_1880/tillsynsmail/A 2077-2023 tillsynsbegäran mail.docx", "A 2077-2023")</f>
        <v/>
      </c>
      <c r="Z47">
        <f>HYPERLINK("https://klasma.github.io/Logging_1880/fåglar/A 2077-2023 prioriterade fågelarter.docx", "A 2077-2023")</f>
        <v/>
      </c>
    </row>
    <row r="48" ht="15" customHeight="1">
      <c r="A48" t="inlineStr">
        <is>
          <t>A 15621-2021</t>
        </is>
      </c>
      <c r="B48" s="1" t="n">
        <v>44285</v>
      </c>
      <c r="C48" s="1" t="n">
        <v>45996</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30725-2023</t>
        </is>
      </c>
      <c r="B49" s="1" t="n">
        <v>45112.61451388889</v>
      </c>
      <c r="C49" s="1" t="n">
        <v>45996</v>
      </c>
      <c r="D49" t="inlineStr">
        <is>
          <t>ÖREBRO LÄN</t>
        </is>
      </c>
      <c r="E49" t="inlineStr">
        <is>
          <t>ÖREBRO</t>
        </is>
      </c>
      <c r="G49" t="n">
        <v>1.8</v>
      </c>
      <c r="H49" t="n">
        <v>1</v>
      </c>
      <c r="I49" t="n">
        <v>0</v>
      </c>
      <c r="J49" t="n">
        <v>1</v>
      </c>
      <c r="K49" t="n">
        <v>0</v>
      </c>
      <c r="L49" t="n">
        <v>0</v>
      </c>
      <c r="M49" t="n">
        <v>0</v>
      </c>
      <c r="N49" t="n">
        <v>0</v>
      </c>
      <c r="O49" t="n">
        <v>1</v>
      </c>
      <c r="P49" t="n">
        <v>0</v>
      </c>
      <c r="Q49" t="n">
        <v>1</v>
      </c>
      <c r="R49" s="2" t="inlineStr">
        <is>
          <t>Gulsparv</t>
        </is>
      </c>
      <c r="S49">
        <f>HYPERLINK("https://klasma.github.io/Logging_1880/artfynd/A 30725-2023 artfynd.xlsx", "A 30725-2023")</f>
        <v/>
      </c>
      <c r="T49">
        <f>HYPERLINK("https://klasma.github.io/Logging_1880/kartor/A 30725-2023 karta.png", "A 30725-2023")</f>
        <v/>
      </c>
      <c r="V49">
        <f>HYPERLINK("https://klasma.github.io/Logging_1880/klagomål/A 30725-2023 FSC-klagomål.docx", "A 30725-2023")</f>
        <v/>
      </c>
      <c r="W49">
        <f>HYPERLINK("https://klasma.github.io/Logging_1880/klagomålsmail/A 30725-2023 FSC-klagomål mail.docx", "A 30725-2023")</f>
        <v/>
      </c>
      <c r="X49">
        <f>HYPERLINK("https://klasma.github.io/Logging_1880/tillsyn/A 30725-2023 tillsynsbegäran.docx", "A 30725-2023")</f>
        <v/>
      </c>
      <c r="Y49">
        <f>HYPERLINK("https://klasma.github.io/Logging_1880/tillsynsmail/A 30725-2023 tillsynsbegäran mail.docx", "A 30725-2023")</f>
        <v/>
      </c>
      <c r="Z49">
        <f>HYPERLINK("https://klasma.github.io/Logging_1880/fåglar/A 30725-2023 prioriterade fågelarter.docx", "A 30725-2023")</f>
        <v/>
      </c>
    </row>
    <row r="50" ht="15" customHeight="1">
      <c r="A50" t="inlineStr">
        <is>
          <t>A 28936-2025</t>
        </is>
      </c>
      <c r="B50" s="1" t="n">
        <v>45820.69287037037</v>
      </c>
      <c r="C50" s="1" t="n">
        <v>45996</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4014-2021</t>
        </is>
      </c>
      <c r="B51" s="1" t="n">
        <v>44218</v>
      </c>
      <c r="C51" s="1" t="n">
        <v>45996</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44744-2024</t>
        </is>
      </c>
      <c r="B52" s="1" t="n">
        <v>45574.59789351852</v>
      </c>
      <c r="C52" s="1" t="n">
        <v>45996</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32204-2025</t>
        </is>
      </c>
      <c r="B53" s="1" t="n">
        <v>45835.58074074074</v>
      </c>
      <c r="C53" s="1" t="n">
        <v>45996</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45996</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23998-2025</t>
        </is>
      </c>
      <c r="B55" s="1" t="n">
        <v>45796.42209490741</v>
      </c>
      <c r="C55" s="1" t="n">
        <v>45996</v>
      </c>
      <c r="D55" t="inlineStr">
        <is>
          <t>ÖREBRO LÄN</t>
        </is>
      </c>
      <c r="E55" t="inlineStr">
        <is>
          <t>ÖREBRO</t>
        </is>
      </c>
      <c r="G55" t="n">
        <v>4.7</v>
      </c>
      <c r="H55" t="n">
        <v>0</v>
      </c>
      <c r="I55" t="n">
        <v>1</v>
      </c>
      <c r="J55" t="n">
        <v>0</v>
      </c>
      <c r="K55" t="n">
        <v>0</v>
      </c>
      <c r="L55" t="n">
        <v>0</v>
      </c>
      <c r="M55" t="n">
        <v>0</v>
      </c>
      <c r="N55" t="n">
        <v>0</v>
      </c>
      <c r="O55" t="n">
        <v>0</v>
      </c>
      <c r="P55" t="n">
        <v>0</v>
      </c>
      <c r="Q55" t="n">
        <v>1</v>
      </c>
      <c r="R55" s="2" t="inlineStr">
        <is>
          <t>Kambräken</t>
        </is>
      </c>
      <c r="S55">
        <f>HYPERLINK("https://klasma.github.io/Logging_1880/artfynd/A 23998-2025 artfynd.xlsx", "A 23998-2025")</f>
        <v/>
      </c>
      <c r="T55">
        <f>HYPERLINK("https://klasma.github.io/Logging_1880/kartor/A 23998-2025 karta.png", "A 23998-2025")</f>
        <v/>
      </c>
      <c r="V55">
        <f>HYPERLINK("https://klasma.github.io/Logging_1880/klagomål/A 23998-2025 FSC-klagomål.docx", "A 23998-2025")</f>
        <v/>
      </c>
      <c r="W55">
        <f>HYPERLINK("https://klasma.github.io/Logging_1880/klagomålsmail/A 23998-2025 FSC-klagomål mail.docx", "A 23998-2025")</f>
        <v/>
      </c>
      <c r="X55">
        <f>HYPERLINK("https://klasma.github.io/Logging_1880/tillsyn/A 23998-2025 tillsynsbegäran.docx", "A 23998-2025")</f>
        <v/>
      </c>
      <c r="Y55">
        <f>HYPERLINK("https://klasma.github.io/Logging_1880/tillsynsmail/A 23998-2025 tillsynsbegäran mail.docx", "A 23998-2025")</f>
        <v/>
      </c>
    </row>
    <row r="56" ht="15" customHeight="1">
      <c r="A56" t="inlineStr">
        <is>
          <t>A 31695-2024</t>
        </is>
      </c>
      <c r="B56" s="1" t="n">
        <v>45508</v>
      </c>
      <c r="C56" s="1" t="n">
        <v>45996</v>
      </c>
      <c r="D56" t="inlineStr">
        <is>
          <t>ÖREBRO LÄN</t>
        </is>
      </c>
      <c r="E56" t="inlineStr">
        <is>
          <t>ÖREBRO</t>
        </is>
      </c>
      <c r="G56" t="n">
        <v>1.3</v>
      </c>
      <c r="H56" t="n">
        <v>1</v>
      </c>
      <c r="I56" t="n">
        <v>1</v>
      </c>
      <c r="J56" t="n">
        <v>0</v>
      </c>
      <c r="K56" t="n">
        <v>0</v>
      </c>
      <c r="L56" t="n">
        <v>0</v>
      </c>
      <c r="M56" t="n">
        <v>0</v>
      </c>
      <c r="N56" t="n">
        <v>0</v>
      </c>
      <c r="O56" t="n">
        <v>0</v>
      </c>
      <c r="P56" t="n">
        <v>0</v>
      </c>
      <c r="Q56" t="n">
        <v>1</v>
      </c>
      <c r="R56" s="2" t="inlineStr">
        <is>
          <t>Skogsknipprot</t>
        </is>
      </c>
      <c r="S56">
        <f>HYPERLINK("https://klasma.github.io/Logging_1880/artfynd/A 31695-2024 artfynd.xlsx", "A 31695-2024")</f>
        <v/>
      </c>
      <c r="T56">
        <f>HYPERLINK("https://klasma.github.io/Logging_1880/kartor/A 31695-2024 karta.png", "A 31695-2024")</f>
        <v/>
      </c>
      <c r="V56">
        <f>HYPERLINK("https://klasma.github.io/Logging_1880/klagomål/A 31695-2024 FSC-klagomål.docx", "A 31695-2024")</f>
        <v/>
      </c>
      <c r="W56">
        <f>HYPERLINK("https://klasma.github.io/Logging_1880/klagomålsmail/A 31695-2024 FSC-klagomål mail.docx", "A 31695-2024")</f>
        <v/>
      </c>
      <c r="X56">
        <f>HYPERLINK("https://klasma.github.io/Logging_1880/tillsyn/A 31695-2024 tillsynsbegäran.docx", "A 31695-2024")</f>
        <v/>
      </c>
      <c r="Y56">
        <f>HYPERLINK("https://klasma.github.io/Logging_1880/tillsynsmail/A 31695-2024 tillsynsbegäran mail.docx", "A 31695-2024")</f>
        <v/>
      </c>
    </row>
    <row r="57" ht="15" customHeight="1">
      <c r="A57" t="inlineStr">
        <is>
          <t>A 5097-2023</t>
        </is>
      </c>
      <c r="B57" s="1" t="n">
        <v>44958</v>
      </c>
      <c r="C57" s="1" t="n">
        <v>45996</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26890-2022</t>
        </is>
      </c>
      <c r="B58" s="1" t="n">
        <v>44740</v>
      </c>
      <c r="C58" s="1" t="n">
        <v>45996</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45996</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32105-2023</t>
        </is>
      </c>
      <c r="B60" s="1" t="n">
        <v>45119</v>
      </c>
      <c r="C60" s="1" t="n">
        <v>45996</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20247-2023</t>
        </is>
      </c>
      <c r="B61" s="1" t="n">
        <v>45055</v>
      </c>
      <c r="C61" s="1" t="n">
        <v>45996</v>
      </c>
      <c r="D61" t="inlineStr">
        <is>
          <t>ÖREBRO LÄN</t>
        </is>
      </c>
      <c r="E61" t="inlineStr">
        <is>
          <t>ÖREBRO</t>
        </is>
      </c>
      <c r="G61" t="n">
        <v>3</v>
      </c>
      <c r="H61" t="n">
        <v>1</v>
      </c>
      <c r="I61" t="n">
        <v>0</v>
      </c>
      <c r="J61" t="n">
        <v>0</v>
      </c>
      <c r="K61" t="n">
        <v>0</v>
      </c>
      <c r="L61" t="n">
        <v>0</v>
      </c>
      <c r="M61" t="n">
        <v>0</v>
      </c>
      <c r="N61" t="n">
        <v>0</v>
      </c>
      <c r="O61" t="n">
        <v>0</v>
      </c>
      <c r="P61" t="n">
        <v>0</v>
      </c>
      <c r="Q61" t="n">
        <v>1</v>
      </c>
      <c r="R61" s="2" t="inlineStr">
        <is>
          <t>Större vattensalamander</t>
        </is>
      </c>
      <c r="S61">
        <f>HYPERLINK("https://klasma.github.io/Logging_1880/artfynd/A 20247-2023 artfynd.xlsx", "A 20247-2023")</f>
        <v/>
      </c>
      <c r="T61">
        <f>HYPERLINK("https://klasma.github.io/Logging_1880/kartor/A 20247-2023 karta.png", "A 20247-2023")</f>
        <v/>
      </c>
      <c r="V61">
        <f>HYPERLINK("https://klasma.github.io/Logging_1880/klagomål/A 20247-2023 FSC-klagomål.docx", "A 20247-2023")</f>
        <v/>
      </c>
      <c r="W61">
        <f>HYPERLINK("https://klasma.github.io/Logging_1880/klagomålsmail/A 20247-2023 FSC-klagomål mail.docx", "A 20247-2023")</f>
        <v/>
      </c>
      <c r="X61">
        <f>HYPERLINK("https://klasma.github.io/Logging_1880/tillsyn/A 20247-2023 tillsynsbegäran.docx", "A 20247-2023")</f>
        <v/>
      </c>
      <c r="Y61">
        <f>HYPERLINK("https://klasma.github.io/Logging_1880/tillsynsmail/A 20247-2023 tillsynsbegäran mail.docx", "A 20247-2023")</f>
        <v/>
      </c>
    </row>
    <row r="62" ht="15" customHeight="1">
      <c r="A62" t="inlineStr">
        <is>
          <t>A 22604-2024</t>
        </is>
      </c>
      <c r="B62" s="1" t="n">
        <v>45447</v>
      </c>
      <c r="C62" s="1" t="n">
        <v>45996</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11501-2025</t>
        </is>
      </c>
      <c r="B63" s="1" t="n">
        <v>45726</v>
      </c>
      <c r="C63" s="1" t="n">
        <v>45996</v>
      </c>
      <c r="D63" t="inlineStr">
        <is>
          <t>ÖREBRO LÄN</t>
        </is>
      </c>
      <c r="E63" t="inlineStr">
        <is>
          <t>ÖREBRO</t>
        </is>
      </c>
      <c r="G63" t="n">
        <v>0.8</v>
      </c>
      <c r="H63" t="n">
        <v>1</v>
      </c>
      <c r="I63" t="n">
        <v>0</v>
      </c>
      <c r="J63" t="n">
        <v>0</v>
      </c>
      <c r="K63" t="n">
        <v>0</v>
      </c>
      <c r="L63" t="n">
        <v>0</v>
      </c>
      <c r="M63" t="n">
        <v>0</v>
      </c>
      <c r="N63" t="n">
        <v>0</v>
      </c>
      <c r="O63" t="n">
        <v>0</v>
      </c>
      <c r="P63" t="n">
        <v>0</v>
      </c>
      <c r="Q63" t="n">
        <v>1</v>
      </c>
      <c r="R63" s="2" t="inlineStr">
        <is>
          <t>Kopparödla</t>
        </is>
      </c>
      <c r="S63">
        <f>HYPERLINK("https://klasma.github.io/Logging_1880/artfynd/A 11501-2025 artfynd.xlsx", "A 11501-2025")</f>
        <v/>
      </c>
      <c r="T63">
        <f>HYPERLINK("https://klasma.github.io/Logging_1880/kartor/A 11501-2025 karta.png", "A 11501-2025")</f>
        <v/>
      </c>
      <c r="V63">
        <f>HYPERLINK("https://klasma.github.io/Logging_1880/klagomål/A 11501-2025 FSC-klagomål.docx", "A 11501-2025")</f>
        <v/>
      </c>
      <c r="W63">
        <f>HYPERLINK("https://klasma.github.io/Logging_1880/klagomålsmail/A 11501-2025 FSC-klagomål mail.docx", "A 11501-2025")</f>
        <v/>
      </c>
      <c r="X63">
        <f>HYPERLINK("https://klasma.github.io/Logging_1880/tillsyn/A 11501-2025 tillsynsbegäran.docx", "A 11501-2025")</f>
        <v/>
      </c>
      <c r="Y63">
        <f>HYPERLINK("https://klasma.github.io/Logging_1880/tillsynsmail/A 11501-2025 tillsynsbegäran mail.docx", "A 11501-2025")</f>
        <v/>
      </c>
    </row>
    <row r="64" ht="15" customHeight="1">
      <c r="A64" t="inlineStr">
        <is>
          <t>A 44389-2021</t>
        </is>
      </c>
      <c r="B64" s="1" t="n">
        <v>44435</v>
      </c>
      <c r="C64" s="1" t="n">
        <v>45996</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57920-2024</t>
        </is>
      </c>
      <c r="B65" s="1" t="n">
        <v>45631.50894675926</v>
      </c>
      <c r="C65" s="1" t="n">
        <v>45996</v>
      </c>
      <c r="D65" t="inlineStr">
        <is>
          <t>ÖREBRO LÄN</t>
        </is>
      </c>
      <c r="E65" t="inlineStr">
        <is>
          <t>ÖREBRO</t>
        </is>
      </c>
      <c r="G65" t="n">
        <v>2.3</v>
      </c>
      <c r="H65" t="n">
        <v>1</v>
      </c>
      <c r="I65" t="n">
        <v>0</v>
      </c>
      <c r="J65" t="n">
        <v>0</v>
      </c>
      <c r="K65" t="n">
        <v>0</v>
      </c>
      <c r="L65" t="n">
        <v>0</v>
      </c>
      <c r="M65" t="n">
        <v>0</v>
      </c>
      <c r="N65" t="n">
        <v>0</v>
      </c>
      <c r="O65" t="n">
        <v>0</v>
      </c>
      <c r="P65" t="n">
        <v>0</v>
      </c>
      <c r="Q65" t="n">
        <v>1</v>
      </c>
      <c r="R65" s="2" t="inlineStr">
        <is>
          <t>Kungsfågel</t>
        </is>
      </c>
      <c r="S65">
        <f>HYPERLINK("https://klasma.github.io/Logging_1880/artfynd/A 57920-2024 artfynd.xlsx", "A 57920-2024")</f>
        <v/>
      </c>
      <c r="T65">
        <f>HYPERLINK("https://klasma.github.io/Logging_1880/kartor/A 57920-2024 karta.png", "A 57920-2024")</f>
        <v/>
      </c>
      <c r="V65">
        <f>HYPERLINK("https://klasma.github.io/Logging_1880/klagomål/A 57920-2024 FSC-klagomål.docx", "A 57920-2024")</f>
        <v/>
      </c>
      <c r="W65">
        <f>HYPERLINK("https://klasma.github.io/Logging_1880/klagomålsmail/A 57920-2024 FSC-klagomål mail.docx", "A 57920-2024")</f>
        <v/>
      </c>
      <c r="X65">
        <f>HYPERLINK("https://klasma.github.io/Logging_1880/tillsyn/A 57920-2024 tillsynsbegäran.docx", "A 57920-2024")</f>
        <v/>
      </c>
      <c r="Y65">
        <f>HYPERLINK("https://klasma.github.io/Logging_1880/tillsynsmail/A 57920-2024 tillsynsbegäran mail.docx", "A 57920-2024")</f>
        <v/>
      </c>
      <c r="Z65">
        <f>HYPERLINK("https://klasma.github.io/Logging_1880/fåglar/A 57920-2024 prioriterade fågelarter.docx", "A 57920-2024")</f>
        <v/>
      </c>
    </row>
    <row r="66" ht="15" customHeight="1">
      <c r="A66" t="inlineStr">
        <is>
          <t>A 42636-2023</t>
        </is>
      </c>
      <c r="B66" s="1" t="n">
        <v>45181.49559027778</v>
      </c>
      <c r="C66" s="1" t="n">
        <v>45996</v>
      </c>
      <c r="D66" t="inlineStr">
        <is>
          <t>ÖREBRO LÄN</t>
        </is>
      </c>
      <c r="E66" t="inlineStr">
        <is>
          <t>ÖREBRO</t>
        </is>
      </c>
      <c r="G66" t="n">
        <v>1.7</v>
      </c>
      <c r="H66" t="n">
        <v>0</v>
      </c>
      <c r="I66" t="n">
        <v>0</v>
      </c>
      <c r="J66" t="n">
        <v>1</v>
      </c>
      <c r="K66" t="n">
        <v>0</v>
      </c>
      <c r="L66" t="n">
        <v>0</v>
      </c>
      <c r="M66" t="n">
        <v>0</v>
      </c>
      <c r="N66" t="n">
        <v>0</v>
      </c>
      <c r="O66" t="n">
        <v>1</v>
      </c>
      <c r="P66" t="n">
        <v>0</v>
      </c>
      <c r="Q66" t="n">
        <v>1</v>
      </c>
      <c r="R66" s="2" t="inlineStr">
        <is>
          <t>Igelkott</t>
        </is>
      </c>
      <c r="S66">
        <f>HYPERLINK("https://klasma.github.io/Logging_1880/artfynd/A 42636-2023 artfynd.xlsx", "A 42636-2023")</f>
        <v/>
      </c>
      <c r="T66">
        <f>HYPERLINK("https://klasma.github.io/Logging_1880/kartor/A 42636-2023 karta.png", "A 42636-2023")</f>
        <v/>
      </c>
      <c r="V66">
        <f>HYPERLINK("https://klasma.github.io/Logging_1880/klagomål/A 42636-2023 FSC-klagomål.docx", "A 42636-2023")</f>
        <v/>
      </c>
      <c r="W66">
        <f>HYPERLINK("https://klasma.github.io/Logging_1880/klagomålsmail/A 42636-2023 FSC-klagomål mail.docx", "A 42636-2023")</f>
        <v/>
      </c>
      <c r="X66">
        <f>HYPERLINK("https://klasma.github.io/Logging_1880/tillsyn/A 42636-2023 tillsynsbegäran.docx", "A 42636-2023")</f>
        <v/>
      </c>
      <c r="Y66">
        <f>HYPERLINK("https://klasma.github.io/Logging_1880/tillsynsmail/A 42636-2023 tillsynsbegäran mail.docx", "A 42636-2023")</f>
        <v/>
      </c>
    </row>
    <row r="67" ht="15" customHeight="1">
      <c r="A67" t="inlineStr">
        <is>
          <t>A 55904-2024</t>
        </is>
      </c>
      <c r="B67" s="1" t="n">
        <v>45623.58190972222</v>
      </c>
      <c r="C67" s="1" t="n">
        <v>45996</v>
      </c>
      <c r="D67" t="inlineStr">
        <is>
          <t>ÖREBRO LÄN</t>
        </is>
      </c>
      <c r="E67" t="inlineStr">
        <is>
          <t>ÖREBRO</t>
        </is>
      </c>
      <c r="G67" t="n">
        <v>1.2</v>
      </c>
      <c r="H67" t="n">
        <v>1</v>
      </c>
      <c r="I67" t="n">
        <v>0</v>
      </c>
      <c r="J67" t="n">
        <v>0</v>
      </c>
      <c r="K67" t="n">
        <v>0</v>
      </c>
      <c r="L67" t="n">
        <v>0</v>
      </c>
      <c r="M67" t="n">
        <v>0</v>
      </c>
      <c r="N67" t="n">
        <v>0</v>
      </c>
      <c r="O67" t="n">
        <v>0</v>
      </c>
      <c r="P67" t="n">
        <v>0</v>
      </c>
      <c r="Q67" t="n">
        <v>1</v>
      </c>
      <c r="R67" s="2" t="inlineStr">
        <is>
          <t>Trana</t>
        </is>
      </c>
      <c r="S67">
        <f>HYPERLINK("https://klasma.github.io/Logging_1880/artfynd/A 55904-2024 artfynd.xlsx", "A 55904-2024")</f>
        <v/>
      </c>
      <c r="T67">
        <f>HYPERLINK("https://klasma.github.io/Logging_1880/kartor/A 55904-2024 karta.png", "A 55904-2024")</f>
        <v/>
      </c>
      <c r="V67">
        <f>HYPERLINK("https://klasma.github.io/Logging_1880/klagomål/A 55904-2024 FSC-klagomål.docx", "A 55904-2024")</f>
        <v/>
      </c>
      <c r="W67">
        <f>HYPERLINK("https://klasma.github.io/Logging_1880/klagomålsmail/A 55904-2024 FSC-klagomål mail.docx", "A 55904-2024")</f>
        <v/>
      </c>
      <c r="X67">
        <f>HYPERLINK("https://klasma.github.io/Logging_1880/tillsyn/A 55904-2024 tillsynsbegäran.docx", "A 55904-2024")</f>
        <v/>
      </c>
      <c r="Y67">
        <f>HYPERLINK("https://klasma.github.io/Logging_1880/tillsynsmail/A 55904-2024 tillsynsbegäran mail.docx", "A 55904-2024")</f>
        <v/>
      </c>
      <c r="Z67">
        <f>HYPERLINK("https://klasma.github.io/Logging_1880/fåglar/A 55904-2024 prioriterade fågelarter.docx", "A 55904-2024")</f>
        <v/>
      </c>
    </row>
    <row r="68" ht="15" customHeight="1">
      <c r="A68" t="inlineStr">
        <is>
          <t>A 50499-2025</t>
        </is>
      </c>
      <c r="B68" s="1" t="n">
        <v>45945.41712962963</v>
      </c>
      <c r="C68" s="1" t="n">
        <v>45996</v>
      </c>
      <c r="D68" t="inlineStr">
        <is>
          <t>ÖREBRO LÄN</t>
        </is>
      </c>
      <c r="E68" t="inlineStr">
        <is>
          <t>ÖREBRO</t>
        </is>
      </c>
      <c r="G68" t="n">
        <v>6.7</v>
      </c>
      <c r="H68" t="n">
        <v>0</v>
      </c>
      <c r="I68" t="n">
        <v>0</v>
      </c>
      <c r="J68" t="n">
        <v>1</v>
      </c>
      <c r="K68" t="n">
        <v>0</v>
      </c>
      <c r="L68" t="n">
        <v>0</v>
      </c>
      <c r="M68" t="n">
        <v>0</v>
      </c>
      <c r="N68" t="n">
        <v>0</v>
      </c>
      <c r="O68" t="n">
        <v>1</v>
      </c>
      <c r="P68" t="n">
        <v>0</v>
      </c>
      <c r="Q68" t="n">
        <v>1</v>
      </c>
      <c r="R68" s="2" t="inlineStr">
        <is>
          <t>Gullklöver</t>
        </is>
      </c>
      <c r="S68">
        <f>HYPERLINK("https://klasma.github.io/Logging_1880/artfynd/A 50499-2025 artfynd.xlsx", "A 50499-2025")</f>
        <v/>
      </c>
      <c r="T68">
        <f>HYPERLINK("https://klasma.github.io/Logging_1880/kartor/A 50499-2025 karta.png", "A 50499-2025")</f>
        <v/>
      </c>
      <c r="V68">
        <f>HYPERLINK("https://klasma.github.io/Logging_1880/klagomål/A 50499-2025 FSC-klagomål.docx", "A 50499-2025")</f>
        <v/>
      </c>
      <c r="W68">
        <f>HYPERLINK("https://klasma.github.io/Logging_1880/klagomålsmail/A 50499-2025 FSC-klagomål mail.docx", "A 50499-2025")</f>
        <v/>
      </c>
      <c r="X68">
        <f>HYPERLINK("https://klasma.github.io/Logging_1880/tillsyn/A 50499-2025 tillsynsbegäran.docx", "A 50499-2025")</f>
        <v/>
      </c>
      <c r="Y68">
        <f>HYPERLINK("https://klasma.github.io/Logging_1880/tillsynsmail/A 50499-2025 tillsynsbegäran mail.docx", "A 50499-2025")</f>
        <v/>
      </c>
    </row>
    <row r="69" ht="15" customHeight="1">
      <c r="A69" t="inlineStr">
        <is>
          <t>A 58832-2025</t>
        </is>
      </c>
      <c r="B69" s="1" t="n">
        <v>45987.35384259259</v>
      </c>
      <c r="C69" s="1" t="n">
        <v>45996</v>
      </c>
      <c r="D69" t="inlineStr">
        <is>
          <t>ÖREBRO LÄN</t>
        </is>
      </c>
      <c r="E69" t="inlineStr">
        <is>
          <t>ÖREBRO</t>
        </is>
      </c>
      <c r="G69" t="n">
        <v>0.9</v>
      </c>
      <c r="H69" t="n">
        <v>1</v>
      </c>
      <c r="I69" t="n">
        <v>0</v>
      </c>
      <c r="J69" t="n">
        <v>0</v>
      </c>
      <c r="K69" t="n">
        <v>0</v>
      </c>
      <c r="L69" t="n">
        <v>1</v>
      </c>
      <c r="M69" t="n">
        <v>0</v>
      </c>
      <c r="N69" t="n">
        <v>0</v>
      </c>
      <c r="O69" t="n">
        <v>1</v>
      </c>
      <c r="P69" t="n">
        <v>1</v>
      </c>
      <c r="Q69" t="n">
        <v>1</v>
      </c>
      <c r="R69" s="2" t="inlineStr">
        <is>
          <t>Mosippa</t>
        </is>
      </c>
      <c r="S69">
        <f>HYPERLINK("https://klasma.github.io/Logging_1880/artfynd/A 58832-2025 artfynd.xlsx", "A 58832-2025")</f>
        <v/>
      </c>
      <c r="T69">
        <f>HYPERLINK("https://klasma.github.io/Logging_1880/kartor/A 58832-2025 karta.png", "A 58832-2025")</f>
        <v/>
      </c>
      <c r="V69">
        <f>HYPERLINK("https://klasma.github.io/Logging_1880/klagomål/A 58832-2025 FSC-klagomål.docx", "A 58832-2025")</f>
        <v/>
      </c>
      <c r="W69">
        <f>HYPERLINK("https://klasma.github.io/Logging_1880/klagomålsmail/A 58832-2025 FSC-klagomål mail.docx", "A 58832-2025")</f>
        <v/>
      </c>
      <c r="X69">
        <f>HYPERLINK("https://klasma.github.io/Logging_1880/tillsyn/A 58832-2025 tillsynsbegäran.docx", "A 58832-2025")</f>
        <v/>
      </c>
      <c r="Y69">
        <f>HYPERLINK("https://klasma.github.io/Logging_1880/tillsynsmail/A 58832-2025 tillsynsbegäran mail.docx", "A 58832-2025")</f>
        <v/>
      </c>
    </row>
    <row r="70" ht="15" customHeight="1">
      <c r="A70" t="inlineStr">
        <is>
          <t>A 59516-2025</t>
        </is>
      </c>
      <c r="B70" s="1" t="n">
        <v>45989.65396990741</v>
      </c>
      <c r="C70" s="1" t="n">
        <v>45996</v>
      </c>
      <c r="D70" t="inlineStr">
        <is>
          <t>ÖREBRO LÄN</t>
        </is>
      </c>
      <c r="E70" t="inlineStr">
        <is>
          <t>ÖREBRO</t>
        </is>
      </c>
      <c r="F70" t="inlineStr">
        <is>
          <t>Sveaskog</t>
        </is>
      </c>
      <c r="G70" t="n">
        <v>1.9</v>
      </c>
      <c r="H70" t="n">
        <v>0</v>
      </c>
      <c r="I70" t="n">
        <v>1</v>
      </c>
      <c r="J70" t="n">
        <v>0</v>
      </c>
      <c r="K70" t="n">
        <v>0</v>
      </c>
      <c r="L70" t="n">
        <v>0</v>
      </c>
      <c r="M70" t="n">
        <v>0</v>
      </c>
      <c r="N70" t="n">
        <v>0</v>
      </c>
      <c r="O70" t="n">
        <v>0</v>
      </c>
      <c r="P70" t="n">
        <v>0</v>
      </c>
      <c r="Q70" t="n">
        <v>1</v>
      </c>
      <c r="R70" s="2" t="inlineStr">
        <is>
          <t>Tibast</t>
        </is>
      </c>
      <c r="S70">
        <f>HYPERLINK("https://klasma.github.io/Logging_1880/artfynd/A 59516-2025 artfynd.xlsx", "A 59516-2025")</f>
        <v/>
      </c>
      <c r="T70">
        <f>HYPERLINK("https://klasma.github.io/Logging_1880/kartor/A 59516-2025 karta.png", "A 59516-2025")</f>
        <v/>
      </c>
      <c r="V70">
        <f>HYPERLINK("https://klasma.github.io/Logging_1880/klagomål/A 59516-2025 FSC-klagomål.docx", "A 59516-2025")</f>
        <v/>
      </c>
      <c r="W70">
        <f>HYPERLINK("https://klasma.github.io/Logging_1880/klagomålsmail/A 59516-2025 FSC-klagomål mail.docx", "A 59516-2025")</f>
        <v/>
      </c>
      <c r="X70">
        <f>HYPERLINK("https://klasma.github.io/Logging_1880/tillsyn/A 59516-2025 tillsynsbegäran.docx", "A 59516-2025")</f>
        <v/>
      </c>
      <c r="Y70">
        <f>HYPERLINK("https://klasma.github.io/Logging_1880/tillsynsmail/A 59516-2025 tillsynsbegäran mail.docx", "A 59516-2025")</f>
        <v/>
      </c>
    </row>
    <row r="71" ht="15" customHeight="1">
      <c r="A71" t="inlineStr">
        <is>
          <t>A 9406-2021</t>
        </is>
      </c>
      <c r="B71" s="1" t="n">
        <v>44251</v>
      </c>
      <c r="C71" s="1" t="n">
        <v>45996</v>
      </c>
      <c r="D71" t="inlineStr">
        <is>
          <t>ÖREBRO LÄN</t>
        </is>
      </c>
      <c r="E71" t="inlineStr">
        <is>
          <t>ÖREBRO</t>
        </is>
      </c>
      <c r="G71" t="n">
        <v>6.1</v>
      </c>
      <c r="H71" t="n">
        <v>0</v>
      </c>
      <c r="I71" t="n">
        <v>0</v>
      </c>
      <c r="J71" t="n">
        <v>0</v>
      </c>
      <c r="K71" t="n">
        <v>0</v>
      </c>
      <c r="L71" t="n">
        <v>0</v>
      </c>
      <c r="M71" t="n">
        <v>0</v>
      </c>
      <c r="N71" t="n">
        <v>0</v>
      </c>
      <c r="O71" t="n">
        <v>0</v>
      </c>
      <c r="P71" t="n">
        <v>0</v>
      </c>
      <c r="Q71" t="n">
        <v>0</v>
      </c>
      <c r="R71" s="2" t="inlineStr"/>
    </row>
    <row r="72" ht="15" customHeight="1">
      <c r="A72" t="inlineStr">
        <is>
          <t>A 23606-2021</t>
        </is>
      </c>
      <c r="B72" s="1" t="n">
        <v>44334</v>
      </c>
      <c r="C72" s="1" t="n">
        <v>45996</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45996</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45996</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45996</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45996</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45996</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3081-2021</t>
        </is>
      </c>
      <c r="B78" s="1" t="n">
        <v>44216</v>
      </c>
      <c r="C78" s="1" t="n">
        <v>45996</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45996</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45996</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45996</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45996</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45996</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45996</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45996</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65592-2020</t>
        </is>
      </c>
      <c r="B86" s="1" t="n">
        <v>44173</v>
      </c>
      <c r="C86" s="1" t="n">
        <v>45996</v>
      </c>
      <c r="D86" t="inlineStr">
        <is>
          <t>ÖREBRO LÄN</t>
        </is>
      </c>
      <c r="E86" t="inlineStr">
        <is>
          <t>ÖREBRO</t>
        </is>
      </c>
      <c r="G86" t="n">
        <v>8.9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45996</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45996</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45996</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45996</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45996</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45996</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45996</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45996</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45996</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45996</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45996</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45996</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45996</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45996</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45996</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45996</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44886.52833333334</v>
      </c>
      <c r="C103" s="1" t="n">
        <v>45996</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45996</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45996</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45996</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45996</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45996</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45996</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45996</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45996</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45996</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45996</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45996</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45996</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45996</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45996</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45996</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45996</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45996</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45996</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45996</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45996</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7117-2021</t>
        </is>
      </c>
      <c r="B124" s="1" t="n">
        <v>44238</v>
      </c>
      <c r="C124" s="1" t="n">
        <v>45996</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69613-2020</t>
        </is>
      </c>
      <c r="B125" s="1" t="n">
        <v>44195</v>
      </c>
      <c r="C125" s="1" t="n">
        <v>45996</v>
      </c>
      <c r="D125" t="inlineStr">
        <is>
          <t>ÖREBRO LÄN</t>
        </is>
      </c>
      <c r="E125" t="inlineStr">
        <is>
          <t>ÖREBRO</t>
        </is>
      </c>
      <c r="G125" t="n">
        <v>4.7</v>
      </c>
      <c r="H125" t="n">
        <v>0</v>
      </c>
      <c r="I125" t="n">
        <v>0</v>
      </c>
      <c r="J125" t="n">
        <v>0</v>
      </c>
      <c r="K125" t="n">
        <v>0</v>
      </c>
      <c r="L125" t="n">
        <v>0</v>
      </c>
      <c r="M125" t="n">
        <v>0</v>
      </c>
      <c r="N125" t="n">
        <v>0</v>
      </c>
      <c r="O125" t="n">
        <v>0</v>
      </c>
      <c r="P125" t="n">
        <v>0</v>
      </c>
      <c r="Q125" t="n">
        <v>0</v>
      </c>
      <c r="R125" s="2" t="inlineStr"/>
    </row>
    <row r="126" ht="15" customHeight="1">
      <c r="A126" t="inlineStr">
        <is>
          <t>A 46757-2021</t>
        </is>
      </c>
      <c r="B126" s="1" t="n">
        <v>44445</v>
      </c>
      <c r="C126" s="1" t="n">
        <v>45996</v>
      </c>
      <c r="D126" t="inlineStr">
        <is>
          <t>ÖREBRO LÄN</t>
        </is>
      </c>
      <c r="E126" t="inlineStr">
        <is>
          <t>ÖREBRO</t>
        </is>
      </c>
      <c r="G126" t="n">
        <v>5.6</v>
      </c>
      <c r="H126" t="n">
        <v>0</v>
      </c>
      <c r="I126" t="n">
        <v>0</v>
      </c>
      <c r="J126" t="n">
        <v>0</v>
      </c>
      <c r="K126" t="n">
        <v>0</v>
      </c>
      <c r="L126" t="n">
        <v>0</v>
      </c>
      <c r="M126" t="n">
        <v>0</v>
      </c>
      <c r="N126" t="n">
        <v>0</v>
      </c>
      <c r="O126" t="n">
        <v>0</v>
      </c>
      <c r="P126" t="n">
        <v>0</v>
      </c>
      <c r="Q126" t="n">
        <v>0</v>
      </c>
      <c r="R126" s="2" t="inlineStr"/>
    </row>
    <row r="127" ht="15" customHeight="1">
      <c r="A127" t="inlineStr">
        <is>
          <t>A 9609-2023</t>
        </is>
      </c>
      <c r="B127" s="1" t="n">
        <v>44983.93344907407</v>
      </c>
      <c r="C127" s="1" t="n">
        <v>45996</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45996</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3087-2021</t>
        </is>
      </c>
      <c r="B129" s="1" t="n">
        <v>44216</v>
      </c>
      <c r="C129" s="1" t="n">
        <v>45996</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45996</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45996</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45996</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41553-2022</t>
        </is>
      </c>
      <c r="B133" s="1" t="n">
        <v>44827.3940625</v>
      </c>
      <c r="C133" s="1" t="n">
        <v>45996</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14562-2022</t>
        </is>
      </c>
      <c r="B134" s="1" t="n">
        <v>44655</v>
      </c>
      <c r="C134" s="1" t="n">
        <v>45996</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45996</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45996</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45996</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61232-2021</t>
        </is>
      </c>
      <c r="B138" s="1" t="n">
        <v>44498</v>
      </c>
      <c r="C138" s="1" t="n">
        <v>45996</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45996</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45996</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63247-2021</t>
        </is>
      </c>
      <c r="B141" s="1" t="n">
        <v>44505</v>
      </c>
      <c r="C141" s="1" t="n">
        <v>45996</v>
      </c>
      <c r="D141" t="inlineStr">
        <is>
          <t>ÖREBRO LÄN</t>
        </is>
      </c>
      <c r="E141" t="inlineStr">
        <is>
          <t>ÖREBRO</t>
        </is>
      </c>
      <c r="G141" t="n">
        <v>1.5</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45996</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45996</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5795-2024</t>
        </is>
      </c>
      <c r="B144" s="1" t="n">
        <v>45335.4531712963</v>
      </c>
      <c r="C144" s="1" t="n">
        <v>45996</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45996</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45996</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26118-2021</t>
        </is>
      </c>
      <c r="B147" s="1" t="n">
        <v>44345</v>
      </c>
      <c r="C147" s="1" t="n">
        <v>45996</v>
      </c>
      <c r="D147" t="inlineStr">
        <is>
          <t>ÖREBRO LÄN</t>
        </is>
      </c>
      <c r="E147" t="inlineStr">
        <is>
          <t>ÖREBRO</t>
        </is>
      </c>
      <c r="G147" t="n">
        <v>2.2</v>
      </c>
      <c r="H147" t="n">
        <v>0</v>
      </c>
      <c r="I147" t="n">
        <v>0</v>
      </c>
      <c r="J147" t="n">
        <v>0</v>
      </c>
      <c r="K147" t="n">
        <v>0</v>
      </c>
      <c r="L147" t="n">
        <v>0</v>
      </c>
      <c r="M147" t="n">
        <v>0</v>
      </c>
      <c r="N147" t="n">
        <v>0</v>
      </c>
      <c r="O147" t="n">
        <v>0</v>
      </c>
      <c r="P147" t="n">
        <v>0</v>
      </c>
      <c r="Q147" t="n">
        <v>0</v>
      </c>
      <c r="R147" s="2" t="inlineStr"/>
    </row>
    <row r="148" ht="15" customHeight="1">
      <c r="A148" t="inlineStr">
        <is>
          <t>A 26119-2021</t>
        </is>
      </c>
      <c r="B148" s="1" t="n">
        <v>44345.33282407407</v>
      </c>
      <c r="C148" s="1" t="n">
        <v>45996</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45996</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59736-2023</t>
        </is>
      </c>
      <c r="B150" s="1" t="n">
        <v>45257.374375</v>
      </c>
      <c r="C150" s="1" t="n">
        <v>45996</v>
      </c>
      <c r="D150" t="inlineStr">
        <is>
          <t>ÖREBRO LÄN</t>
        </is>
      </c>
      <c r="E150" t="inlineStr">
        <is>
          <t>ÖREBRO</t>
        </is>
      </c>
      <c r="G150" t="n">
        <v>1.1</v>
      </c>
      <c r="H150" t="n">
        <v>0</v>
      </c>
      <c r="I150" t="n">
        <v>0</v>
      </c>
      <c r="J150" t="n">
        <v>0</v>
      </c>
      <c r="K150" t="n">
        <v>0</v>
      </c>
      <c r="L150" t="n">
        <v>0</v>
      </c>
      <c r="M150" t="n">
        <v>0</v>
      </c>
      <c r="N150" t="n">
        <v>0</v>
      </c>
      <c r="O150" t="n">
        <v>0</v>
      </c>
      <c r="P150" t="n">
        <v>0</v>
      </c>
      <c r="Q150" t="n">
        <v>0</v>
      </c>
      <c r="R150" s="2" t="inlineStr"/>
    </row>
    <row r="151" ht="15" customHeight="1">
      <c r="A151" t="inlineStr">
        <is>
          <t>A 2153-2023</t>
        </is>
      </c>
      <c r="B151" s="1" t="n">
        <v>44941</v>
      </c>
      <c r="C151" s="1" t="n">
        <v>45996</v>
      </c>
      <c r="D151" t="inlineStr">
        <is>
          <t>ÖREBRO LÄN</t>
        </is>
      </c>
      <c r="E151" t="inlineStr">
        <is>
          <t>ÖREBRO</t>
        </is>
      </c>
      <c r="G151" t="n">
        <v>6.3</v>
      </c>
      <c r="H151" t="n">
        <v>0</v>
      </c>
      <c r="I151" t="n">
        <v>0</v>
      </c>
      <c r="J151" t="n">
        <v>0</v>
      </c>
      <c r="K151" t="n">
        <v>0</v>
      </c>
      <c r="L151" t="n">
        <v>0</v>
      </c>
      <c r="M151" t="n">
        <v>0</v>
      </c>
      <c r="N151" t="n">
        <v>0</v>
      </c>
      <c r="O151" t="n">
        <v>0</v>
      </c>
      <c r="P151" t="n">
        <v>0</v>
      </c>
      <c r="Q151" t="n">
        <v>0</v>
      </c>
      <c r="R151" s="2" t="inlineStr"/>
    </row>
    <row r="152" ht="15" customHeight="1">
      <c r="A152" t="inlineStr">
        <is>
          <t>A 4766-2022</t>
        </is>
      </c>
      <c r="B152" s="1" t="n">
        <v>44592</v>
      </c>
      <c r="C152" s="1" t="n">
        <v>45996</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10829-2023</t>
        </is>
      </c>
      <c r="B153" s="1" t="n">
        <v>44990.88512731482</v>
      </c>
      <c r="C153" s="1" t="n">
        <v>45996</v>
      </c>
      <c r="D153" t="inlineStr">
        <is>
          <t>ÖREBRO LÄN</t>
        </is>
      </c>
      <c r="E153" t="inlineStr">
        <is>
          <t>ÖREBRO</t>
        </is>
      </c>
      <c r="G153" t="n">
        <v>4.4</v>
      </c>
      <c r="H153" t="n">
        <v>0</v>
      </c>
      <c r="I153" t="n">
        <v>0</v>
      </c>
      <c r="J153" t="n">
        <v>0</v>
      </c>
      <c r="K153" t="n">
        <v>0</v>
      </c>
      <c r="L153" t="n">
        <v>0</v>
      </c>
      <c r="M153" t="n">
        <v>0</v>
      </c>
      <c r="N153" t="n">
        <v>0</v>
      </c>
      <c r="O153" t="n">
        <v>0</v>
      </c>
      <c r="P153" t="n">
        <v>0</v>
      </c>
      <c r="Q153" t="n">
        <v>0</v>
      </c>
      <c r="R153" s="2" t="inlineStr"/>
    </row>
    <row r="154" ht="15" customHeight="1">
      <c r="A154" t="inlineStr">
        <is>
          <t>A 10831-2023</t>
        </is>
      </c>
      <c r="B154" s="1" t="n">
        <v>44990.90357638889</v>
      </c>
      <c r="C154" s="1" t="n">
        <v>45996</v>
      </c>
      <c r="D154" t="inlineStr">
        <is>
          <t>ÖREBRO LÄN</t>
        </is>
      </c>
      <c r="E154" t="inlineStr">
        <is>
          <t>ÖREBRO</t>
        </is>
      </c>
      <c r="G154" t="n">
        <v>1.9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45996</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12871-2021</t>
        </is>
      </c>
      <c r="B156" s="1" t="n">
        <v>44271.42121527778</v>
      </c>
      <c r="C156" s="1" t="n">
        <v>45996</v>
      </c>
      <c r="D156" t="inlineStr">
        <is>
          <t>ÖREBRO LÄN</t>
        </is>
      </c>
      <c r="E156" t="inlineStr">
        <is>
          <t>ÖREBRO</t>
        </is>
      </c>
      <c r="G156" t="n">
        <v>0.9</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45996</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45996</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15424-2022</t>
        </is>
      </c>
      <c r="B159" s="1" t="n">
        <v>44659</v>
      </c>
      <c r="C159" s="1" t="n">
        <v>45996</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23863-2023</t>
        </is>
      </c>
      <c r="B160" s="1" t="n">
        <v>45078.48994212963</v>
      </c>
      <c r="C160" s="1" t="n">
        <v>45996</v>
      </c>
      <c r="D160" t="inlineStr">
        <is>
          <t>ÖREBRO LÄN</t>
        </is>
      </c>
      <c r="E160" t="inlineStr">
        <is>
          <t>ÖREBRO</t>
        </is>
      </c>
      <c r="F160" t="inlineStr">
        <is>
          <t>Övriga Aktiebolag</t>
        </is>
      </c>
      <c r="G160" t="n">
        <v>5.9</v>
      </c>
      <c r="H160" t="n">
        <v>0</v>
      </c>
      <c r="I160" t="n">
        <v>0</v>
      </c>
      <c r="J160" t="n">
        <v>0</v>
      </c>
      <c r="K160" t="n">
        <v>0</v>
      </c>
      <c r="L160" t="n">
        <v>0</v>
      </c>
      <c r="M160" t="n">
        <v>0</v>
      </c>
      <c r="N160" t="n">
        <v>0</v>
      </c>
      <c r="O160" t="n">
        <v>0</v>
      </c>
      <c r="P160" t="n">
        <v>0</v>
      </c>
      <c r="Q160" t="n">
        <v>0</v>
      </c>
      <c r="R160" s="2" t="inlineStr"/>
    </row>
    <row r="161" ht="15" customHeight="1">
      <c r="A161" t="inlineStr">
        <is>
          <t>A 15682-2023</t>
        </is>
      </c>
      <c r="B161" s="1" t="n">
        <v>45021</v>
      </c>
      <c r="C161" s="1" t="n">
        <v>45996</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58539-2024</t>
        </is>
      </c>
      <c r="B162" s="1" t="n">
        <v>45635.45157407408</v>
      </c>
      <c r="C162" s="1" t="n">
        <v>45996</v>
      </c>
      <c r="D162" t="inlineStr">
        <is>
          <t>ÖREBRO LÄN</t>
        </is>
      </c>
      <c r="E162" t="inlineStr">
        <is>
          <t>ÖREBRO</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6638-2022</t>
        </is>
      </c>
      <c r="B163" s="1" t="n">
        <v>44601</v>
      </c>
      <c r="C163" s="1" t="n">
        <v>45996</v>
      </c>
      <c r="D163" t="inlineStr">
        <is>
          <t>ÖREBRO LÄN</t>
        </is>
      </c>
      <c r="E163" t="inlineStr">
        <is>
          <t>ÖREBRO</t>
        </is>
      </c>
      <c r="G163" t="n">
        <v>3.3</v>
      </c>
      <c r="H163" t="n">
        <v>0</v>
      </c>
      <c r="I163" t="n">
        <v>0</v>
      </c>
      <c r="J163" t="n">
        <v>0</v>
      </c>
      <c r="K163" t="n">
        <v>0</v>
      </c>
      <c r="L163" t="n">
        <v>0</v>
      </c>
      <c r="M163" t="n">
        <v>0</v>
      </c>
      <c r="N163" t="n">
        <v>0</v>
      </c>
      <c r="O163" t="n">
        <v>0</v>
      </c>
      <c r="P163" t="n">
        <v>0</v>
      </c>
      <c r="Q163" t="n">
        <v>0</v>
      </c>
      <c r="R163" s="2" t="inlineStr"/>
    </row>
    <row r="164" ht="15" customHeight="1">
      <c r="A164" t="inlineStr">
        <is>
          <t>A 14053-2025</t>
        </is>
      </c>
      <c r="B164" s="1" t="n">
        <v>45739</v>
      </c>
      <c r="C164" s="1" t="n">
        <v>45996</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10799-2024</t>
        </is>
      </c>
      <c r="B165" s="1" t="n">
        <v>45369</v>
      </c>
      <c r="C165" s="1" t="n">
        <v>45996</v>
      </c>
      <c r="D165" t="inlineStr">
        <is>
          <t>ÖREBRO LÄN</t>
        </is>
      </c>
      <c r="E165" t="inlineStr">
        <is>
          <t>ÖREBRO</t>
        </is>
      </c>
      <c r="G165" t="n">
        <v>5.8</v>
      </c>
      <c r="H165" t="n">
        <v>0</v>
      </c>
      <c r="I165" t="n">
        <v>0</v>
      </c>
      <c r="J165" t="n">
        <v>0</v>
      </c>
      <c r="K165" t="n">
        <v>0</v>
      </c>
      <c r="L165" t="n">
        <v>0</v>
      </c>
      <c r="M165" t="n">
        <v>0</v>
      </c>
      <c r="N165" t="n">
        <v>0</v>
      </c>
      <c r="O165" t="n">
        <v>0</v>
      </c>
      <c r="P165" t="n">
        <v>0</v>
      </c>
      <c r="Q165" t="n">
        <v>0</v>
      </c>
      <c r="R165" s="2" t="inlineStr"/>
    </row>
    <row r="166" ht="15" customHeight="1">
      <c r="A166" t="inlineStr">
        <is>
          <t>A 58532-2024</t>
        </is>
      </c>
      <c r="B166" s="1" t="n">
        <v>45635.44899305556</v>
      </c>
      <c r="C166" s="1" t="n">
        <v>45996</v>
      </c>
      <c r="D166" t="inlineStr">
        <is>
          <t>ÖREBRO LÄN</t>
        </is>
      </c>
      <c r="E166" t="inlineStr">
        <is>
          <t>ÖREBRO</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5406-2025</t>
        </is>
      </c>
      <c r="B167" s="1" t="n">
        <v>45692.64821759259</v>
      </c>
      <c r="C167" s="1" t="n">
        <v>45996</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12682-2023</t>
        </is>
      </c>
      <c r="B168" s="1" t="n">
        <v>45000.6115625</v>
      </c>
      <c r="C168" s="1" t="n">
        <v>45996</v>
      </c>
      <c r="D168" t="inlineStr">
        <is>
          <t>ÖREBRO LÄN</t>
        </is>
      </c>
      <c r="E168" t="inlineStr">
        <is>
          <t>ÖREBRO</t>
        </is>
      </c>
      <c r="F168" t="inlineStr">
        <is>
          <t>Övriga Aktiebolag</t>
        </is>
      </c>
      <c r="G168" t="n">
        <v>4.4</v>
      </c>
      <c r="H168" t="n">
        <v>0</v>
      </c>
      <c r="I168" t="n">
        <v>0</v>
      </c>
      <c r="J168" t="n">
        <v>0</v>
      </c>
      <c r="K168" t="n">
        <v>0</v>
      </c>
      <c r="L168" t="n">
        <v>0</v>
      </c>
      <c r="M168" t="n">
        <v>0</v>
      </c>
      <c r="N168" t="n">
        <v>0</v>
      </c>
      <c r="O168" t="n">
        <v>0</v>
      </c>
      <c r="P168" t="n">
        <v>0</v>
      </c>
      <c r="Q168" t="n">
        <v>0</v>
      </c>
      <c r="R168" s="2" t="inlineStr"/>
    </row>
    <row r="169" ht="15" customHeight="1">
      <c r="A169" t="inlineStr">
        <is>
          <t>A 52018-2024</t>
        </is>
      </c>
      <c r="B169" s="1" t="n">
        <v>45607.82974537037</v>
      </c>
      <c r="C169" s="1" t="n">
        <v>45996</v>
      </c>
      <c r="D169" t="inlineStr">
        <is>
          <t>ÖREBRO LÄN</t>
        </is>
      </c>
      <c r="E169" t="inlineStr">
        <is>
          <t>ÖREBRO</t>
        </is>
      </c>
      <c r="G169" t="n">
        <v>4.3</v>
      </c>
      <c r="H169" t="n">
        <v>0</v>
      </c>
      <c r="I169" t="n">
        <v>0</v>
      </c>
      <c r="J169" t="n">
        <v>0</v>
      </c>
      <c r="K169" t="n">
        <v>0</v>
      </c>
      <c r="L169" t="n">
        <v>0</v>
      </c>
      <c r="M169" t="n">
        <v>0</v>
      </c>
      <c r="N169" t="n">
        <v>0</v>
      </c>
      <c r="O169" t="n">
        <v>0</v>
      </c>
      <c r="P169" t="n">
        <v>0</v>
      </c>
      <c r="Q169" t="n">
        <v>0</v>
      </c>
      <c r="R169" s="2" t="inlineStr"/>
    </row>
    <row r="170" ht="15" customHeight="1">
      <c r="A170" t="inlineStr">
        <is>
          <t>A 57247-2022</t>
        </is>
      </c>
      <c r="B170" s="1" t="n">
        <v>44895.73065972222</v>
      </c>
      <c r="C170" s="1" t="n">
        <v>45996</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187-2024</t>
        </is>
      </c>
      <c r="B171" s="1" t="n">
        <v>45294</v>
      </c>
      <c r="C171" s="1" t="n">
        <v>45996</v>
      </c>
      <c r="D171" t="inlineStr">
        <is>
          <t>ÖREBRO LÄN</t>
        </is>
      </c>
      <c r="E171" t="inlineStr">
        <is>
          <t>ÖREBRO</t>
        </is>
      </c>
      <c r="G171" t="n">
        <v>5.9</v>
      </c>
      <c r="H171" t="n">
        <v>0</v>
      </c>
      <c r="I171" t="n">
        <v>0</v>
      </c>
      <c r="J171" t="n">
        <v>0</v>
      </c>
      <c r="K171" t="n">
        <v>0</v>
      </c>
      <c r="L171" t="n">
        <v>0</v>
      </c>
      <c r="M171" t="n">
        <v>0</v>
      </c>
      <c r="N171" t="n">
        <v>0</v>
      </c>
      <c r="O171" t="n">
        <v>0</v>
      </c>
      <c r="P171" t="n">
        <v>0</v>
      </c>
      <c r="Q171" t="n">
        <v>0</v>
      </c>
      <c r="R171" s="2" t="inlineStr"/>
    </row>
    <row r="172" ht="15" customHeight="1">
      <c r="A172" t="inlineStr">
        <is>
          <t>A 34358-2022</t>
        </is>
      </c>
      <c r="B172" s="1" t="n">
        <v>44792.45494212963</v>
      </c>
      <c r="C172" s="1" t="n">
        <v>45996</v>
      </c>
      <c r="D172" t="inlineStr">
        <is>
          <t>ÖREBRO LÄN</t>
        </is>
      </c>
      <c r="E172" t="inlineStr">
        <is>
          <t>ÖREBRO</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45996</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22348-2024</t>
        </is>
      </c>
      <c r="B174" s="1" t="n">
        <v>45446.61256944444</v>
      </c>
      <c r="C174" s="1" t="n">
        <v>45996</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60022-2024</t>
        </is>
      </c>
      <c r="B175" s="1" t="n">
        <v>45642</v>
      </c>
      <c r="C175" s="1" t="n">
        <v>45996</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15695-2024</t>
        </is>
      </c>
      <c r="B176" s="1" t="n">
        <v>45404.45487268519</v>
      </c>
      <c r="C176" s="1" t="n">
        <v>45996</v>
      </c>
      <c r="D176" t="inlineStr">
        <is>
          <t>ÖREBRO LÄN</t>
        </is>
      </c>
      <c r="E176" t="inlineStr">
        <is>
          <t>ÖREBRO</t>
        </is>
      </c>
      <c r="G176" t="n">
        <v>2.7</v>
      </c>
      <c r="H176" t="n">
        <v>0</v>
      </c>
      <c r="I176" t="n">
        <v>0</v>
      </c>
      <c r="J176" t="n">
        <v>0</v>
      </c>
      <c r="K176" t="n">
        <v>0</v>
      </c>
      <c r="L176" t="n">
        <v>0</v>
      </c>
      <c r="M176" t="n">
        <v>0</v>
      </c>
      <c r="N176" t="n">
        <v>0</v>
      </c>
      <c r="O176" t="n">
        <v>0</v>
      </c>
      <c r="P176" t="n">
        <v>0</v>
      </c>
      <c r="Q176" t="n">
        <v>0</v>
      </c>
      <c r="R176" s="2" t="inlineStr"/>
    </row>
    <row r="177" ht="15" customHeight="1">
      <c r="A177" t="inlineStr">
        <is>
          <t>A 30089-2024</t>
        </is>
      </c>
      <c r="B177" s="1" t="n">
        <v>45485</v>
      </c>
      <c r="C177" s="1" t="n">
        <v>45996</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10470-2025</t>
        </is>
      </c>
      <c r="B178" s="1" t="n">
        <v>45720</v>
      </c>
      <c r="C178" s="1" t="n">
        <v>45996</v>
      </c>
      <c r="D178" t="inlineStr">
        <is>
          <t>ÖREBRO LÄN</t>
        </is>
      </c>
      <c r="E178" t="inlineStr">
        <is>
          <t>ÖREBRO</t>
        </is>
      </c>
      <c r="G178" t="n">
        <v>11.5</v>
      </c>
      <c r="H178" t="n">
        <v>0</v>
      </c>
      <c r="I178" t="n">
        <v>0</v>
      </c>
      <c r="J178" t="n">
        <v>0</v>
      </c>
      <c r="K178" t="n">
        <v>0</v>
      </c>
      <c r="L178" t="n">
        <v>0</v>
      </c>
      <c r="M178" t="n">
        <v>0</v>
      </c>
      <c r="N178" t="n">
        <v>0</v>
      </c>
      <c r="O178" t="n">
        <v>0</v>
      </c>
      <c r="P178" t="n">
        <v>0</v>
      </c>
      <c r="Q178" t="n">
        <v>0</v>
      </c>
      <c r="R178" s="2" t="inlineStr"/>
    </row>
    <row r="179" ht="15" customHeight="1">
      <c r="A179" t="inlineStr">
        <is>
          <t>A 52623-2024</t>
        </is>
      </c>
      <c r="B179" s="1" t="n">
        <v>45609</v>
      </c>
      <c r="C179" s="1" t="n">
        <v>45996</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5643-2025</t>
        </is>
      </c>
      <c r="B180" s="1" t="n">
        <v>45693</v>
      </c>
      <c r="C180" s="1" t="n">
        <v>45996</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50026-2024</t>
        </is>
      </c>
      <c r="B181" s="1" t="n">
        <v>45599.60541666667</v>
      </c>
      <c r="C181" s="1" t="n">
        <v>45996</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58606-2024</t>
        </is>
      </c>
      <c r="B182" s="1" t="n">
        <v>45635.54747685185</v>
      </c>
      <c r="C182" s="1" t="n">
        <v>45996</v>
      </c>
      <c r="D182" t="inlineStr">
        <is>
          <t>ÖREBRO LÄN</t>
        </is>
      </c>
      <c r="E182" t="inlineStr">
        <is>
          <t>ÖREBRO</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46030-2024</t>
        </is>
      </c>
      <c r="B183" s="1" t="n">
        <v>45580.70377314815</v>
      </c>
      <c r="C183" s="1" t="n">
        <v>45996</v>
      </c>
      <c r="D183" t="inlineStr">
        <is>
          <t>ÖREBRO LÄN</t>
        </is>
      </c>
      <c r="E183" t="inlineStr">
        <is>
          <t>ÖREBRO</t>
        </is>
      </c>
      <c r="G183" t="n">
        <v>3.9</v>
      </c>
      <c r="H183" t="n">
        <v>0</v>
      </c>
      <c r="I183" t="n">
        <v>0</v>
      </c>
      <c r="J183" t="n">
        <v>0</v>
      </c>
      <c r="K183" t="n">
        <v>0</v>
      </c>
      <c r="L183" t="n">
        <v>0</v>
      </c>
      <c r="M183" t="n">
        <v>0</v>
      </c>
      <c r="N183" t="n">
        <v>0</v>
      </c>
      <c r="O183" t="n">
        <v>0</v>
      </c>
      <c r="P183" t="n">
        <v>0</v>
      </c>
      <c r="Q183" t="n">
        <v>0</v>
      </c>
      <c r="R183" s="2" t="inlineStr"/>
    </row>
    <row r="184" ht="15" customHeight="1">
      <c r="A184" t="inlineStr">
        <is>
          <t>A 123-2025</t>
        </is>
      </c>
      <c r="B184" s="1" t="n">
        <v>45659.54851851852</v>
      </c>
      <c r="C184" s="1" t="n">
        <v>45996</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62794-2021</t>
        </is>
      </c>
      <c r="B185" s="1" t="n">
        <v>44504</v>
      </c>
      <c r="C185" s="1" t="n">
        <v>45996</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5342-2024</t>
        </is>
      </c>
      <c r="B186" s="1" t="n">
        <v>45331.44145833333</v>
      </c>
      <c r="C186" s="1" t="n">
        <v>45996</v>
      </c>
      <c r="D186" t="inlineStr">
        <is>
          <t>ÖREBRO LÄN</t>
        </is>
      </c>
      <c r="E186" t="inlineStr">
        <is>
          <t>ÖREBRO</t>
        </is>
      </c>
      <c r="G186" t="n">
        <v>2.5</v>
      </c>
      <c r="H186" t="n">
        <v>0</v>
      </c>
      <c r="I186" t="n">
        <v>0</v>
      </c>
      <c r="J186" t="n">
        <v>0</v>
      </c>
      <c r="K186" t="n">
        <v>0</v>
      </c>
      <c r="L186" t="n">
        <v>0</v>
      </c>
      <c r="M186" t="n">
        <v>0</v>
      </c>
      <c r="N186" t="n">
        <v>0</v>
      </c>
      <c r="O186" t="n">
        <v>0</v>
      </c>
      <c r="P186" t="n">
        <v>0</v>
      </c>
      <c r="Q186" t="n">
        <v>0</v>
      </c>
      <c r="R186" s="2" t="inlineStr"/>
    </row>
    <row r="187" ht="15" customHeight="1">
      <c r="A187" t="inlineStr">
        <is>
          <t>A 19180-2025</t>
        </is>
      </c>
      <c r="B187" s="1" t="n">
        <v>45769.40133101852</v>
      </c>
      <c r="C187" s="1" t="n">
        <v>45996</v>
      </c>
      <c r="D187" t="inlineStr">
        <is>
          <t>ÖREBRO LÄN</t>
        </is>
      </c>
      <c r="E187" t="inlineStr">
        <is>
          <t>ÖREBRO</t>
        </is>
      </c>
      <c r="G187" t="n">
        <v>1.1</v>
      </c>
      <c r="H187" t="n">
        <v>0</v>
      </c>
      <c r="I187" t="n">
        <v>0</v>
      </c>
      <c r="J187" t="n">
        <v>0</v>
      </c>
      <c r="K187" t="n">
        <v>0</v>
      </c>
      <c r="L187" t="n">
        <v>0</v>
      </c>
      <c r="M187" t="n">
        <v>0</v>
      </c>
      <c r="N187" t="n">
        <v>0</v>
      </c>
      <c r="O187" t="n">
        <v>0</v>
      </c>
      <c r="P187" t="n">
        <v>0</v>
      </c>
      <c r="Q187" t="n">
        <v>0</v>
      </c>
      <c r="R187" s="2" t="inlineStr"/>
    </row>
    <row r="188" ht="15" customHeight="1">
      <c r="A188" t="inlineStr">
        <is>
          <t>A 71295-2021</t>
        </is>
      </c>
      <c r="B188" s="1" t="n">
        <v>44539.63009259259</v>
      </c>
      <c r="C188" s="1" t="n">
        <v>45996</v>
      </c>
      <c r="D188" t="inlineStr">
        <is>
          <t>ÖREBRO LÄN</t>
        </is>
      </c>
      <c r="E188" t="inlineStr">
        <is>
          <t>ÖREBRO</t>
        </is>
      </c>
      <c r="G188" t="n">
        <v>2.3</v>
      </c>
      <c r="H188" t="n">
        <v>0</v>
      </c>
      <c r="I188" t="n">
        <v>0</v>
      </c>
      <c r="J188" t="n">
        <v>0</v>
      </c>
      <c r="K188" t="n">
        <v>0</v>
      </c>
      <c r="L188" t="n">
        <v>0</v>
      </c>
      <c r="M188" t="n">
        <v>0</v>
      </c>
      <c r="N188" t="n">
        <v>0</v>
      </c>
      <c r="O188" t="n">
        <v>0</v>
      </c>
      <c r="P188" t="n">
        <v>0</v>
      </c>
      <c r="Q188" t="n">
        <v>0</v>
      </c>
      <c r="R188" s="2" t="inlineStr"/>
    </row>
    <row r="189" ht="15" customHeight="1">
      <c r="A189" t="inlineStr">
        <is>
          <t>A 30760-2022</t>
        </is>
      </c>
      <c r="B189" s="1" t="n">
        <v>44764.51827546296</v>
      </c>
      <c r="C189" s="1" t="n">
        <v>45996</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37012-2024</t>
        </is>
      </c>
      <c r="B190" s="1" t="n">
        <v>45539</v>
      </c>
      <c r="C190" s="1" t="n">
        <v>45996</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37020-2024</t>
        </is>
      </c>
      <c r="B191" s="1" t="n">
        <v>45539.38059027777</v>
      </c>
      <c r="C191" s="1" t="n">
        <v>45996</v>
      </c>
      <c r="D191" t="inlineStr">
        <is>
          <t>ÖREBRO LÄN</t>
        </is>
      </c>
      <c r="E191" t="inlineStr">
        <is>
          <t>ÖREBRO</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11516-2024</t>
        </is>
      </c>
      <c r="B192" s="1" t="n">
        <v>45372</v>
      </c>
      <c r="C192" s="1" t="n">
        <v>45996</v>
      </c>
      <c r="D192" t="inlineStr">
        <is>
          <t>ÖREBRO LÄN</t>
        </is>
      </c>
      <c r="E192" t="inlineStr">
        <is>
          <t>ÖREBRO</t>
        </is>
      </c>
      <c r="G192" t="n">
        <v>10.7</v>
      </c>
      <c r="H192" t="n">
        <v>0</v>
      </c>
      <c r="I192" t="n">
        <v>0</v>
      </c>
      <c r="J192" t="n">
        <v>0</v>
      </c>
      <c r="K192" t="n">
        <v>0</v>
      </c>
      <c r="L192" t="n">
        <v>0</v>
      </c>
      <c r="M192" t="n">
        <v>0</v>
      </c>
      <c r="N192" t="n">
        <v>0</v>
      </c>
      <c r="O192" t="n">
        <v>0</v>
      </c>
      <c r="P192" t="n">
        <v>0</v>
      </c>
      <c r="Q192" t="n">
        <v>0</v>
      </c>
      <c r="R192" s="2" t="inlineStr"/>
    </row>
    <row r="193" ht="15" customHeight="1">
      <c r="A193" t="inlineStr">
        <is>
          <t>A 58684-2023</t>
        </is>
      </c>
      <c r="B193" s="1" t="n">
        <v>45251</v>
      </c>
      <c r="C193" s="1" t="n">
        <v>45996</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37771-2024</t>
        </is>
      </c>
      <c r="B194" s="1" t="n">
        <v>45542.31359953704</v>
      </c>
      <c r="C194" s="1" t="n">
        <v>45996</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29490-2022</t>
        </is>
      </c>
      <c r="B195" s="1" t="n">
        <v>44753</v>
      </c>
      <c r="C195" s="1" t="n">
        <v>45996</v>
      </c>
      <c r="D195" t="inlineStr">
        <is>
          <t>ÖREBRO LÄN</t>
        </is>
      </c>
      <c r="E195" t="inlineStr">
        <is>
          <t>ÖREBRO</t>
        </is>
      </c>
      <c r="F195" t="inlineStr">
        <is>
          <t>Kommuner</t>
        </is>
      </c>
      <c r="G195" t="n">
        <v>0.3</v>
      </c>
      <c r="H195" t="n">
        <v>0</v>
      </c>
      <c r="I195" t="n">
        <v>0</v>
      </c>
      <c r="J195" t="n">
        <v>0</v>
      </c>
      <c r="K195" t="n">
        <v>0</v>
      </c>
      <c r="L195" t="n">
        <v>0</v>
      </c>
      <c r="M195" t="n">
        <v>0</v>
      </c>
      <c r="N195" t="n">
        <v>0</v>
      </c>
      <c r="O195" t="n">
        <v>0</v>
      </c>
      <c r="P195" t="n">
        <v>0</v>
      </c>
      <c r="Q195" t="n">
        <v>0</v>
      </c>
      <c r="R195" s="2" t="inlineStr"/>
    </row>
    <row r="196" ht="15" customHeight="1">
      <c r="A196" t="inlineStr">
        <is>
          <t>A 16958-2022</t>
        </is>
      </c>
      <c r="B196" s="1" t="n">
        <v>44676.50481481481</v>
      </c>
      <c r="C196" s="1" t="n">
        <v>45996</v>
      </c>
      <c r="D196" t="inlineStr">
        <is>
          <t>ÖREBRO LÄN</t>
        </is>
      </c>
      <c r="E196" t="inlineStr">
        <is>
          <t>ÖREBRO</t>
        </is>
      </c>
      <c r="G196" t="n">
        <v>3.1</v>
      </c>
      <c r="H196" t="n">
        <v>0</v>
      </c>
      <c r="I196" t="n">
        <v>0</v>
      </c>
      <c r="J196" t="n">
        <v>0</v>
      </c>
      <c r="K196" t="n">
        <v>0</v>
      </c>
      <c r="L196" t="n">
        <v>0</v>
      </c>
      <c r="M196" t="n">
        <v>0</v>
      </c>
      <c r="N196" t="n">
        <v>0</v>
      </c>
      <c r="O196" t="n">
        <v>0</v>
      </c>
      <c r="P196" t="n">
        <v>0</v>
      </c>
      <c r="Q196" t="n">
        <v>0</v>
      </c>
      <c r="R196" s="2" t="inlineStr"/>
    </row>
    <row r="197" ht="15" customHeight="1">
      <c r="A197" t="inlineStr">
        <is>
          <t>A 5338-2024</t>
        </is>
      </c>
      <c r="B197" s="1" t="n">
        <v>45331</v>
      </c>
      <c r="C197" s="1" t="n">
        <v>45996</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37395-2021</t>
        </is>
      </c>
      <c r="B198" s="1" t="n">
        <v>44398</v>
      </c>
      <c r="C198" s="1" t="n">
        <v>45996</v>
      </c>
      <c r="D198" t="inlineStr">
        <is>
          <t>ÖREBRO LÄN</t>
        </is>
      </c>
      <c r="E198" t="inlineStr">
        <is>
          <t>ÖREBRO</t>
        </is>
      </c>
      <c r="G198" t="n">
        <v>3</v>
      </c>
      <c r="H198" t="n">
        <v>0</v>
      </c>
      <c r="I198" t="n">
        <v>0</v>
      </c>
      <c r="J198" t="n">
        <v>0</v>
      </c>
      <c r="K198" t="n">
        <v>0</v>
      </c>
      <c r="L198" t="n">
        <v>0</v>
      </c>
      <c r="M198" t="n">
        <v>0</v>
      </c>
      <c r="N198" t="n">
        <v>0</v>
      </c>
      <c r="O198" t="n">
        <v>0</v>
      </c>
      <c r="P198" t="n">
        <v>0</v>
      </c>
      <c r="Q198" t="n">
        <v>0</v>
      </c>
      <c r="R198" s="2" t="inlineStr"/>
    </row>
    <row r="199" ht="15" customHeight="1">
      <c r="A199" t="inlineStr">
        <is>
          <t>A 4970-2022</t>
        </is>
      </c>
      <c r="B199" s="1" t="n">
        <v>44593.51175925926</v>
      </c>
      <c r="C199" s="1" t="n">
        <v>45996</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71288-2021</t>
        </is>
      </c>
      <c r="B200" s="1" t="n">
        <v>44539.62481481482</v>
      </c>
      <c r="C200" s="1" t="n">
        <v>45996</v>
      </c>
      <c r="D200" t="inlineStr">
        <is>
          <t>ÖREBRO LÄN</t>
        </is>
      </c>
      <c r="E200" t="inlineStr">
        <is>
          <t>ÖREBRO</t>
        </is>
      </c>
      <c r="G200" t="n">
        <v>3.9</v>
      </c>
      <c r="H200" t="n">
        <v>0</v>
      </c>
      <c r="I200" t="n">
        <v>0</v>
      </c>
      <c r="J200" t="n">
        <v>0</v>
      </c>
      <c r="K200" t="n">
        <v>0</v>
      </c>
      <c r="L200" t="n">
        <v>0</v>
      </c>
      <c r="M200" t="n">
        <v>0</v>
      </c>
      <c r="N200" t="n">
        <v>0</v>
      </c>
      <c r="O200" t="n">
        <v>0</v>
      </c>
      <c r="P200" t="n">
        <v>0</v>
      </c>
      <c r="Q200" t="n">
        <v>0</v>
      </c>
      <c r="R200" s="2" t="inlineStr"/>
    </row>
    <row r="201" ht="15" customHeight="1">
      <c r="A201" t="inlineStr">
        <is>
          <t>A 25578-2025</t>
        </is>
      </c>
      <c r="B201" s="1" t="n">
        <v>45803.47803240741</v>
      </c>
      <c r="C201" s="1" t="n">
        <v>45996</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45237-2023</t>
        </is>
      </c>
      <c r="B202" s="1" t="n">
        <v>45191</v>
      </c>
      <c r="C202" s="1" t="n">
        <v>45996</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25519-2025</t>
        </is>
      </c>
      <c r="B203" s="1" t="n">
        <v>45803.38447916666</v>
      </c>
      <c r="C203" s="1" t="n">
        <v>45996</v>
      </c>
      <c r="D203" t="inlineStr">
        <is>
          <t>ÖREBRO LÄN</t>
        </is>
      </c>
      <c r="E203" t="inlineStr">
        <is>
          <t>ÖREBRO</t>
        </is>
      </c>
      <c r="G203" t="n">
        <v>7.4</v>
      </c>
      <c r="H203" t="n">
        <v>0</v>
      </c>
      <c r="I203" t="n">
        <v>0</v>
      </c>
      <c r="J203" t="n">
        <v>0</v>
      </c>
      <c r="K203" t="n">
        <v>0</v>
      </c>
      <c r="L203" t="n">
        <v>0</v>
      </c>
      <c r="M203" t="n">
        <v>0</v>
      </c>
      <c r="N203" t="n">
        <v>0</v>
      </c>
      <c r="O203" t="n">
        <v>0</v>
      </c>
      <c r="P203" t="n">
        <v>0</v>
      </c>
      <c r="Q203" t="n">
        <v>0</v>
      </c>
      <c r="R203" s="2" t="inlineStr"/>
    </row>
    <row r="204" ht="15" customHeight="1">
      <c r="A204" t="inlineStr">
        <is>
          <t>A 66936-2021</t>
        </is>
      </c>
      <c r="B204" s="1" t="n">
        <v>44522.56349537037</v>
      </c>
      <c r="C204" s="1" t="n">
        <v>45996</v>
      </c>
      <c r="D204" t="inlineStr">
        <is>
          <t>ÖREBRO LÄN</t>
        </is>
      </c>
      <c r="E204" t="inlineStr">
        <is>
          <t>ÖREBRO</t>
        </is>
      </c>
      <c r="G204" t="n">
        <v>6.8</v>
      </c>
      <c r="H204" t="n">
        <v>0</v>
      </c>
      <c r="I204" t="n">
        <v>0</v>
      </c>
      <c r="J204" t="n">
        <v>0</v>
      </c>
      <c r="K204" t="n">
        <v>0</v>
      </c>
      <c r="L204" t="n">
        <v>0</v>
      </c>
      <c r="M204" t="n">
        <v>0</v>
      </c>
      <c r="N204" t="n">
        <v>0</v>
      </c>
      <c r="O204" t="n">
        <v>0</v>
      </c>
      <c r="P204" t="n">
        <v>0</v>
      </c>
      <c r="Q204" t="n">
        <v>0</v>
      </c>
      <c r="R204" s="2" t="inlineStr"/>
    </row>
    <row r="205" ht="15" customHeight="1">
      <c r="A205" t="inlineStr">
        <is>
          <t>A 13657-2025</t>
        </is>
      </c>
      <c r="B205" s="1" t="n">
        <v>45736.7427662037</v>
      </c>
      <c r="C205" s="1" t="n">
        <v>45996</v>
      </c>
      <c r="D205" t="inlineStr">
        <is>
          <t>ÖREBRO LÄN</t>
        </is>
      </c>
      <c r="E205" t="inlineStr">
        <is>
          <t>ÖREBRO</t>
        </is>
      </c>
      <c r="G205" t="n">
        <v>3.8</v>
      </c>
      <c r="H205" t="n">
        <v>0</v>
      </c>
      <c r="I205" t="n">
        <v>0</v>
      </c>
      <c r="J205" t="n">
        <v>0</v>
      </c>
      <c r="K205" t="n">
        <v>0</v>
      </c>
      <c r="L205" t="n">
        <v>0</v>
      </c>
      <c r="M205" t="n">
        <v>0</v>
      </c>
      <c r="N205" t="n">
        <v>0</v>
      </c>
      <c r="O205" t="n">
        <v>0</v>
      </c>
      <c r="P205" t="n">
        <v>0</v>
      </c>
      <c r="Q205" t="n">
        <v>0</v>
      </c>
      <c r="R205" s="2" t="inlineStr"/>
    </row>
    <row r="206" ht="15" customHeight="1">
      <c r="A206" t="inlineStr">
        <is>
          <t>A 44131-2022</t>
        </is>
      </c>
      <c r="B206" s="1" t="n">
        <v>44839</v>
      </c>
      <c r="C206" s="1" t="n">
        <v>45996</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9314-2023</t>
        </is>
      </c>
      <c r="B207" s="1" t="n">
        <v>44980.67747685185</v>
      </c>
      <c r="C207" s="1" t="n">
        <v>45996</v>
      </c>
      <c r="D207" t="inlineStr">
        <is>
          <t>ÖREBRO LÄN</t>
        </is>
      </c>
      <c r="E207" t="inlineStr">
        <is>
          <t>ÖREBRO</t>
        </is>
      </c>
      <c r="G207" t="n">
        <v>0.8</v>
      </c>
      <c r="H207" t="n">
        <v>0</v>
      </c>
      <c r="I207" t="n">
        <v>0</v>
      </c>
      <c r="J207" t="n">
        <v>0</v>
      </c>
      <c r="K207" t="n">
        <v>0</v>
      </c>
      <c r="L207" t="n">
        <v>0</v>
      </c>
      <c r="M207" t="n">
        <v>0</v>
      </c>
      <c r="N207" t="n">
        <v>0</v>
      </c>
      <c r="O207" t="n">
        <v>0</v>
      </c>
      <c r="P207" t="n">
        <v>0</v>
      </c>
      <c r="Q207" t="n">
        <v>0</v>
      </c>
      <c r="R207" s="2" t="inlineStr"/>
    </row>
    <row r="208" ht="15" customHeight="1">
      <c r="A208" t="inlineStr">
        <is>
          <t>A 18321-2022</t>
        </is>
      </c>
      <c r="B208" s="1" t="n">
        <v>44685</v>
      </c>
      <c r="C208" s="1" t="n">
        <v>45996</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6522-2023</t>
        </is>
      </c>
      <c r="B209" s="1" t="n">
        <v>44966</v>
      </c>
      <c r="C209" s="1" t="n">
        <v>45996</v>
      </c>
      <c r="D209" t="inlineStr">
        <is>
          <t>ÖREBRO LÄN</t>
        </is>
      </c>
      <c r="E209" t="inlineStr">
        <is>
          <t>ÖREBRO</t>
        </is>
      </c>
      <c r="G209" t="n">
        <v>4.4</v>
      </c>
      <c r="H209" t="n">
        <v>0</v>
      </c>
      <c r="I209" t="n">
        <v>0</v>
      </c>
      <c r="J209" t="n">
        <v>0</v>
      </c>
      <c r="K209" t="n">
        <v>0</v>
      </c>
      <c r="L209" t="n">
        <v>0</v>
      </c>
      <c r="M209" t="n">
        <v>0</v>
      </c>
      <c r="N209" t="n">
        <v>0</v>
      </c>
      <c r="O209" t="n">
        <v>0</v>
      </c>
      <c r="P209" t="n">
        <v>0</v>
      </c>
      <c r="Q209" t="n">
        <v>0</v>
      </c>
      <c r="R209" s="2" t="inlineStr"/>
    </row>
    <row r="210" ht="15" customHeight="1">
      <c r="A210" t="inlineStr">
        <is>
          <t>A 18449-2023</t>
        </is>
      </c>
      <c r="B210" s="1" t="n">
        <v>45042.5203125</v>
      </c>
      <c r="C210" s="1" t="n">
        <v>45996</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16739-2023</t>
        </is>
      </c>
      <c r="B211" s="1" t="n">
        <v>45030.72627314815</v>
      </c>
      <c r="C211" s="1" t="n">
        <v>45996</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16736-2023</t>
        </is>
      </c>
      <c r="B212" s="1" t="n">
        <v>45030.72328703704</v>
      </c>
      <c r="C212" s="1" t="n">
        <v>45996</v>
      </c>
      <c r="D212" t="inlineStr">
        <is>
          <t>ÖREBRO LÄN</t>
        </is>
      </c>
      <c r="E212" t="inlineStr">
        <is>
          <t>ÖREBRO</t>
        </is>
      </c>
      <c r="G212" t="n">
        <v>4</v>
      </c>
      <c r="H212" t="n">
        <v>0</v>
      </c>
      <c r="I212" t="n">
        <v>0</v>
      </c>
      <c r="J212" t="n">
        <v>0</v>
      </c>
      <c r="K212" t="n">
        <v>0</v>
      </c>
      <c r="L212" t="n">
        <v>0</v>
      </c>
      <c r="M212" t="n">
        <v>0</v>
      </c>
      <c r="N212" t="n">
        <v>0</v>
      </c>
      <c r="O212" t="n">
        <v>0</v>
      </c>
      <c r="P212" t="n">
        <v>0</v>
      </c>
      <c r="Q212" t="n">
        <v>0</v>
      </c>
      <c r="R212" s="2" t="inlineStr"/>
    </row>
    <row r="213" ht="15" customHeight="1">
      <c r="A213" t="inlineStr">
        <is>
          <t>A 50375-2024</t>
        </is>
      </c>
      <c r="B213" s="1" t="n">
        <v>45601.29311342593</v>
      </c>
      <c r="C213" s="1" t="n">
        <v>45996</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22045-2024</t>
        </is>
      </c>
      <c r="B214" s="1" t="n">
        <v>45443.61171296296</v>
      </c>
      <c r="C214" s="1" t="n">
        <v>45996</v>
      </c>
      <c r="D214" t="inlineStr">
        <is>
          <t>ÖREBRO LÄN</t>
        </is>
      </c>
      <c r="E214" t="inlineStr">
        <is>
          <t>ÖREBRO</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49465-2024</t>
        </is>
      </c>
      <c r="B215" s="1" t="n">
        <v>45596</v>
      </c>
      <c r="C215" s="1" t="n">
        <v>45996</v>
      </c>
      <c r="D215" t="inlineStr">
        <is>
          <t>ÖREBRO LÄN</t>
        </is>
      </c>
      <c r="E215" t="inlineStr">
        <is>
          <t>ÖREBRO</t>
        </is>
      </c>
      <c r="F215" t="inlineStr">
        <is>
          <t>Övriga Aktiebolag</t>
        </is>
      </c>
      <c r="G215" t="n">
        <v>21</v>
      </c>
      <c r="H215" t="n">
        <v>0</v>
      </c>
      <c r="I215" t="n">
        <v>0</v>
      </c>
      <c r="J215" t="n">
        <v>0</v>
      </c>
      <c r="K215" t="n">
        <v>0</v>
      </c>
      <c r="L215" t="n">
        <v>0</v>
      </c>
      <c r="M215" t="n">
        <v>0</v>
      </c>
      <c r="N215" t="n">
        <v>0</v>
      </c>
      <c r="O215" t="n">
        <v>0</v>
      </c>
      <c r="P215" t="n">
        <v>0</v>
      </c>
      <c r="Q215" t="n">
        <v>0</v>
      </c>
      <c r="R215" s="2" t="inlineStr"/>
    </row>
    <row r="216" ht="15" customHeight="1">
      <c r="A216" t="inlineStr">
        <is>
          <t>A 3-2024</t>
        </is>
      </c>
      <c r="B216" s="1" t="n">
        <v>45292</v>
      </c>
      <c r="C216" s="1" t="n">
        <v>45996</v>
      </c>
      <c r="D216" t="inlineStr">
        <is>
          <t>ÖREBRO LÄN</t>
        </is>
      </c>
      <c r="E216" t="inlineStr">
        <is>
          <t>ÖREBRO</t>
        </is>
      </c>
      <c r="G216" t="n">
        <v>2.7</v>
      </c>
      <c r="H216" t="n">
        <v>0</v>
      </c>
      <c r="I216" t="n">
        <v>0</v>
      </c>
      <c r="J216" t="n">
        <v>0</v>
      </c>
      <c r="K216" t="n">
        <v>0</v>
      </c>
      <c r="L216" t="n">
        <v>0</v>
      </c>
      <c r="M216" t="n">
        <v>0</v>
      </c>
      <c r="N216" t="n">
        <v>0</v>
      </c>
      <c r="O216" t="n">
        <v>0</v>
      </c>
      <c r="P216" t="n">
        <v>0</v>
      </c>
      <c r="Q216" t="n">
        <v>0</v>
      </c>
      <c r="R216" s="2" t="inlineStr"/>
    </row>
    <row r="217" ht="15" customHeight="1">
      <c r="A217" t="inlineStr">
        <is>
          <t>A 38842-2022</t>
        </is>
      </c>
      <c r="B217" s="1" t="n">
        <v>44814</v>
      </c>
      <c r="C217" s="1" t="n">
        <v>45996</v>
      </c>
      <c r="D217" t="inlineStr">
        <is>
          <t>ÖREBRO LÄN</t>
        </is>
      </c>
      <c r="E217" t="inlineStr">
        <is>
          <t>ÖREBRO</t>
        </is>
      </c>
      <c r="G217" t="n">
        <v>5</v>
      </c>
      <c r="H217" t="n">
        <v>0</v>
      </c>
      <c r="I217" t="n">
        <v>0</v>
      </c>
      <c r="J217" t="n">
        <v>0</v>
      </c>
      <c r="K217" t="n">
        <v>0</v>
      </c>
      <c r="L217" t="n">
        <v>0</v>
      </c>
      <c r="M217" t="n">
        <v>0</v>
      </c>
      <c r="N217" t="n">
        <v>0</v>
      </c>
      <c r="O217" t="n">
        <v>0</v>
      </c>
      <c r="P217" t="n">
        <v>0</v>
      </c>
      <c r="Q217" t="n">
        <v>0</v>
      </c>
      <c r="R217" s="2" t="inlineStr"/>
    </row>
    <row r="218" ht="15" customHeight="1">
      <c r="A218" t="inlineStr">
        <is>
          <t>A 21306-2024</t>
        </is>
      </c>
      <c r="B218" s="1" t="n">
        <v>45440.67883101852</v>
      </c>
      <c r="C218" s="1" t="n">
        <v>45996</v>
      </c>
      <c r="D218" t="inlineStr">
        <is>
          <t>ÖREBRO LÄN</t>
        </is>
      </c>
      <c r="E218" t="inlineStr">
        <is>
          <t>ÖREBRO</t>
        </is>
      </c>
      <c r="F218" t="inlineStr">
        <is>
          <t>Övriga Aktiebolag</t>
        </is>
      </c>
      <c r="G218" t="n">
        <v>2</v>
      </c>
      <c r="H218" t="n">
        <v>0</v>
      </c>
      <c r="I218" t="n">
        <v>0</v>
      </c>
      <c r="J218" t="n">
        <v>0</v>
      </c>
      <c r="K218" t="n">
        <v>0</v>
      </c>
      <c r="L218" t="n">
        <v>0</v>
      </c>
      <c r="M218" t="n">
        <v>0</v>
      </c>
      <c r="N218" t="n">
        <v>0</v>
      </c>
      <c r="O218" t="n">
        <v>0</v>
      </c>
      <c r="P218" t="n">
        <v>0</v>
      </c>
      <c r="Q218" t="n">
        <v>0</v>
      </c>
      <c r="R218" s="2" t="inlineStr"/>
    </row>
    <row r="219" ht="15" customHeight="1">
      <c r="A219" t="inlineStr">
        <is>
          <t>A 37022-2024</t>
        </is>
      </c>
      <c r="B219" s="1" t="n">
        <v>45539.3822337963</v>
      </c>
      <c r="C219" s="1" t="n">
        <v>45996</v>
      </c>
      <c r="D219" t="inlineStr">
        <is>
          <t>ÖREBRO LÄN</t>
        </is>
      </c>
      <c r="E219" t="inlineStr">
        <is>
          <t>ÖREBRO</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37024-2024</t>
        </is>
      </c>
      <c r="B220" s="1" t="n">
        <v>45539.38329861111</v>
      </c>
      <c r="C220" s="1" t="n">
        <v>45996</v>
      </c>
      <c r="D220" t="inlineStr">
        <is>
          <t>ÖREBRO LÄN</t>
        </is>
      </c>
      <c r="E220" t="inlineStr">
        <is>
          <t>ÖREBRO</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1257-2022</t>
        </is>
      </c>
      <c r="B221" s="1" t="n">
        <v>44572</v>
      </c>
      <c r="C221" s="1" t="n">
        <v>45996</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47047-2022</t>
        </is>
      </c>
      <c r="B222" s="1" t="n">
        <v>44852.39063657408</v>
      </c>
      <c r="C222" s="1" t="n">
        <v>45996</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64730-2023</t>
        </is>
      </c>
      <c r="B223" s="1" t="n">
        <v>45281</v>
      </c>
      <c r="C223" s="1" t="n">
        <v>45996</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6869-2025</t>
        </is>
      </c>
      <c r="B224" s="1" t="n">
        <v>45700</v>
      </c>
      <c r="C224" s="1" t="n">
        <v>45996</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66799-2020</t>
        </is>
      </c>
      <c r="B225" s="1" t="n">
        <v>44179</v>
      </c>
      <c r="C225" s="1" t="n">
        <v>45996</v>
      </c>
      <c r="D225" t="inlineStr">
        <is>
          <t>ÖREBRO LÄN</t>
        </is>
      </c>
      <c r="E225" t="inlineStr">
        <is>
          <t>ÖREBRO</t>
        </is>
      </c>
      <c r="G225" t="n">
        <v>5.2</v>
      </c>
      <c r="H225" t="n">
        <v>0</v>
      </c>
      <c r="I225" t="n">
        <v>0</v>
      </c>
      <c r="J225" t="n">
        <v>0</v>
      </c>
      <c r="K225" t="n">
        <v>0</v>
      </c>
      <c r="L225" t="n">
        <v>0</v>
      </c>
      <c r="M225" t="n">
        <v>0</v>
      </c>
      <c r="N225" t="n">
        <v>0</v>
      </c>
      <c r="O225" t="n">
        <v>0</v>
      </c>
      <c r="P225" t="n">
        <v>0</v>
      </c>
      <c r="Q225" t="n">
        <v>0</v>
      </c>
      <c r="R225" s="2" t="inlineStr"/>
    </row>
    <row r="226" ht="15" customHeight="1">
      <c r="A226" t="inlineStr">
        <is>
          <t>A 4416-2023</t>
        </is>
      </c>
      <c r="B226" s="1" t="n">
        <v>44956</v>
      </c>
      <c r="C226" s="1" t="n">
        <v>45996</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16961-2022</t>
        </is>
      </c>
      <c r="B227" s="1" t="n">
        <v>44676</v>
      </c>
      <c r="C227" s="1" t="n">
        <v>45996</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18550-2025</t>
        </is>
      </c>
      <c r="B228" s="1" t="n">
        <v>45763.43422453704</v>
      </c>
      <c r="C228" s="1" t="n">
        <v>45996</v>
      </c>
      <c r="D228" t="inlineStr">
        <is>
          <t>ÖREBRO LÄN</t>
        </is>
      </c>
      <c r="E228" t="inlineStr">
        <is>
          <t>ÖREBRO</t>
        </is>
      </c>
      <c r="G228" t="n">
        <v>11.5</v>
      </c>
      <c r="H228" t="n">
        <v>0</v>
      </c>
      <c r="I228" t="n">
        <v>0</v>
      </c>
      <c r="J228" t="n">
        <v>0</v>
      </c>
      <c r="K228" t="n">
        <v>0</v>
      </c>
      <c r="L228" t="n">
        <v>0</v>
      </c>
      <c r="M228" t="n">
        <v>0</v>
      </c>
      <c r="N228" t="n">
        <v>0</v>
      </c>
      <c r="O228" t="n">
        <v>0</v>
      </c>
      <c r="P228" t="n">
        <v>0</v>
      </c>
      <c r="Q228" t="n">
        <v>0</v>
      </c>
      <c r="R228" s="2" t="inlineStr"/>
    </row>
    <row r="229" ht="15" customHeight="1">
      <c r="A229" t="inlineStr">
        <is>
          <t>A 17983-2025</t>
        </is>
      </c>
      <c r="B229" s="1" t="n">
        <v>45761.38829861111</v>
      </c>
      <c r="C229" s="1" t="n">
        <v>45996</v>
      </c>
      <c r="D229" t="inlineStr">
        <is>
          <t>ÖREBRO LÄN</t>
        </is>
      </c>
      <c r="E229" t="inlineStr">
        <is>
          <t>ÖREBRO</t>
        </is>
      </c>
      <c r="G229" t="n">
        <v>0.8</v>
      </c>
      <c r="H229" t="n">
        <v>0</v>
      </c>
      <c r="I229" t="n">
        <v>0</v>
      </c>
      <c r="J229" t="n">
        <v>0</v>
      </c>
      <c r="K229" t="n">
        <v>0</v>
      </c>
      <c r="L229" t="n">
        <v>0</v>
      </c>
      <c r="M229" t="n">
        <v>0</v>
      </c>
      <c r="N229" t="n">
        <v>0</v>
      </c>
      <c r="O229" t="n">
        <v>0</v>
      </c>
      <c r="P229" t="n">
        <v>0</v>
      </c>
      <c r="Q229" t="n">
        <v>0</v>
      </c>
      <c r="R229" s="2" t="inlineStr"/>
    </row>
    <row r="230" ht="15" customHeight="1">
      <c r="A230" t="inlineStr">
        <is>
          <t>A 27180-2025</t>
        </is>
      </c>
      <c r="B230" s="1" t="n">
        <v>45812.35736111111</v>
      </c>
      <c r="C230" s="1" t="n">
        <v>45996</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27215-2025</t>
        </is>
      </c>
      <c r="B231" s="1" t="n">
        <v>45812.41869212963</v>
      </c>
      <c r="C231" s="1" t="n">
        <v>45996</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27225-2025</t>
        </is>
      </c>
      <c r="B232" s="1" t="n">
        <v>45812.42856481481</v>
      </c>
      <c r="C232" s="1" t="n">
        <v>45996</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58598-2022</t>
        </is>
      </c>
      <c r="B233" s="1" t="n">
        <v>44902</v>
      </c>
      <c r="C233" s="1" t="n">
        <v>45996</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23594-2023</t>
        </is>
      </c>
      <c r="B234" s="1" t="n">
        <v>45077</v>
      </c>
      <c r="C234" s="1" t="n">
        <v>45996</v>
      </c>
      <c r="D234" t="inlineStr">
        <is>
          <t>ÖREBRO LÄN</t>
        </is>
      </c>
      <c r="E234" t="inlineStr">
        <is>
          <t>ÖREBRO</t>
        </is>
      </c>
      <c r="G234" t="n">
        <v>9.9</v>
      </c>
      <c r="H234" t="n">
        <v>0</v>
      </c>
      <c r="I234" t="n">
        <v>0</v>
      </c>
      <c r="J234" t="n">
        <v>0</v>
      </c>
      <c r="K234" t="n">
        <v>0</v>
      </c>
      <c r="L234" t="n">
        <v>0</v>
      </c>
      <c r="M234" t="n">
        <v>0</v>
      </c>
      <c r="N234" t="n">
        <v>0</v>
      </c>
      <c r="O234" t="n">
        <v>0</v>
      </c>
      <c r="P234" t="n">
        <v>0</v>
      </c>
      <c r="Q234" t="n">
        <v>0</v>
      </c>
      <c r="R234" s="2" t="inlineStr"/>
    </row>
    <row r="235" ht="15" customHeight="1">
      <c r="A235" t="inlineStr">
        <is>
          <t>A 13158-2024</t>
        </is>
      </c>
      <c r="B235" s="1" t="n">
        <v>45386.38728009259</v>
      </c>
      <c r="C235" s="1" t="n">
        <v>45996</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41678-2024</t>
        </is>
      </c>
      <c r="B236" s="1" t="n">
        <v>45560</v>
      </c>
      <c r="C236" s="1" t="n">
        <v>45996</v>
      </c>
      <c r="D236" t="inlineStr">
        <is>
          <t>ÖREBRO LÄN</t>
        </is>
      </c>
      <c r="E236" t="inlineStr">
        <is>
          <t>ÖREBRO</t>
        </is>
      </c>
      <c r="G236" t="n">
        <v>11.3</v>
      </c>
      <c r="H236" t="n">
        <v>0</v>
      </c>
      <c r="I236" t="n">
        <v>0</v>
      </c>
      <c r="J236" t="n">
        <v>0</v>
      </c>
      <c r="K236" t="n">
        <v>0</v>
      </c>
      <c r="L236" t="n">
        <v>0</v>
      </c>
      <c r="M236" t="n">
        <v>0</v>
      </c>
      <c r="N236" t="n">
        <v>0</v>
      </c>
      <c r="O236" t="n">
        <v>0</v>
      </c>
      <c r="P236" t="n">
        <v>0</v>
      </c>
      <c r="Q236" t="n">
        <v>0</v>
      </c>
      <c r="R236" s="2" t="inlineStr"/>
    </row>
    <row r="237" ht="15" customHeight="1">
      <c r="A237" t="inlineStr">
        <is>
          <t>A 27220-2025</t>
        </is>
      </c>
      <c r="B237" s="1" t="n">
        <v>45812.42293981482</v>
      </c>
      <c r="C237" s="1" t="n">
        <v>45996</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51331-2023</t>
        </is>
      </c>
      <c r="B238" s="1" t="n">
        <v>45219</v>
      </c>
      <c r="C238" s="1" t="n">
        <v>45996</v>
      </c>
      <c r="D238" t="inlineStr">
        <is>
          <t>ÖREBRO LÄN</t>
        </is>
      </c>
      <c r="E238" t="inlineStr">
        <is>
          <t>ÖREBRO</t>
        </is>
      </c>
      <c r="F238" t="inlineStr">
        <is>
          <t>Kommuner</t>
        </is>
      </c>
      <c r="G238" t="n">
        <v>1.3</v>
      </c>
      <c r="H238" t="n">
        <v>0</v>
      </c>
      <c r="I238" t="n">
        <v>0</v>
      </c>
      <c r="J238" t="n">
        <v>0</v>
      </c>
      <c r="K238" t="n">
        <v>0</v>
      </c>
      <c r="L238" t="n">
        <v>0</v>
      </c>
      <c r="M238" t="n">
        <v>0</v>
      </c>
      <c r="N238" t="n">
        <v>0</v>
      </c>
      <c r="O238" t="n">
        <v>0</v>
      </c>
      <c r="P238" t="n">
        <v>0</v>
      </c>
      <c r="Q238" t="n">
        <v>0</v>
      </c>
      <c r="R238" s="2" t="inlineStr"/>
    </row>
    <row r="239" ht="15" customHeight="1">
      <c r="A239" t="inlineStr">
        <is>
          <t>A 52444-2024</t>
        </is>
      </c>
      <c r="B239" s="1" t="n">
        <v>45609.48894675926</v>
      </c>
      <c r="C239" s="1" t="n">
        <v>45996</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13418-2024</t>
        </is>
      </c>
      <c r="B240" s="1" t="n">
        <v>45387.46482638889</v>
      </c>
      <c r="C240" s="1" t="n">
        <v>45996</v>
      </c>
      <c r="D240" t="inlineStr">
        <is>
          <t>ÖREBRO LÄN</t>
        </is>
      </c>
      <c r="E240" t="inlineStr">
        <is>
          <t>ÖREBRO</t>
        </is>
      </c>
      <c r="G240" t="n">
        <v>4.2</v>
      </c>
      <c r="H240" t="n">
        <v>0</v>
      </c>
      <c r="I240" t="n">
        <v>0</v>
      </c>
      <c r="J240" t="n">
        <v>0</v>
      </c>
      <c r="K240" t="n">
        <v>0</v>
      </c>
      <c r="L240" t="n">
        <v>0</v>
      </c>
      <c r="M240" t="n">
        <v>0</v>
      </c>
      <c r="N240" t="n">
        <v>0</v>
      </c>
      <c r="O240" t="n">
        <v>0</v>
      </c>
      <c r="P240" t="n">
        <v>0</v>
      </c>
      <c r="Q240" t="n">
        <v>0</v>
      </c>
      <c r="R240" s="2" t="inlineStr"/>
    </row>
    <row r="241" ht="15" customHeight="1">
      <c r="A241" t="inlineStr">
        <is>
          <t>A 41995-2024</t>
        </is>
      </c>
      <c r="B241" s="1" t="n">
        <v>45561.6475462963</v>
      </c>
      <c r="C241" s="1" t="n">
        <v>45996</v>
      </c>
      <c r="D241" t="inlineStr">
        <is>
          <t>ÖREBRO LÄN</t>
        </is>
      </c>
      <c r="E241" t="inlineStr">
        <is>
          <t>ÖREBRO</t>
        </is>
      </c>
      <c r="G241" t="n">
        <v>1.3</v>
      </c>
      <c r="H241" t="n">
        <v>0</v>
      </c>
      <c r="I241" t="n">
        <v>0</v>
      </c>
      <c r="J241" t="n">
        <v>0</v>
      </c>
      <c r="K241" t="n">
        <v>0</v>
      </c>
      <c r="L241" t="n">
        <v>0</v>
      </c>
      <c r="M241" t="n">
        <v>0</v>
      </c>
      <c r="N241" t="n">
        <v>0</v>
      </c>
      <c r="O241" t="n">
        <v>0</v>
      </c>
      <c r="P241" t="n">
        <v>0</v>
      </c>
      <c r="Q241" t="n">
        <v>0</v>
      </c>
      <c r="R241" s="2" t="inlineStr"/>
    </row>
    <row r="242" ht="15" customHeight="1">
      <c r="A242" t="inlineStr">
        <is>
          <t>A 25996-2024</t>
        </is>
      </c>
      <c r="B242" s="1" t="n">
        <v>45467.89081018518</v>
      </c>
      <c r="C242" s="1" t="n">
        <v>45996</v>
      </c>
      <c r="D242" t="inlineStr">
        <is>
          <t>ÖREBRO LÄN</t>
        </is>
      </c>
      <c r="E242" t="inlineStr">
        <is>
          <t>ÖREBRO</t>
        </is>
      </c>
      <c r="G242" t="n">
        <v>4.7</v>
      </c>
      <c r="H242" t="n">
        <v>0</v>
      </c>
      <c r="I242" t="n">
        <v>0</v>
      </c>
      <c r="J242" t="n">
        <v>0</v>
      </c>
      <c r="K242" t="n">
        <v>0</v>
      </c>
      <c r="L242" t="n">
        <v>0</v>
      </c>
      <c r="M242" t="n">
        <v>0</v>
      </c>
      <c r="N242" t="n">
        <v>0</v>
      </c>
      <c r="O242" t="n">
        <v>0</v>
      </c>
      <c r="P242" t="n">
        <v>0</v>
      </c>
      <c r="Q242" t="n">
        <v>0</v>
      </c>
      <c r="R242" s="2" t="inlineStr"/>
    </row>
    <row r="243" ht="15" customHeight="1">
      <c r="A243" t="inlineStr">
        <is>
          <t>A 8571-2021</t>
        </is>
      </c>
      <c r="B243" s="1" t="n">
        <v>44245</v>
      </c>
      <c r="C243" s="1" t="n">
        <v>45996</v>
      </c>
      <c r="D243" t="inlineStr">
        <is>
          <t>ÖREBRO LÄN</t>
        </is>
      </c>
      <c r="E243" t="inlineStr">
        <is>
          <t>ÖREBRO</t>
        </is>
      </c>
      <c r="G243" t="n">
        <v>0.9</v>
      </c>
      <c r="H243" t="n">
        <v>0</v>
      </c>
      <c r="I243" t="n">
        <v>0</v>
      </c>
      <c r="J243" t="n">
        <v>0</v>
      </c>
      <c r="K243" t="n">
        <v>0</v>
      </c>
      <c r="L243" t="n">
        <v>0</v>
      </c>
      <c r="M243" t="n">
        <v>0</v>
      </c>
      <c r="N243" t="n">
        <v>0</v>
      </c>
      <c r="O243" t="n">
        <v>0</v>
      </c>
      <c r="P243" t="n">
        <v>0</v>
      </c>
      <c r="Q243" t="n">
        <v>0</v>
      </c>
      <c r="R243" s="2" t="inlineStr"/>
    </row>
    <row r="244" ht="15" customHeight="1">
      <c r="A244" t="inlineStr">
        <is>
          <t>A 7611-2024</t>
        </is>
      </c>
      <c r="B244" s="1" t="n">
        <v>45348.58864583333</v>
      </c>
      <c r="C244" s="1" t="n">
        <v>45996</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34874-2022</t>
        </is>
      </c>
      <c r="B245" s="1" t="n">
        <v>44796</v>
      </c>
      <c r="C245" s="1" t="n">
        <v>45996</v>
      </c>
      <c r="D245" t="inlineStr">
        <is>
          <t>ÖREBRO LÄN</t>
        </is>
      </c>
      <c r="E245" t="inlineStr">
        <is>
          <t>ÖREBRO</t>
        </is>
      </c>
      <c r="F245" t="inlineStr">
        <is>
          <t>Övriga Aktiebolag</t>
        </is>
      </c>
      <c r="G245" t="n">
        <v>2.3</v>
      </c>
      <c r="H245" t="n">
        <v>0</v>
      </c>
      <c r="I245" t="n">
        <v>0</v>
      </c>
      <c r="J245" t="n">
        <v>0</v>
      </c>
      <c r="K245" t="n">
        <v>0</v>
      </c>
      <c r="L245" t="n">
        <v>0</v>
      </c>
      <c r="M245" t="n">
        <v>0</v>
      </c>
      <c r="N245" t="n">
        <v>0</v>
      </c>
      <c r="O245" t="n">
        <v>0</v>
      </c>
      <c r="P245" t="n">
        <v>0</v>
      </c>
      <c r="Q245" t="n">
        <v>0</v>
      </c>
      <c r="R245" s="2" t="inlineStr"/>
    </row>
    <row r="246" ht="15" customHeight="1">
      <c r="A246" t="inlineStr">
        <is>
          <t>A 28120-2025</t>
        </is>
      </c>
      <c r="B246" s="1" t="n">
        <v>45818.30459490741</v>
      </c>
      <c r="C246" s="1" t="n">
        <v>45996</v>
      </c>
      <c r="D246" t="inlineStr">
        <is>
          <t>ÖREBRO LÄN</t>
        </is>
      </c>
      <c r="E246" t="inlineStr">
        <is>
          <t>ÖREBRO</t>
        </is>
      </c>
      <c r="G246" t="n">
        <v>1.5</v>
      </c>
      <c r="H246" t="n">
        <v>0</v>
      </c>
      <c r="I246" t="n">
        <v>0</v>
      </c>
      <c r="J246" t="n">
        <v>0</v>
      </c>
      <c r="K246" t="n">
        <v>0</v>
      </c>
      <c r="L246" t="n">
        <v>0</v>
      </c>
      <c r="M246" t="n">
        <v>0</v>
      </c>
      <c r="N246" t="n">
        <v>0</v>
      </c>
      <c r="O246" t="n">
        <v>0</v>
      </c>
      <c r="P246" t="n">
        <v>0</v>
      </c>
      <c r="Q246" t="n">
        <v>0</v>
      </c>
      <c r="R246" s="2" t="inlineStr"/>
    </row>
    <row r="247" ht="15" customHeight="1">
      <c r="A247" t="inlineStr">
        <is>
          <t>A 852-2025</t>
        </is>
      </c>
      <c r="B247" s="1" t="n">
        <v>45665.60148148148</v>
      </c>
      <c r="C247" s="1" t="n">
        <v>45996</v>
      </c>
      <c r="D247" t="inlineStr">
        <is>
          <t>ÖREBRO LÄN</t>
        </is>
      </c>
      <c r="E247" t="inlineStr">
        <is>
          <t>ÖREBRO</t>
        </is>
      </c>
      <c r="G247" t="n">
        <v>2.9</v>
      </c>
      <c r="H247" t="n">
        <v>0</v>
      </c>
      <c r="I247" t="n">
        <v>0</v>
      </c>
      <c r="J247" t="n">
        <v>0</v>
      </c>
      <c r="K247" t="n">
        <v>0</v>
      </c>
      <c r="L247" t="n">
        <v>0</v>
      </c>
      <c r="M247" t="n">
        <v>0</v>
      </c>
      <c r="N247" t="n">
        <v>0</v>
      </c>
      <c r="O247" t="n">
        <v>0</v>
      </c>
      <c r="P247" t="n">
        <v>0</v>
      </c>
      <c r="Q247" t="n">
        <v>0</v>
      </c>
      <c r="R247" s="2" t="inlineStr"/>
    </row>
    <row r="248" ht="15" customHeight="1">
      <c r="A248" t="inlineStr">
        <is>
          <t>A 15789-2023</t>
        </is>
      </c>
      <c r="B248" s="1" t="n">
        <v>45021.71539351852</v>
      </c>
      <c r="C248" s="1" t="n">
        <v>45996</v>
      </c>
      <c r="D248" t="inlineStr">
        <is>
          <t>ÖREBRO LÄN</t>
        </is>
      </c>
      <c r="E248" t="inlineStr">
        <is>
          <t>ÖREBRO</t>
        </is>
      </c>
      <c r="F248" t="inlineStr">
        <is>
          <t>Övriga Aktiebolag</t>
        </is>
      </c>
      <c r="G248" t="n">
        <v>3.7</v>
      </c>
      <c r="H248" t="n">
        <v>0</v>
      </c>
      <c r="I248" t="n">
        <v>0</v>
      </c>
      <c r="J248" t="n">
        <v>0</v>
      </c>
      <c r="K248" t="n">
        <v>0</v>
      </c>
      <c r="L248" t="n">
        <v>0</v>
      </c>
      <c r="M248" t="n">
        <v>0</v>
      </c>
      <c r="N248" t="n">
        <v>0</v>
      </c>
      <c r="O248" t="n">
        <v>0</v>
      </c>
      <c r="P248" t="n">
        <v>0</v>
      </c>
      <c r="Q248" t="n">
        <v>0</v>
      </c>
      <c r="R248" s="2" t="inlineStr"/>
    </row>
    <row r="249" ht="15" customHeight="1">
      <c r="A249" t="inlineStr">
        <is>
          <t>A 52612-2024</t>
        </is>
      </c>
      <c r="B249" s="1" t="n">
        <v>45609</v>
      </c>
      <c r="C249" s="1" t="n">
        <v>45996</v>
      </c>
      <c r="D249" t="inlineStr">
        <is>
          <t>ÖREBRO LÄN</t>
        </is>
      </c>
      <c r="E249" t="inlineStr">
        <is>
          <t>ÖREBRO</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37786-2024</t>
        </is>
      </c>
      <c r="B250" s="1" t="n">
        <v>45542.82987268519</v>
      </c>
      <c r="C250" s="1" t="n">
        <v>45996</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55875-2024</t>
        </is>
      </c>
      <c r="B251" s="1" t="n">
        <v>45623.55375</v>
      </c>
      <c r="C251" s="1" t="n">
        <v>45996</v>
      </c>
      <c r="D251" t="inlineStr">
        <is>
          <t>ÖREBRO LÄN</t>
        </is>
      </c>
      <c r="E251" t="inlineStr">
        <is>
          <t>ÖREBRO</t>
        </is>
      </c>
      <c r="G251" t="n">
        <v>3.5</v>
      </c>
      <c r="H251" t="n">
        <v>0</v>
      </c>
      <c r="I251" t="n">
        <v>0</v>
      </c>
      <c r="J251" t="n">
        <v>0</v>
      </c>
      <c r="K251" t="n">
        <v>0</v>
      </c>
      <c r="L251" t="n">
        <v>0</v>
      </c>
      <c r="M251" t="n">
        <v>0</v>
      </c>
      <c r="N251" t="n">
        <v>0</v>
      </c>
      <c r="O251" t="n">
        <v>0</v>
      </c>
      <c r="P251" t="n">
        <v>0</v>
      </c>
      <c r="Q251" t="n">
        <v>0</v>
      </c>
      <c r="R251" s="2" t="inlineStr"/>
    </row>
    <row r="252" ht="15" customHeight="1">
      <c r="A252" t="inlineStr">
        <is>
          <t>A 28938-2025</t>
        </is>
      </c>
      <c r="B252" s="1" t="n">
        <v>45820.70626157407</v>
      </c>
      <c r="C252" s="1" t="n">
        <v>45996</v>
      </c>
      <c r="D252" t="inlineStr">
        <is>
          <t>ÖREBRO LÄN</t>
        </is>
      </c>
      <c r="E252" t="inlineStr">
        <is>
          <t>ÖREBRO</t>
        </is>
      </c>
      <c r="G252" t="n">
        <v>1.9</v>
      </c>
      <c r="H252" t="n">
        <v>0</v>
      </c>
      <c r="I252" t="n">
        <v>0</v>
      </c>
      <c r="J252" t="n">
        <v>0</v>
      </c>
      <c r="K252" t="n">
        <v>0</v>
      </c>
      <c r="L252" t="n">
        <v>0</v>
      </c>
      <c r="M252" t="n">
        <v>0</v>
      </c>
      <c r="N252" t="n">
        <v>0</v>
      </c>
      <c r="O252" t="n">
        <v>0</v>
      </c>
      <c r="P252" t="n">
        <v>0</v>
      </c>
      <c r="Q252" t="n">
        <v>0</v>
      </c>
      <c r="R252" s="2" t="inlineStr"/>
    </row>
    <row r="253" ht="15" customHeight="1">
      <c r="A253" t="inlineStr">
        <is>
          <t>A 38583-2023</t>
        </is>
      </c>
      <c r="B253" s="1" t="n">
        <v>45162.62861111111</v>
      </c>
      <c r="C253" s="1" t="n">
        <v>45996</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28920-2025</t>
        </is>
      </c>
      <c r="B254" s="1" t="n">
        <v>45820.66532407407</v>
      </c>
      <c r="C254" s="1" t="n">
        <v>45996</v>
      </c>
      <c r="D254" t="inlineStr">
        <is>
          <t>ÖREBRO LÄN</t>
        </is>
      </c>
      <c r="E254" t="inlineStr">
        <is>
          <t>ÖREBRO</t>
        </is>
      </c>
      <c r="G254" t="n">
        <v>3</v>
      </c>
      <c r="H254" t="n">
        <v>0</v>
      </c>
      <c r="I254" t="n">
        <v>0</v>
      </c>
      <c r="J254" t="n">
        <v>0</v>
      </c>
      <c r="K254" t="n">
        <v>0</v>
      </c>
      <c r="L254" t="n">
        <v>0</v>
      </c>
      <c r="M254" t="n">
        <v>0</v>
      </c>
      <c r="N254" t="n">
        <v>0</v>
      </c>
      <c r="O254" t="n">
        <v>0</v>
      </c>
      <c r="P254" t="n">
        <v>0</v>
      </c>
      <c r="Q254" t="n">
        <v>0</v>
      </c>
      <c r="R254" s="2" t="inlineStr"/>
    </row>
    <row r="255" ht="15" customHeight="1">
      <c r="A255" t="inlineStr">
        <is>
          <t>A 3841-2023</t>
        </is>
      </c>
      <c r="B255" s="1" t="n">
        <v>44951</v>
      </c>
      <c r="C255" s="1" t="n">
        <v>45996</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29339-2025</t>
        </is>
      </c>
      <c r="B256" s="1" t="n">
        <v>45824.5044212963</v>
      </c>
      <c r="C256" s="1" t="n">
        <v>45996</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60059-2023</t>
        </is>
      </c>
      <c r="B257" s="1" t="n">
        <v>45258.38157407408</v>
      </c>
      <c r="C257" s="1" t="n">
        <v>45996</v>
      </c>
      <c r="D257" t="inlineStr">
        <is>
          <t>ÖREBRO LÄN</t>
        </is>
      </c>
      <c r="E257" t="inlineStr">
        <is>
          <t>ÖREBRO</t>
        </is>
      </c>
      <c r="G257" t="n">
        <v>4</v>
      </c>
      <c r="H257" t="n">
        <v>0</v>
      </c>
      <c r="I257" t="n">
        <v>0</v>
      </c>
      <c r="J257" t="n">
        <v>0</v>
      </c>
      <c r="K257" t="n">
        <v>0</v>
      </c>
      <c r="L257" t="n">
        <v>0</v>
      </c>
      <c r="M257" t="n">
        <v>0</v>
      </c>
      <c r="N257" t="n">
        <v>0</v>
      </c>
      <c r="O257" t="n">
        <v>0</v>
      </c>
      <c r="P257" t="n">
        <v>0</v>
      </c>
      <c r="Q257" t="n">
        <v>0</v>
      </c>
      <c r="R257" s="2" t="inlineStr"/>
    </row>
    <row r="258" ht="15" customHeight="1">
      <c r="A258" t="inlineStr">
        <is>
          <t>A 26858-2024</t>
        </is>
      </c>
      <c r="B258" s="1" t="n">
        <v>45470</v>
      </c>
      <c r="C258" s="1" t="n">
        <v>45996</v>
      </c>
      <c r="D258" t="inlineStr">
        <is>
          <t>ÖREBRO LÄN</t>
        </is>
      </c>
      <c r="E258" t="inlineStr">
        <is>
          <t>ÖREBRO</t>
        </is>
      </c>
      <c r="G258" t="n">
        <v>2.3</v>
      </c>
      <c r="H258" t="n">
        <v>0</v>
      </c>
      <c r="I258" t="n">
        <v>0</v>
      </c>
      <c r="J258" t="n">
        <v>0</v>
      </c>
      <c r="K258" t="n">
        <v>0</v>
      </c>
      <c r="L258" t="n">
        <v>0</v>
      </c>
      <c r="M258" t="n">
        <v>0</v>
      </c>
      <c r="N258" t="n">
        <v>0</v>
      </c>
      <c r="O258" t="n">
        <v>0</v>
      </c>
      <c r="P258" t="n">
        <v>0</v>
      </c>
      <c r="Q258" t="n">
        <v>0</v>
      </c>
      <c r="R258" s="2" t="inlineStr"/>
    </row>
    <row r="259" ht="15" customHeight="1">
      <c r="A259" t="inlineStr">
        <is>
          <t>A 55745-2023</t>
        </is>
      </c>
      <c r="B259" s="1" t="n">
        <v>45239.44811342593</v>
      </c>
      <c r="C259" s="1" t="n">
        <v>45996</v>
      </c>
      <c r="D259" t="inlineStr">
        <is>
          <t>ÖREBRO LÄN</t>
        </is>
      </c>
      <c r="E259" t="inlineStr">
        <is>
          <t>ÖREBRO</t>
        </is>
      </c>
      <c r="G259" t="n">
        <v>13.3</v>
      </c>
      <c r="H259" t="n">
        <v>0</v>
      </c>
      <c r="I259" t="n">
        <v>0</v>
      </c>
      <c r="J259" t="n">
        <v>0</v>
      </c>
      <c r="K259" t="n">
        <v>0</v>
      </c>
      <c r="L259" t="n">
        <v>0</v>
      </c>
      <c r="M259" t="n">
        <v>0</v>
      </c>
      <c r="N259" t="n">
        <v>0</v>
      </c>
      <c r="O259" t="n">
        <v>0</v>
      </c>
      <c r="P259" t="n">
        <v>0</v>
      </c>
      <c r="Q259" t="n">
        <v>0</v>
      </c>
      <c r="R259" s="2" t="inlineStr"/>
    </row>
    <row r="260" ht="15" customHeight="1">
      <c r="A260" t="inlineStr">
        <is>
          <t>A 49215-2023</t>
        </is>
      </c>
      <c r="B260" s="1" t="n">
        <v>45210.61050925926</v>
      </c>
      <c r="C260" s="1" t="n">
        <v>45996</v>
      </c>
      <c r="D260" t="inlineStr">
        <is>
          <t>ÖREBRO LÄN</t>
        </is>
      </c>
      <c r="E260" t="inlineStr">
        <is>
          <t>ÖREBRO</t>
        </is>
      </c>
      <c r="F260" t="inlineStr">
        <is>
          <t>Övriga Aktiebolag</t>
        </is>
      </c>
      <c r="G260" t="n">
        <v>4.2</v>
      </c>
      <c r="H260" t="n">
        <v>0</v>
      </c>
      <c r="I260" t="n">
        <v>0</v>
      </c>
      <c r="J260" t="n">
        <v>0</v>
      </c>
      <c r="K260" t="n">
        <v>0</v>
      </c>
      <c r="L260" t="n">
        <v>0</v>
      </c>
      <c r="M260" t="n">
        <v>0</v>
      </c>
      <c r="N260" t="n">
        <v>0</v>
      </c>
      <c r="O260" t="n">
        <v>0</v>
      </c>
      <c r="P260" t="n">
        <v>0</v>
      </c>
      <c r="Q260" t="n">
        <v>0</v>
      </c>
      <c r="R260" s="2" t="inlineStr"/>
    </row>
    <row r="261" ht="15" customHeight="1">
      <c r="A261" t="inlineStr">
        <is>
          <t>A 29701-2025</t>
        </is>
      </c>
      <c r="B261" s="1" t="n">
        <v>45825.55261574074</v>
      </c>
      <c r="C261" s="1" t="n">
        <v>45996</v>
      </c>
      <c r="D261" t="inlineStr">
        <is>
          <t>ÖREBRO LÄN</t>
        </is>
      </c>
      <c r="E261" t="inlineStr">
        <is>
          <t>ÖREBRO</t>
        </is>
      </c>
      <c r="G261" t="n">
        <v>5.8</v>
      </c>
      <c r="H261" t="n">
        <v>0</v>
      </c>
      <c r="I261" t="n">
        <v>0</v>
      </c>
      <c r="J261" t="n">
        <v>0</v>
      </c>
      <c r="K261" t="n">
        <v>0</v>
      </c>
      <c r="L261" t="n">
        <v>0</v>
      </c>
      <c r="M261" t="n">
        <v>0</v>
      </c>
      <c r="N261" t="n">
        <v>0</v>
      </c>
      <c r="O261" t="n">
        <v>0</v>
      </c>
      <c r="P261" t="n">
        <v>0</v>
      </c>
      <c r="Q261" t="n">
        <v>0</v>
      </c>
      <c r="R261" s="2" t="inlineStr"/>
    </row>
    <row r="262" ht="15" customHeight="1">
      <c r="A262" t="inlineStr">
        <is>
          <t>A 38573-2023</t>
        </is>
      </c>
      <c r="B262" s="1" t="n">
        <v>45162.61837962963</v>
      </c>
      <c r="C262" s="1" t="n">
        <v>45996</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29286-2025</t>
        </is>
      </c>
      <c r="B263" s="1" t="n">
        <v>45824.43502314815</v>
      </c>
      <c r="C263" s="1" t="n">
        <v>45996</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13856-2022</t>
        </is>
      </c>
      <c r="B264" s="1" t="n">
        <v>44649.6965162037</v>
      </c>
      <c r="C264" s="1" t="n">
        <v>45996</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52256-2023</t>
        </is>
      </c>
      <c r="B265" s="1" t="n">
        <v>45224.51471064815</v>
      </c>
      <c r="C265" s="1" t="n">
        <v>45996</v>
      </c>
      <c r="D265" t="inlineStr">
        <is>
          <t>ÖREBRO LÄN</t>
        </is>
      </c>
      <c r="E265" t="inlineStr">
        <is>
          <t>ÖREBRO</t>
        </is>
      </c>
      <c r="G265" t="n">
        <v>2.8</v>
      </c>
      <c r="H265" t="n">
        <v>0</v>
      </c>
      <c r="I265" t="n">
        <v>0</v>
      </c>
      <c r="J265" t="n">
        <v>0</v>
      </c>
      <c r="K265" t="n">
        <v>0</v>
      </c>
      <c r="L265" t="n">
        <v>0</v>
      </c>
      <c r="M265" t="n">
        <v>0</v>
      </c>
      <c r="N265" t="n">
        <v>0</v>
      </c>
      <c r="O265" t="n">
        <v>0</v>
      </c>
      <c r="P265" t="n">
        <v>0</v>
      </c>
      <c r="Q265" t="n">
        <v>0</v>
      </c>
      <c r="R265" s="2" t="inlineStr"/>
    </row>
    <row r="266" ht="15" customHeight="1">
      <c r="A266" t="inlineStr">
        <is>
          <t>A 43399-2022</t>
        </is>
      </c>
      <c r="B266" s="1" t="n">
        <v>44834</v>
      </c>
      <c r="C266" s="1" t="n">
        <v>45996</v>
      </c>
      <c r="D266" t="inlineStr">
        <is>
          <t>ÖREBRO LÄN</t>
        </is>
      </c>
      <c r="E266" t="inlineStr">
        <is>
          <t>ÖREBRO</t>
        </is>
      </c>
      <c r="G266" t="n">
        <v>1.3</v>
      </c>
      <c r="H266" t="n">
        <v>0</v>
      </c>
      <c r="I266" t="n">
        <v>0</v>
      </c>
      <c r="J266" t="n">
        <v>0</v>
      </c>
      <c r="K266" t="n">
        <v>0</v>
      </c>
      <c r="L266" t="n">
        <v>0</v>
      </c>
      <c r="M266" t="n">
        <v>0</v>
      </c>
      <c r="N266" t="n">
        <v>0</v>
      </c>
      <c r="O266" t="n">
        <v>0</v>
      </c>
      <c r="P266" t="n">
        <v>0</v>
      </c>
      <c r="Q266" t="n">
        <v>0</v>
      </c>
      <c r="R266" s="2" t="inlineStr"/>
    </row>
    <row r="267" ht="15" customHeight="1">
      <c r="A267" t="inlineStr">
        <is>
          <t>A 39003-2025</t>
        </is>
      </c>
      <c r="B267" s="1" t="n">
        <v>45888.34467592592</v>
      </c>
      <c r="C267" s="1" t="n">
        <v>45996</v>
      </c>
      <c r="D267" t="inlineStr">
        <is>
          <t>ÖREBRO LÄN</t>
        </is>
      </c>
      <c r="E267" t="inlineStr">
        <is>
          <t>ÖREBRO</t>
        </is>
      </c>
      <c r="G267" t="n">
        <v>3.7</v>
      </c>
      <c r="H267" t="n">
        <v>0</v>
      </c>
      <c r="I267" t="n">
        <v>0</v>
      </c>
      <c r="J267" t="n">
        <v>0</v>
      </c>
      <c r="K267" t="n">
        <v>0</v>
      </c>
      <c r="L267" t="n">
        <v>0</v>
      </c>
      <c r="M267" t="n">
        <v>0</v>
      </c>
      <c r="N267" t="n">
        <v>0</v>
      </c>
      <c r="O267" t="n">
        <v>0</v>
      </c>
      <c r="P267" t="n">
        <v>0</v>
      </c>
      <c r="Q267" t="n">
        <v>0</v>
      </c>
      <c r="R267" s="2" t="inlineStr"/>
    </row>
    <row r="268" ht="15" customHeight="1">
      <c r="A268" t="inlineStr">
        <is>
          <t>A 15422-2022</t>
        </is>
      </c>
      <c r="B268" s="1" t="n">
        <v>44659.63753472222</v>
      </c>
      <c r="C268" s="1" t="n">
        <v>45996</v>
      </c>
      <c r="D268" t="inlineStr">
        <is>
          <t>ÖREBRO LÄN</t>
        </is>
      </c>
      <c r="E268" t="inlineStr">
        <is>
          <t>ÖREBRO</t>
        </is>
      </c>
      <c r="G268" t="n">
        <v>2</v>
      </c>
      <c r="H268" t="n">
        <v>0</v>
      </c>
      <c r="I268" t="n">
        <v>0</v>
      </c>
      <c r="J268" t="n">
        <v>0</v>
      </c>
      <c r="K268" t="n">
        <v>0</v>
      </c>
      <c r="L268" t="n">
        <v>0</v>
      </c>
      <c r="M268" t="n">
        <v>0</v>
      </c>
      <c r="N268" t="n">
        <v>0</v>
      </c>
      <c r="O268" t="n">
        <v>0</v>
      </c>
      <c r="P268" t="n">
        <v>0</v>
      </c>
      <c r="Q268" t="n">
        <v>0</v>
      </c>
      <c r="R268" s="2" t="inlineStr"/>
    </row>
    <row r="269" ht="15" customHeight="1">
      <c r="A269" t="inlineStr">
        <is>
          <t>A 60289-2023</t>
        </is>
      </c>
      <c r="B269" s="1" t="n">
        <v>45257</v>
      </c>
      <c r="C269" s="1" t="n">
        <v>45996</v>
      </c>
      <c r="D269" t="inlineStr">
        <is>
          <t>ÖREBRO LÄN</t>
        </is>
      </c>
      <c r="E269" t="inlineStr">
        <is>
          <t>ÖREBRO</t>
        </is>
      </c>
      <c r="G269" t="n">
        <v>10.9</v>
      </c>
      <c r="H269" t="n">
        <v>0</v>
      </c>
      <c r="I269" t="n">
        <v>0</v>
      </c>
      <c r="J269" t="n">
        <v>0</v>
      </c>
      <c r="K269" t="n">
        <v>0</v>
      </c>
      <c r="L269" t="n">
        <v>0</v>
      </c>
      <c r="M269" t="n">
        <v>0</v>
      </c>
      <c r="N269" t="n">
        <v>0</v>
      </c>
      <c r="O269" t="n">
        <v>0</v>
      </c>
      <c r="P269" t="n">
        <v>0</v>
      </c>
      <c r="Q269" t="n">
        <v>0</v>
      </c>
      <c r="R269" s="2" t="inlineStr"/>
    </row>
    <row r="270" ht="15" customHeight="1">
      <c r="A270" t="inlineStr">
        <is>
          <t>A 12017-2024</t>
        </is>
      </c>
      <c r="B270" s="1" t="n">
        <v>45377</v>
      </c>
      <c r="C270" s="1" t="n">
        <v>45996</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54678-2023</t>
        </is>
      </c>
      <c r="B271" s="1" t="n">
        <v>45235</v>
      </c>
      <c r="C271" s="1" t="n">
        <v>45996</v>
      </c>
      <c r="D271" t="inlineStr">
        <is>
          <t>ÖREBRO LÄN</t>
        </is>
      </c>
      <c r="E271" t="inlineStr">
        <is>
          <t>ÖREBRO</t>
        </is>
      </c>
      <c r="G271" t="n">
        <v>1.7</v>
      </c>
      <c r="H271" t="n">
        <v>0</v>
      </c>
      <c r="I271" t="n">
        <v>0</v>
      </c>
      <c r="J271" t="n">
        <v>0</v>
      </c>
      <c r="K271" t="n">
        <v>0</v>
      </c>
      <c r="L271" t="n">
        <v>0</v>
      </c>
      <c r="M271" t="n">
        <v>0</v>
      </c>
      <c r="N271" t="n">
        <v>0</v>
      </c>
      <c r="O271" t="n">
        <v>0</v>
      </c>
      <c r="P271" t="n">
        <v>0</v>
      </c>
      <c r="Q271" t="n">
        <v>0</v>
      </c>
      <c r="R271" s="2" t="inlineStr"/>
    </row>
    <row r="272" ht="15" customHeight="1">
      <c r="A272" t="inlineStr">
        <is>
          <t>A 19553-2023</t>
        </is>
      </c>
      <c r="B272" s="1" t="n">
        <v>45050</v>
      </c>
      <c r="C272" s="1" t="n">
        <v>45996</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190-2024</t>
        </is>
      </c>
      <c r="B273" s="1" t="n">
        <v>45294.61858796296</v>
      </c>
      <c r="C273" s="1" t="n">
        <v>45996</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44511-2023</t>
        </is>
      </c>
      <c r="B274" s="1" t="n">
        <v>45189</v>
      </c>
      <c r="C274" s="1" t="n">
        <v>45996</v>
      </c>
      <c r="D274" t="inlineStr">
        <is>
          <t>ÖREBRO LÄN</t>
        </is>
      </c>
      <c r="E274" t="inlineStr">
        <is>
          <t>ÖREBRO</t>
        </is>
      </c>
      <c r="F274" t="inlineStr">
        <is>
          <t>Allmännings- och besparingsskogar</t>
        </is>
      </c>
      <c r="G274" t="n">
        <v>2.7</v>
      </c>
      <c r="H274" t="n">
        <v>0</v>
      </c>
      <c r="I274" t="n">
        <v>0</v>
      </c>
      <c r="J274" t="n">
        <v>0</v>
      </c>
      <c r="K274" t="n">
        <v>0</v>
      </c>
      <c r="L274" t="n">
        <v>0</v>
      </c>
      <c r="M274" t="n">
        <v>0</v>
      </c>
      <c r="N274" t="n">
        <v>0</v>
      </c>
      <c r="O274" t="n">
        <v>0</v>
      </c>
      <c r="P274" t="n">
        <v>0</v>
      </c>
      <c r="Q274" t="n">
        <v>0</v>
      </c>
      <c r="R274" s="2" t="inlineStr"/>
    </row>
    <row r="275" ht="15" customHeight="1">
      <c r="A275" t="inlineStr">
        <is>
          <t>A 30550-2025</t>
        </is>
      </c>
      <c r="B275" s="1" t="n">
        <v>45831.38224537037</v>
      </c>
      <c r="C275" s="1" t="n">
        <v>45996</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39446-2025</t>
        </is>
      </c>
      <c r="B276" s="1" t="n">
        <v>45889.70388888889</v>
      </c>
      <c r="C276" s="1" t="n">
        <v>45996</v>
      </c>
      <c r="D276" t="inlineStr">
        <is>
          <t>ÖREBRO LÄN</t>
        </is>
      </c>
      <c r="E276" t="inlineStr">
        <is>
          <t>ÖREBRO</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14291-2023</t>
        </is>
      </c>
      <c r="B277" s="1" t="n">
        <v>45010</v>
      </c>
      <c r="C277" s="1" t="n">
        <v>45996</v>
      </c>
      <c r="D277" t="inlineStr">
        <is>
          <t>ÖREBRO LÄN</t>
        </is>
      </c>
      <c r="E277" t="inlineStr">
        <is>
          <t>ÖREBRO</t>
        </is>
      </c>
      <c r="G277" t="n">
        <v>0.8</v>
      </c>
      <c r="H277" t="n">
        <v>0</v>
      </c>
      <c r="I277" t="n">
        <v>0</v>
      </c>
      <c r="J277" t="n">
        <v>0</v>
      </c>
      <c r="K277" t="n">
        <v>0</v>
      </c>
      <c r="L277" t="n">
        <v>0</v>
      </c>
      <c r="M277" t="n">
        <v>0</v>
      </c>
      <c r="N277" t="n">
        <v>0</v>
      </c>
      <c r="O277" t="n">
        <v>0</v>
      </c>
      <c r="P277" t="n">
        <v>0</v>
      </c>
      <c r="Q277" t="n">
        <v>0</v>
      </c>
      <c r="R277" s="2" t="inlineStr"/>
    </row>
    <row r="278" ht="15" customHeight="1">
      <c r="A278" t="inlineStr">
        <is>
          <t>A 58527-2024</t>
        </is>
      </c>
      <c r="B278" s="1" t="n">
        <v>45635.44388888889</v>
      </c>
      <c r="C278" s="1" t="n">
        <v>45996</v>
      </c>
      <c r="D278" t="inlineStr">
        <is>
          <t>ÖREBRO LÄN</t>
        </is>
      </c>
      <c r="E278" t="inlineStr">
        <is>
          <t>ÖREBRO</t>
        </is>
      </c>
      <c r="F278" t="inlineStr">
        <is>
          <t>Sveaskog</t>
        </is>
      </c>
      <c r="G278" t="n">
        <v>6.4</v>
      </c>
      <c r="H278" t="n">
        <v>0</v>
      </c>
      <c r="I278" t="n">
        <v>0</v>
      </c>
      <c r="J278" t="n">
        <v>0</v>
      </c>
      <c r="K278" t="n">
        <v>0</v>
      </c>
      <c r="L278" t="n">
        <v>0</v>
      </c>
      <c r="M278" t="n">
        <v>0</v>
      </c>
      <c r="N278" t="n">
        <v>0</v>
      </c>
      <c r="O278" t="n">
        <v>0</v>
      </c>
      <c r="P278" t="n">
        <v>0</v>
      </c>
      <c r="Q278" t="n">
        <v>0</v>
      </c>
      <c r="R278" s="2" t="inlineStr"/>
    </row>
    <row r="279" ht="15" customHeight="1">
      <c r="A279" t="inlineStr">
        <is>
          <t>A 30731-2025</t>
        </is>
      </c>
      <c r="B279" s="1" t="n">
        <v>45831.57280092593</v>
      </c>
      <c r="C279" s="1" t="n">
        <v>45996</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55593-2022</t>
        </is>
      </c>
      <c r="B280" s="1" t="n">
        <v>44888</v>
      </c>
      <c r="C280" s="1" t="n">
        <v>45996</v>
      </c>
      <c r="D280" t="inlineStr">
        <is>
          <t>ÖREBRO LÄN</t>
        </is>
      </c>
      <c r="E280" t="inlineStr">
        <is>
          <t>ÖREBRO</t>
        </is>
      </c>
      <c r="G280" t="n">
        <v>3.6</v>
      </c>
      <c r="H280" t="n">
        <v>0</v>
      </c>
      <c r="I280" t="n">
        <v>0</v>
      </c>
      <c r="J280" t="n">
        <v>0</v>
      </c>
      <c r="K280" t="n">
        <v>0</v>
      </c>
      <c r="L280" t="n">
        <v>0</v>
      </c>
      <c r="M280" t="n">
        <v>0</v>
      </c>
      <c r="N280" t="n">
        <v>0</v>
      </c>
      <c r="O280" t="n">
        <v>0</v>
      </c>
      <c r="P280" t="n">
        <v>0</v>
      </c>
      <c r="Q280" t="n">
        <v>0</v>
      </c>
      <c r="R280" s="2" t="inlineStr"/>
    </row>
    <row r="281" ht="15" customHeight="1">
      <c r="A281" t="inlineStr">
        <is>
          <t>A 46323-2024</t>
        </is>
      </c>
      <c r="B281" s="1" t="n">
        <v>45581.84538194445</v>
      </c>
      <c r="C281" s="1" t="n">
        <v>45996</v>
      </c>
      <c r="D281" t="inlineStr">
        <is>
          <t>ÖREBRO LÄN</t>
        </is>
      </c>
      <c r="E281" t="inlineStr">
        <is>
          <t>ÖREBRO</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52447-2024</t>
        </is>
      </c>
      <c r="B282" s="1" t="n">
        <v>45609.49157407408</v>
      </c>
      <c r="C282" s="1" t="n">
        <v>45996</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43803-2023</t>
        </is>
      </c>
      <c r="B283" s="1" t="n">
        <v>45187</v>
      </c>
      <c r="C283" s="1" t="n">
        <v>45996</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55943-2024</t>
        </is>
      </c>
      <c r="B284" s="1" t="n">
        <v>45623.61278935185</v>
      </c>
      <c r="C284" s="1" t="n">
        <v>45996</v>
      </c>
      <c r="D284" t="inlineStr">
        <is>
          <t>ÖREBRO LÄN</t>
        </is>
      </c>
      <c r="E284" t="inlineStr">
        <is>
          <t>ÖREBRO</t>
        </is>
      </c>
      <c r="G284" t="n">
        <v>4.8</v>
      </c>
      <c r="H284" t="n">
        <v>0</v>
      </c>
      <c r="I284" t="n">
        <v>0</v>
      </c>
      <c r="J284" t="n">
        <v>0</v>
      </c>
      <c r="K284" t="n">
        <v>0</v>
      </c>
      <c r="L284" t="n">
        <v>0</v>
      </c>
      <c r="M284" t="n">
        <v>0</v>
      </c>
      <c r="N284" t="n">
        <v>0</v>
      </c>
      <c r="O284" t="n">
        <v>0</v>
      </c>
      <c r="P284" t="n">
        <v>0</v>
      </c>
      <c r="Q284" t="n">
        <v>0</v>
      </c>
      <c r="R284" s="2" t="inlineStr"/>
    </row>
    <row r="285" ht="15" customHeight="1">
      <c r="A285" t="inlineStr">
        <is>
          <t>A 31232-2025</t>
        </is>
      </c>
      <c r="B285" s="1" t="n">
        <v>45832.8252199074</v>
      </c>
      <c r="C285" s="1" t="n">
        <v>45996</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30951-2025</t>
        </is>
      </c>
      <c r="B286" s="1" t="n">
        <v>45832.43225694444</v>
      </c>
      <c r="C286" s="1" t="n">
        <v>45996</v>
      </c>
      <c r="D286" t="inlineStr">
        <is>
          <t>ÖREBRO LÄN</t>
        </is>
      </c>
      <c r="E286" t="inlineStr">
        <is>
          <t>ÖREBRO</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60028-2024</t>
        </is>
      </c>
      <c r="B287" s="1" t="n">
        <v>45642</v>
      </c>
      <c r="C287" s="1" t="n">
        <v>45996</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31233-2025</t>
        </is>
      </c>
      <c r="B288" s="1" t="n">
        <v>45832.83341435185</v>
      </c>
      <c r="C288" s="1" t="n">
        <v>45996</v>
      </c>
      <c r="D288" t="inlineStr">
        <is>
          <t>ÖREBRO LÄN</t>
        </is>
      </c>
      <c r="E288" t="inlineStr">
        <is>
          <t>ÖREBRO</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31237-2025</t>
        </is>
      </c>
      <c r="B289" s="1" t="n">
        <v>45832.84313657408</v>
      </c>
      <c r="C289" s="1" t="n">
        <v>45996</v>
      </c>
      <c r="D289" t="inlineStr">
        <is>
          <t>ÖREBRO LÄN</t>
        </is>
      </c>
      <c r="E289" t="inlineStr">
        <is>
          <t>ÖREBRO</t>
        </is>
      </c>
      <c r="F289" t="inlineStr">
        <is>
          <t>Övriga Aktiebolag</t>
        </is>
      </c>
      <c r="G289" t="n">
        <v>1.7</v>
      </c>
      <c r="H289" t="n">
        <v>0</v>
      </c>
      <c r="I289" t="n">
        <v>0</v>
      </c>
      <c r="J289" t="n">
        <v>0</v>
      </c>
      <c r="K289" t="n">
        <v>0</v>
      </c>
      <c r="L289" t="n">
        <v>0</v>
      </c>
      <c r="M289" t="n">
        <v>0</v>
      </c>
      <c r="N289" t="n">
        <v>0</v>
      </c>
      <c r="O289" t="n">
        <v>0</v>
      </c>
      <c r="P289" t="n">
        <v>0</v>
      </c>
      <c r="Q289" t="n">
        <v>0</v>
      </c>
      <c r="R289" s="2" t="inlineStr"/>
    </row>
    <row r="290" ht="15" customHeight="1">
      <c r="A290" t="inlineStr">
        <is>
          <t>A 63142-2023</t>
        </is>
      </c>
      <c r="B290" s="1" t="n">
        <v>45273</v>
      </c>
      <c r="C290" s="1" t="n">
        <v>45996</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23741-2022</t>
        </is>
      </c>
      <c r="B291" s="1" t="n">
        <v>44722</v>
      </c>
      <c r="C291" s="1" t="n">
        <v>45996</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31066-2025</t>
        </is>
      </c>
      <c r="B292" s="1" t="n">
        <v>45832</v>
      </c>
      <c r="C292" s="1" t="n">
        <v>45996</v>
      </c>
      <c r="D292" t="inlineStr">
        <is>
          <t>ÖREBRO LÄN</t>
        </is>
      </c>
      <c r="E292" t="inlineStr">
        <is>
          <t>ÖREBRO</t>
        </is>
      </c>
      <c r="G292" t="n">
        <v>11.1</v>
      </c>
      <c r="H292" t="n">
        <v>0</v>
      </c>
      <c r="I292" t="n">
        <v>0</v>
      </c>
      <c r="J292" t="n">
        <v>0</v>
      </c>
      <c r="K292" t="n">
        <v>0</v>
      </c>
      <c r="L292" t="n">
        <v>0</v>
      </c>
      <c r="M292" t="n">
        <v>0</v>
      </c>
      <c r="N292" t="n">
        <v>0</v>
      </c>
      <c r="O292" t="n">
        <v>0</v>
      </c>
      <c r="P292" t="n">
        <v>0</v>
      </c>
      <c r="Q292" t="n">
        <v>0</v>
      </c>
      <c r="R292" s="2" t="inlineStr"/>
    </row>
    <row r="293" ht="15" customHeight="1">
      <c r="A293" t="inlineStr">
        <is>
          <t>A 59121-2024</t>
        </is>
      </c>
      <c r="B293" s="1" t="n">
        <v>45637.37755787037</v>
      </c>
      <c r="C293" s="1" t="n">
        <v>45996</v>
      </c>
      <c r="D293" t="inlineStr">
        <is>
          <t>ÖREBRO LÄN</t>
        </is>
      </c>
      <c r="E293" t="inlineStr">
        <is>
          <t>ÖREBRO</t>
        </is>
      </c>
      <c r="G293" t="n">
        <v>1</v>
      </c>
      <c r="H293" t="n">
        <v>0</v>
      </c>
      <c r="I293" t="n">
        <v>0</v>
      </c>
      <c r="J293" t="n">
        <v>0</v>
      </c>
      <c r="K293" t="n">
        <v>0</v>
      </c>
      <c r="L293" t="n">
        <v>0</v>
      </c>
      <c r="M293" t="n">
        <v>0</v>
      </c>
      <c r="N293" t="n">
        <v>0</v>
      </c>
      <c r="O293" t="n">
        <v>0</v>
      </c>
      <c r="P293" t="n">
        <v>0</v>
      </c>
      <c r="Q293" t="n">
        <v>0</v>
      </c>
      <c r="R293" s="2" t="inlineStr"/>
    </row>
    <row r="294" ht="15" customHeight="1">
      <c r="A294" t="inlineStr">
        <is>
          <t>A 6794-2025</t>
        </is>
      </c>
      <c r="B294" s="1" t="n">
        <v>45700.66429398148</v>
      </c>
      <c r="C294" s="1" t="n">
        <v>45996</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9704-2023</t>
        </is>
      </c>
      <c r="B295" s="1" t="n">
        <v>44984</v>
      </c>
      <c r="C295" s="1" t="n">
        <v>45996</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39479-2025</t>
        </is>
      </c>
      <c r="B296" s="1" t="n">
        <v>45890.34752314815</v>
      </c>
      <c r="C296" s="1" t="n">
        <v>45996</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32188-2025</t>
        </is>
      </c>
      <c r="B297" s="1" t="n">
        <v>45835.56965277778</v>
      </c>
      <c r="C297" s="1" t="n">
        <v>45996</v>
      </c>
      <c r="D297" t="inlineStr">
        <is>
          <t>ÖREBRO LÄN</t>
        </is>
      </c>
      <c r="E297" t="inlineStr">
        <is>
          <t>ÖREBRO</t>
        </is>
      </c>
      <c r="G297" t="n">
        <v>2.9</v>
      </c>
      <c r="H297" t="n">
        <v>0</v>
      </c>
      <c r="I297" t="n">
        <v>0</v>
      </c>
      <c r="J297" t="n">
        <v>0</v>
      </c>
      <c r="K297" t="n">
        <v>0</v>
      </c>
      <c r="L297" t="n">
        <v>0</v>
      </c>
      <c r="M297" t="n">
        <v>0</v>
      </c>
      <c r="N297" t="n">
        <v>0</v>
      </c>
      <c r="O297" t="n">
        <v>0</v>
      </c>
      <c r="P297" t="n">
        <v>0</v>
      </c>
      <c r="Q297" t="n">
        <v>0</v>
      </c>
      <c r="R297" s="2" t="inlineStr"/>
    </row>
    <row r="298" ht="15" customHeight="1">
      <c r="A298" t="inlineStr">
        <is>
          <t>A 32195-2025</t>
        </is>
      </c>
      <c r="B298" s="1" t="n">
        <v>45835.57407407407</v>
      </c>
      <c r="C298" s="1" t="n">
        <v>45996</v>
      </c>
      <c r="D298" t="inlineStr">
        <is>
          <t>ÖREBRO LÄN</t>
        </is>
      </c>
      <c r="E298" t="inlineStr">
        <is>
          <t>ÖREBRO</t>
        </is>
      </c>
      <c r="G298" t="n">
        <v>1.5</v>
      </c>
      <c r="H298" t="n">
        <v>0</v>
      </c>
      <c r="I298" t="n">
        <v>0</v>
      </c>
      <c r="J298" t="n">
        <v>0</v>
      </c>
      <c r="K298" t="n">
        <v>0</v>
      </c>
      <c r="L298" t="n">
        <v>0</v>
      </c>
      <c r="M298" t="n">
        <v>0</v>
      </c>
      <c r="N298" t="n">
        <v>0</v>
      </c>
      <c r="O298" t="n">
        <v>0</v>
      </c>
      <c r="P298" t="n">
        <v>0</v>
      </c>
      <c r="Q298" t="n">
        <v>0</v>
      </c>
      <c r="R298" s="2" t="inlineStr"/>
    </row>
    <row r="299" ht="15" customHeight="1">
      <c r="A299" t="inlineStr">
        <is>
          <t>A 2596-2022</t>
        </is>
      </c>
      <c r="B299" s="1" t="n">
        <v>44580</v>
      </c>
      <c r="C299" s="1" t="n">
        <v>45996</v>
      </c>
      <c r="D299" t="inlineStr">
        <is>
          <t>ÖREBRO LÄN</t>
        </is>
      </c>
      <c r="E299" t="inlineStr">
        <is>
          <t>ÖREBRO</t>
        </is>
      </c>
      <c r="G299" t="n">
        <v>4.3</v>
      </c>
      <c r="H299" t="n">
        <v>0</v>
      </c>
      <c r="I299" t="n">
        <v>0</v>
      </c>
      <c r="J299" t="n">
        <v>0</v>
      </c>
      <c r="K299" t="n">
        <v>0</v>
      </c>
      <c r="L299" t="n">
        <v>0</v>
      </c>
      <c r="M299" t="n">
        <v>0</v>
      </c>
      <c r="N299" t="n">
        <v>0</v>
      </c>
      <c r="O299" t="n">
        <v>0</v>
      </c>
      <c r="P299" t="n">
        <v>0</v>
      </c>
      <c r="Q299" t="n">
        <v>0</v>
      </c>
      <c r="R299" s="2" t="inlineStr"/>
    </row>
    <row r="300" ht="15" customHeight="1">
      <c r="A300" t="inlineStr">
        <is>
          <t>A 32218-2025</t>
        </is>
      </c>
      <c r="B300" s="1" t="n">
        <v>45835.58880787037</v>
      </c>
      <c r="C300" s="1" t="n">
        <v>45996</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13857-2022</t>
        </is>
      </c>
      <c r="B301" s="1" t="n">
        <v>44649</v>
      </c>
      <c r="C301" s="1" t="n">
        <v>45996</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12099-2023</t>
        </is>
      </c>
      <c r="B302" s="1" t="n">
        <v>44998.37043981482</v>
      </c>
      <c r="C302" s="1" t="n">
        <v>45996</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32904-2025</t>
        </is>
      </c>
      <c r="B303" s="1" t="n">
        <v>45839</v>
      </c>
      <c r="C303" s="1" t="n">
        <v>45996</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55692-2023</t>
        </is>
      </c>
      <c r="B304" s="1" t="n">
        <v>45239</v>
      </c>
      <c r="C304" s="1" t="n">
        <v>45996</v>
      </c>
      <c r="D304" t="inlineStr">
        <is>
          <t>ÖREBRO LÄN</t>
        </is>
      </c>
      <c r="E304" t="inlineStr">
        <is>
          <t>ÖREBRO</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17869-2024</t>
        </is>
      </c>
      <c r="B305" s="1" t="n">
        <v>45419</v>
      </c>
      <c r="C305" s="1" t="n">
        <v>45996</v>
      </c>
      <c r="D305" t="inlineStr">
        <is>
          <t>ÖREBRO LÄN</t>
        </is>
      </c>
      <c r="E305" t="inlineStr">
        <is>
          <t>ÖREBRO</t>
        </is>
      </c>
      <c r="G305" t="n">
        <v>3.7</v>
      </c>
      <c r="H305" t="n">
        <v>0</v>
      </c>
      <c r="I305" t="n">
        <v>0</v>
      </c>
      <c r="J305" t="n">
        <v>0</v>
      </c>
      <c r="K305" t="n">
        <v>0</v>
      </c>
      <c r="L305" t="n">
        <v>0</v>
      </c>
      <c r="M305" t="n">
        <v>0</v>
      </c>
      <c r="N305" t="n">
        <v>0</v>
      </c>
      <c r="O305" t="n">
        <v>0</v>
      </c>
      <c r="P305" t="n">
        <v>0</v>
      </c>
      <c r="Q305" t="n">
        <v>0</v>
      </c>
      <c r="R305" s="2" t="inlineStr"/>
    </row>
    <row r="306" ht="15" customHeight="1">
      <c r="A306" t="inlineStr">
        <is>
          <t>A 5026-2022</t>
        </is>
      </c>
      <c r="B306" s="1" t="n">
        <v>44593.63974537037</v>
      </c>
      <c r="C306" s="1" t="n">
        <v>45996</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32426-2025</t>
        </is>
      </c>
      <c r="B307" s="1" t="n">
        <v>45838.36179398148</v>
      </c>
      <c r="C307" s="1" t="n">
        <v>45996</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10832-2023</t>
        </is>
      </c>
      <c r="B308" s="1" t="n">
        <v>44990.91711805556</v>
      </c>
      <c r="C308" s="1" t="n">
        <v>45996</v>
      </c>
      <c r="D308" t="inlineStr">
        <is>
          <t>ÖREBRO LÄN</t>
        </is>
      </c>
      <c r="E308" t="inlineStr">
        <is>
          <t>ÖREBRO</t>
        </is>
      </c>
      <c r="G308" t="n">
        <v>1.4</v>
      </c>
      <c r="H308" t="n">
        <v>0</v>
      </c>
      <c r="I308" t="n">
        <v>0</v>
      </c>
      <c r="J308" t="n">
        <v>0</v>
      </c>
      <c r="K308" t="n">
        <v>0</v>
      </c>
      <c r="L308" t="n">
        <v>0</v>
      </c>
      <c r="M308" t="n">
        <v>0</v>
      </c>
      <c r="N308" t="n">
        <v>0</v>
      </c>
      <c r="O308" t="n">
        <v>0</v>
      </c>
      <c r="P308" t="n">
        <v>0</v>
      </c>
      <c r="Q308" t="n">
        <v>0</v>
      </c>
      <c r="R308" s="2" t="inlineStr"/>
    </row>
    <row r="309" ht="15" customHeight="1">
      <c r="A309" t="inlineStr">
        <is>
          <t>A 33191-2025</t>
        </is>
      </c>
      <c r="B309" s="1" t="n">
        <v>45840.6003587963</v>
      </c>
      <c r="C309" s="1" t="n">
        <v>45996</v>
      </c>
      <c r="D309" t="inlineStr">
        <is>
          <t>ÖREBRO LÄN</t>
        </is>
      </c>
      <c r="E309" t="inlineStr">
        <is>
          <t>ÖREBRO</t>
        </is>
      </c>
      <c r="G309" t="n">
        <v>2.6</v>
      </c>
      <c r="H309" t="n">
        <v>0</v>
      </c>
      <c r="I309" t="n">
        <v>0</v>
      </c>
      <c r="J309" t="n">
        <v>0</v>
      </c>
      <c r="K309" t="n">
        <v>0</v>
      </c>
      <c r="L309" t="n">
        <v>0</v>
      </c>
      <c r="M309" t="n">
        <v>0</v>
      </c>
      <c r="N309" t="n">
        <v>0</v>
      </c>
      <c r="O309" t="n">
        <v>0</v>
      </c>
      <c r="P309" t="n">
        <v>0</v>
      </c>
      <c r="Q309" t="n">
        <v>0</v>
      </c>
      <c r="R309" s="2" t="inlineStr"/>
    </row>
    <row r="310" ht="15" customHeight="1">
      <c r="A310" t="inlineStr">
        <is>
          <t>A 15866-2022</t>
        </is>
      </c>
      <c r="B310" s="1" t="n">
        <v>44664</v>
      </c>
      <c r="C310" s="1" t="n">
        <v>45996</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48581-2024</t>
        </is>
      </c>
      <c r="B311" s="1" t="n">
        <v>45593.41642361111</v>
      </c>
      <c r="C311" s="1" t="n">
        <v>45996</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40330-2025</t>
        </is>
      </c>
      <c r="B312" s="1" t="n">
        <v>45895.4531712963</v>
      </c>
      <c r="C312" s="1" t="n">
        <v>45996</v>
      </c>
      <c r="D312" t="inlineStr">
        <is>
          <t>ÖREBRO LÄN</t>
        </is>
      </c>
      <c r="E312" t="inlineStr">
        <is>
          <t>ÖREBRO</t>
        </is>
      </c>
      <c r="G312" t="n">
        <v>0.9</v>
      </c>
      <c r="H312" t="n">
        <v>0</v>
      </c>
      <c r="I312" t="n">
        <v>0</v>
      </c>
      <c r="J312" t="n">
        <v>0</v>
      </c>
      <c r="K312" t="n">
        <v>0</v>
      </c>
      <c r="L312" t="n">
        <v>0</v>
      </c>
      <c r="M312" t="n">
        <v>0</v>
      </c>
      <c r="N312" t="n">
        <v>0</v>
      </c>
      <c r="O312" t="n">
        <v>0</v>
      </c>
      <c r="P312" t="n">
        <v>0</v>
      </c>
      <c r="Q312" t="n">
        <v>0</v>
      </c>
      <c r="R312" s="2" t="inlineStr"/>
    </row>
    <row r="313" ht="15" customHeight="1">
      <c r="A313" t="inlineStr">
        <is>
          <t>A 40332-2025</t>
        </is>
      </c>
      <c r="B313" s="1" t="n">
        <v>45895.46060185185</v>
      </c>
      <c r="C313" s="1" t="n">
        <v>45996</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40231-2022</t>
        </is>
      </c>
      <c r="B314" s="1" t="n">
        <v>44820</v>
      </c>
      <c r="C314" s="1" t="n">
        <v>45996</v>
      </c>
      <c r="D314" t="inlineStr">
        <is>
          <t>ÖREBRO LÄN</t>
        </is>
      </c>
      <c r="E314" t="inlineStr">
        <is>
          <t>ÖREBRO</t>
        </is>
      </c>
      <c r="F314" t="inlineStr">
        <is>
          <t>Allmännings- och besparingsskogar</t>
        </is>
      </c>
      <c r="G314" t="n">
        <v>2.2</v>
      </c>
      <c r="H314" t="n">
        <v>0</v>
      </c>
      <c r="I314" t="n">
        <v>0</v>
      </c>
      <c r="J314" t="n">
        <v>0</v>
      </c>
      <c r="K314" t="n">
        <v>0</v>
      </c>
      <c r="L314" t="n">
        <v>0</v>
      </c>
      <c r="M314" t="n">
        <v>0</v>
      </c>
      <c r="N314" t="n">
        <v>0</v>
      </c>
      <c r="O314" t="n">
        <v>0</v>
      </c>
      <c r="P314" t="n">
        <v>0</v>
      </c>
      <c r="Q314" t="n">
        <v>0</v>
      </c>
      <c r="R314" s="2" t="inlineStr"/>
    </row>
    <row r="315" ht="15" customHeight="1">
      <c r="A315" t="inlineStr">
        <is>
          <t>A 28054-2022</t>
        </is>
      </c>
      <c r="B315" s="1" t="n">
        <v>44746.41938657407</v>
      </c>
      <c r="C315" s="1" t="n">
        <v>45996</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14963-2025</t>
        </is>
      </c>
      <c r="B316" s="1" t="n">
        <v>45743.58699074074</v>
      </c>
      <c r="C316" s="1" t="n">
        <v>45996</v>
      </c>
      <c r="D316" t="inlineStr">
        <is>
          <t>ÖREBRO LÄN</t>
        </is>
      </c>
      <c r="E316" t="inlineStr">
        <is>
          <t>ÖREBRO</t>
        </is>
      </c>
      <c r="G316" t="n">
        <v>9.1</v>
      </c>
      <c r="H316" t="n">
        <v>0</v>
      </c>
      <c r="I316" t="n">
        <v>0</v>
      </c>
      <c r="J316" t="n">
        <v>0</v>
      </c>
      <c r="K316" t="n">
        <v>0</v>
      </c>
      <c r="L316" t="n">
        <v>0</v>
      </c>
      <c r="M316" t="n">
        <v>0</v>
      </c>
      <c r="N316" t="n">
        <v>0</v>
      </c>
      <c r="O316" t="n">
        <v>0</v>
      </c>
      <c r="P316" t="n">
        <v>0</v>
      </c>
      <c r="Q316" t="n">
        <v>0</v>
      </c>
      <c r="R316" s="2" t="inlineStr"/>
    </row>
    <row r="317" ht="15" customHeight="1">
      <c r="A317" t="inlineStr">
        <is>
          <t>A 541-2025</t>
        </is>
      </c>
      <c r="B317" s="1" t="n">
        <v>45664.52034722222</v>
      </c>
      <c r="C317" s="1" t="n">
        <v>45996</v>
      </c>
      <c r="D317" t="inlineStr">
        <is>
          <t>ÖREBRO LÄN</t>
        </is>
      </c>
      <c r="E317" t="inlineStr">
        <is>
          <t>ÖREBRO</t>
        </is>
      </c>
      <c r="G317" t="n">
        <v>2.2</v>
      </c>
      <c r="H317" t="n">
        <v>0</v>
      </c>
      <c r="I317" t="n">
        <v>0</v>
      </c>
      <c r="J317" t="n">
        <v>0</v>
      </c>
      <c r="K317" t="n">
        <v>0</v>
      </c>
      <c r="L317" t="n">
        <v>0</v>
      </c>
      <c r="M317" t="n">
        <v>0</v>
      </c>
      <c r="N317" t="n">
        <v>0</v>
      </c>
      <c r="O317" t="n">
        <v>0</v>
      </c>
      <c r="P317" t="n">
        <v>0</v>
      </c>
      <c r="Q317" t="n">
        <v>0</v>
      </c>
      <c r="R317" s="2" t="inlineStr"/>
    </row>
    <row r="318" ht="15" customHeight="1">
      <c r="A318" t="inlineStr">
        <is>
          <t>A 53143-2023</t>
        </is>
      </c>
      <c r="B318" s="1" t="n">
        <v>45229</v>
      </c>
      <c r="C318" s="1" t="n">
        <v>45996</v>
      </c>
      <c r="D318" t="inlineStr">
        <is>
          <t>ÖREBRO LÄN</t>
        </is>
      </c>
      <c r="E318" t="inlineStr">
        <is>
          <t>ÖREBRO</t>
        </is>
      </c>
      <c r="G318" t="n">
        <v>3.3</v>
      </c>
      <c r="H318" t="n">
        <v>0</v>
      </c>
      <c r="I318" t="n">
        <v>0</v>
      </c>
      <c r="J318" t="n">
        <v>0</v>
      </c>
      <c r="K318" t="n">
        <v>0</v>
      </c>
      <c r="L318" t="n">
        <v>0</v>
      </c>
      <c r="M318" t="n">
        <v>0</v>
      </c>
      <c r="N318" t="n">
        <v>0</v>
      </c>
      <c r="O318" t="n">
        <v>0</v>
      </c>
      <c r="P318" t="n">
        <v>0</v>
      </c>
      <c r="Q318" t="n">
        <v>0</v>
      </c>
      <c r="R318" s="2" t="inlineStr"/>
    </row>
    <row r="319" ht="15" customHeight="1">
      <c r="A319" t="inlineStr">
        <is>
          <t>A 25407-2021</t>
        </is>
      </c>
      <c r="B319" s="1" t="n">
        <v>44342</v>
      </c>
      <c r="C319" s="1" t="n">
        <v>45996</v>
      </c>
      <c r="D319" t="inlineStr">
        <is>
          <t>ÖREBRO LÄN</t>
        </is>
      </c>
      <c r="E319" t="inlineStr">
        <is>
          <t>ÖREBRO</t>
        </is>
      </c>
      <c r="F319" t="inlineStr">
        <is>
          <t>Kommuner</t>
        </is>
      </c>
      <c r="G319" t="n">
        <v>7.2</v>
      </c>
      <c r="H319" t="n">
        <v>0</v>
      </c>
      <c r="I319" t="n">
        <v>0</v>
      </c>
      <c r="J319" t="n">
        <v>0</v>
      </c>
      <c r="K319" t="n">
        <v>0</v>
      </c>
      <c r="L319" t="n">
        <v>0</v>
      </c>
      <c r="M319" t="n">
        <v>0</v>
      </c>
      <c r="N319" t="n">
        <v>0</v>
      </c>
      <c r="O319" t="n">
        <v>0</v>
      </c>
      <c r="P319" t="n">
        <v>0</v>
      </c>
      <c r="Q319" t="n">
        <v>0</v>
      </c>
      <c r="R319" s="2" t="inlineStr"/>
    </row>
    <row r="320" ht="15" customHeight="1">
      <c r="A320" t="inlineStr">
        <is>
          <t>A 48687-2024</t>
        </is>
      </c>
      <c r="B320" s="1" t="n">
        <v>45593.49899305555</v>
      </c>
      <c r="C320" s="1" t="n">
        <v>45996</v>
      </c>
      <c r="D320" t="inlineStr">
        <is>
          <t>ÖREBRO LÄN</t>
        </is>
      </c>
      <c r="E320" t="inlineStr">
        <is>
          <t>ÖREBRO</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33455-2023</t>
        </is>
      </c>
      <c r="B321" s="1" t="n">
        <v>45130.98962962963</v>
      </c>
      <c r="C321" s="1" t="n">
        <v>45996</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2069-2025</t>
        </is>
      </c>
      <c r="B322" s="1" t="n">
        <v>45672.56614583333</v>
      </c>
      <c r="C322" s="1" t="n">
        <v>45996</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45027-2024</t>
        </is>
      </c>
      <c r="B323" s="1" t="n">
        <v>45575</v>
      </c>
      <c r="C323" s="1" t="n">
        <v>45996</v>
      </c>
      <c r="D323" t="inlineStr">
        <is>
          <t>ÖREBRO LÄN</t>
        </is>
      </c>
      <c r="E323" t="inlineStr">
        <is>
          <t>ÖREBRO</t>
        </is>
      </c>
      <c r="G323" t="n">
        <v>6.3</v>
      </c>
      <c r="H323" t="n">
        <v>0</v>
      </c>
      <c r="I323" t="n">
        <v>0</v>
      </c>
      <c r="J323" t="n">
        <v>0</v>
      </c>
      <c r="K323" t="n">
        <v>0</v>
      </c>
      <c r="L323" t="n">
        <v>0</v>
      </c>
      <c r="M323" t="n">
        <v>0</v>
      </c>
      <c r="N323" t="n">
        <v>0</v>
      </c>
      <c r="O323" t="n">
        <v>0</v>
      </c>
      <c r="P323" t="n">
        <v>0</v>
      </c>
      <c r="Q323" t="n">
        <v>0</v>
      </c>
      <c r="R323" s="2" t="inlineStr"/>
    </row>
    <row r="324" ht="15" customHeight="1">
      <c r="A324" t="inlineStr">
        <is>
          <t>A 16140-2023</t>
        </is>
      </c>
      <c r="B324" s="1" t="n">
        <v>45027.6433912037</v>
      </c>
      <c r="C324" s="1" t="n">
        <v>45996</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35062-2025</t>
        </is>
      </c>
      <c r="B325" s="1" t="n">
        <v>45852</v>
      </c>
      <c r="C325" s="1" t="n">
        <v>45996</v>
      </c>
      <c r="D325" t="inlineStr">
        <is>
          <t>ÖREBRO LÄN</t>
        </is>
      </c>
      <c r="E325" t="inlineStr">
        <is>
          <t>ÖREBRO</t>
        </is>
      </c>
      <c r="G325" t="n">
        <v>2.8</v>
      </c>
      <c r="H325" t="n">
        <v>0</v>
      </c>
      <c r="I325" t="n">
        <v>0</v>
      </c>
      <c r="J325" t="n">
        <v>0</v>
      </c>
      <c r="K325" t="n">
        <v>0</v>
      </c>
      <c r="L325" t="n">
        <v>0</v>
      </c>
      <c r="M325" t="n">
        <v>0</v>
      </c>
      <c r="N325" t="n">
        <v>0</v>
      </c>
      <c r="O325" t="n">
        <v>0</v>
      </c>
      <c r="P325" t="n">
        <v>0</v>
      </c>
      <c r="Q325" t="n">
        <v>0</v>
      </c>
      <c r="R325" s="2" t="inlineStr"/>
    </row>
    <row r="326" ht="15" customHeight="1">
      <c r="A326" t="inlineStr">
        <is>
          <t>A 58277-2022</t>
        </is>
      </c>
      <c r="B326" s="1" t="n">
        <v>44901.48108796297</v>
      </c>
      <c r="C326" s="1" t="n">
        <v>45996</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48644-2024</t>
        </is>
      </c>
      <c r="B327" s="1" t="n">
        <v>45593.47466435185</v>
      </c>
      <c r="C327" s="1" t="n">
        <v>45996</v>
      </c>
      <c r="D327" t="inlineStr">
        <is>
          <t>ÖREBRO LÄN</t>
        </is>
      </c>
      <c r="E327" t="inlineStr">
        <is>
          <t>ÖREBRO</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42518-2021</t>
        </is>
      </c>
      <c r="B328" s="1" t="n">
        <v>44427.81496527778</v>
      </c>
      <c r="C328" s="1" t="n">
        <v>45996</v>
      </c>
      <c r="D328" t="inlineStr">
        <is>
          <t>ÖREBRO LÄN</t>
        </is>
      </c>
      <c r="E328" t="inlineStr">
        <is>
          <t>ÖREBRO</t>
        </is>
      </c>
      <c r="G328" t="n">
        <v>4.5</v>
      </c>
      <c r="H328" t="n">
        <v>0</v>
      </c>
      <c r="I328" t="n">
        <v>0</v>
      </c>
      <c r="J328" t="n">
        <v>0</v>
      </c>
      <c r="K328" t="n">
        <v>0</v>
      </c>
      <c r="L328" t="n">
        <v>0</v>
      </c>
      <c r="M328" t="n">
        <v>0</v>
      </c>
      <c r="N328" t="n">
        <v>0</v>
      </c>
      <c r="O328" t="n">
        <v>0</v>
      </c>
      <c r="P328" t="n">
        <v>0</v>
      </c>
      <c r="Q328" t="n">
        <v>0</v>
      </c>
      <c r="R328" s="2" t="inlineStr"/>
    </row>
    <row r="329" ht="15" customHeight="1">
      <c r="A329" t="inlineStr">
        <is>
          <t>A 14524-2025</t>
        </is>
      </c>
      <c r="B329" s="1" t="n">
        <v>45741.64815972222</v>
      </c>
      <c r="C329" s="1" t="n">
        <v>45996</v>
      </c>
      <c r="D329" t="inlineStr">
        <is>
          <t>ÖREBRO LÄN</t>
        </is>
      </c>
      <c r="E329" t="inlineStr">
        <is>
          <t>ÖREBRO</t>
        </is>
      </c>
      <c r="G329" t="n">
        <v>2.8</v>
      </c>
      <c r="H329" t="n">
        <v>0</v>
      </c>
      <c r="I329" t="n">
        <v>0</v>
      </c>
      <c r="J329" t="n">
        <v>0</v>
      </c>
      <c r="K329" t="n">
        <v>0</v>
      </c>
      <c r="L329" t="n">
        <v>0</v>
      </c>
      <c r="M329" t="n">
        <v>0</v>
      </c>
      <c r="N329" t="n">
        <v>0</v>
      </c>
      <c r="O329" t="n">
        <v>0</v>
      </c>
      <c r="P329" t="n">
        <v>0</v>
      </c>
      <c r="Q329" t="n">
        <v>0</v>
      </c>
      <c r="R329" s="2" t="inlineStr"/>
    </row>
    <row r="330" ht="15" customHeight="1">
      <c r="A330" t="inlineStr">
        <is>
          <t>A 52391-2024</t>
        </is>
      </c>
      <c r="B330" s="1" t="n">
        <v>45609.43180555556</v>
      </c>
      <c r="C330" s="1" t="n">
        <v>45996</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15354-2024</t>
        </is>
      </c>
      <c r="B331" s="1" t="n">
        <v>45400.85319444445</v>
      </c>
      <c r="C331" s="1" t="n">
        <v>45996</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52401-2024</t>
        </is>
      </c>
      <c r="B332" s="1" t="n">
        <v>45609.44553240741</v>
      </c>
      <c r="C332" s="1" t="n">
        <v>45996</v>
      </c>
      <c r="D332" t="inlineStr">
        <is>
          <t>ÖREBRO LÄN</t>
        </is>
      </c>
      <c r="E332" t="inlineStr">
        <is>
          <t>ÖREBRO</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41543-2024</t>
        </is>
      </c>
      <c r="B333" s="1" t="n">
        <v>45560</v>
      </c>
      <c r="C333" s="1" t="n">
        <v>45996</v>
      </c>
      <c r="D333" t="inlineStr">
        <is>
          <t>ÖREBRO LÄN</t>
        </is>
      </c>
      <c r="E333" t="inlineStr">
        <is>
          <t>ÖREBRO</t>
        </is>
      </c>
      <c r="G333" t="n">
        <v>2.8</v>
      </c>
      <c r="H333" t="n">
        <v>0</v>
      </c>
      <c r="I333" t="n">
        <v>0</v>
      </c>
      <c r="J333" t="n">
        <v>0</v>
      </c>
      <c r="K333" t="n">
        <v>0</v>
      </c>
      <c r="L333" t="n">
        <v>0</v>
      </c>
      <c r="M333" t="n">
        <v>0</v>
      </c>
      <c r="N333" t="n">
        <v>0</v>
      </c>
      <c r="O333" t="n">
        <v>0</v>
      </c>
      <c r="P333" t="n">
        <v>0</v>
      </c>
      <c r="Q333" t="n">
        <v>0</v>
      </c>
      <c r="R333" s="2" t="inlineStr"/>
    </row>
    <row r="334" ht="15" customHeight="1">
      <c r="A334" t="inlineStr">
        <is>
          <t>A 28821-2025</t>
        </is>
      </c>
      <c r="B334" s="1" t="n">
        <v>45820</v>
      </c>
      <c r="C334" s="1" t="n">
        <v>45996</v>
      </c>
      <c r="D334" t="inlineStr">
        <is>
          <t>ÖREBRO LÄN</t>
        </is>
      </c>
      <c r="E334" t="inlineStr">
        <is>
          <t>ÖREBRO</t>
        </is>
      </c>
      <c r="G334" t="n">
        <v>12.6</v>
      </c>
      <c r="H334" t="n">
        <v>0</v>
      </c>
      <c r="I334" t="n">
        <v>0</v>
      </c>
      <c r="J334" t="n">
        <v>0</v>
      </c>
      <c r="K334" t="n">
        <v>0</v>
      </c>
      <c r="L334" t="n">
        <v>0</v>
      </c>
      <c r="M334" t="n">
        <v>0</v>
      </c>
      <c r="N334" t="n">
        <v>0</v>
      </c>
      <c r="O334" t="n">
        <v>0</v>
      </c>
      <c r="P334" t="n">
        <v>0</v>
      </c>
      <c r="Q334" t="n">
        <v>0</v>
      </c>
      <c r="R334" s="2" t="inlineStr"/>
    </row>
    <row r="335" ht="15" customHeight="1">
      <c r="A335" t="inlineStr">
        <is>
          <t>A 71275-2021</t>
        </is>
      </c>
      <c r="B335" s="1" t="n">
        <v>44539</v>
      </c>
      <c r="C335" s="1" t="n">
        <v>45996</v>
      </c>
      <c r="D335" t="inlineStr">
        <is>
          <t>ÖREBRO LÄN</t>
        </is>
      </c>
      <c r="E335" t="inlineStr">
        <is>
          <t>ÖREBRO</t>
        </is>
      </c>
      <c r="G335" t="n">
        <v>0.9</v>
      </c>
      <c r="H335" t="n">
        <v>0</v>
      </c>
      <c r="I335" t="n">
        <v>0</v>
      </c>
      <c r="J335" t="n">
        <v>0</v>
      </c>
      <c r="K335" t="n">
        <v>0</v>
      </c>
      <c r="L335" t="n">
        <v>0</v>
      </c>
      <c r="M335" t="n">
        <v>0</v>
      </c>
      <c r="N335" t="n">
        <v>0</v>
      </c>
      <c r="O335" t="n">
        <v>0</v>
      </c>
      <c r="P335" t="n">
        <v>0</v>
      </c>
      <c r="Q335" t="n">
        <v>0</v>
      </c>
      <c r="R335" s="2" t="inlineStr"/>
    </row>
    <row r="336" ht="15" customHeight="1">
      <c r="A336" t="inlineStr">
        <is>
          <t>A 71285-2021</t>
        </is>
      </c>
      <c r="B336" s="1" t="n">
        <v>44539.62236111111</v>
      </c>
      <c r="C336" s="1" t="n">
        <v>45996</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35637-2025</t>
        </is>
      </c>
      <c r="B337" s="1" t="n">
        <v>45859.46859953704</v>
      </c>
      <c r="C337" s="1" t="n">
        <v>45996</v>
      </c>
      <c r="D337" t="inlineStr">
        <is>
          <t>ÖREBRO LÄN</t>
        </is>
      </c>
      <c r="E337" t="inlineStr">
        <is>
          <t>ÖREBRO</t>
        </is>
      </c>
      <c r="G337" t="n">
        <v>2.1</v>
      </c>
      <c r="H337" t="n">
        <v>0</v>
      </c>
      <c r="I337" t="n">
        <v>0</v>
      </c>
      <c r="J337" t="n">
        <v>0</v>
      </c>
      <c r="K337" t="n">
        <v>0</v>
      </c>
      <c r="L337" t="n">
        <v>0</v>
      </c>
      <c r="M337" t="n">
        <v>0</v>
      </c>
      <c r="N337" t="n">
        <v>0</v>
      </c>
      <c r="O337" t="n">
        <v>0</v>
      </c>
      <c r="P337" t="n">
        <v>0</v>
      </c>
      <c r="Q337" t="n">
        <v>0</v>
      </c>
      <c r="R337" s="2" t="inlineStr"/>
    </row>
    <row r="338" ht="15" customHeight="1">
      <c r="A338" t="inlineStr">
        <is>
          <t>A 2658-2023</t>
        </is>
      </c>
      <c r="B338" s="1" t="n">
        <v>44944</v>
      </c>
      <c r="C338" s="1" t="n">
        <v>45996</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26338-2021</t>
        </is>
      </c>
      <c r="B339" s="1" t="n">
        <v>44347</v>
      </c>
      <c r="C339" s="1" t="n">
        <v>45996</v>
      </c>
      <c r="D339" t="inlineStr">
        <is>
          <t>ÖREBRO LÄN</t>
        </is>
      </c>
      <c r="E339" t="inlineStr">
        <is>
          <t>ÖREBRO</t>
        </is>
      </c>
      <c r="G339" t="n">
        <v>0.5</v>
      </c>
      <c r="H339" t="n">
        <v>0</v>
      </c>
      <c r="I339" t="n">
        <v>0</v>
      </c>
      <c r="J339" t="n">
        <v>0</v>
      </c>
      <c r="K339" t="n">
        <v>0</v>
      </c>
      <c r="L339" t="n">
        <v>0</v>
      </c>
      <c r="M339" t="n">
        <v>0</v>
      </c>
      <c r="N339" t="n">
        <v>0</v>
      </c>
      <c r="O339" t="n">
        <v>0</v>
      </c>
      <c r="P339" t="n">
        <v>0</v>
      </c>
      <c r="Q339" t="n">
        <v>0</v>
      </c>
      <c r="R339" s="2" t="inlineStr"/>
    </row>
    <row r="340" ht="15" customHeight="1">
      <c r="A340" t="inlineStr">
        <is>
          <t>A 35928-2025</t>
        </is>
      </c>
      <c r="B340" s="1" t="n">
        <v>45862</v>
      </c>
      <c r="C340" s="1" t="n">
        <v>45996</v>
      </c>
      <c r="D340" t="inlineStr">
        <is>
          <t>ÖREBRO LÄN</t>
        </is>
      </c>
      <c r="E340" t="inlineStr">
        <is>
          <t>ÖREBRO</t>
        </is>
      </c>
      <c r="G340" t="n">
        <v>4.4</v>
      </c>
      <c r="H340" t="n">
        <v>0</v>
      </c>
      <c r="I340" t="n">
        <v>0</v>
      </c>
      <c r="J340" t="n">
        <v>0</v>
      </c>
      <c r="K340" t="n">
        <v>0</v>
      </c>
      <c r="L340" t="n">
        <v>0</v>
      </c>
      <c r="M340" t="n">
        <v>0</v>
      </c>
      <c r="N340" t="n">
        <v>0</v>
      </c>
      <c r="O340" t="n">
        <v>0</v>
      </c>
      <c r="P340" t="n">
        <v>0</v>
      </c>
      <c r="Q340" t="n">
        <v>0</v>
      </c>
      <c r="R340" s="2" t="inlineStr"/>
    </row>
    <row r="341" ht="15" customHeight="1">
      <c r="A341" t="inlineStr">
        <is>
          <t>A 53234-2023</t>
        </is>
      </c>
      <c r="B341" s="1" t="n">
        <v>45229</v>
      </c>
      <c r="C341" s="1" t="n">
        <v>45996</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59757-2023</t>
        </is>
      </c>
      <c r="B342" s="1" t="n">
        <v>45257.40833333333</v>
      </c>
      <c r="C342" s="1" t="n">
        <v>45996</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32025-2024</t>
        </is>
      </c>
      <c r="B343" s="1" t="n">
        <v>45510.65754629629</v>
      </c>
      <c r="C343" s="1" t="n">
        <v>45996</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11067-2025</t>
        </is>
      </c>
      <c r="B344" s="1" t="n">
        <v>45723</v>
      </c>
      <c r="C344" s="1" t="n">
        <v>45996</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55453-2024</t>
        </is>
      </c>
      <c r="B345" s="1" t="n">
        <v>45622.42097222222</v>
      </c>
      <c r="C345" s="1" t="n">
        <v>45996</v>
      </c>
      <c r="D345" t="inlineStr">
        <is>
          <t>ÖREBRO LÄN</t>
        </is>
      </c>
      <c r="E345" t="inlineStr">
        <is>
          <t>ÖREBRO</t>
        </is>
      </c>
      <c r="G345" t="n">
        <v>8.5</v>
      </c>
      <c r="H345" t="n">
        <v>0</v>
      </c>
      <c r="I345" t="n">
        <v>0</v>
      </c>
      <c r="J345" t="n">
        <v>0</v>
      </c>
      <c r="K345" t="n">
        <v>0</v>
      </c>
      <c r="L345" t="n">
        <v>0</v>
      </c>
      <c r="M345" t="n">
        <v>0</v>
      </c>
      <c r="N345" t="n">
        <v>0</v>
      </c>
      <c r="O345" t="n">
        <v>0</v>
      </c>
      <c r="P345" t="n">
        <v>0</v>
      </c>
      <c r="Q345" t="n">
        <v>0</v>
      </c>
      <c r="R345" s="2" t="inlineStr"/>
    </row>
    <row r="346" ht="15" customHeight="1">
      <c r="A346" t="inlineStr">
        <is>
          <t>A 3659-2025</t>
        </is>
      </c>
      <c r="B346" s="1" t="n">
        <v>45681</v>
      </c>
      <c r="C346" s="1" t="n">
        <v>45996</v>
      </c>
      <c r="D346" t="inlineStr">
        <is>
          <t>ÖREBRO LÄN</t>
        </is>
      </c>
      <c r="E346" t="inlineStr">
        <is>
          <t>ÖREBRO</t>
        </is>
      </c>
      <c r="G346" t="n">
        <v>15.8</v>
      </c>
      <c r="H346" t="n">
        <v>0</v>
      </c>
      <c r="I346" t="n">
        <v>0</v>
      </c>
      <c r="J346" t="n">
        <v>0</v>
      </c>
      <c r="K346" t="n">
        <v>0</v>
      </c>
      <c r="L346" t="n">
        <v>0</v>
      </c>
      <c r="M346" t="n">
        <v>0</v>
      </c>
      <c r="N346" t="n">
        <v>0</v>
      </c>
      <c r="O346" t="n">
        <v>0</v>
      </c>
      <c r="P346" t="n">
        <v>0</v>
      </c>
      <c r="Q346" t="n">
        <v>0</v>
      </c>
      <c r="R346" s="2" t="inlineStr"/>
    </row>
    <row r="347" ht="15" customHeight="1">
      <c r="A347" t="inlineStr">
        <is>
          <t>A 13347-2023</t>
        </is>
      </c>
      <c r="B347" s="1" t="n">
        <v>45004</v>
      </c>
      <c r="C347" s="1" t="n">
        <v>45996</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6752-2022</t>
        </is>
      </c>
      <c r="B348" s="1" t="n">
        <v>44602.48082175926</v>
      </c>
      <c r="C348" s="1" t="n">
        <v>45996</v>
      </c>
      <c r="D348" t="inlineStr">
        <is>
          <t>ÖREBRO LÄN</t>
        </is>
      </c>
      <c r="E348" t="inlineStr">
        <is>
          <t>ÖREBRO</t>
        </is>
      </c>
      <c r="G348" t="n">
        <v>3.1</v>
      </c>
      <c r="H348" t="n">
        <v>0</v>
      </c>
      <c r="I348" t="n">
        <v>0</v>
      </c>
      <c r="J348" t="n">
        <v>0</v>
      </c>
      <c r="K348" t="n">
        <v>0</v>
      </c>
      <c r="L348" t="n">
        <v>0</v>
      </c>
      <c r="M348" t="n">
        <v>0</v>
      </c>
      <c r="N348" t="n">
        <v>0</v>
      </c>
      <c r="O348" t="n">
        <v>0</v>
      </c>
      <c r="P348" t="n">
        <v>0</v>
      </c>
      <c r="Q348" t="n">
        <v>0</v>
      </c>
      <c r="R348" s="2" t="inlineStr"/>
    </row>
    <row r="349" ht="15" customHeight="1">
      <c r="A349" t="inlineStr">
        <is>
          <t>A 36448-2025</t>
        </is>
      </c>
      <c r="B349" s="1" t="n">
        <v>45869.41929398148</v>
      </c>
      <c r="C349" s="1" t="n">
        <v>45996</v>
      </c>
      <c r="D349" t="inlineStr">
        <is>
          <t>ÖREBRO LÄN</t>
        </is>
      </c>
      <c r="E349" t="inlineStr">
        <is>
          <t>ÖREBRO</t>
        </is>
      </c>
      <c r="F349" t="inlineStr">
        <is>
          <t>Övriga Aktiebolag</t>
        </is>
      </c>
      <c r="G349" t="n">
        <v>4.3</v>
      </c>
      <c r="H349" t="n">
        <v>0</v>
      </c>
      <c r="I349" t="n">
        <v>0</v>
      </c>
      <c r="J349" t="n">
        <v>0</v>
      </c>
      <c r="K349" t="n">
        <v>0</v>
      </c>
      <c r="L349" t="n">
        <v>0</v>
      </c>
      <c r="M349" t="n">
        <v>0</v>
      </c>
      <c r="N349" t="n">
        <v>0</v>
      </c>
      <c r="O349" t="n">
        <v>0</v>
      </c>
      <c r="P349" t="n">
        <v>0</v>
      </c>
      <c r="Q349" t="n">
        <v>0</v>
      </c>
      <c r="R349" s="2" t="inlineStr"/>
    </row>
    <row r="350" ht="15" customHeight="1">
      <c r="A350" t="inlineStr">
        <is>
          <t>A 36447-2025</t>
        </is>
      </c>
      <c r="B350" s="1" t="n">
        <v>45869.41387731482</v>
      </c>
      <c r="C350" s="1" t="n">
        <v>45996</v>
      </c>
      <c r="D350" t="inlineStr">
        <is>
          <t>ÖREBRO LÄN</t>
        </is>
      </c>
      <c r="E350" t="inlineStr">
        <is>
          <t>ÖREBRO</t>
        </is>
      </c>
      <c r="F350" t="inlineStr">
        <is>
          <t>Övriga Aktiebolag</t>
        </is>
      </c>
      <c r="G350" t="n">
        <v>12.6</v>
      </c>
      <c r="H350" t="n">
        <v>0</v>
      </c>
      <c r="I350" t="n">
        <v>0</v>
      </c>
      <c r="J350" t="n">
        <v>0</v>
      </c>
      <c r="K350" t="n">
        <v>0</v>
      </c>
      <c r="L350" t="n">
        <v>0</v>
      </c>
      <c r="M350" t="n">
        <v>0</v>
      </c>
      <c r="N350" t="n">
        <v>0</v>
      </c>
      <c r="O350" t="n">
        <v>0</v>
      </c>
      <c r="P350" t="n">
        <v>0</v>
      </c>
      <c r="Q350" t="n">
        <v>0</v>
      </c>
      <c r="R350" s="2" t="inlineStr"/>
    </row>
    <row r="351" ht="15" customHeight="1">
      <c r="A351" t="inlineStr">
        <is>
          <t>A 11382-2023</t>
        </is>
      </c>
      <c r="B351" s="1" t="n">
        <v>44993.45635416666</v>
      </c>
      <c r="C351" s="1" t="n">
        <v>45996</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57867-2024</t>
        </is>
      </c>
      <c r="B352" s="1" t="n">
        <v>45631.43864583333</v>
      </c>
      <c r="C352" s="1" t="n">
        <v>45996</v>
      </c>
      <c r="D352" t="inlineStr">
        <is>
          <t>ÖREBRO LÄN</t>
        </is>
      </c>
      <c r="E352" t="inlineStr">
        <is>
          <t>ÖREBRO</t>
        </is>
      </c>
      <c r="G352" t="n">
        <v>1.5</v>
      </c>
      <c r="H352" t="n">
        <v>0</v>
      </c>
      <c r="I352" t="n">
        <v>0</v>
      </c>
      <c r="J352" t="n">
        <v>0</v>
      </c>
      <c r="K352" t="n">
        <v>0</v>
      </c>
      <c r="L352" t="n">
        <v>0</v>
      </c>
      <c r="M352" t="n">
        <v>0</v>
      </c>
      <c r="N352" t="n">
        <v>0</v>
      </c>
      <c r="O352" t="n">
        <v>0</v>
      </c>
      <c r="P352" t="n">
        <v>0</v>
      </c>
      <c r="Q352" t="n">
        <v>0</v>
      </c>
      <c r="R352" s="2" t="inlineStr"/>
    </row>
    <row r="353" ht="15" customHeight="1">
      <c r="A353" t="inlineStr">
        <is>
          <t>A 52016-2024</t>
        </is>
      </c>
      <c r="B353" s="1" t="n">
        <v>45607.81917824074</v>
      </c>
      <c r="C353" s="1" t="n">
        <v>45996</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27112-2023</t>
        </is>
      </c>
      <c r="B354" s="1" t="n">
        <v>45096</v>
      </c>
      <c r="C354" s="1" t="n">
        <v>45996</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16739-2022</t>
        </is>
      </c>
      <c r="B355" s="1" t="n">
        <v>44673</v>
      </c>
      <c r="C355" s="1" t="n">
        <v>45996</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8331-2021</t>
        </is>
      </c>
      <c r="B356" s="1" t="n">
        <v>44244</v>
      </c>
      <c r="C356" s="1" t="n">
        <v>45996</v>
      </c>
      <c r="D356" t="inlineStr">
        <is>
          <t>ÖREBRO LÄN</t>
        </is>
      </c>
      <c r="E356" t="inlineStr">
        <is>
          <t>ÖREBRO</t>
        </is>
      </c>
      <c r="G356" t="n">
        <v>9.1</v>
      </c>
      <c r="H356" t="n">
        <v>0</v>
      </c>
      <c r="I356" t="n">
        <v>0</v>
      </c>
      <c r="J356" t="n">
        <v>0</v>
      </c>
      <c r="K356" t="n">
        <v>0</v>
      </c>
      <c r="L356" t="n">
        <v>0</v>
      </c>
      <c r="M356" t="n">
        <v>0</v>
      </c>
      <c r="N356" t="n">
        <v>0</v>
      </c>
      <c r="O356" t="n">
        <v>0</v>
      </c>
      <c r="P356" t="n">
        <v>0</v>
      </c>
      <c r="Q356" t="n">
        <v>0</v>
      </c>
      <c r="R356" s="2" t="inlineStr"/>
    </row>
    <row r="357" ht="15" customHeight="1">
      <c r="A357" t="inlineStr">
        <is>
          <t>A 13592-2023</t>
        </is>
      </c>
      <c r="B357" s="1" t="n">
        <v>45006.56870370371</v>
      </c>
      <c r="C357" s="1" t="n">
        <v>45996</v>
      </c>
      <c r="D357" t="inlineStr">
        <is>
          <t>ÖREBRO LÄN</t>
        </is>
      </c>
      <c r="E357" t="inlineStr">
        <is>
          <t>ÖREBRO</t>
        </is>
      </c>
      <c r="G357" t="n">
        <v>2</v>
      </c>
      <c r="H357" t="n">
        <v>0</v>
      </c>
      <c r="I357" t="n">
        <v>0</v>
      </c>
      <c r="J357" t="n">
        <v>0</v>
      </c>
      <c r="K357" t="n">
        <v>0</v>
      </c>
      <c r="L357" t="n">
        <v>0</v>
      </c>
      <c r="M357" t="n">
        <v>0</v>
      </c>
      <c r="N357" t="n">
        <v>0</v>
      </c>
      <c r="O357" t="n">
        <v>0</v>
      </c>
      <c r="P357" t="n">
        <v>0</v>
      </c>
      <c r="Q357" t="n">
        <v>0</v>
      </c>
      <c r="R357" s="2" t="inlineStr"/>
    </row>
    <row r="358" ht="15" customHeight="1">
      <c r="A358" t="inlineStr">
        <is>
          <t>A 13355-2023</t>
        </is>
      </c>
      <c r="B358" s="1" t="n">
        <v>45004</v>
      </c>
      <c r="C358" s="1" t="n">
        <v>45996</v>
      </c>
      <c r="D358" t="inlineStr">
        <is>
          <t>ÖREBRO LÄN</t>
        </is>
      </c>
      <c r="E358" t="inlineStr">
        <is>
          <t>ÖREBRO</t>
        </is>
      </c>
      <c r="G358" t="n">
        <v>2.3</v>
      </c>
      <c r="H358" t="n">
        <v>0</v>
      </c>
      <c r="I358" t="n">
        <v>0</v>
      </c>
      <c r="J358" t="n">
        <v>0</v>
      </c>
      <c r="K358" t="n">
        <v>0</v>
      </c>
      <c r="L358" t="n">
        <v>0</v>
      </c>
      <c r="M358" t="n">
        <v>0</v>
      </c>
      <c r="N358" t="n">
        <v>0</v>
      </c>
      <c r="O358" t="n">
        <v>0</v>
      </c>
      <c r="P358" t="n">
        <v>0</v>
      </c>
      <c r="Q358" t="n">
        <v>0</v>
      </c>
      <c r="R358" s="2" t="inlineStr"/>
    </row>
    <row r="359" ht="15" customHeight="1">
      <c r="A359" t="inlineStr">
        <is>
          <t>A 40656-2023</t>
        </is>
      </c>
      <c r="B359" s="1" t="n">
        <v>45170</v>
      </c>
      <c r="C359" s="1" t="n">
        <v>45996</v>
      </c>
      <c r="D359" t="inlineStr">
        <is>
          <t>ÖREBRO LÄN</t>
        </is>
      </c>
      <c r="E359" t="inlineStr">
        <is>
          <t>ÖREBRO</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14544-2023</t>
        </is>
      </c>
      <c r="B360" s="1" t="n">
        <v>45013</v>
      </c>
      <c r="C360" s="1" t="n">
        <v>45996</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12245-2023</t>
        </is>
      </c>
      <c r="B361" s="1" t="n">
        <v>44998.64402777778</v>
      </c>
      <c r="C361" s="1" t="n">
        <v>45996</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71272-2021</t>
        </is>
      </c>
      <c r="B362" s="1" t="n">
        <v>44539.61571759259</v>
      </c>
      <c r="C362" s="1" t="n">
        <v>45996</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3120-2022</t>
        </is>
      </c>
      <c r="B363" s="1" t="n">
        <v>44582</v>
      </c>
      <c r="C363" s="1" t="n">
        <v>45996</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19388-2024</t>
        </is>
      </c>
      <c r="B364" s="1" t="n">
        <v>45429.37775462963</v>
      </c>
      <c r="C364" s="1" t="n">
        <v>45996</v>
      </c>
      <c r="D364" t="inlineStr">
        <is>
          <t>ÖREBRO LÄN</t>
        </is>
      </c>
      <c r="E364" t="inlineStr">
        <is>
          <t>ÖREBRO</t>
        </is>
      </c>
      <c r="G364" t="n">
        <v>4.3</v>
      </c>
      <c r="H364" t="n">
        <v>0</v>
      </c>
      <c r="I364" t="n">
        <v>0</v>
      </c>
      <c r="J364" t="n">
        <v>0</v>
      </c>
      <c r="K364" t="n">
        <v>0</v>
      </c>
      <c r="L364" t="n">
        <v>0</v>
      </c>
      <c r="M364" t="n">
        <v>0</v>
      </c>
      <c r="N364" t="n">
        <v>0</v>
      </c>
      <c r="O364" t="n">
        <v>0</v>
      </c>
      <c r="P364" t="n">
        <v>0</v>
      </c>
      <c r="Q364" t="n">
        <v>0</v>
      </c>
      <c r="R364" s="2" t="inlineStr"/>
    </row>
    <row r="365" ht="15" customHeight="1">
      <c r="A365" t="inlineStr">
        <is>
          <t>A 40597-2021</t>
        </is>
      </c>
      <c r="B365" s="1" t="n">
        <v>44420</v>
      </c>
      <c r="C365" s="1" t="n">
        <v>45996</v>
      </c>
      <c r="D365" t="inlineStr">
        <is>
          <t>ÖREBRO LÄN</t>
        </is>
      </c>
      <c r="E365" t="inlineStr">
        <is>
          <t>ÖREBRO</t>
        </is>
      </c>
      <c r="G365" t="n">
        <v>2.1</v>
      </c>
      <c r="H365" t="n">
        <v>0</v>
      </c>
      <c r="I365" t="n">
        <v>0</v>
      </c>
      <c r="J365" t="n">
        <v>0</v>
      </c>
      <c r="K365" t="n">
        <v>0</v>
      </c>
      <c r="L365" t="n">
        <v>0</v>
      </c>
      <c r="M365" t="n">
        <v>0</v>
      </c>
      <c r="N365" t="n">
        <v>0</v>
      </c>
      <c r="O365" t="n">
        <v>0</v>
      </c>
      <c r="P365" t="n">
        <v>0</v>
      </c>
      <c r="Q365" t="n">
        <v>0</v>
      </c>
      <c r="R365" s="2" t="inlineStr"/>
    </row>
    <row r="366" ht="15" customHeight="1">
      <c r="A366" t="inlineStr">
        <is>
          <t>A 8008-2024</t>
        </is>
      </c>
      <c r="B366" s="1" t="n">
        <v>45350.6794212963</v>
      </c>
      <c r="C366" s="1" t="n">
        <v>45996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2318-2023</t>
        </is>
      </c>
      <c r="B367" s="1" t="n">
        <v>44942</v>
      </c>
      <c r="C367" s="1" t="n">
        <v>45996</v>
      </c>
      <c r="D367" t="inlineStr">
        <is>
          <t>ÖREBRO LÄN</t>
        </is>
      </c>
      <c r="E367" t="inlineStr">
        <is>
          <t>ÖREBRO</t>
        </is>
      </c>
      <c r="G367" t="n">
        <v>1.9</v>
      </c>
      <c r="H367" t="n">
        <v>0</v>
      </c>
      <c r="I367" t="n">
        <v>0</v>
      </c>
      <c r="J367" t="n">
        <v>0</v>
      </c>
      <c r="K367" t="n">
        <v>0</v>
      </c>
      <c r="L367" t="n">
        <v>0</v>
      </c>
      <c r="M367" t="n">
        <v>0</v>
      </c>
      <c r="N367" t="n">
        <v>0</v>
      </c>
      <c r="O367" t="n">
        <v>0</v>
      </c>
      <c r="P367" t="n">
        <v>0</v>
      </c>
      <c r="Q367" t="n">
        <v>0</v>
      </c>
      <c r="R367" s="2" t="inlineStr"/>
    </row>
    <row r="368" ht="15" customHeight="1">
      <c r="A368" t="inlineStr">
        <is>
          <t>A 20121-2024</t>
        </is>
      </c>
      <c r="B368" s="1" t="n">
        <v>45434</v>
      </c>
      <c r="C368" s="1" t="n">
        <v>45996</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20150-2024</t>
        </is>
      </c>
      <c r="B369" s="1" t="n">
        <v>45434.57969907407</v>
      </c>
      <c r="C369" s="1" t="n">
        <v>45996</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29554-2025</t>
        </is>
      </c>
      <c r="B370" s="1" t="n">
        <v>45825</v>
      </c>
      <c r="C370" s="1" t="n">
        <v>45996</v>
      </c>
      <c r="D370" t="inlineStr">
        <is>
          <t>ÖREBRO LÄN</t>
        </is>
      </c>
      <c r="E370" t="inlineStr">
        <is>
          <t>ÖREBRO</t>
        </is>
      </c>
      <c r="F370" t="inlineStr">
        <is>
          <t>Övriga Aktiebolag</t>
        </is>
      </c>
      <c r="G370" t="n">
        <v>1</v>
      </c>
      <c r="H370" t="n">
        <v>0</v>
      </c>
      <c r="I370" t="n">
        <v>0</v>
      </c>
      <c r="J370" t="n">
        <v>0</v>
      </c>
      <c r="K370" t="n">
        <v>0</v>
      </c>
      <c r="L370" t="n">
        <v>0</v>
      </c>
      <c r="M370" t="n">
        <v>0</v>
      </c>
      <c r="N370" t="n">
        <v>0</v>
      </c>
      <c r="O370" t="n">
        <v>0</v>
      </c>
      <c r="P370" t="n">
        <v>0</v>
      </c>
      <c r="Q370" t="n">
        <v>0</v>
      </c>
      <c r="R370" s="2" t="inlineStr"/>
    </row>
    <row r="371" ht="15" customHeight="1">
      <c r="A371" t="inlineStr">
        <is>
          <t>A 46834-2022</t>
        </is>
      </c>
      <c r="B371" s="1" t="n">
        <v>44851</v>
      </c>
      <c r="C371" s="1" t="n">
        <v>45996</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767-2024</t>
        </is>
      </c>
      <c r="B372" s="1" t="n">
        <v>45300.51892361111</v>
      </c>
      <c r="C372" s="1" t="n">
        <v>45996</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3789-2023</t>
        </is>
      </c>
      <c r="B373" s="1" t="n">
        <v>44951</v>
      </c>
      <c r="C373" s="1" t="n">
        <v>45996</v>
      </c>
      <c r="D373" t="inlineStr">
        <is>
          <t>ÖREBRO LÄN</t>
        </is>
      </c>
      <c r="E373" t="inlineStr">
        <is>
          <t>ÖREBRO</t>
        </is>
      </c>
      <c r="G373" t="n">
        <v>7.5</v>
      </c>
      <c r="H373" t="n">
        <v>0</v>
      </c>
      <c r="I373" t="n">
        <v>0</v>
      </c>
      <c r="J373" t="n">
        <v>0</v>
      </c>
      <c r="K373" t="n">
        <v>0</v>
      </c>
      <c r="L373" t="n">
        <v>0</v>
      </c>
      <c r="M373" t="n">
        <v>0</v>
      </c>
      <c r="N373" t="n">
        <v>0</v>
      </c>
      <c r="O373" t="n">
        <v>0</v>
      </c>
      <c r="P373" t="n">
        <v>0</v>
      </c>
      <c r="Q373" t="n">
        <v>0</v>
      </c>
      <c r="R373" s="2" t="inlineStr"/>
    </row>
    <row r="374" ht="15" customHeight="1">
      <c r="A374" t="inlineStr">
        <is>
          <t>A 52441-2024</t>
        </is>
      </c>
      <c r="B374" s="1" t="n">
        <v>45609.48451388889</v>
      </c>
      <c r="C374" s="1" t="n">
        <v>45996</v>
      </c>
      <c r="D374" t="inlineStr">
        <is>
          <t>ÖREBRO LÄN</t>
        </is>
      </c>
      <c r="E374" t="inlineStr">
        <is>
          <t>ÖREBRO</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58611-2024</t>
        </is>
      </c>
      <c r="B375" s="1" t="n">
        <v>45635.55555555555</v>
      </c>
      <c r="C375" s="1" t="n">
        <v>45996</v>
      </c>
      <c r="D375" t="inlineStr">
        <is>
          <t>ÖREBRO LÄN</t>
        </is>
      </c>
      <c r="E375" t="inlineStr">
        <is>
          <t>ÖREBRO</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57869-2024</t>
        </is>
      </c>
      <c r="B376" s="1" t="n">
        <v>45631.44207175926</v>
      </c>
      <c r="C376" s="1" t="n">
        <v>45996</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11565-2023</t>
        </is>
      </c>
      <c r="B377" s="1" t="n">
        <v>44994</v>
      </c>
      <c r="C377" s="1" t="n">
        <v>45996</v>
      </c>
      <c r="D377" t="inlineStr">
        <is>
          <t>ÖREBRO LÄN</t>
        </is>
      </c>
      <c r="E377" t="inlineStr">
        <is>
          <t>ÖREBRO</t>
        </is>
      </c>
      <c r="G377" t="n">
        <v>4.7</v>
      </c>
      <c r="H377" t="n">
        <v>0</v>
      </c>
      <c r="I377" t="n">
        <v>0</v>
      </c>
      <c r="J377" t="n">
        <v>0</v>
      </c>
      <c r="K377" t="n">
        <v>0</v>
      </c>
      <c r="L377" t="n">
        <v>0</v>
      </c>
      <c r="M377" t="n">
        <v>0</v>
      </c>
      <c r="N377" t="n">
        <v>0</v>
      </c>
      <c r="O377" t="n">
        <v>0</v>
      </c>
      <c r="P377" t="n">
        <v>0</v>
      </c>
      <c r="Q377" t="n">
        <v>0</v>
      </c>
      <c r="R377" s="2" t="inlineStr"/>
    </row>
    <row r="378" ht="15" customHeight="1">
      <c r="A378" t="inlineStr">
        <is>
          <t>A 38075-2022</t>
        </is>
      </c>
      <c r="B378" s="1" t="n">
        <v>44811</v>
      </c>
      <c r="C378" s="1" t="n">
        <v>45996</v>
      </c>
      <c r="D378" t="inlineStr">
        <is>
          <t>ÖREBRO LÄN</t>
        </is>
      </c>
      <c r="E378" t="inlineStr">
        <is>
          <t>ÖREBRO</t>
        </is>
      </c>
      <c r="G378" t="n">
        <v>0.2</v>
      </c>
      <c r="H378" t="n">
        <v>0</v>
      </c>
      <c r="I378" t="n">
        <v>0</v>
      </c>
      <c r="J378" t="n">
        <v>0</v>
      </c>
      <c r="K378" t="n">
        <v>0</v>
      </c>
      <c r="L378" t="n">
        <v>0</v>
      </c>
      <c r="M378" t="n">
        <v>0</v>
      </c>
      <c r="N378" t="n">
        <v>0</v>
      </c>
      <c r="O378" t="n">
        <v>0</v>
      </c>
      <c r="P378" t="n">
        <v>0</v>
      </c>
      <c r="Q378" t="n">
        <v>0</v>
      </c>
      <c r="R378" s="2" t="inlineStr"/>
    </row>
    <row r="379" ht="15" customHeight="1">
      <c r="A379" t="inlineStr">
        <is>
          <t>A 19831-2021</t>
        </is>
      </c>
      <c r="B379" s="1" t="n">
        <v>44313</v>
      </c>
      <c r="C379" s="1" t="n">
        <v>45996</v>
      </c>
      <c r="D379" t="inlineStr">
        <is>
          <t>ÖREBRO LÄN</t>
        </is>
      </c>
      <c r="E379" t="inlineStr">
        <is>
          <t>ÖREBRO</t>
        </is>
      </c>
      <c r="G379" t="n">
        <v>3.2</v>
      </c>
      <c r="H379" t="n">
        <v>0</v>
      </c>
      <c r="I379" t="n">
        <v>0</v>
      </c>
      <c r="J379" t="n">
        <v>0</v>
      </c>
      <c r="K379" t="n">
        <v>0</v>
      </c>
      <c r="L379" t="n">
        <v>0</v>
      </c>
      <c r="M379" t="n">
        <v>0</v>
      </c>
      <c r="N379" t="n">
        <v>0</v>
      </c>
      <c r="O379" t="n">
        <v>0</v>
      </c>
      <c r="P379" t="n">
        <v>0</v>
      </c>
      <c r="Q379" t="n">
        <v>0</v>
      </c>
      <c r="R379" s="2" t="inlineStr"/>
    </row>
    <row r="380" ht="15" customHeight="1">
      <c r="A380" t="inlineStr">
        <is>
          <t>A 5133-2024</t>
        </is>
      </c>
      <c r="B380" s="1" t="n">
        <v>45330</v>
      </c>
      <c r="C380" s="1" t="n">
        <v>45996</v>
      </c>
      <c r="D380" t="inlineStr">
        <is>
          <t>ÖREBRO LÄN</t>
        </is>
      </c>
      <c r="E380" t="inlineStr">
        <is>
          <t>ÖREBRO</t>
        </is>
      </c>
      <c r="G380" t="n">
        <v>0.5</v>
      </c>
      <c r="H380" t="n">
        <v>0</v>
      </c>
      <c r="I380" t="n">
        <v>0</v>
      </c>
      <c r="J380" t="n">
        <v>0</v>
      </c>
      <c r="K380" t="n">
        <v>0</v>
      </c>
      <c r="L380" t="n">
        <v>0</v>
      </c>
      <c r="M380" t="n">
        <v>0</v>
      </c>
      <c r="N380" t="n">
        <v>0</v>
      </c>
      <c r="O380" t="n">
        <v>0</v>
      </c>
      <c r="P380" t="n">
        <v>0</v>
      </c>
      <c r="Q380" t="n">
        <v>0</v>
      </c>
      <c r="R380" s="2" t="inlineStr"/>
    </row>
    <row r="381" ht="15" customHeight="1">
      <c r="A381" t="inlineStr">
        <is>
          <t>A 58219-2024</t>
        </is>
      </c>
      <c r="B381" s="1" t="n">
        <v>45632</v>
      </c>
      <c r="C381" s="1" t="n">
        <v>45996</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1647-2024</t>
        </is>
      </c>
      <c r="B382" s="1" t="n">
        <v>45306</v>
      </c>
      <c r="C382" s="1" t="n">
        <v>45996</v>
      </c>
      <c r="D382" t="inlineStr">
        <is>
          <t>ÖREBRO LÄN</t>
        </is>
      </c>
      <c r="E382" t="inlineStr">
        <is>
          <t>ÖREBRO</t>
        </is>
      </c>
      <c r="G382" t="n">
        <v>1.3</v>
      </c>
      <c r="H382" t="n">
        <v>0</v>
      </c>
      <c r="I382" t="n">
        <v>0</v>
      </c>
      <c r="J382" t="n">
        <v>0</v>
      </c>
      <c r="K382" t="n">
        <v>0</v>
      </c>
      <c r="L382" t="n">
        <v>0</v>
      </c>
      <c r="M382" t="n">
        <v>0</v>
      </c>
      <c r="N382" t="n">
        <v>0</v>
      </c>
      <c r="O382" t="n">
        <v>0</v>
      </c>
      <c r="P382" t="n">
        <v>0</v>
      </c>
      <c r="Q382" t="n">
        <v>0</v>
      </c>
      <c r="R382" s="2" t="inlineStr"/>
    </row>
    <row r="383" ht="15" customHeight="1">
      <c r="A383" t="inlineStr">
        <is>
          <t>A 31906-2023</t>
        </is>
      </c>
      <c r="B383" s="1" t="n">
        <v>45118.8353125</v>
      </c>
      <c r="C383" s="1" t="n">
        <v>45996</v>
      </c>
      <c r="D383" t="inlineStr">
        <is>
          <t>ÖREBRO LÄN</t>
        </is>
      </c>
      <c r="E383" t="inlineStr">
        <is>
          <t>ÖREBRO</t>
        </is>
      </c>
      <c r="G383" t="n">
        <v>9</v>
      </c>
      <c r="H383" t="n">
        <v>0</v>
      </c>
      <c r="I383" t="n">
        <v>0</v>
      </c>
      <c r="J383" t="n">
        <v>0</v>
      </c>
      <c r="K383" t="n">
        <v>0</v>
      </c>
      <c r="L383" t="n">
        <v>0</v>
      </c>
      <c r="M383" t="n">
        <v>0</v>
      </c>
      <c r="N383" t="n">
        <v>0</v>
      </c>
      <c r="O383" t="n">
        <v>0</v>
      </c>
      <c r="P383" t="n">
        <v>0</v>
      </c>
      <c r="Q383" t="n">
        <v>0</v>
      </c>
      <c r="R383" s="2" t="inlineStr"/>
    </row>
    <row r="384" ht="15" customHeight="1">
      <c r="A384" t="inlineStr">
        <is>
          <t>A 31326-2024</t>
        </is>
      </c>
      <c r="B384" s="1" t="n">
        <v>45504.5934375</v>
      </c>
      <c r="C384" s="1" t="n">
        <v>45996</v>
      </c>
      <c r="D384" t="inlineStr">
        <is>
          <t>ÖREBRO LÄN</t>
        </is>
      </c>
      <c r="E384" t="inlineStr">
        <is>
          <t>ÖREBRO</t>
        </is>
      </c>
      <c r="G384" t="n">
        <v>6.4</v>
      </c>
      <c r="H384" t="n">
        <v>0</v>
      </c>
      <c r="I384" t="n">
        <v>0</v>
      </c>
      <c r="J384" t="n">
        <v>0</v>
      </c>
      <c r="K384" t="n">
        <v>0</v>
      </c>
      <c r="L384" t="n">
        <v>0</v>
      </c>
      <c r="M384" t="n">
        <v>0</v>
      </c>
      <c r="N384" t="n">
        <v>0</v>
      </c>
      <c r="O384" t="n">
        <v>0</v>
      </c>
      <c r="P384" t="n">
        <v>0</v>
      </c>
      <c r="Q384" t="n">
        <v>0</v>
      </c>
      <c r="R384" s="2" t="inlineStr"/>
    </row>
    <row r="385" ht="15" customHeight="1">
      <c r="A385" t="inlineStr">
        <is>
          <t>A 70719-2021</t>
        </is>
      </c>
      <c r="B385" s="1" t="n">
        <v>44537</v>
      </c>
      <c r="C385" s="1" t="n">
        <v>45996</v>
      </c>
      <c r="D385" t="inlineStr">
        <is>
          <t>ÖREBRO LÄN</t>
        </is>
      </c>
      <c r="E385" t="inlineStr">
        <is>
          <t>ÖREBRO</t>
        </is>
      </c>
      <c r="G385" t="n">
        <v>4.3</v>
      </c>
      <c r="H385" t="n">
        <v>0</v>
      </c>
      <c r="I385" t="n">
        <v>0</v>
      </c>
      <c r="J385" t="n">
        <v>0</v>
      </c>
      <c r="K385" t="n">
        <v>0</v>
      </c>
      <c r="L385" t="n">
        <v>0</v>
      </c>
      <c r="M385" t="n">
        <v>0</v>
      </c>
      <c r="N385" t="n">
        <v>0</v>
      </c>
      <c r="O385" t="n">
        <v>0</v>
      </c>
      <c r="P385" t="n">
        <v>0</v>
      </c>
      <c r="Q385" t="n">
        <v>0</v>
      </c>
      <c r="R385" s="2" t="inlineStr"/>
    </row>
    <row r="386" ht="15" customHeight="1">
      <c r="A386" t="inlineStr">
        <is>
          <t>A 52477-2024</t>
        </is>
      </c>
      <c r="B386" s="1" t="n">
        <v>45609</v>
      </c>
      <c r="C386" s="1" t="n">
        <v>45996</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10368-2021</t>
        </is>
      </c>
      <c r="B387" s="1" t="n">
        <v>44257</v>
      </c>
      <c r="C387" s="1" t="n">
        <v>45996</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16694-2025</t>
        </is>
      </c>
      <c r="B388" s="1" t="n">
        <v>45754.46480324074</v>
      </c>
      <c r="C388" s="1" t="n">
        <v>45996</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4284-2025</t>
        </is>
      </c>
      <c r="B389" s="1" t="n">
        <v>45685</v>
      </c>
      <c r="C389" s="1" t="n">
        <v>45996</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41412-2025</t>
        </is>
      </c>
      <c r="B390" s="1" t="n">
        <v>45901.3549537037</v>
      </c>
      <c r="C390" s="1" t="n">
        <v>45996</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30374-2023</t>
        </is>
      </c>
      <c r="B391" s="1" t="n">
        <v>45111</v>
      </c>
      <c r="C391" s="1" t="n">
        <v>45996</v>
      </c>
      <c r="D391" t="inlineStr">
        <is>
          <t>ÖREBRO LÄN</t>
        </is>
      </c>
      <c r="E391" t="inlineStr">
        <is>
          <t>ÖREBRO</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2771-2023</t>
        </is>
      </c>
      <c r="B392" s="1" t="n">
        <v>44944.64704861111</v>
      </c>
      <c r="C392" s="1" t="n">
        <v>45996</v>
      </c>
      <c r="D392" t="inlineStr">
        <is>
          <t>ÖREBRO LÄN</t>
        </is>
      </c>
      <c r="E392" t="inlineStr">
        <is>
          <t>ÖREBRO</t>
        </is>
      </c>
      <c r="G392" t="n">
        <v>15.4</v>
      </c>
      <c r="H392" t="n">
        <v>0</v>
      </c>
      <c r="I392" t="n">
        <v>0</v>
      </c>
      <c r="J392" t="n">
        <v>0</v>
      </c>
      <c r="K392" t="n">
        <v>0</v>
      </c>
      <c r="L392" t="n">
        <v>0</v>
      </c>
      <c r="M392" t="n">
        <v>0</v>
      </c>
      <c r="N392" t="n">
        <v>0</v>
      </c>
      <c r="O392" t="n">
        <v>0</v>
      </c>
      <c r="P392" t="n">
        <v>0</v>
      </c>
      <c r="Q392" t="n">
        <v>0</v>
      </c>
      <c r="R392" s="2" t="inlineStr"/>
    </row>
    <row r="393" ht="15" customHeight="1">
      <c r="A393" t="inlineStr">
        <is>
          <t>A 38057-2025</t>
        </is>
      </c>
      <c r="B393" s="1" t="n">
        <v>45882.42570601852</v>
      </c>
      <c r="C393" s="1" t="n">
        <v>45996</v>
      </c>
      <c r="D393" t="inlineStr">
        <is>
          <t>ÖREBRO LÄN</t>
        </is>
      </c>
      <c r="E393" t="inlineStr">
        <is>
          <t>ÖREBRO</t>
        </is>
      </c>
      <c r="G393" t="n">
        <v>3</v>
      </c>
      <c r="H393" t="n">
        <v>0</v>
      </c>
      <c r="I393" t="n">
        <v>0</v>
      </c>
      <c r="J393" t="n">
        <v>0</v>
      </c>
      <c r="K393" t="n">
        <v>0</v>
      </c>
      <c r="L393" t="n">
        <v>0</v>
      </c>
      <c r="M393" t="n">
        <v>0</v>
      </c>
      <c r="N393" t="n">
        <v>0</v>
      </c>
      <c r="O393" t="n">
        <v>0</v>
      </c>
      <c r="P393" t="n">
        <v>0</v>
      </c>
      <c r="Q393" t="n">
        <v>0</v>
      </c>
      <c r="R393" s="2" t="inlineStr"/>
    </row>
    <row r="394" ht="15" customHeight="1">
      <c r="A394" t="inlineStr">
        <is>
          <t>A 38898-2023</t>
        </is>
      </c>
      <c r="B394" s="1" t="n">
        <v>45163</v>
      </c>
      <c r="C394" s="1" t="n">
        <v>45996</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5764-2022</t>
        </is>
      </c>
      <c r="B395" s="1" t="n">
        <v>44596</v>
      </c>
      <c r="C395" s="1" t="n">
        <v>45996</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2076-2025</t>
        </is>
      </c>
      <c r="B396" s="1" t="n">
        <v>45672</v>
      </c>
      <c r="C396" s="1" t="n">
        <v>45996</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21036-2024</t>
        </is>
      </c>
      <c r="B397" s="1" t="n">
        <v>45439.65954861111</v>
      </c>
      <c r="C397" s="1" t="n">
        <v>45996</v>
      </c>
      <c r="D397" t="inlineStr">
        <is>
          <t>ÖREBRO LÄN</t>
        </is>
      </c>
      <c r="E397" t="inlineStr">
        <is>
          <t>ÖREBRO</t>
        </is>
      </c>
      <c r="F397" t="inlineStr">
        <is>
          <t>Övriga Aktiebolag</t>
        </is>
      </c>
      <c r="G397" t="n">
        <v>5.7</v>
      </c>
      <c r="H397" t="n">
        <v>0</v>
      </c>
      <c r="I397" t="n">
        <v>0</v>
      </c>
      <c r="J397" t="n">
        <v>0</v>
      </c>
      <c r="K397" t="n">
        <v>0</v>
      </c>
      <c r="L397" t="n">
        <v>0</v>
      </c>
      <c r="M397" t="n">
        <v>0</v>
      </c>
      <c r="N397" t="n">
        <v>0</v>
      </c>
      <c r="O397" t="n">
        <v>0</v>
      </c>
      <c r="P397" t="n">
        <v>0</v>
      </c>
      <c r="Q397" t="n">
        <v>0</v>
      </c>
      <c r="R397" s="2" t="inlineStr"/>
    </row>
    <row r="398" ht="15" customHeight="1">
      <c r="A398" t="inlineStr">
        <is>
          <t>A 58216-2024</t>
        </is>
      </c>
      <c r="B398" s="1" t="n">
        <v>45632</v>
      </c>
      <c r="C398" s="1" t="n">
        <v>45996</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3763-2025</t>
        </is>
      </c>
      <c r="B399" s="1" t="n">
        <v>45681</v>
      </c>
      <c r="C399" s="1" t="n">
        <v>45996</v>
      </c>
      <c r="D399" t="inlineStr">
        <is>
          <t>ÖREBRO LÄN</t>
        </is>
      </c>
      <c r="E399" t="inlineStr">
        <is>
          <t>ÖREBRO</t>
        </is>
      </c>
      <c r="G399" t="n">
        <v>10.1</v>
      </c>
      <c r="H399" t="n">
        <v>0</v>
      </c>
      <c r="I399" t="n">
        <v>0</v>
      </c>
      <c r="J399" t="n">
        <v>0</v>
      </c>
      <c r="K399" t="n">
        <v>0</v>
      </c>
      <c r="L399" t="n">
        <v>0</v>
      </c>
      <c r="M399" t="n">
        <v>0</v>
      </c>
      <c r="N399" t="n">
        <v>0</v>
      </c>
      <c r="O399" t="n">
        <v>0</v>
      </c>
      <c r="P399" t="n">
        <v>0</v>
      </c>
      <c r="Q399" t="n">
        <v>0</v>
      </c>
      <c r="R399" s="2" t="inlineStr"/>
    </row>
    <row r="400" ht="15" customHeight="1">
      <c r="A400" t="inlineStr">
        <is>
          <t>A 41669-2025</t>
        </is>
      </c>
      <c r="B400" s="1" t="n">
        <v>45902.36149305556</v>
      </c>
      <c r="C400" s="1" t="n">
        <v>45996</v>
      </c>
      <c r="D400" t="inlineStr">
        <is>
          <t>ÖREBRO LÄN</t>
        </is>
      </c>
      <c r="E400" t="inlineStr">
        <is>
          <t>ÖREBRO</t>
        </is>
      </c>
      <c r="G400" t="n">
        <v>2.8</v>
      </c>
      <c r="H400" t="n">
        <v>0</v>
      </c>
      <c r="I400" t="n">
        <v>0</v>
      </c>
      <c r="J400" t="n">
        <v>0</v>
      </c>
      <c r="K400" t="n">
        <v>0</v>
      </c>
      <c r="L400" t="n">
        <v>0</v>
      </c>
      <c r="M400" t="n">
        <v>0</v>
      </c>
      <c r="N400" t="n">
        <v>0</v>
      </c>
      <c r="O400" t="n">
        <v>0</v>
      </c>
      <c r="P400" t="n">
        <v>0</v>
      </c>
      <c r="Q400" t="n">
        <v>0</v>
      </c>
      <c r="R400" s="2" t="inlineStr"/>
    </row>
    <row r="401" ht="15" customHeight="1">
      <c r="A401" t="inlineStr">
        <is>
          <t>A 8332-2021</t>
        </is>
      </c>
      <c r="B401" s="1" t="n">
        <v>44244</v>
      </c>
      <c r="C401" s="1" t="n">
        <v>45996</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5324-2024</t>
        </is>
      </c>
      <c r="B402" s="1" t="n">
        <v>45331</v>
      </c>
      <c r="C402" s="1" t="n">
        <v>45996</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1492-2022</t>
        </is>
      </c>
      <c r="B403" s="1" t="n">
        <v>44573</v>
      </c>
      <c r="C403" s="1" t="n">
        <v>45996</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5946-2021</t>
        </is>
      </c>
      <c r="B404" s="1" t="n">
        <v>44230</v>
      </c>
      <c r="C404" s="1" t="n">
        <v>45996</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58615-2024</t>
        </is>
      </c>
      <c r="B405" s="1" t="n">
        <v>45635.5587037037</v>
      </c>
      <c r="C405" s="1" t="n">
        <v>45996</v>
      </c>
      <c r="D405" t="inlineStr">
        <is>
          <t>ÖREBRO LÄN</t>
        </is>
      </c>
      <c r="E405" t="inlineStr">
        <is>
          <t>ÖREBRO</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58620-2024</t>
        </is>
      </c>
      <c r="B406" s="1" t="n">
        <v>45635.56246527778</v>
      </c>
      <c r="C406" s="1" t="n">
        <v>45996</v>
      </c>
      <c r="D406" t="inlineStr">
        <is>
          <t>ÖREBRO LÄN</t>
        </is>
      </c>
      <c r="E406" t="inlineStr">
        <is>
          <t>ÖREBRO</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1014-2024</t>
        </is>
      </c>
      <c r="B407" s="1" t="n">
        <v>45301</v>
      </c>
      <c r="C407" s="1" t="n">
        <v>45996</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30472-2022</t>
        </is>
      </c>
      <c r="B408" s="1" t="n">
        <v>44761.70467592592</v>
      </c>
      <c r="C408" s="1" t="n">
        <v>45996</v>
      </c>
      <c r="D408" t="inlineStr">
        <is>
          <t>ÖREBRO LÄN</t>
        </is>
      </c>
      <c r="E408" t="inlineStr">
        <is>
          <t>ÖREBRO</t>
        </is>
      </c>
      <c r="F408" t="inlineStr">
        <is>
          <t>Övriga Aktiebolag</t>
        </is>
      </c>
      <c r="G408" t="n">
        <v>5.6</v>
      </c>
      <c r="H408" t="n">
        <v>0</v>
      </c>
      <c r="I408" t="n">
        <v>0</v>
      </c>
      <c r="J408" t="n">
        <v>0</v>
      </c>
      <c r="K408" t="n">
        <v>0</v>
      </c>
      <c r="L408" t="n">
        <v>0</v>
      </c>
      <c r="M408" t="n">
        <v>0</v>
      </c>
      <c r="N408" t="n">
        <v>0</v>
      </c>
      <c r="O408" t="n">
        <v>0</v>
      </c>
      <c r="P408" t="n">
        <v>0</v>
      </c>
      <c r="Q408" t="n">
        <v>0</v>
      </c>
      <c r="R408" s="2" t="inlineStr"/>
    </row>
    <row r="409" ht="15" customHeight="1">
      <c r="A409" t="inlineStr">
        <is>
          <t>A 34056-2023</t>
        </is>
      </c>
      <c r="B409" s="1" t="n">
        <v>45135</v>
      </c>
      <c r="C409" s="1" t="n">
        <v>45996</v>
      </c>
      <c r="D409" t="inlineStr">
        <is>
          <t>ÖREBRO LÄN</t>
        </is>
      </c>
      <c r="E409" t="inlineStr">
        <is>
          <t>ÖREBRO</t>
        </is>
      </c>
      <c r="F409" t="inlineStr">
        <is>
          <t>Övriga Aktiebolag</t>
        </is>
      </c>
      <c r="G409" t="n">
        <v>4.1</v>
      </c>
      <c r="H409" t="n">
        <v>0</v>
      </c>
      <c r="I409" t="n">
        <v>0</v>
      </c>
      <c r="J409" t="n">
        <v>0</v>
      </c>
      <c r="K409" t="n">
        <v>0</v>
      </c>
      <c r="L409" t="n">
        <v>0</v>
      </c>
      <c r="M409" t="n">
        <v>0</v>
      </c>
      <c r="N409" t="n">
        <v>0</v>
      </c>
      <c r="O409" t="n">
        <v>0</v>
      </c>
      <c r="P409" t="n">
        <v>0</v>
      </c>
      <c r="Q409" t="n">
        <v>0</v>
      </c>
      <c r="R409" s="2" t="inlineStr"/>
    </row>
    <row r="410" ht="15" customHeight="1">
      <c r="A410" t="inlineStr">
        <is>
          <t>A 18360-2024</t>
        </is>
      </c>
      <c r="B410" s="1" t="n">
        <v>45422</v>
      </c>
      <c r="C410" s="1" t="n">
        <v>45996</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43612-2022</t>
        </is>
      </c>
      <c r="B411" s="1" t="n">
        <v>44837</v>
      </c>
      <c r="C411" s="1" t="n">
        <v>45996</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16676-2025</t>
        </is>
      </c>
      <c r="B412" s="1" t="n">
        <v>45754.44658564815</v>
      </c>
      <c r="C412" s="1" t="n">
        <v>45996</v>
      </c>
      <c r="D412" t="inlineStr">
        <is>
          <t>ÖREBRO LÄN</t>
        </is>
      </c>
      <c r="E412" t="inlineStr">
        <is>
          <t>ÖREBRO</t>
        </is>
      </c>
      <c r="G412" t="n">
        <v>5.8</v>
      </c>
      <c r="H412" t="n">
        <v>0</v>
      </c>
      <c r="I412" t="n">
        <v>0</v>
      </c>
      <c r="J412" t="n">
        <v>0</v>
      </c>
      <c r="K412" t="n">
        <v>0</v>
      </c>
      <c r="L412" t="n">
        <v>0</v>
      </c>
      <c r="M412" t="n">
        <v>0</v>
      </c>
      <c r="N412" t="n">
        <v>0</v>
      </c>
      <c r="O412" t="n">
        <v>0</v>
      </c>
      <c r="P412" t="n">
        <v>0</v>
      </c>
      <c r="Q412" t="n">
        <v>0</v>
      </c>
      <c r="R412" s="2" t="inlineStr"/>
    </row>
    <row r="413" ht="15" customHeight="1">
      <c r="A413" t="inlineStr">
        <is>
          <t>A 51373-2023</t>
        </is>
      </c>
      <c r="B413" s="1" t="n">
        <v>45213</v>
      </c>
      <c r="C413" s="1" t="n">
        <v>45996</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5357-2024</t>
        </is>
      </c>
      <c r="B414" s="1" t="n">
        <v>45331</v>
      </c>
      <c r="C414" s="1" t="n">
        <v>45996</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57243-2022</t>
        </is>
      </c>
      <c r="B415" s="1" t="n">
        <v>44895.71835648148</v>
      </c>
      <c r="C415" s="1" t="n">
        <v>45996</v>
      </c>
      <c r="D415" t="inlineStr">
        <is>
          <t>ÖREBRO LÄN</t>
        </is>
      </c>
      <c r="E415" t="inlineStr">
        <is>
          <t>ÖREBRO</t>
        </is>
      </c>
      <c r="G415" t="n">
        <v>6</v>
      </c>
      <c r="H415" t="n">
        <v>0</v>
      </c>
      <c r="I415" t="n">
        <v>0</v>
      </c>
      <c r="J415" t="n">
        <v>0</v>
      </c>
      <c r="K415" t="n">
        <v>0</v>
      </c>
      <c r="L415" t="n">
        <v>0</v>
      </c>
      <c r="M415" t="n">
        <v>0</v>
      </c>
      <c r="N415" t="n">
        <v>0</v>
      </c>
      <c r="O415" t="n">
        <v>0</v>
      </c>
      <c r="P415" t="n">
        <v>0</v>
      </c>
      <c r="Q415" t="n">
        <v>0</v>
      </c>
      <c r="R415" s="2" t="inlineStr"/>
    </row>
    <row r="416" ht="15" customHeight="1">
      <c r="A416" t="inlineStr">
        <is>
          <t>A 35843-2022</t>
        </is>
      </c>
      <c r="B416" s="1" t="n">
        <v>44802</v>
      </c>
      <c r="C416" s="1" t="n">
        <v>45996</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13599-2025</t>
        </is>
      </c>
      <c r="B417" s="1" t="n">
        <v>45736.60597222222</v>
      </c>
      <c r="C417" s="1" t="n">
        <v>45996</v>
      </c>
      <c r="D417" t="inlineStr">
        <is>
          <t>ÖREBRO LÄN</t>
        </is>
      </c>
      <c r="E417" t="inlineStr">
        <is>
          <t>ÖREBRO</t>
        </is>
      </c>
      <c r="G417" t="n">
        <v>1.9</v>
      </c>
      <c r="H417" t="n">
        <v>0</v>
      </c>
      <c r="I417" t="n">
        <v>0</v>
      </c>
      <c r="J417" t="n">
        <v>0</v>
      </c>
      <c r="K417" t="n">
        <v>0</v>
      </c>
      <c r="L417" t="n">
        <v>0</v>
      </c>
      <c r="M417" t="n">
        <v>0</v>
      </c>
      <c r="N417" t="n">
        <v>0</v>
      </c>
      <c r="O417" t="n">
        <v>0</v>
      </c>
      <c r="P417" t="n">
        <v>0</v>
      </c>
      <c r="Q417" t="n">
        <v>0</v>
      </c>
      <c r="R417" s="2" t="inlineStr"/>
    </row>
    <row r="418" ht="15" customHeight="1">
      <c r="A418" t="inlineStr">
        <is>
          <t>A 20146-2024</t>
        </is>
      </c>
      <c r="B418" s="1" t="n">
        <v>45434.57641203704</v>
      </c>
      <c r="C418" s="1" t="n">
        <v>45996</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40051-2024</t>
        </is>
      </c>
      <c r="B419" s="1" t="n">
        <v>45553</v>
      </c>
      <c r="C419" s="1" t="n">
        <v>45996</v>
      </c>
      <c r="D419" t="inlineStr">
        <is>
          <t>ÖREBRO LÄN</t>
        </is>
      </c>
      <c r="E419" t="inlineStr">
        <is>
          <t>ÖREBRO</t>
        </is>
      </c>
      <c r="G419" t="n">
        <v>3.5</v>
      </c>
      <c r="H419" t="n">
        <v>0</v>
      </c>
      <c r="I419" t="n">
        <v>0</v>
      </c>
      <c r="J419" t="n">
        <v>0</v>
      </c>
      <c r="K419" t="n">
        <v>0</v>
      </c>
      <c r="L419" t="n">
        <v>0</v>
      </c>
      <c r="M419" t="n">
        <v>0</v>
      </c>
      <c r="N419" t="n">
        <v>0</v>
      </c>
      <c r="O419" t="n">
        <v>0</v>
      </c>
      <c r="P419" t="n">
        <v>0</v>
      </c>
      <c r="Q419" t="n">
        <v>0</v>
      </c>
      <c r="R419" s="2" t="inlineStr"/>
    </row>
    <row r="420" ht="15" customHeight="1">
      <c r="A420" t="inlineStr">
        <is>
          <t>A 10937-2024</t>
        </is>
      </c>
      <c r="B420" s="1" t="n">
        <v>45370.44461805555</v>
      </c>
      <c r="C420" s="1" t="n">
        <v>45996</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20115-2024</t>
        </is>
      </c>
      <c r="B421" s="1" t="n">
        <v>45434</v>
      </c>
      <c r="C421" s="1" t="n">
        <v>45996</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50446-2023</t>
        </is>
      </c>
      <c r="B422" s="1" t="n">
        <v>45216</v>
      </c>
      <c r="C422" s="1" t="n">
        <v>45996</v>
      </c>
      <c r="D422" t="inlineStr">
        <is>
          <t>ÖREBRO LÄN</t>
        </is>
      </c>
      <c r="E422" t="inlineStr">
        <is>
          <t>ÖREBRO</t>
        </is>
      </c>
      <c r="F422" t="inlineStr">
        <is>
          <t>Övriga Aktiebolag</t>
        </is>
      </c>
      <c r="G422" t="n">
        <v>2.8</v>
      </c>
      <c r="H422" t="n">
        <v>0</v>
      </c>
      <c r="I422" t="n">
        <v>0</v>
      </c>
      <c r="J422" t="n">
        <v>0</v>
      </c>
      <c r="K422" t="n">
        <v>0</v>
      </c>
      <c r="L422" t="n">
        <v>0</v>
      </c>
      <c r="M422" t="n">
        <v>0</v>
      </c>
      <c r="N422" t="n">
        <v>0</v>
      </c>
      <c r="O422" t="n">
        <v>0</v>
      </c>
      <c r="P422" t="n">
        <v>0</v>
      </c>
      <c r="Q422" t="n">
        <v>0</v>
      </c>
      <c r="R422" s="2" t="inlineStr"/>
    </row>
    <row r="423" ht="15" customHeight="1">
      <c r="A423" t="inlineStr">
        <is>
          <t>A 50450-2023</t>
        </is>
      </c>
      <c r="B423" s="1" t="n">
        <v>45216.73533564815</v>
      </c>
      <c r="C423" s="1" t="n">
        <v>45996</v>
      </c>
      <c r="D423" t="inlineStr">
        <is>
          <t>ÖREBRO LÄN</t>
        </is>
      </c>
      <c r="E423" t="inlineStr">
        <is>
          <t>ÖREBRO</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26117-2021</t>
        </is>
      </c>
      <c r="B424" s="1" t="n">
        <v>44345</v>
      </c>
      <c r="C424" s="1" t="n">
        <v>45996</v>
      </c>
      <c r="D424" t="inlineStr">
        <is>
          <t>ÖREBRO LÄN</t>
        </is>
      </c>
      <c r="E424" t="inlineStr">
        <is>
          <t>ÖREBRO</t>
        </is>
      </c>
      <c r="G424" t="n">
        <v>8.1</v>
      </c>
      <c r="H424" t="n">
        <v>0</v>
      </c>
      <c r="I424" t="n">
        <v>0</v>
      </c>
      <c r="J424" t="n">
        <v>0</v>
      </c>
      <c r="K424" t="n">
        <v>0</v>
      </c>
      <c r="L424" t="n">
        <v>0</v>
      </c>
      <c r="M424" t="n">
        <v>0</v>
      </c>
      <c r="N424" t="n">
        <v>0</v>
      </c>
      <c r="O424" t="n">
        <v>0</v>
      </c>
      <c r="P424" t="n">
        <v>0</v>
      </c>
      <c r="Q424" t="n">
        <v>0</v>
      </c>
      <c r="R424" s="2" t="inlineStr"/>
    </row>
    <row r="425" ht="15" customHeight="1">
      <c r="A425" t="inlineStr">
        <is>
          <t>A 16936-2023</t>
        </is>
      </c>
      <c r="B425" s="1" t="n">
        <v>45033.63005787037</v>
      </c>
      <c r="C425" s="1" t="n">
        <v>45996</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40588-2021</t>
        </is>
      </c>
      <c r="B426" s="1" t="n">
        <v>44420</v>
      </c>
      <c r="C426" s="1" t="n">
        <v>45996</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8565-2021</t>
        </is>
      </c>
      <c r="B427" s="1" t="n">
        <v>44245</v>
      </c>
      <c r="C427" s="1" t="n">
        <v>45996</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8575-2021</t>
        </is>
      </c>
      <c r="B428" s="1" t="n">
        <v>44245</v>
      </c>
      <c r="C428" s="1" t="n">
        <v>45996</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57485-2023</t>
        </is>
      </c>
      <c r="B429" s="1" t="n">
        <v>45246</v>
      </c>
      <c r="C429" s="1" t="n">
        <v>45996</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6879-2024</t>
        </is>
      </c>
      <c r="B430" s="1" t="n">
        <v>45342.85280092592</v>
      </c>
      <c r="C430" s="1" t="n">
        <v>45996</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37025-2024</t>
        </is>
      </c>
      <c r="B431" s="1" t="n">
        <v>45539.3840162037</v>
      </c>
      <c r="C431" s="1" t="n">
        <v>45996</v>
      </c>
      <c r="D431" t="inlineStr">
        <is>
          <t>ÖREBRO LÄN</t>
        </is>
      </c>
      <c r="E431" t="inlineStr">
        <is>
          <t>ÖREBRO</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37027-2024</t>
        </is>
      </c>
      <c r="B432" s="1" t="n">
        <v>45539.38487268519</v>
      </c>
      <c r="C432" s="1" t="n">
        <v>45996</v>
      </c>
      <c r="D432" t="inlineStr">
        <is>
          <t>ÖREBRO LÄN</t>
        </is>
      </c>
      <c r="E432" t="inlineStr">
        <is>
          <t>ÖREBRO</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58032-2023</t>
        </is>
      </c>
      <c r="B433" s="1" t="n">
        <v>45247</v>
      </c>
      <c r="C433" s="1" t="n">
        <v>45996</v>
      </c>
      <c r="D433" t="inlineStr">
        <is>
          <t>ÖREBRO LÄN</t>
        </is>
      </c>
      <c r="E433" t="inlineStr">
        <is>
          <t>ÖREBRO</t>
        </is>
      </c>
      <c r="G433" t="n">
        <v>1.1</v>
      </c>
      <c r="H433" t="n">
        <v>0</v>
      </c>
      <c r="I433" t="n">
        <v>0</v>
      </c>
      <c r="J433" t="n">
        <v>0</v>
      </c>
      <c r="K433" t="n">
        <v>0</v>
      </c>
      <c r="L433" t="n">
        <v>0</v>
      </c>
      <c r="M433" t="n">
        <v>0</v>
      </c>
      <c r="N433" t="n">
        <v>0</v>
      </c>
      <c r="O433" t="n">
        <v>0</v>
      </c>
      <c r="P433" t="n">
        <v>0</v>
      </c>
      <c r="Q433" t="n">
        <v>0</v>
      </c>
      <c r="R433" s="2" t="inlineStr"/>
    </row>
    <row r="434" ht="15" customHeight="1">
      <c r="A434" t="inlineStr">
        <is>
          <t>A 58035-2023</t>
        </is>
      </c>
      <c r="B434" s="1" t="n">
        <v>45247</v>
      </c>
      <c r="C434" s="1" t="n">
        <v>45996</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60506-2024</t>
        </is>
      </c>
      <c r="B435" s="1" t="n">
        <v>45643.66630787037</v>
      </c>
      <c r="C435" s="1" t="n">
        <v>45996</v>
      </c>
      <c r="D435" t="inlineStr">
        <is>
          <t>ÖREBRO LÄN</t>
        </is>
      </c>
      <c r="E435" t="inlineStr">
        <is>
          <t>ÖREBRO</t>
        </is>
      </c>
      <c r="G435" t="n">
        <v>5.8</v>
      </c>
      <c r="H435" t="n">
        <v>0</v>
      </c>
      <c r="I435" t="n">
        <v>0</v>
      </c>
      <c r="J435" t="n">
        <v>0</v>
      </c>
      <c r="K435" t="n">
        <v>0</v>
      </c>
      <c r="L435" t="n">
        <v>0</v>
      </c>
      <c r="M435" t="n">
        <v>0</v>
      </c>
      <c r="N435" t="n">
        <v>0</v>
      </c>
      <c r="O435" t="n">
        <v>0</v>
      </c>
      <c r="P435" t="n">
        <v>0</v>
      </c>
      <c r="Q435" t="n">
        <v>0</v>
      </c>
      <c r="R435" s="2" t="inlineStr"/>
    </row>
    <row r="436" ht="15" customHeight="1">
      <c r="A436" t="inlineStr">
        <is>
          <t>A 6387-2021</t>
        </is>
      </c>
      <c r="B436" s="1" t="n">
        <v>44235</v>
      </c>
      <c r="C436" s="1" t="n">
        <v>45996</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7506-2025</t>
        </is>
      </c>
      <c r="B437" s="1" t="n">
        <v>45705</v>
      </c>
      <c r="C437" s="1" t="n">
        <v>45996</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44284-2022</t>
        </is>
      </c>
      <c r="B438" s="1" t="n">
        <v>44839.59194444444</v>
      </c>
      <c r="C438" s="1" t="n">
        <v>45996</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35833-2024</t>
        </is>
      </c>
      <c r="B439" s="1" t="n">
        <v>45532.68699074074</v>
      </c>
      <c r="C439" s="1" t="n">
        <v>45996</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31240-2023</t>
        </is>
      </c>
      <c r="B440" s="1" t="n">
        <v>45114</v>
      </c>
      <c r="C440" s="1" t="n">
        <v>45996</v>
      </c>
      <c r="D440" t="inlineStr">
        <is>
          <t>ÖREBRO LÄN</t>
        </is>
      </c>
      <c r="E440" t="inlineStr">
        <is>
          <t>ÖREBRO</t>
        </is>
      </c>
      <c r="F440" t="inlineStr">
        <is>
          <t>Allmännings- och besparingsskogar</t>
        </is>
      </c>
      <c r="G440" t="n">
        <v>6.2</v>
      </c>
      <c r="H440" t="n">
        <v>0</v>
      </c>
      <c r="I440" t="n">
        <v>0</v>
      </c>
      <c r="J440" t="n">
        <v>0</v>
      </c>
      <c r="K440" t="n">
        <v>0</v>
      </c>
      <c r="L440" t="n">
        <v>0</v>
      </c>
      <c r="M440" t="n">
        <v>0</v>
      </c>
      <c r="N440" t="n">
        <v>0</v>
      </c>
      <c r="O440" t="n">
        <v>0</v>
      </c>
      <c r="P440" t="n">
        <v>0</v>
      </c>
      <c r="Q440" t="n">
        <v>0</v>
      </c>
      <c r="R440" s="2" t="inlineStr"/>
    </row>
    <row r="441" ht="15" customHeight="1">
      <c r="A441" t="inlineStr">
        <is>
          <t>A 14717-2024</t>
        </is>
      </c>
      <c r="B441" s="1" t="n">
        <v>45397.55104166667</v>
      </c>
      <c r="C441" s="1" t="n">
        <v>45996</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58608-2024</t>
        </is>
      </c>
      <c r="B442" s="1" t="n">
        <v>45635.55185185185</v>
      </c>
      <c r="C442" s="1" t="n">
        <v>45996</v>
      </c>
      <c r="D442" t="inlineStr">
        <is>
          <t>ÖREBRO LÄN</t>
        </is>
      </c>
      <c r="E442" t="inlineStr">
        <is>
          <t>ÖREBRO</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37968-2024</t>
        </is>
      </c>
      <c r="B443" s="1" t="n">
        <v>45544</v>
      </c>
      <c r="C443" s="1" t="n">
        <v>45996</v>
      </c>
      <c r="D443" t="inlineStr">
        <is>
          <t>ÖREBRO LÄN</t>
        </is>
      </c>
      <c r="E443" t="inlineStr">
        <is>
          <t>ÖREBRO</t>
        </is>
      </c>
      <c r="G443" t="n">
        <v>2</v>
      </c>
      <c r="H443" t="n">
        <v>0</v>
      </c>
      <c r="I443" t="n">
        <v>0</v>
      </c>
      <c r="J443" t="n">
        <v>0</v>
      </c>
      <c r="K443" t="n">
        <v>0</v>
      </c>
      <c r="L443" t="n">
        <v>0</v>
      </c>
      <c r="M443" t="n">
        <v>0</v>
      </c>
      <c r="N443" t="n">
        <v>0</v>
      </c>
      <c r="O443" t="n">
        <v>0</v>
      </c>
      <c r="P443" t="n">
        <v>0</v>
      </c>
      <c r="Q443" t="n">
        <v>0</v>
      </c>
      <c r="R443" s="2" t="inlineStr"/>
    </row>
    <row r="444" ht="15" customHeight="1">
      <c r="A444" t="inlineStr">
        <is>
          <t>A 25443-2021</t>
        </is>
      </c>
      <c r="B444" s="1" t="n">
        <v>44342</v>
      </c>
      <c r="C444" s="1" t="n">
        <v>45996</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13700-2024</t>
        </is>
      </c>
      <c r="B445" s="1" t="n">
        <v>45390.59277777778</v>
      </c>
      <c r="C445" s="1" t="n">
        <v>45996</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38422-2023</t>
        </is>
      </c>
      <c r="B446" s="1" t="n">
        <v>45162.36422453704</v>
      </c>
      <c r="C446" s="1" t="n">
        <v>45996</v>
      </c>
      <c r="D446" t="inlineStr">
        <is>
          <t>ÖREBRO LÄN</t>
        </is>
      </c>
      <c r="E446" t="inlineStr">
        <is>
          <t>ÖREBRO</t>
        </is>
      </c>
      <c r="G446" t="n">
        <v>8</v>
      </c>
      <c r="H446" t="n">
        <v>0</v>
      </c>
      <c r="I446" t="n">
        <v>0</v>
      </c>
      <c r="J446" t="n">
        <v>0</v>
      </c>
      <c r="K446" t="n">
        <v>0</v>
      </c>
      <c r="L446" t="n">
        <v>0</v>
      </c>
      <c r="M446" t="n">
        <v>0</v>
      </c>
      <c r="N446" t="n">
        <v>0</v>
      </c>
      <c r="O446" t="n">
        <v>0</v>
      </c>
      <c r="P446" t="n">
        <v>0</v>
      </c>
      <c r="Q446" t="n">
        <v>0</v>
      </c>
      <c r="R446" s="2" t="inlineStr"/>
    </row>
    <row r="447" ht="15" customHeight="1">
      <c r="A447" t="inlineStr">
        <is>
          <t>A 56040-2024</t>
        </is>
      </c>
      <c r="B447" s="1" t="n">
        <v>45624.3344212963</v>
      </c>
      <c r="C447" s="1" t="n">
        <v>45996</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6213-2021</t>
        </is>
      </c>
      <c r="B448" s="1" t="n">
        <v>44232</v>
      </c>
      <c r="C448" s="1" t="n">
        <v>45996</v>
      </c>
      <c r="D448" t="inlineStr">
        <is>
          <t>ÖREBRO LÄN</t>
        </is>
      </c>
      <c r="E448" t="inlineStr">
        <is>
          <t>ÖREBRO</t>
        </is>
      </c>
      <c r="G448" t="n">
        <v>4</v>
      </c>
      <c r="H448" t="n">
        <v>0</v>
      </c>
      <c r="I448" t="n">
        <v>0</v>
      </c>
      <c r="J448" t="n">
        <v>0</v>
      </c>
      <c r="K448" t="n">
        <v>0</v>
      </c>
      <c r="L448" t="n">
        <v>0</v>
      </c>
      <c r="M448" t="n">
        <v>0</v>
      </c>
      <c r="N448" t="n">
        <v>0</v>
      </c>
      <c r="O448" t="n">
        <v>0</v>
      </c>
      <c r="P448" t="n">
        <v>0</v>
      </c>
      <c r="Q448" t="n">
        <v>0</v>
      </c>
      <c r="R448" s="2" t="inlineStr"/>
    </row>
    <row r="449" ht="15" customHeight="1">
      <c r="A449" t="inlineStr">
        <is>
          <t>A 14487-2023</t>
        </is>
      </c>
      <c r="B449" s="1" t="n">
        <v>45012</v>
      </c>
      <c r="C449" s="1" t="n">
        <v>45996</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5398-2022</t>
        </is>
      </c>
      <c r="B450" s="1" t="n">
        <v>44595.3353587963</v>
      </c>
      <c r="C450" s="1" t="n">
        <v>45996</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38415-2023</t>
        </is>
      </c>
      <c r="B451" s="1" t="n">
        <v>45162.35502314815</v>
      </c>
      <c r="C451" s="1" t="n">
        <v>45996</v>
      </c>
      <c r="D451" t="inlineStr">
        <is>
          <t>ÖREBRO LÄN</t>
        </is>
      </c>
      <c r="E451" t="inlineStr">
        <is>
          <t>ÖREBRO</t>
        </is>
      </c>
      <c r="G451" t="n">
        <v>2.6</v>
      </c>
      <c r="H451" t="n">
        <v>0</v>
      </c>
      <c r="I451" t="n">
        <v>0</v>
      </c>
      <c r="J451" t="n">
        <v>0</v>
      </c>
      <c r="K451" t="n">
        <v>0</v>
      </c>
      <c r="L451" t="n">
        <v>0</v>
      </c>
      <c r="M451" t="n">
        <v>0</v>
      </c>
      <c r="N451" t="n">
        <v>0</v>
      </c>
      <c r="O451" t="n">
        <v>0</v>
      </c>
      <c r="P451" t="n">
        <v>0</v>
      </c>
      <c r="Q451" t="n">
        <v>0</v>
      </c>
      <c r="R451" s="2" t="inlineStr"/>
    </row>
    <row r="452" ht="15" customHeight="1">
      <c r="A452" t="inlineStr">
        <is>
          <t>A 60128-2023</t>
        </is>
      </c>
      <c r="B452" s="1" t="n">
        <v>45258</v>
      </c>
      <c r="C452" s="1" t="n">
        <v>45996</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18047-2023</t>
        </is>
      </c>
      <c r="B453" s="1" t="n">
        <v>45040</v>
      </c>
      <c r="C453" s="1" t="n">
        <v>45996</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40522-2024</t>
        </is>
      </c>
      <c r="B454" s="1" t="n">
        <v>45555.59717592593</v>
      </c>
      <c r="C454" s="1" t="n">
        <v>45996</v>
      </c>
      <c r="D454" t="inlineStr">
        <is>
          <t>ÖREBRO LÄN</t>
        </is>
      </c>
      <c r="E454" t="inlineStr">
        <is>
          <t>ÖREBRO</t>
        </is>
      </c>
      <c r="G454" t="n">
        <v>5.1</v>
      </c>
      <c r="H454" t="n">
        <v>0</v>
      </c>
      <c r="I454" t="n">
        <v>0</v>
      </c>
      <c r="J454" t="n">
        <v>0</v>
      </c>
      <c r="K454" t="n">
        <v>0</v>
      </c>
      <c r="L454" t="n">
        <v>0</v>
      </c>
      <c r="M454" t="n">
        <v>0</v>
      </c>
      <c r="N454" t="n">
        <v>0</v>
      </c>
      <c r="O454" t="n">
        <v>0</v>
      </c>
      <c r="P454" t="n">
        <v>0</v>
      </c>
      <c r="Q454" t="n">
        <v>0</v>
      </c>
      <c r="R454" s="2" t="inlineStr"/>
    </row>
    <row r="455" ht="15" customHeight="1">
      <c r="A455" t="inlineStr">
        <is>
          <t>A 49797-2024</t>
        </is>
      </c>
      <c r="B455" s="1" t="n">
        <v>45597.37265046296</v>
      </c>
      <c r="C455" s="1" t="n">
        <v>45996</v>
      </c>
      <c r="D455" t="inlineStr">
        <is>
          <t>ÖREBRO LÄN</t>
        </is>
      </c>
      <c r="E455" t="inlineStr">
        <is>
          <t>ÖREBRO</t>
        </is>
      </c>
      <c r="G455" t="n">
        <v>11.6</v>
      </c>
      <c r="H455" t="n">
        <v>0</v>
      </c>
      <c r="I455" t="n">
        <v>0</v>
      </c>
      <c r="J455" t="n">
        <v>0</v>
      </c>
      <c r="K455" t="n">
        <v>0</v>
      </c>
      <c r="L455" t="n">
        <v>0</v>
      </c>
      <c r="M455" t="n">
        <v>0</v>
      </c>
      <c r="N455" t="n">
        <v>0</v>
      </c>
      <c r="O455" t="n">
        <v>0</v>
      </c>
      <c r="P455" t="n">
        <v>0</v>
      </c>
      <c r="Q455" t="n">
        <v>0</v>
      </c>
      <c r="R455" s="2" t="inlineStr"/>
    </row>
    <row r="456" ht="15" customHeight="1">
      <c r="A456" t="inlineStr">
        <is>
          <t>A 52382-2025</t>
        </is>
      </c>
      <c r="B456" s="1" t="n">
        <v>45953.9559837963</v>
      </c>
      <c r="C456" s="1" t="n">
        <v>45996</v>
      </c>
      <c r="D456" t="inlineStr">
        <is>
          <t>ÖREBRO LÄN</t>
        </is>
      </c>
      <c r="E456" t="inlineStr">
        <is>
          <t>ÖREBRO</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49029-2024</t>
        </is>
      </c>
      <c r="B457" s="1" t="n">
        <v>45594</v>
      </c>
      <c r="C457" s="1" t="n">
        <v>45996</v>
      </c>
      <c r="D457" t="inlineStr">
        <is>
          <t>ÖREBRO LÄN</t>
        </is>
      </c>
      <c r="E457" t="inlineStr">
        <is>
          <t>ÖREBRO</t>
        </is>
      </c>
      <c r="G457" t="n">
        <v>3.7</v>
      </c>
      <c r="H457" t="n">
        <v>0</v>
      </c>
      <c r="I457" t="n">
        <v>0</v>
      </c>
      <c r="J457" t="n">
        <v>0</v>
      </c>
      <c r="K457" t="n">
        <v>0</v>
      </c>
      <c r="L457" t="n">
        <v>0</v>
      </c>
      <c r="M457" t="n">
        <v>0</v>
      </c>
      <c r="N457" t="n">
        <v>0</v>
      </c>
      <c r="O457" t="n">
        <v>0</v>
      </c>
      <c r="P457" t="n">
        <v>0</v>
      </c>
      <c r="Q457" t="n">
        <v>0</v>
      </c>
      <c r="R457" s="2" t="inlineStr"/>
    </row>
    <row r="458" ht="15" customHeight="1">
      <c r="A458" t="inlineStr">
        <is>
          <t>A 49062-2023</t>
        </is>
      </c>
      <c r="B458" s="1" t="n">
        <v>45210.35119212963</v>
      </c>
      <c r="C458" s="1" t="n">
        <v>45996</v>
      </c>
      <c r="D458" t="inlineStr">
        <is>
          <t>ÖREBRO LÄN</t>
        </is>
      </c>
      <c r="E458" t="inlineStr">
        <is>
          <t>ÖREBRO</t>
        </is>
      </c>
      <c r="G458" t="n">
        <v>1.6</v>
      </c>
      <c r="H458" t="n">
        <v>0</v>
      </c>
      <c r="I458" t="n">
        <v>0</v>
      </c>
      <c r="J458" t="n">
        <v>0</v>
      </c>
      <c r="K458" t="n">
        <v>0</v>
      </c>
      <c r="L458" t="n">
        <v>0</v>
      </c>
      <c r="M458" t="n">
        <v>0</v>
      </c>
      <c r="N458" t="n">
        <v>0</v>
      </c>
      <c r="O458" t="n">
        <v>0</v>
      </c>
      <c r="P458" t="n">
        <v>0</v>
      </c>
      <c r="Q458" t="n">
        <v>0</v>
      </c>
      <c r="R458" s="2" t="inlineStr"/>
    </row>
    <row r="459" ht="15" customHeight="1">
      <c r="A459" t="inlineStr">
        <is>
          <t>A 30743-2025</t>
        </is>
      </c>
      <c r="B459" s="1" t="n">
        <v>45831</v>
      </c>
      <c r="C459" s="1" t="n">
        <v>45996</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35829-2024</t>
        </is>
      </c>
      <c r="B460" s="1" t="n">
        <v>45532</v>
      </c>
      <c r="C460" s="1" t="n">
        <v>45996</v>
      </c>
      <c r="D460" t="inlineStr">
        <is>
          <t>ÖREBRO LÄN</t>
        </is>
      </c>
      <c r="E460" t="inlineStr">
        <is>
          <t>ÖREBRO</t>
        </is>
      </c>
      <c r="G460" t="n">
        <v>4.6</v>
      </c>
      <c r="H460" t="n">
        <v>0</v>
      </c>
      <c r="I460" t="n">
        <v>0</v>
      </c>
      <c r="J460" t="n">
        <v>0</v>
      </c>
      <c r="K460" t="n">
        <v>0</v>
      </c>
      <c r="L460" t="n">
        <v>0</v>
      </c>
      <c r="M460" t="n">
        <v>0</v>
      </c>
      <c r="N460" t="n">
        <v>0</v>
      </c>
      <c r="O460" t="n">
        <v>0</v>
      </c>
      <c r="P460" t="n">
        <v>0</v>
      </c>
      <c r="Q460" t="n">
        <v>0</v>
      </c>
      <c r="R460" s="2" t="inlineStr"/>
    </row>
    <row r="461" ht="15" customHeight="1">
      <c r="A461" t="inlineStr">
        <is>
          <t>A 8022-2022</t>
        </is>
      </c>
      <c r="B461" s="1" t="n">
        <v>44609</v>
      </c>
      <c r="C461" s="1" t="n">
        <v>45996</v>
      </c>
      <c r="D461" t="inlineStr">
        <is>
          <t>ÖREBRO LÄN</t>
        </is>
      </c>
      <c r="E461" t="inlineStr">
        <is>
          <t>ÖREBRO</t>
        </is>
      </c>
      <c r="G461" t="n">
        <v>5.6</v>
      </c>
      <c r="H461" t="n">
        <v>0</v>
      </c>
      <c r="I461" t="n">
        <v>0</v>
      </c>
      <c r="J461" t="n">
        <v>0</v>
      </c>
      <c r="K461" t="n">
        <v>0</v>
      </c>
      <c r="L461" t="n">
        <v>0</v>
      </c>
      <c r="M461" t="n">
        <v>0</v>
      </c>
      <c r="N461" t="n">
        <v>0</v>
      </c>
      <c r="O461" t="n">
        <v>0</v>
      </c>
      <c r="P461" t="n">
        <v>0</v>
      </c>
      <c r="Q461" t="n">
        <v>0</v>
      </c>
      <c r="R461" s="2" t="inlineStr"/>
    </row>
    <row r="462" ht="15" customHeight="1">
      <c r="A462" t="inlineStr">
        <is>
          <t>A 29978-2024</t>
        </is>
      </c>
      <c r="B462" s="1" t="n">
        <v>45488.48340277778</v>
      </c>
      <c r="C462" s="1" t="n">
        <v>45996</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19978-2025</t>
        </is>
      </c>
      <c r="B463" s="1" t="n">
        <v>45771.7062037037</v>
      </c>
      <c r="C463" s="1" t="n">
        <v>45996</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7134-2025</t>
        </is>
      </c>
      <c r="B464" s="1" t="n">
        <v>45702</v>
      </c>
      <c r="C464" s="1" t="n">
        <v>45996</v>
      </c>
      <c r="D464" t="inlineStr">
        <is>
          <t>ÖREBRO LÄN</t>
        </is>
      </c>
      <c r="E464" t="inlineStr">
        <is>
          <t>ÖREBRO</t>
        </is>
      </c>
      <c r="F464" t="inlineStr">
        <is>
          <t>Övriga Aktiebolag</t>
        </is>
      </c>
      <c r="G464" t="n">
        <v>2.1</v>
      </c>
      <c r="H464" t="n">
        <v>0</v>
      </c>
      <c r="I464" t="n">
        <v>0</v>
      </c>
      <c r="J464" t="n">
        <v>0</v>
      </c>
      <c r="K464" t="n">
        <v>0</v>
      </c>
      <c r="L464" t="n">
        <v>0</v>
      </c>
      <c r="M464" t="n">
        <v>0</v>
      </c>
      <c r="N464" t="n">
        <v>0</v>
      </c>
      <c r="O464" t="n">
        <v>0</v>
      </c>
      <c r="P464" t="n">
        <v>0</v>
      </c>
      <c r="Q464" t="n">
        <v>0</v>
      </c>
      <c r="R464" s="2" t="inlineStr"/>
    </row>
    <row r="465" ht="15" customHeight="1">
      <c r="A465" t="inlineStr">
        <is>
          <t>A 13181-2023</t>
        </is>
      </c>
      <c r="B465" s="1" t="n">
        <v>45002.60659722222</v>
      </c>
      <c r="C465" s="1" t="n">
        <v>45996</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61078-2024</t>
        </is>
      </c>
      <c r="B466" s="1" t="n">
        <v>45645.51034722223</v>
      </c>
      <c r="C466" s="1" t="n">
        <v>45996</v>
      </c>
      <c r="D466" t="inlineStr">
        <is>
          <t>ÖREBRO LÄN</t>
        </is>
      </c>
      <c r="E466" t="inlineStr">
        <is>
          <t>ÖREBRO</t>
        </is>
      </c>
      <c r="G466" t="n">
        <v>4.1</v>
      </c>
      <c r="H466" t="n">
        <v>0</v>
      </c>
      <c r="I466" t="n">
        <v>0</v>
      </c>
      <c r="J466" t="n">
        <v>0</v>
      </c>
      <c r="K466" t="n">
        <v>0</v>
      </c>
      <c r="L466" t="n">
        <v>0</v>
      </c>
      <c r="M466" t="n">
        <v>0</v>
      </c>
      <c r="N466" t="n">
        <v>0</v>
      </c>
      <c r="O466" t="n">
        <v>0</v>
      </c>
      <c r="P466" t="n">
        <v>0</v>
      </c>
      <c r="Q466" t="n">
        <v>0</v>
      </c>
      <c r="R466" s="2" t="inlineStr"/>
    </row>
    <row r="467" ht="15" customHeight="1">
      <c r="A467" t="inlineStr">
        <is>
          <t>A 62511-2023</t>
        </is>
      </c>
      <c r="B467" s="1" t="n">
        <v>45268.61855324074</v>
      </c>
      <c r="C467" s="1" t="n">
        <v>45996</v>
      </c>
      <c r="D467" t="inlineStr">
        <is>
          <t>ÖREBRO LÄN</t>
        </is>
      </c>
      <c r="E467" t="inlineStr">
        <is>
          <t>ÖREBRO</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16374-2022</t>
        </is>
      </c>
      <c r="B468" s="1" t="n">
        <v>44671</v>
      </c>
      <c r="C468" s="1" t="n">
        <v>45996</v>
      </c>
      <c r="D468" t="inlineStr">
        <is>
          <t>ÖREBRO LÄN</t>
        </is>
      </c>
      <c r="E468" t="inlineStr">
        <is>
          <t>ÖREBRO</t>
        </is>
      </c>
      <c r="F468" t="inlineStr">
        <is>
          <t>Övriga Aktiebolag</t>
        </is>
      </c>
      <c r="G468" t="n">
        <v>30.3</v>
      </c>
      <c r="H468" t="n">
        <v>0</v>
      </c>
      <c r="I468" t="n">
        <v>0</v>
      </c>
      <c r="J468" t="n">
        <v>0</v>
      </c>
      <c r="K468" t="n">
        <v>0</v>
      </c>
      <c r="L468" t="n">
        <v>0</v>
      </c>
      <c r="M468" t="n">
        <v>0</v>
      </c>
      <c r="N468" t="n">
        <v>0</v>
      </c>
      <c r="O468" t="n">
        <v>0</v>
      </c>
      <c r="P468" t="n">
        <v>0</v>
      </c>
      <c r="Q468" t="n">
        <v>0</v>
      </c>
      <c r="R468" s="2" t="inlineStr"/>
    </row>
    <row r="469" ht="15" customHeight="1">
      <c r="A469" t="inlineStr">
        <is>
          <t>A 27956-2023</t>
        </is>
      </c>
      <c r="B469" s="1" t="n">
        <v>45098</v>
      </c>
      <c r="C469" s="1" t="n">
        <v>45996</v>
      </c>
      <c r="D469" t="inlineStr">
        <is>
          <t>ÖREBRO LÄN</t>
        </is>
      </c>
      <c r="E469" t="inlineStr">
        <is>
          <t>ÖREBRO</t>
        </is>
      </c>
      <c r="G469" t="n">
        <v>0.8</v>
      </c>
      <c r="H469" t="n">
        <v>0</v>
      </c>
      <c r="I469" t="n">
        <v>0</v>
      </c>
      <c r="J469" t="n">
        <v>0</v>
      </c>
      <c r="K469" t="n">
        <v>0</v>
      </c>
      <c r="L469" t="n">
        <v>0</v>
      </c>
      <c r="M469" t="n">
        <v>0</v>
      </c>
      <c r="N469" t="n">
        <v>0</v>
      </c>
      <c r="O469" t="n">
        <v>0</v>
      </c>
      <c r="P469" t="n">
        <v>0</v>
      </c>
      <c r="Q469" t="n">
        <v>0</v>
      </c>
      <c r="R469" s="2" t="inlineStr"/>
    </row>
    <row r="470" ht="15" customHeight="1">
      <c r="A470" t="inlineStr">
        <is>
          <t>A 13321-2024</t>
        </is>
      </c>
      <c r="B470" s="1" t="n">
        <v>45386.83142361111</v>
      </c>
      <c r="C470" s="1" t="n">
        <v>45996</v>
      </c>
      <c r="D470" t="inlineStr">
        <is>
          <t>ÖREBRO LÄN</t>
        </is>
      </c>
      <c r="E470" t="inlineStr">
        <is>
          <t>ÖREBRO</t>
        </is>
      </c>
      <c r="G470" t="n">
        <v>13.1</v>
      </c>
      <c r="H470" t="n">
        <v>0</v>
      </c>
      <c r="I470" t="n">
        <v>0</v>
      </c>
      <c r="J470" t="n">
        <v>0</v>
      </c>
      <c r="K470" t="n">
        <v>0</v>
      </c>
      <c r="L470" t="n">
        <v>0</v>
      </c>
      <c r="M470" t="n">
        <v>0</v>
      </c>
      <c r="N470" t="n">
        <v>0</v>
      </c>
      <c r="O470" t="n">
        <v>0</v>
      </c>
      <c r="P470" t="n">
        <v>0</v>
      </c>
      <c r="Q470" t="n">
        <v>0</v>
      </c>
      <c r="R470" s="2" t="inlineStr"/>
    </row>
    <row r="471" ht="15" customHeight="1">
      <c r="A471" t="inlineStr">
        <is>
          <t>A 55472-2023</t>
        </is>
      </c>
      <c r="B471" s="1" t="n">
        <v>45238</v>
      </c>
      <c r="C471" s="1" t="n">
        <v>45996</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5129-2024</t>
        </is>
      </c>
      <c r="B472" s="1" t="n">
        <v>45330</v>
      </c>
      <c r="C472" s="1" t="n">
        <v>45996</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58486-2024</t>
        </is>
      </c>
      <c r="B473" s="1" t="n">
        <v>45635</v>
      </c>
      <c r="C473" s="1" t="n">
        <v>45996</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30015-2023</t>
        </is>
      </c>
      <c r="B474" s="1" t="n">
        <v>45109</v>
      </c>
      <c r="C474" s="1" t="n">
        <v>45996</v>
      </c>
      <c r="D474" t="inlineStr">
        <is>
          <t>ÖREBRO LÄN</t>
        </is>
      </c>
      <c r="E474" t="inlineStr">
        <is>
          <t>ÖREBRO</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53342-2025</t>
        </is>
      </c>
      <c r="B475" s="1" t="n">
        <v>45959.41769675926</v>
      </c>
      <c r="C475" s="1" t="n">
        <v>45996</v>
      </c>
      <c r="D475" t="inlineStr">
        <is>
          <t>ÖREBRO LÄN</t>
        </is>
      </c>
      <c r="E475" t="inlineStr">
        <is>
          <t>ÖREBRO</t>
        </is>
      </c>
      <c r="G475" t="n">
        <v>4.1</v>
      </c>
      <c r="H475" t="n">
        <v>0</v>
      </c>
      <c r="I475" t="n">
        <v>0</v>
      </c>
      <c r="J475" t="n">
        <v>0</v>
      </c>
      <c r="K475" t="n">
        <v>0</v>
      </c>
      <c r="L475" t="n">
        <v>0</v>
      </c>
      <c r="M475" t="n">
        <v>0</v>
      </c>
      <c r="N475" t="n">
        <v>0</v>
      </c>
      <c r="O475" t="n">
        <v>0</v>
      </c>
      <c r="P475" t="n">
        <v>0</v>
      </c>
      <c r="Q475" t="n">
        <v>0</v>
      </c>
      <c r="R475" s="2" t="inlineStr"/>
    </row>
    <row r="476" ht="15" customHeight="1">
      <c r="A476" t="inlineStr">
        <is>
          <t>A 15652-2025</t>
        </is>
      </c>
      <c r="B476" s="1" t="n">
        <v>45748</v>
      </c>
      <c r="C476" s="1" t="n">
        <v>45996</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53350-2025</t>
        </is>
      </c>
      <c r="B477" s="1" t="n">
        <v>45959.43827546296</v>
      </c>
      <c r="C477" s="1" t="n">
        <v>45996</v>
      </c>
      <c r="D477" t="inlineStr">
        <is>
          <t>ÖREBRO LÄN</t>
        </is>
      </c>
      <c r="E477" t="inlineStr">
        <is>
          <t>ÖREBRO</t>
        </is>
      </c>
      <c r="G477" t="n">
        <v>4.1</v>
      </c>
      <c r="H477" t="n">
        <v>0</v>
      </c>
      <c r="I477" t="n">
        <v>0</v>
      </c>
      <c r="J477" t="n">
        <v>0</v>
      </c>
      <c r="K477" t="n">
        <v>0</v>
      </c>
      <c r="L477" t="n">
        <v>0</v>
      </c>
      <c r="M477" t="n">
        <v>0</v>
      </c>
      <c r="N477" t="n">
        <v>0</v>
      </c>
      <c r="O477" t="n">
        <v>0</v>
      </c>
      <c r="P477" t="n">
        <v>0</v>
      </c>
      <c r="Q477" t="n">
        <v>0</v>
      </c>
      <c r="R477" s="2" t="inlineStr"/>
    </row>
    <row r="478" ht="15" customHeight="1">
      <c r="A478" t="inlineStr">
        <is>
          <t>A 16737-2023</t>
        </is>
      </c>
      <c r="B478" s="1" t="n">
        <v>45030.72472222222</v>
      </c>
      <c r="C478" s="1" t="n">
        <v>45996</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1013-2024</t>
        </is>
      </c>
      <c r="B479" s="1" t="n">
        <v>45301</v>
      </c>
      <c r="C479" s="1" t="n">
        <v>45996</v>
      </c>
      <c r="D479" t="inlineStr">
        <is>
          <t>ÖREBRO LÄN</t>
        </is>
      </c>
      <c r="E479" t="inlineStr">
        <is>
          <t>ÖREBRO</t>
        </is>
      </c>
      <c r="G479" t="n">
        <v>2.6</v>
      </c>
      <c r="H479" t="n">
        <v>0</v>
      </c>
      <c r="I479" t="n">
        <v>0</v>
      </c>
      <c r="J479" t="n">
        <v>0</v>
      </c>
      <c r="K479" t="n">
        <v>0</v>
      </c>
      <c r="L479" t="n">
        <v>0</v>
      </c>
      <c r="M479" t="n">
        <v>0</v>
      </c>
      <c r="N479" t="n">
        <v>0</v>
      </c>
      <c r="O479" t="n">
        <v>0</v>
      </c>
      <c r="P479" t="n">
        <v>0</v>
      </c>
      <c r="Q479" t="n">
        <v>0</v>
      </c>
      <c r="R479" s="2" t="inlineStr"/>
    </row>
    <row r="480" ht="15" customHeight="1">
      <c r="A480" t="inlineStr">
        <is>
          <t>A 5762-2025</t>
        </is>
      </c>
      <c r="B480" s="1" t="n">
        <v>45694.57181712963</v>
      </c>
      <c r="C480" s="1" t="n">
        <v>45996</v>
      </c>
      <c r="D480" t="inlineStr">
        <is>
          <t>ÖREBRO LÄN</t>
        </is>
      </c>
      <c r="E480" t="inlineStr">
        <is>
          <t>ÖREBRO</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51180-2023</t>
        </is>
      </c>
      <c r="B481" s="1" t="n">
        <v>45219</v>
      </c>
      <c r="C481" s="1" t="n">
        <v>45996</v>
      </c>
      <c r="D481" t="inlineStr">
        <is>
          <t>ÖREBRO LÄN</t>
        </is>
      </c>
      <c r="E481" t="inlineStr">
        <is>
          <t>ÖREBRO</t>
        </is>
      </c>
      <c r="G481" t="n">
        <v>6.5</v>
      </c>
      <c r="H481" t="n">
        <v>0</v>
      </c>
      <c r="I481" t="n">
        <v>0</v>
      </c>
      <c r="J481" t="n">
        <v>0</v>
      </c>
      <c r="K481" t="n">
        <v>0</v>
      </c>
      <c r="L481" t="n">
        <v>0</v>
      </c>
      <c r="M481" t="n">
        <v>0</v>
      </c>
      <c r="N481" t="n">
        <v>0</v>
      </c>
      <c r="O481" t="n">
        <v>0</v>
      </c>
      <c r="P481" t="n">
        <v>0</v>
      </c>
      <c r="Q481" t="n">
        <v>0</v>
      </c>
      <c r="R481" s="2" t="inlineStr"/>
    </row>
    <row r="482" ht="15" customHeight="1">
      <c r="A482" t="inlineStr">
        <is>
          <t>A 58621-2024</t>
        </is>
      </c>
      <c r="B482" s="1" t="n">
        <v>45635.56321759259</v>
      </c>
      <c r="C482" s="1" t="n">
        <v>45996</v>
      </c>
      <c r="D482" t="inlineStr">
        <is>
          <t>ÖREBRO LÄN</t>
        </is>
      </c>
      <c r="E482" t="inlineStr">
        <is>
          <t>ÖREBRO</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53437-2025</t>
        </is>
      </c>
      <c r="B483" s="1" t="n">
        <v>45959.63440972222</v>
      </c>
      <c r="C483" s="1" t="n">
        <v>45996</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8512-2025</t>
        </is>
      </c>
      <c r="B484" s="1" t="n">
        <v>45709.54873842592</v>
      </c>
      <c r="C484" s="1" t="n">
        <v>45996</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53343-2025</t>
        </is>
      </c>
      <c r="B485" s="1" t="n">
        <v>45959.42025462963</v>
      </c>
      <c r="C485" s="1" t="n">
        <v>45996</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53443-2025</t>
        </is>
      </c>
      <c r="B486" s="1" t="n">
        <v>45959.6444675926</v>
      </c>
      <c r="C486" s="1" t="n">
        <v>45996</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5578-2024</t>
        </is>
      </c>
      <c r="B487" s="1" t="n">
        <v>45334.49104166667</v>
      </c>
      <c r="C487" s="1" t="n">
        <v>45996</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14715-2024</t>
        </is>
      </c>
      <c r="B488" s="1" t="n">
        <v>45397.5500462963</v>
      </c>
      <c r="C488" s="1" t="n">
        <v>45996</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58145-2024</t>
        </is>
      </c>
      <c r="B489" s="1" t="n">
        <v>45632.43230324074</v>
      </c>
      <c r="C489" s="1" t="n">
        <v>45996</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45996</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32086-2023</t>
        </is>
      </c>
      <c r="B491" s="1" t="n">
        <v>45119.59789351852</v>
      </c>
      <c r="C491" s="1" t="n">
        <v>45996</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22079-2023</t>
        </is>
      </c>
      <c r="B492" s="1" t="n">
        <v>45069</v>
      </c>
      <c r="C492" s="1" t="n">
        <v>45996</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18181-2024</t>
        </is>
      </c>
      <c r="B493" s="1" t="n">
        <v>45420.64561342593</v>
      </c>
      <c r="C493" s="1" t="n">
        <v>45996</v>
      </c>
      <c r="D493" t="inlineStr">
        <is>
          <t>ÖREBRO LÄN</t>
        </is>
      </c>
      <c r="E493" t="inlineStr">
        <is>
          <t>ÖREBRO</t>
        </is>
      </c>
      <c r="G493" t="n">
        <v>7.6</v>
      </c>
      <c r="H493" t="n">
        <v>0</v>
      </c>
      <c r="I493" t="n">
        <v>0</v>
      </c>
      <c r="J493" t="n">
        <v>0</v>
      </c>
      <c r="K493" t="n">
        <v>0</v>
      </c>
      <c r="L493" t="n">
        <v>0</v>
      </c>
      <c r="M493" t="n">
        <v>0</v>
      </c>
      <c r="N493" t="n">
        <v>0</v>
      </c>
      <c r="O493" t="n">
        <v>0</v>
      </c>
      <c r="P493" t="n">
        <v>0</v>
      </c>
      <c r="Q493" t="n">
        <v>0</v>
      </c>
      <c r="R493" s="2" t="inlineStr"/>
    </row>
    <row r="494" ht="15" customHeight="1">
      <c r="A494" t="inlineStr">
        <is>
          <t>A 53719-2025</t>
        </is>
      </c>
      <c r="B494" s="1" t="n">
        <v>45960.62042824074</v>
      </c>
      <c r="C494" s="1" t="n">
        <v>45996</v>
      </c>
      <c r="D494" t="inlineStr">
        <is>
          <t>ÖREBRO LÄN</t>
        </is>
      </c>
      <c r="E494" t="inlineStr">
        <is>
          <t>ÖREBRO</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44960-2025</t>
        </is>
      </c>
      <c r="B495" s="1" t="n">
        <v>45918.61577546296</v>
      </c>
      <c r="C495" s="1" t="n">
        <v>45996</v>
      </c>
      <c r="D495" t="inlineStr">
        <is>
          <t>ÖREBRO LÄN</t>
        </is>
      </c>
      <c r="E495" t="inlineStr">
        <is>
          <t>ÖREBRO</t>
        </is>
      </c>
      <c r="G495" t="n">
        <v>1.5</v>
      </c>
      <c r="H495" t="n">
        <v>0</v>
      </c>
      <c r="I495" t="n">
        <v>0</v>
      </c>
      <c r="J495" t="n">
        <v>0</v>
      </c>
      <c r="K495" t="n">
        <v>0</v>
      </c>
      <c r="L495" t="n">
        <v>0</v>
      </c>
      <c r="M495" t="n">
        <v>0</v>
      </c>
      <c r="N495" t="n">
        <v>0</v>
      </c>
      <c r="O495" t="n">
        <v>0</v>
      </c>
      <c r="P495" t="n">
        <v>0</v>
      </c>
      <c r="Q495" t="n">
        <v>0</v>
      </c>
      <c r="R495" s="2" t="inlineStr"/>
    </row>
    <row r="496" ht="15" customHeight="1">
      <c r="A496" t="inlineStr">
        <is>
          <t>A 2630-2023</t>
        </is>
      </c>
      <c r="B496" s="1" t="n">
        <v>44944.39105324074</v>
      </c>
      <c r="C496" s="1" t="n">
        <v>45996</v>
      </c>
      <c r="D496" t="inlineStr">
        <is>
          <t>ÖREBRO LÄN</t>
        </is>
      </c>
      <c r="E496" t="inlineStr">
        <is>
          <t>ÖREBRO</t>
        </is>
      </c>
      <c r="G496" t="n">
        <v>6.1</v>
      </c>
      <c r="H496" t="n">
        <v>0</v>
      </c>
      <c r="I496" t="n">
        <v>0</v>
      </c>
      <c r="J496" t="n">
        <v>0</v>
      </c>
      <c r="K496" t="n">
        <v>0</v>
      </c>
      <c r="L496" t="n">
        <v>0</v>
      </c>
      <c r="M496" t="n">
        <v>0</v>
      </c>
      <c r="N496" t="n">
        <v>0</v>
      </c>
      <c r="O496" t="n">
        <v>0</v>
      </c>
      <c r="P496" t="n">
        <v>0</v>
      </c>
      <c r="Q496" t="n">
        <v>0</v>
      </c>
      <c r="R496" s="2" t="inlineStr"/>
    </row>
    <row r="497" ht="15" customHeight="1">
      <c r="A497" t="inlineStr">
        <is>
          <t>A 70707-2021</t>
        </is>
      </c>
      <c r="B497" s="1" t="n">
        <v>44537</v>
      </c>
      <c r="C497" s="1" t="n">
        <v>45996</v>
      </c>
      <c r="D497" t="inlineStr">
        <is>
          <t>ÖREBRO LÄN</t>
        </is>
      </c>
      <c r="E497" t="inlineStr">
        <is>
          <t>ÖREBRO</t>
        </is>
      </c>
      <c r="G497" t="n">
        <v>13.2</v>
      </c>
      <c r="H497" t="n">
        <v>0</v>
      </c>
      <c r="I497" t="n">
        <v>0</v>
      </c>
      <c r="J497" t="n">
        <v>0</v>
      </c>
      <c r="K497" t="n">
        <v>0</v>
      </c>
      <c r="L497" t="n">
        <v>0</v>
      </c>
      <c r="M497" t="n">
        <v>0</v>
      </c>
      <c r="N497" t="n">
        <v>0</v>
      </c>
      <c r="O497" t="n">
        <v>0</v>
      </c>
      <c r="P497" t="n">
        <v>0</v>
      </c>
      <c r="Q497" t="n">
        <v>0</v>
      </c>
      <c r="R497" s="2" t="inlineStr"/>
    </row>
    <row r="498" ht="15" customHeight="1">
      <c r="A498" t="inlineStr">
        <is>
          <t>A 5330-2024</t>
        </is>
      </c>
      <c r="B498" s="1" t="n">
        <v>45331.4187962963</v>
      </c>
      <c r="C498" s="1" t="n">
        <v>45996</v>
      </c>
      <c r="D498" t="inlineStr">
        <is>
          <t>ÖREBRO LÄN</t>
        </is>
      </c>
      <c r="E498" t="inlineStr">
        <is>
          <t>ÖREBRO</t>
        </is>
      </c>
      <c r="G498" t="n">
        <v>1.4</v>
      </c>
      <c r="H498" t="n">
        <v>0</v>
      </c>
      <c r="I498" t="n">
        <v>0</v>
      </c>
      <c r="J498" t="n">
        <v>0</v>
      </c>
      <c r="K498" t="n">
        <v>0</v>
      </c>
      <c r="L498" t="n">
        <v>0</v>
      </c>
      <c r="M498" t="n">
        <v>0</v>
      </c>
      <c r="N498" t="n">
        <v>0</v>
      </c>
      <c r="O498" t="n">
        <v>0</v>
      </c>
      <c r="P498" t="n">
        <v>0</v>
      </c>
      <c r="Q498" t="n">
        <v>0</v>
      </c>
      <c r="R498" s="2" t="inlineStr"/>
    </row>
    <row r="499" ht="15" customHeight="1">
      <c r="A499" t="inlineStr">
        <is>
          <t>A 54925-2023</t>
        </is>
      </c>
      <c r="B499" s="1" t="n">
        <v>45229</v>
      </c>
      <c r="C499" s="1" t="n">
        <v>45996</v>
      </c>
      <c r="D499" t="inlineStr">
        <is>
          <t>ÖREBRO LÄN</t>
        </is>
      </c>
      <c r="E499" t="inlineStr">
        <is>
          <t>ÖREBRO</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10830-2023</t>
        </is>
      </c>
      <c r="B500" s="1" t="n">
        <v>44990.89752314815</v>
      </c>
      <c r="C500" s="1" t="n">
        <v>45996</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9585-2025</t>
        </is>
      </c>
      <c r="B501" s="1" t="n">
        <v>45715.63409722222</v>
      </c>
      <c r="C501" s="1" t="n">
        <v>45996</v>
      </c>
      <c r="D501" t="inlineStr">
        <is>
          <t>ÖREBRO LÄN</t>
        </is>
      </c>
      <c r="E501" t="inlineStr">
        <is>
          <t>ÖREBRO</t>
        </is>
      </c>
      <c r="G501" t="n">
        <v>3.4</v>
      </c>
      <c r="H501" t="n">
        <v>0</v>
      </c>
      <c r="I501" t="n">
        <v>0</v>
      </c>
      <c r="J501" t="n">
        <v>0</v>
      </c>
      <c r="K501" t="n">
        <v>0</v>
      </c>
      <c r="L501" t="n">
        <v>0</v>
      </c>
      <c r="M501" t="n">
        <v>0</v>
      </c>
      <c r="N501" t="n">
        <v>0</v>
      </c>
      <c r="O501" t="n">
        <v>0</v>
      </c>
      <c r="P501" t="n">
        <v>0</v>
      </c>
      <c r="Q501" t="n">
        <v>0</v>
      </c>
      <c r="R501" s="2" t="inlineStr"/>
    </row>
    <row r="502" ht="15" customHeight="1">
      <c r="A502" t="inlineStr">
        <is>
          <t>A 60100-2022</t>
        </is>
      </c>
      <c r="B502" s="1" t="n">
        <v>44902</v>
      </c>
      <c r="C502" s="1" t="n">
        <v>45996</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45996</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45996</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5125-2024</t>
        </is>
      </c>
      <c r="B505" s="1" t="n">
        <v>45330</v>
      </c>
      <c r="C505" s="1" t="n">
        <v>45996</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55353-2024</t>
        </is>
      </c>
      <c r="B506" s="1" t="n">
        <v>45621.79526620371</v>
      </c>
      <c r="C506" s="1" t="n">
        <v>45996</v>
      </c>
      <c r="D506" t="inlineStr">
        <is>
          <t>ÖREBRO LÄN</t>
        </is>
      </c>
      <c r="E506" t="inlineStr">
        <is>
          <t>ÖREBRO</t>
        </is>
      </c>
      <c r="G506" t="n">
        <v>0.5</v>
      </c>
      <c r="H506" t="n">
        <v>0</v>
      </c>
      <c r="I506" t="n">
        <v>0</v>
      </c>
      <c r="J506" t="n">
        <v>0</v>
      </c>
      <c r="K506" t="n">
        <v>0</v>
      </c>
      <c r="L506" t="n">
        <v>0</v>
      </c>
      <c r="M506" t="n">
        <v>0</v>
      </c>
      <c r="N506" t="n">
        <v>0</v>
      </c>
      <c r="O506" t="n">
        <v>0</v>
      </c>
      <c r="P506" t="n">
        <v>0</v>
      </c>
      <c r="Q506" t="n">
        <v>0</v>
      </c>
      <c r="R506" s="2" t="inlineStr"/>
    </row>
    <row r="507" ht="15" customHeight="1">
      <c r="A507" t="inlineStr">
        <is>
          <t>A 55357-2024</t>
        </is>
      </c>
      <c r="B507" s="1" t="n">
        <v>45621.81126157408</v>
      </c>
      <c r="C507" s="1" t="n">
        <v>45996</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42138-2024</t>
        </is>
      </c>
      <c r="B508" s="1" t="n">
        <v>45562.41854166667</v>
      </c>
      <c r="C508" s="1" t="n">
        <v>45996</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42623-2022</t>
        </is>
      </c>
      <c r="B509" s="1" t="n">
        <v>44831</v>
      </c>
      <c r="C509" s="1" t="n">
        <v>45996</v>
      </c>
      <c r="D509" t="inlineStr">
        <is>
          <t>ÖREBRO LÄN</t>
        </is>
      </c>
      <c r="E509" t="inlineStr">
        <is>
          <t>ÖREBRO</t>
        </is>
      </c>
      <c r="G509" t="n">
        <v>3.6</v>
      </c>
      <c r="H509" t="n">
        <v>0</v>
      </c>
      <c r="I509" t="n">
        <v>0</v>
      </c>
      <c r="J509" t="n">
        <v>0</v>
      </c>
      <c r="K509" t="n">
        <v>0</v>
      </c>
      <c r="L509" t="n">
        <v>0</v>
      </c>
      <c r="M509" t="n">
        <v>0</v>
      </c>
      <c r="N509" t="n">
        <v>0</v>
      </c>
      <c r="O509" t="n">
        <v>0</v>
      </c>
      <c r="P509" t="n">
        <v>0</v>
      </c>
      <c r="Q509" t="n">
        <v>0</v>
      </c>
      <c r="R509" s="2" t="inlineStr"/>
    </row>
    <row r="510" ht="15" customHeight="1">
      <c r="A510" t="inlineStr">
        <is>
          <t>A 26101-2022</t>
        </is>
      </c>
      <c r="B510" s="1" t="n">
        <v>44734</v>
      </c>
      <c r="C510" s="1" t="n">
        <v>45996</v>
      </c>
      <c r="D510" t="inlineStr">
        <is>
          <t>ÖREBRO LÄN</t>
        </is>
      </c>
      <c r="E510" t="inlineStr">
        <is>
          <t>ÖREBRO</t>
        </is>
      </c>
      <c r="G510" t="n">
        <v>15.8</v>
      </c>
      <c r="H510" t="n">
        <v>0</v>
      </c>
      <c r="I510" t="n">
        <v>0</v>
      </c>
      <c r="J510" t="n">
        <v>0</v>
      </c>
      <c r="K510" t="n">
        <v>0</v>
      </c>
      <c r="L510" t="n">
        <v>0</v>
      </c>
      <c r="M510" t="n">
        <v>0</v>
      </c>
      <c r="N510" t="n">
        <v>0</v>
      </c>
      <c r="O510" t="n">
        <v>0</v>
      </c>
      <c r="P510" t="n">
        <v>0</v>
      </c>
      <c r="Q510" t="n">
        <v>0</v>
      </c>
      <c r="R510" s="2" t="inlineStr"/>
    </row>
    <row r="511" ht="15" customHeight="1">
      <c r="A511" t="inlineStr">
        <is>
          <t>A 72329-2021</t>
        </is>
      </c>
      <c r="B511" s="1" t="n">
        <v>44545.46072916667</v>
      </c>
      <c r="C511" s="1" t="n">
        <v>45996</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2095-2025</t>
        </is>
      </c>
      <c r="B512" s="1" t="n">
        <v>45672</v>
      </c>
      <c r="C512" s="1" t="n">
        <v>45996</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71206-2021</t>
        </is>
      </c>
      <c r="B513" s="1" t="n">
        <v>44539</v>
      </c>
      <c r="C513" s="1" t="n">
        <v>45996</v>
      </c>
      <c r="D513" t="inlineStr">
        <is>
          <t>ÖREBRO LÄN</t>
        </is>
      </c>
      <c r="E513" t="inlineStr">
        <is>
          <t>ÖREBRO</t>
        </is>
      </c>
      <c r="G513" t="n">
        <v>2.5</v>
      </c>
      <c r="H513" t="n">
        <v>0</v>
      </c>
      <c r="I513" t="n">
        <v>0</v>
      </c>
      <c r="J513" t="n">
        <v>0</v>
      </c>
      <c r="K513" t="n">
        <v>0</v>
      </c>
      <c r="L513" t="n">
        <v>0</v>
      </c>
      <c r="M513" t="n">
        <v>0</v>
      </c>
      <c r="N513" t="n">
        <v>0</v>
      </c>
      <c r="O513" t="n">
        <v>0</v>
      </c>
      <c r="P513" t="n">
        <v>0</v>
      </c>
      <c r="Q513" t="n">
        <v>0</v>
      </c>
      <c r="R513" s="2" t="inlineStr"/>
    </row>
    <row r="514" ht="15" customHeight="1">
      <c r="A514" t="inlineStr">
        <is>
          <t>A 44875-2025</t>
        </is>
      </c>
      <c r="B514" s="1" t="n">
        <v>45918.47043981482</v>
      </c>
      <c r="C514" s="1" t="n">
        <v>45996</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48140-2024</t>
        </is>
      </c>
      <c r="B515" s="1" t="n">
        <v>45589.66474537037</v>
      </c>
      <c r="C515" s="1" t="n">
        <v>45996</v>
      </c>
      <c r="D515" t="inlineStr">
        <is>
          <t>ÖREBRO LÄN</t>
        </is>
      </c>
      <c r="E515" t="inlineStr">
        <is>
          <t>ÖREBRO</t>
        </is>
      </c>
      <c r="G515" t="n">
        <v>2.4</v>
      </c>
      <c r="H515" t="n">
        <v>0</v>
      </c>
      <c r="I515" t="n">
        <v>0</v>
      </c>
      <c r="J515" t="n">
        <v>0</v>
      </c>
      <c r="K515" t="n">
        <v>0</v>
      </c>
      <c r="L515" t="n">
        <v>0</v>
      </c>
      <c r="M515" t="n">
        <v>0</v>
      </c>
      <c r="N515" t="n">
        <v>0</v>
      </c>
      <c r="O515" t="n">
        <v>0</v>
      </c>
      <c r="P515" t="n">
        <v>0</v>
      </c>
      <c r="Q515" t="n">
        <v>0</v>
      </c>
      <c r="R515" s="2" t="inlineStr"/>
    </row>
    <row r="516" ht="15" customHeight="1">
      <c r="A516" t="inlineStr">
        <is>
          <t>A 41703-2024</t>
        </is>
      </c>
      <c r="B516" s="1" t="n">
        <v>45560</v>
      </c>
      <c r="C516" s="1" t="n">
        <v>45996</v>
      </c>
      <c r="D516" t="inlineStr">
        <is>
          <t>ÖREBRO LÄN</t>
        </is>
      </c>
      <c r="E516" t="inlineStr">
        <is>
          <t>ÖREBRO</t>
        </is>
      </c>
      <c r="G516" t="n">
        <v>6.4</v>
      </c>
      <c r="H516" t="n">
        <v>0</v>
      </c>
      <c r="I516" t="n">
        <v>0</v>
      </c>
      <c r="J516" t="n">
        <v>0</v>
      </c>
      <c r="K516" t="n">
        <v>0</v>
      </c>
      <c r="L516" t="n">
        <v>0</v>
      </c>
      <c r="M516" t="n">
        <v>0</v>
      </c>
      <c r="N516" t="n">
        <v>0</v>
      </c>
      <c r="O516" t="n">
        <v>0</v>
      </c>
      <c r="P516" t="n">
        <v>0</v>
      </c>
      <c r="Q516" t="n">
        <v>0</v>
      </c>
      <c r="R516" s="2" t="inlineStr"/>
    </row>
    <row r="517" ht="15" customHeight="1">
      <c r="A517" t="inlineStr">
        <is>
          <t>A 4344-2025</t>
        </is>
      </c>
      <c r="B517" s="1" t="n">
        <v>45685</v>
      </c>
      <c r="C517" s="1" t="n">
        <v>45996</v>
      </c>
      <c r="D517" t="inlineStr">
        <is>
          <t>ÖREBRO LÄN</t>
        </is>
      </c>
      <c r="E517" t="inlineStr">
        <is>
          <t>ÖREBRO</t>
        </is>
      </c>
      <c r="G517" t="n">
        <v>1.6</v>
      </c>
      <c r="H517" t="n">
        <v>0</v>
      </c>
      <c r="I517" t="n">
        <v>0</v>
      </c>
      <c r="J517" t="n">
        <v>0</v>
      </c>
      <c r="K517" t="n">
        <v>0</v>
      </c>
      <c r="L517" t="n">
        <v>0</v>
      </c>
      <c r="M517" t="n">
        <v>0</v>
      </c>
      <c r="N517" t="n">
        <v>0</v>
      </c>
      <c r="O517" t="n">
        <v>0</v>
      </c>
      <c r="P517" t="n">
        <v>0</v>
      </c>
      <c r="Q517" t="n">
        <v>0</v>
      </c>
      <c r="R517" s="2" t="inlineStr"/>
    </row>
    <row r="518" ht="15" customHeight="1">
      <c r="A518" t="inlineStr">
        <is>
          <t>A 53715-2025</t>
        </is>
      </c>
      <c r="B518" s="1" t="n">
        <v>45960.61763888889</v>
      </c>
      <c r="C518" s="1" t="n">
        <v>45996</v>
      </c>
      <c r="D518" t="inlineStr">
        <is>
          <t>ÖREBRO LÄN</t>
        </is>
      </c>
      <c r="E518" t="inlineStr">
        <is>
          <t>ÖREBRO</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55355-2024</t>
        </is>
      </c>
      <c r="B519" s="1" t="n">
        <v>45621.80475694445</v>
      </c>
      <c r="C519" s="1" t="n">
        <v>45996</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56077-2022</t>
        </is>
      </c>
      <c r="B520" s="1" t="n">
        <v>44889.60872685185</v>
      </c>
      <c r="C520" s="1" t="n">
        <v>45996</v>
      </c>
      <c r="D520" t="inlineStr">
        <is>
          <t>ÖREBRO LÄN</t>
        </is>
      </c>
      <c r="E520" t="inlineStr">
        <is>
          <t>ÖREBRO</t>
        </is>
      </c>
      <c r="F520" t="inlineStr">
        <is>
          <t>Övriga Aktiebolag</t>
        </is>
      </c>
      <c r="G520" t="n">
        <v>2.5</v>
      </c>
      <c r="H520" t="n">
        <v>0</v>
      </c>
      <c r="I520" t="n">
        <v>0</v>
      </c>
      <c r="J520" t="n">
        <v>0</v>
      </c>
      <c r="K520" t="n">
        <v>0</v>
      </c>
      <c r="L520" t="n">
        <v>0</v>
      </c>
      <c r="M520" t="n">
        <v>0</v>
      </c>
      <c r="N520" t="n">
        <v>0</v>
      </c>
      <c r="O520" t="n">
        <v>0</v>
      </c>
      <c r="P520" t="n">
        <v>0</v>
      </c>
      <c r="Q520" t="n">
        <v>0</v>
      </c>
      <c r="R520" s="2" t="inlineStr"/>
    </row>
    <row r="521" ht="15" customHeight="1">
      <c r="A521" t="inlineStr">
        <is>
          <t>A 33577-2023</t>
        </is>
      </c>
      <c r="B521" s="1" t="n">
        <v>45131</v>
      </c>
      <c r="C521" s="1" t="n">
        <v>45996</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38489-2023</t>
        </is>
      </c>
      <c r="B522" s="1" t="n">
        <v>45162</v>
      </c>
      <c r="C522" s="1" t="n">
        <v>45996</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19763-2024</t>
        </is>
      </c>
      <c r="B523" s="1" t="n">
        <v>45432</v>
      </c>
      <c r="C523" s="1" t="n">
        <v>45996</v>
      </c>
      <c r="D523" t="inlineStr">
        <is>
          <t>ÖREBRO LÄN</t>
        </is>
      </c>
      <c r="E523" t="inlineStr">
        <is>
          <t>ÖREBRO</t>
        </is>
      </c>
      <c r="G523" t="n">
        <v>1.9</v>
      </c>
      <c r="H523" t="n">
        <v>0</v>
      </c>
      <c r="I523" t="n">
        <v>0</v>
      </c>
      <c r="J523" t="n">
        <v>0</v>
      </c>
      <c r="K523" t="n">
        <v>0</v>
      </c>
      <c r="L523" t="n">
        <v>0</v>
      </c>
      <c r="M523" t="n">
        <v>0</v>
      </c>
      <c r="N523" t="n">
        <v>0</v>
      </c>
      <c r="O523" t="n">
        <v>0</v>
      </c>
      <c r="P523" t="n">
        <v>0</v>
      </c>
      <c r="Q523" t="n">
        <v>0</v>
      </c>
      <c r="R523" s="2" t="inlineStr"/>
    </row>
    <row r="524" ht="15" customHeight="1">
      <c r="A524" t="inlineStr">
        <is>
          <t>A 54485-2025</t>
        </is>
      </c>
      <c r="B524" s="1" t="n">
        <v>45965.59295138889</v>
      </c>
      <c r="C524" s="1" t="n">
        <v>45996</v>
      </c>
      <c r="D524" t="inlineStr">
        <is>
          <t>ÖREBRO LÄN</t>
        </is>
      </c>
      <c r="E524" t="inlineStr">
        <is>
          <t>ÖREBRO</t>
        </is>
      </c>
      <c r="F524" t="inlineStr">
        <is>
          <t>Allmännings- och besparingsskogar</t>
        </is>
      </c>
      <c r="G524" t="n">
        <v>1.7</v>
      </c>
      <c r="H524" t="n">
        <v>0</v>
      </c>
      <c r="I524" t="n">
        <v>0</v>
      </c>
      <c r="J524" t="n">
        <v>0</v>
      </c>
      <c r="K524" t="n">
        <v>0</v>
      </c>
      <c r="L524" t="n">
        <v>0</v>
      </c>
      <c r="M524" t="n">
        <v>0</v>
      </c>
      <c r="N524" t="n">
        <v>0</v>
      </c>
      <c r="O524" t="n">
        <v>0</v>
      </c>
      <c r="P524" t="n">
        <v>0</v>
      </c>
      <c r="Q524" t="n">
        <v>0</v>
      </c>
      <c r="R524" s="2" t="inlineStr"/>
    </row>
    <row r="525" ht="15" customHeight="1">
      <c r="A525" t="inlineStr">
        <is>
          <t>A 14545-2023</t>
        </is>
      </c>
      <c r="B525" s="1" t="n">
        <v>45013.34895833334</v>
      </c>
      <c r="C525" s="1" t="n">
        <v>45996</v>
      </c>
      <c r="D525" t="inlineStr">
        <is>
          <t>ÖREBRO LÄN</t>
        </is>
      </c>
      <c r="E525" t="inlineStr">
        <is>
          <t>ÖREBRO</t>
        </is>
      </c>
      <c r="G525" t="n">
        <v>2.5</v>
      </c>
      <c r="H525" t="n">
        <v>0</v>
      </c>
      <c r="I525" t="n">
        <v>0</v>
      </c>
      <c r="J525" t="n">
        <v>0</v>
      </c>
      <c r="K525" t="n">
        <v>0</v>
      </c>
      <c r="L525" t="n">
        <v>0</v>
      </c>
      <c r="M525" t="n">
        <v>0</v>
      </c>
      <c r="N525" t="n">
        <v>0</v>
      </c>
      <c r="O525" t="n">
        <v>0</v>
      </c>
      <c r="P525" t="n">
        <v>0</v>
      </c>
      <c r="Q525" t="n">
        <v>0</v>
      </c>
      <c r="R525" s="2" t="inlineStr"/>
    </row>
    <row r="526" ht="15" customHeight="1">
      <c r="A526" t="inlineStr">
        <is>
          <t>A 33457-2023</t>
        </is>
      </c>
      <c r="B526" s="1" t="n">
        <v>45131</v>
      </c>
      <c r="C526" s="1" t="n">
        <v>45996</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54917-2023</t>
        </is>
      </c>
      <c r="B527" s="1" t="n">
        <v>45229</v>
      </c>
      <c r="C527" s="1" t="n">
        <v>45996</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7141-2025</t>
        </is>
      </c>
      <c r="B528" s="1" t="n">
        <v>45702</v>
      </c>
      <c r="C528" s="1" t="n">
        <v>45996</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14432-2023</t>
        </is>
      </c>
      <c r="B529" s="1" t="n">
        <v>45012</v>
      </c>
      <c r="C529" s="1" t="n">
        <v>45996</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3652-2022</t>
        </is>
      </c>
      <c r="B530" s="1" t="n">
        <v>44586.46921296296</v>
      </c>
      <c r="C530" s="1" t="n">
        <v>45996</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37021-2024</t>
        </is>
      </c>
      <c r="B531" s="1" t="n">
        <v>45539.38146990741</v>
      </c>
      <c r="C531" s="1" t="n">
        <v>45996</v>
      </c>
      <c r="D531" t="inlineStr">
        <is>
          <t>ÖREBRO LÄN</t>
        </is>
      </c>
      <c r="E531" t="inlineStr">
        <is>
          <t>ÖREBRO</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45996</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13169-2024</t>
        </is>
      </c>
      <c r="B533" s="1" t="n">
        <v>45386.40489583334</v>
      </c>
      <c r="C533" s="1" t="n">
        <v>45996</v>
      </c>
      <c r="D533" t="inlineStr">
        <is>
          <t>ÖREBRO LÄN</t>
        </is>
      </c>
      <c r="E533" t="inlineStr">
        <is>
          <t>ÖREBRO</t>
        </is>
      </c>
      <c r="G533" t="n">
        <v>4.3</v>
      </c>
      <c r="H533" t="n">
        <v>0</v>
      </c>
      <c r="I533" t="n">
        <v>0</v>
      </c>
      <c r="J533" t="n">
        <v>0</v>
      </c>
      <c r="K533" t="n">
        <v>0</v>
      </c>
      <c r="L533" t="n">
        <v>0</v>
      </c>
      <c r="M533" t="n">
        <v>0</v>
      </c>
      <c r="N533" t="n">
        <v>0</v>
      </c>
      <c r="O533" t="n">
        <v>0</v>
      </c>
      <c r="P533" t="n">
        <v>0</v>
      </c>
      <c r="Q533" t="n">
        <v>0</v>
      </c>
      <c r="R533" s="2" t="inlineStr"/>
    </row>
    <row r="534" ht="15" customHeight="1">
      <c r="A534" t="inlineStr">
        <is>
          <t>A 52499-2024</t>
        </is>
      </c>
      <c r="B534" s="1" t="n">
        <v>45609.58422453704</v>
      </c>
      <c r="C534" s="1" t="n">
        <v>45996</v>
      </c>
      <c r="D534" t="inlineStr">
        <is>
          <t>ÖREBRO LÄN</t>
        </is>
      </c>
      <c r="E534" t="inlineStr">
        <is>
          <t>ÖREBRO</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8374-2021</t>
        </is>
      </c>
      <c r="B535" s="1" t="n">
        <v>44244</v>
      </c>
      <c r="C535" s="1" t="n">
        <v>45996</v>
      </c>
      <c r="D535" t="inlineStr">
        <is>
          <t>ÖREBRO LÄN</t>
        </is>
      </c>
      <c r="E535" t="inlineStr">
        <is>
          <t>ÖREBRO</t>
        </is>
      </c>
      <c r="G535" t="n">
        <v>0.6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45996</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4757-2024</t>
        </is>
      </c>
      <c r="B537" s="1" t="n">
        <v>45328</v>
      </c>
      <c r="C537" s="1" t="n">
        <v>45996</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14960-2025</t>
        </is>
      </c>
      <c r="B538" s="1" t="n">
        <v>45743.5853125</v>
      </c>
      <c r="C538" s="1" t="n">
        <v>45996</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13623-2024</t>
        </is>
      </c>
      <c r="B539" s="1" t="n">
        <v>45390.38626157407</v>
      </c>
      <c r="C539" s="1" t="n">
        <v>45996</v>
      </c>
      <c r="D539" t="inlineStr">
        <is>
          <t>ÖREBRO LÄN</t>
        </is>
      </c>
      <c r="E539" t="inlineStr">
        <is>
          <t>ÖREBRO</t>
        </is>
      </c>
      <c r="G539" t="n">
        <v>1.1</v>
      </c>
      <c r="H539" t="n">
        <v>0</v>
      </c>
      <c r="I539" t="n">
        <v>0</v>
      </c>
      <c r="J539" t="n">
        <v>0</v>
      </c>
      <c r="K539" t="n">
        <v>0</v>
      </c>
      <c r="L539" t="n">
        <v>0</v>
      </c>
      <c r="M539" t="n">
        <v>0</v>
      </c>
      <c r="N539" t="n">
        <v>0</v>
      </c>
      <c r="O539" t="n">
        <v>0</v>
      </c>
      <c r="P539" t="n">
        <v>0</v>
      </c>
      <c r="Q539" t="n">
        <v>0</v>
      </c>
      <c r="R539" s="2" t="inlineStr"/>
    </row>
    <row r="540" ht="15" customHeight="1">
      <c r="A540" t="inlineStr">
        <is>
          <t>A 30903-2024</t>
        </is>
      </c>
      <c r="B540" s="1" t="n">
        <v>45498.49946759259</v>
      </c>
      <c r="C540" s="1" t="n">
        <v>45996</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47193-2023</t>
        </is>
      </c>
      <c r="B541" s="1" t="n">
        <v>45202.3074537037</v>
      </c>
      <c r="C541" s="1" t="n">
        <v>45996</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59026-2024</t>
        </is>
      </c>
      <c r="B542" s="1" t="n">
        <v>45636.6875</v>
      </c>
      <c r="C542" s="1" t="n">
        <v>45996</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17465-2023</t>
        </is>
      </c>
      <c r="B543" s="1" t="n">
        <v>45036</v>
      </c>
      <c r="C543" s="1" t="n">
        <v>45996</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5619-2023</t>
        </is>
      </c>
      <c r="B544" s="1" t="n">
        <v>44958</v>
      </c>
      <c r="C544" s="1" t="n">
        <v>45996</v>
      </c>
      <c r="D544" t="inlineStr">
        <is>
          <t>ÖREBRO LÄN</t>
        </is>
      </c>
      <c r="E544" t="inlineStr">
        <is>
          <t>ÖREBRO</t>
        </is>
      </c>
      <c r="G544" t="n">
        <v>27</v>
      </c>
      <c r="H544" t="n">
        <v>0</v>
      </c>
      <c r="I544" t="n">
        <v>0</v>
      </c>
      <c r="J544" t="n">
        <v>0</v>
      </c>
      <c r="K544" t="n">
        <v>0</v>
      </c>
      <c r="L544" t="n">
        <v>0</v>
      </c>
      <c r="M544" t="n">
        <v>0</v>
      </c>
      <c r="N544" t="n">
        <v>0</v>
      </c>
      <c r="O544" t="n">
        <v>0</v>
      </c>
      <c r="P544" t="n">
        <v>0</v>
      </c>
      <c r="Q544" t="n">
        <v>0</v>
      </c>
      <c r="R544" s="2" t="inlineStr"/>
    </row>
    <row r="545" ht="15" customHeight="1">
      <c r="A545" t="inlineStr">
        <is>
          <t>A 54205-2025</t>
        </is>
      </c>
      <c r="B545" s="1" t="n">
        <v>45964.58512731481</v>
      </c>
      <c r="C545" s="1" t="n">
        <v>45996</v>
      </c>
      <c r="D545" t="inlineStr">
        <is>
          <t>ÖREBRO LÄN</t>
        </is>
      </c>
      <c r="E545" t="inlineStr">
        <is>
          <t>ÖREBRO</t>
        </is>
      </c>
      <c r="G545" t="n">
        <v>24.3</v>
      </c>
      <c r="H545" t="n">
        <v>0</v>
      </c>
      <c r="I545" t="n">
        <v>0</v>
      </c>
      <c r="J545" t="n">
        <v>0</v>
      </c>
      <c r="K545" t="n">
        <v>0</v>
      </c>
      <c r="L545" t="n">
        <v>0</v>
      </c>
      <c r="M545" t="n">
        <v>0</v>
      </c>
      <c r="N545" t="n">
        <v>0</v>
      </c>
      <c r="O545" t="n">
        <v>0</v>
      </c>
      <c r="P545" t="n">
        <v>0</v>
      </c>
      <c r="Q545" t="n">
        <v>0</v>
      </c>
      <c r="R545" s="2" t="inlineStr"/>
    </row>
    <row r="546" ht="15" customHeight="1">
      <c r="A546" t="inlineStr">
        <is>
          <t>A 37277-2022</t>
        </is>
      </c>
      <c r="B546" s="1" t="n">
        <v>44807.49150462963</v>
      </c>
      <c r="C546" s="1" t="n">
        <v>45996</v>
      </c>
      <c r="D546" t="inlineStr">
        <is>
          <t>ÖREBRO LÄN</t>
        </is>
      </c>
      <c r="E546" t="inlineStr">
        <is>
          <t>ÖREBRO</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23573-2023</t>
        </is>
      </c>
      <c r="B547" s="1" t="n">
        <v>45077.41672453703</v>
      </c>
      <c r="C547" s="1" t="n">
        <v>45996</v>
      </c>
      <c r="D547" t="inlineStr">
        <is>
          <t>ÖREBRO LÄN</t>
        </is>
      </c>
      <c r="E547" t="inlineStr">
        <is>
          <t>ÖREBRO</t>
        </is>
      </c>
      <c r="G547" t="n">
        <v>2.9</v>
      </c>
      <c r="H547" t="n">
        <v>0</v>
      </c>
      <c r="I547" t="n">
        <v>0</v>
      </c>
      <c r="J547" t="n">
        <v>0</v>
      </c>
      <c r="K547" t="n">
        <v>0</v>
      </c>
      <c r="L547" t="n">
        <v>0</v>
      </c>
      <c r="M547" t="n">
        <v>0</v>
      </c>
      <c r="N547" t="n">
        <v>0</v>
      </c>
      <c r="O547" t="n">
        <v>0</v>
      </c>
      <c r="P547" t="n">
        <v>0</v>
      </c>
      <c r="Q547" t="n">
        <v>0</v>
      </c>
      <c r="R547" s="2" t="inlineStr"/>
    </row>
    <row r="548" ht="15" customHeight="1">
      <c r="A548" t="inlineStr">
        <is>
          <t>A 36635-2023</t>
        </is>
      </c>
      <c r="B548" s="1" t="n">
        <v>45153</v>
      </c>
      <c r="C548" s="1" t="n">
        <v>45996</v>
      </c>
      <c r="D548" t="inlineStr">
        <is>
          <t>ÖREBRO LÄN</t>
        </is>
      </c>
      <c r="E548" t="inlineStr">
        <is>
          <t>ÖREBRO</t>
        </is>
      </c>
      <c r="G548" t="n">
        <v>1.9</v>
      </c>
      <c r="H548" t="n">
        <v>0</v>
      </c>
      <c r="I548" t="n">
        <v>0</v>
      </c>
      <c r="J548" t="n">
        <v>0</v>
      </c>
      <c r="K548" t="n">
        <v>0</v>
      </c>
      <c r="L548" t="n">
        <v>0</v>
      </c>
      <c r="M548" t="n">
        <v>0</v>
      </c>
      <c r="N548" t="n">
        <v>0</v>
      </c>
      <c r="O548" t="n">
        <v>0</v>
      </c>
      <c r="P548" t="n">
        <v>0</v>
      </c>
      <c r="Q548" t="n">
        <v>0</v>
      </c>
      <c r="R548" s="2" t="inlineStr"/>
    </row>
    <row r="549" ht="15" customHeight="1">
      <c r="A549" t="inlineStr">
        <is>
          <t>A 61593-2023</t>
        </is>
      </c>
      <c r="B549" s="1" t="n">
        <v>45265</v>
      </c>
      <c r="C549" s="1" t="n">
        <v>45996</v>
      </c>
      <c r="D549" t="inlineStr">
        <is>
          <t>ÖREBRO LÄN</t>
        </is>
      </c>
      <c r="E549" t="inlineStr">
        <is>
          <t>ÖREBRO</t>
        </is>
      </c>
      <c r="G549" t="n">
        <v>2.5</v>
      </c>
      <c r="H549" t="n">
        <v>0</v>
      </c>
      <c r="I549" t="n">
        <v>0</v>
      </c>
      <c r="J549" t="n">
        <v>0</v>
      </c>
      <c r="K549" t="n">
        <v>0</v>
      </c>
      <c r="L549" t="n">
        <v>0</v>
      </c>
      <c r="M549" t="n">
        <v>0</v>
      </c>
      <c r="N549" t="n">
        <v>0</v>
      </c>
      <c r="O549" t="n">
        <v>0</v>
      </c>
      <c r="P549" t="n">
        <v>0</v>
      </c>
      <c r="Q549" t="n">
        <v>0</v>
      </c>
      <c r="R549" s="2" t="inlineStr"/>
    </row>
    <row r="550" ht="15" customHeight="1">
      <c r="A550" t="inlineStr">
        <is>
          <t>A 681-2024</t>
        </is>
      </c>
      <c r="B550" s="1" t="n">
        <v>45300</v>
      </c>
      <c r="C550" s="1" t="n">
        <v>45996</v>
      </c>
      <c r="D550" t="inlineStr">
        <is>
          <t>ÖREBRO LÄN</t>
        </is>
      </c>
      <c r="E550" t="inlineStr">
        <is>
          <t>ÖREBRO</t>
        </is>
      </c>
      <c r="G550" t="n">
        <v>3.3</v>
      </c>
      <c r="H550" t="n">
        <v>0</v>
      </c>
      <c r="I550" t="n">
        <v>0</v>
      </c>
      <c r="J550" t="n">
        <v>0</v>
      </c>
      <c r="K550" t="n">
        <v>0</v>
      </c>
      <c r="L550" t="n">
        <v>0</v>
      </c>
      <c r="M550" t="n">
        <v>0</v>
      </c>
      <c r="N550" t="n">
        <v>0</v>
      </c>
      <c r="O550" t="n">
        <v>0</v>
      </c>
      <c r="P550" t="n">
        <v>0</v>
      </c>
      <c r="Q550" t="n">
        <v>0</v>
      </c>
      <c r="R550" s="2" t="inlineStr"/>
    </row>
    <row r="551" ht="15" customHeight="1">
      <c r="A551" t="inlineStr">
        <is>
          <t>A 59024-2024</t>
        </is>
      </c>
      <c r="B551" s="1" t="n">
        <v>45636.68505787037</v>
      </c>
      <c r="C551" s="1" t="n">
        <v>45996</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10339-2023</t>
        </is>
      </c>
      <c r="B552" s="1" t="n">
        <v>44987</v>
      </c>
      <c r="C552" s="1" t="n">
        <v>45996</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31247-2023</t>
        </is>
      </c>
      <c r="B553" s="1" t="n">
        <v>45114</v>
      </c>
      <c r="C553" s="1" t="n">
        <v>45996</v>
      </c>
      <c r="D553" t="inlineStr">
        <is>
          <t>ÖREBRO LÄN</t>
        </is>
      </c>
      <c r="E553" t="inlineStr">
        <is>
          <t>ÖREBRO</t>
        </is>
      </c>
      <c r="F553" t="inlineStr">
        <is>
          <t>Allmännings- och besparingsskogar</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16165-2023</t>
        </is>
      </c>
      <c r="B554" s="1" t="n">
        <v>45027</v>
      </c>
      <c r="C554" s="1" t="n">
        <v>45996</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21097-2025</t>
        </is>
      </c>
      <c r="B555" s="1" t="n">
        <v>45777.63863425926</v>
      </c>
      <c r="C555" s="1" t="n">
        <v>45996</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55003-2025</t>
        </is>
      </c>
      <c r="B556" s="1" t="n">
        <v>45967</v>
      </c>
      <c r="C556" s="1" t="n">
        <v>45996</v>
      </c>
      <c r="D556" t="inlineStr">
        <is>
          <t>ÖREBRO LÄN</t>
        </is>
      </c>
      <c r="E556" t="inlineStr">
        <is>
          <t>ÖREBRO</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39130-2023</t>
        </is>
      </c>
      <c r="B557" s="1" t="n">
        <v>45165</v>
      </c>
      <c r="C557" s="1" t="n">
        <v>45996</v>
      </c>
      <c r="D557" t="inlineStr">
        <is>
          <t>ÖREBRO LÄN</t>
        </is>
      </c>
      <c r="E557" t="inlineStr">
        <is>
          <t>ÖREBRO</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45996</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9379-2024</t>
        </is>
      </c>
      <c r="B559" s="1" t="n">
        <v>45359.37298611111</v>
      </c>
      <c r="C559" s="1" t="n">
        <v>45996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35819-2024</t>
        </is>
      </c>
      <c r="B560" s="1" t="n">
        <v>45532</v>
      </c>
      <c r="C560" s="1" t="n">
        <v>45996</v>
      </c>
      <c r="D560" t="inlineStr">
        <is>
          <t>ÖREBRO LÄN</t>
        </is>
      </c>
      <c r="E560" t="inlineStr">
        <is>
          <t>ÖREBRO</t>
        </is>
      </c>
      <c r="G560" t="n">
        <v>6.4</v>
      </c>
      <c r="H560" t="n">
        <v>0</v>
      </c>
      <c r="I560" t="n">
        <v>0</v>
      </c>
      <c r="J560" t="n">
        <v>0</v>
      </c>
      <c r="K560" t="n">
        <v>0</v>
      </c>
      <c r="L560" t="n">
        <v>0</v>
      </c>
      <c r="M560" t="n">
        <v>0</v>
      </c>
      <c r="N560" t="n">
        <v>0</v>
      </c>
      <c r="O560" t="n">
        <v>0</v>
      </c>
      <c r="P560" t="n">
        <v>0</v>
      </c>
      <c r="Q560" t="n">
        <v>0</v>
      </c>
      <c r="R560" s="2" t="inlineStr"/>
    </row>
    <row r="561" ht="15" customHeight="1">
      <c r="A561" t="inlineStr">
        <is>
          <t>A 35345-2024</t>
        </is>
      </c>
      <c r="B561" s="1" t="n">
        <v>45530</v>
      </c>
      <c r="C561" s="1" t="n">
        <v>45996</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8568-2021</t>
        </is>
      </c>
      <c r="B562" s="1" t="n">
        <v>44245</v>
      </c>
      <c r="C562" s="1" t="n">
        <v>45996</v>
      </c>
      <c r="D562" t="inlineStr">
        <is>
          <t>ÖREBRO LÄN</t>
        </is>
      </c>
      <c r="E562" t="inlineStr">
        <is>
          <t>ÖREBRO</t>
        </is>
      </c>
      <c r="G562" t="n">
        <v>4.8</v>
      </c>
      <c r="H562" t="n">
        <v>0</v>
      </c>
      <c r="I562" t="n">
        <v>0</v>
      </c>
      <c r="J562" t="n">
        <v>0</v>
      </c>
      <c r="K562" t="n">
        <v>0</v>
      </c>
      <c r="L562" t="n">
        <v>0</v>
      </c>
      <c r="M562" t="n">
        <v>0</v>
      </c>
      <c r="N562" t="n">
        <v>0</v>
      </c>
      <c r="O562" t="n">
        <v>0</v>
      </c>
      <c r="P562" t="n">
        <v>0</v>
      </c>
      <c r="Q562" t="n">
        <v>0</v>
      </c>
      <c r="R562" s="2" t="inlineStr"/>
    </row>
    <row r="563" ht="15" customHeight="1">
      <c r="A563" t="inlineStr">
        <is>
          <t>A 45517-2023</t>
        </is>
      </c>
      <c r="B563" s="1" t="n">
        <v>45194.49594907407</v>
      </c>
      <c r="C563" s="1" t="n">
        <v>45996</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32076-2023</t>
        </is>
      </c>
      <c r="B564" s="1" t="n">
        <v>45119.58324074074</v>
      </c>
      <c r="C564" s="1" t="n">
        <v>45996</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32321-2023</t>
        </is>
      </c>
      <c r="B565" s="1" t="n">
        <v>45120</v>
      </c>
      <c r="C565" s="1" t="n">
        <v>45996</v>
      </c>
      <c r="D565" t="inlineStr">
        <is>
          <t>ÖREBRO LÄN</t>
        </is>
      </c>
      <c r="E565" t="inlineStr">
        <is>
          <t>ÖREBRO</t>
        </is>
      </c>
      <c r="G565" t="n">
        <v>3.4</v>
      </c>
      <c r="H565" t="n">
        <v>0</v>
      </c>
      <c r="I565" t="n">
        <v>0</v>
      </c>
      <c r="J565" t="n">
        <v>0</v>
      </c>
      <c r="K565" t="n">
        <v>0</v>
      </c>
      <c r="L565" t="n">
        <v>0</v>
      </c>
      <c r="M565" t="n">
        <v>0</v>
      </c>
      <c r="N565" t="n">
        <v>0</v>
      </c>
      <c r="O565" t="n">
        <v>0</v>
      </c>
      <c r="P565" t="n">
        <v>0</v>
      </c>
      <c r="Q565" t="n">
        <v>0</v>
      </c>
      <c r="R565" s="2" t="inlineStr"/>
    </row>
    <row r="566" ht="15" customHeight="1">
      <c r="A566" t="inlineStr">
        <is>
          <t>A 21338-2025</t>
        </is>
      </c>
      <c r="B566" s="1" t="n">
        <v>45780</v>
      </c>
      <c r="C566" s="1" t="n">
        <v>45996</v>
      </c>
      <c r="D566" t="inlineStr">
        <is>
          <t>ÖREBRO LÄN</t>
        </is>
      </c>
      <c r="E566" t="inlineStr">
        <is>
          <t>ÖREBRO</t>
        </is>
      </c>
      <c r="G566" t="n">
        <v>3.2</v>
      </c>
      <c r="H566" t="n">
        <v>0</v>
      </c>
      <c r="I566" t="n">
        <v>0</v>
      </c>
      <c r="J566" t="n">
        <v>0</v>
      </c>
      <c r="K566" t="n">
        <v>0</v>
      </c>
      <c r="L566" t="n">
        <v>0</v>
      </c>
      <c r="M566" t="n">
        <v>0</v>
      </c>
      <c r="N566" t="n">
        <v>0</v>
      </c>
      <c r="O566" t="n">
        <v>0</v>
      </c>
      <c r="P566" t="n">
        <v>0</v>
      </c>
      <c r="Q566" t="n">
        <v>0</v>
      </c>
      <c r="R566" s="2" t="inlineStr"/>
    </row>
    <row r="567" ht="15" customHeight="1">
      <c r="A567" t="inlineStr">
        <is>
          <t>A 29138-2022</t>
        </is>
      </c>
      <c r="B567" s="1" t="n">
        <v>44750</v>
      </c>
      <c r="C567" s="1" t="n">
        <v>45996</v>
      </c>
      <c r="D567" t="inlineStr">
        <is>
          <t>ÖREBRO LÄN</t>
        </is>
      </c>
      <c r="E567" t="inlineStr">
        <is>
          <t>ÖREBRO</t>
        </is>
      </c>
      <c r="G567" t="n">
        <v>3.3</v>
      </c>
      <c r="H567" t="n">
        <v>0</v>
      </c>
      <c r="I567" t="n">
        <v>0</v>
      </c>
      <c r="J567" t="n">
        <v>0</v>
      </c>
      <c r="K567" t="n">
        <v>0</v>
      </c>
      <c r="L567" t="n">
        <v>0</v>
      </c>
      <c r="M567" t="n">
        <v>0</v>
      </c>
      <c r="N567" t="n">
        <v>0</v>
      </c>
      <c r="O567" t="n">
        <v>0</v>
      </c>
      <c r="P567" t="n">
        <v>0</v>
      </c>
      <c r="Q567" t="n">
        <v>0</v>
      </c>
      <c r="R567" s="2" t="inlineStr"/>
    </row>
    <row r="568" ht="15" customHeight="1">
      <c r="A568" t="inlineStr">
        <is>
          <t>A 29143-2022</t>
        </is>
      </c>
      <c r="B568" s="1" t="n">
        <v>44750</v>
      </c>
      <c r="C568" s="1" t="n">
        <v>45996</v>
      </c>
      <c r="D568" t="inlineStr">
        <is>
          <t>ÖREBRO LÄN</t>
        </is>
      </c>
      <c r="E568" t="inlineStr">
        <is>
          <t>ÖREBRO</t>
        </is>
      </c>
      <c r="G568" t="n">
        <v>5.6</v>
      </c>
      <c r="H568" t="n">
        <v>0</v>
      </c>
      <c r="I568" t="n">
        <v>0</v>
      </c>
      <c r="J568" t="n">
        <v>0</v>
      </c>
      <c r="K568" t="n">
        <v>0</v>
      </c>
      <c r="L568" t="n">
        <v>0</v>
      </c>
      <c r="M568" t="n">
        <v>0</v>
      </c>
      <c r="N568" t="n">
        <v>0</v>
      </c>
      <c r="O568" t="n">
        <v>0</v>
      </c>
      <c r="P568" t="n">
        <v>0</v>
      </c>
      <c r="Q568" t="n">
        <v>0</v>
      </c>
      <c r="R568" s="2" t="inlineStr"/>
    </row>
    <row r="569" ht="15" customHeight="1">
      <c r="A569" t="inlineStr">
        <is>
          <t>A 14234-2024</t>
        </is>
      </c>
      <c r="B569" s="1" t="n">
        <v>45393.46980324074</v>
      </c>
      <c r="C569" s="1" t="n">
        <v>45996</v>
      </c>
      <c r="D569" t="inlineStr">
        <is>
          <t>ÖREBRO LÄN</t>
        </is>
      </c>
      <c r="E569" t="inlineStr">
        <is>
          <t>ÖREBRO</t>
        </is>
      </c>
      <c r="G569" t="n">
        <v>1.6</v>
      </c>
      <c r="H569" t="n">
        <v>0</v>
      </c>
      <c r="I569" t="n">
        <v>0</v>
      </c>
      <c r="J569" t="n">
        <v>0</v>
      </c>
      <c r="K569" t="n">
        <v>0</v>
      </c>
      <c r="L569" t="n">
        <v>0</v>
      </c>
      <c r="M569" t="n">
        <v>0</v>
      </c>
      <c r="N569" t="n">
        <v>0</v>
      </c>
      <c r="O569" t="n">
        <v>0</v>
      </c>
      <c r="P569" t="n">
        <v>0</v>
      </c>
      <c r="Q569" t="n">
        <v>0</v>
      </c>
      <c r="R569" s="2" t="inlineStr"/>
    </row>
    <row r="570" ht="15" customHeight="1">
      <c r="A570" t="inlineStr">
        <is>
          <t>A 4557-2023</t>
        </is>
      </c>
      <c r="B570" s="1" t="n">
        <v>44956.6655787037</v>
      </c>
      <c r="C570" s="1" t="n">
        <v>45996</v>
      </c>
      <c r="D570" t="inlineStr">
        <is>
          <t>ÖREBRO LÄN</t>
        </is>
      </c>
      <c r="E570" t="inlineStr">
        <is>
          <t>ÖREBRO</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53558-2023</t>
        </is>
      </c>
      <c r="B571" s="1" t="n">
        <v>45230.47266203703</v>
      </c>
      <c r="C571" s="1" t="n">
        <v>45996</v>
      </c>
      <c r="D571" t="inlineStr">
        <is>
          <t>ÖREBRO LÄN</t>
        </is>
      </c>
      <c r="E571" t="inlineStr">
        <is>
          <t>ÖREBRO</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46518-2023</t>
        </is>
      </c>
      <c r="B572" s="1" t="n">
        <v>45197.72777777778</v>
      </c>
      <c r="C572" s="1" t="n">
        <v>45996</v>
      </c>
      <c r="D572" t="inlineStr">
        <is>
          <t>ÖREBRO LÄN</t>
        </is>
      </c>
      <c r="E572" t="inlineStr">
        <is>
          <t>ÖREBRO</t>
        </is>
      </c>
      <c r="G572" t="n">
        <v>2.2</v>
      </c>
      <c r="H572" t="n">
        <v>0</v>
      </c>
      <c r="I572" t="n">
        <v>0</v>
      </c>
      <c r="J572" t="n">
        <v>0</v>
      </c>
      <c r="K572" t="n">
        <v>0</v>
      </c>
      <c r="L572" t="n">
        <v>0</v>
      </c>
      <c r="M572" t="n">
        <v>0</v>
      </c>
      <c r="N572" t="n">
        <v>0</v>
      </c>
      <c r="O572" t="n">
        <v>0</v>
      </c>
      <c r="P572" t="n">
        <v>0</v>
      </c>
      <c r="Q572" t="n">
        <v>0</v>
      </c>
      <c r="R572" s="2" t="inlineStr"/>
    </row>
    <row r="573" ht="15" customHeight="1">
      <c r="A573" t="inlineStr">
        <is>
          <t>A 58644-2023</t>
        </is>
      </c>
      <c r="B573" s="1" t="n">
        <v>45251.58716435185</v>
      </c>
      <c r="C573" s="1" t="n">
        <v>45996</v>
      </c>
      <c r="D573" t="inlineStr">
        <is>
          <t>ÖREBRO LÄN</t>
        </is>
      </c>
      <c r="E573" t="inlineStr">
        <is>
          <t>ÖREBRO</t>
        </is>
      </c>
      <c r="F573" t="inlineStr">
        <is>
          <t>Övriga Aktiebolag</t>
        </is>
      </c>
      <c r="G573" t="n">
        <v>1.9</v>
      </c>
      <c r="H573" t="n">
        <v>0</v>
      </c>
      <c r="I573" t="n">
        <v>0</v>
      </c>
      <c r="J573" t="n">
        <v>0</v>
      </c>
      <c r="K573" t="n">
        <v>0</v>
      </c>
      <c r="L573" t="n">
        <v>0</v>
      </c>
      <c r="M573" t="n">
        <v>0</v>
      </c>
      <c r="N573" t="n">
        <v>0</v>
      </c>
      <c r="O573" t="n">
        <v>0</v>
      </c>
      <c r="P573" t="n">
        <v>0</v>
      </c>
      <c r="Q573" t="n">
        <v>0</v>
      </c>
      <c r="R573" s="2" t="inlineStr"/>
    </row>
    <row r="574" ht="15" customHeight="1">
      <c r="A574" t="inlineStr">
        <is>
          <t>A 7692-2023</t>
        </is>
      </c>
      <c r="B574" s="1" t="n">
        <v>44972.7762962963</v>
      </c>
      <c r="C574" s="1" t="n">
        <v>45996</v>
      </c>
      <c r="D574" t="inlineStr">
        <is>
          <t>ÖREBRO LÄN</t>
        </is>
      </c>
      <c r="E574" t="inlineStr">
        <is>
          <t>ÖREBRO</t>
        </is>
      </c>
      <c r="G574" t="n">
        <v>1.5</v>
      </c>
      <c r="H574" t="n">
        <v>0</v>
      </c>
      <c r="I574" t="n">
        <v>0</v>
      </c>
      <c r="J574" t="n">
        <v>0</v>
      </c>
      <c r="K574" t="n">
        <v>0</v>
      </c>
      <c r="L574" t="n">
        <v>0</v>
      </c>
      <c r="M574" t="n">
        <v>0</v>
      </c>
      <c r="N574" t="n">
        <v>0</v>
      </c>
      <c r="O574" t="n">
        <v>0</v>
      </c>
      <c r="P574" t="n">
        <v>0</v>
      </c>
      <c r="Q574" t="n">
        <v>0</v>
      </c>
      <c r="R574" s="2" t="inlineStr"/>
    </row>
    <row r="575" ht="15" customHeight="1">
      <c r="A575" t="inlineStr">
        <is>
          <t>A 22719-2025</t>
        </is>
      </c>
      <c r="B575" s="1" t="n">
        <v>45789</v>
      </c>
      <c r="C575" s="1" t="n">
        <v>45996</v>
      </c>
      <c r="D575" t="inlineStr">
        <is>
          <t>ÖREBRO LÄN</t>
        </is>
      </c>
      <c r="E575" t="inlineStr">
        <is>
          <t>ÖREBRO</t>
        </is>
      </c>
      <c r="G575" t="n">
        <v>1.5</v>
      </c>
      <c r="H575" t="n">
        <v>0</v>
      </c>
      <c r="I575" t="n">
        <v>0</v>
      </c>
      <c r="J575" t="n">
        <v>0</v>
      </c>
      <c r="K575" t="n">
        <v>0</v>
      </c>
      <c r="L575" t="n">
        <v>0</v>
      </c>
      <c r="M575" t="n">
        <v>0</v>
      </c>
      <c r="N575" t="n">
        <v>0</v>
      </c>
      <c r="O575" t="n">
        <v>0</v>
      </c>
      <c r="P575" t="n">
        <v>0</v>
      </c>
      <c r="Q575" t="n">
        <v>0</v>
      </c>
      <c r="R575" s="2" t="inlineStr"/>
    </row>
    <row r="576" ht="15" customHeight="1">
      <c r="A576" t="inlineStr">
        <is>
          <t>A 46056-2024</t>
        </is>
      </c>
      <c r="B576" s="1" t="n">
        <v>45580.91502314815</v>
      </c>
      <c r="C576" s="1" t="n">
        <v>45996</v>
      </c>
      <c r="D576" t="inlineStr">
        <is>
          <t>ÖREBRO LÄN</t>
        </is>
      </c>
      <c r="E576" t="inlineStr">
        <is>
          <t>ÖREBRO</t>
        </is>
      </c>
      <c r="F576" t="inlineStr">
        <is>
          <t>Övriga Aktiebolag</t>
        </is>
      </c>
      <c r="G576" t="n">
        <v>4.5</v>
      </c>
      <c r="H576" t="n">
        <v>0</v>
      </c>
      <c r="I576" t="n">
        <v>0</v>
      </c>
      <c r="J576" t="n">
        <v>0</v>
      </c>
      <c r="K576" t="n">
        <v>0</v>
      </c>
      <c r="L576" t="n">
        <v>0</v>
      </c>
      <c r="M576" t="n">
        <v>0</v>
      </c>
      <c r="N576" t="n">
        <v>0</v>
      </c>
      <c r="O576" t="n">
        <v>0</v>
      </c>
      <c r="P576" t="n">
        <v>0</v>
      </c>
      <c r="Q576" t="n">
        <v>0</v>
      </c>
      <c r="R576" s="2" t="inlineStr"/>
    </row>
    <row r="577" ht="15" customHeight="1">
      <c r="A577" t="inlineStr">
        <is>
          <t>A 764-2024</t>
        </is>
      </c>
      <c r="B577" s="1" t="n">
        <v>45300.51512731481</v>
      </c>
      <c r="C577" s="1" t="n">
        <v>45996</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22755-2025</t>
        </is>
      </c>
      <c r="B578" s="1" t="n">
        <v>45789.61872685186</v>
      </c>
      <c r="C578" s="1" t="n">
        <v>45996</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57638-2022</t>
        </is>
      </c>
      <c r="B579" s="1" t="n">
        <v>44897</v>
      </c>
      <c r="C579" s="1" t="n">
        <v>45996</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34336-2024</t>
        </is>
      </c>
      <c r="B580" s="1" t="n">
        <v>45524.94774305556</v>
      </c>
      <c r="C580" s="1" t="n">
        <v>45996</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8274-2025</t>
        </is>
      </c>
      <c r="B581" s="1" t="n">
        <v>45708</v>
      </c>
      <c r="C581" s="1" t="n">
        <v>45996</v>
      </c>
      <c r="D581" t="inlineStr">
        <is>
          <t>ÖREBRO LÄN</t>
        </is>
      </c>
      <c r="E581" t="inlineStr">
        <is>
          <t>ÖREBRO</t>
        </is>
      </c>
      <c r="G581" t="n">
        <v>5.8</v>
      </c>
      <c r="H581" t="n">
        <v>0</v>
      </c>
      <c r="I581" t="n">
        <v>0</v>
      </c>
      <c r="J581" t="n">
        <v>0</v>
      </c>
      <c r="K581" t="n">
        <v>0</v>
      </c>
      <c r="L581" t="n">
        <v>0</v>
      </c>
      <c r="M581" t="n">
        <v>0</v>
      </c>
      <c r="N581" t="n">
        <v>0</v>
      </c>
      <c r="O581" t="n">
        <v>0</v>
      </c>
      <c r="P581" t="n">
        <v>0</v>
      </c>
      <c r="Q581" t="n">
        <v>0</v>
      </c>
      <c r="R581" s="2" t="inlineStr"/>
    </row>
    <row r="582" ht="15" customHeight="1">
      <c r="A582" t="inlineStr">
        <is>
          <t>A 15555-2025</t>
        </is>
      </c>
      <c r="B582" s="1" t="n">
        <v>45747.67768518518</v>
      </c>
      <c r="C582" s="1" t="n">
        <v>45996</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61279-2024</t>
        </is>
      </c>
      <c r="B583" s="1" t="n">
        <v>45645</v>
      </c>
      <c r="C583" s="1" t="n">
        <v>45996</v>
      </c>
      <c r="D583" t="inlineStr">
        <is>
          <t>ÖREBRO LÄN</t>
        </is>
      </c>
      <c r="E583" t="inlineStr">
        <is>
          <t>ÖREBRO</t>
        </is>
      </c>
      <c r="G583" t="n">
        <v>0.7</v>
      </c>
      <c r="H583" t="n">
        <v>0</v>
      </c>
      <c r="I583" t="n">
        <v>0</v>
      </c>
      <c r="J583" t="n">
        <v>0</v>
      </c>
      <c r="K583" t="n">
        <v>0</v>
      </c>
      <c r="L583" t="n">
        <v>0</v>
      </c>
      <c r="M583" t="n">
        <v>0</v>
      </c>
      <c r="N583" t="n">
        <v>0</v>
      </c>
      <c r="O583" t="n">
        <v>0</v>
      </c>
      <c r="P583" t="n">
        <v>0</v>
      </c>
      <c r="Q583" t="n">
        <v>0</v>
      </c>
      <c r="R583" s="2" t="inlineStr"/>
    </row>
    <row r="584" ht="15" customHeight="1">
      <c r="A584" t="inlineStr">
        <is>
          <t>A 38790-2024</t>
        </is>
      </c>
      <c r="B584" s="1" t="n">
        <v>45547.48450231482</v>
      </c>
      <c r="C584" s="1" t="n">
        <v>45996</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71269-2021</t>
        </is>
      </c>
      <c r="B585" s="1" t="n">
        <v>44539</v>
      </c>
      <c r="C585" s="1" t="n">
        <v>45996</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7634-2024</t>
        </is>
      </c>
      <c r="B586" s="1" t="n">
        <v>45348</v>
      </c>
      <c r="C586" s="1" t="n">
        <v>45996</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58208-2024</t>
        </is>
      </c>
      <c r="B587" s="1" t="n">
        <v>45632</v>
      </c>
      <c r="C587" s="1" t="n">
        <v>45996</v>
      </c>
      <c r="D587" t="inlineStr">
        <is>
          <t>ÖREBRO LÄN</t>
        </is>
      </c>
      <c r="E587" t="inlineStr">
        <is>
          <t>ÖREBRO</t>
        </is>
      </c>
      <c r="G587" t="n">
        <v>3.1</v>
      </c>
      <c r="H587" t="n">
        <v>0</v>
      </c>
      <c r="I587" t="n">
        <v>0</v>
      </c>
      <c r="J587" t="n">
        <v>0</v>
      </c>
      <c r="K587" t="n">
        <v>0</v>
      </c>
      <c r="L587" t="n">
        <v>0</v>
      </c>
      <c r="M587" t="n">
        <v>0</v>
      </c>
      <c r="N587" t="n">
        <v>0</v>
      </c>
      <c r="O587" t="n">
        <v>0</v>
      </c>
      <c r="P587" t="n">
        <v>0</v>
      </c>
      <c r="Q587" t="n">
        <v>0</v>
      </c>
      <c r="R587" s="2" t="inlineStr"/>
    </row>
    <row r="588" ht="15" customHeight="1">
      <c r="A588" t="inlineStr">
        <is>
          <t>A 30316-2024</t>
        </is>
      </c>
      <c r="B588" s="1" t="n">
        <v>45490</v>
      </c>
      <c r="C588" s="1" t="n">
        <v>45996</v>
      </c>
      <c r="D588" t="inlineStr">
        <is>
          <t>ÖREBRO LÄN</t>
        </is>
      </c>
      <c r="E588" t="inlineStr">
        <is>
          <t>ÖREBRO</t>
        </is>
      </c>
      <c r="G588" t="n">
        <v>5.5</v>
      </c>
      <c r="H588" t="n">
        <v>0</v>
      </c>
      <c r="I588" t="n">
        <v>0</v>
      </c>
      <c r="J588" t="n">
        <v>0</v>
      </c>
      <c r="K588" t="n">
        <v>0</v>
      </c>
      <c r="L588" t="n">
        <v>0</v>
      </c>
      <c r="M588" t="n">
        <v>0</v>
      </c>
      <c r="N588" t="n">
        <v>0</v>
      </c>
      <c r="O588" t="n">
        <v>0</v>
      </c>
      <c r="P588" t="n">
        <v>0</v>
      </c>
      <c r="Q588" t="n">
        <v>0</v>
      </c>
      <c r="R588" s="2" t="inlineStr"/>
    </row>
    <row r="589" ht="15" customHeight="1">
      <c r="A589" t="inlineStr">
        <is>
          <t>A 71266-2021</t>
        </is>
      </c>
      <c r="B589" s="1" t="n">
        <v>44539</v>
      </c>
      <c r="C589" s="1" t="n">
        <v>45996</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71267-2021</t>
        </is>
      </c>
      <c r="B590" s="1" t="n">
        <v>44539</v>
      </c>
      <c r="C590" s="1" t="n">
        <v>45996</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71280-2021</t>
        </is>
      </c>
      <c r="B591" s="1" t="n">
        <v>44539</v>
      </c>
      <c r="C591" s="1" t="n">
        <v>45996</v>
      </c>
      <c r="D591" t="inlineStr">
        <is>
          <t>ÖREBRO LÄN</t>
        </is>
      </c>
      <c r="E591" t="inlineStr">
        <is>
          <t>ÖREBRO</t>
        </is>
      </c>
      <c r="G591" t="n">
        <v>0.6</v>
      </c>
      <c r="H591" t="n">
        <v>0</v>
      </c>
      <c r="I591" t="n">
        <v>0</v>
      </c>
      <c r="J591" t="n">
        <v>0</v>
      </c>
      <c r="K591" t="n">
        <v>0</v>
      </c>
      <c r="L591" t="n">
        <v>0</v>
      </c>
      <c r="M591" t="n">
        <v>0</v>
      </c>
      <c r="N591" t="n">
        <v>0</v>
      </c>
      <c r="O591" t="n">
        <v>0</v>
      </c>
      <c r="P591" t="n">
        <v>0</v>
      </c>
      <c r="Q591" t="n">
        <v>0</v>
      </c>
      <c r="R591" s="2" t="inlineStr"/>
    </row>
    <row r="592" ht="15" customHeight="1">
      <c r="A592" t="inlineStr">
        <is>
          <t>A 44199-2024</t>
        </is>
      </c>
      <c r="B592" s="1" t="n">
        <v>45573</v>
      </c>
      <c r="C592" s="1" t="n">
        <v>45996</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4380-2025</t>
        </is>
      </c>
      <c r="B593" s="1" t="n">
        <v>45686.3959375</v>
      </c>
      <c r="C593" s="1" t="n">
        <v>45996</v>
      </c>
      <c r="D593" t="inlineStr">
        <is>
          <t>ÖREBRO LÄN</t>
        </is>
      </c>
      <c r="E593" t="inlineStr">
        <is>
          <t>ÖREBRO</t>
        </is>
      </c>
      <c r="G593" t="n">
        <v>3.2</v>
      </c>
      <c r="H593" t="n">
        <v>0</v>
      </c>
      <c r="I593" t="n">
        <v>0</v>
      </c>
      <c r="J593" t="n">
        <v>0</v>
      </c>
      <c r="K593" t="n">
        <v>0</v>
      </c>
      <c r="L593" t="n">
        <v>0</v>
      </c>
      <c r="M593" t="n">
        <v>0</v>
      </c>
      <c r="N593" t="n">
        <v>0</v>
      </c>
      <c r="O593" t="n">
        <v>0</v>
      </c>
      <c r="P593" t="n">
        <v>0</v>
      </c>
      <c r="Q593" t="n">
        <v>0</v>
      </c>
      <c r="R593" s="2" t="inlineStr"/>
    </row>
    <row r="594" ht="15" customHeight="1">
      <c r="A594" t="inlineStr">
        <is>
          <t>A 21983-2021</t>
        </is>
      </c>
      <c r="B594" s="1" t="n">
        <v>44323</v>
      </c>
      <c r="C594" s="1" t="n">
        <v>45996</v>
      </c>
      <c r="D594" t="inlineStr">
        <is>
          <t>ÖREBRO LÄN</t>
        </is>
      </c>
      <c r="E594" t="inlineStr">
        <is>
          <t>ÖREBRO</t>
        </is>
      </c>
      <c r="F594" t="inlineStr">
        <is>
          <t>Övriga Aktiebolag</t>
        </is>
      </c>
      <c r="G594" t="n">
        <v>0.7</v>
      </c>
      <c r="H594" t="n">
        <v>0</v>
      </c>
      <c r="I594" t="n">
        <v>0</v>
      </c>
      <c r="J594" t="n">
        <v>0</v>
      </c>
      <c r="K594" t="n">
        <v>0</v>
      </c>
      <c r="L594" t="n">
        <v>0</v>
      </c>
      <c r="M594" t="n">
        <v>0</v>
      </c>
      <c r="N594" t="n">
        <v>0</v>
      </c>
      <c r="O594" t="n">
        <v>0</v>
      </c>
      <c r="P594" t="n">
        <v>0</v>
      </c>
      <c r="Q594" t="n">
        <v>0</v>
      </c>
      <c r="R594" s="2" t="inlineStr"/>
    </row>
    <row r="595" ht="15" customHeight="1">
      <c r="A595" t="inlineStr">
        <is>
          <t>A 62497-2023</t>
        </is>
      </c>
      <c r="B595" s="1" t="n">
        <v>45268.59935185185</v>
      </c>
      <c r="C595" s="1" t="n">
        <v>45996</v>
      </c>
      <c r="D595" t="inlineStr">
        <is>
          <t>ÖREBRO LÄN</t>
        </is>
      </c>
      <c r="E595" t="inlineStr">
        <is>
          <t>ÖREBRO</t>
        </is>
      </c>
      <c r="F595" t="inlineStr">
        <is>
          <t>Övriga Aktiebolag</t>
        </is>
      </c>
      <c r="G595" t="n">
        <v>3.2</v>
      </c>
      <c r="H595" t="n">
        <v>0</v>
      </c>
      <c r="I595" t="n">
        <v>0</v>
      </c>
      <c r="J595" t="n">
        <v>0</v>
      </c>
      <c r="K595" t="n">
        <v>0</v>
      </c>
      <c r="L595" t="n">
        <v>0</v>
      </c>
      <c r="M595" t="n">
        <v>0</v>
      </c>
      <c r="N595" t="n">
        <v>0</v>
      </c>
      <c r="O595" t="n">
        <v>0</v>
      </c>
      <c r="P595" t="n">
        <v>0</v>
      </c>
      <c r="Q595" t="n">
        <v>0</v>
      </c>
      <c r="R595" s="2" t="inlineStr"/>
    </row>
    <row r="596" ht="15" customHeight="1">
      <c r="A596" t="inlineStr">
        <is>
          <t>A 33294-2023</t>
        </is>
      </c>
      <c r="B596" s="1" t="n">
        <v>45127</v>
      </c>
      <c r="C596" s="1" t="n">
        <v>45996</v>
      </c>
      <c r="D596" t="inlineStr">
        <is>
          <t>ÖREBRO LÄN</t>
        </is>
      </c>
      <c r="E596" t="inlineStr">
        <is>
          <t>ÖREBRO</t>
        </is>
      </c>
      <c r="F596" t="inlineStr">
        <is>
          <t>Övriga Aktiebolag</t>
        </is>
      </c>
      <c r="G596" t="n">
        <v>6.7</v>
      </c>
      <c r="H596" t="n">
        <v>0</v>
      </c>
      <c r="I596" t="n">
        <v>0</v>
      </c>
      <c r="J596" t="n">
        <v>0</v>
      </c>
      <c r="K596" t="n">
        <v>0</v>
      </c>
      <c r="L596" t="n">
        <v>0</v>
      </c>
      <c r="M596" t="n">
        <v>0</v>
      </c>
      <c r="N596" t="n">
        <v>0</v>
      </c>
      <c r="O596" t="n">
        <v>0</v>
      </c>
      <c r="P596" t="n">
        <v>0</v>
      </c>
      <c r="Q596" t="n">
        <v>0</v>
      </c>
      <c r="R596" s="2" t="inlineStr"/>
    </row>
    <row r="597" ht="15" customHeight="1">
      <c r="A597" t="inlineStr">
        <is>
          <t>A 26443-2024</t>
        </is>
      </c>
      <c r="B597" s="1" t="n">
        <v>45469.49901620371</v>
      </c>
      <c r="C597" s="1" t="n">
        <v>45996</v>
      </c>
      <c r="D597" t="inlineStr">
        <is>
          <t>ÖREBRO LÄN</t>
        </is>
      </c>
      <c r="E597" t="inlineStr">
        <is>
          <t>ÖREBRO</t>
        </is>
      </c>
      <c r="G597" t="n">
        <v>5.7</v>
      </c>
      <c r="H597" t="n">
        <v>0</v>
      </c>
      <c r="I597" t="n">
        <v>0</v>
      </c>
      <c r="J597" t="n">
        <v>0</v>
      </c>
      <c r="K597" t="n">
        <v>0</v>
      </c>
      <c r="L597" t="n">
        <v>0</v>
      </c>
      <c r="M597" t="n">
        <v>0</v>
      </c>
      <c r="N597" t="n">
        <v>0</v>
      </c>
      <c r="O597" t="n">
        <v>0</v>
      </c>
      <c r="P597" t="n">
        <v>0</v>
      </c>
      <c r="Q597" t="n">
        <v>0</v>
      </c>
      <c r="R597" s="2" t="inlineStr"/>
    </row>
    <row r="598" ht="15" customHeight="1">
      <c r="A598" t="inlineStr">
        <is>
          <t>A 5136-2024</t>
        </is>
      </c>
      <c r="B598" s="1" t="n">
        <v>45330</v>
      </c>
      <c r="C598" s="1" t="n">
        <v>45996</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ht="15" customHeight="1">
      <c r="A599" t="inlineStr">
        <is>
          <t>A 35477-2024</t>
        </is>
      </c>
      <c r="B599" s="1" t="n">
        <v>45531</v>
      </c>
      <c r="C599" s="1" t="n">
        <v>45996</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46052-2024</t>
        </is>
      </c>
      <c r="B600" s="1" t="n">
        <v>45580.89116898148</v>
      </c>
      <c r="C600" s="1" t="n">
        <v>45996</v>
      </c>
      <c r="D600" t="inlineStr">
        <is>
          <t>ÖREBRO LÄN</t>
        </is>
      </c>
      <c r="E600" t="inlineStr">
        <is>
          <t>ÖREBRO</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54149-2024</t>
        </is>
      </c>
      <c r="B601" s="1" t="n">
        <v>45616</v>
      </c>
      <c r="C601" s="1" t="n">
        <v>45996</v>
      </c>
      <c r="D601" t="inlineStr">
        <is>
          <t>ÖREBRO LÄN</t>
        </is>
      </c>
      <c r="E601" t="inlineStr">
        <is>
          <t>ÖREBRO</t>
        </is>
      </c>
      <c r="G601" t="n">
        <v>2.7</v>
      </c>
      <c r="H601" t="n">
        <v>0</v>
      </c>
      <c r="I601" t="n">
        <v>0</v>
      </c>
      <c r="J601" t="n">
        <v>0</v>
      </c>
      <c r="K601" t="n">
        <v>0</v>
      </c>
      <c r="L601" t="n">
        <v>0</v>
      </c>
      <c r="M601" t="n">
        <v>0</v>
      </c>
      <c r="N601" t="n">
        <v>0</v>
      </c>
      <c r="O601" t="n">
        <v>0</v>
      </c>
      <c r="P601" t="n">
        <v>0</v>
      </c>
      <c r="Q601" t="n">
        <v>0</v>
      </c>
      <c r="R601" s="2" t="inlineStr"/>
    </row>
    <row r="602" ht="15" customHeight="1">
      <c r="A602" t="inlineStr">
        <is>
          <t>A 55748-2025</t>
        </is>
      </c>
      <c r="B602" s="1" t="n">
        <v>45972.57893518519</v>
      </c>
      <c r="C602" s="1" t="n">
        <v>45996</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55888-2025</t>
        </is>
      </c>
      <c r="B603" s="1" t="n">
        <v>45973.37163194444</v>
      </c>
      <c r="C603" s="1" t="n">
        <v>45996</v>
      </c>
      <c r="D603" t="inlineStr">
        <is>
          <t>ÖREBRO LÄN</t>
        </is>
      </c>
      <c r="E603" t="inlineStr">
        <is>
          <t>ÖREBRO</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55879-2025</t>
        </is>
      </c>
      <c r="B604" s="1" t="n">
        <v>45973.36508101852</v>
      </c>
      <c r="C604" s="1" t="n">
        <v>45996</v>
      </c>
      <c r="D604" t="inlineStr">
        <is>
          <t>ÖREBRO LÄN</t>
        </is>
      </c>
      <c r="E604" t="inlineStr">
        <is>
          <t>ÖREBRO</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55750-2025</t>
        </is>
      </c>
      <c r="B605" s="1" t="n">
        <v>45972.58171296296</v>
      </c>
      <c r="C605" s="1" t="n">
        <v>45996</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11663-2024</t>
        </is>
      </c>
      <c r="B606" s="1" t="n">
        <v>45373</v>
      </c>
      <c r="C606" s="1" t="n">
        <v>45996</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48454-2025</t>
        </is>
      </c>
      <c r="B607" s="1" t="n">
        <v>45935.80164351852</v>
      </c>
      <c r="C607" s="1" t="n">
        <v>45996</v>
      </c>
      <c r="D607" t="inlineStr">
        <is>
          <t>ÖREBRO LÄN</t>
        </is>
      </c>
      <c r="E607" t="inlineStr">
        <is>
          <t>ÖREBRO</t>
        </is>
      </c>
      <c r="F607" t="inlineStr">
        <is>
          <t>Övriga Aktiebolag</t>
        </is>
      </c>
      <c r="G607" t="n">
        <v>18.1</v>
      </c>
      <c r="H607" t="n">
        <v>0</v>
      </c>
      <c r="I607" t="n">
        <v>0</v>
      </c>
      <c r="J607" t="n">
        <v>0</v>
      </c>
      <c r="K607" t="n">
        <v>0</v>
      </c>
      <c r="L607" t="n">
        <v>0</v>
      </c>
      <c r="M607" t="n">
        <v>0</v>
      </c>
      <c r="N607" t="n">
        <v>0</v>
      </c>
      <c r="O607" t="n">
        <v>0</v>
      </c>
      <c r="P607" t="n">
        <v>0</v>
      </c>
      <c r="Q607" t="n">
        <v>0</v>
      </c>
      <c r="R607" s="2" t="inlineStr"/>
    </row>
    <row r="608" ht="15" customHeight="1">
      <c r="A608" t="inlineStr">
        <is>
          <t>A 57537-2025</t>
        </is>
      </c>
      <c r="B608" s="1" t="n">
        <v>45980.6446875</v>
      </c>
      <c r="C608" s="1" t="n">
        <v>45996</v>
      </c>
      <c r="D608" t="inlineStr">
        <is>
          <t>ÖREBRO LÄN</t>
        </is>
      </c>
      <c r="E608" t="inlineStr">
        <is>
          <t>ÖREBRO</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58230-2025</t>
        </is>
      </c>
      <c r="B609" s="1" t="n">
        <v>45985.38037037037</v>
      </c>
      <c r="C609" s="1" t="n">
        <v>45996</v>
      </c>
      <c r="D609" t="inlineStr">
        <is>
          <t>ÖREBRO LÄN</t>
        </is>
      </c>
      <c r="E609" t="inlineStr">
        <is>
          <t>ÖREBRO</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58835-2025</t>
        </is>
      </c>
      <c r="B610" s="1" t="n">
        <v>45987.35519675926</v>
      </c>
      <c r="C610" s="1" t="n">
        <v>45996</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50311-2025</t>
        </is>
      </c>
      <c r="B611" s="1" t="n">
        <v>45944</v>
      </c>
      <c r="C611" s="1" t="n">
        <v>45996</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58838-2025</t>
        </is>
      </c>
      <c r="B612" s="1" t="n">
        <v>45987.35973379629</v>
      </c>
      <c r="C612" s="1" t="n">
        <v>45996</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58587-2025</t>
        </is>
      </c>
      <c r="B613" s="1" t="n">
        <v>45986.40208333333</v>
      </c>
      <c r="C613" s="1" t="n">
        <v>45996</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59145-2025</t>
        </is>
      </c>
      <c r="B614" s="1" t="n">
        <v>45988.52015046297</v>
      </c>
      <c r="C614" s="1" t="n">
        <v>45996</v>
      </c>
      <c r="D614" t="inlineStr">
        <is>
          <t>ÖREBRO LÄN</t>
        </is>
      </c>
      <c r="E614" t="inlineStr">
        <is>
          <t>ÖREBRO</t>
        </is>
      </c>
      <c r="G614" t="n">
        <v>0.8</v>
      </c>
      <c r="H614" t="n">
        <v>0</v>
      </c>
      <c r="I614" t="n">
        <v>0</v>
      </c>
      <c r="J614" t="n">
        <v>0</v>
      </c>
      <c r="K614" t="n">
        <v>0</v>
      </c>
      <c r="L614" t="n">
        <v>0</v>
      </c>
      <c r="M614" t="n">
        <v>0</v>
      </c>
      <c r="N614" t="n">
        <v>0</v>
      </c>
      <c r="O614" t="n">
        <v>0</v>
      </c>
      <c r="P614" t="n">
        <v>0</v>
      </c>
      <c r="Q614" t="n">
        <v>0</v>
      </c>
      <c r="R614" s="2" t="inlineStr"/>
    </row>
    <row r="615" ht="15" customHeight="1">
      <c r="A615" t="inlineStr">
        <is>
          <t>A 59515-2025</t>
        </is>
      </c>
      <c r="B615" s="1" t="n">
        <v>45989.65238425926</v>
      </c>
      <c r="C615" s="1" t="n">
        <v>45996</v>
      </c>
      <c r="D615" t="inlineStr">
        <is>
          <t>ÖREBRO LÄN</t>
        </is>
      </c>
      <c r="E615" t="inlineStr">
        <is>
          <t>ÖREBRO</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59312-2025</t>
        </is>
      </c>
      <c r="B616" s="1" t="n">
        <v>45989.30467592592</v>
      </c>
      <c r="C616" s="1" t="n">
        <v>45996</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59313-2025</t>
        </is>
      </c>
      <c r="B617" s="1" t="n">
        <v>45989.30920138889</v>
      </c>
      <c r="C617" s="1" t="n">
        <v>45996</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51248-2025</t>
        </is>
      </c>
      <c r="B618" s="1" t="n">
        <v>45948.450625</v>
      </c>
      <c r="C618" s="1" t="n">
        <v>45996</v>
      </c>
      <c r="D618" t="inlineStr">
        <is>
          <t>ÖREBRO LÄN</t>
        </is>
      </c>
      <c r="E618" t="inlineStr">
        <is>
          <t>ÖREBRO</t>
        </is>
      </c>
      <c r="G618" t="n">
        <v>4.4</v>
      </c>
      <c r="H618" t="n">
        <v>0</v>
      </c>
      <c r="I618" t="n">
        <v>0</v>
      </c>
      <c r="J618" t="n">
        <v>0</v>
      </c>
      <c r="K618" t="n">
        <v>0</v>
      </c>
      <c r="L618" t="n">
        <v>0</v>
      </c>
      <c r="M618" t="n">
        <v>0</v>
      </c>
      <c r="N618" t="n">
        <v>0</v>
      </c>
      <c r="O618" t="n">
        <v>0</v>
      </c>
      <c r="P618" t="n">
        <v>0</v>
      </c>
      <c r="Q618" t="n">
        <v>0</v>
      </c>
      <c r="R618" s="2" t="inlineStr"/>
    </row>
    <row r="619" ht="15" customHeight="1">
      <c r="A619" t="inlineStr">
        <is>
          <t>A 59857-2025</t>
        </is>
      </c>
      <c r="B619" s="1" t="n">
        <v>45992.75820601852</v>
      </c>
      <c r="C619" s="1" t="n">
        <v>45996</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51249-2025</t>
        </is>
      </c>
      <c r="B620" s="1" t="n">
        <v>45948.45704861111</v>
      </c>
      <c r="C620" s="1" t="n">
        <v>45996</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59856-2025</t>
        </is>
      </c>
      <c r="B621" s="1" t="n">
        <v>45992.74891203704</v>
      </c>
      <c r="C621" s="1" t="n">
        <v>45996</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59937-2025</t>
        </is>
      </c>
      <c r="B622" s="1" t="n">
        <v>45993.41934027777</v>
      </c>
      <c r="C622" s="1" t="n">
        <v>45996</v>
      </c>
      <c r="D622" t="inlineStr">
        <is>
          <t>ÖREBRO LÄN</t>
        </is>
      </c>
      <c r="E622" t="inlineStr">
        <is>
          <t>ÖREBRO</t>
        </is>
      </c>
      <c r="G622" t="n">
        <v>1.3</v>
      </c>
      <c r="H622" t="n">
        <v>0</v>
      </c>
      <c r="I622" t="n">
        <v>0</v>
      </c>
      <c r="J622" t="n">
        <v>0</v>
      </c>
      <c r="K622" t="n">
        <v>0</v>
      </c>
      <c r="L622" t="n">
        <v>0</v>
      </c>
      <c r="M622" t="n">
        <v>0</v>
      </c>
      <c r="N622" t="n">
        <v>0</v>
      </c>
      <c r="O622" t="n">
        <v>0</v>
      </c>
      <c r="P622" t="n">
        <v>0</v>
      </c>
      <c r="Q622" t="n">
        <v>0</v>
      </c>
      <c r="R622" s="2" t="inlineStr"/>
    </row>
    <row r="623" ht="15" customHeight="1">
      <c r="A623" t="inlineStr">
        <is>
          <t>A 59938-2025</t>
        </is>
      </c>
      <c r="B623" s="1" t="n">
        <v>45993.42108796296</v>
      </c>
      <c r="C623" s="1" t="n">
        <v>45996</v>
      </c>
      <c r="D623" t="inlineStr">
        <is>
          <t>ÖREBRO LÄN</t>
        </is>
      </c>
      <c r="E623" t="inlineStr">
        <is>
          <t>ÖREBRO</t>
        </is>
      </c>
      <c r="G623" t="n">
        <v>1.5</v>
      </c>
      <c r="H623" t="n">
        <v>0</v>
      </c>
      <c r="I623" t="n">
        <v>0</v>
      </c>
      <c r="J623" t="n">
        <v>0</v>
      </c>
      <c r="K623" t="n">
        <v>0</v>
      </c>
      <c r="L623" t="n">
        <v>0</v>
      </c>
      <c r="M623" t="n">
        <v>0</v>
      </c>
      <c r="N623" t="n">
        <v>0</v>
      </c>
      <c r="O623" t="n">
        <v>0</v>
      </c>
      <c r="P623" t="n">
        <v>0</v>
      </c>
      <c r="Q623" t="n">
        <v>0</v>
      </c>
      <c r="R623" s="2" t="inlineStr"/>
    </row>
    <row r="624" ht="15" customHeight="1">
      <c r="A624" t="inlineStr">
        <is>
          <t>A 59858-2025</t>
        </is>
      </c>
      <c r="B624" s="1" t="n">
        <v>45992.76758101852</v>
      </c>
      <c r="C624" s="1" t="n">
        <v>45996</v>
      </c>
      <c r="D624" t="inlineStr">
        <is>
          <t>ÖREBRO LÄN</t>
        </is>
      </c>
      <c r="E624" t="inlineStr">
        <is>
          <t>ÖREBRO</t>
        </is>
      </c>
      <c r="G624" t="n">
        <v>1.8</v>
      </c>
      <c r="H624" t="n">
        <v>0</v>
      </c>
      <c r="I624" t="n">
        <v>0</v>
      </c>
      <c r="J624" t="n">
        <v>0</v>
      </c>
      <c r="K624" t="n">
        <v>0</v>
      </c>
      <c r="L624" t="n">
        <v>0</v>
      </c>
      <c r="M624" t="n">
        <v>0</v>
      </c>
      <c r="N624" t="n">
        <v>0</v>
      </c>
      <c r="O624" t="n">
        <v>0</v>
      </c>
      <c r="P624" t="n">
        <v>0</v>
      </c>
      <c r="Q624" t="n">
        <v>0</v>
      </c>
      <c r="R624" s="2" t="inlineStr"/>
    </row>
    <row r="625" ht="15" customHeight="1">
      <c r="A625" t="inlineStr">
        <is>
          <t>A 59859-2025</t>
        </is>
      </c>
      <c r="B625" s="1" t="n">
        <v>45992.7803125</v>
      </c>
      <c r="C625" s="1" t="n">
        <v>45996</v>
      </c>
      <c r="D625" t="inlineStr">
        <is>
          <t>ÖREBRO LÄN</t>
        </is>
      </c>
      <c r="E625" t="inlineStr">
        <is>
          <t>ÖREBRO</t>
        </is>
      </c>
      <c r="G625" t="n">
        <v>0.4</v>
      </c>
      <c r="H625" t="n">
        <v>0</v>
      </c>
      <c r="I625" t="n">
        <v>0</v>
      </c>
      <c r="J625" t="n">
        <v>0</v>
      </c>
      <c r="K625" t="n">
        <v>0</v>
      </c>
      <c r="L625" t="n">
        <v>0</v>
      </c>
      <c r="M625" t="n">
        <v>0</v>
      </c>
      <c r="N625" t="n">
        <v>0</v>
      </c>
      <c r="O625" t="n">
        <v>0</v>
      </c>
      <c r="P625" t="n">
        <v>0</v>
      </c>
      <c r="Q625" t="n">
        <v>0</v>
      </c>
      <c r="R625" s="2" t="inlineStr"/>
    </row>
    <row r="626" ht="15" customHeight="1">
      <c r="A626" t="inlineStr">
        <is>
          <t>A 59860-2025</t>
        </is>
      </c>
      <c r="B626" s="1" t="n">
        <v>45992.78351851852</v>
      </c>
      <c r="C626" s="1" t="n">
        <v>45996</v>
      </c>
      <c r="D626" t="inlineStr">
        <is>
          <t>ÖREBRO LÄN</t>
        </is>
      </c>
      <c r="E626" t="inlineStr">
        <is>
          <t>ÖREBRO</t>
        </is>
      </c>
      <c r="G626" t="n">
        <v>0.8</v>
      </c>
      <c r="H626" t="n">
        <v>0</v>
      </c>
      <c r="I626" t="n">
        <v>0</v>
      </c>
      <c r="J626" t="n">
        <v>0</v>
      </c>
      <c r="K626" t="n">
        <v>0</v>
      </c>
      <c r="L626" t="n">
        <v>0</v>
      </c>
      <c r="M626" t="n">
        <v>0</v>
      </c>
      <c r="N626" t="n">
        <v>0</v>
      </c>
      <c r="O626" t="n">
        <v>0</v>
      </c>
      <c r="P626" t="n">
        <v>0</v>
      </c>
      <c r="Q626" t="n">
        <v>0</v>
      </c>
      <c r="R626" s="2" t="inlineStr"/>
    </row>
    <row r="627" ht="15" customHeight="1">
      <c r="A627" t="inlineStr">
        <is>
          <t>A 52135-2025</t>
        </is>
      </c>
      <c r="B627" s="1" t="n">
        <v>45952.84231481481</v>
      </c>
      <c r="C627" s="1" t="n">
        <v>45996</v>
      </c>
      <c r="D627" t="inlineStr">
        <is>
          <t>ÖREBRO LÄN</t>
        </is>
      </c>
      <c r="E627" t="inlineStr">
        <is>
          <t>ÖREBRO</t>
        </is>
      </c>
      <c r="G627" t="n">
        <v>4</v>
      </c>
      <c r="H627" t="n">
        <v>0</v>
      </c>
      <c r="I627" t="n">
        <v>0</v>
      </c>
      <c r="J627" t="n">
        <v>0</v>
      </c>
      <c r="K627" t="n">
        <v>0</v>
      </c>
      <c r="L627" t="n">
        <v>0</v>
      </c>
      <c r="M627" t="n">
        <v>0</v>
      </c>
      <c r="N627" t="n">
        <v>0</v>
      </c>
      <c r="O627" t="n">
        <v>0</v>
      </c>
      <c r="P627" t="n">
        <v>0</v>
      </c>
      <c r="Q627" t="n">
        <v>0</v>
      </c>
      <c r="R627" s="2" t="inlineStr"/>
    </row>
    <row r="628" ht="15" customHeight="1">
      <c r="A628" t="inlineStr">
        <is>
          <t>A 60466-2025</t>
        </is>
      </c>
      <c r="B628" s="1" t="n">
        <v>45995.55927083334</v>
      </c>
      <c r="C628" s="1" t="n">
        <v>45996</v>
      </c>
      <c r="D628" t="inlineStr">
        <is>
          <t>ÖREBRO LÄN</t>
        </is>
      </c>
      <c r="E628" t="inlineStr">
        <is>
          <t>ÖREBRO</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51925-2025</t>
        </is>
      </c>
      <c r="B629" s="1" t="n">
        <v>45952.49476851852</v>
      </c>
      <c r="C629" s="1" t="n">
        <v>45996</v>
      </c>
      <c r="D629" t="inlineStr">
        <is>
          <t>ÖREBRO LÄN</t>
        </is>
      </c>
      <c r="E629" t="inlineStr">
        <is>
          <t>ÖREBRO</t>
        </is>
      </c>
      <c r="G629" t="n">
        <v>0.9</v>
      </c>
      <c r="H629" t="n">
        <v>0</v>
      </c>
      <c r="I629" t="n">
        <v>0</v>
      </c>
      <c r="J629" t="n">
        <v>0</v>
      </c>
      <c r="K629" t="n">
        <v>0</v>
      </c>
      <c r="L629" t="n">
        <v>0</v>
      </c>
      <c r="M629" t="n">
        <v>0</v>
      </c>
      <c r="N629" t="n">
        <v>0</v>
      </c>
      <c r="O629" t="n">
        <v>0</v>
      </c>
      <c r="P629" t="n">
        <v>0</v>
      </c>
      <c r="Q629" t="n">
        <v>0</v>
      </c>
      <c r="R629" s="2" t="inlineStr"/>
    </row>
    <row r="630" ht="15" customHeight="1">
      <c r="A630" t="inlineStr">
        <is>
          <t>A 51923-2025</t>
        </is>
      </c>
      <c r="B630" s="1" t="n">
        <v>45952.49300925926</v>
      </c>
      <c r="C630" s="1" t="n">
        <v>45996</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51937-2025</t>
        </is>
      </c>
      <c r="B631" s="1" t="n">
        <v>45952.51270833334</v>
      </c>
      <c r="C631" s="1" t="n">
        <v>45996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60555-2025</t>
        </is>
      </c>
      <c r="B632" s="1" t="n">
        <v>45995.73722222223</v>
      </c>
      <c r="C632" s="1" t="n">
        <v>45996</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60551-2025</t>
        </is>
      </c>
      <c r="B633" s="1" t="n">
        <v>45995.71819444445</v>
      </c>
      <c r="C633" s="1" t="n">
        <v>45996</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c r="A634" t="inlineStr">
        <is>
          <t>A 60553-2025</t>
        </is>
      </c>
      <c r="B634" s="1" t="n">
        <v>45995.72620370371</v>
      </c>
      <c r="C634" s="1" t="n">
        <v>45996</v>
      </c>
      <c r="D634" t="inlineStr">
        <is>
          <t>ÖREBRO LÄN</t>
        </is>
      </c>
      <c r="E634" t="inlineStr">
        <is>
          <t>ÖREBRO</t>
        </is>
      </c>
      <c r="G634" t="n">
        <v>3.3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2025-12-05T10:34:46Z</dcterms:created>
  <dcterms:modified xmlns:dcterms="http://purl.org/dc/terms/" xmlns:xsi="http://www.w3.org/2001/XMLSchema-instance" xsi:type="dcterms:W3CDTF">2025-12-05T10:34:46Z</dcterms:modified>
</cp:coreProperties>
</file>