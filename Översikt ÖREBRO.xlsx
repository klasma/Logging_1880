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46072</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46072</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46072</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46072</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46072</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46072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46072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46072</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46072</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46072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46072</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46072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46072</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46072</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17074-2024</t>
        </is>
      </c>
      <c r="B23" s="1" t="n">
        <v>45412</v>
      </c>
      <c r="C23" s="1" t="n">
        <v>46072</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13627-2025</t>
        </is>
      </c>
      <c r="B24" s="1" t="n">
        <v>45736</v>
      </c>
      <c r="C24" s="1" t="n">
        <v>46072</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58837-2025</t>
        </is>
      </c>
      <c r="B25" s="1" t="n">
        <v>45987.35875</v>
      </c>
      <c r="C25" s="1" t="n">
        <v>46072</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35098-2025</t>
        </is>
      </c>
      <c r="B26" s="1" t="n">
        <v>45852.5469212963</v>
      </c>
      <c r="C26" s="1" t="n">
        <v>46072</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59519-2025</t>
        </is>
      </c>
      <c r="B27" s="1" t="n">
        <v>45989</v>
      </c>
      <c r="C27" s="1" t="n">
        <v>46072</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59517-2025</t>
        </is>
      </c>
      <c r="B28" s="1" t="n">
        <v>45989.65462962963</v>
      </c>
      <c r="C28" s="1" t="n">
        <v>46072</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50096-2023</t>
        </is>
      </c>
      <c r="B29" s="1" t="n">
        <v>45215</v>
      </c>
      <c r="C29" s="1" t="n">
        <v>46072</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46072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46072</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46072</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51550-2025</t>
        </is>
      </c>
      <c r="B35" s="1" t="n">
        <v>45950.83359953704</v>
      </c>
      <c r="C35" s="1" t="n">
        <v>46072</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14956-2025</t>
        </is>
      </c>
      <c r="B36" s="1" t="n">
        <v>45743.58409722222</v>
      </c>
      <c r="C36" s="1" t="n">
        <v>46072</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60557-2025</t>
        </is>
      </c>
      <c r="B37" s="1" t="n">
        <v>45995.74444444444</v>
      </c>
      <c r="C37" s="1" t="n">
        <v>46072</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52400-2024</t>
        </is>
      </c>
      <c r="B38" s="1" t="n">
        <v>45609.44461805555</v>
      </c>
      <c r="C38" s="1" t="n">
        <v>46072</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2998-2026</t>
        </is>
      </c>
      <c r="B39" s="1" t="n">
        <v>46038.64835648148</v>
      </c>
      <c r="C39" s="1" t="n">
        <v>46072</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37019-2024</t>
        </is>
      </c>
      <c r="B40" s="1" t="n">
        <v>45539.37905092593</v>
      </c>
      <c r="C40" s="1" t="n">
        <v>46072</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63196-2025</t>
        </is>
      </c>
      <c r="B41" s="1" t="n">
        <v>46010.45872685185</v>
      </c>
      <c r="C41" s="1" t="n">
        <v>46072</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46072</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46072</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46072</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46072</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46072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46072</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42636-2023</t>
        </is>
      </c>
      <c r="B48" s="1" t="n">
        <v>45181.49559027778</v>
      </c>
      <c r="C48" s="1" t="n">
        <v>46072</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46072</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23998-2025</t>
        </is>
      </c>
      <c r="B50" s="1" t="n">
        <v>45796.42209490741</v>
      </c>
      <c r="C50" s="1" t="n">
        <v>46072</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15621-2021</t>
        </is>
      </c>
      <c r="B51" s="1" t="n">
        <v>44285</v>
      </c>
      <c r="C51" s="1" t="n">
        <v>46072</v>
      </c>
      <c r="D51" t="inlineStr">
        <is>
          <t>ÖREBRO LÄN</t>
        </is>
      </c>
      <c r="E51" t="inlineStr">
        <is>
          <t>ÖREBRO</t>
        </is>
      </c>
      <c r="G51" t="n">
        <v>2.8</v>
      </c>
      <c r="H51" t="n">
        <v>1</v>
      </c>
      <c r="I51" t="n">
        <v>0</v>
      </c>
      <c r="J51" t="n">
        <v>0</v>
      </c>
      <c r="K51" t="n">
        <v>0</v>
      </c>
      <c r="L51" t="n">
        <v>0</v>
      </c>
      <c r="M51" t="n">
        <v>0</v>
      </c>
      <c r="N51" t="n">
        <v>0</v>
      </c>
      <c r="O51" t="n">
        <v>0</v>
      </c>
      <c r="P51" t="n">
        <v>0</v>
      </c>
      <c r="Q51" t="n">
        <v>1</v>
      </c>
      <c r="R51" s="2" t="inlineStr">
        <is>
          <t>Fläcknycklar</t>
        </is>
      </c>
      <c r="S51">
        <f>HYPERLINK("https://klasma.github.io/Logging_1880/artfynd/A 15621-2021 artfynd.xlsx", "A 15621-2021")</f>
        <v/>
      </c>
      <c r="T51">
        <f>HYPERLINK("https://klasma.github.io/Logging_1880/kartor/A 15621-2021 karta.png", "A 15621-2021")</f>
        <v/>
      </c>
      <c r="V51">
        <f>HYPERLINK("https://klasma.github.io/Logging_1880/klagomål/A 15621-2021 FSC-klagomål.docx", "A 15621-2021")</f>
        <v/>
      </c>
      <c r="W51">
        <f>HYPERLINK("https://klasma.github.io/Logging_1880/klagomålsmail/A 15621-2021 FSC-klagomål mail.docx", "A 15621-2021")</f>
        <v/>
      </c>
      <c r="X51">
        <f>HYPERLINK("https://klasma.github.io/Logging_1880/tillsyn/A 15621-2021 tillsynsbegäran.docx", "A 15621-2021")</f>
        <v/>
      </c>
      <c r="Y51">
        <f>HYPERLINK("https://klasma.github.io/Logging_1880/tillsynsmail/A 15621-2021 tillsynsbegäran mail.docx", "A 15621-2021")</f>
        <v/>
      </c>
    </row>
    <row r="52" ht="15" customHeight="1">
      <c r="A52" t="inlineStr">
        <is>
          <t>A 44744-2024</t>
        </is>
      </c>
      <c r="B52" s="1" t="n">
        <v>45574.59789351852</v>
      </c>
      <c r="C52" s="1" t="n">
        <v>46072</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28936-2025</t>
        </is>
      </c>
      <c r="B53" s="1" t="n">
        <v>45820.69287037037</v>
      </c>
      <c r="C53" s="1" t="n">
        <v>46072</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32204-2025</t>
        </is>
      </c>
      <c r="B54" s="1" t="n">
        <v>45835.58074074074</v>
      </c>
      <c r="C54" s="1" t="n">
        <v>46072</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32226-2025</t>
        </is>
      </c>
      <c r="B55" s="1" t="n">
        <v>45835.59478009259</v>
      </c>
      <c r="C55" s="1" t="n">
        <v>46072</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58838-2025</t>
        </is>
      </c>
      <c r="B56" s="1" t="n">
        <v>45987.35973379629</v>
      </c>
      <c r="C56" s="1" t="n">
        <v>46072</v>
      </c>
      <c r="D56" t="inlineStr">
        <is>
          <t>ÖREBRO LÄN</t>
        </is>
      </c>
      <c r="E56" t="inlineStr">
        <is>
          <t>ÖREBRO</t>
        </is>
      </c>
      <c r="G56" t="n">
        <v>1.7</v>
      </c>
      <c r="H56" t="n">
        <v>0</v>
      </c>
      <c r="I56" t="n">
        <v>1</v>
      </c>
      <c r="J56" t="n">
        <v>0</v>
      </c>
      <c r="K56" t="n">
        <v>0</v>
      </c>
      <c r="L56" t="n">
        <v>0</v>
      </c>
      <c r="M56" t="n">
        <v>0</v>
      </c>
      <c r="N56" t="n">
        <v>0</v>
      </c>
      <c r="O56" t="n">
        <v>0</v>
      </c>
      <c r="P56" t="n">
        <v>0</v>
      </c>
      <c r="Q56" t="n">
        <v>1</v>
      </c>
      <c r="R56" s="2" t="inlineStr">
        <is>
          <t>Grönpyrola</t>
        </is>
      </c>
      <c r="S56">
        <f>HYPERLINK("https://klasma.github.io/Logging_1880/artfynd/A 58838-2025 artfynd.xlsx", "A 58838-2025")</f>
        <v/>
      </c>
      <c r="T56">
        <f>HYPERLINK("https://klasma.github.io/Logging_1880/kartor/A 58838-2025 karta.png", "A 58838-2025")</f>
        <v/>
      </c>
      <c r="V56">
        <f>HYPERLINK("https://klasma.github.io/Logging_1880/klagomål/A 58838-2025 FSC-klagomål.docx", "A 58838-2025")</f>
        <v/>
      </c>
      <c r="W56">
        <f>HYPERLINK("https://klasma.github.io/Logging_1880/klagomålsmail/A 58838-2025 FSC-klagomål mail.docx", "A 58838-2025")</f>
        <v/>
      </c>
      <c r="X56">
        <f>HYPERLINK("https://klasma.github.io/Logging_1880/tillsyn/A 58838-2025 tillsynsbegäran.docx", "A 58838-2025")</f>
        <v/>
      </c>
      <c r="Y56">
        <f>HYPERLINK("https://klasma.github.io/Logging_1880/tillsynsmail/A 58838-2025 tillsynsbegäran mail.docx", "A 58838-2025")</f>
        <v/>
      </c>
    </row>
    <row r="57" ht="15" customHeight="1">
      <c r="A57" t="inlineStr">
        <is>
          <t>A 50499-2025</t>
        </is>
      </c>
      <c r="B57" s="1" t="n">
        <v>45945.41712962963</v>
      </c>
      <c r="C57" s="1" t="n">
        <v>46072</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26890-2022</t>
        </is>
      </c>
      <c r="B58" s="1" t="n">
        <v>44740</v>
      </c>
      <c r="C58" s="1" t="n">
        <v>46072</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46072</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3006-2026</t>
        </is>
      </c>
      <c r="B60" s="1" t="n">
        <v>46038.65719907408</v>
      </c>
      <c r="C60" s="1" t="n">
        <v>46072</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44389-2021</t>
        </is>
      </c>
      <c r="B61" s="1" t="n">
        <v>44435</v>
      </c>
      <c r="C61" s="1" t="n">
        <v>46072</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59516-2025</t>
        </is>
      </c>
      <c r="B62" s="1" t="n">
        <v>45989.65396990741</v>
      </c>
      <c r="C62" s="1" t="n">
        <v>46072</v>
      </c>
      <c r="D62" t="inlineStr">
        <is>
          <t>ÖREBRO LÄN</t>
        </is>
      </c>
      <c r="E62" t="inlineStr">
        <is>
          <t>ÖREBRO</t>
        </is>
      </c>
      <c r="F62" t="inlineStr">
        <is>
          <t>Sveaskog</t>
        </is>
      </c>
      <c r="G62" t="n">
        <v>1.9</v>
      </c>
      <c r="H62" t="n">
        <v>0</v>
      </c>
      <c r="I62" t="n">
        <v>1</v>
      </c>
      <c r="J62" t="n">
        <v>0</v>
      </c>
      <c r="K62" t="n">
        <v>0</v>
      </c>
      <c r="L62" t="n">
        <v>0</v>
      </c>
      <c r="M62" t="n">
        <v>0</v>
      </c>
      <c r="N62" t="n">
        <v>0</v>
      </c>
      <c r="O62" t="n">
        <v>0</v>
      </c>
      <c r="P62" t="n">
        <v>0</v>
      </c>
      <c r="Q62" t="n">
        <v>1</v>
      </c>
      <c r="R62" s="2" t="inlineStr">
        <is>
          <t>Tibast</t>
        </is>
      </c>
      <c r="S62">
        <f>HYPERLINK("https://klasma.github.io/Logging_1880/artfynd/A 59516-2025 artfynd.xlsx", "A 59516-2025")</f>
        <v/>
      </c>
      <c r="T62">
        <f>HYPERLINK("https://klasma.github.io/Logging_1880/kartor/A 59516-2025 karta.png", "A 59516-2025")</f>
        <v/>
      </c>
      <c r="V62">
        <f>HYPERLINK("https://klasma.github.io/Logging_1880/klagomål/A 59516-2025 FSC-klagomål.docx", "A 59516-2025")</f>
        <v/>
      </c>
      <c r="W62">
        <f>HYPERLINK("https://klasma.github.io/Logging_1880/klagomålsmail/A 59516-2025 FSC-klagomål mail.docx", "A 59516-2025")</f>
        <v/>
      </c>
      <c r="X62">
        <f>HYPERLINK("https://klasma.github.io/Logging_1880/tillsyn/A 59516-2025 tillsynsbegäran.docx", "A 59516-2025")</f>
        <v/>
      </c>
      <c r="Y62">
        <f>HYPERLINK("https://klasma.github.io/Logging_1880/tillsynsmail/A 59516-2025 tillsynsbegäran mail.docx", "A 59516-2025")</f>
        <v/>
      </c>
    </row>
    <row r="63" ht="15" customHeight="1">
      <c r="A63" t="inlineStr">
        <is>
          <t>A 63199-2025</t>
        </is>
      </c>
      <c r="B63" s="1" t="n">
        <v>46010.46091435185</v>
      </c>
      <c r="C63" s="1" t="n">
        <v>46072</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2077-2023</t>
        </is>
      </c>
      <c r="B64" s="1" t="n">
        <v>44939</v>
      </c>
      <c r="C64" s="1" t="n">
        <v>46072</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30725-2023</t>
        </is>
      </c>
      <c r="B65" s="1" t="n">
        <v>45112.61451388889</v>
      </c>
      <c r="C65" s="1" t="n">
        <v>46072</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46072</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46072</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46072</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46072</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46072</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46072</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46072</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9406-2021</t>
        </is>
      </c>
      <c r="B73" s="1" t="n">
        <v>44251</v>
      </c>
      <c r="C73" s="1" t="n">
        <v>46072</v>
      </c>
      <c r="D73" t="inlineStr">
        <is>
          <t>ÖREBRO LÄN</t>
        </is>
      </c>
      <c r="E73" t="inlineStr">
        <is>
          <t>ÖREBRO</t>
        </is>
      </c>
      <c r="G73" t="n">
        <v>6.1</v>
      </c>
      <c r="H73" t="n">
        <v>0</v>
      </c>
      <c r="I73" t="n">
        <v>0</v>
      </c>
      <c r="J73" t="n">
        <v>0</v>
      </c>
      <c r="K73" t="n">
        <v>0</v>
      </c>
      <c r="L73" t="n">
        <v>0</v>
      </c>
      <c r="M73" t="n">
        <v>0</v>
      </c>
      <c r="N73" t="n">
        <v>0</v>
      </c>
      <c r="O73" t="n">
        <v>0</v>
      </c>
      <c r="P73" t="n">
        <v>0</v>
      </c>
      <c r="Q73" t="n">
        <v>0</v>
      </c>
      <c r="R73" s="2" t="inlineStr"/>
    </row>
    <row r="74" ht="15" customHeight="1">
      <c r="A74" t="inlineStr">
        <is>
          <t>A 23606-2021</t>
        </is>
      </c>
      <c r="B74" s="1" t="n">
        <v>44334</v>
      </c>
      <c r="C74" s="1" t="n">
        <v>46072</v>
      </c>
      <c r="D74" t="inlineStr">
        <is>
          <t>ÖREBRO LÄN</t>
        </is>
      </c>
      <c r="E74" t="inlineStr">
        <is>
          <t>ÖREBRO</t>
        </is>
      </c>
      <c r="G74" t="n">
        <v>2.4</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46072</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46072</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46072</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16785-2021</t>
        </is>
      </c>
      <c r="B78" s="1" t="n">
        <v>44295</v>
      </c>
      <c r="C78" s="1" t="n">
        <v>46072</v>
      </c>
      <c r="D78" t="inlineStr">
        <is>
          <t>ÖREBRO LÄN</t>
        </is>
      </c>
      <c r="E78" t="inlineStr">
        <is>
          <t>ÖREBRO</t>
        </is>
      </c>
      <c r="G78" t="n">
        <v>2.8</v>
      </c>
      <c r="H78" t="n">
        <v>0</v>
      </c>
      <c r="I78" t="n">
        <v>0</v>
      </c>
      <c r="J78" t="n">
        <v>0</v>
      </c>
      <c r="K78" t="n">
        <v>0</v>
      </c>
      <c r="L78" t="n">
        <v>0</v>
      </c>
      <c r="M78" t="n">
        <v>0</v>
      </c>
      <c r="N78" t="n">
        <v>0</v>
      </c>
      <c r="O78" t="n">
        <v>0</v>
      </c>
      <c r="P78" t="n">
        <v>0</v>
      </c>
      <c r="Q78" t="n">
        <v>0</v>
      </c>
      <c r="R78" s="2" t="inlineStr"/>
    </row>
    <row r="79" ht="15" customHeight="1">
      <c r="A79" t="inlineStr">
        <is>
          <t>A 70289-2021</t>
        </is>
      </c>
      <c r="B79" s="1" t="n">
        <v>44536</v>
      </c>
      <c r="C79" s="1" t="n">
        <v>46072</v>
      </c>
      <c r="D79" t="inlineStr">
        <is>
          <t>ÖREBRO LÄN</t>
        </is>
      </c>
      <c r="E79" t="inlineStr">
        <is>
          <t>ÖREBRO</t>
        </is>
      </c>
      <c r="G79" t="n">
        <v>1.2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46072</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46072</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46072</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46072</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46072</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46072</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46072</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46072</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46072</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46072</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46072</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46072</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46072</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46072</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46072</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46072</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46072</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46072</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46072</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46072</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46072</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46072</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46072</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46072</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46072</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46072</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46072</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46072</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46072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46072</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46072</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46072</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46072</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46072</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46072</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46072</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46072</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46072</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46072</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46072</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46072</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46072</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46072</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46072</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46072</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46072</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46072</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46072</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46072</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46072</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46072</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46072</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46072</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46072</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46072</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46072</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19468-2021</t>
        </is>
      </c>
      <c r="B136" s="1" t="n">
        <v>44311</v>
      </c>
      <c r="C136" s="1" t="n">
        <v>46072</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9362-2022</t>
        </is>
      </c>
      <c r="B137" s="1" t="n">
        <v>44616.59946759259</v>
      </c>
      <c r="C137" s="1" t="n">
        <v>46072</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46072</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16261-2022</t>
        </is>
      </c>
      <c r="B139" s="1" t="n">
        <v>44670</v>
      </c>
      <c r="C139" s="1" t="n">
        <v>46072</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46072</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46072</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51268-2022</t>
        </is>
      </c>
      <c r="B142" s="1" t="n">
        <v>44868</v>
      </c>
      <c r="C142" s="1" t="n">
        <v>46072</v>
      </c>
      <c r="D142" t="inlineStr">
        <is>
          <t>ÖREBRO LÄN</t>
        </is>
      </c>
      <c r="E142" t="inlineStr">
        <is>
          <t>ÖREBRO</t>
        </is>
      </c>
      <c r="G142" t="n">
        <v>3.8</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46072</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46072</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46072</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46072</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46072</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5401-2022</t>
        </is>
      </c>
      <c r="B148" s="1" t="n">
        <v>44595</v>
      </c>
      <c r="C148" s="1" t="n">
        <v>46072</v>
      </c>
      <c r="D148" t="inlineStr">
        <is>
          <t>ÖREBRO LÄN</t>
        </is>
      </c>
      <c r="E148" t="inlineStr">
        <is>
          <t>ÖREBRO</t>
        </is>
      </c>
      <c r="G148" t="n">
        <v>2.3</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46072</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23863-2023</t>
        </is>
      </c>
      <c r="B150" s="1" t="n">
        <v>45078.48994212963</v>
      </c>
      <c r="C150" s="1" t="n">
        <v>46072</v>
      </c>
      <c r="D150" t="inlineStr">
        <is>
          <t>ÖREBRO LÄN</t>
        </is>
      </c>
      <c r="E150" t="inlineStr">
        <is>
          <t>ÖREBRO</t>
        </is>
      </c>
      <c r="F150" t="inlineStr">
        <is>
          <t>Övriga Aktiebolag</t>
        </is>
      </c>
      <c r="G150" t="n">
        <v>5.9</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46072</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14053-2025</t>
        </is>
      </c>
      <c r="B152" s="1" t="n">
        <v>45739</v>
      </c>
      <c r="C152" s="1" t="n">
        <v>46072</v>
      </c>
      <c r="D152" t="inlineStr">
        <is>
          <t>ÖREBRO LÄN</t>
        </is>
      </c>
      <c r="E152" t="inlineStr">
        <is>
          <t>ÖREBRO</t>
        </is>
      </c>
      <c r="G152" t="n">
        <v>3.5</v>
      </c>
      <c r="H152" t="n">
        <v>0</v>
      </c>
      <c r="I152" t="n">
        <v>0</v>
      </c>
      <c r="J152" t="n">
        <v>0</v>
      </c>
      <c r="K152" t="n">
        <v>0</v>
      </c>
      <c r="L152" t="n">
        <v>0</v>
      </c>
      <c r="M152" t="n">
        <v>0</v>
      </c>
      <c r="N152" t="n">
        <v>0</v>
      </c>
      <c r="O152" t="n">
        <v>0</v>
      </c>
      <c r="P152" t="n">
        <v>0</v>
      </c>
      <c r="Q152" t="n">
        <v>0</v>
      </c>
      <c r="R152" s="2" t="inlineStr"/>
    </row>
    <row r="153" ht="15" customHeight="1">
      <c r="A153" t="inlineStr">
        <is>
          <t>A 10799-2024</t>
        </is>
      </c>
      <c r="B153" s="1" t="n">
        <v>45369</v>
      </c>
      <c r="C153" s="1" t="n">
        <v>46072</v>
      </c>
      <c r="D153" t="inlineStr">
        <is>
          <t>ÖREBRO LÄN</t>
        </is>
      </c>
      <c r="E153" t="inlineStr">
        <is>
          <t>ÖREBRO</t>
        </is>
      </c>
      <c r="G153" t="n">
        <v>5.8</v>
      </c>
      <c r="H153" t="n">
        <v>0</v>
      </c>
      <c r="I153" t="n">
        <v>0</v>
      </c>
      <c r="J153" t="n">
        <v>0</v>
      </c>
      <c r="K153" t="n">
        <v>0</v>
      </c>
      <c r="L153" t="n">
        <v>0</v>
      </c>
      <c r="M153" t="n">
        <v>0</v>
      </c>
      <c r="N153" t="n">
        <v>0</v>
      </c>
      <c r="O153" t="n">
        <v>0</v>
      </c>
      <c r="P153" t="n">
        <v>0</v>
      </c>
      <c r="Q153" t="n">
        <v>0</v>
      </c>
      <c r="R153" s="2" t="inlineStr"/>
    </row>
    <row r="154" ht="15" customHeight="1">
      <c r="A154" t="inlineStr">
        <is>
          <t>A 5795-2024</t>
        </is>
      </c>
      <c r="B154" s="1" t="n">
        <v>45335.4531712963</v>
      </c>
      <c r="C154" s="1" t="n">
        <v>46072</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46072</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46072</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59736-2023</t>
        </is>
      </c>
      <c r="B157" s="1" t="n">
        <v>45257.374375</v>
      </c>
      <c r="C157" s="1" t="n">
        <v>46072</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46072</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2153-2023</t>
        </is>
      </c>
      <c r="B159" s="1" t="n">
        <v>44941</v>
      </c>
      <c r="C159" s="1" t="n">
        <v>46072</v>
      </c>
      <c r="D159" t="inlineStr">
        <is>
          <t>ÖREBRO LÄN</t>
        </is>
      </c>
      <c r="E159" t="inlineStr">
        <is>
          <t>ÖREBRO</t>
        </is>
      </c>
      <c r="G159" t="n">
        <v>6.3</v>
      </c>
      <c r="H159" t="n">
        <v>0</v>
      </c>
      <c r="I159" t="n">
        <v>0</v>
      </c>
      <c r="J159" t="n">
        <v>0</v>
      </c>
      <c r="K159" t="n">
        <v>0</v>
      </c>
      <c r="L159" t="n">
        <v>0</v>
      </c>
      <c r="M159" t="n">
        <v>0</v>
      </c>
      <c r="N159" t="n">
        <v>0</v>
      </c>
      <c r="O159" t="n">
        <v>0</v>
      </c>
      <c r="P159" t="n">
        <v>0</v>
      </c>
      <c r="Q159" t="n">
        <v>0</v>
      </c>
      <c r="R159" s="2" t="inlineStr"/>
    </row>
    <row r="160" ht="15" customHeight="1">
      <c r="A160" t="inlineStr">
        <is>
          <t>A 10470-2025</t>
        </is>
      </c>
      <c r="B160" s="1" t="n">
        <v>45720</v>
      </c>
      <c r="C160" s="1" t="n">
        <v>46072</v>
      </c>
      <c r="D160" t="inlineStr">
        <is>
          <t>ÖREBRO LÄN</t>
        </is>
      </c>
      <c r="E160" t="inlineStr">
        <is>
          <t>ÖREBRO</t>
        </is>
      </c>
      <c r="G160" t="n">
        <v>11.5</v>
      </c>
      <c r="H160" t="n">
        <v>0</v>
      </c>
      <c r="I160" t="n">
        <v>0</v>
      </c>
      <c r="J160" t="n">
        <v>0</v>
      </c>
      <c r="K160" t="n">
        <v>0</v>
      </c>
      <c r="L160" t="n">
        <v>0</v>
      </c>
      <c r="M160" t="n">
        <v>0</v>
      </c>
      <c r="N160" t="n">
        <v>0</v>
      </c>
      <c r="O160" t="n">
        <v>0</v>
      </c>
      <c r="P160" t="n">
        <v>0</v>
      </c>
      <c r="Q160" t="n">
        <v>0</v>
      </c>
      <c r="R160" s="2" t="inlineStr"/>
    </row>
    <row r="161" ht="15" customHeight="1">
      <c r="A161" t="inlineStr">
        <is>
          <t>A 13762-2023</t>
        </is>
      </c>
      <c r="B161" s="1" t="n">
        <v>45007.43729166667</v>
      </c>
      <c r="C161" s="1" t="n">
        <v>46072</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58532-2024</t>
        </is>
      </c>
      <c r="B162" s="1" t="n">
        <v>45635.44899305556</v>
      </c>
      <c r="C162" s="1" t="n">
        <v>46072</v>
      </c>
      <c r="D162" t="inlineStr">
        <is>
          <t>ÖREBRO LÄN</t>
        </is>
      </c>
      <c r="E162" t="inlineStr">
        <is>
          <t>ÖREBRO</t>
        </is>
      </c>
      <c r="F162" t="inlineStr">
        <is>
          <t>Sveaskog</t>
        </is>
      </c>
      <c r="G162" t="n">
        <v>5.2</v>
      </c>
      <c r="H162" t="n">
        <v>0</v>
      </c>
      <c r="I162" t="n">
        <v>0</v>
      </c>
      <c r="J162" t="n">
        <v>0</v>
      </c>
      <c r="K162" t="n">
        <v>0</v>
      </c>
      <c r="L162" t="n">
        <v>0</v>
      </c>
      <c r="M162" t="n">
        <v>0</v>
      </c>
      <c r="N162" t="n">
        <v>0</v>
      </c>
      <c r="O162" t="n">
        <v>0</v>
      </c>
      <c r="P162" t="n">
        <v>0</v>
      </c>
      <c r="Q162" t="n">
        <v>0</v>
      </c>
      <c r="R162" s="2" t="inlineStr"/>
    </row>
    <row r="163" ht="15" customHeight="1">
      <c r="A163" t="inlineStr">
        <is>
          <t>A 52623-2024</t>
        </is>
      </c>
      <c r="B163" s="1" t="n">
        <v>45609</v>
      </c>
      <c r="C163" s="1" t="n">
        <v>46072</v>
      </c>
      <c r="D163" t="inlineStr">
        <is>
          <t>ÖREBRO LÄN</t>
        </is>
      </c>
      <c r="E163" t="inlineStr">
        <is>
          <t>ÖREBRO</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187-2024</t>
        </is>
      </c>
      <c r="B164" s="1" t="n">
        <v>45294</v>
      </c>
      <c r="C164" s="1" t="n">
        <v>46072</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60022-2024</t>
        </is>
      </c>
      <c r="B165" s="1" t="n">
        <v>45642</v>
      </c>
      <c r="C165" s="1" t="n">
        <v>46072</v>
      </c>
      <c r="D165" t="inlineStr">
        <is>
          <t>ÖREBRO LÄN</t>
        </is>
      </c>
      <c r="E165" t="inlineStr">
        <is>
          <t>ÖREBRO</t>
        </is>
      </c>
      <c r="G165" t="n">
        <v>1.7</v>
      </c>
      <c r="H165" t="n">
        <v>0</v>
      </c>
      <c r="I165" t="n">
        <v>0</v>
      </c>
      <c r="J165" t="n">
        <v>0</v>
      </c>
      <c r="K165" t="n">
        <v>0</v>
      </c>
      <c r="L165" t="n">
        <v>0</v>
      </c>
      <c r="M165" t="n">
        <v>0</v>
      </c>
      <c r="N165" t="n">
        <v>0</v>
      </c>
      <c r="O165" t="n">
        <v>0</v>
      </c>
      <c r="P165" t="n">
        <v>0</v>
      </c>
      <c r="Q165" t="n">
        <v>0</v>
      </c>
      <c r="R165" s="2" t="inlineStr"/>
    </row>
    <row r="166" ht="15" customHeight="1">
      <c r="A166" t="inlineStr">
        <is>
          <t>A 50026-2024</t>
        </is>
      </c>
      <c r="B166" s="1" t="n">
        <v>45599.60541666667</v>
      </c>
      <c r="C166" s="1" t="n">
        <v>46072</v>
      </c>
      <c r="D166" t="inlineStr">
        <is>
          <t>ÖREBRO LÄN</t>
        </is>
      </c>
      <c r="E166" t="inlineStr">
        <is>
          <t>ÖREBRO</t>
        </is>
      </c>
      <c r="G166" t="n">
        <v>2.2</v>
      </c>
      <c r="H166" t="n">
        <v>0</v>
      </c>
      <c r="I166" t="n">
        <v>0</v>
      </c>
      <c r="J166" t="n">
        <v>0</v>
      </c>
      <c r="K166" t="n">
        <v>0</v>
      </c>
      <c r="L166" t="n">
        <v>0</v>
      </c>
      <c r="M166" t="n">
        <v>0</v>
      </c>
      <c r="N166" t="n">
        <v>0</v>
      </c>
      <c r="O166" t="n">
        <v>0</v>
      </c>
      <c r="P166" t="n">
        <v>0</v>
      </c>
      <c r="Q166" t="n">
        <v>0</v>
      </c>
      <c r="R166" s="2" t="inlineStr"/>
    </row>
    <row r="167" ht="15" customHeight="1">
      <c r="A167" t="inlineStr">
        <is>
          <t>A 18550-2025</t>
        </is>
      </c>
      <c r="B167" s="1" t="n">
        <v>45763.43422453704</v>
      </c>
      <c r="C167" s="1" t="n">
        <v>46072</v>
      </c>
      <c r="D167" t="inlineStr">
        <is>
          <t>ÖREBRO LÄN</t>
        </is>
      </c>
      <c r="E167" t="inlineStr">
        <is>
          <t>ÖREBRO</t>
        </is>
      </c>
      <c r="G167" t="n">
        <v>11.5</v>
      </c>
      <c r="H167" t="n">
        <v>0</v>
      </c>
      <c r="I167" t="n">
        <v>0</v>
      </c>
      <c r="J167" t="n">
        <v>0</v>
      </c>
      <c r="K167" t="n">
        <v>0</v>
      </c>
      <c r="L167" t="n">
        <v>0</v>
      </c>
      <c r="M167" t="n">
        <v>0</v>
      </c>
      <c r="N167" t="n">
        <v>0</v>
      </c>
      <c r="O167" t="n">
        <v>0</v>
      </c>
      <c r="P167" t="n">
        <v>0</v>
      </c>
      <c r="Q167" t="n">
        <v>0</v>
      </c>
      <c r="R167" s="2" t="inlineStr"/>
    </row>
    <row r="168" ht="15" customHeight="1">
      <c r="A168" t="inlineStr">
        <is>
          <t>A 32076-2023</t>
        </is>
      </c>
      <c r="B168" s="1" t="n">
        <v>45119.58324074074</v>
      </c>
      <c r="C168" s="1" t="n">
        <v>46072</v>
      </c>
      <c r="D168" t="inlineStr">
        <is>
          <t>ÖREBRO LÄN</t>
        </is>
      </c>
      <c r="E168" t="inlineStr">
        <is>
          <t>ÖREBRO</t>
        </is>
      </c>
      <c r="G168" t="n">
        <v>1.1</v>
      </c>
      <c r="H168" t="n">
        <v>0</v>
      </c>
      <c r="I168" t="n">
        <v>0</v>
      </c>
      <c r="J168" t="n">
        <v>0</v>
      </c>
      <c r="K168" t="n">
        <v>0</v>
      </c>
      <c r="L168" t="n">
        <v>0</v>
      </c>
      <c r="M168" t="n">
        <v>0</v>
      </c>
      <c r="N168" t="n">
        <v>0</v>
      </c>
      <c r="O168" t="n">
        <v>0</v>
      </c>
      <c r="P168" t="n">
        <v>0</v>
      </c>
      <c r="Q168" t="n">
        <v>0</v>
      </c>
      <c r="R168" s="2" t="inlineStr"/>
    </row>
    <row r="169" ht="15" customHeight="1">
      <c r="A169" t="inlineStr">
        <is>
          <t>A 62794-2021</t>
        </is>
      </c>
      <c r="B169" s="1" t="n">
        <v>44504</v>
      </c>
      <c r="C169" s="1" t="n">
        <v>46072</v>
      </c>
      <c r="D169" t="inlineStr">
        <is>
          <t>ÖREBRO LÄN</t>
        </is>
      </c>
      <c r="E169" t="inlineStr">
        <is>
          <t>ÖREBRO</t>
        </is>
      </c>
      <c r="G169" t="n">
        <v>3.3</v>
      </c>
      <c r="H169" t="n">
        <v>0</v>
      </c>
      <c r="I169" t="n">
        <v>0</v>
      </c>
      <c r="J169" t="n">
        <v>0</v>
      </c>
      <c r="K169" t="n">
        <v>0</v>
      </c>
      <c r="L169" t="n">
        <v>0</v>
      </c>
      <c r="M169" t="n">
        <v>0</v>
      </c>
      <c r="N169" t="n">
        <v>0</v>
      </c>
      <c r="O169" t="n">
        <v>0</v>
      </c>
      <c r="P169" t="n">
        <v>0</v>
      </c>
      <c r="Q169" t="n">
        <v>0</v>
      </c>
      <c r="R169" s="2" t="inlineStr"/>
    </row>
    <row r="170" ht="15" customHeight="1">
      <c r="A170" t="inlineStr">
        <is>
          <t>A 19180-2025</t>
        </is>
      </c>
      <c r="B170" s="1" t="n">
        <v>45769.40133101852</v>
      </c>
      <c r="C170" s="1" t="n">
        <v>46072</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21338-2025</t>
        </is>
      </c>
      <c r="B171" s="1" t="n">
        <v>45780</v>
      </c>
      <c r="C171" s="1" t="n">
        <v>46072</v>
      </c>
      <c r="D171" t="inlineStr">
        <is>
          <t>ÖREBRO LÄN</t>
        </is>
      </c>
      <c r="E171" t="inlineStr">
        <is>
          <t>ÖREBRO</t>
        </is>
      </c>
      <c r="G171" t="n">
        <v>3.2</v>
      </c>
      <c r="H171" t="n">
        <v>0</v>
      </c>
      <c r="I171" t="n">
        <v>0</v>
      </c>
      <c r="J171" t="n">
        <v>0</v>
      </c>
      <c r="K171" t="n">
        <v>0</v>
      </c>
      <c r="L171" t="n">
        <v>0</v>
      </c>
      <c r="M171" t="n">
        <v>0</v>
      </c>
      <c r="N171" t="n">
        <v>0</v>
      </c>
      <c r="O171" t="n">
        <v>0</v>
      </c>
      <c r="P171" t="n">
        <v>0</v>
      </c>
      <c r="Q171" t="n">
        <v>0</v>
      </c>
      <c r="R171" s="2" t="inlineStr"/>
    </row>
    <row r="172" ht="15" customHeight="1">
      <c r="A172" t="inlineStr">
        <is>
          <t>A 58684-2023</t>
        </is>
      </c>
      <c r="B172" s="1" t="n">
        <v>45251</v>
      </c>
      <c r="C172" s="1" t="n">
        <v>46072</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37771-2024</t>
        </is>
      </c>
      <c r="B173" s="1" t="n">
        <v>45542.31359953704</v>
      </c>
      <c r="C173" s="1" t="n">
        <v>46072</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41678-2024</t>
        </is>
      </c>
      <c r="B174" s="1" t="n">
        <v>45560</v>
      </c>
      <c r="C174" s="1" t="n">
        <v>46072</v>
      </c>
      <c r="D174" t="inlineStr">
        <is>
          <t>ÖREBRO LÄN</t>
        </is>
      </c>
      <c r="E174" t="inlineStr">
        <is>
          <t>ÖREBRO</t>
        </is>
      </c>
      <c r="G174" t="n">
        <v>11.3</v>
      </c>
      <c r="H174" t="n">
        <v>0</v>
      </c>
      <c r="I174" t="n">
        <v>0</v>
      </c>
      <c r="J174" t="n">
        <v>0</v>
      </c>
      <c r="K174" t="n">
        <v>0</v>
      </c>
      <c r="L174" t="n">
        <v>0</v>
      </c>
      <c r="M174" t="n">
        <v>0</v>
      </c>
      <c r="N174" t="n">
        <v>0</v>
      </c>
      <c r="O174" t="n">
        <v>0</v>
      </c>
      <c r="P174" t="n">
        <v>0</v>
      </c>
      <c r="Q174" t="n">
        <v>0</v>
      </c>
      <c r="R174" s="2" t="inlineStr"/>
    </row>
    <row r="175" ht="15" customHeight="1">
      <c r="A175" t="inlineStr">
        <is>
          <t>A 58644-2023</t>
        </is>
      </c>
      <c r="B175" s="1" t="n">
        <v>45251.58716435185</v>
      </c>
      <c r="C175" s="1" t="n">
        <v>46072</v>
      </c>
      <c r="D175" t="inlineStr">
        <is>
          <t>ÖREBRO LÄN</t>
        </is>
      </c>
      <c r="E175" t="inlineStr">
        <is>
          <t>ÖREBRO</t>
        </is>
      </c>
      <c r="F175" t="inlineStr">
        <is>
          <t>Övriga Aktiebolag</t>
        </is>
      </c>
      <c r="G175" t="n">
        <v>1.9</v>
      </c>
      <c r="H175" t="n">
        <v>0</v>
      </c>
      <c r="I175" t="n">
        <v>0</v>
      </c>
      <c r="J175" t="n">
        <v>0</v>
      </c>
      <c r="K175" t="n">
        <v>0</v>
      </c>
      <c r="L175" t="n">
        <v>0</v>
      </c>
      <c r="M175" t="n">
        <v>0</v>
      </c>
      <c r="N175" t="n">
        <v>0</v>
      </c>
      <c r="O175" t="n">
        <v>0</v>
      </c>
      <c r="P175" t="n">
        <v>0</v>
      </c>
      <c r="Q175" t="n">
        <v>0</v>
      </c>
      <c r="R175" s="2" t="inlineStr"/>
    </row>
    <row r="176" ht="15" customHeight="1">
      <c r="A176" t="inlineStr">
        <is>
          <t>A 55748-2025</t>
        </is>
      </c>
      <c r="B176" s="1" t="n">
        <v>45972.57893518519</v>
      </c>
      <c r="C176" s="1" t="n">
        <v>46072</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22719-2025</t>
        </is>
      </c>
      <c r="B177" s="1" t="n">
        <v>45789</v>
      </c>
      <c r="C177" s="1" t="n">
        <v>46072</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71288-2021</t>
        </is>
      </c>
      <c r="B178" s="1" t="n">
        <v>44539.62481481482</v>
      </c>
      <c r="C178" s="1" t="n">
        <v>46072</v>
      </c>
      <c r="D178" t="inlineStr">
        <is>
          <t>ÖREBRO LÄN</t>
        </is>
      </c>
      <c r="E178" t="inlineStr">
        <is>
          <t>ÖREBRO</t>
        </is>
      </c>
      <c r="G178" t="n">
        <v>3.9</v>
      </c>
      <c r="H178" t="n">
        <v>0</v>
      </c>
      <c r="I178" t="n">
        <v>0</v>
      </c>
      <c r="J178" t="n">
        <v>0</v>
      </c>
      <c r="K178" t="n">
        <v>0</v>
      </c>
      <c r="L178" t="n">
        <v>0</v>
      </c>
      <c r="M178" t="n">
        <v>0</v>
      </c>
      <c r="N178" t="n">
        <v>0</v>
      </c>
      <c r="O178" t="n">
        <v>0</v>
      </c>
      <c r="P178" t="n">
        <v>0</v>
      </c>
      <c r="Q178" t="n">
        <v>0</v>
      </c>
      <c r="R178" s="2" t="inlineStr"/>
    </row>
    <row r="179" ht="15" customHeight="1">
      <c r="A179" t="inlineStr">
        <is>
          <t>A 13418-2024</t>
        </is>
      </c>
      <c r="B179" s="1" t="n">
        <v>45387.46482638889</v>
      </c>
      <c r="C179" s="1" t="n">
        <v>46072</v>
      </c>
      <c r="D179" t="inlineStr">
        <is>
          <t>ÖREBRO LÄN</t>
        </is>
      </c>
      <c r="E179" t="inlineStr">
        <is>
          <t>ÖREBRO</t>
        </is>
      </c>
      <c r="G179" t="n">
        <v>4.2</v>
      </c>
      <c r="H179" t="n">
        <v>0</v>
      </c>
      <c r="I179" t="n">
        <v>0</v>
      </c>
      <c r="J179" t="n">
        <v>0</v>
      </c>
      <c r="K179" t="n">
        <v>0</v>
      </c>
      <c r="L179" t="n">
        <v>0</v>
      </c>
      <c r="M179" t="n">
        <v>0</v>
      </c>
      <c r="N179" t="n">
        <v>0</v>
      </c>
      <c r="O179" t="n">
        <v>0</v>
      </c>
      <c r="P179" t="n">
        <v>0</v>
      </c>
      <c r="Q179" t="n">
        <v>0</v>
      </c>
      <c r="R179" s="2" t="inlineStr"/>
    </row>
    <row r="180" ht="15" customHeight="1">
      <c r="A180" t="inlineStr">
        <is>
          <t>A 55750-2025</t>
        </is>
      </c>
      <c r="B180" s="1" t="n">
        <v>45972.58171296296</v>
      </c>
      <c r="C180" s="1" t="n">
        <v>46072</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55888-2025</t>
        </is>
      </c>
      <c r="B181" s="1" t="n">
        <v>45973.37163194444</v>
      </c>
      <c r="C181" s="1" t="n">
        <v>46072</v>
      </c>
      <c r="D181" t="inlineStr">
        <is>
          <t>ÖREBRO LÄN</t>
        </is>
      </c>
      <c r="E181" t="inlineStr">
        <is>
          <t>ÖREBRO</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45237-2023</t>
        </is>
      </c>
      <c r="B182" s="1" t="n">
        <v>45191</v>
      </c>
      <c r="C182" s="1" t="n">
        <v>46072</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764-2024</t>
        </is>
      </c>
      <c r="B183" s="1" t="n">
        <v>45300.51512731481</v>
      </c>
      <c r="C183" s="1" t="n">
        <v>46072</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55879-2025</t>
        </is>
      </c>
      <c r="B184" s="1" t="n">
        <v>45973.36508101852</v>
      </c>
      <c r="C184" s="1" t="n">
        <v>46072</v>
      </c>
      <c r="D184" t="inlineStr">
        <is>
          <t>ÖREBRO LÄN</t>
        </is>
      </c>
      <c r="E184" t="inlineStr">
        <is>
          <t>ÖREBRO</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22755-2025</t>
        </is>
      </c>
      <c r="B185" s="1" t="n">
        <v>45789.61872685186</v>
      </c>
      <c r="C185" s="1" t="n">
        <v>46072</v>
      </c>
      <c r="D185" t="inlineStr">
        <is>
          <t>ÖREBRO LÄN</t>
        </is>
      </c>
      <c r="E185" t="inlineStr">
        <is>
          <t>ÖREBRO</t>
        </is>
      </c>
      <c r="G185" t="n">
        <v>1.2</v>
      </c>
      <c r="H185" t="n">
        <v>0</v>
      </c>
      <c r="I185" t="n">
        <v>0</v>
      </c>
      <c r="J185" t="n">
        <v>0</v>
      </c>
      <c r="K185" t="n">
        <v>0</v>
      </c>
      <c r="L185" t="n">
        <v>0</v>
      </c>
      <c r="M185" t="n">
        <v>0</v>
      </c>
      <c r="N185" t="n">
        <v>0</v>
      </c>
      <c r="O185" t="n">
        <v>0</v>
      </c>
      <c r="P185" t="n">
        <v>0</v>
      </c>
      <c r="Q185" t="n">
        <v>0</v>
      </c>
      <c r="R185" s="2" t="inlineStr"/>
    </row>
    <row r="186" ht="15" customHeight="1">
      <c r="A186" t="inlineStr">
        <is>
          <t>A 34336-2024</t>
        </is>
      </c>
      <c r="B186" s="1" t="n">
        <v>45524.94774305556</v>
      </c>
      <c r="C186" s="1" t="n">
        <v>46072</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15555-2025</t>
        </is>
      </c>
      <c r="B187" s="1" t="n">
        <v>45747.67768518518</v>
      </c>
      <c r="C187" s="1" t="n">
        <v>46072</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61279-2024</t>
        </is>
      </c>
      <c r="B188" s="1" t="n">
        <v>45645</v>
      </c>
      <c r="C188" s="1" t="n">
        <v>46072</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38790-2024</t>
        </is>
      </c>
      <c r="B189" s="1" t="n">
        <v>45547.48450231482</v>
      </c>
      <c r="C189" s="1" t="n">
        <v>46072</v>
      </c>
      <c r="D189" t="inlineStr">
        <is>
          <t>ÖREBRO LÄN</t>
        </is>
      </c>
      <c r="E189" t="inlineStr">
        <is>
          <t>ÖREBRO</t>
        </is>
      </c>
      <c r="G189" t="n">
        <v>2</v>
      </c>
      <c r="H189" t="n">
        <v>0</v>
      </c>
      <c r="I189" t="n">
        <v>0</v>
      </c>
      <c r="J189" t="n">
        <v>0</v>
      </c>
      <c r="K189" t="n">
        <v>0</v>
      </c>
      <c r="L189" t="n">
        <v>0</v>
      </c>
      <c r="M189" t="n">
        <v>0</v>
      </c>
      <c r="N189" t="n">
        <v>0</v>
      </c>
      <c r="O189" t="n">
        <v>0</v>
      </c>
      <c r="P189" t="n">
        <v>0</v>
      </c>
      <c r="Q189" t="n">
        <v>0</v>
      </c>
      <c r="R189" s="2" t="inlineStr"/>
    </row>
    <row r="190" ht="15" customHeight="1">
      <c r="A190" t="inlineStr">
        <is>
          <t>A 71269-2021</t>
        </is>
      </c>
      <c r="B190" s="1" t="n">
        <v>44539</v>
      </c>
      <c r="C190" s="1" t="n">
        <v>46072</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30316-2024</t>
        </is>
      </c>
      <c r="B191" s="1" t="n">
        <v>45490</v>
      </c>
      <c r="C191" s="1" t="n">
        <v>46072</v>
      </c>
      <c r="D191" t="inlineStr">
        <is>
          <t>ÖREBRO LÄN</t>
        </is>
      </c>
      <c r="E191" t="inlineStr">
        <is>
          <t>ÖREBRO</t>
        </is>
      </c>
      <c r="G191" t="n">
        <v>5.5</v>
      </c>
      <c r="H191" t="n">
        <v>0</v>
      </c>
      <c r="I191" t="n">
        <v>0</v>
      </c>
      <c r="J191" t="n">
        <v>0</v>
      </c>
      <c r="K191" t="n">
        <v>0</v>
      </c>
      <c r="L191" t="n">
        <v>0</v>
      </c>
      <c r="M191" t="n">
        <v>0</v>
      </c>
      <c r="N191" t="n">
        <v>0</v>
      </c>
      <c r="O191" t="n">
        <v>0</v>
      </c>
      <c r="P191" t="n">
        <v>0</v>
      </c>
      <c r="Q191" t="n">
        <v>0</v>
      </c>
      <c r="R191" s="2" t="inlineStr"/>
    </row>
    <row r="192" ht="15" customHeight="1">
      <c r="A192" t="inlineStr">
        <is>
          <t>A 16739-2023</t>
        </is>
      </c>
      <c r="B192" s="1" t="n">
        <v>45030.72627314815</v>
      </c>
      <c r="C192" s="1" t="n">
        <v>46072</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44199-2024</t>
        </is>
      </c>
      <c r="B193" s="1" t="n">
        <v>45573</v>
      </c>
      <c r="C193" s="1" t="n">
        <v>46072</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4380-2025</t>
        </is>
      </c>
      <c r="B194" s="1" t="n">
        <v>45686.3959375</v>
      </c>
      <c r="C194" s="1" t="n">
        <v>46072</v>
      </c>
      <c r="D194" t="inlineStr">
        <is>
          <t>ÖREBRO LÄN</t>
        </is>
      </c>
      <c r="E194" t="inlineStr">
        <is>
          <t>ÖREBRO</t>
        </is>
      </c>
      <c r="G194" t="n">
        <v>3.2</v>
      </c>
      <c r="H194" t="n">
        <v>0</v>
      </c>
      <c r="I194" t="n">
        <v>0</v>
      </c>
      <c r="J194" t="n">
        <v>0</v>
      </c>
      <c r="K194" t="n">
        <v>0</v>
      </c>
      <c r="L194" t="n">
        <v>0</v>
      </c>
      <c r="M194" t="n">
        <v>0</v>
      </c>
      <c r="N194" t="n">
        <v>0</v>
      </c>
      <c r="O194" t="n">
        <v>0</v>
      </c>
      <c r="P194" t="n">
        <v>0</v>
      </c>
      <c r="Q194" t="n">
        <v>0</v>
      </c>
      <c r="R194" s="2" t="inlineStr"/>
    </row>
    <row r="195" ht="15" customHeight="1">
      <c r="A195" t="inlineStr">
        <is>
          <t>A 26443-2024</t>
        </is>
      </c>
      <c r="B195" s="1" t="n">
        <v>45469.49901620371</v>
      </c>
      <c r="C195" s="1" t="n">
        <v>46072</v>
      </c>
      <c r="D195" t="inlineStr">
        <is>
          <t>ÖREBRO LÄN</t>
        </is>
      </c>
      <c r="E195" t="inlineStr">
        <is>
          <t>ÖREBRO</t>
        </is>
      </c>
      <c r="G195" t="n">
        <v>5.7</v>
      </c>
      <c r="H195" t="n">
        <v>0</v>
      </c>
      <c r="I195" t="n">
        <v>0</v>
      </c>
      <c r="J195" t="n">
        <v>0</v>
      </c>
      <c r="K195" t="n">
        <v>0</v>
      </c>
      <c r="L195" t="n">
        <v>0</v>
      </c>
      <c r="M195" t="n">
        <v>0</v>
      </c>
      <c r="N195" t="n">
        <v>0</v>
      </c>
      <c r="O195" t="n">
        <v>0</v>
      </c>
      <c r="P195" t="n">
        <v>0</v>
      </c>
      <c r="Q195" t="n">
        <v>0</v>
      </c>
      <c r="R195" s="2" t="inlineStr"/>
    </row>
    <row r="196" ht="15" customHeight="1">
      <c r="A196" t="inlineStr">
        <is>
          <t>A 5136-2024</t>
        </is>
      </c>
      <c r="B196" s="1" t="n">
        <v>45330</v>
      </c>
      <c r="C196" s="1" t="n">
        <v>46072</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35477-2024</t>
        </is>
      </c>
      <c r="B197" s="1" t="n">
        <v>45531</v>
      </c>
      <c r="C197" s="1" t="n">
        <v>46072</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39003-2025</t>
        </is>
      </c>
      <c r="B198" s="1" t="n">
        <v>45888.34467592592</v>
      </c>
      <c r="C198" s="1" t="n">
        <v>46072</v>
      </c>
      <c r="D198" t="inlineStr">
        <is>
          <t>ÖREBRO LÄN</t>
        </is>
      </c>
      <c r="E198" t="inlineStr">
        <is>
          <t>ÖREBRO</t>
        </is>
      </c>
      <c r="G198" t="n">
        <v>3.7</v>
      </c>
      <c r="H198" t="n">
        <v>0</v>
      </c>
      <c r="I198" t="n">
        <v>0</v>
      </c>
      <c r="J198" t="n">
        <v>0</v>
      </c>
      <c r="K198" t="n">
        <v>0</v>
      </c>
      <c r="L198" t="n">
        <v>0</v>
      </c>
      <c r="M198" t="n">
        <v>0</v>
      </c>
      <c r="N198" t="n">
        <v>0</v>
      </c>
      <c r="O198" t="n">
        <v>0</v>
      </c>
      <c r="P198" t="n">
        <v>0</v>
      </c>
      <c r="Q198" t="n">
        <v>0</v>
      </c>
      <c r="R198" s="2" t="inlineStr"/>
    </row>
    <row r="199" ht="15" customHeight="1">
      <c r="A199" t="inlineStr">
        <is>
          <t>A 15422-2022</t>
        </is>
      </c>
      <c r="B199" s="1" t="n">
        <v>44659.63753472222</v>
      </c>
      <c r="C199" s="1" t="n">
        <v>46072</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5406-2025</t>
        </is>
      </c>
      <c r="B200" s="1" t="n">
        <v>45692.64821759259</v>
      </c>
      <c r="C200" s="1" t="n">
        <v>46072</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52018-2024</t>
        </is>
      </c>
      <c r="B201" s="1" t="n">
        <v>45607.82974537037</v>
      </c>
      <c r="C201" s="1" t="n">
        <v>46072</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39446-2025</t>
        </is>
      </c>
      <c r="B202" s="1" t="n">
        <v>45889.70388888889</v>
      </c>
      <c r="C202" s="1" t="n">
        <v>46072</v>
      </c>
      <c r="D202" t="inlineStr">
        <is>
          <t>ÖREBRO LÄN</t>
        </is>
      </c>
      <c r="E202" t="inlineStr">
        <is>
          <t>ÖREBRO</t>
        </is>
      </c>
      <c r="F202" t="inlineStr">
        <is>
          <t>Kyrkan</t>
        </is>
      </c>
      <c r="G202" t="n">
        <v>3.2</v>
      </c>
      <c r="H202" t="n">
        <v>0</v>
      </c>
      <c r="I202" t="n">
        <v>0</v>
      </c>
      <c r="J202" t="n">
        <v>0</v>
      </c>
      <c r="K202" t="n">
        <v>0</v>
      </c>
      <c r="L202" t="n">
        <v>0</v>
      </c>
      <c r="M202" t="n">
        <v>0</v>
      </c>
      <c r="N202" t="n">
        <v>0</v>
      </c>
      <c r="O202" t="n">
        <v>0</v>
      </c>
      <c r="P202" t="n">
        <v>0</v>
      </c>
      <c r="Q202" t="n">
        <v>0</v>
      </c>
      <c r="R202" s="2" t="inlineStr"/>
    </row>
    <row r="203" ht="15" customHeight="1">
      <c r="A203" t="inlineStr">
        <is>
          <t>A 49465-2024</t>
        </is>
      </c>
      <c r="B203" s="1" t="n">
        <v>45596</v>
      </c>
      <c r="C203" s="1" t="n">
        <v>46072</v>
      </c>
      <c r="D203" t="inlineStr">
        <is>
          <t>ÖREBRO LÄN</t>
        </is>
      </c>
      <c r="E203" t="inlineStr">
        <is>
          <t>ÖREBRO</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38842-2022</t>
        </is>
      </c>
      <c r="B204" s="1" t="n">
        <v>44814</v>
      </c>
      <c r="C204" s="1" t="n">
        <v>46072</v>
      </c>
      <c r="D204" t="inlineStr">
        <is>
          <t>ÖREBRO LÄN</t>
        </is>
      </c>
      <c r="E204" t="inlineStr">
        <is>
          <t>ÖREBRO</t>
        </is>
      </c>
      <c r="G204" t="n">
        <v>5</v>
      </c>
      <c r="H204" t="n">
        <v>0</v>
      </c>
      <c r="I204" t="n">
        <v>0</v>
      </c>
      <c r="J204" t="n">
        <v>0</v>
      </c>
      <c r="K204" t="n">
        <v>0</v>
      </c>
      <c r="L204" t="n">
        <v>0</v>
      </c>
      <c r="M204" t="n">
        <v>0</v>
      </c>
      <c r="N204" t="n">
        <v>0</v>
      </c>
      <c r="O204" t="n">
        <v>0</v>
      </c>
      <c r="P204" t="n">
        <v>0</v>
      </c>
      <c r="Q204" t="n">
        <v>0</v>
      </c>
      <c r="R204" s="2" t="inlineStr"/>
    </row>
    <row r="205" ht="15" customHeight="1">
      <c r="A205" t="inlineStr">
        <is>
          <t>A 34358-2022</t>
        </is>
      </c>
      <c r="B205" s="1" t="n">
        <v>44792.45494212963</v>
      </c>
      <c r="C205" s="1" t="n">
        <v>46072</v>
      </c>
      <c r="D205" t="inlineStr">
        <is>
          <t>ÖREBRO LÄN</t>
        </is>
      </c>
      <c r="E205" t="inlineStr">
        <is>
          <t>ÖREBRO</t>
        </is>
      </c>
      <c r="F205" t="inlineStr">
        <is>
          <t>Övriga Aktiebolag</t>
        </is>
      </c>
      <c r="G205" t="n">
        <v>3.4</v>
      </c>
      <c r="H205" t="n">
        <v>0</v>
      </c>
      <c r="I205" t="n">
        <v>0</v>
      </c>
      <c r="J205" t="n">
        <v>0</v>
      </c>
      <c r="K205" t="n">
        <v>0</v>
      </c>
      <c r="L205" t="n">
        <v>0</v>
      </c>
      <c r="M205" t="n">
        <v>0</v>
      </c>
      <c r="N205" t="n">
        <v>0</v>
      </c>
      <c r="O205" t="n">
        <v>0</v>
      </c>
      <c r="P205" t="n">
        <v>0</v>
      </c>
      <c r="Q205" t="n">
        <v>0</v>
      </c>
      <c r="R205" s="2" t="inlineStr"/>
    </row>
    <row r="206" ht="15" customHeight="1">
      <c r="A206" t="inlineStr">
        <is>
          <t>A 46323-2024</t>
        </is>
      </c>
      <c r="B206" s="1" t="n">
        <v>45581.84538194445</v>
      </c>
      <c r="C206" s="1" t="n">
        <v>46072</v>
      </c>
      <c r="D206" t="inlineStr">
        <is>
          <t>ÖREBRO LÄN</t>
        </is>
      </c>
      <c r="E206" t="inlineStr">
        <is>
          <t>ÖREBRO</t>
        </is>
      </c>
      <c r="F206" t="inlineStr">
        <is>
          <t>Övriga Aktiebolag</t>
        </is>
      </c>
      <c r="G206" t="n">
        <v>1.4</v>
      </c>
      <c r="H206" t="n">
        <v>0</v>
      </c>
      <c r="I206" t="n">
        <v>0</v>
      </c>
      <c r="J206" t="n">
        <v>0</v>
      </c>
      <c r="K206" t="n">
        <v>0</v>
      </c>
      <c r="L206" t="n">
        <v>0</v>
      </c>
      <c r="M206" t="n">
        <v>0</v>
      </c>
      <c r="N206" t="n">
        <v>0</v>
      </c>
      <c r="O206" t="n">
        <v>0</v>
      </c>
      <c r="P206" t="n">
        <v>0</v>
      </c>
      <c r="Q206" t="n">
        <v>0</v>
      </c>
      <c r="R206" s="2" t="inlineStr"/>
    </row>
    <row r="207" ht="15" customHeight="1">
      <c r="A207" t="inlineStr">
        <is>
          <t>A 37022-2024</t>
        </is>
      </c>
      <c r="B207" s="1" t="n">
        <v>45539.3822337963</v>
      </c>
      <c r="C207" s="1" t="n">
        <v>46072</v>
      </c>
      <c r="D207" t="inlineStr">
        <is>
          <t>ÖREBRO LÄN</t>
        </is>
      </c>
      <c r="E207" t="inlineStr">
        <is>
          <t>ÖREBRO</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37024-2024</t>
        </is>
      </c>
      <c r="B208" s="1" t="n">
        <v>45539.38329861111</v>
      </c>
      <c r="C208" s="1" t="n">
        <v>46072</v>
      </c>
      <c r="D208" t="inlineStr">
        <is>
          <t>ÖREBRO LÄN</t>
        </is>
      </c>
      <c r="E208" t="inlineStr">
        <is>
          <t>ÖREBRO</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47047-2022</t>
        </is>
      </c>
      <c r="B209" s="1" t="n">
        <v>44852.39063657408</v>
      </c>
      <c r="C209" s="1" t="n">
        <v>46072</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39479-2025</t>
        </is>
      </c>
      <c r="B210" s="1" t="n">
        <v>45890.34752314815</v>
      </c>
      <c r="C210" s="1" t="n">
        <v>46072</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22348-2024</t>
        </is>
      </c>
      <c r="B211" s="1" t="n">
        <v>45446.61256944444</v>
      </c>
      <c r="C211" s="1" t="n">
        <v>46072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46072</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30089-2024</t>
        </is>
      </c>
      <c r="B213" s="1" t="n">
        <v>45485</v>
      </c>
      <c r="C213" s="1" t="n">
        <v>46072</v>
      </c>
      <c r="D213" t="inlineStr">
        <is>
          <t>ÖREBRO LÄN</t>
        </is>
      </c>
      <c r="E213" t="inlineStr">
        <is>
          <t>ÖREBRO</t>
        </is>
      </c>
      <c r="G213" t="n">
        <v>2.2</v>
      </c>
      <c r="H213" t="n">
        <v>0</v>
      </c>
      <c r="I213" t="n">
        <v>0</v>
      </c>
      <c r="J213" t="n">
        <v>0</v>
      </c>
      <c r="K213" t="n">
        <v>0</v>
      </c>
      <c r="L213" t="n">
        <v>0</v>
      </c>
      <c r="M213" t="n">
        <v>0</v>
      </c>
      <c r="N213" t="n">
        <v>0</v>
      </c>
      <c r="O213" t="n">
        <v>0</v>
      </c>
      <c r="P213" t="n">
        <v>0</v>
      </c>
      <c r="Q213" t="n">
        <v>0</v>
      </c>
      <c r="R213" s="2" t="inlineStr"/>
    </row>
    <row r="214" ht="15" customHeight="1">
      <c r="A214" t="inlineStr">
        <is>
          <t>A 5643-2025</t>
        </is>
      </c>
      <c r="B214" s="1" t="n">
        <v>45693</v>
      </c>
      <c r="C214" s="1" t="n">
        <v>46072</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40330-2025</t>
        </is>
      </c>
      <c r="B215" s="1" t="n">
        <v>45895.4531712963</v>
      </c>
      <c r="C215" s="1" t="n">
        <v>46072</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40332-2025</t>
        </is>
      </c>
      <c r="B216" s="1" t="n">
        <v>45895.46060185185</v>
      </c>
      <c r="C216" s="1" t="n">
        <v>46072</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46030-2024</t>
        </is>
      </c>
      <c r="B217" s="1" t="n">
        <v>45580.70377314815</v>
      </c>
      <c r="C217" s="1" t="n">
        <v>46072</v>
      </c>
      <c r="D217" t="inlineStr">
        <is>
          <t>ÖREBRO LÄN</t>
        </is>
      </c>
      <c r="E217" t="inlineStr">
        <is>
          <t>ÖREBRO</t>
        </is>
      </c>
      <c r="G217" t="n">
        <v>3.9</v>
      </c>
      <c r="H217" t="n">
        <v>0</v>
      </c>
      <c r="I217" t="n">
        <v>0</v>
      </c>
      <c r="J217" t="n">
        <v>0</v>
      </c>
      <c r="K217" t="n">
        <v>0</v>
      </c>
      <c r="L217" t="n">
        <v>0</v>
      </c>
      <c r="M217" t="n">
        <v>0</v>
      </c>
      <c r="N217" t="n">
        <v>0</v>
      </c>
      <c r="O217" t="n">
        <v>0</v>
      </c>
      <c r="P217" t="n">
        <v>0</v>
      </c>
      <c r="Q217" t="n">
        <v>0</v>
      </c>
      <c r="R217" s="2" t="inlineStr"/>
    </row>
    <row r="218" ht="15" customHeight="1">
      <c r="A218" t="inlineStr">
        <is>
          <t>A 5342-2024</t>
        </is>
      </c>
      <c r="B218" s="1" t="n">
        <v>45331.44145833333</v>
      </c>
      <c r="C218" s="1" t="n">
        <v>46072</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58598-2022</t>
        </is>
      </c>
      <c r="B219" s="1" t="n">
        <v>44902</v>
      </c>
      <c r="C219" s="1" t="n">
        <v>46072</v>
      </c>
      <c r="D219" t="inlineStr">
        <is>
          <t>ÖREBRO LÄN</t>
        </is>
      </c>
      <c r="E219" t="inlineStr">
        <is>
          <t>ÖREBRO</t>
        </is>
      </c>
      <c r="G219" t="n">
        <v>0.4</v>
      </c>
      <c r="H219" t="n">
        <v>0</v>
      </c>
      <c r="I219" t="n">
        <v>0</v>
      </c>
      <c r="J219" t="n">
        <v>0</v>
      </c>
      <c r="K219" t="n">
        <v>0</v>
      </c>
      <c r="L219" t="n">
        <v>0</v>
      </c>
      <c r="M219" t="n">
        <v>0</v>
      </c>
      <c r="N219" t="n">
        <v>0</v>
      </c>
      <c r="O219" t="n">
        <v>0</v>
      </c>
      <c r="P219" t="n">
        <v>0</v>
      </c>
      <c r="Q219" t="n">
        <v>0</v>
      </c>
      <c r="R219" s="2" t="inlineStr"/>
    </row>
    <row r="220" ht="15" customHeight="1">
      <c r="A220" t="inlineStr">
        <is>
          <t>A 71295-2021</t>
        </is>
      </c>
      <c r="B220" s="1" t="n">
        <v>44539.63009259259</v>
      </c>
      <c r="C220" s="1" t="n">
        <v>46072</v>
      </c>
      <c r="D220" t="inlineStr">
        <is>
          <t>ÖREBRO LÄN</t>
        </is>
      </c>
      <c r="E220" t="inlineStr">
        <is>
          <t>ÖREBRO</t>
        </is>
      </c>
      <c r="G220" t="n">
        <v>2.3</v>
      </c>
      <c r="H220" t="n">
        <v>0</v>
      </c>
      <c r="I220" t="n">
        <v>0</v>
      </c>
      <c r="J220" t="n">
        <v>0</v>
      </c>
      <c r="K220" t="n">
        <v>0</v>
      </c>
      <c r="L220" t="n">
        <v>0</v>
      </c>
      <c r="M220" t="n">
        <v>0</v>
      </c>
      <c r="N220" t="n">
        <v>0</v>
      </c>
      <c r="O220" t="n">
        <v>0</v>
      </c>
      <c r="P220" t="n">
        <v>0</v>
      </c>
      <c r="Q220" t="n">
        <v>0</v>
      </c>
      <c r="R220" s="2" t="inlineStr"/>
    </row>
    <row r="221" ht="15" customHeight="1">
      <c r="A221" t="inlineStr">
        <is>
          <t>A 13158-2024</t>
        </is>
      </c>
      <c r="B221" s="1" t="n">
        <v>45386.38728009259</v>
      </c>
      <c r="C221" s="1" t="n">
        <v>46072</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11516-2024</t>
        </is>
      </c>
      <c r="B222" s="1" t="n">
        <v>45372</v>
      </c>
      <c r="C222" s="1" t="n">
        <v>46072</v>
      </c>
      <c r="D222" t="inlineStr">
        <is>
          <t>ÖREBRO LÄN</t>
        </is>
      </c>
      <c r="E222" t="inlineStr">
        <is>
          <t>ÖREBRO</t>
        </is>
      </c>
      <c r="G222" t="n">
        <v>10.7</v>
      </c>
      <c r="H222" t="n">
        <v>0</v>
      </c>
      <c r="I222" t="n">
        <v>0</v>
      </c>
      <c r="J222" t="n">
        <v>0</v>
      </c>
      <c r="K222" t="n">
        <v>0</v>
      </c>
      <c r="L222" t="n">
        <v>0</v>
      </c>
      <c r="M222" t="n">
        <v>0</v>
      </c>
      <c r="N222" t="n">
        <v>0</v>
      </c>
      <c r="O222" t="n">
        <v>0</v>
      </c>
      <c r="P222" t="n">
        <v>0</v>
      </c>
      <c r="Q222" t="n">
        <v>0</v>
      </c>
      <c r="R222" s="2" t="inlineStr"/>
    </row>
    <row r="223" ht="15" customHeight="1">
      <c r="A223" t="inlineStr">
        <is>
          <t>A 48644-2024</t>
        </is>
      </c>
      <c r="B223" s="1" t="n">
        <v>45593.47466435185</v>
      </c>
      <c r="C223" s="1" t="n">
        <v>46072</v>
      </c>
      <c r="D223" t="inlineStr">
        <is>
          <t>ÖREBRO LÄN</t>
        </is>
      </c>
      <c r="E223" t="inlineStr">
        <is>
          <t>ÖREBRO</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51331-2023</t>
        </is>
      </c>
      <c r="B224" s="1" t="n">
        <v>45219</v>
      </c>
      <c r="C224" s="1" t="n">
        <v>46072</v>
      </c>
      <c r="D224" t="inlineStr">
        <is>
          <t>ÖREBRO LÄN</t>
        </is>
      </c>
      <c r="E224" t="inlineStr">
        <is>
          <t>ÖREBRO</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25578-2025</t>
        </is>
      </c>
      <c r="B225" s="1" t="n">
        <v>45803.47803240741</v>
      </c>
      <c r="C225" s="1" t="n">
        <v>46072</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34874-2022</t>
        </is>
      </c>
      <c r="B226" s="1" t="n">
        <v>44796</v>
      </c>
      <c r="C226" s="1" t="n">
        <v>46072</v>
      </c>
      <c r="D226" t="inlineStr">
        <is>
          <t>ÖREBRO LÄN</t>
        </is>
      </c>
      <c r="E226" t="inlineStr">
        <is>
          <t>ÖREBRO</t>
        </is>
      </c>
      <c r="F226" t="inlineStr">
        <is>
          <t>Övriga Aktiebolag</t>
        </is>
      </c>
      <c r="G226" t="n">
        <v>2.3</v>
      </c>
      <c r="H226" t="n">
        <v>0</v>
      </c>
      <c r="I226" t="n">
        <v>0</v>
      </c>
      <c r="J226" t="n">
        <v>0</v>
      </c>
      <c r="K226" t="n">
        <v>0</v>
      </c>
      <c r="L226" t="n">
        <v>0</v>
      </c>
      <c r="M226" t="n">
        <v>0</v>
      </c>
      <c r="N226" t="n">
        <v>0</v>
      </c>
      <c r="O226" t="n">
        <v>0</v>
      </c>
      <c r="P226" t="n">
        <v>0</v>
      </c>
      <c r="Q226" t="n">
        <v>0</v>
      </c>
      <c r="R226" s="2" t="inlineStr"/>
    </row>
    <row r="227" ht="15" customHeight="1">
      <c r="A227" t="inlineStr">
        <is>
          <t>A 25519-2025</t>
        </is>
      </c>
      <c r="B227" s="1" t="n">
        <v>45803.38447916666</v>
      </c>
      <c r="C227" s="1" t="n">
        <v>46072</v>
      </c>
      <c r="D227" t="inlineStr">
        <is>
          <t>ÖREBRO LÄN</t>
        </is>
      </c>
      <c r="E227" t="inlineStr">
        <is>
          <t>ÖREBRO</t>
        </is>
      </c>
      <c r="G227" t="n">
        <v>7.4</v>
      </c>
      <c r="H227" t="n">
        <v>0</v>
      </c>
      <c r="I227" t="n">
        <v>0</v>
      </c>
      <c r="J227" t="n">
        <v>0</v>
      </c>
      <c r="K227" t="n">
        <v>0</v>
      </c>
      <c r="L227" t="n">
        <v>0</v>
      </c>
      <c r="M227" t="n">
        <v>0</v>
      </c>
      <c r="N227" t="n">
        <v>0</v>
      </c>
      <c r="O227" t="n">
        <v>0</v>
      </c>
      <c r="P227" t="n">
        <v>0</v>
      </c>
      <c r="Q227" t="n">
        <v>0</v>
      </c>
      <c r="R227" s="2" t="inlineStr"/>
    </row>
    <row r="228" ht="15" customHeight="1">
      <c r="A228" t="inlineStr">
        <is>
          <t>A 852-2025</t>
        </is>
      </c>
      <c r="B228" s="1" t="n">
        <v>45665.60148148148</v>
      </c>
      <c r="C228" s="1" t="n">
        <v>46072</v>
      </c>
      <c r="D228" t="inlineStr">
        <is>
          <t>ÖREBRO LÄN</t>
        </is>
      </c>
      <c r="E228" t="inlineStr">
        <is>
          <t>ÖREBRO</t>
        </is>
      </c>
      <c r="G228" t="n">
        <v>2.9</v>
      </c>
      <c r="H228" t="n">
        <v>0</v>
      </c>
      <c r="I228" t="n">
        <v>0</v>
      </c>
      <c r="J228" t="n">
        <v>0</v>
      </c>
      <c r="K228" t="n">
        <v>0</v>
      </c>
      <c r="L228" t="n">
        <v>0</v>
      </c>
      <c r="M228" t="n">
        <v>0</v>
      </c>
      <c r="N228" t="n">
        <v>0</v>
      </c>
      <c r="O228" t="n">
        <v>0</v>
      </c>
      <c r="P228" t="n">
        <v>0</v>
      </c>
      <c r="Q228" t="n">
        <v>0</v>
      </c>
      <c r="R228" s="2" t="inlineStr"/>
    </row>
    <row r="229" ht="15" customHeight="1">
      <c r="A229" t="inlineStr">
        <is>
          <t>A 41412-2025</t>
        </is>
      </c>
      <c r="B229" s="1" t="n">
        <v>45901.3549537037</v>
      </c>
      <c r="C229" s="1" t="n">
        <v>46072</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38583-2023</t>
        </is>
      </c>
      <c r="B230" s="1" t="n">
        <v>45162.62861111111</v>
      </c>
      <c r="C230" s="1" t="n">
        <v>46072</v>
      </c>
      <c r="D230" t="inlineStr">
        <is>
          <t>ÖREBRO LÄN</t>
        </is>
      </c>
      <c r="E230" t="inlineStr">
        <is>
          <t>ÖREBRO</t>
        </is>
      </c>
      <c r="G230" t="n">
        <v>5.7</v>
      </c>
      <c r="H230" t="n">
        <v>0</v>
      </c>
      <c r="I230" t="n">
        <v>0</v>
      </c>
      <c r="J230" t="n">
        <v>0</v>
      </c>
      <c r="K230" t="n">
        <v>0</v>
      </c>
      <c r="L230" t="n">
        <v>0</v>
      </c>
      <c r="M230" t="n">
        <v>0</v>
      </c>
      <c r="N230" t="n">
        <v>0</v>
      </c>
      <c r="O230" t="n">
        <v>0</v>
      </c>
      <c r="P230" t="n">
        <v>0</v>
      </c>
      <c r="Q230" t="n">
        <v>0</v>
      </c>
      <c r="R230" s="2" t="inlineStr"/>
    </row>
    <row r="231" ht="15" customHeight="1">
      <c r="A231" t="inlineStr">
        <is>
          <t>A 41669-2025</t>
        </is>
      </c>
      <c r="B231" s="1" t="n">
        <v>45902.36149305556</v>
      </c>
      <c r="C231" s="1" t="n">
        <v>46072</v>
      </c>
      <c r="D231" t="inlineStr">
        <is>
          <t>ÖREBRO LÄN</t>
        </is>
      </c>
      <c r="E231" t="inlineStr">
        <is>
          <t>ÖREBRO</t>
        </is>
      </c>
      <c r="G231" t="n">
        <v>2.8</v>
      </c>
      <c r="H231" t="n">
        <v>0</v>
      </c>
      <c r="I231" t="n">
        <v>0</v>
      </c>
      <c r="J231" t="n">
        <v>0</v>
      </c>
      <c r="K231" t="n">
        <v>0</v>
      </c>
      <c r="L231" t="n">
        <v>0</v>
      </c>
      <c r="M231" t="n">
        <v>0</v>
      </c>
      <c r="N231" t="n">
        <v>0</v>
      </c>
      <c r="O231" t="n">
        <v>0</v>
      </c>
      <c r="P231" t="n">
        <v>0</v>
      </c>
      <c r="Q231" t="n">
        <v>0</v>
      </c>
      <c r="R231" s="2" t="inlineStr"/>
    </row>
    <row r="232" ht="15" customHeight="1">
      <c r="A232" t="inlineStr">
        <is>
          <t>A 57537-2025</t>
        </is>
      </c>
      <c r="B232" s="1" t="n">
        <v>45980.6446875</v>
      </c>
      <c r="C232" s="1" t="n">
        <v>46072</v>
      </c>
      <c r="D232" t="inlineStr">
        <is>
          <t>ÖREBRO LÄN</t>
        </is>
      </c>
      <c r="E232" t="inlineStr">
        <is>
          <t>ÖREBRO</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55745-2023</t>
        </is>
      </c>
      <c r="B233" s="1" t="n">
        <v>45239.44811342593</v>
      </c>
      <c r="C233" s="1" t="n">
        <v>46072</v>
      </c>
      <c r="D233" t="inlineStr">
        <is>
          <t>ÖREBRO LÄN</t>
        </is>
      </c>
      <c r="E233" t="inlineStr">
        <is>
          <t>ÖREBRO</t>
        </is>
      </c>
      <c r="G233" t="n">
        <v>13.3</v>
      </c>
      <c r="H233" t="n">
        <v>0</v>
      </c>
      <c r="I233" t="n">
        <v>0</v>
      </c>
      <c r="J233" t="n">
        <v>0</v>
      </c>
      <c r="K233" t="n">
        <v>0</v>
      </c>
      <c r="L233" t="n">
        <v>0</v>
      </c>
      <c r="M233" t="n">
        <v>0</v>
      </c>
      <c r="N233" t="n">
        <v>0</v>
      </c>
      <c r="O233" t="n">
        <v>0</v>
      </c>
      <c r="P233" t="n">
        <v>0</v>
      </c>
      <c r="Q233" t="n">
        <v>0</v>
      </c>
      <c r="R233" s="2" t="inlineStr"/>
    </row>
    <row r="234" ht="15" customHeight="1">
      <c r="A234" t="inlineStr">
        <is>
          <t>A 38573-2023</t>
        </is>
      </c>
      <c r="B234" s="1" t="n">
        <v>45162.61837962963</v>
      </c>
      <c r="C234" s="1" t="n">
        <v>46072</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13856-2022</t>
        </is>
      </c>
      <c r="B235" s="1" t="n">
        <v>44649.6965162037</v>
      </c>
      <c r="C235" s="1" t="n">
        <v>46072</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52256-2023</t>
        </is>
      </c>
      <c r="B236" s="1" t="n">
        <v>45224.51471064815</v>
      </c>
      <c r="C236" s="1" t="n">
        <v>46072</v>
      </c>
      <c r="D236" t="inlineStr">
        <is>
          <t>ÖREBRO LÄN</t>
        </is>
      </c>
      <c r="E236" t="inlineStr">
        <is>
          <t>ÖREBRO</t>
        </is>
      </c>
      <c r="G236" t="n">
        <v>2.8</v>
      </c>
      <c r="H236" t="n">
        <v>0</v>
      </c>
      <c r="I236" t="n">
        <v>0</v>
      </c>
      <c r="J236" t="n">
        <v>0</v>
      </c>
      <c r="K236" t="n">
        <v>0</v>
      </c>
      <c r="L236" t="n">
        <v>0</v>
      </c>
      <c r="M236" t="n">
        <v>0</v>
      </c>
      <c r="N236" t="n">
        <v>0</v>
      </c>
      <c r="O236" t="n">
        <v>0</v>
      </c>
      <c r="P236" t="n">
        <v>0</v>
      </c>
      <c r="Q236" t="n">
        <v>0</v>
      </c>
      <c r="R236" s="2" t="inlineStr"/>
    </row>
    <row r="237" ht="15" customHeight="1">
      <c r="A237" t="inlineStr">
        <is>
          <t>A 60289-2023</t>
        </is>
      </c>
      <c r="B237" s="1" t="n">
        <v>45257</v>
      </c>
      <c r="C237" s="1" t="n">
        <v>46072</v>
      </c>
      <c r="D237" t="inlineStr">
        <is>
          <t>ÖREBRO LÄN</t>
        </is>
      </c>
      <c r="E237" t="inlineStr">
        <is>
          <t>ÖREBRO</t>
        </is>
      </c>
      <c r="G237" t="n">
        <v>10.9</v>
      </c>
      <c r="H237" t="n">
        <v>0</v>
      </c>
      <c r="I237" t="n">
        <v>0</v>
      </c>
      <c r="J237" t="n">
        <v>0</v>
      </c>
      <c r="K237" t="n">
        <v>0</v>
      </c>
      <c r="L237" t="n">
        <v>0</v>
      </c>
      <c r="M237" t="n">
        <v>0</v>
      </c>
      <c r="N237" t="n">
        <v>0</v>
      </c>
      <c r="O237" t="n">
        <v>0</v>
      </c>
      <c r="P237" t="n">
        <v>0</v>
      </c>
      <c r="Q237" t="n">
        <v>0</v>
      </c>
      <c r="R237" s="2" t="inlineStr"/>
    </row>
    <row r="238" ht="15" customHeight="1">
      <c r="A238" t="inlineStr">
        <is>
          <t>A 12017-2024</t>
        </is>
      </c>
      <c r="B238" s="1" t="n">
        <v>45377</v>
      </c>
      <c r="C238" s="1" t="n">
        <v>46072</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54678-2023</t>
        </is>
      </c>
      <c r="B239" s="1" t="n">
        <v>45235</v>
      </c>
      <c r="C239" s="1" t="n">
        <v>46072</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190-2024</t>
        </is>
      </c>
      <c r="B240" s="1" t="n">
        <v>45294.61858796296</v>
      </c>
      <c r="C240" s="1" t="n">
        <v>46072</v>
      </c>
      <c r="D240" t="inlineStr">
        <is>
          <t>ÖREBRO LÄN</t>
        </is>
      </c>
      <c r="E240" t="inlineStr">
        <is>
          <t>ÖREBRO</t>
        </is>
      </c>
      <c r="G240" t="n">
        <v>2.4</v>
      </c>
      <c r="H240" t="n">
        <v>0</v>
      </c>
      <c r="I240" t="n">
        <v>0</v>
      </c>
      <c r="J240" t="n">
        <v>0</v>
      </c>
      <c r="K240" t="n">
        <v>0</v>
      </c>
      <c r="L240" t="n">
        <v>0</v>
      </c>
      <c r="M240" t="n">
        <v>0</v>
      </c>
      <c r="N240" t="n">
        <v>0</v>
      </c>
      <c r="O240" t="n">
        <v>0</v>
      </c>
      <c r="P240" t="n">
        <v>0</v>
      </c>
      <c r="Q240" t="n">
        <v>0</v>
      </c>
      <c r="R240" s="2" t="inlineStr"/>
    </row>
    <row r="241" ht="15" customHeight="1">
      <c r="A241" t="inlineStr">
        <is>
          <t>A 27180-2025</t>
        </is>
      </c>
      <c r="B241" s="1" t="n">
        <v>45812.35736111111</v>
      </c>
      <c r="C241" s="1" t="n">
        <v>46072</v>
      </c>
      <c r="D241" t="inlineStr">
        <is>
          <t>ÖREBRO LÄN</t>
        </is>
      </c>
      <c r="E241" t="inlineStr">
        <is>
          <t>ÖREBRO</t>
        </is>
      </c>
      <c r="G241" t="n">
        <v>1.3</v>
      </c>
      <c r="H241" t="n">
        <v>0</v>
      </c>
      <c r="I241" t="n">
        <v>0</v>
      </c>
      <c r="J241" t="n">
        <v>0</v>
      </c>
      <c r="K241" t="n">
        <v>0</v>
      </c>
      <c r="L241" t="n">
        <v>0</v>
      </c>
      <c r="M241" t="n">
        <v>0</v>
      </c>
      <c r="N241" t="n">
        <v>0</v>
      </c>
      <c r="O241" t="n">
        <v>0</v>
      </c>
      <c r="P241" t="n">
        <v>0</v>
      </c>
      <c r="Q241" t="n">
        <v>0</v>
      </c>
      <c r="R241" s="2" t="inlineStr"/>
    </row>
    <row r="242" ht="15" customHeight="1">
      <c r="A242" t="inlineStr">
        <is>
          <t>A 27215-2025</t>
        </is>
      </c>
      <c r="B242" s="1" t="n">
        <v>45812.41869212963</v>
      </c>
      <c r="C242" s="1" t="n">
        <v>46072</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27225-2025</t>
        </is>
      </c>
      <c r="B243" s="1" t="n">
        <v>45812.42856481481</v>
      </c>
      <c r="C243" s="1" t="n">
        <v>46072</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44511-2023</t>
        </is>
      </c>
      <c r="B244" s="1" t="n">
        <v>45189</v>
      </c>
      <c r="C244" s="1" t="n">
        <v>46072</v>
      </c>
      <c r="D244" t="inlineStr">
        <is>
          <t>ÖREBRO LÄN</t>
        </is>
      </c>
      <c r="E244" t="inlineStr">
        <is>
          <t>ÖREBRO</t>
        </is>
      </c>
      <c r="F244" t="inlineStr">
        <is>
          <t>Allmännings- och besparingsskogar</t>
        </is>
      </c>
      <c r="G244" t="n">
        <v>2.7</v>
      </c>
      <c r="H244" t="n">
        <v>0</v>
      </c>
      <c r="I244" t="n">
        <v>0</v>
      </c>
      <c r="J244" t="n">
        <v>0</v>
      </c>
      <c r="K244" t="n">
        <v>0</v>
      </c>
      <c r="L244" t="n">
        <v>0</v>
      </c>
      <c r="M244" t="n">
        <v>0</v>
      </c>
      <c r="N244" t="n">
        <v>0</v>
      </c>
      <c r="O244" t="n">
        <v>0</v>
      </c>
      <c r="P244" t="n">
        <v>0</v>
      </c>
      <c r="Q244" t="n">
        <v>0</v>
      </c>
      <c r="R244" s="2" t="inlineStr"/>
    </row>
    <row r="245" ht="15" customHeight="1">
      <c r="A245" t="inlineStr">
        <is>
          <t>A 27220-2025</t>
        </is>
      </c>
      <c r="B245" s="1" t="n">
        <v>45812.42293981482</v>
      </c>
      <c r="C245" s="1" t="n">
        <v>46072</v>
      </c>
      <c r="D245" t="inlineStr">
        <is>
          <t>ÖREBRO LÄN</t>
        </is>
      </c>
      <c r="E245" t="inlineStr">
        <is>
          <t>ÖREBRO</t>
        </is>
      </c>
      <c r="G245" t="n">
        <v>0.6</v>
      </c>
      <c r="H245" t="n">
        <v>0</v>
      </c>
      <c r="I245" t="n">
        <v>0</v>
      </c>
      <c r="J245" t="n">
        <v>0</v>
      </c>
      <c r="K245" t="n">
        <v>0</v>
      </c>
      <c r="L245" t="n">
        <v>0</v>
      </c>
      <c r="M245" t="n">
        <v>0</v>
      </c>
      <c r="N245" t="n">
        <v>0</v>
      </c>
      <c r="O245" t="n">
        <v>0</v>
      </c>
      <c r="P245" t="n">
        <v>0</v>
      </c>
      <c r="Q245" t="n">
        <v>0</v>
      </c>
      <c r="R245" s="2" t="inlineStr"/>
    </row>
    <row r="246" ht="15" customHeight="1">
      <c r="A246" t="inlineStr">
        <is>
          <t>A 52447-2024</t>
        </is>
      </c>
      <c r="B246" s="1" t="n">
        <v>45609.49157407408</v>
      </c>
      <c r="C246" s="1" t="n">
        <v>46072</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43803-2023</t>
        </is>
      </c>
      <c r="B247" s="1" t="n">
        <v>45187</v>
      </c>
      <c r="C247" s="1" t="n">
        <v>46072</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55943-2024</t>
        </is>
      </c>
      <c r="B248" s="1" t="n">
        <v>45623.61278935185</v>
      </c>
      <c r="C248" s="1" t="n">
        <v>46072</v>
      </c>
      <c r="D248" t="inlineStr">
        <is>
          <t>ÖREBRO LÄN</t>
        </is>
      </c>
      <c r="E248" t="inlineStr">
        <is>
          <t>ÖREBRO</t>
        </is>
      </c>
      <c r="G248" t="n">
        <v>4.8</v>
      </c>
      <c r="H248" t="n">
        <v>0</v>
      </c>
      <c r="I248" t="n">
        <v>0</v>
      </c>
      <c r="J248" t="n">
        <v>0</v>
      </c>
      <c r="K248" t="n">
        <v>0</v>
      </c>
      <c r="L248" t="n">
        <v>0</v>
      </c>
      <c r="M248" t="n">
        <v>0</v>
      </c>
      <c r="N248" t="n">
        <v>0</v>
      </c>
      <c r="O248" t="n">
        <v>0</v>
      </c>
      <c r="P248" t="n">
        <v>0</v>
      </c>
      <c r="Q248" t="n">
        <v>0</v>
      </c>
      <c r="R248" s="2" t="inlineStr"/>
    </row>
    <row r="249" ht="15" customHeight="1">
      <c r="A249" t="inlineStr">
        <is>
          <t>A 58230-2025</t>
        </is>
      </c>
      <c r="B249" s="1" t="n">
        <v>45985.38037037037</v>
      </c>
      <c r="C249" s="1" t="n">
        <v>46072</v>
      </c>
      <c r="D249" t="inlineStr">
        <is>
          <t>ÖREBRO LÄN</t>
        </is>
      </c>
      <c r="E249" t="inlineStr">
        <is>
          <t>ÖREBRO</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28120-2025</t>
        </is>
      </c>
      <c r="B250" s="1" t="n">
        <v>45818.30459490741</v>
      </c>
      <c r="C250" s="1" t="n">
        <v>46072</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60028-2024</t>
        </is>
      </c>
      <c r="B251" s="1" t="n">
        <v>45642</v>
      </c>
      <c r="C251" s="1" t="n">
        <v>46072</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6794-2025</t>
        </is>
      </c>
      <c r="B252" s="1" t="n">
        <v>45700.66429398148</v>
      </c>
      <c r="C252" s="1" t="n">
        <v>46072</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28938-2025</t>
        </is>
      </c>
      <c r="B253" s="1" t="n">
        <v>45820.70626157407</v>
      </c>
      <c r="C253" s="1" t="n">
        <v>46072</v>
      </c>
      <c r="D253" t="inlineStr">
        <is>
          <t>ÖREBRO LÄN</t>
        </is>
      </c>
      <c r="E253" t="inlineStr">
        <is>
          <t>ÖREBRO</t>
        </is>
      </c>
      <c r="G253" t="n">
        <v>1.9</v>
      </c>
      <c r="H253" t="n">
        <v>0</v>
      </c>
      <c r="I253" t="n">
        <v>0</v>
      </c>
      <c r="J253" t="n">
        <v>0</v>
      </c>
      <c r="K253" t="n">
        <v>0</v>
      </c>
      <c r="L253" t="n">
        <v>0</v>
      </c>
      <c r="M253" t="n">
        <v>0</v>
      </c>
      <c r="N253" t="n">
        <v>0</v>
      </c>
      <c r="O253" t="n">
        <v>0</v>
      </c>
      <c r="P253" t="n">
        <v>0</v>
      </c>
      <c r="Q253" t="n">
        <v>0</v>
      </c>
      <c r="R253" s="2" t="inlineStr"/>
    </row>
    <row r="254" ht="15" customHeight="1">
      <c r="A254" t="inlineStr">
        <is>
          <t>A 44960-2025</t>
        </is>
      </c>
      <c r="B254" s="1" t="n">
        <v>45918.61577546296</v>
      </c>
      <c r="C254" s="1" t="n">
        <v>46072</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2596-2022</t>
        </is>
      </c>
      <c r="B255" s="1" t="n">
        <v>44580</v>
      </c>
      <c r="C255" s="1" t="n">
        <v>46072</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28920-2025</t>
        </is>
      </c>
      <c r="B256" s="1" t="n">
        <v>45820.66532407407</v>
      </c>
      <c r="C256" s="1" t="n">
        <v>46072</v>
      </c>
      <c r="D256" t="inlineStr">
        <is>
          <t>ÖREBRO LÄN</t>
        </is>
      </c>
      <c r="E256" t="inlineStr">
        <is>
          <t>ÖREBRO</t>
        </is>
      </c>
      <c r="G256" t="n">
        <v>3</v>
      </c>
      <c r="H256" t="n">
        <v>0</v>
      </c>
      <c r="I256" t="n">
        <v>0</v>
      </c>
      <c r="J256" t="n">
        <v>0</v>
      </c>
      <c r="K256" t="n">
        <v>0</v>
      </c>
      <c r="L256" t="n">
        <v>0</v>
      </c>
      <c r="M256" t="n">
        <v>0</v>
      </c>
      <c r="N256" t="n">
        <v>0</v>
      </c>
      <c r="O256" t="n">
        <v>0</v>
      </c>
      <c r="P256" t="n">
        <v>0</v>
      </c>
      <c r="Q256" t="n">
        <v>0</v>
      </c>
      <c r="R256" s="2" t="inlineStr"/>
    </row>
    <row r="257" ht="15" customHeight="1">
      <c r="A257" t="inlineStr">
        <is>
          <t>A 29339-2025</t>
        </is>
      </c>
      <c r="B257" s="1" t="n">
        <v>45824.5044212963</v>
      </c>
      <c r="C257" s="1" t="n">
        <v>46072</v>
      </c>
      <c r="D257" t="inlineStr">
        <is>
          <t>ÖREBRO LÄN</t>
        </is>
      </c>
      <c r="E257" t="inlineStr">
        <is>
          <t>ÖREBRO</t>
        </is>
      </c>
      <c r="G257" t="n">
        <v>4.3</v>
      </c>
      <c r="H257" t="n">
        <v>0</v>
      </c>
      <c r="I257" t="n">
        <v>0</v>
      </c>
      <c r="J257" t="n">
        <v>0</v>
      </c>
      <c r="K257" t="n">
        <v>0</v>
      </c>
      <c r="L257" t="n">
        <v>0</v>
      </c>
      <c r="M257" t="n">
        <v>0</v>
      </c>
      <c r="N257" t="n">
        <v>0</v>
      </c>
      <c r="O257" t="n">
        <v>0</v>
      </c>
      <c r="P257" t="n">
        <v>0</v>
      </c>
      <c r="Q257" t="n">
        <v>0</v>
      </c>
      <c r="R257" s="2" t="inlineStr"/>
    </row>
    <row r="258" ht="15" customHeight="1">
      <c r="A258" t="inlineStr">
        <is>
          <t>A 60059-2023</t>
        </is>
      </c>
      <c r="B258" s="1" t="n">
        <v>45258.38157407408</v>
      </c>
      <c r="C258" s="1" t="n">
        <v>46072</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26858-2024</t>
        </is>
      </c>
      <c r="B259" s="1" t="n">
        <v>45470</v>
      </c>
      <c r="C259" s="1" t="n">
        <v>46072</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13857-2022</t>
        </is>
      </c>
      <c r="B260" s="1" t="n">
        <v>44649</v>
      </c>
      <c r="C260" s="1" t="n">
        <v>46072</v>
      </c>
      <c r="D260" t="inlineStr">
        <is>
          <t>ÖREBRO LÄN</t>
        </is>
      </c>
      <c r="E260" t="inlineStr">
        <is>
          <t>ÖREBRO</t>
        </is>
      </c>
      <c r="G260" t="n">
        <v>0.6</v>
      </c>
      <c r="H260" t="n">
        <v>0</v>
      </c>
      <c r="I260" t="n">
        <v>0</v>
      </c>
      <c r="J260" t="n">
        <v>0</v>
      </c>
      <c r="K260" t="n">
        <v>0</v>
      </c>
      <c r="L260" t="n">
        <v>0</v>
      </c>
      <c r="M260" t="n">
        <v>0</v>
      </c>
      <c r="N260" t="n">
        <v>0</v>
      </c>
      <c r="O260" t="n">
        <v>0</v>
      </c>
      <c r="P260" t="n">
        <v>0</v>
      </c>
      <c r="Q260" t="n">
        <v>0</v>
      </c>
      <c r="R260" s="2" t="inlineStr"/>
    </row>
    <row r="261" ht="15" customHeight="1">
      <c r="A261" t="inlineStr">
        <is>
          <t>A 44875-2025</t>
        </is>
      </c>
      <c r="B261" s="1" t="n">
        <v>45918.47043981482</v>
      </c>
      <c r="C261" s="1" t="n">
        <v>46072</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55692-2023</t>
        </is>
      </c>
      <c r="B262" s="1" t="n">
        <v>45239</v>
      </c>
      <c r="C262" s="1" t="n">
        <v>46072</v>
      </c>
      <c r="D262" t="inlineStr">
        <is>
          <t>ÖREBRO LÄN</t>
        </is>
      </c>
      <c r="E262" t="inlineStr">
        <is>
          <t>ÖREBRO</t>
        </is>
      </c>
      <c r="F262" t="inlineStr">
        <is>
          <t>Övriga Aktiebolag</t>
        </is>
      </c>
      <c r="G262" t="n">
        <v>0.4</v>
      </c>
      <c r="H262" t="n">
        <v>0</v>
      </c>
      <c r="I262" t="n">
        <v>0</v>
      </c>
      <c r="J262" t="n">
        <v>0</v>
      </c>
      <c r="K262" t="n">
        <v>0</v>
      </c>
      <c r="L262" t="n">
        <v>0</v>
      </c>
      <c r="M262" t="n">
        <v>0</v>
      </c>
      <c r="N262" t="n">
        <v>0</v>
      </c>
      <c r="O262" t="n">
        <v>0</v>
      </c>
      <c r="P262" t="n">
        <v>0</v>
      </c>
      <c r="Q262" t="n">
        <v>0</v>
      </c>
      <c r="R262" s="2" t="inlineStr"/>
    </row>
    <row r="263" ht="15" customHeight="1">
      <c r="A263" t="inlineStr">
        <is>
          <t>A 29701-2025</t>
        </is>
      </c>
      <c r="B263" s="1" t="n">
        <v>45825.55261574074</v>
      </c>
      <c r="C263" s="1" t="n">
        <v>46072</v>
      </c>
      <c r="D263" t="inlineStr">
        <is>
          <t>ÖREBRO LÄN</t>
        </is>
      </c>
      <c r="E263" t="inlineStr">
        <is>
          <t>ÖREBRO</t>
        </is>
      </c>
      <c r="G263" t="n">
        <v>5.8</v>
      </c>
      <c r="H263" t="n">
        <v>0</v>
      </c>
      <c r="I263" t="n">
        <v>0</v>
      </c>
      <c r="J263" t="n">
        <v>0</v>
      </c>
      <c r="K263" t="n">
        <v>0</v>
      </c>
      <c r="L263" t="n">
        <v>0</v>
      </c>
      <c r="M263" t="n">
        <v>0</v>
      </c>
      <c r="N263" t="n">
        <v>0</v>
      </c>
      <c r="O263" t="n">
        <v>0</v>
      </c>
      <c r="P263" t="n">
        <v>0</v>
      </c>
      <c r="Q263" t="n">
        <v>0</v>
      </c>
      <c r="R263" s="2" t="inlineStr"/>
    </row>
    <row r="264" ht="15" customHeight="1">
      <c r="A264" t="inlineStr">
        <is>
          <t>A 29286-2025</t>
        </is>
      </c>
      <c r="B264" s="1" t="n">
        <v>45824.43502314815</v>
      </c>
      <c r="C264" s="1" t="n">
        <v>46072</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15866-2022</t>
        </is>
      </c>
      <c r="B265" s="1" t="n">
        <v>44664</v>
      </c>
      <c r="C265" s="1" t="n">
        <v>46072</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28054-2022</t>
        </is>
      </c>
      <c r="B266" s="1" t="n">
        <v>44746.41938657407</v>
      </c>
      <c r="C266" s="1" t="n">
        <v>46072</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541-2025</t>
        </is>
      </c>
      <c r="B267" s="1" t="n">
        <v>45664.52034722222</v>
      </c>
      <c r="C267" s="1" t="n">
        <v>46072</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30550-2025</t>
        </is>
      </c>
      <c r="B268" s="1" t="n">
        <v>45831.38224537037</v>
      </c>
      <c r="C268" s="1" t="n">
        <v>46072</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53143-2023</t>
        </is>
      </c>
      <c r="B269" s="1" t="n">
        <v>45229</v>
      </c>
      <c r="C269" s="1" t="n">
        <v>46072</v>
      </c>
      <c r="D269" t="inlineStr">
        <is>
          <t>ÖREBRO LÄN</t>
        </is>
      </c>
      <c r="E269" t="inlineStr">
        <is>
          <t>ÖREBRO</t>
        </is>
      </c>
      <c r="G269" t="n">
        <v>3.3</v>
      </c>
      <c r="H269" t="n">
        <v>0</v>
      </c>
      <c r="I269" t="n">
        <v>0</v>
      </c>
      <c r="J269" t="n">
        <v>0</v>
      </c>
      <c r="K269" t="n">
        <v>0</v>
      </c>
      <c r="L269" t="n">
        <v>0</v>
      </c>
      <c r="M269" t="n">
        <v>0</v>
      </c>
      <c r="N269" t="n">
        <v>0</v>
      </c>
      <c r="O269" t="n">
        <v>0</v>
      </c>
      <c r="P269" t="n">
        <v>0</v>
      </c>
      <c r="Q269" t="n">
        <v>0</v>
      </c>
      <c r="R269" s="2" t="inlineStr"/>
    </row>
    <row r="270" ht="15" customHeight="1">
      <c r="A270" t="inlineStr">
        <is>
          <t>A 25407-2021</t>
        </is>
      </c>
      <c r="B270" s="1" t="n">
        <v>44342</v>
      </c>
      <c r="C270" s="1" t="n">
        <v>46072</v>
      </c>
      <c r="D270" t="inlineStr">
        <is>
          <t>ÖREBRO LÄN</t>
        </is>
      </c>
      <c r="E270" t="inlineStr">
        <is>
          <t>ÖREBRO</t>
        </is>
      </c>
      <c r="F270" t="inlineStr">
        <is>
          <t>Kommuner</t>
        </is>
      </c>
      <c r="G270" t="n">
        <v>7.2</v>
      </c>
      <c r="H270" t="n">
        <v>0</v>
      </c>
      <c r="I270" t="n">
        <v>0</v>
      </c>
      <c r="J270" t="n">
        <v>0</v>
      </c>
      <c r="K270" t="n">
        <v>0</v>
      </c>
      <c r="L270" t="n">
        <v>0</v>
      </c>
      <c r="M270" t="n">
        <v>0</v>
      </c>
      <c r="N270" t="n">
        <v>0</v>
      </c>
      <c r="O270" t="n">
        <v>0</v>
      </c>
      <c r="P270" t="n">
        <v>0</v>
      </c>
      <c r="Q270" t="n">
        <v>0</v>
      </c>
      <c r="R270" s="2" t="inlineStr"/>
    </row>
    <row r="271" ht="15" customHeight="1">
      <c r="A271" t="inlineStr">
        <is>
          <t>A 30731-2025</t>
        </is>
      </c>
      <c r="B271" s="1" t="n">
        <v>45831.57280092593</v>
      </c>
      <c r="C271" s="1" t="n">
        <v>46072</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31232-2025</t>
        </is>
      </c>
      <c r="B272" s="1" t="n">
        <v>45832.8252199074</v>
      </c>
      <c r="C272" s="1" t="n">
        <v>46072</v>
      </c>
      <c r="D272" t="inlineStr">
        <is>
          <t>ÖREBRO LÄN</t>
        </is>
      </c>
      <c r="E272" t="inlineStr">
        <is>
          <t>ÖREBRO</t>
        </is>
      </c>
      <c r="F272" t="inlineStr">
        <is>
          <t>Övriga Aktiebolag</t>
        </is>
      </c>
      <c r="G272" t="n">
        <v>2.1</v>
      </c>
      <c r="H272" t="n">
        <v>0</v>
      </c>
      <c r="I272" t="n">
        <v>0</v>
      </c>
      <c r="J272" t="n">
        <v>0</v>
      </c>
      <c r="K272" t="n">
        <v>0</v>
      </c>
      <c r="L272" t="n">
        <v>0</v>
      </c>
      <c r="M272" t="n">
        <v>0</v>
      </c>
      <c r="N272" t="n">
        <v>0</v>
      </c>
      <c r="O272" t="n">
        <v>0</v>
      </c>
      <c r="P272" t="n">
        <v>0</v>
      </c>
      <c r="Q272" t="n">
        <v>0</v>
      </c>
      <c r="R272" s="2" t="inlineStr"/>
    </row>
    <row r="273" ht="15" customHeight="1">
      <c r="A273" t="inlineStr">
        <is>
          <t>A 30951-2025</t>
        </is>
      </c>
      <c r="B273" s="1" t="n">
        <v>45832.43225694444</v>
      </c>
      <c r="C273" s="1" t="n">
        <v>46072</v>
      </c>
      <c r="D273" t="inlineStr">
        <is>
          <t>ÖREBRO LÄN</t>
        </is>
      </c>
      <c r="E273" t="inlineStr">
        <is>
          <t>ÖREBRO</t>
        </is>
      </c>
      <c r="F273" t="inlineStr">
        <is>
          <t>Övriga Aktiebolag</t>
        </is>
      </c>
      <c r="G273" t="n">
        <v>2.3</v>
      </c>
      <c r="H273" t="n">
        <v>0</v>
      </c>
      <c r="I273" t="n">
        <v>0</v>
      </c>
      <c r="J273" t="n">
        <v>0</v>
      </c>
      <c r="K273" t="n">
        <v>0</v>
      </c>
      <c r="L273" t="n">
        <v>0</v>
      </c>
      <c r="M273" t="n">
        <v>0</v>
      </c>
      <c r="N273" t="n">
        <v>0</v>
      </c>
      <c r="O273" t="n">
        <v>0</v>
      </c>
      <c r="P273" t="n">
        <v>0</v>
      </c>
      <c r="Q273" t="n">
        <v>0</v>
      </c>
      <c r="R273" s="2" t="inlineStr"/>
    </row>
    <row r="274" ht="15" customHeight="1">
      <c r="A274" t="inlineStr">
        <is>
          <t>A 45027-2024</t>
        </is>
      </c>
      <c r="B274" s="1" t="n">
        <v>45575</v>
      </c>
      <c r="C274" s="1" t="n">
        <v>46072</v>
      </c>
      <c r="D274" t="inlineStr">
        <is>
          <t>ÖREBRO LÄN</t>
        </is>
      </c>
      <c r="E274" t="inlineStr">
        <is>
          <t>ÖREBRO</t>
        </is>
      </c>
      <c r="G274" t="n">
        <v>6.3</v>
      </c>
      <c r="H274" t="n">
        <v>0</v>
      </c>
      <c r="I274" t="n">
        <v>0</v>
      </c>
      <c r="J274" t="n">
        <v>0</v>
      </c>
      <c r="K274" t="n">
        <v>0</v>
      </c>
      <c r="L274" t="n">
        <v>0</v>
      </c>
      <c r="M274" t="n">
        <v>0</v>
      </c>
      <c r="N274" t="n">
        <v>0</v>
      </c>
      <c r="O274" t="n">
        <v>0</v>
      </c>
      <c r="P274" t="n">
        <v>0</v>
      </c>
      <c r="Q274" t="n">
        <v>0</v>
      </c>
      <c r="R274" s="2" t="inlineStr"/>
    </row>
    <row r="275" ht="15" customHeight="1">
      <c r="A275" t="inlineStr">
        <is>
          <t>A 58835-2025</t>
        </is>
      </c>
      <c r="B275" s="1" t="n">
        <v>45987.35519675926</v>
      </c>
      <c r="C275" s="1" t="n">
        <v>46072</v>
      </c>
      <c r="D275" t="inlineStr">
        <is>
          <t>ÖREBRO LÄN</t>
        </is>
      </c>
      <c r="E275" t="inlineStr">
        <is>
          <t>ÖREBRO</t>
        </is>
      </c>
      <c r="G275" t="n">
        <v>2.1</v>
      </c>
      <c r="H275" t="n">
        <v>0</v>
      </c>
      <c r="I275" t="n">
        <v>0</v>
      </c>
      <c r="J275" t="n">
        <v>0</v>
      </c>
      <c r="K275" t="n">
        <v>0</v>
      </c>
      <c r="L275" t="n">
        <v>0</v>
      </c>
      <c r="M275" t="n">
        <v>0</v>
      </c>
      <c r="N275" t="n">
        <v>0</v>
      </c>
      <c r="O275" t="n">
        <v>0</v>
      </c>
      <c r="P275" t="n">
        <v>0</v>
      </c>
      <c r="Q275" t="n">
        <v>0</v>
      </c>
      <c r="R275" s="2" t="inlineStr"/>
    </row>
    <row r="276" ht="15" customHeight="1">
      <c r="A276" t="inlineStr">
        <is>
          <t>A 31233-2025</t>
        </is>
      </c>
      <c r="B276" s="1" t="n">
        <v>45832.83341435185</v>
      </c>
      <c r="C276" s="1" t="n">
        <v>46072</v>
      </c>
      <c r="D276" t="inlineStr">
        <is>
          <t>ÖREBRO LÄN</t>
        </is>
      </c>
      <c r="E276" t="inlineStr">
        <is>
          <t>ÖREBRO</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16140-2023</t>
        </is>
      </c>
      <c r="B277" s="1" t="n">
        <v>45027.6433912037</v>
      </c>
      <c r="C277" s="1" t="n">
        <v>46072</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31237-2025</t>
        </is>
      </c>
      <c r="B278" s="1" t="n">
        <v>45832.84313657408</v>
      </c>
      <c r="C278" s="1" t="n">
        <v>46072</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31066-2025</t>
        </is>
      </c>
      <c r="B279" s="1" t="n">
        <v>45832</v>
      </c>
      <c r="C279" s="1" t="n">
        <v>46072</v>
      </c>
      <c r="D279" t="inlineStr">
        <is>
          <t>ÖREBRO LÄN</t>
        </is>
      </c>
      <c r="E279" t="inlineStr">
        <is>
          <t>ÖREBRO</t>
        </is>
      </c>
      <c r="G279" t="n">
        <v>11.1</v>
      </c>
      <c r="H279" t="n">
        <v>0</v>
      </c>
      <c r="I279" t="n">
        <v>0</v>
      </c>
      <c r="J279" t="n">
        <v>0</v>
      </c>
      <c r="K279" t="n">
        <v>0</v>
      </c>
      <c r="L279" t="n">
        <v>0</v>
      </c>
      <c r="M279" t="n">
        <v>0</v>
      </c>
      <c r="N279" t="n">
        <v>0</v>
      </c>
      <c r="O279" t="n">
        <v>0</v>
      </c>
      <c r="P279" t="n">
        <v>0</v>
      </c>
      <c r="Q279" t="n">
        <v>0</v>
      </c>
      <c r="R279" s="2" t="inlineStr"/>
    </row>
    <row r="280" ht="15" customHeight="1">
      <c r="A280" t="inlineStr">
        <is>
          <t>A 52391-2024</t>
        </is>
      </c>
      <c r="B280" s="1" t="n">
        <v>45609.43180555556</v>
      </c>
      <c r="C280" s="1" t="n">
        <v>46072</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52401-2024</t>
        </is>
      </c>
      <c r="B281" s="1" t="n">
        <v>45609.44553240741</v>
      </c>
      <c r="C281" s="1" t="n">
        <v>46072</v>
      </c>
      <c r="D281" t="inlineStr">
        <is>
          <t>ÖREBRO LÄN</t>
        </is>
      </c>
      <c r="E281" t="inlineStr">
        <is>
          <t>ÖREBRO</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32188-2025</t>
        </is>
      </c>
      <c r="B282" s="1" t="n">
        <v>45835.56965277778</v>
      </c>
      <c r="C282" s="1" t="n">
        <v>46072</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32195-2025</t>
        </is>
      </c>
      <c r="B283" s="1" t="n">
        <v>45835.57407407407</v>
      </c>
      <c r="C283" s="1" t="n">
        <v>46072</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32218-2025</t>
        </is>
      </c>
      <c r="B284" s="1" t="n">
        <v>45835.58880787037</v>
      </c>
      <c r="C284" s="1" t="n">
        <v>46072</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26338-2021</t>
        </is>
      </c>
      <c r="B285" s="1" t="n">
        <v>44347</v>
      </c>
      <c r="C285" s="1" t="n">
        <v>46072</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32904-2025</t>
        </is>
      </c>
      <c r="B286" s="1" t="n">
        <v>45839</v>
      </c>
      <c r="C286" s="1" t="n">
        <v>46072</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53234-2023</t>
        </is>
      </c>
      <c r="B287" s="1" t="n">
        <v>45229</v>
      </c>
      <c r="C287" s="1" t="n">
        <v>46072</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11663-2024</t>
        </is>
      </c>
      <c r="B288" s="1" t="n">
        <v>45373</v>
      </c>
      <c r="C288" s="1" t="n">
        <v>46072</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59757-2023</t>
        </is>
      </c>
      <c r="B289" s="1" t="n">
        <v>45257.40833333333</v>
      </c>
      <c r="C289" s="1" t="n">
        <v>46072</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32426-2025</t>
        </is>
      </c>
      <c r="B290" s="1" t="n">
        <v>45838.36179398148</v>
      </c>
      <c r="C290" s="1" t="n">
        <v>46072</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11067-2025</t>
        </is>
      </c>
      <c r="B291" s="1" t="n">
        <v>45723</v>
      </c>
      <c r="C291" s="1" t="n">
        <v>46072</v>
      </c>
      <c r="D291" t="inlineStr">
        <is>
          <t>ÖREBRO LÄN</t>
        </is>
      </c>
      <c r="E291" t="inlineStr">
        <is>
          <t>ÖREBRO</t>
        </is>
      </c>
      <c r="G291" t="n">
        <v>3.1</v>
      </c>
      <c r="H291" t="n">
        <v>0</v>
      </c>
      <c r="I291" t="n">
        <v>0</v>
      </c>
      <c r="J291" t="n">
        <v>0</v>
      </c>
      <c r="K291" t="n">
        <v>0</v>
      </c>
      <c r="L291" t="n">
        <v>0</v>
      </c>
      <c r="M291" t="n">
        <v>0</v>
      </c>
      <c r="N291" t="n">
        <v>0</v>
      </c>
      <c r="O291" t="n">
        <v>0</v>
      </c>
      <c r="P291" t="n">
        <v>0</v>
      </c>
      <c r="Q291" t="n">
        <v>0</v>
      </c>
      <c r="R291" s="2" t="inlineStr"/>
    </row>
    <row r="292" ht="15" customHeight="1">
      <c r="A292" t="inlineStr">
        <is>
          <t>A 58587-2025</t>
        </is>
      </c>
      <c r="B292" s="1" t="n">
        <v>45986.40208333333</v>
      </c>
      <c r="C292" s="1" t="n">
        <v>46072</v>
      </c>
      <c r="D292" t="inlineStr">
        <is>
          <t>ÖREBRO LÄN</t>
        </is>
      </c>
      <c r="E292" t="inlineStr">
        <is>
          <t>ÖREBRO</t>
        </is>
      </c>
      <c r="G292" t="n">
        <v>1.6</v>
      </c>
      <c r="H292" t="n">
        <v>0</v>
      </c>
      <c r="I292" t="n">
        <v>0</v>
      </c>
      <c r="J292" t="n">
        <v>0</v>
      </c>
      <c r="K292" t="n">
        <v>0</v>
      </c>
      <c r="L292" t="n">
        <v>0</v>
      </c>
      <c r="M292" t="n">
        <v>0</v>
      </c>
      <c r="N292" t="n">
        <v>0</v>
      </c>
      <c r="O292" t="n">
        <v>0</v>
      </c>
      <c r="P292" t="n">
        <v>0</v>
      </c>
      <c r="Q292" t="n">
        <v>0</v>
      </c>
      <c r="R292" s="2" t="inlineStr"/>
    </row>
    <row r="293" ht="15" customHeight="1">
      <c r="A293" t="inlineStr">
        <is>
          <t>A 48454-2025</t>
        </is>
      </c>
      <c r="B293" s="1" t="n">
        <v>45935.80164351852</v>
      </c>
      <c r="C293" s="1" t="n">
        <v>46072</v>
      </c>
      <c r="D293" t="inlineStr">
        <is>
          <t>ÖREBRO LÄN</t>
        </is>
      </c>
      <c r="E293" t="inlineStr">
        <is>
          <t>ÖREBRO</t>
        </is>
      </c>
      <c r="F293" t="inlineStr">
        <is>
          <t>Övriga Aktiebolag</t>
        </is>
      </c>
      <c r="G293" t="n">
        <v>18.1</v>
      </c>
      <c r="H293" t="n">
        <v>0</v>
      </c>
      <c r="I293" t="n">
        <v>0</v>
      </c>
      <c r="J293" t="n">
        <v>0</v>
      </c>
      <c r="K293" t="n">
        <v>0</v>
      </c>
      <c r="L293" t="n">
        <v>0</v>
      </c>
      <c r="M293" t="n">
        <v>0</v>
      </c>
      <c r="N293" t="n">
        <v>0</v>
      </c>
      <c r="O293" t="n">
        <v>0</v>
      </c>
      <c r="P293" t="n">
        <v>0</v>
      </c>
      <c r="Q293" t="n">
        <v>0</v>
      </c>
      <c r="R293" s="2" t="inlineStr"/>
    </row>
    <row r="294" ht="15" customHeight="1">
      <c r="A294" t="inlineStr">
        <is>
          <t>A 3659-2025</t>
        </is>
      </c>
      <c r="B294" s="1" t="n">
        <v>45681</v>
      </c>
      <c r="C294" s="1" t="n">
        <v>46072</v>
      </c>
      <c r="D294" t="inlineStr">
        <is>
          <t>ÖREBRO LÄN</t>
        </is>
      </c>
      <c r="E294" t="inlineStr">
        <is>
          <t>ÖREBRO</t>
        </is>
      </c>
      <c r="G294" t="n">
        <v>15.8</v>
      </c>
      <c r="H294" t="n">
        <v>0</v>
      </c>
      <c r="I294" t="n">
        <v>0</v>
      </c>
      <c r="J294" t="n">
        <v>0</v>
      </c>
      <c r="K294" t="n">
        <v>0</v>
      </c>
      <c r="L294" t="n">
        <v>0</v>
      </c>
      <c r="M294" t="n">
        <v>0</v>
      </c>
      <c r="N294" t="n">
        <v>0</v>
      </c>
      <c r="O294" t="n">
        <v>0</v>
      </c>
      <c r="P294" t="n">
        <v>0</v>
      </c>
      <c r="Q294" t="n">
        <v>0</v>
      </c>
      <c r="R294" s="2" t="inlineStr"/>
    </row>
    <row r="295" ht="15" customHeight="1">
      <c r="A295" t="inlineStr">
        <is>
          <t>A 13347-2023</t>
        </is>
      </c>
      <c r="B295" s="1" t="n">
        <v>45004</v>
      </c>
      <c r="C295" s="1" t="n">
        <v>46072</v>
      </c>
      <c r="D295" t="inlineStr">
        <is>
          <t>ÖREBRO LÄN</t>
        </is>
      </c>
      <c r="E295" t="inlineStr">
        <is>
          <t>ÖREBRO</t>
        </is>
      </c>
      <c r="G295" t="n">
        <v>1.3</v>
      </c>
      <c r="H295" t="n">
        <v>0</v>
      </c>
      <c r="I295" t="n">
        <v>0</v>
      </c>
      <c r="J295" t="n">
        <v>0</v>
      </c>
      <c r="K295" t="n">
        <v>0</v>
      </c>
      <c r="L295" t="n">
        <v>0</v>
      </c>
      <c r="M295" t="n">
        <v>0</v>
      </c>
      <c r="N295" t="n">
        <v>0</v>
      </c>
      <c r="O295" t="n">
        <v>0</v>
      </c>
      <c r="P295" t="n">
        <v>0</v>
      </c>
      <c r="Q295" t="n">
        <v>0</v>
      </c>
      <c r="R295" s="2" t="inlineStr"/>
    </row>
    <row r="296" ht="15" customHeight="1">
      <c r="A296" t="inlineStr">
        <is>
          <t>A 6752-2022</t>
        </is>
      </c>
      <c r="B296" s="1" t="n">
        <v>44602.48082175926</v>
      </c>
      <c r="C296" s="1" t="n">
        <v>46072</v>
      </c>
      <c r="D296" t="inlineStr">
        <is>
          <t>ÖREBRO LÄN</t>
        </is>
      </c>
      <c r="E296" t="inlineStr">
        <is>
          <t>ÖREBRO</t>
        </is>
      </c>
      <c r="G296" t="n">
        <v>3.1</v>
      </c>
      <c r="H296" t="n">
        <v>0</v>
      </c>
      <c r="I296" t="n">
        <v>0</v>
      </c>
      <c r="J296" t="n">
        <v>0</v>
      </c>
      <c r="K296" t="n">
        <v>0</v>
      </c>
      <c r="L296" t="n">
        <v>0</v>
      </c>
      <c r="M296" t="n">
        <v>0</v>
      </c>
      <c r="N296" t="n">
        <v>0</v>
      </c>
      <c r="O296" t="n">
        <v>0</v>
      </c>
      <c r="P296" t="n">
        <v>0</v>
      </c>
      <c r="Q296" t="n">
        <v>0</v>
      </c>
      <c r="R296" s="2" t="inlineStr"/>
    </row>
    <row r="297" ht="15" customHeight="1">
      <c r="A297" t="inlineStr">
        <is>
          <t>A 33191-2025</t>
        </is>
      </c>
      <c r="B297" s="1" t="n">
        <v>45840.6003587963</v>
      </c>
      <c r="C297" s="1" t="n">
        <v>46072</v>
      </c>
      <c r="D297" t="inlineStr">
        <is>
          <t>ÖREBRO LÄN</t>
        </is>
      </c>
      <c r="E297" t="inlineStr">
        <is>
          <t>ÖREBRO</t>
        </is>
      </c>
      <c r="G297" t="n">
        <v>2.6</v>
      </c>
      <c r="H297" t="n">
        <v>0</v>
      </c>
      <c r="I297" t="n">
        <v>0</v>
      </c>
      <c r="J297" t="n">
        <v>0</v>
      </c>
      <c r="K297" t="n">
        <v>0</v>
      </c>
      <c r="L297" t="n">
        <v>0</v>
      </c>
      <c r="M297" t="n">
        <v>0</v>
      </c>
      <c r="N297" t="n">
        <v>0</v>
      </c>
      <c r="O297" t="n">
        <v>0</v>
      </c>
      <c r="P297" t="n">
        <v>0</v>
      </c>
      <c r="Q297" t="n">
        <v>0</v>
      </c>
      <c r="R297" s="2" t="inlineStr"/>
    </row>
    <row r="298" ht="15" customHeight="1">
      <c r="A298" t="inlineStr">
        <is>
          <t>A 57867-2024</t>
        </is>
      </c>
      <c r="B298" s="1" t="n">
        <v>45631.43864583333</v>
      </c>
      <c r="C298" s="1" t="n">
        <v>46072</v>
      </c>
      <c r="D298" t="inlineStr">
        <is>
          <t>ÖREBRO LÄN</t>
        </is>
      </c>
      <c r="E298" t="inlineStr">
        <is>
          <t>ÖREBRO</t>
        </is>
      </c>
      <c r="G298" t="n">
        <v>1.5</v>
      </c>
      <c r="H298" t="n">
        <v>0</v>
      </c>
      <c r="I298" t="n">
        <v>0</v>
      </c>
      <c r="J298" t="n">
        <v>0</v>
      </c>
      <c r="K298" t="n">
        <v>0</v>
      </c>
      <c r="L298" t="n">
        <v>0</v>
      </c>
      <c r="M298" t="n">
        <v>0</v>
      </c>
      <c r="N298" t="n">
        <v>0</v>
      </c>
      <c r="O298" t="n">
        <v>0</v>
      </c>
      <c r="P298" t="n">
        <v>0</v>
      </c>
      <c r="Q298" t="n">
        <v>0</v>
      </c>
      <c r="R298" s="2" t="inlineStr"/>
    </row>
    <row r="299" ht="15" customHeight="1">
      <c r="A299" t="inlineStr">
        <is>
          <t>A 13355-2023</t>
        </is>
      </c>
      <c r="B299" s="1" t="n">
        <v>45004</v>
      </c>
      <c r="C299" s="1" t="n">
        <v>46072</v>
      </c>
      <c r="D299" t="inlineStr">
        <is>
          <t>ÖREBRO LÄN</t>
        </is>
      </c>
      <c r="E299" t="inlineStr">
        <is>
          <t>ÖREBRO</t>
        </is>
      </c>
      <c r="G299" t="n">
        <v>2.3</v>
      </c>
      <c r="H299" t="n">
        <v>0</v>
      </c>
      <c r="I299" t="n">
        <v>0</v>
      </c>
      <c r="J299" t="n">
        <v>0</v>
      </c>
      <c r="K299" t="n">
        <v>0</v>
      </c>
      <c r="L299" t="n">
        <v>0</v>
      </c>
      <c r="M299" t="n">
        <v>0</v>
      </c>
      <c r="N299" t="n">
        <v>0</v>
      </c>
      <c r="O299" t="n">
        <v>0</v>
      </c>
      <c r="P299" t="n">
        <v>0</v>
      </c>
      <c r="Q299" t="n">
        <v>0</v>
      </c>
      <c r="R299" s="2" t="inlineStr"/>
    </row>
    <row r="300" ht="15" customHeight="1">
      <c r="A300" t="inlineStr">
        <is>
          <t>A 14544-2023</t>
        </is>
      </c>
      <c r="B300" s="1" t="n">
        <v>45013</v>
      </c>
      <c r="C300" s="1" t="n">
        <v>46072</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71272-2021</t>
        </is>
      </c>
      <c r="B301" s="1" t="n">
        <v>44539.61571759259</v>
      </c>
      <c r="C301" s="1" t="n">
        <v>46072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3120-2022</t>
        </is>
      </c>
      <c r="B302" s="1" t="n">
        <v>44582</v>
      </c>
      <c r="C302" s="1" t="n">
        <v>46072</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19388-2024</t>
        </is>
      </c>
      <c r="B303" s="1" t="n">
        <v>45429.37775462963</v>
      </c>
      <c r="C303" s="1" t="n">
        <v>46072</v>
      </c>
      <c r="D303" t="inlineStr">
        <is>
          <t>ÖREBRO LÄN</t>
        </is>
      </c>
      <c r="E303" t="inlineStr">
        <is>
          <t>ÖREBRO</t>
        </is>
      </c>
      <c r="G303" t="n">
        <v>4.3</v>
      </c>
      <c r="H303" t="n">
        <v>0</v>
      </c>
      <c r="I303" t="n">
        <v>0</v>
      </c>
      <c r="J303" t="n">
        <v>0</v>
      </c>
      <c r="K303" t="n">
        <v>0</v>
      </c>
      <c r="L303" t="n">
        <v>0</v>
      </c>
      <c r="M303" t="n">
        <v>0</v>
      </c>
      <c r="N303" t="n">
        <v>0</v>
      </c>
      <c r="O303" t="n">
        <v>0</v>
      </c>
      <c r="P303" t="n">
        <v>0</v>
      </c>
      <c r="Q303" t="n">
        <v>0</v>
      </c>
      <c r="R303" s="2" t="inlineStr"/>
    </row>
    <row r="304" ht="15" customHeight="1">
      <c r="A304" t="inlineStr">
        <is>
          <t>A 40597-2021</t>
        </is>
      </c>
      <c r="B304" s="1" t="n">
        <v>44420</v>
      </c>
      <c r="C304" s="1" t="n">
        <v>46072</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48687-2024</t>
        </is>
      </c>
      <c r="B305" s="1" t="n">
        <v>45593.49899305555</v>
      </c>
      <c r="C305" s="1" t="n">
        <v>46072</v>
      </c>
      <c r="D305" t="inlineStr">
        <is>
          <t>ÖREBRO LÄN</t>
        </is>
      </c>
      <c r="E305" t="inlineStr">
        <is>
          <t>ÖREBRO</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2318-2023</t>
        </is>
      </c>
      <c r="B306" s="1" t="n">
        <v>44942</v>
      </c>
      <c r="C306" s="1" t="n">
        <v>46072</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20121-2024</t>
        </is>
      </c>
      <c r="B307" s="1" t="n">
        <v>45434</v>
      </c>
      <c r="C307" s="1" t="n">
        <v>46072</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20150-2024</t>
        </is>
      </c>
      <c r="B308" s="1" t="n">
        <v>45434.57969907407</v>
      </c>
      <c r="C308" s="1" t="n">
        <v>46072</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50311-2025</t>
        </is>
      </c>
      <c r="B309" s="1" t="n">
        <v>45944</v>
      </c>
      <c r="C309" s="1" t="n">
        <v>46072</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767-2024</t>
        </is>
      </c>
      <c r="B310" s="1" t="n">
        <v>45300.51892361111</v>
      </c>
      <c r="C310" s="1" t="n">
        <v>46072</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52441-2024</t>
        </is>
      </c>
      <c r="B311" s="1" t="n">
        <v>45609.48451388889</v>
      </c>
      <c r="C311" s="1" t="n">
        <v>46072</v>
      </c>
      <c r="D311" t="inlineStr">
        <is>
          <t>ÖREBRO LÄN</t>
        </is>
      </c>
      <c r="E311" t="inlineStr">
        <is>
          <t>ÖREBRO</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58611-2024</t>
        </is>
      </c>
      <c r="B312" s="1" t="n">
        <v>45635.55555555555</v>
      </c>
      <c r="C312" s="1" t="n">
        <v>46072</v>
      </c>
      <c r="D312" t="inlineStr">
        <is>
          <t>ÖREBRO LÄN</t>
        </is>
      </c>
      <c r="E312" t="inlineStr">
        <is>
          <t>ÖREBRO</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35062-2025</t>
        </is>
      </c>
      <c r="B313" s="1" t="n">
        <v>45852</v>
      </c>
      <c r="C313" s="1" t="n">
        <v>46072</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38075-2022</t>
        </is>
      </c>
      <c r="B314" s="1" t="n">
        <v>44811</v>
      </c>
      <c r="C314" s="1" t="n">
        <v>46072</v>
      </c>
      <c r="D314" t="inlineStr">
        <is>
          <t>ÖREBRO LÄN</t>
        </is>
      </c>
      <c r="E314" t="inlineStr">
        <is>
          <t>ÖREBRO</t>
        </is>
      </c>
      <c r="G314" t="n">
        <v>0.2</v>
      </c>
      <c r="H314" t="n">
        <v>0</v>
      </c>
      <c r="I314" t="n">
        <v>0</v>
      </c>
      <c r="J314" t="n">
        <v>0</v>
      </c>
      <c r="K314" t="n">
        <v>0</v>
      </c>
      <c r="L314" t="n">
        <v>0</v>
      </c>
      <c r="M314" t="n">
        <v>0</v>
      </c>
      <c r="N314" t="n">
        <v>0</v>
      </c>
      <c r="O314" t="n">
        <v>0</v>
      </c>
      <c r="P314" t="n">
        <v>0</v>
      </c>
      <c r="Q314" t="n">
        <v>0</v>
      </c>
      <c r="R314" s="2" t="inlineStr"/>
    </row>
    <row r="315" ht="15" customHeight="1">
      <c r="A315" t="inlineStr">
        <is>
          <t>A 19831-2021</t>
        </is>
      </c>
      <c r="B315" s="1" t="n">
        <v>44313</v>
      </c>
      <c r="C315" s="1" t="n">
        <v>46072</v>
      </c>
      <c r="D315" t="inlineStr">
        <is>
          <t>ÖREBRO LÄN</t>
        </is>
      </c>
      <c r="E315" t="inlineStr">
        <is>
          <t>ÖREBRO</t>
        </is>
      </c>
      <c r="G315" t="n">
        <v>3.2</v>
      </c>
      <c r="H315" t="n">
        <v>0</v>
      </c>
      <c r="I315" t="n">
        <v>0</v>
      </c>
      <c r="J315" t="n">
        <v>0</v>
      </c>
      <c r="K315" t="n">
        <v>0</v>
      </c>
      <c r="L315" t="n">
        <v>0</v>
      </c>
      <c r="M315" t="n">
        <v>0</v>
      </c>
      <c r="N315" t="n">
        <v>0</v>
      </c>
      <c r="O315" t="n">
        <v>0</v>
      </c>
      <c r="P315" t="n">
        <v>0</v>
      </c>
      <c r="Q315" t="n">
        <v>0</v>
      </c>
      <c r="R315" s="2" t="inlineStr"/>
    </row>
    <row r="316" ht="15" customHeight="1">
      <c r="A316" t="inlineStr">
        <is>
          <t>A 5133-2024</t>
        </is>
      </c>
      <c r="B316" s="1" t="n">
        <v>45330</v>
      </c>
      <c r="C316" s="1" t="n">
        <v>46072</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51248-2025</t>
        </is>
      </c>
      <c r="B317" s="1" t="n">
        <v>45948.450625</v>
      </c>
      <c r="C317" s="1" t="n">
        <v>46072</v>
      </c>
      <c r="D317" t="inlineStr">
        <is>
          <t>ÖREBRO LÄN</t>
        </is>
      </c>
      <c r="E317" t="inlineStr">
        <is>
          <t>ÖREBRO</t>
        </is>
      </c>
      <c r="G317" t="n">
        <v>4.4</v>
      </c>
      <c r="H317" t="n">
        <v>0</v>
      </c>
      <c r="I317" t="n">
        <v>0</v>
      </c>
      <c r="J317" t="n">
        <v>0</v>
      </c>
      <c r="K317" t="n">
        <v>0</v>
      </c>
      <c r="L317" t="n">
        <v>0</v>
      </c>
      <c r="M317" t="n">
        <v>0</v>
      </c>
      <c r="N317" t="n">
        <v>0</v>
      </c>
      <c r="O317" t="n">
        <v>0</v>
      </c>
      <c r="P317" t="n">
        <v>0</v>
      </c>
      <c r="Q317" t="n">
        <v>0</v>
      </c>
      <c r="R317" s="2" t="inlineStr"/>
    </row>
    <row r="318" ht="15" customHeight="1">
      <c r="A318" t="inlineStr">
        <is>
          <t>A 58219-2024</t>
        </is>
      </c>
      <c r="B318" s="1" t="n">
        <v>45632</v>
      </c>
      <c r="C318" s="1" t="n">
        <v>46072</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51249-2025</t>
        </is>
      </c>
      <c r="B319" s="1" t="n">
        <v>45948.45704861111</v>
      </c>
      <c r="C319" s="1" t="n">
        <v>46072</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52477-2024</t>
        </is>
      </c>
      <c r="B320" s="1" t="n">
        <v>45609</v>
      </c>
      <c r="C320" s="1" t="n">
        <v>46072</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28821-2025</t>
        </is>
      </c>
      <c r="B321" s="1" t="n">
        <v>45820</v>
      </c>
      <c r="C321" s="1" t="n">
        <v>46072</v>
      </c>
      <c r="D321" t="inlineStr">
        <is>
          <t>ÖREBRO LÄN</t>
        </is>
      </c>
      <c r="E321" t="inlineStr">
        <is>
          <t>ÖREBRO</t>
        </is>
      </c>
      <c r="G321" t="n">
        <v>12.6</v>
      </c>
      <c r="H321" t="n">
        <v>0</v>
      </c>
      <c r="I321" t="n">
        <v>0</v>
      </c>
      <c r="J321" t="n">
        <v>0</v>
      </c>
      <c r="K321" t="n">
        <v>0</v>
      </c>
      <c r="L321" t="n">
        <v>0</v>
      </c>
      <c r="M321" t="n">
        <v>0</v>
      </c>
      <c r="N321" t="n">
        <v>0</v>
      </c>
      <c r="O321" t="n">
        <v>0</v>
      </c>
      <c r="P321" t="n">
        <v>0</v>
      </c>
      <c r="Q321" t="n">
        <v>0</v>
      </c>
      <c r="R321" s="2" t="inlineStr"/>
    </row>
    <row r="322" ht="15" customHeight="1">
      <c r="A322" t="inlineStr">
        <is>
          <t>A 10368-2021</t>
        </is>
      </c>
      <c r="B322" s="1" t="n">
        <v>44257</v>
      </c>
      <c r="C322" s="1" t="n">
        <v>46072</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59312-2025</t>
        </is>
      </c>
      <c r="B323" s="1" t="n">
        <v>45989.30467592592</v>
      </c>
      <c r="C323" s="1" t="n">
        <v>46072</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4284-2025</t>
        </is>
      </c>
      <c r="B324" s="1" t="n">
        <v>45685</v>
      </c>
      <c r="C324" s="1" t="n">
        <v>46072</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2771-2023</t>
        </is>
      </c>
      <c r="B325" s="1" t="n">
        <v>44944.64704861111</v>
      </c>
      <c r="C325" s="1" t="n">
        <v>46072</v>
      </c>
      <c r="D325" t="inlineStr">
        <is>
          <t>ÖREBRO LÄN</t>
        </is>
      </c>
      <c r="E325" t="inlineStr">
        <is>
          <t>ÖREBRO</t>
        </is>
      </c>
      <c r="G325" t="n">
        <v>15.4</v>
      </c>
      <c r="H325" t="n">
        <v>0</v>
      </c>
      <c r="I325" t="n">
        <v>0</v>
      </c>
      <c r="J325" t="n">
        <v>0</v>
      </c>
      <c r="K325" t="n">
        <v>0</v>
      </c>
      <c r="L325" t="n">
        <v>0</v>
      </c>
      <c r="M325" t="n">
        <v>0</v>
      </c>
      <c r="N325" t="n">
        <v>0</v>
      </c>
      <c r="O325" t="n">
        <v>0</v>
      </c>
      <c r="P325" t="n">
        <v>0</v>
      </c>
      <c r="Q325" t="n">
        <v>0</v>
      </c>
      <c r="R325" s="2" t="inlineStr"/>
    </row>
    <row r="326" ht="15" customHeight="1">
      <c r="A326" t="inlineStr">
        <is>
          <t>A 35637-2025</t>
        </is>
      </c>
      <c r="B326" s="1" t="n">
        <v>45859.46859953704</v>
      </c>
      <c r="C326" s="1" t="n">
        <v>46072</v>
      </c>
      <c r="D326" t="inlineStr">
        <is>
          <t>ÖREBRO LÄN</t>
        </is>
      </c>
      <c r="E326" t="inlineStr">
        <is>
          <t>ÖREBRO</t>
        </is>
      </c>
      <c r="G326" t="n">
        <v>2.1</v>
      </c>
      <c r="H326" t="n">
        <v>0</v>
      </c>
      <c r="I326" t="n">
        <v>0</v>
      </c>
      <c r="J326" t="n">
        <v>0</v>
      </c>
      <c r="K326" t="n">
        <v>0</v>
      </c>
      <c r="L326" t="n">
        <v>0</v>
      </c>
      <c r="M326" t="n">
        <v>0</v>
      </c>
      <c r="N326" t="n">
        <v>0</v>
      </c>
      <c r="O326" t="n">
        <v>0</v>
      </c>
      <c r="P326" t="n">
        <v>0</v>
      </c>
      <c r="Q326" t="n">
        <v>0</v>
      </c>
      <c r="R326" s="2" t="inlineStr"/>
    </row>
    <row r="327" ht="15" customHeight="1">
      <c r="A327" t="inlineStr">
        <is>
          <t>A 2076-2025</t>
        </is>
      </c>
      <c r="B327" s="1" t="n">
        <v>45672</v>
      </c>
      <c r="C327" s="1" t="n">
        <v>46072</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52135-2025</t>
        </is>
      </c>
      <c r="B328" s="1" t="n">
        <v>45952.84231481481</v>
      </c>
      <c r="C328" s="1" t="n">
        <v>46072</v>
      </c>
      <c r="D328" t="inlineStr">
        <is>
          <t>ÖREBRO LÄN</t>
        </is>
      </c>
      <c r="E328" t="inlineStr">
        <is>
          <t>ÖREBRO</t>
        </is>
      </c>
      <c r="G328" t="n">
        <v>4</v>
      </c>
      <c r="H328" t="n">
        <v>0</v>
      </c>
      <c r="I328" t="n">
        <v>0</v>
      </c>
      <c r="J328" t="n">
        <v>0</v>
      </c>
      <c r="K328" t="n">
        <v>0</v>
      </c>
      <c r="L328" t="n">
        <v>0</v>
      </c>
      <c r="M328" t="n">
        <v>0</v>
      </c>
      <c r="N328" t="n">
        <v>0</v>
      </c>
      <c r="O328" t="n">
        <v>0</v>
      </c>
      <c r="P328" t="n">
        <v>0</v>
      </c>
      <c r="Q328" t="n">
        <v>0</v>
      </c>
      <c r="R328" s="2" t="inlineStr"/>
    </row>
    <row r="329" ht="15" customHeight="1">
      <c r="A329" t="inlineStr">
        <is>
          <t>A 51925-2025</t>
        </is>
      </c>
      <c r="B329" s="1" t="n">
        <v>45952.49476851852</v>
      </c>
      <c r="C329" s="1" t="n">
        <v>46072</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51923-2025</t>
        </is>
      </c>
      <c r="B330" s="1" t="n">
        <v>45952.49300925926</v>
      </c>
      <c r="C330" s="1" t="n">
        <v>46072</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51937-2025</t>
        </is>
      </c>
      <c r="B331" s="1" t="n">
        <v>45952.51270833334</v>
      </c>
      <c r="C331" s="1" t="n">
        <v>46072</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35928-2025</t>
        </is>
      </c>
      <c r="B332" s="1" t="n">
        <v>45862</v>
      </c>
      <c r="C332" s="1" t="n">
        <v>46072</v>
      </c>
      <c r="D332" t="inlineStr">
        <is>
          <t>ÖREBRO LÄN</t>
        </is>
      </c>
      <c r="E332" t="inlineStr">
        <is>
          <t>ÖREBRO</t>
        </is>
      </c>
      <c r="G332" t="n">
        <v>4.4</v>
      </c>
      <c r="H332" t="n">
        <v>0</v>
      </c>
      <c r="I332" t="n">
        <v>0</v>
      </c>
      <c r="J332" t="n">
        <v>0</v>
      </c>
      <c r="K332" t="n">
        <v>0</v>
      </c>
      <c r="L332" t="n">
        <v>0</v>
      </c>
      <c r="M332" t="n">
        <v>0</v>
      </c>
      <c r="N332" t="n">
        <v>0</v>
      </c>
      <c r="O332" t="n">
        <v>0</v>
      </c>
      <c r="P332" t="n">
        <v>0</v>
      </c>
      <c r="Q332" t="n">
        <v>0</v>
      </c>
      <c r="R332" s="2" t="inlineStr"/>
    </row>
    <row r="333" ht="15" customHeight="1">
      <c r="A333" t="inlineStr">
        <is>
          <t>A 32025-2024</t>
        </is>
      </c>
      <c r="B333" s="1" t="n">
        <v>45510.65754629629</v>
      </c>
      <c r="C333" s="1" t="n">
        <v>46072</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58216-2024</t>
        </is>
      </c>
      <c r="B334" s="1" t="n">
        <v>45632</v>
      </c>
      <c r="C334" s="1" t="n">
        <v>46072</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59313-2025</t>
        </is>
      </c>
      <c r="B335" s="1" t="n">
        <v>45989.30920138889</v>
      </c>
      <c r="C335" s="1" t="n">
        <v>46072</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3763-2025</t>
        </is>
      </c>
      <c r="B336" s="1" t="n">
        <v>45681</v>
      </c>
      <c r="C336" s="1" t="n">
        <v>46072</v>
      </c>
      <c r="D336" t="inlineStr">
        <is>
          <t>ÖREBRO LÄN</t>
        </is>
      </c>
      <c r="E336" t="inlineStr">
        <is>
          <t>ÖREBRO</t>
        </is>
      </c>
      <c r="G336" t="n">
        <v>10.1</v>
      </c>
      <c r="H336" t="n">
        <v>0</v>
      </c>
      <c r="I336" t="n">
        <v>0</v>
      </c>
      <c r="J336" t="n">
        <v>0</v>
      </c>
      <c r="K336" t="n">
        <v>0</v>
      </c>
      <c r="L336" t="n">
        <v>0</v>
      </c>
      <c r="M336" t="n">
        <v>0</v>
      </c>
      <c r="N336" t="n">
        <v>0</v>
      </c>
      <c r="O336" t="n">
        <v>0</v>
      </c>
      <c r="P336" t="n">
        <v>0</v>
      </c>
      <c r="Q336" t="n">
        <v>0</v>
      </c>
      <c r="R336" s="2" t="inlineStr"/>
    </row>
    <row r="337" ht="15" customHeight="1">
      <c r="A337" t="inlineStr">
        <is>
          <t>A 55453-2024</t>
        </is>
      </c>
      <c r="B337" s="1" t="n">
        <v>45622.42097222222</v>
      </c>
      <c r="C337" s="1" t="n">
        <v>46072</v>
      </c>
      <c r="D337" t="inlineStr">
        <is>
          <t>ÖREBRO LÄN</t>
        </is>
      </c>
      <c r="E337" t="inlineStr">
        <is>
          <t>ÖREBRO</t>
        </is>
      </c>
      <c r="G337" t="n">
        <v>8.5</v>
      </c>
      <c r="H337" t="n">
        <v>0</v>
      </c>
      <c r="I337" t="n">
        <v>0</v>
      </c>
      <c r="J337" t="n">
        <v>0</v>
      </c>
      <c r="K337" t="n">
        <v>0</v>
      </c>
      <c r="L337" t="n">
        <v>0</v>
      </c>
      <c r="M337" t="n">
        <v>0</v>
      </c>
      <c r="N337" t="n">
        <v>0</v>
      </c>
      <c r="O337" t="n">
        <v>0</v>
      </c>
      <c r="P337" t="n">
        <v>0</v>
      </c>
      <c r="Q337" t="n">
        <v>0</v>
      </c>
      <c r="R337" s="2" t="inlineStr"/>
    </row>
    <row r="338" ht="15" customHeight="1">
      <c r="A338" t="inlineStr">
        <is>
          <t>A 30743-2025</t>
        </is>
      </c>
      <c r="B338" s="1" t="n">
        <v>45831</v>
      </c>
      <c r="C338" s="1" t="n">
        <v>46072</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36448-2025</t>
        </is>
      </c>
      <c r="B339" s="1" t="n">
        <v>45869.41929398148</v>
      </c>
      <c r="C339" s="1" t="n">
        <v>46072</v>
      </c>
      <c r="D339" t="inlineStr">
        <is>
          <t>ÖREBRO LÄN</t>
        </is>
      </c>
      <c r="E339" t="inlineStr">
        <is>
          <t>ÖREBRO</t>
        </is>
      </c>
      <c r="F339" t="inlineStr">
        <is>
          <t>Övriga Aktiebolag</t>
        </is>
      </c>
      <c r="G339" t="n">
        <v>4.3</v>
      </c>
      <c r="H339" t="n">
        <v>0</v>
      </c>
      <c r="I339" t="n">
        <v>0</v>
      </c>
      <c r="J339" t="n">
        <v>0</v>
      </c>
      <c r="K339" t="n">
        <v>0</v>
      </c>
      <c r="L339" t="n">
        <v>0</v>
      </c>
      <c r="M339" t="n">
        <v>0</v>
      </c>
      <c r="N339" t="n">
        <v>0</v>
      </c>
      <c r="O339" t="n">
        <v>0</v>
      </c>
      <c r="P339" t="n">
        <v>0</v>
      </c>
      <c r="Q339" t="n">
        <v>0</v>
      </c>
      <c r="R339" s="2" t="inlineStr"/>
    </row>
    <row r="340" ht="15" customHeight="1">
      <c r="A340" t="inlineStr">
        <is>
          <t>A 5324-2024</t>
        </is>
      </c>
      <c r="B340" s="1" t="n">
        <v>45331</v>
      </c>
      <c r="C340" s="1" t="n">
        <v>46072</v>
      </c>
      <c r="D340" t="inlineStr">
        <is>
          <t>ÖREBRO LÄN</t>
        </is>
      </c>
      <c r="E340" t="inlineStr">
        <is>
          <t>ÖREBRO</t>
        </is>
      </c>
      <c r="G340" t="n">
        <v>1.5</v>
      </c>
      <c r="H340" t="n">
        <v>0</v>
      </c>
      <c r="I340" t="n">
        <v>0</v>
      </c>
      <c r="J340" t="n">
        <v>0</v>
      </c>
      <c r="K340" t="n">
        <v>0</v>
      </c>
      <c r="L340" t="n">
        <v>0</v>
      </c>
      <c r="M340" t="n">
        <v>0</v>
      </c>
      <c r="N340" t="n">
        <v>0</v>
      </c>
      <c r="O340" t="n">
        <v>0</v>
      </c>
      <c r="P340" t="n">
        <v>0</v>
      </c>
      <c r="Q340" t="n">
        <v>0</v>
      </c>
      <c r="R340" s="2" t="inlineStr"/>
    </row>
    <row r="341" ht="15" customHeight="1">
      <c r="A341" t="inlineStr">
        <is>
          <t>A 52382-2025</t>
        </is>
      </c>
      <c r="B341" s="1" t="n">
        <v>45953.9559837963</v>
      </c>
      <c r="C341" s="1" t="n">
        <v>46072</v>
      </c>
      <c r="D341" t="inlineStr">
        <is>
          <t>ÖREBRO LÄN</t>
        </is>
      </c>
      <c r="E341" t="inlineStr">
        <is>
          <t>ÖREBRO</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36447-2025</t>
        </is>
      </c>
      <c r="B342" s="1" t="n">
        <v>45869.41387731482</v>
      </c>
      <c r="C342" s="1" t="n">
        <v>46072</v>
      </c>
      <c r="D342" t="inlineStr">
        <is>
          <t>ÖREBRO LÄN</t>
        </is>
      </c>
      <c r="E342" t="inlineStr">
        <is>
          <t>ÖREBRO</t>
        </is>
      </c>
      <c r="F342" t="inlineStr">
        <is>
          <t>Övriga Aktiebolag</t>
        </is>
      </c>
      <c r="G342" t="n">
        <v>12.6</v>
      </c>
      <c r="H342" t="n">
        <v>0</v>
      </c>
      <c r="I342" t="n">
        <v>0</v>
      </c>
      <c r="J342" t="n">
        <v>0</v>
      </c>
      <c r="K342" t="n">
        <v>0</v>
      </c>
      <c r="L342" t="n">
        <v>0</v>
      </c>
      <c r="M342" t="n">
        <v>0</v>
      </c>
      <c r="N342" t="n">
        <v>0</v>
      </c>
      <c r="O342" t="n">
        <v>0</v>
      </c>
      <c r="P342" t="n">
        <v>0</v>
      </c>
      <c r="Q342" t="n">
        <v>0</v>
      </c>
      <c r="R342" s="2" t="inlineStr"/>
    </row>
    <row r="343" ht="15" customHeight="1">
      <c r="A343" t="inlineStr">
        <is>
          <t>A 53443-2025</t>
        </is>
      </c>
      <c r="B343" s="1" t="n">
        <v>45959.6444675926</v>
      </c>
      <c r="C343" s="1" t="n">
        <v>46072</v>
      </c>
      <c r="D343" t="inlineStr">
        <is>
          <t>ÖREBRO LÄN</t>
        </is>
      </c>
      <c r="E343" t="inlineStr">
        <is>
          <t>ÖREBRO</t>
        </is>
      </c>
      <c r="G343" t="n">
        <v>2.8</v>
      </c>
      <c r="H343" t="n">
        <v>0</v>
      </c>
      <c r="I343" t="n">
        <v>0</v>
      </c>
      <c r="J343" t="n">
        <v>0</v>
      </c>
      <c r="K343" t="n">
        <v>0</v>
      </c>
      <c r="L343" t="n">
        <v>0</v>
      </c>
      <c r="M343" t="n">
        <v>0</v>
      </c>
      <c r="N343" t="n">
        <v>0</v>
      </c>
      <c r="O343" t="n">
        <v>0</v>
      </c>
      <c r="P343" t="n">
        <v>0</v>
      </c>
      <c r="Q343" t="n">
        <v>0</v>
      </c>
      <c r="R343" s="2" t="inlineStr"/>
    </row>
    <row r="344" ht="15" customHeight="1">
      <c r="A344" t="inlineStr">
        <is>
          <t>A 18360-2024</t>
        </is>
      </c>
      <c r="B344" s="1" t="n">
        <v>45422</v>
      </c>
      <c r="C344" s="1" t="n">
        <v>46072</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16676-2025</t>
        </is>
      </c>
      <c r="B345" s="1" t="n">
        <v>45754.44658564815</v>
      </c>
      <c r="C345" s="1" t="n">
        <v>46072</v>
      </c>
      <c r="D345" t="inlineStr">
        <is>
          <t>ÖREBRO LÄN</t>
        </is>
      </c>
      <c r="E345" t="inlineStr">
        <is>
          <t>ÖREBRO</t>
        </is>
      </c>
      <c r="G345" t="n">
        <v>5.8</v>
      </c>
      <c r="H345" t="n">
        <v>0</v>
      </c>
      <c r="I345" t="n">
        <v>0</v>
      </c>
      <c r="J345" t="n">
        <v>0</v>
      </c>
      <c r="K345" t="n">
        <v>0</v>
      </c>
      <c r="L345" t="n">
        <v>0</v>
      </c>
      <c r="M345" t="n">
        <v>0</v>
      </c>
      <c r="N345" t="n">
        <v>0</v>
      </c>
      <c r="O345" t="n">
        <v>0</v>
      </c>
      <c r="P345" t="n">
        <v>0</v>
      </c>
      <c r="Q345" t="n">
        <v>0</v>
      </c>
      <c r="R345" s="2" t="inlineStr"/>
    </row>
    <row r="346" ht="15" customHeight="1">
      <c r="A346" t="inlineStr">
        <is>
          <t>A 53437-2025</t>
        </is>
      </c>
      <c r="B346" s="1" t="n">
        <v>45959.63440972222</v>
      </c>
      <c r="C346" s="1" t="n">
        <v>46072</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53342-2025</t>
        </is>
      </c>
      <c r="B347" s="1" t="n">
        <v>45959.41769675926</v>
      </c>
      <c r="C347" s="1" t="n">
        <v>46072</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46072</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5357-2024</t>
        </is>
      </c>
      <c r="B349" s="1" t="n">
        <v>45331</v>
      </c>
      <c r="C349" s="1" t="n">
        <v>46072</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57243-2022</t>
        </is>
      </c>
      <c r="B350" s="1" t="n">
        <v>44895.71835648148</v>
      </c>
      <c r="C350" s="1" t="n">
        <v>46072</v>
      </c>
      <c r="D350" t="inlineStr">
        <is>
          <t>ÖREBRO LÄN</t>
        </is>
      </c>
      <c r="E350" t="inlineStr">
        <is>
          <t>ÖREBRO</t>
        </is>
      </c>
      <c r="G350" t="n">
        <v>6</v>
      </c>
      <c r="H350" t="n">
        <v>0</v>
      </c>
      <c r="I350" t="n">
        <v>0</v>
      </c>
      <c r="J350" t="n">
        <v>0</v>
      </c>
      <c r="K350" t="n">
        <v>0</v>
      </c>
      <c r="L350" t="n">
        <v>0</v>
      </c>
      <c r="M350" t="n">
        <v>0</v>
      </c>
      <c r="N350" t="n">
        <v>0</v>
      </c>
      <c r="O350" t="n">
        <v>0</v>
      </c>
      <c r="P350" t="n">
        <v>0</v>
      </c>
      <c r="Q350" t="n">
        <v>0</v>
      </c>
      <c r="R350" s="2" t="inlineStr"/>
    </row>
    <row r="351" ht="15" customHeight="1">
      <c r="A351" t="inlineStr">
        <is>
          <t>A 40051-2024</t>
        </is>
      </c>
      <c r="B351" s="1" t="n">
        <v>45553</v>
      </c>
      <c r="C351" s="1" t="n">
        <v>46072</v>
      </c>
      <c r="D351" t="inlineStr">
        <is>
          <t>ÖREBRO LÄN</t>
        </is>
      </c>
      <c r="E351" t="inlineStr">
        <is>
          <t>ÖREBRO</t>
        </is>
      </c>
      <c r="G351" t="n">
        <v>3.5</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46072</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50446-2023</t>
        </is>
      </c>
      <c r="B353" s="1" t="n">
        <v>45216</v>
      </c>
      <c r="C353" s="1" t="n">
        <v>46072</v>
      </c>
      <c r="D353" t="inlineStr">
        <is>
          <t>ÖREBRO LÄN</t>
        </is>
      </c>
      <c r="E353" t="inlineStr">
        <is>
          <t>ÖREBRO</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50450-2023</t>
        </is>
      </c>
      <c r="B354" s="1" t="n">
        <v>45216.73533564815</v>
      </c>
      <c r="C354" s="1" t="n">
        <v>46072</v>
      </c>
      <c r="D354" t="inlineStr">
        <is>
          <t>ÖREBRO LÄN</t>
        </is>
      </c>
      <c r="E354" t="inlineStr">
        <is>
          <t>ÖREBRO</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46072</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53719-2025</t>
        </is>
      </c>
      <c r="B356" s="1" t="n">
        <v>45960.62042824074</v>
      </c>
      <c r="C356" s="1" t="n">
        <v>46072</v>
      </c>
      <c r="D356" t="inlineStr">
        <is>
          <t>ÖREBRO LÄN</t>
        </is>
      </c>
      <c r="E356" t="inlineStr">
        <is>
          <t>ÖREBRO</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26117-2021</t>
        </is>
      </c>
      <c r="B357" s="1" t="n">
        <v>44345</v>
      </c>
      <c r="C357" s="1" t="n">
        <v>46072</v>
      </c>
      <c r="D357" t="inlineStr">
        <is>
          <t>ÖREBRO LÄN</t>
        </is>
      </c>
      <c r="E357" t="inlineStr">
        <is>
          <t>ÖREBRO</t>
        </is>
      </c>
      <c r="G357" t="n">
        <v>8.1</v>
      </c>
      <c r="H357" t="n">
        <v>0</v>
      </c>
      <c r="I357" t="n">
        <v>0</v>
      </c>
      <c r="J357" t="n">
        <v>0</v>
      </c>
      <c r="K357" t="n">
        <v>0</v>
      </c>
      <c r="L357" t="n">
        <v>0</v>
      </c>
      <c r="M357" t="n">
        <v>0</v>
      </c>
      <c r="N357" t="n">
        <v>0</v>
      </c>
      <c r="O357" t="n">
        <v>0</v>
      </c>
      <c r="P357" t="n">
        <v>0</v>
      </c>
      <c r="Q357" t="n">
        <v>0</v>
      </c>
      <c r="R357" s="2" t="inlineStr"/>
    </row>
    <row r="358" ht="15" customHeight="1">
      <c r="A358" t="inlineStr">
        <is>
          <t>A 29554-2025</t>
        </is>
      </c>
      <c r="B358" s="1" t="n">
        <v>45825</v>
      </c>
      <c r="C358" s="1" t="n">
        <v>46072</v>
      </c>
      <c r="D358" t="inlineStr">
        <is>
          <t>ÖREBRO LÄN</t>
        </is>
      </c>
      <c r="E358" t="inlineStr">
        <is>
          <t>ÖREBRO</t>
        </is>
      </c>
      <c r="F358" t="inlineStr">
        <is>
          <t>Övriga Aktiebolag</t>
        </is>
      </c>
      <c r="G358" t="n">
        <v>1</v>
      </c>
      <c r="H358" t="n">
        <v>0</v>
      </c>
      <c r="I358" t="n">
        <v>0</v>
      </c>
      <c r="J358" t="n">
        <v>0</v>
      </c>
      <c r="K358" t="n">
        <v>0</v>
      </c>
      <c r="L358" t="n">
        <v>0</v>
      </c>
      <c r="M358" t="n">
        <v>0</v>
      </c>
      <c r="N358" t="n">
        <v>0</v>
      </c>
      <c r="O358" t="n">
        <v>0</v>
      </c>
      <c r="P358" t="n">
        <v>0</v>
      </c>
      <c r="Q358" t="n">
        <v>0</v>
      </c>
      <c r="R358" s="2" t="inlineStr"/>
    </row>
    <row r="359" ht="15" customHeight="1">
      <c r="A359" t="inlineStr">
        <is>
          <t>A 6879-2024</t>
        </is>
      </c>
      <c r="B359" s="1" t="n">
        <v>45342.85280092592</v>
      </c>
      <c r="C359" s="1" t="n">
        <v>46072</v>
      </c>
      <c r="D359" t="inlineStr">
        <is>
          <t>ÖREBRO LÄN</t>
        </is>
      </c>
      <c r="E359" t="inlineStr">
        <is>
          <t>ÖREBRO</t>
        </is>
      </c>
      <c r="G359" t="n">
        <v>1.6</v>
      </c>
      <c r="H359" t="n">
        <v>0</v>
      </c>
      <c r="I359" t="n">
        <v>0</v>
      </c>
      <c r="J359" t="n">
        <v>0</v>
      </c>
      <c r="K359" t="n">
        <v>0</v>
      </c>
      <c r="L359" t="n">
        <v>0</v>
      </c>
      <c r="M359" t="n">
        <v>0</v>
      </c>
      <c r="N359" t="n">
        <v>0</v>
      </c>
      <c r="O359" t="n">
        <v>0</v>
      </c>
      <c r="P359" t="n">
        <v>0</v>
      </c>
      <c r="Q359" t="n">
        <v>0</v>
      </c>
      <c r="R359" s="2" t="inlineStr"/>
    </row>
    <row r="360" ht="15" customHeight="1">
      <c r="A360" t="inlineStr">
        <is>
          <t>A 58032-2023</t>
        </is>
      </c>
      <c r="B360" s="1" t="n">
        <v>45247</v>
      </c>
      <c r="C360" s="1" t="n">
        <v>46072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58035-2023</t>
        </is>
      </c>
      <c r="B361" s="1" t="n">
        <v>45247</v>
      </c>
      <c r="C361" s="1" t="n">
        <v>46072</v>
      </c>
      <c r="D361" t="inlineStr">
        <is>
          <t>ÖREBRO LÄN</t>
        </is>
      </c>
      <c r="E361" t="inlineStr">
        <is>
          <t>ÖREBRO</t>
        </is>
      </c>
      <c r="G361" t="n">
        <v>1.4</v>
      </c>
      <c r="H361" t="n">
        <v>0</v>
      </c>
      <c r="I361" t="n">
        <v>0</v>
      </c>
      <c r="J361" t="n">
        <v>0</v>
      </c>
      <c r="K361" t="n">
        <v>0</v>
      </c>
      <c r="L361" t="n">
        <v>0</v>
      </c>
      <c r="M361" t="n">
        <v>0</v>
      </c>
      <c r="N361" t="n">
        <v>0</v>
      </c>
      <c r="O361" t="n">
        <v>0</v>
      </c>
      <c r="P361" t="n">
        <v>0</v>
      </c>
      <c r="Q361" t="n">
        <v>0</v>
      </c>
      <c r="R361" s="2" t="inlineStr"/>
    </row>
    <row r="362" ht="15" customHeight="1">
      <c r="A362" t="inlineStr">
        <is>
          <t>A 54205-2025</t>
        </is>
      </c>
      <c r="B362" s="1" t="n">
        <v>45964.58512731481</v>
      </c>
      <c r="C362" s="1" t="n">
        <v>46072</v>
      </c>
      <c r="D362" t="inlineStr">
        <is>
          <t>ÖREBRO LÄN</t>
        </is>
      </c>
      <c r="E362" t="inlineStr">
        <is>
          <t>ÖREBRO</t>
        </is>
      </c>
      <c r="G362" t="n">
        <v>24.3</v>
      </c>
      <c r="H362" t="n">
        <v>0</v>
      </c>
      <c r="I362" t="n">
        <v>0</v>
      </c>
      <c r="J362" t="n">
        <v>0</v>
      </c>
      <c r="K362" t="n">
        <v>0</v>
      </c>
      <c r="L362" t="n">
        <v>0</v>
      </c>
      <c r="M362" t="n">
        <v>0</v>
      </c>
      <c r="N362" t="n">
        <v>0</v>
      </c>
      <c r="O362" t="n">
        <v>0</v>
      </c>
      <c r="P362" t="n">
        <v>0</v>
      </c>
      <c r="Q362" t="n">
        <v>0</v>
      </c>
      <c r="R362" s="2" t="inlineStr"/>
    </row>
    <row r="363" ht="15" customHeight="1">
      <c r="A363" t="inlineStr">
        <is>
          <t>A 54485-2025</t>
        </is>
      </c>
      <c r="B363" s="1" t="n">
        <v>45965.59295138889</v>
      </c>
      <c r="C363" s="1" t="n">
        <v>46072</v>
      </c>
      <c r="D363" t="inlineStr">
        <is>
          <t>ÖREBRO LÄN</t>
        </is>
      </c>
      <c r="E363" t="inlineStr">
        <is>
          <t>ÖREBRO</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7506-2025</t>
        </is>
      </c>
      <c r="B364" s="1" t="n">
        <v>45705</v>
      </c>
      <c r="C364" s="1" t="n">
        <v>46072</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59145-2025</t>
        </is>
      </c>
      <c r="B365" s="1" t="n">
        <v>45988.52015046297</v>
      </c>
      <c r="C365" s="1" t="n">
        <v>46072</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1153-2026</t>
        </is>
      </c>
      <c r="B366" s="1" t="n">
        <v>46031.30899305556</v>
      </c>
      <c r="C366" s="1" t="n">
        <v>46072</v>
      </c>
      <c r="D366" t="inlineStr">
        <is>
          <t>ÖREBRO LÄN</t>
        </is>
      </c>
      <c r="E366" t="inlineStr">
        <is>
          <t>ÖREBRO</t>
        </is>
      </c>
      <c r="G366" t="n">
        <v>3.3</v>
      </c>
      <c r="H366" t="n">
        <v>0</v>
      </c>
      <c r="I366" t="n">
        <v>0</v>
      </c>
      <c r="J366" t="n">
        <v>0</v>
      </c>
      <c r="K366" t="n">
        <v>0</v>
      </c>
      <c r="L366" t="n">
        <v>0</v>
      </c>
      <c r="M366" t="n">
        <v>0</v>
      </c>
      <c r="N366" t="n">
        <v>0</v>
      </c>
      <c r="O366" t="n">
        <v>0</v>
      </c>
      <c r="P366" t="n">
        <v>0</v>
      </c>
      <c r="Q366" t="n">
        <v>0</v>
      </c>
      <c r="R366" s="2" t="inlineStr"/>
    </row>
    <row r="367" ht="15" customHeight="1">
      <c r="A367" t="inlineStr">
        <is>
          <t>A 31240-2023</t>
        </is>
      </c>
      <c r="B367" s="1" t="n">
        <v>45114</v>
      </c>
      <c r="C367" s="1" t="n">
        <v>46072</v>
      </c>
      <c r="D367" t="inlineStr">
        <is>
          <t>ÖREBRO LÄN</t>
        </is>
      </c>
      <c r="E367" t="inlineStr">
        <is>
          <t>ÖREBRO</t>
        </is>
      </c>
      <c r="F367" t="inlineStr">
        <is>
          <t>Allmännings- och besparingsskogar</t>
        </is>
      </c>
      <c r="G367" t="n">
        <v>6.2</v>
      </c>
      <c r="H367" t="n">
        <v>0</v>
      </c>
      <c r="I367" t="n">
        <v>0</v>
      </c>
      <c r="J367" t="n">
        <v>0</v>
      </c>
      <c r="K367" t="n">
        <v>0</v>
      </c>
      <c r="L367" t="n">
        <v>0</v>
      </c>
      <c r="M367" t="n">
        <v>0</v>
      </c>
      <c r="N367" t="n">
        <v>0</v>
      </c>
      <c r="O367" t="n">
        <v>0</v>
      </c>
      <c r="P367" t="n">
        <v>0</v>
      </c>
      <c r="Q367" t="n">
        <v>0</v>
      </c>
      <c r="R367" s="2" t="inlineStr"/>
    </row>
    <row r="368" ht="15" customHeight="1">
      <c r="A368" t="inlineStr">
        <is>
          <t>A 14717-2024</t>
        </is>
      </c>
      <c r="B368" s="1" t="n">
        <v>45397.55104166667</v>
      </c>
      <c r="C368" s="1" t="n">
        <v>46072</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38057-2025</t>
        </is>
      </c>
      <c r="B369" s="1" t="n">
        <v>45882.42570601852</v>
      </c>
      <c r="C369" s="1" t="n">
        <v>46072</v>
      </c>
      <c r="D369" t="inlineStr">
        <is>
          <t>ÖREBRO LÄN</t>
        </is>
      </c>
      <c r="E369" t="inlineStr">
        <is>
          <t>ÖREBRO</t>
        </is>
      </c>
      <c r="G369" t="n">
        <v>3</v>
      </c>
      <c r="H369" t="n">
        <v>0</v>
      </c>
      <c r="I369" t="n">
        <v>0</v>
      </c>
      <c r="J369" t="n">
        <v>0</v>
      </c>
      <c r="K369" t="n">
        <v>0</v>
      </c>
      <c r="L369" t="n">
        <v>0</v>
      </c>
      <c r="M369" t="n">
        <v>0</v>
      </c>
      <c r="N369" t="n">
        <v>0</v>
      </c>
      <c r="O369" t="n">
        <v>0</v>
      </c>
      <c r="P369" t="n">
        <v>0</v>
      </c>
      <c r="Q369" t="n">
        <v>0</v>
      </c>
      <c r="R369" s="2" t="inlineStr"/>
    </row>
    <row r="370" ht="15" customHeight="1">
      <c r="A370" t="inlineStr">
        <is>
          <t>A 37968-2024</t>
        </is>
      </c>
      <c r="B370" s="1" t="n">
        <v>45544</v>
      </c>
      <c r="C370" s="1" t="n">
        <v>46072</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25443-2021</t>
        </is>
      </c>
      <c r="B371" s="1" t="n">
        <v>44342</v>
      </c>
      <c r="C371" s="1" t="n">
        <v>46072</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13700-2024</t>
        </is>
      </c>
      <c r="B372" s="1" t="n">
        <v>45390.59277777778</v>
      </c>
      <c r="C372" s="1" t="n">
        <v>46072</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59857-2025</t>
        </is>
      </c>
      <c r="B373" s="1" t="n">
        <v>45992.75820601852</v>
      </c>
      <c r="C373" s="1" t="n">
        <v>46072</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59938-2025</t>
        </is>
      </c>
      <c r="B374" s="1" t="n">
        <v>45993.42108796296</v>
      </c>
      <c r="C374" s="1" t="n">
        <v>46072</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46072</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59856-2025</t>
        </is>
      </c>
      <c r="B376" s="1" t="n">
        <v>45992.74891203704</v>
      </c>
      <c r="C376" s="1" t="n">
        <v>46072</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59860-2025</t>
        </is>
      </c>
      <c r="B377" s="1" t="n">
        <v>45992.78351851852</v>
      </c>
      <c r="C377" s="1" t="n">
        <v>46072</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38415-2023</t>
        </is>
      </c>
      <c r="B378" s="1" t="n">
        <v>45162.35502314815</v>
      </c>
      <c r="C378" s="1" t="n">
        <v>46072</v>
      </c>
      <c r="D378" t="inlineStr">
        <is>
          <t>ÖREBRO LÄN</t>
        </is>
      </c>
      <c r="E378" t="inlineStr">
        <is>
          <t>ÖREBRO</t>
        </is>
      </c>
      <c r="G378" t="n">
        <v>2.6</v>
      </c>
      <c r="H378" t="n">
        <v>0</v>
      </c>
      <c r="I378" t="n">
        <v>0</v>
      </c>
      <c r="J378" t="n">
        <v>0</v>
      </c>
      <c r="K378" t="n">
        <v>0</v>
      </c>
      <c r="L378" t="n">
        <v>0</v>
      </c>
      <c r="M378" t="n">
        <v>0</v>
      </c>
      <c r="N378" t="n">
        <v>0</v>
      </c>
      <c r="O378" t="n">
        <v>0</v>
      </c>
      <c r="P378" t="n">
        <v>0</v>
      </c>
      <c r="Q378" t="n">
        <v>0</v>
      </c>
      <c r="R378" s="2" t="inlineStr"/>
    </row>
    <row r="379" ht="15" customHeight="1">
      <c r="A379" t="inlineStr">
        <is>
          <t>A 59858-2025</t>
        </is>
      </c>
      <c r="B379" s="1" t="n">
        <v>45992.76758101852</v>
      </c>
      <c r="C379" s="1" t="n">
        <v>46072</v>
      </c>
      <c r="D379" t="inlineStr">
        <is>
          <t>ÖREBRO LÄN</t>
        </is>
      </c>
      <c r="E379" t="inlineStr">
        <is>
          <t>ÖREBRO</t>
        </is>
      </c>
      <c r="G379" t="n">
        <v>1.8</v>
      </c>
      <c r="H379" t="n">
        <v>0</v>
      </c>
      <c r="I379" t="n">
        <v>0</v>
      </c>
      <c r="J379" t="n">
        <v>0</v>
      </c>
      <c r="K379" t="n">
        <v>0</v>
      </c>
      <c r="L379" t="n">
        <v>0</v>
      </c>
      <c r="M379" t="n">
        <v>0</v>
      </c>
      <c r="N379" t="n">
        <v>0</v>
      </c>
      <c r="O379" t="n">
        <v>0</v>
      </c>
      <c r="P379" t="n">
        <v>0</v>
      </c>
      <c r="Q379" t="n">
        <v>0</v>
      </c>
      <c r="R379" s="2" t="inlineStr"/>
    </row>
    <row r="380" ht="15" customHeight="1">
      <c r="A380" t="inlineStr">
        <is>
          <t>A 59859-2025</t>
        </is>
      </c>
      <c r="B380" s="1" t="n">
        <v>45992.7803125</v>
      </c>
      <c r="C380" s="1" t="n">
        <v>46072</v>
      </c>
      <c r="D380" t="inlineStr">
        <is>
          <t>ÖREBRO LÄN</t>
        </is>
      </c>
      <c r="E380" t="inlineStr">
        <is>
          <t>ÖREBRO</t>
        </is>
      </c>
      <c r="G380" t="n">
        <v>0.4</v>
      </c>
      <c r="H380" t="n">
        <v>0</v>
      </c>
      <c r="I380" t="n">
        <v>0</v>
      </c>
      <c r="J380" t="n">
        <v>0</v>
      </c>
      <c r="K380" t="n">
        <v>0</v>
      </c>
      <c r="L380" t="n">
        <v>0</v>
      </c>
      <c r="M380" t="n">
        <v>0</v>
      </c>
      <c r="N380" t="n">
        <v>0</v>
      </c>
      <c r="O380" t="n">
        <v>0</v>
      </c>
      <c r="P380" t="n">
        <v>0</v>
      </c>
      <c r="Q380" t="n">
        <v>0</v>
      </c>
      <c r="R380" s="2" t="inlineStr"/>
    </row>
    <row r="381" ht="15" customHeight="1">
      <c r="A381" t="inlineStr">
        <is>
          <t>A 59937-2025</t>
        </is>
      </c>
      <c r="B381" s="1" t="n">
        <v>45993.41934027777</v>
      </c>
      <c r="C381" s="1" t="n">
        <v>46072</v>
      </c>
      <c r="D381" t="inlineStr">
        <is>
          <t>ÖREBRO LÄN</t>
        </is>
      </c>
      <c r="E381" t="inlineStr">
        <is>
          <t>ÖREBRO</t>
        </is>
      </c>
      <c r="G381" t="n">
        <v>1.3</v>
      </c>
      <c r="H381" t="n">
        <v>0</v>
      </c>
      <c r="I381" t="n">
        <v>0</v>
      </c>
      <c r="J381" t="n">
        <v>0</v>
      </c>
      <c r="K381" t="n">
        <v>0</v>
      </c>
      <c r="L381" t="n">
        <v>0</v>
      </c>
      <c r="M381" t="n">
        <v>0</v>
      </c>
      <c r="N381" t="n">
        <v>0</v>
      </c>
      <c r="O381" t="n">
        <v>0</v>
      </c>
      <c r="P381" t="n">
        <v>0</v>
      </c>
      <c r="Q381" t="n">
        <v>0</v>
      </c>
      <c r="R381" s="2" t="inlineStr"/>
    </row>
    <row r="382" ht="15" customHeight="1">
      <c r="A382" t="inlineStr">
        <is>
          <t>A 60128-2023</t>
        </is>
      </c>
      <c r="B382" s="1" t="n">
        <v>45258</v>
      </c>
      <c r="C382" s="1" t="n">
        <v>46072</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18047-2023</t>
        </is>
      </c>
      <c r="B383" s="1" t="n">
        <v>45040</v>
      </c>
      <c r="C383" s="1" t="n">
        <v>46072</v>
      </c>
      <c r="D383" t="inlineStr">
        <is>
          <t>ÖREBRO LÄN</t>
        </is>
      </c>
      <c r="E383" t="inlineStr">
        <is>
          <t>ÖREBRO</t>
        </is>
      </c>
      <c r="G383" t="n">
        <v>3.9</v>
      </c>
      <c r="H383" t="n">
        <v>0</v>
      </c>
      <c r="I383" t="n">
        <v>0</v>
      </c>
      <c r="J383" t="n">
        <v>0</v>
      </c>
      <c r="K383" t="n">
        <v>0</v>
      </c>
      <c r="L383" t="n">
        <v>0</v>
      </c>
      <c r="M383" t="n">
        <v>0</v>
      </c>
      <c r="N383" t="n">
        <v>0</v>
      </c>
      <c r="O383" t="n">
        <v>0</v>
      </c>
      <c r="P383" t="n">
        <v>0</v>
      </c>
      <c r="Q383" t="n">
        <v>0</v>
      </c>
      <c r="R383" s="2" t="inlineStr"/>
    </row>
    <row r="384" ht="15" customHeight="1">
      <c r="A384" t="inlineStr">
        <is>
          <t>A 49797-2024</t>
        </is>
      </c>
      <c r="B384" s="1" t="n">
        <v>45597.37265046296</v>
      </c>
      <c r="C384" s="1" t="n">
        <v>46072</v>
      </c>
      <c r="D384" t="inlineStr">
        <is>
          <t>ÖREBRO LÄN</t>
        </is>
      </c>
      <c r="E384" t="inlineStr">
        <is>
          <t>ÖREBRO</t>
        </is>
      </c>
      <c r="G384" t="n">
        <v>11.6</v>
      </c>
      <c r="H384" t="n">
        <v>0</v>
      </c>
      <c r="I384" t="n">
        <v>0</v>
      </c>
      <c r="J384" t="n">
        <v>0</v>
      </c>
      <c r="K384" t="n">
        <v>0</v>
      </c>
      <c r="L384" t="n">
        <v>0</v>
      </c>
      <c r="M384" t="n">
        <v>0</v>
      </c>
      <c r="N384" t="n">
        <v>0</v>
      </c>
      <c r="O384" t="n">
        <v>0</v>
      </c>
      <c r="P384" t="n">
        <v>0</v>
      </c>
      <c r="Q384" t="n">
        <v>0</v>
      </c>
      <c r="R384" s="2" t="inlineStr"/>
    </row>
    <row r="385" ht="15" customHeight="1">
      <c r="A385" t="inlineStr">
        <is>
          <t>A 60551-2025</t>
        </is>
      </c>
      <c r="B385" s="1" t="n">
        <v>45995</v>
      </c>
      <c r="C385" s="1" t="n">
        <v>46072</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2162-2026</t>
        </is>
      </c>
      <c r="B386" s="1" t="n">
        <v>46036.43479166667</v>
      </c>
      <c r="C386" s="1" t="n">
        <v>46072</v>
      </c>
      <c r="D386" t="inlineStr">
        <is>
          <t>ÖREBRO LÄN</t>
        </is>
      </c>
      <c r="E386" t="inlineStr">
        <is>
          <t>ÖREBRO</t>
        </is>
      </c>
      <c r="G386" t="n">
        <v>0.5</v>
      </c>
      <c r="H386" t="n">
        <v>0</v>
      </c>
      <c r="I386" t="n">
        <v>0</v>
      </c>
      <c r="J386" t="n">
        <v>0</v>
      </c>
      <c r="K386" t="n">
        <v>0</v>
      </c>
      <c r="L386" t="n">
        <v>0</v>
      </c>
      <c r="M386" t="n">
        <v>0</v>
      </c>
      <c r="N386" t="n">
        <v>0</v>
      </c>
      <c r="O386" t="n">
        <v>0</v>
      </c>
      <c r="P386" t="n">
        <v>0</v>
      </c>
      <c r="Q386" t="n">
        <v>0</v>
      </c>
      <c r="R386" s="2" t="inlineStr"/>
    </row>
    <row r="387" ht="15" customHeight="1">
      <c r="A387" t="inlineStr">
        <is>
          <t>A 60466-2025</t>
        </is>
      </c>
      <c r="B387" s="1" t="n">
        <v>45995.55927083334</v>
      </c>
      <c r="C387" s="1" t="n">
        <v>46072</v>
      </c>
      <c r="D387" t="inlineStr">
        <is>
          <t>ÖREBRO LÄN</t>
        </is>
      </c>
      <c r="E387" t="inlineStr">
        <is>
          <t>ÖREBRO</t>
        </is>
      </c>
      <c r="F387" t="inlineStr">
        <is>
          <t>Sveaskog</t>
        </is>
      </c>
      <c r="G387" t="n">
        <v>3.3</v>
      </c>
      <c r="H387" t="n">
        <v>0</v>
      </c>
      <c r="I387" t="n">
        <v>0</v>
      </c>
      <c r="J387" t="n">
        <v>0</v>
      </c>
      <c r="K387" t="n">
        <v>0</v>
      </c>
      <c r="L387" t="n">
        <v>0</v>
      </c>
      <c r="M387" t="n">
        <v>0</v>
      </c>
      <c r="N387" t="n">
        <v>0</v>
      </c>
      <c r="O387" t="n">
        <v>0</v>
      </c>
      <c r="P387" t="n">
        <v>0</v>
      </c>
      <c r="Q387" t="n">
        <v>0</v>
      </c>
      <c r="R387" s="2" t="inlineStr"/>
    </row>
    <row r="388" ht="15" customHeight="1">
      <c r="A388" t="inlineStr">
        <is>
          <t>A 8022-2022</t>
        </is>
      </c>
      <c r="B388" s="1" t="n">
        <v>44609</v>
      </c>
      <c r="C388" s="1" t="n">
        <v>46072</v>
      </c>
      <c r="D388" t="inlineStr">
        <is>
          <t>ÖREBRO LÄN</t>
        </is>
      </c>
      <c r="E388" t="inlineStr">
        <is>
          <t>ÖREBRO</t>
        </is>
      </c>
      <c r="G388" t="n">
        <v>5.6</v>
      </c>
      <c r="H388" t="n">
        <v>0</v>
      </c>
      <c r="I388" t="n">
        <v>0</v>
      </c>
      <c r="J388" t="n">
        <v>0</v>
      </c>
      <c r="K388" t="n">
        <v>0</v>
      </c>
      <c r="L388" t="n">
        <v>0</v>
      </c>
      <c r="M388" t="n">
        <v>0</v>
      </c>
      <c r="N388" t="n">
        <v>0</v>
      </c>
      <c r="O388" t="n">
        <v>0</v>
      </c>
      <c r="P388" t="n">
        <v>0</v>
      </c>
      <c r="Q388" t="n">
        <v>0</v>
      </c>
      <c r="R388" s="2" t="inlineStr"/>
    </row>
    <row r="389" ht="15" customHeight="1">
      <c r="A389" t="inlineStr">
        <is>
          <t>A 29978-2024</t>
        </is>
      </c>
      <c r="B389" s="1" t="n">
        <v>45488.48340277778</v>
      </c>
      <c r="C389" s="1" t="n">
        <v>46072</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60555-2025</t>
        </is>
      </c>
      <c r="B390" s="1" t="n">
        <v>45995.73722222223</v>
      </c>
      <c r="C390" s="1" t="n">
        <v>46072</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19978-2025</t>
        </is>
      </c>
      <c r="B391" s="1" t="n">
        <v>45771.7062037037</v>
      </c>
      <c r="C391" s="1" t="n">
        <v>46072</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7134-2025</t>
        </is>
      </c>
      <c r="B392" s="1" t="n">
        <v>45702</v>
      </c>
      <c r="C392" s="1" t="n">
        <v>46072</v>
      </c>
      <c r="D392" t="inlineStr">
        <is>
          <t>ÖREBRO LÄN</t>
        </is>
      </c>
      <c r="E392" t="inlineStr">
        <is>
          <t>ÖREBRO</t>
        </is>
      </c>
      <c r="F392" t="inlineStr">
        <is>
          <t>Övriga Aktiebolag</t>
        </is>
      </c>
      <c r="G392" t="n">
        <v>2.1</v>
      </c>
      <c r="H392" t="n">
        <v>0</v>
      </c>
      <c r="I392" t="n">
        <v>0</v>
      </c>
      <c r="J392" t="n">
        <v>0</v>
      </c>
      <c r="K392" t="n">
        <v>0</v>
      </c>
      <c r="L392" t="n">
        <v>0</v>
      </c>
      <c r="M392" t="n">
        <v>0</v>
      </c>
      <c r="N392" t="n">
        <v>0</v>
      </c>
      <c r="O392" t="n">
        <v>0</v>
      </c>
      <c r="P392" t="n">
        <v>0</v>
      </c>
      <c r="Q392" t="n">
        <v>0</v>
      </c>
      <c r="R392" s="2" t="inlineStr"/>
    </row>
    <row r="393" ht="15" customHeight="1">
      <c r="A393" t="inlineStr">
        <is>
          <t>A 2970-2026</t>
        </is>
      </c>
      <c r="B393" s="1" t="n">
        <v>46038.6202662037</v>
      </c>
      <c r="C393" s="1" t="n">
        <v>46072</v>
      </c>
      <c r="D393" t="inlineStr">
        <is>
          <t>ÖREBRO LÄN</t>
        </is>
      </c>
      <c r="E393" t="inlineStr">
        <is>
          <t>ÖREBRO</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3042-2026</t>
        </is>
      </c>
      <c r="B394" s="1" t="n">
        <v>46038.73467592592</v>
      </c>
      <c r="C394" s="1" t="n">
        <v>46072</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60720-2025</t>
        </is>
      </c>
      <c r="B395" s="1" t="n">
        <v>45996.64050925926</v>
      </c>
      <c r="C395" s="1" t="n">
        <v>46072</v>
      </c>
      <c r="D395" t="inlineStr">
        <is>
          <t>ÖREBRO LÄN</t>
        </is>
      </c>
      <c r="E395" t="inlineStr">
        <is>
          <t>ÖREBRO</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3111-2026</t>
        </is>
      </c>
      <c r="B396" s="1" t="n">
        <v>46041.36004629629</v>
      </c>
      <c r="C396" s="1" t="n">
        <v>46072</v>
      </c>
      <c r="D396" t="inlineStr">
        <is>
          <t>ÖREBRO LÄN</t>
        </is>
      </c>
      <c r="E396" t="inlineStr">
        <is>
          <t>ÖREBRO</t>
        </is>
      </c>
      <c r="F396" t="inlineStr">
        <is>
          <t>Övriga Aktiebolag</t>
        </is>
      </c>
      <c r="G396" t="n">
        <v>8.6</v>
      </c>
      <c r="H396" t="n">
        <v>0</v>
      </c>
      <c r="I396" t="n">
        <v>0</v>
      </c>
      <c r="J396" t="n">
        <v>0</v>
      </c>
      <c r="K396" t="n">
        <v>0</v>
      </c>
      <c r="L396" t="n">
        <v>0</v>
      </c>
      <c r="M396" t="n">
        <v>0</v>
      </c>
      <c r="N396" t="n">
        <v>0</v>
      </c>
      <c r="O396" t="n">
        <v>0</v>
      </c>
      <c r="P396" t="n">
        <v>0</v>
      </c>
      <c r="Q396" t="n">
        <v>0</v>
      </c>
      <c r="R396" s="2" t="inlineStr"/>
    </row>
    <row r="397" ht="15" customHeight="1">
      <c r="A397" t="inlineStr">
        <is>
          <t>A 3252-2026</t>
        </is>
      </c>
      <c r="B397" s="1" t="n">
        <v>46041.58626157408</v>
      </c>
      <c r="C397" s="1" t="n">
        <v>46072</v>
      </c>
      <c r="D397" t="inlineStr">
        <is>
          <t>ÖREBRO LÄN</t>
        </is>
      </c>
      <c r="E397" t="inlineStr">
        <is>
          <t>ÖREBRO</t>
        </is>
      </c>
      <c r="F397" t="inlineStr">
        <is>
          <t>Övriga Aktiebolag</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60840-2025</t>
        </is>
      </c>
      <c r="B398" s="1" t="n">
        <v>45999.48547453704</v>
      </c>
      <c r="C398" s="1" t="n">
        <v>46072</v>
      </c>
      <c r="D398" t="inlineStr">
        <is>
          <t>ÖREBRO LÄN</t>
        </is>
      </c>
      <c r="E398" t="inlineStr">
        <is>
          <t>ÖREBRO</t>
        </is>
      </c>
      <c r="G398" t="n">
        <v>3.5</v>
      </c>
      <c r="H398" t="n">
        <v>0</v>
      </c>
      <c r="I398" t="n">
        <v>0</v>
      </c>
      <c r="J398" t="n">
        <v>0</v>
      </c>
      <c r="K398" t="n">
        <v>0</v>
      </c>
      <c r="L398" t="n">
        <v>0</v>
      </c>
      <c r="M398" t="n">
        <v>0</v>
      </c>
      <c r="N398" t="n">
        <v>0</v>
      </c>
      <c r="O398" t="n">
        <v>0</v>
      </c>
      <c r="P398" t="n">
        <v>0</v>
      </c>
      <c r="Q398" t="n">
        <v>0</v>
      </c>
      <c r="R398" s="2" t="inlineStr"/>
    </row>
    <row r="399" ht="15" customHeight="1">
      <c r="A399" t="inlineStr">
        <is>
          <t>A 16374-2022</t>
        </is>
      </c>
      <c r="B399" s="1" t="n">
        <v>44671</v>
      </c>
      <c r="C399" s="1" t="n">
        <v>46072</v>
      </c>
      <c r="D399" t="inlineStr">
        <is>
          <t>ÖREBRO LÄN</t>
        </is>
      </c>
      <c r="E399" t="inlineStr">
        <is>
          <t>ÖREBRO</t>
        </is>
      </c>
      <c r="F399" t="inlineStr">
        <is>
          <t>Övriga Aktiebolag</t>
        </is>
      </c>
      <c r="G399" t="n">
        <v>30.3</v>
      </c>
      <c r="H399" t="n">
        <v>0</v>
      </c>
      <c r="I399" t="n">
        <v>0</v>
      </c>
      <c r="J399" t="n">
        <v>0</v>
      </c>
      <c r="K399" t="n">
        <v>0</v>
      </c>
      <c r="L399" t="n">
        <v>0</v>
      </c>
      <c r="M399" t="n">
        <v>0</v>
      </c>
      <c r="N399" t="n">
        <v>0</v>
      </c>
      <c r="O399" t="n">
        <v>0</v>
      </c>
      <c r="P399" t="n">
        <v>0</v>
      </c>
      <c r="Q399" t="n">
        <v>0</v>
      </c>
      <c r="R399" s="2" t="inlineStr"/>
    </row>
    <row r="400" ht="15" customHeight="1">
      <c r="A400" t="inlineStr">
        <is>
          <t>A 3031-2026</t>
        </is>
      </c>
      <c r="B400" s="1" t="n">
        <v>46038.71271990741</v>
      </c>
      <c r="C400" s="1" t="n">
        <v>46072</v>
      </c>
      <c r="D400" t="inlineStr">
        <is>
          <t>ÖREBRO LÄN</t>
        </is>
      </c>
      <c r="E400" t="inlineStr">
        <is>
          <t>ÖREBRO</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3033-2026</t>
        </is>
      </c>
      <c r="B401" s="1" t="n">
        <v>46038.71920138889</v>
      </c>
      <c r="C401" s="1" t="n">
        <v>46072</v>
      </c>
      <c r="D401" t="inlineStr">
        <is>
          <t>ÖREBRO LÄN</t>
        </is>
      </c>
      <c r="E401" t="inlineStr">
        <is>
          <t>ÖREBRO</t>
        </is>
      </c>
      <c r="F401" t="inlineStr">
        <is>
          <t>Övriga Aktiebolag</t>
        </is>
      </c>
      <c r="G401" t="n">
        <v>3.4</v>
      </c>
      <c r="H401" t="n">
        <v>0</v>
      </c>
      <c r="I401" t="n">
        <v>0</v>
      </c>
      <c r="J401" t="n">
        <v>0</v>
      </c>
      <c r="K401" t="n">
        <v>0</v>
      </c>
      <c r="L401" t="n">
        <v>0</v>
      </c>
      <c r="M401" t="n">
        <v>0</v>
      </c>
      <c r="N401" t="n">
        <v>0</v>
      </c>
      <c r="O401" t="n">
        <v>0</v>
      </c>
      <c r="P401" t="n">
        <v>0</v>
      </c>
      <c r="Q401" t="n">
        <v>0</v>
      </c>
      <c r="R401" s="2" t="inlineStr"/>
    </row>
    <row r="402" ht="15" customHeight="1">
      <c r="A402" t="inlineStr">
        <is>
          <t>A 27956-2023</t>
        </is>
      </c>
      <c r="B402" s="1" t="n">
        <v>45098</v>
      </c>
      <c r="C402" s="1" t="n">
        <v>46072</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13321-2024</t>
        </is>
      </c>
      <c r="B403" s="1" t="n">
        <v>45386.83142361111</v>
      </c>
      <c r="C403" s="1" t="n">
        <v>46072</v>
      </c>
      <c r="D403" t="inlineStr">
        <is>
          <t>ÖREBRO LÄN</t>
        </is>
      </c>
      <c r="E403" t="inlineStr">
        <is>
          <t>ÖREBRO</t>
        </is>
      </c>
      <c r="G403" t="n">
        <v>13.1</v>
      </c>
      <c r="H403" t="n">
        <v>0</v>
      </c>
      <c r="I403" t="n">
        <v>0</v>
      </c>
      <c r="J403" t="n">
        <v>0</v>
      </c>
      <c r="K403" t="n">
        <v>0</v>
      </c>
      <c r="L403" t="n">
        <v>0</v>
      </c>
      <c r="M403" t="n">
        <v>0</v>
      </c>
      <c r="N403" t="n">
        <v>0</v>
      </c>
      <c r="O403" t="n">
        <v>0</v>
      </c>
      <c r="P403" t="n">
        <v>0</v>
      </c>
      <c r="Q403" t="n">
        <v>0</v>
      </c>
      <c r="R403" s="2" t="inlineStr"/>
    </row>
    <row r="404" ht="15" customHeight="1">
      <c r="A404" t="inlineStr">
        <is>
          <t>A 60717-2025</t>
        </is>
      </c>
      <c r="B404" s="1" t="n">
        <v>45996.63673611111</v>
      </c>
      <c r="C404" s="1" t="n">
        <v>46072</v>
      </c>
      <c r="D404" t="inlineStr">
        <is>
          <t>ÖREBRO LÄN</t>
        </is>
      </c>
      <c r="E404" t="inlineStr">
        <is>
          <t>ÖREBRO</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60718-2025</t>
        </is>
      </c>
      <c r="B405" s="1" t="n">
        <v>45996.6384375</v>
      </c>
      <c r="C405" s="1" t="n">
        <v>46072</v>
      </c>
      <c r="D405" t="inlineStr">
        <is>
          <t>ÖREBRO LÄN</t>
        </is>
      </c>
      <c r="E405" t="inlineStr">
        <is>
          <t>ÖREBRO</t>
        </is>
      </c>
      <c r="F405" t="inlineStr">
        <is>
          <t>Sveaskog</t>
        </is>
      </c>
      <c r="G405" t="n">
        <v>5.3</v>
      </c>
      <c r="H405" t="n">
        <v>0</v>
      </c>
      <c r="I405" t="n">
        <v>0</v>
      </c>
      <c r="J405" t="n">
        <v>0</v>
      </c>
      <c r="K405" t="n">
        <v>0</v>
      </c>
      <c r="L405" t="n">
        <v>0</v>
      </c>
      <c r="M405" t="n">
        <v>0</v>
      </c>
      <c r="N405" t="n">
        <v>0</v>
      </c>
      <c r="O405" t="n">
        <v>0</v>
      </c>
      <c r="P405" t="n">
        <v>0</v>
      </c>
      <c r="Q405" t="n">
        <v>0</v>
      </c>
      <c r="R405" s="2" t="inlineStr"/>
    </row>
    <row r="406" ht="15" customHeight="1">
      <c r="A406" t="inlineStr">
        <is>
          <t>A 60721-2025</t>
        </is>
      </c>
      <c r="B406" s="1" t="n">
        <v>45996</v>
      </c>
      <c r="C406" s="1" t="n">
        <v>46072</v>
      </c>
      <c r="D406" t="inlineStr">
        <is>
          <t>ÖREBRO LÄN</t>
        </is>
      </c>
      <c r="E406" t="inlineStr">
        <is>
          <t>ÖREBRO</t>
        </is>
      </c>
      <c r="G406" t="n">
        <v>1.3</v>
      </c>
      <c r="H406" t="n">
        <v>0</v>
      </c>
      <c r="I406" t="n">
        <v>0</v>
      </c>
      <c r="J406" t="n">
        <v>0</v>
      </c>
      <c r="K406" t="n">
        <v>0</v>
      </c>
      <c r="L406" t="n">
        <v>0</v>
      </c>
      <c r="M406" t="n">
        <v>0</v>
      </c>
      <c r="N406" t="n">
        <v>0</v>
      </c>
      <c r="O406" t="n">
        <v>0</v>
      </c>
      <c r="P406" t="n">
        <v>0</v>
      </c>
      <c r="Q406" t="n">
        <v>0</v>
      </c>
      <c r="R406" s="2" t="inlineStr"/>
    </row>
    <row r="407" ht="15" customHeight="1">
      <c r="A407" t="inlineStr">
        <is>
          <t>A 61525-2025</t>
        </is>
      </c>
      <c r="B407" s="1" t="n">
        <v>46001</v>
      </c>
      <c r="C407" s="1" t="n">
        <v>46072</v>
      </c>
      <c r="D407" t="inlineStr">
        <is>
          <t>ÖREBRO LÄN</t>
        </is>
      </c>
      <c r="E407" t="inlineStr">
        <is>
          <t>ÖREBRO</t>
        </is>
      </c>
      <c r="G407" t="n">
        <v>2.6</v>
      </c>
      <c r="H407" t="n">
        <v>0</v>
      </c>
      <c r="I407" t="n">
        <v>0</v>
      </c>
      <c r="J407" t="n">
        <v>0</v>
      </c>
      <c r="K407" t="n">
        <v>0</v>
      </c>
      <c r="L407" t="n">
        <v>0</v>
      </c>
      <c r="M407" t="n">
        <v>0</v>
      </c>
      <c r="N407" t="n">
        <v>0</v>
      </c>
      <c r="O407" t="n">
        <v>0</v>
      </c>
      <c r="P407" t="n">
        <v>0</v>
      </c>
      <c r="Q407" t="n">
        <v>0</v>
      </c>
      <c r="R407" s="2" t="inlineStr"/>
    </row>
    <row r="408" ht="15" customHeight="1">
      <c r="A408" t="inlineStr">
        <is>
          <t>A 15652-2025</t>
        </is>
      </c>
      <c r="B408" s="1" t="n">
        <v>45748</v>
      </c>
      <c r="C408" s="1" t="n">
        <v>46072</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16737-2023</t>
        </is>
      </c>
      <c r="B409" s="1" t="n">
        <v>45030.72472222222</v>
      </c>
      <c r="C409" s="1" t="n">
        <v>46072</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5762-2025</t>
        </is>
      </c>
      <c r="B410" s="1" t="n">
        <v>45694.57181712963</v>
      </c>
      <c r="C410" s="1" t="n">
        <v>46072</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51180-2023</t>
        </is>
      </c>
      <c r="B411" s="1" t="n">
        <v>45219</v>
      </c>
      <c r="C411" s="1" t="n">
        <v>46072</v>
      </c>
      <c r="D411" t="inlineStr">
        <is>
          <t>ÖREBRO LÄN</t>
        </is>
      </c>
      <c r="E411" t="inlineStr">
        <is>
          <t>ÖREBRO</t>
        </is>
      </c>
      <c r="G411" t="n">
        <v>6.5</v>
      </c>
      <c r="H411" t="n">
        <v>0</v>
      </c>
      <c r="I411" t="n">
        <v>0</v>
      </c>
      <c r="J411" t="n">
        <v>0</v>
      </c>
      <c r="K411" t="n">
        <v>0</v>
      </c>
      <c r="L411" t="n">
        <v>0</v>
      </c>
      <c r="M411" t="n">
        <v>0</v>
      </c>
      <c r="N411" t="n">
        <v>0</v>
      </c>
      <c r="O411" t="n">
        <v>0</v>
      </c>
      <c r="P411" t="n">
        <v>0</v>
      </c>
      <c r="Q411" t="n">
        <v>0</v>
      </c>
      <c r="R411" s="2" t="inlineStr"/>
    </row>
    <row r="412" ht="15" customHeight="1">
      <c r="A412" t="inlineStr">
        <is>
          <t>A 58621-2024</t>
        </is>
      </c>
      <c r="B412" s="1" t="n">
        <v>45635.56321759259</v>
      </c>
      <c r="C412" s="1" t="n">
        <v>46072</v>
      </c>
      <c r="D412" t="inlineStr">
        <is>
          <t>ÖREBRO LÄN</t>
        </is>
      </c>
      <c r="E412" t="inlineStr">
        <is>
          <t>ÖREBRO</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5578-2024</t>
        </is>
      </c>
      <c r="B413" s="1" t="n">
        <v>45334.49104166667</v>
      </c>
      <c r="C413" s="1" t="n">
        <v>46072</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32086-2023</t>
        </is>
      </c>
      <c r="B414" s="1" t="n">
        <v>45119.59789351852</v>
      </c>
      <c r="C414" s="1" t="n">
        <v>46072</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22079-2023</t>
        </is>
      </c>
      <c r="B415" s="1" t="n">
        <v>45069</v>
      </c>
      <c r="C415" s="1" t="n">
        <v>46072</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61930-2025</t>
        </is>
      </c>
      <c r="B416" s="1" t="n">
        <v>46003</v>
      </c>
      <c r="C416" s="1" t="n">
        <v>46072</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2630-2023</t>
        </is>
      </c>
      <c r="B417" s="1" t="n">
        <v>44944.39105324074</v>
      </c>
      <c r="C417" s="1" t="n">
        <v>46072</v>
      </c>
      <c r="D417" t="inlineStr">
        <is>
          <t>ÖREBRO LÄN</t>
        </is>
      </c>
      <c r="E417" t="inlineStr">
        <is>
          <t>ÖREBRO</t>
        </is>
      </c>
      <c r="G417" t="n">
        <v>6.1</v>
      </c>
      <c r="H417" t="n">
        <v>0</v>
      </c>
      <c r="I417" t="n">
        <v>0</v>
      </c>
      <c r="J417" t="n">
        <v>0</v>
      </c>
      <c r="K417" t="n">
        <v>0</v>
      </c>
      <c r="L417" t="n">
        <v>0</v>
      </c>
      <c r="M417" t="n">
        <v>0</v>
      </c>
      <c r="N417" t="n">
        <v>0</v>
      </c>
      <c r="O417" t="n">
        <v>0</v>
      </c>
      <c r="P417" t="n">
        <v>0</v>
      </c>
      <c r="Q417" t="n">
        <v>0</v>
      </c>
      <c r="R417" s="2" t="inlineStr"/>
    </row>
    <row r="418" ht="15" customHeight="1">
      <c r="A418" t="inlineStr">
        <is>
          <t>A 5330-2024</t>
        </is>
      </c>
      <c r="B418" s="1" t="n">
        <v>45331.4187962963</v>
      </c>
      <c r="C418" s="1" t="n">
        <v>46072</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3944-2026</t>
        </is>
      </c>
      <c r="B419" s="1" t="n">
        <v>46043.93358796297</v>
      </c>
      <c r="C419" s="1" t="n">
        <v>46072</v>
      </c>
      <c r="D419" t="inlineStr">
        <is>
          <t>ÖREBRO LÄN</t>
        </is>
      </c>
      <c r="E419" t="inlineStr">
        <is>
          <t>ÖREBRO</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54925-2023</t>
        </is>
      </c>
      <c r="B420" s="1" t="n">
        <v>45229</v>
      </c>
      <c r="C420" s="1" t="n">
        <v>46072</v>
      </c>
      <c r="D420" t="inlineStr">
        <is>
          <t>ÖREBRO LÄN</t>
        </is>
      </c>
      <c r="E420" t="inlineStr">
        <is>
          <t>ÖREBRO</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10830-2023</t>
        </is>
      </c>
      <c r="B421" s="1" t="n">
        <v>44990.89752314815</v>
      </c>
      <c r="C421" s="1" t="n">
        <v>46072</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9585-2025</t>
        </is>
      </c>
      <c r="B422" s="1" t="n">
        <v>45715.63409722222</v>
      </c>
      <c r="C422" s="1" t="n">
        <v>46072</v>
      </c>
      <c r="D422" t="inlineStr">
        <is>
          <t>ÖREBRO LÄN</t>
        </is>
      </c>
      <c r="E422" t="inlineStr">
        <is>
          <t>ÖREBRO</t>
        </is>
      </c>
      <c r="G422" t="n">
        <v>3.4</v>
      </c>
      <c r="H422" t="n">
        <v>0</v>
      </c>
      <c r="I422" t="n">
        <v>0</v>
      </c>
      <c r="J422" t="n">
        <v>0</v>
      </c>
      <c r="K422" t="n">
        <v>0</v>
      </c>
      <c r="L422" t="n">
        <v>0</v>
      </c>
      <c r="M422" t="n">
        <v>0</v>
      </c>
      <c r="N422" t="n">
        <v>0</v>
      </c>
      <c r="O422" t="n">
        <v>0</v>
      </c>
      <c r="P422" t="n">
        <v>0</v>
      </c>
      <c r="Q422" t="n">
        <v>0</v>
      </c>
      <c r="R422" s="2" t="inlineStr"/>
    </row>
    <row r="423" ht="15" customHeight="1">
      <c r="A423" t="inlineStr">
        <is>
          <t>A 5125-2024</t>
        </is>
      </c>
      <c r="B423" s="1" t="n">
        <v>45330</v>
      </c>
      <c r="C423" s="1" t="n">
        <v>46072</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42138-2024</t>
        </is>
      </c>
      <c r="B424" s="1" t="n">
        <v>45562.41854166667</v>
      </c>
      <c r="C424" s="1" t="n">
        <v>46072</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26101-2022</t>
        </is>
      </c>
      <c r="B425" s="1" t="n">
        <v>44734</v>
      </c>
      <c r="C425" s="1" t="n">
        <v>46072</v>
      </c>
      <c r="D425" t="inlineStr">
        <is>
          <t>ÖREBRO LÄN</t>
        </is>
      </c>
      <c r="E425" t="inlineStr">
        <is>
          <t>ÖREBRO</t>
        </is>
      </c>
      <c r="G425" t="n">
        <v>15.8</v>
      </c>
      <c r="H425" t="n">
        <v>0</v>
      </c>
      <c r="I425" t="n">
        <v>0</v>
      </c>
      <c r="J425" t="n">
        <v>0</v>
      </c>
      <c r="K425" t="n">
        <v>0</v>
      </c>
      <c r="L425" t="n">
        <v>0</v>
      </c>
      <c r="M425" t="n">
        <v>0</v>
      </c>
      <c r="N425" t="n">
        <v>0</v>
      </c>
      <c r="O425" t="n">
        <v>0</v>
      </c>
      <c r="P425" t="n">
        <v>0</v>
      </c>
      <c r="Q425" t="n">
        <v>0</v>
      </c>
      <c r="R425" s="2" t="inlineStr"/>
    </row>
    <row r="426" ht="15" customHeight="1">
      <c r="A426" t="inlineStr">
        <is>
          <t>A 2095-2025</t>
        </is>
      </c>
      <c r="B426" s="1" t="n">
        <v>45672</v>
      </c>
      <c r="C426" s="1" t="n">
        <v>46072</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71206-2021</t>
        </is>
      </c>
      <c r="B427" s="1" t="n">
        <v>44539</v>
      </c>
      <c r="C427" s="1" t="n">
        <v>46072</v>
      </c>
      <c r="D427" t="inlineStr">
        <is>
          <t>ÖREBRO LÄN</t>
        </is>
      </c>
      <c r="E427" t="inlineStr">
        <is>
          <t>ÖREBRO</t>
        </is>
      </c>
      <c r="G427" t="n">
        <v>2.5</v>
      </c>
      <c r="H427" t="n">
        <v>0</v>
      </c>
      <c r="I427" t="n">
        <v>0</v>
      </c>
      <c r="J427" t="n">
        <v>0</v>
      </c>
      <c r="K427" t="n">
        <v>0</v>
      </c>
      <c r="L427" t="n">
        <v>0</v>
      </c>
      <c r="M427" t="n">
        <v>0</v>
      </c>
      <c r="N427" t="n">
        <v>0</v>
      </c>
      <c r="O427" t="n">
        <v>0</v>
      </c>
      <c r="P427" t="n">
        <v>0</v>
      </c>
      <c r="Q427" t="n">
        <v>0</v>
      </c>
      <c r="R427" s="2" t="inlineStr"/>
    </row>
    <row r="428" ht="15" customHeight="1">
      <c r="A428" t="inlineStr">
        <is>
          <t>A 48140-2024</t>
        </is>
      </c>
      <c r="B428" s="1" t="n">
        <v>45589.66474537037</v>
      </c>
      <c r="C428" s="1" t="n">
        <v>46072</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41703-2024</t>
        </is>
      </c>
      <c r="B429" s="1" t="n">
        <v>45560</v>
      </c>
      <c r="C429" s="1" t="n">
        <v>46072</v>
      </c>
      <c r="D429" t="inlineStr">
        <is>
          <t>ÖREBRO LÄN</t>
        </is>
      </c>
      <c r="E429" t="inlineStr">
        <is>
          <t>ÖREBRO</t>
        </is>
      </c>
      <c r="G429" t="n">
        <v>6.4</v>
      </c>
      <c r="H429" t="n">
        <v>0</v>
      </c>
      <c r="I429" t="n">
        <v>0</v>
      </c>
      <c r="J429" t="n">
        <v>0</v>
      </c>
      <c r="K429" t="n">
        <v>0</v>
      </c>
      <c r="L429" t="n">
        <v>0</v>
      </c>
      <c r="M429" t="n">
        <v>0</v>
      </c>
      <c r="N429" t="n">
        <v>0</v>
      </c>
      <c r="O429" t="n">
        <v>0</v>
      </c>
      <c r="P429" t="n">
        <v>0</v>
      </c>
      <c r="Q429" t="n">
        <v>0</v>
      </c>
      <c r="R429" s="2" t="inlineStr"/>
    </row>
    <row r="430" ht="15" customHeight="1">
      <c r="A430" t="inlineStr">
        <is>
          <t>A 33577-2023</t>
        </is>
      </c>
      <c r="B430" s="1" t="n">
        <v>45131</v>
      </c>
      <c r="C430" s="1" t="n">
        <v>46072</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38489-2023</t>
        </is>
      </c>
      <c r="B431" s="1" t="n">
        <v>45162</v>
      </c>
      <c r="C431" s="1" t="n">
        <v>46072</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19763-2024</t>
        </is>
      </c>
      <c r="B432" s="1" t="n">
        <v>45432</v>
      </c>
      <c r="C432" s="1" t="n">
        <v>46072</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14545-2023</t>
        </is>
      </c>
      <c r="B433" s="1" t="n">
        <v>45013.34895833334</v>
      </c>
      <c r="C433" s="1" t="n">
        <v>46072</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54917-2023</t>
        </is>
      </c>
      <c r="B434" s="1" t="n">
        <v>45229</v>
      </c>
      <c r="C434" s="1" t="n">
        <v>46072</v>
      </c>
      <c r="D434" t="inlineStr">
        <is>
          <t>ÖREBRO LÄN</t>
        </is>
      </c>
      <c r="E434" t="inlineStr">
        <is>
          <t>ÖREBRO</t>
        </is>
      </c>
      <c r="G434" t="n">
        <v>3.1</v>
      </c>
      <c r="H434" t="n">
        <v>0</v>
      </c>
      <c r="I434" t="n">
        <v>0</v>
      </c>
      <c r="J434" t="n">
        <v>0</v>
      </c>
      <c r="K434" t="n">
        <v>0</v>
      </c>
      <c r="L434" t="n">
        <v>0</v>
      </c>
      <c r="M434" t="n">
        <v>0</v>
      </c>
      <c r="N434" t="n">
        <v>0</v>
      </c>
      <c r="O434" t="n">
        <v>0</v>
      </c>
      <c r="P434" t="n">
        <v>0</v>
      </c>
      <c r="Q434" t="n">
        <v>0</v>
      </c>
      <c r="R434" s="2" t="inlineStr"/>
    </row>
    <row r="435" ht="15" customHeight="1">
      <c r="A435" t="inlineStr">
        <is>
          <t>A 14432-2023</t>
        </is>
      </c>
      <c r="B435" s="1" t="n">
        <v>45012</v>
      </c>
      <c r="C435" s="1" t="n">
        <v>46072</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3652-2022</t>
        </is>
      </c>
      <c r="B436" s="1" t="n">
        <v>44586.46921296296</v>
      </c>
      <c r="C436" s="1" t="n">
        <v>46072</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37021-2024</t>
        </is>
      </c>
      <c r="B437" s="1" t="n">
        <v>45539.38146990741</v>
      </c>
      <c r="C437" s="1" t="n">
        <v>46072</v>
      </c>
      <c r="D437" t="inlineStr">
        <is>
          <t>ÖREBRO LÄN</t>
        </is>
      </c>
      <c r="E437" t="inlineStr">
        <is>
          <t>ÖREBRO</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62683-2025</t>
        </is>
      </c>
      <c r="B438" s="1" t="n">
        <v>46008.45796296297</v>
      </c>
      <c r="C438" s="1" t="n">
        <v>46072</v>
      </c>
      <c r="D438" t="inlineStr">
        <is>
          <t>ÖREBRO LÄN</t>
        </is>
      </c>
      <c r="E438" t="inlineStr">
        <is>
          <t>ÖREBRO</t>
        </is>
      </c>
      <c r="G438" t="n">
        <v>5.1</v>
      </c>
      <c r="H438" t="n">
        <v>0</v>
      </c>
      <c r="I438" t="n">
        <v>0</v>
      </c>
      <c r="J438" t="n">
        <v>0</v>
      </c>
      <c r="K438" t="n">
        <v>0</v>
      </c>
      <c r="L438" t="n">
        <v>0</v>
      </c>
      <c r="M438" t="n">
        <v>0</v>
      </c>
      <c r="N438" t="n">
        <v>0</v>
      </c>
      <c r="O438" t="n">
        <v>0</v>
      </c>
      <c r="P438" t="n">
        <v>0</v>
      </c>
      <c r="Q438" t="n">
        <v>0</v>
      </c>
      <c r="R438" s="2" t="inlineStr"/>
    </row>
    <row r="439" ht="15" customHeight="1">
      <c r="A439" t="inlineStr">
        <is>
          <t>A 55003-2025</t>
        </is>
      </c>
      <c r="B439" s="1" t="n">
        <v>45967</v>
      </c>
      <c r="C439" s="1" t="n">
        <v>46072</v>
      </c>
      <c r="D439" t="inlineStr">
        <is>
          <t>ÖREBRO LÄN</t>
        </is>
      </c>
      <c r="E439" t="inlineStr">
        <is>
          <t>ÖREBRO</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52499-2024</t>
        </is>
      </c>
      <c r="B440" s="1" t="n">
        <v>45609.58422453704</v>
      </c>
      <c r="C440" s="1" t="n">
        <v>46072</v>
      </c>
      <c r="D440" t="inlineStr">
        <is>
          <t>ÖREBRO LÄN</t>
        </is>
      </c>
      <c r="E440" t="inlineStr">
        <is>
          <t>ÖREBRO</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14960-2025</t>
        </is>
      </c>
      <c r="B441" s="1" t="n">
        <v>45743.5853125</v>
      </c>
      <c r="C441" s="1" t="n">
        <v>46072</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13623-2024</t>
        </is>
      </c>
      <c r="B442" s="1" t="n">
        <v>45390.38626157407</v>
      </c>
      <c r="C442" s="1" t="n">
        <v>46072</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6220-2026</t>
        </is>
      </c>
      <c r="B443" s="1" t="n">
        <v>46055.43789351852</v>
      </c>
      <c r="C443" s="1" t="n">
        <v>46072</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5619-2023</t>
        </is>
      </c>
      <c r="B444" s="1" t="n">
        <v>44958</v>
      </c>
      <c r="C444" s="1" t="n">
        <v>46072</v>
      </c>
      <c r="D444" t="inlineStr">
        <is>
          <t>ÖREBRO LÄN</t>
        </is>
      </c>
      <c r="E444" t="inlineStr">
        <is>
          <t>ÖREBRO</t>
        </is>
      </c>
      <c r="G444" t="n">
        <v>27</v>
      </c>
      <c r="H444" t="n">
        <v>0</v>
      </c>
      <c r="I444" t="n">
        <v>0</v>
      </c>
      <c r="J444" t="n">
        <v>0</v>
      </c>
      <c r="K444" t="n">
        <v>0</v>
      </c>
      <c r="L444" t="n">
        <v>0</v>
      </c>
      <c r="M444" t="n">
        <v>0</v>
      </c>
      <c r="N444" t="n">
        <v>0</v>
      </c>
      <c r="O444" t="n">
        <v>0</v>
      </c>
      <c r="P444" t="n">
        <v>0</v>
      </c>
      <c r="Q444" t="n">
        <v>0</v>
      </c>
      <c r="R444" s="2" t="inlineStr"/>
    </row>
    <row r="445" ht="15" customHeight="1">
      <c r="A445" t="inlineStr">
        <is>
          <t>A 37277-2022</t>
        </is>
      </c>
      <c r="B445" s="1" t="n">
        <v>44807.49150462963</v>
      </c>
      <c r="C445" s="1" t="n">
        <v>46072</v>
      </c>
      <c r="D445" t="inlineStr">
        <is>
          <t>ÖREBRO LÄN</t>
        </is>
      </c>
      <c r="E445" t="inlineStr">
        <is>
          <t>ÖREBRO</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23573-2023</t>
        </is>
      </c>
      <c r="B446" s="1" t="n">
        <v>45077.41672453703</v>
      </c>
      <c r="C446" s="1" t="n">
        <v>46072</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61593-2023</t>
        </is>
      </c>
      <c r="B447" s="1" t="n">
        <v>45265</v>
      </c>
      <c r="C447" s="1" t="n">
        <v>46072</v>
      </c>
      <c r="D447" t="inlineStr">
        <is>
          <t>ÖREBRO LÄN</t>
        </is>
      </c>
      <c r="E447" t="inlineStr">
        <is>
          <t>ÖREBRO</t>
        </is>
      </c>
      <c r="G447" t="n">
        <v>2.5</v>
      </c>
      <c r="H447" t="n">
        <v>0</v>
      </c>
      <c r="I447" t="n">
        <v>0</v>
      </c>
      <c r="J447" t="n">
        <v>0</v>
      </c>
      <c r="K447" t="n">
        <v>0</v>
      </c>
      <c r="L447" t="n">
        <v>0</v>
      </c>
      <c r="M447" t="n">
        <v>0</v>
      </c>
      <c r="N447" t="n">
        <v>0</v>
      </c>
      <c r="O447" t="n">
        <v>0</v>
      </c>
      <c r="P447" t="n">
        <v>0</v>
      </c>
      <c r="Q447" t="n">
        <v>0</v>
      </c>
      <c r="R447" s="2" t="inlineStr"/>
    </row>
    <row r="448" ht="15" customHeight="1">
      <c r="A448" t="inlineStr">
        <is>
          <t>A 59024-2024</t>
        </is>
      </c>
      <c r="B448" s="1" t="n">
        <v>45636.68505787037</v>
      </c>
      <c r="C448" s="1" t="n">
        <v>46072</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16258-2022</t>
        </is>
      </c>
      <c r="B449" s="1" t="n">
        <v>44670</v>
      </c>
      <c r="C449" s="1" t="n">
        <v>46072</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63657-2025</t>
        </is>
      </c>
      <c r="B450" s="1" t="n">
        <v>46014.44479166667</v>
      </c>
      <c r="C450" s="1" t="n">
        <v>46072</v>
      </c>
      <c r="D450" t="inlineStr">
        <is>
          <t>ÖREBRO LÄN</t>
        </is>
      </c>
      <c r="E450" t="inlineStr">
        <is>
          <t>ÖREBRO</t>
        </is>
      </c>
      <c r="F450" t="inlineStr">
        <is>
          <t>Allmännings- och besparingsskogar</t>
        </is>
      </c>
      <c r="G450" t="n">
        <v>3.9</v>
      </c>
      <c r="H450" t="n">
        <v>0</v>
      </c>
      <c r="I450" t="n">
        <v>0</v>
      </c>
      <c r="J450" t="n">
        <v>0</v>
      </c>
      <c r="K450" t="n">
        <v>0</v>
      </c>
      <c r="L450" t="n">
        <v>0</v>
      </c>
      <c r="M450" t="n">
        <v>0</v>
      </c>
      <c r="N450" t="n">
        <v>0</v>
      </c>
      <c r="O450" t="n">
        <v>0</v>
      </c>
      <c r="P450" t="n">
        <v>0</v>
      </c>
      <c r="Q450" t="n">
        <v>0</v>
      </c>
      <c r="R450" s="2" t="inlineStr"/>
    </row>
    <row r="451" ht="15" customHeight="1">
      <c r="A451" t="inlineStr">
        <is>
          <t>A 63666-2025</t>
        </is>
      </c>
      <c r="B451" s="1" t="n">
        <v>46014.45650462963</v>
      </c>
      <c r="C451" s="1" t="n">
        <v>46072</v>
      </c>
      <c r="D451" t="inlineStr">
        <is>
          <t>ÖREBRO LÄN</t>
        </is>
      </c>
      <c r="E451" t="inlineStr">
        <is>
          <t>ÖREBRO</t>
        </is>
      </c>
      <c r="F451" t="inlineStr">
        <is>
          <t>Allmännings- och besparingsskogar</t>
        </is>
      </c>
      <c r="G451" t="n">
        <v>2.6</v>
      </c>
      <c r="H451" t="n">
        <v>0</v>
      </c>
      <c r="I451" t="n">
        <v>0</v>
      </c>
      <c r="J451" t="n">
        <v>0</v>
      </c>
      <c r="K451" t="n">
        <v>0</v>
      </c>
      <c r="L451" t="n">
        <v>0</v>
      </c>
      <c r="M451" t="n">
        <v>0</v>
      </c>
      <c r="N451" t="n">
        <v>0</v>
      </c>
      <c r="O451" t="n">
        <v>0</v>
      </c>
      <c r="P451" t="n">
        <v>0</v>
      </c>
      <c r="Q451" t="n">
        <v>0</v>
      </c>
      <c r="R451" s="2" t="inlineStr"/>
    </row>
    <row r="452" ht="15" customHeight="1">
      <c r="A452" t="inlineStr">
        <is>
          <t>A 63662-2025</t>
        </is>
      </c>
      <c r="B452" s="1" t="n">
        <v>46014.45055555556</v>
      </c>
      <c r="C452" s="1" t="n">
        <v>46072</v>
      </c>
      <c r="D452" t="inlineStr">
        <is>
          <t>ÖREBRO LÄN</t>
        </is>
      </c>
      <c r="E452" t="inlineStr">
        <is>
          <t>ÖREBRO</t>
        </is>
      </c>
      <c r="F452" t="inlineStr">
        <is>
          <t>Allmännings- och besparingsskogar</t>
        </is>
      </c>
      <c r="G452" t="n">
        <v>3.2</v>
      </c>
      <c r="H452" t="n">
        <v>0</v>
      </c>
      <c r="I452" t="n">
        <v>0</v>
      </c>
      <c r="J452" t="n">
        <v>0</v>
      </c>
      <c r="K452" t="n">
        <v>0</v>
      </c>
      <c r="L452" t="n">
        <v>0</v>
      </c>
      <c r="M452" t="n">
        <v>0</v>
      </c>
      <c r="N452" t="n">
        <v>0</v>
      </c>
      <c r="O452" t="n">
        <v>0</v>
      </c>
      <c r="P452" t="n">
        <v>0</v>
      </c>
      <c r="Q452" t="n">
        <v>0</v>
      </c>
      <c r="R452" s="2" t="inlineStr"/>
    </row>
    <row r="453" ht="15" customHeight="1">
      <c r="A453" t="inlineStr">
        <is>
          <t>A 10339-2023</t>
        </is>
      </c>
      <c r="B453" s="1" t="n">
        <v>44987</v>
      </c>
      <c r="C453" s="1" t="n">
        <v>46072</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31247-2023</t>
        </is>
      </c>
      <c r="B454" s="1" t="n">
        <v>45114</v>
      </c>
      <c r="C454" s="1" t="n">
        <v>46072</v>
      </c>
      <c r="D454" t="inlineStr">
        <is>
          <t>ÖREBRO LÄN</t>
        </is>
      </c>
      <c r="E454" t="inlineStr">
        <is>
          <t>ÖREBRO</t>
        </is>
      </c>
      <c r="F454" t="inlineStr">
        <is>
          <t>Allmännings- och besparingsskogar</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16165-2023</t>
        </is>
      </c>
      <c r="B455" s="1" t="n">
        <v>45027</v>
      </c>
      <c r="C455" s="1" t="n">
        <v>46072</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7275-2026</t>
        </is>
      </c>
      <c r="B456" s="1" t="n">
        <v>46058.6259375</v>
      </c>
      <c r="C456" s="1" t="n">
        <v>46072</v>
      </c>
      <c r="D456" t="inlineStr">
        <is>
          <t>ÖREBRO LÄN</t>
        </is>
      </c>
      <c r="E456" t="inlineStr">
        <is>
          <t>ÖREBRO</t>
        </is>
      </c>
      <c r="F456" t="inlineStr">
        <is>
          <t>Övriga Aktiebolag</t>
        </is>
      </c>
      <c r="G456" t="n">
        <v>5.2</v>
      </c>
      <c r="H456" t="n">
        <v>0</v>
      </c>
      <c r="I456" t="n">
        <v>0</v>
      </c>
      <c r="J456" t="n">
        <v>0</v>
      </c>
      <c r="K456" t="n">
        <v>0</v>
      </c>
      <c r="L456" t="n">
        <v>0</v>
      </c>
      <c r="M456" t="n">
        <v>0</v>
      </c>
      <c r="N456" t="n">
        <v>0</v>
      </c>
      <c r="O456" t="n">
        <v>0</v>
      </c>
      <c r="P456" t="n">
        <v>0</v>
      </c>
      <c r="Q456" t="n">
        <v>0</v>
      </c>
      <c r="R456" s="2" t="inlineStr"/>
    </row>
    <row r="457" ht="15" customHeight="1">
      <c r="A457" t="inlineStr">
        <is>
          <t>A 39130-2023</t>
        </is>
      </c>
      <c r="B457" s="1" t="n">
        <v>45165</v>
      </c>
      <c r="C457" s="1" t="n">
        <v>46072</v>
      </c>
      <c r="D457" t="inlineStr">
        <is>
          <t>ÖREBRO LÄN</t>
        </is>
      </c>
      <c r="E457" t="inlineStr">
        <is>
          <t>ÖREBRO</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50398-2022</t>
        </is>
      </c>
      <c r="B458" s="1" t="n">
        <v>44861</v>
      </c>
      <c r="C458" s="1" t="n">
        <v>46072</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7220-2026</t>
        </is>
      </c>
      <c r="B459" s="1" t="n">
        <v>46058.56126157408</v>
      </c>
      <c r="C459" s="1" t="n">
        <v>46072</v>
      </c>
      <c r="D459" t="inlineStr">
        <is>
          <t>ÖREBRO LÄN</t>
        </is>
      </c>
      <c r="E459" t="inlineStr">
        <is>
          <t>ÖREBRO</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7227-2026</t>
        </is>
      </c>
      <c r="B460" s="1" t="n">
        <v>46058.56858796296</v>
      </c>
      <c r="C460" s="1" t="n">
        <v>46072</v>
      </c>
      <c r="D460" t="inlineStr">
        <is>
          <t>ÖREBRO LÄN</t>
        </is>
      </c>
      <c r="E460" t="inlineStr">
        <is>
          <t>ÖREBRO</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9379-2024</t>
        </is>
      </c>
      <c r="B461" s="1" t="n">
        <v>45359.37298611111</v>
      </c>
      <c r="C461" s="1" t="n">
        <v>46072</v>
      </c>
      <c r="D461" t="inlineStr">
        <is>
          <t>ÖREBRO LÄN</t>
        </is>
      </c>
      <c r="E461" t="inlineStr">
        <is>
          <t>ÖREBRO</t>
        </is>
      </c>
      <c r="G461" t="n">
        <v>2.4</v>
      </c>
      <c r="H461" t="n">
        <v>0</v>
      </c>
      <c r="I461" t="n">
        <v>0</v>
      </c>
      <c r="J461" t="n">
        <v>0</v>
      </c>
      <c r="K461" t="n">
        <v>0</v>
      </c>
      <c r="L461" t="n">
        <v>0</v>
      </c>
      <c r="M461" t="n">
        <v>0</v>
      </c>
      <c r="N461" t="n">
        <v>0</v>
      </c>
      <c r="O461" t="n">
        <v>0</v>
      </c>
      <c r="P461" t="n">
        <v>0</v>
      </c>
      <c r="Q461" t="n">
        <v>0</v>
      </c>
      <c r="R461" s="2" t="inlineStr"/>
    </row>
    <row r="462" ht="15" customHeight="1">
      <c r="A462" t="inlineStr">
        <is>
          <t>A 7550-2026</t>
        </is>
      </c>
      <c r="B462" s="1" t="n">
        <v>46059.68496527777</v>
      </c>
      <c r="C462" s="1" t="n">
        <v>46072</v>
      </c>
      <c r="D462" t="inlineStr">
        <is>
          <t>ÖREBRO LÄN</t>
        </is>
      </c>
      <c r="E462" t="inlineStr">
        <is>
          <t>ÖREBRO</t>
        </is>
      </c>
      <c r="G462" t="n">
        <v>1.9</v>
      </c>
      <c r="H462" t="n">
        <v>0</v>
      </c>
      <c r="I462" t="n">
        <v>0</v>
      </c>
      <c r="J462" t="n">
        <v>0</v>
      </c>
      <c r="K462" t="n">
        <v>0</v>
      </c>
      <c r="L462" t="n">
        <v>0</v>
      </c>
      <c r="M462" t="n">
        <v>0</v>
      </c>
      <c r="N462" t="n">
        <v>0</v>
      </c>
      <c r="O462" t="n">
        <v>0</v>
      </c>
      <c r="P462" t="n">
        <v>0</v>
      </c>
      <c r="Q462" t="n">
        <v>0</v>
      </c>
      <c r="R462" s="2" t="inlineStr"/>
    </row>
    <row r="463" ht="15" customHeight="1">
      <c r="A463" t="inlineStr">
        <is>
          <t>A 64018-2025</t>
        </is>
      </c>
      <c r="B463" s="1" t="n">
        <v>46021.4546412037</v>
      </c>
      <c r="C463" s="1" t="n">
        <v>46072</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35345-2024</t>
        </is>
      </c>
      <c r="B464" s="1" t="n">
        <v>45530</v>
      </c>
      <c r="C464" s="1" t="n">
        <v>46072</v>
      </c>
      <c r="D464" t="inlineStr">
        <is>
          <t>ÖREBRO LÄN</t>
        </is>
      </c>
      <c r="E464" t="inlineStr">
        <is>
          <t>ÖREBRO</t>
        </is>
      </c>
      <c r="G464" t="n">
        <v>0.9</v>
      </c>
      <c r="H464" t="n">
        <v>0</v>
      </c>
      <c r="I464" t="n">
        <v>0</v>
      </c>
      <c r="J464" t="n">
        <v>0</v>
      </c>
      <c r="K464" t="n">
        <v>0</v>
      </c>
      <c r="L464" t="n">
        <v>0</v>
      </c>
      <c r="M464" t="n">
        <v>0</v>
      </c>
      <c r="N464" t="n">
        <v>0</v>
      </c>
      <c r="O464" t="n">
        <v>0</v>
      </c>
      <c r="P464" t="n">
        <v>0</v>
      </c>
      <c r="Q464" t="n">
        <v>0</v>
      </c>
      <c r="R464" s="2" t="inlineStr"/>
    </row>
    <row r="465" ht="15" customHeight="1">
      <c r="A465" t="inlineStr">
        <is>
          <t>A 45517-2023</t>
        </is>
      </c>
      <c r="B465" s="1" t="n">
        <v>45194.49594907407</v>
      </c>
      <c r="C465" s="1" t="n">
        <v>46072</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6254-2026</t>
        </is>
      </c>
      <c r="B466" s="1" t="n">
        <v>46055</v>
      </c>
      <c r="C466" s="1" t="n">
        <v>46072</v>
      </c>
      <c r="D466" t="inlineStr">
        <is>
          <t>ÖREBRO LÄN</t>
        </is>
      </c>
      <c r="E466" t="inlineStr">
        <is>
          <t>ÖREBRO</t>
        </is>
      </c>
      <c r="G466" t="n">
        <v>2.8</v>
      </c>
      <c r="H466" t="n">
        <v>0</v>
      </c>
      <c r="I466" t="n">
        <v>0</v>
      </c>
      <c r="J466" t="n">
        <v>0</v>
      </c>
      <c r="K466" t="n">
        <v>0</v>
      </c>
      <c r="L466" t="n">
        <v>0</v>
      </c>
      <c r="M466" t="n">
        <v>0</v>
      </c>
      <c r="N466" t="n">
        <v>0</v>
      </c>
      <c r="O466" t="n">
        <v>0</v>
      </c>
      <c r="P466" t="n">
        <v>0</v>
      </c>
      <c r="Q466" t="n">
        <v>0</v>
      </c>
      <c r="R466" s="2" t="inlineStr"/>
    </row>
    <row r="467" ht="15" customHeight="1">
      <c r="A467" t="inlineStr">
        <is>
          <t>A 32321-2023</t>
        </is>
      </c>
      <c r="B467" s="1" t="n">
        <v>45120</v>
      </c>
      <c r="C467" s="1" t="n">
        <v>46072</v>
      </c>
      <c r="D467" t="inlineStr">
        <is>
          <t>ÖREBRO LÄN</t>
        </is>
      </c>
      <c r="E467" t="inlineStr">
        <is>
          <t>ÖREBRO</t>
        </is>
      </c>
      <c r="G467" t="n">
        <v>3.4</v>
      </c>
      <c r="H467" t="n">
        <v>0</v>
      </c>
      <c r="I467" t="n">
        <v>0</v>
      </c>
      <c r="J467" t="n">
        <v>0</v>
      </c>
      <c r="K467" t="n">
        <v>0</v>
      </c>
      <c r="L467" t="n">
        <v>0</v>
      </c>
      <c r="M467" t="n">
        <v>0</v>
      </c>
      <c r="N467" t="n">
        <v>0</v>
      </c>
      <c r="O467" t="n">
        <v>0</v>
      </c>
      <c r="P467" t="n">
        <v>0</v>
      </c>
      <c r="Q467" t="n">
        <v>0</v>
      </c>
      <c r="R467" s="2" t="inlineStr"/>
    </row>
    <row r="468" ht="15" customHeight="1">
      <c r="A468" t="inlineStr">
        <is>
          <t>A 29138-2022</t>
        </is>
      </c>
      <c r="B468" s="1" t="n">
        <v>44750</v>
      </c>
      <c r="C468" s="1" t="n">
        <v>46072</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29143-2022</t>
        </is>
      </c>
      <c r="B469" s="1" t="n">
        <v>44750</v>
      </c>
      <c r="C469" s="1" t="n">
        <v>46072</v>
      </c>
      <c r="D469" t="inlineStr">
        <is>
          <t>ÖREBRO LÄN</t>
        </is>
      </c>
      <c r="E469" t="inlineStr">
        <is>
          <t>ÖREBRO</t>
        </is>
      </c>
      <c r="G469" t="n">
        <v>5.6</v>
      </c>
      <c r="H469" t="n">
        <v>0</v>
      </c>
      <c r="I469" t="n">
        <v>0</v>
      </c>
      <c r="J469" t="n">
        <v>0</v>
      </c>
      <c r="K469" t="n">
        <v>0</v>
      </c>
      <c r="L469" t="n">
        <v>0</v>
      </c>
      <c r="M469" t="n">
        <v>0</v>
      </c>
      <c r="N469" t="n">
        <v>0</v>
      </c>
      <c r="O469" t="n">
        <v>0</v>
      </c>
      <c r="P469" t="n">
        <v>0</v>
      </c>
      <c r="Q469" t="n">
        <v>0</v>
      </c>
      <c r="R469" s="2" t="inlineStr"/>
    </row>
    <row r="470" ht="15" customHeight="1">
      <c r="A470" t="inlineStr">
        <is>
          <t>A 14234-2024</t>
        </is>
      </c>
      <c r="B470" s="1" t="n">
        <v>45393.46980324074</v>
      </c>
      <c r="C470" s="1" t="n">
        <v>46072</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64019-2025</t>
        </is>
      </c>
      <c r="B471" s="1" t="n">
        <v>46021.45914351852</v>
      </c>
      <c r="C471" s="1" t="n">
        <v>46072</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4557-2023</t>
        </is>
      </c>
      <c r="B472" s="1" t="n">
        <v>44956.6655787037</v>
      </c>
      <c r="C472" s="1" t="n">
        <v>46072</v>
      </c>
      <c r="D472" t="inlineStr">
        <is>
          <t>ÖREBRO LÄN</t>
        </is>
      </c>
      <c r="E472" t="inlineStr">
        <is>
          <t>ÖREBRO</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53558-2023</t>
        </is>
      </c>
      <c r="B473" s="1" t="n">
        <v>45230.47266203703</v>
      </c>
      <c r="C473" s="1" t="n">
        <v>46072</v>
      </c>
      <c r="D473" t="inlineStr">
        <is>
          <t>ÖREBRO LÄN</t>
        </is>
      </c>
      <c r="E473" t="inlineStr">
        <is>
          <t>ÖREBRO</t>
        </is>
      </c>
      <c r="F473" t="inlineStr">
        <is>
          <t>Övriga Aktiebolag</t>
        </is>
      </c>
      <c r="G473" t="n">
        <v>4.7</v>
      </c>
      <c r="H473" t="n">
        <v>0</v>
      </c>
      <c r="I473" t="n">
        <v>0</v>
      </c>
      <c r="J473" t="n">
        <v>0</v>
      </c>
      <c r="K473" t="n">
        <v>0</v>
      </c>
      <c r="L473" t="n">
        <v>0</v>
      </c>
      <c r="M473" t="n">
        <v>0</v>
      </c>
      <c r="N473" t="n">
        <v>0</v>
      </c>
      <c r="O473" t="n">
        <v>0</v>
      </c>
      <c r="P473" t="n">
        <v>0</v>
      </c>
      <c r="Q473" t="n">
        <v>0</v>
      </c>
      <c r="R473" s="2" t="inlineStr"/>
    </row>
    <row r="474" ht="15" customHeight="1">
      <c r="A474" t="inlineStr">
        <is>
          <t>A 46518-2023</t>
        </is>
      </c>
      <c r="B474" s="1" t="n">
        <v>45197.72777777778</v>
      </c>
      <c r="C474" s="1" t="n">
        <v>46072</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59515-2025</t>
        </is>
      </c>
      <c r="B475" s="1" t="n">
        <v>45989.65238425926</v>
      </c>
      <c r="C475" s="1" t="n">
        <v>46072</v>
      </c>
      <c r="D475" t="inlineStr">
        <is>
          <t>ÖREBRO LÄN</t>
        </is>
      </c>
      <c r="E475" t="inlineStr">
        <is>
          <t>ÖREBRO</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7692-2023</t>
        </is>
      </c>
      <c r="B476" s="1" t="n">
        <v>44972.7762962963</v>
      </c>
      <c r="C476" s="1" t="n">
        <v>46072</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46056-2024</t>
        </is>
      </c>
      <c r="B477" s="1" t="n">
        <v>45580.91502314815</v>
      </c>
      <c r="C477" s="1" t="n">
        <v>46072</v>
      </c>
      <c r="D477" t="inlineStr">
        <is>
          <t>ÖREBRO LÄN</t>
        </is>
      </c>
      <c r="E477" t="inlineStr">
        <is>
          <t>ÖREBRO</t>
        </is>
      </c>
      <c r="F477" t="inlineStr">
        <is>
          <t>Övriga Aktiebolag</t>
        </is>
      </c>
      <c r="G477" t="n">
        <v>4.5</v>
      </c>
      <c r="H477" t="n">
        <v>0</v>
      </c>
      <c r="I477" t="n">
        <v>0</v>
      </c>
      <c r="J477" t="n">
        <v>0</v>
      </c>
      <c r="K477" t="n">
        <v>0</v>
      </c>
      <c r="L477" t="n">
        <v>0</v>
      </c>
      <c r="M477" t="n">
        <v>0</v>
      </c>
      <c r="N477" t="n">
        <v>0</v>
      </c>
      <c r="O477" t="n">
        <v>0</v>
      </c>
      <c r="P477" t="n">
        <v>0</v>
      </c>
      <c r="Q477" t="n">
        <v>0</v>
      </c>
      <c r="R477" s="2" t="inlineStr"/>
    </row>
    <row r="478" ht="15" customHeight="1">
      <c r="A478" t="inlineStr">
        <is>
          <t>A 57638-2022</t>
        </is>
      </c>
      <c r="B478" s="1" t="n">
        <v>44897</v>
      </c>
      <c r="C478" s="1" t="n">
        <v>46072</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8274-2025</t>
        </is>
      </c>
      <c r="B479" s="1" t="n">
        <v>45708</v>
      </c>
      <c r="C479" s="1" t="n">
        <v>46072</v>
      </c>
      <c r="D479" t="inlineStr">
        <is>
          <t>ÖREBRO LÄN</t>
        </is>
      </c>
      <c r="E479" t="inlineStr">
        <is>
          <t>ÖREBRO</t>
        </is>
      </c>
      <c r="G479" t="n">
        <v>5.8</v>
      </c>
      <c r="H479" t="n">
        <v>0</v>
      </c>
      <c r="I479" t="n">
        <v>0</v>
      </c>
      <c r="J479" t="n">
        <v>0</v>
      </c>
      <c r="K479" t="n">
        <v>0</v>
      </c>
      <c r="L479" t="n">
        <v>0</v>
      </c>
      <c r="M479" t="n">
        <v>0</v>
      </c>
      <c r="N479" t="n">
        <v>0</v>
      </c>
      <c r="O479" t="n">
        <v>0</v>
      </c>
      <c r="P479" t="n">
        <v>0</v>
      </c>
      <c r="Q479" t="n">
        <v>0</v>
      </c>
      <c r="R479" s="2" t="inlineStr"/>
    </row>
    <row r="480" ht="15" customHeight="1">
      <c r="A480" t="inlineStr">
        <is>
          <t>A 7634-2024</t>
        </is>
      </c>
      <c r="B480" s="1" t="n">
        <v>45348</v>
      </c>
      <c r="C480" s="1" t="n">
        <v>46072</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58208-2024</t>
        </is>
      </c>
      <c r="B481" s="1" t="n">
        <v>45632</v>
      </c>
      <c r="C481" s="1" t="n">
        <v>46072</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71266-2021</t>
        </is>
      </c>
      <c r="B482" s="1" t="n">
        <v>44539</v>
      </c>
      <c r="C482" s="1" t="n">
        <v>46072</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71267-2021</t>
        </is>
      </c>
      <c r="B483" s="1" t="n">
        <v>44539</v>
      </c>
      <c r="C483" s="1" t="n">
        <v>46072</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71280-2021</t>
        </is>
      </c>
      <c r="B484" s="1" t="n">
        <v>44539</v>
      </c>
      <c r="C484" s="1" t="n">
        <v>46072</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8461-2026</t>
        </is>
      </c>
      <c r="B485" s="1" t="n">
        <v>46065.42981481482</v>
      </c>
      <c r="C485" s="1" t="n">
        <v>46072</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21983-2021</t>
        </is>
      </c>
      <c r="B486" s="1" t="n">
        <v>44323</v>
      </c>
      <c r="C486" s="1" t="n">
        <v>46072</v>
      </c>
      <c r="D486" t="inlineStr">
        <is>
          <t>ÖREBRO LÄN</t>
        </is>
      </c>
      <c r="E486" t="inlineStr">
        <is>
          <t>ÖREBRO</t>
        </is>
      </c>
      <c r="F486" t="inlineStr">
        <is>
          <t>Övriga Aktiebolag</t>
        </is>
      </c>
      <c r="G486" t="n">
        <v>0.7</v>
      </c>
      <c r="H486" t="n">
        <v>0</v>
      </c>
      <c r="I486" t="n">
        <v>0</v>
      </c>
      <c r="J486" t="n">
        <v>0</v>
      </c>
      <c r="K486" t="n">
        <v>0</v>
      </c>
      <c r="L486" t="n">
        <v>0</v>
      </c>
      <c r="M486" t="n">
        <v>0</v>
      </c>
      <c r="N486" t="n">
        <v>0</v>
      </c>
      <c r="O486" t="n">
        <v>0</v>
      </c>
      <c r="P486" t="n">
        <v>0</v>
      </c>
      <c r="Q486" t="n">
        <v>0</v>
      </c>
      <c r="R486" s="2" t="inlineStr"/>
    </row>
    <row r="487" ht="15" customHeight="1">
      <c r="A487" t="inlineStr">
        <is>
          <t>A 62497-2023</t>
        </is>
      </c>
      <c r="B487" s="1" t="n">
        <v>45268.59935185185</v>
      </c>
      <c r="C487" s="1" t="n">
        <v>46072</v>
      </c>
      <c r="D487" t="inlineStr">
        <is>
          <t>ÖREBRO LÄN</t>
        </is>
      </c>
      <c r="E487" t="inlineStr">
        <is>
          <t>ÖREBRO</t>
        </is>
      </c>
      <c r="F487" t="inlineStr">
        <is>
          <t>Övriga Aktiebolag</t>
        </is>
      </c>
      <c r="G487" t="n">
        <v>3.2</v>
      </c>
      <c r="H487" t="n">
        <v>0</v>
      </c>
      <c r="I487" t="n">
        <v>0</v>
      </c>
      <c r="J487" t="n">
        <v>0</v>
      </c>
      <c r="K487" t="n">
        <v>0</v>
      </c>
      <c r="L487" t="n">
        <v>0</v>
      </c>
      <c r="M487" t="n">
        <v>0</v>
      </c>
      <c r="N487" t="n">
        <v>0</v>
      </c>
      <c r="O487" t="n">
        <v>0</v>
      </c>
      <c r="P487" t="n">
        <v>0</v>
      </c>
      <c r="Q487" t="n">
        <v>0</v>
      </c>
      <c r="R487" s="2" t="inlineStr"/>
    </row>
    <row r="488" ht="15" customHeight="1">
      <c r="A488" t="inlineStr">
        <is>
          <t>A 33294-2023</t>
        </is>
      </c>
      <c r="B488" s="1" t="n">
        <v>45127</v>
      </c>
      <c r="C488" s="1" t="n">
        <v>46072</v>
      </c>
      <c r="D488" t="inlineStr">
        <is>
          <t>ÖREBRO LÄN</t>
        </is>
      </c>
      <c r="E488" t="inlineStr">
        <is>
          <t>ÖREBRO</t>
        </is>
      </c>
      <c r="F488" t="inlineStr">
        <is>
          <t>Övriga Aktiebolag</t>
        </is>
      </c>
      <c r="G488" t="n">
        <v>6.7</v>
      </c>
      <c r="H488" t="n">
        <v>0</v>
      </c>
      <c r="I488" t="n">
        <v>0</v>
      </c>
      <c r="J488" t="n">
        <v>0</v>
      </c>
      <c r="K488" t="n">
        <v>0</v>
      </c>
      <c r="L488" t="n">
        <v>0</v>
      </c>
      <c r="M488" t="n">
        <v>0</v>
      </c>
      <c r="N488" t="n">
        <v>0</v>
      </c>
      <c r="O488" t="n">
        <v>0</v>
      </c>
      <c r="P488" t="n">
        <v>0</v>
      </c>
      <c r="Q488" t="n">
        <v>0</v>
      </c>
      <c r="R488" s="2" t="inlineStr"/>
    </row>
    <row r="489" ht="15" customHeight="1">
      <c r="A489" t="inlineStr">
        <is>
          <t>A 8677-2026</t>
        </is>
      </c>
      <c r="B489" s="1" t="n">
        <v>46066.40994212963</v>
      </c>
      <c r="C489" s="1" t="n">
        <v>46072</v>
      </c>
      <c r="D489" t="inlineStr">
        <is>
          <t>ÖREBRO LÄN</t>
        </is>
      </c>
      <c r="E489" t="inlineStr">
        <is>
          <t>ÖREBRO</t>
        </is>
      </c>
      <c r="G489" t="n">
        <v>2.6</v>
      </c>
      <c r="H489" t="n">
        <v>0</v>
      </c>
      <c r="I489" t="n">
        <v>0</v>
      </c>
      <c r="J489" t="n">
        <v>0</v>
      </c>
      <c r="K489" t="n">
        <v>0</v>
      </c>
      <c r="L489" t="n">
        <v>0</v>
      </c>
      <c r="M489" t="n">
        <v>0</v>
      </c>
      <c r="N489" t="n">
        <v>0</v>
      </c>
      <c r="O489" t="n">
        <v>0</v>
      </c>
      <c r="P489" t="n">
        <v>0</v>
      </c>
      <c r="Q489" t="n">
        <v>0</v>
      </c>
      <c r="R489" s="2" t="inlineStr"/>
    </row>
    <row r="490" ht="15" customHeight="1">
      <c r="A490" t="inlineStr">
        <is>
          <t>A 8662-2026</t>
        </is>
      </c>
      <c r="B490" s="1" t="n">
        <v>46066.38112268518</v>
      </c>
      <c r="C490" s="1" t="n">
        <v>46072</v>
      </c>
      <c r="D490" t="inlineStr">
        <is>
          <t>ÖREBRO LÄN</t>
        </is>
      </c>
      <c r="E490" t="inlineStr">
        <is>
          <t>ÖREBRO</t>
        </is>
      </c>
      <c r="G490" t="n">
        <v>3.2</v>
      </c>
      <c r="H490" t="n">
        <v>0</v>
      </c>
      <c r="I490" t="n">
        <v>0</v>
      </c>
      <c r="J490" t="n">
        <v>0</v>
      </c>
      <c r="K490" t="n">
        <v>0</v>
      </c>
      <c r="L490" t="n">
        <v>0</v>
      </c>
      <c r="M490" t="n">
        <v>0</v>
      </c>
      <c r="N490" t="n">
        <v>0</v>
      </c>
      <c r="O490" t="n">
        <v>0</v>
      </c>
      <c r="P490" t="n">
        <v>0</v>
      </c>
      <c r="Q490" t="n">
        <v>0</v>
      </c>
      <c r="R490" s="2" t="inlineStr"/>
    </row>
    <row r="491" ht="15" customHeight="1">
      <c r="A491" t="inlineStr">
        <is>
          <t>A 46052-2024</t>
        </is>
      </c>
      <c r="B491" s="1" t="n">
        <v>45580.89116898148</v>
      </c>
      <c r="C491" s="1" t="n">
        <v>46072</v>
      </c>
      <c r="D491" t="inlineStr">
        <is>
          <t>ÖREBRO LÄN</t>
        </is>
      </c>
      <c r="E491" t="inlineStr">
        <is>
          <t>ÖREBRO</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54149-2024</t>
        </is>
      </c>
      <c r="B492" s="1" t="n">
        <v>45616</v>
      </c>
      <c r="C492" s="1" t="n">
        <v>46072</v>
      </c>
      <c r="D492" t="inlineStr">
        <is>
          <t>ÖREBRO LÄN</t>
        </is>
      </c>
      <c r="E492" t="inlineStr">
        <is>
          <t>ÖREBRO</t>
        </is>
      </c>
      <c r="G492" t="n">
        <v>2.7</v>
      </c>
      <c r="H492" t="n">
        <v>0</v>
      </c>
      <c r="I492" t="n">
        <v>0</v>
      </c>
      <c r="J492" t="n">
        <v>0</v>
      </c>
      <c r="K492" t="n">
        <v>0</v>
      </c>
      <c r="L492" t="n">
        <v>0</v>
      </c>
      <c r="M492" t="n">
        <v>0</v>
      </c>
      <c r="N492" t="n">
        <v>0</v>
      </c>
      <c r="O492" t="n">
        <v>0</v>
      </c>
      <c r="P492" t="n">
        <v>0</v>
      </c>
      <c r="Q492" t="n">
        <v>0</v>
      </c>
      <c r="R492" s="2" t="inlineStr"/>
    </row>
    <row r="493" ht="15" customHeight="1">
      <c r="A493" t="inlineStr">
        <is>
          <t>A 12871-2021</t>
        </is>
      </c>
      <c r="B493" s="1" t="n">
        <v>44271.42121527778</v>
      </c>
      <c r="C493" s="1" t="n">
        <v>46072</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15424-2022</t>
        </is>
      </c>
      <c r="B494" s="1" t="n">
        <v>44659</v>
      </c>
      <c r="C494" s="1" t="n">
        <v>46072</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15682-2023</t>
        </is>
      </c>
      <c r="B495" s="1" t="n">
        <v>45021</v>
      </c>
      <c r="C495" s="1" t="n">
        <v>46072</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12682-2023</t>
        </is>
      </c>
      <c r="B496" s="1" t="n">
        <v>45000.6115625</v>
      </c>
      <c r="C496" s="1" t="n">
        <v>46072</v>
      </c>
      <c r="D496" t="inlineStr">
        <is>
          <t>ÖREBRO LÄN</t>
        </is>
      </c>
      <c r="E496" t="inlineStr">
        <is>
          <t>ÖREBRO</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57247-2022</t>
        </is>
      </c>
      <c r="B497" s="1" t="n">
        <v>44895.73065972222</v>
      </c>
      <c r="C497" s="1" t="n">
        <v>46072</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9318-2026</t>
        </is>
      </c>
      <c r="B498" s="1" t="n">
        <v>46070.62585648148</v>
      </c>
      <c r="C498" s="1" t="n">
        <v>46072</v>
      </c>
      <c r="D498" t="inlineStr">
        <is>
          <t>ÖREBRO LÄN</t>
        </is>
      </c>
      <c r="E498" t="inlineStr">
        <is>
          <t>ÖREBRO</t>
        </is>
      </c>
      <c r="F498" t="inlineStr">
        <is>
          <t>Övriga Aktiebolag</t>
        </is>
      </c>
      <c r="G498" t="n">
        <v>2.7</v>
      </c>
      <c r="H498" t="n">
        <v>0</v>
      </c>
      <c r="I498" t="n">
        <v>0</v>
      </c>
      <c r="J498" t="n">
        <v>0</v>
      </c>
      <c r="K498" t="n">
        <v>0</v>
      </c>
      <c r="L498" t="n">
        <v>0</v>
      </c>
      <c r="M498" t="n">
        <v>0</v>
      </c>
      <c r="N498" t="n">
        <v>0</v>
      </c>
      <c r="O498" t="n">
        <v>0</v>
      </c>
      <c r="P498" t="n">
        <v>0</v>
      </c>
      <c r="Q498" t="n">
        <v>0</v>
      </c>
      <c r="R498" s="2" t="inlineStr"/>
    </row>
    <row r="499" ht="15" customHeight="1">
      <c r="A499" t="inlineStr">
        <is>
          <t>A 58606-2024</t>
        </is>
      </c>
      <c r="B499" s="1" t="n">
        <v>45635.54747685185</v>
      </c>
      <c r="C499" s="1" t="n">
        <v>46072</v>
      </c>
      <c r="D499" t="inlineStr">
        <is>
          <t>ÖREBRO LÄN</t>
        </is>
      </c>
      <c r="E499" t="inlineStr">
        <is>
          <t>ÖREBRO</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123-2025</t>
        </is>
      </c>
      <c r="B500" s="1" t="n">
        <v>45659.54851851852</v>
      </c>
      <c r="C500" s="1" t="n">
        <v>46072</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37012-2024</t>
        </is>
      </c>
      <c r="B501" s="1" t="n">
        <v>45539</v>
      </c>
      <c r="C501" s="1" t="n">
        <v>46072</v>
      </c>
      <c r="D501" t="inlineStr">
        <is>
          <t>ÖREBRO LÄN</t>
        </is>
      </c>
      <c r="E501" t="inlineStr">
        <is>
          <t>ÖREBRO</t>
        </is>
      </c>
      <c r="G501" t="n">
        <v>4.1</v>
      </c>
      <c r="H501" t="n">
        <v>0</v>
      </c>
      <c r="I501" t="n">
        <v>0</v>
      </c>
      <c r="J501" t="n">
        <v>0</v>
      </c>
      <c r="K501" t="n">
        <v>0</v>
      </c>
      <c r="L501" t="n">
        <v>0</v>
      </c>
      <c r="M501" t="n">
        <v>0</v>
      </c>
      <c r="N501" t="n">
        <v>0</v>
      </c>
      <c r="O501" t="n">
        <v>0</v>
      </c>
      <c r="P501" t="n">
        <v>0</v>
      </c>
      <c r="Q501" t="n">
        <v>0</v>
      </c>
      <c r="R501" s="2" t="inlineStr"/>
    </row>
    <row r="502" ht="15" customHeight="1">
      <c r="A502" t="inlineStr">
        <is>
          <t>A 37020-2024</t>
        </is>
      </c>
      <c r="B502" s="1" t="n">
        <v>45539.38059027777</v>
      </c>
      <c r="C502" s="1" t="n">
        <v>46072</v>
      </c>
      <c r="D502" t="inlineStr">
        <is>
          <t>ÖREBRO LÄN</t>
        </is>
      </c>
      <c r="E502" t="inlineStr">
        <is>
          <t>ÖREBRO</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44676.50481481481</v>
      </c>
      <c r="C503" s="1" t="n">
        <v>46072</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5338-2024</t>
        </is>
      </c>
      <c r="B504" s="1" t="n">
        <v>45331</v>
      </c>
      <c r="C504" s="1" t="n">
        <v>46072</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4970-2022</t>
        </is>
      </c>
      <c r="B505" s="1" t="n">
        <v>44593.51175925926</v>
      </c>
      <c r="C505" s="1" t="n">
        <v>46072</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13657-2025</t>
        </is>
      </c>
      <c r="B506" s="1" t="n">
        <v>45736.7427662037</v>
      </c>
      <c r="C506" s="1" t="n">
        <v>46072</v>
      </c>
      <c r="D506" t="inlineStr">
        <is>
          <t>ÖREBRO LÄN</t>
        </is>
      </c>
      <c r="E506" t="inlineStr">
        <is>
          <t>ÖREBRO</t>
        </is>
      </c>
      <c r="G506" t="n">
        <v>3.8</v>
      </c>
      <c r="H506" t="n">
        <v>0</v>
      </c>
      <c r="I506" t="n">
        <v>0</v>
      </c>
      <c r="J506" t="n">
        <v>0</v>
      </c>
      <c r="K506" t="n">
        <v>0</v>
      </c>
      <c r="L506" t="n">
        <v>0</v>
      </c>
      <c r="M506" t="n">
        <v>0</v>
      </c>
      <c r="N506" t="n">
        <v>0</v>
      </c>
      <c r="O506" t="n">
        <v>0</v>
      </c>
      <c r="P506" t="n">
        <v>0</v>
      </c>
      <c r="Q506" t="n">
        <v>0</v>
      </c>
      <c r="R506" s="2" t="inlineStr"/>
    </row>
    <row r="507" ht="15" customHeight="1">
      <c r="A507" t="inlineStr">
        <is>
          <t>A 9314-2023</t>
        </is>
      </c>
      <c r="B507" s="1" t="n">
        <v>44980.67747685185</v>
      </c>
      <c r="C507" s="1" t="n">
        <v>46072</v>
      </c>
      <c r="D507" t="inlineStr">
        <is>
          <t>ÖREBRO LÄN</t>
        </is>
      </c>
      <c r="E507" t="inlineStr">
        <is>
          <t>ÖREBRO</t>
        </is>
      </c>
      <c r="G507" t="n">
        <v>0.8</v>
      </c>
      <c r="H507" t="n">
        <v>0</v>
      </c>
      <c r="I507" t="n">
        <v>0</v>
      </c>
      <c r="J507" t="n">
        <v>0</v>
      </c>
      <c r="K507" t="n">
        <v>0</v>
      </c>
      <c r="L507" t="n">
        <v>0</v>
      </c>
      <c r="M507" t="n">
        <v>0</v>
      </c>
      <c r="N507" t="n">
        <v>0</v>
      </c>
      <c r="O507" t="n">
        <v>0</v>
      </c>
      <c r="P507" t="n">
        <v>0</v>
      </c>
      <c r="Q507" t="n">
        <v>0</v>
      </c>
      <c r="R507" s="2" t="inlineStr"/>
    </row>
    <row r="508" ht="15" customHeight="1">
      <c r="A508" t="inlineStr">
        <is>
          <t>A 6522-2023</t>
        </is>
      </c>
      <c r="B508" s="1" t="n">
        <v>44966</v>
      </c>
      <c r="C508" s="1" t="n">
        <v>46072</v>
      </c>
      <c r="D508" t="inlineStr">
        <is>
          <t>ÖREBRO LÄN</t>
        </is>
      </c>
      <c r="E508" t="inlineStr">
        <is>
          <t>ÖREBRO</t>
        </is>
      </c>
      <c r="G508" t="n">
        <v>4.4</v>
      </c>
      <c r="H508" t="n">
        <v>0</v>
      </c>
      <c r="I508" t="n">
        <v>0</v>
      </c>
      <c r="J508" t="n">
        <v>0</v>
      </c>
      <c r="K508" t="n">
        <v>0</v>
      </c>
      <c r="L508" t="n">
        <v>0</v>
      </c>
      <c r="M508" t="n">
        <v>0</v>
      </c>
      <c r="N508" t="n">
        <v>0</v>
      </c>
      <c r="O508" t="n">
        <v>0</v>
      </c>
      <c r="P508" t="n">
        <v>0</v>
      </c>
      <c r="Q508" t="n">
        <v>0</v>
      </c>
      <c r="R508" s="2" t="inlineStr"/>
    </row>
    <row r="509" ht="15" customHeight="1">
      <c r="A509" t="inlineStr">
        <is>
          <t>A 18449-2023</t>
        </is>
      </c>
      <c r="B509" s="1" t="n">
        <v>45042.5203125</v>
      </c>
      <c r="C509" s="1" t="n">
        <v>46072</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16736-2023</t>
        </is>
      </c>
      <c r="B510" s="1" t="n">
        <v>45030.72328703704</v>
      </c>
      <c r="C510" s="1" t="n">
        <v>46072</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50375-2024</t>
        </is>
      </c>
      <c r="B511" s="1" t="n">
        <v>45601.29311342593</v>
      </c>
      <c r="C511" s="1" t="n">
        <v>46072</v>
      </c>
      <c r="D511" t="inlineStr">
        <is>
          <t>ÖREBRO LÄN</t>
        </is>
      </c>
      <c r="E511" t="inlineStr">
        <is>
          <t>ÖREBRO</t>
        </is>
      </c>
      <c r="G511" t="n">
        <v>5</v>
      </c>
      <c r="H511" t="n">
        <v>0</v>
      </c>
      <c r="I511" t="n">
        <v>0</v>
      </c>
      <c r="J511" t="n">
        <v>0</v>
      </c>
      <c r="K511" t="n">
        <v>0</v>
      </c>
      <c r="L511" t="n">
        <v>0</v>
      </c>
      <c r="M511" t="n">
        <v>0</v>
      </c>
      <c r="N511" t="n">
        <v>0</v>
      </c>
      <c r="O511" t="n">
        <v>0</v>
      </c>
      <c r="P511" t="n">
        <v>0</v>
      </c>
      <c r="Q511" t="n">
        <v>0</v>
      </c>
      <c r="R511" s="2" t="inlineStr"/>
    </row>
    <row r="512" ht="15" customHeight="1">
      <c r="A512" t="inlineStr">
        <is>
          <t>A 22045-2024</t>
        </is>
      </c>
      <c r="B512" s="1" t="n">
        <v>45443.61171296296</v>
      </c>
      <c r="C512" s="1" t="n">
        <v>46072</v>
      </c>
      <c r="D512" t="inlineStr">
        <is>
          <t>ÖREBRO LÄN</t>
        </is>
      </c>
      <c r="E512" t="inlineStr">
        <is>
          <t>ÖREBRO</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3-2024</t>
        </is>
      </c>
      <c r="B513" s="1" t="n">
        <v>45292</v>
      </c>
      <c r="C513" s="1" t="n">
        <v>46072</v>
      </c>
      <c r="D513" t="inlineStr">
        <is>
          <t>ÖREBRO LÄN</t>
        </is>
      </c>
      <c r="E513" t="inlineStr">
        <is>
          <t>ÖREBRO</t>
        </is>
      </c>
      <c r="G513" t="n">
        <v>2.7</v>
      </c>
      <c r="H513" t="n">
        <v>0</v>
      </c>
      <c r="I513" t="n">
        <v>0</v>
      </c>
      <c r="J513" t="n">
        <v>0</v>
      </c>
      <c r="K513" t="n">
        <v>0</v>
      </c>
      <c r="L513" t="n">
        <v>0</v>
      </c>
      <c r="M513" t="n">
        <v>0</v>
      </c>
      <c r="N513" t="n">
        <v>0</v>
      </c>
      <c r="O513" t="n">
        <v>0</v>
      </c>
      <c r="P513" t="n">
        <v>0</v>
      </c>
      <c r="Q513" t="n">
        <v>0</v>
      </c>
      <c r="R513" s="2" t="inlineStr"/>
    </row>
    <row r="514" ht="15" customHeight="1">
      <c r="A514" t="inlineStr">
        <is>
          <t>A 21306-2024</t>
        </is>
      </c>
      <c r="B514" s="1" t="n">
        <v>45440.67883101852</v>
      </c>
      <c r="C514" s="1" t="n">
        <v>46072</v>
      </c>
      <c r="D514" t="inlineStr">
        <is>
          <t>ÖREBRO LÄN</t>
        </is>
      </c>
      <c r="E514" t="inlineStr">
        <is>
          <t>ÖREBRO</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1257-2022</t>
        </is>
      </c>
      <c r="B515" s="1" t="n">
        <v>44572</v>
      </c>
      <c r="C515" s="1" t="n">
        <v>46072</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64730-2023</t>
        </is>
      </c>
      <c r="B516" s="1" t="n">
        <v>45281</v>
      </c>
      <c r="C516" s="1" t="n">
        <v>46072</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6869-2025</t>
        </is>
      </c>
      <c r="B517" s="1" t="n">
        <v>45700</v>
      </c>
      <c r="C517" s="1" t="n">
        <v>46072</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4416-2023</t>
        </is>
      </c>
      <c r="B518" s="1" t="n">
        <v>44956</v>
      </c>
      <c r="C518" s="1" t="n">
        <v>46072</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16961-2022</t>
        </is>
      </c>
      <c r="B519" s="1" t="n">
        <v>44676</v>
      </c>
      <c r="C519" s="1" t="n">
        <v>46072</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17983-2025</t>
        </is>
      </c>
      <c r="B520" s="1" t="n">
        <v>45761.38829861111</v>
      </c>
      <c r="C520" s="1" t="n">
        <v>46072</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23594-2023</t>
        </is>
      </c>
      <c r="B521" s="1" t="n">
        <v>45077</v>
      </c>
      <c r="C521" s="1" t="n">
        <v>46072</v>
      </c>
      <c r="D521" t="inlineStr">
        <is>
          <t>ÖREBRO LÄN</t>
        </is>
      </c>
      <c r="E521" t="inlineStr">
        <is>
          <t>ÖREBRO</t>
        </is>
      </c>
      <c r="G521" t="n">
        <v>9.9</v>
      </c>
      <c r="H521" t="n">
        <v>0</v>
      </c>
      <c r="I521" t="n">
        <v>0</v>
      </c>
      <c r="J521" t="n">
        <v>0</v>
      </c>
      <c r="K521" t="n">
        <v>0</v>
      </c>
      <c r="L521" t="n">
        <v>0</v>
      </c>
      <c r="M521" t="n">
        <v>0</v>
      </c>
      <c r="N521" t="n">
        <v>0</v>
      </c>
      <c r="O521" t="n">
        <v>0</v>
      </c>
      <c r="P521" t="n">
        <v>0</v>
      </c>
      <c r="Q521" t="n">
        <v>0</v>
      </c>
      <c r="R521" s="2" t="inlineStr"/>
    </row>
    <row r="522" ht="15" customHeight="1">
      <c r="A522" t="inlineStr">
        <is>
          <t>A 52444-2024</t>
        </is>
      </c>
      <c r="B522" s="1" t="n">
        <v>45609.48894675926</v>
      </c>
      <c r="C522" s="1" t="n">
        <v>46072</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41995-2024</t>
        </is>
      </c>
      <c r="B523" s="1" t="n">
        <v>45561.6475462963</v>
      </c>
      <c r="C523" s="1" t="n">
        <v>46072</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25996-2024</t>
        </is>
      </c>
      <c r="B524" s="1" t="n">
        <v>45467.89081018518</v>
      </c>
      <c r="C524" s="1" t="n">
        <v>46072</v>
      </c>
      <c r="D524" t="inlineStr">
        <is>
          <t>ÖREBRO LÄN</t>
        </is>
      </c>
      <c r="E524" t="inlineStr">
        <is>
          <t>ÖREBRO</t>
        </is>
      </c>
      <c r="G524" t="n">
        <v>4.7</v>
      </c>
      <c r="H524" t="n">
        <v>0</v>
      </c>
      <c r="I524" t="n">
        <v>0</v>
      </c>
      <c r="J524" t="n">
        <v>0</v>
      </c>
      <c r="K524" t="n">
        <v>0</v>
      </c>
      <c r="L524" t="n">
        <v>0</v>
      </c>
      <c r="M524" t="n">
        <v>0</v>
      </c>
      <c r="N524" t="n">
        <v>0</v>
      </c>
      <c r="O524" t="n">
        <v>0</v>
      </c>
      <c r="P524" t="n">
        <v>0</v>
      </c>
      <c r="Q524" t="n">
        <v>0</v>
      </c>
      <c r="R524" s="2" t="inlineStr"/>
    </row>
    <row r="525" ht="15" customHeight="1">
      <c r="A525" t="inlineStr">
        <is>
          <t>A 7611-2024</t>
        </is>
      </c>
      <c r="B525" s="1" t="n">
        <v>45348.58864583333</v>
      </c>
      <c r="C525" s="1" t="n">
        <v>46072</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15789-2023</t>
        </is>
      </c>
      <c r="B526" s="1" t="n">
        <v>45021.71539351852</v>
      </c>
      <c r="C526" s="1" t="n">
        <v>46072</v>
      </c>
      <c r="D526" t="inlineStr">
        <is>
          <t>ÖREBRO LÄN</t>
        </is>
      </c>
      <c r="E526" t="inlineStr">
        <is>
          <t>ÖREBRO</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52612-2024</t>
        </is>
      </c>
      <c r="B527" s="1" t="n">
        <v>45609</v>
      </c>
      <c r="C527" s="1" t="n">
        <v>46072</v>
      </c>
      <c r="D527" t="inlineStr">
        <is>
          <t>ÖREBRO LÄN</t>
        </is>
      </c>
      <c r="E527" t="inlineStr">
        <is>
          <t>ÖREBRO</t>
        </is>
      </c>
      <c r="F527" t="inlineStr">
        <is>
          <t>Kommuner</t>
        </is>
      </c>
      <c r="G527" t="n">
        <v>5.5</v>
      </c>
      <c r="H527" t="n">
        <v>0</v>
      </c>
      <c r="I527" t="n">
        <v>0</v>
      </c>
      <c r="J527" t="n">
        <v>0</v>
      </c>
      <c r="K527" t="n">
        <v>0</v>
      </c>
      <c r="L527" t="n">
        <v>0</v>
      </c>
      <c r="M527" t="n">
        <v>0</v>
      </c>
      <c r="N527" t="n">
        <v>0</v>
      </c>
      <c r="O527" t="n">
        <v>0</v>
      </c>
      <c r="P527" t="n">
        <v>0</v>
      </c>
      <c r="Q527" t="n">
        <v>0</v>
      </c>
      <c r="R527" s="2" t="inlineStr"/>
    </row>
    <row r="528" ht="15" customHeight="1">
      <c r="A528" t="inlineStr">
        <is>
          <t>A 37786-2024</t>
        </is>
      </c>
      <c r="B528" s="1" t="n">
        <v>45542.82987268519</v>
      </c>
      <c r="C528" s="1" t="n">
        <v>46072</v>
      </c>
      <c r="D528" t="inlineStr">
        <is>
          <t>ÖREBRO LÄN</t>
        </is>
      </c>
      <c r="E528" t="inlineStr">
        <is>
          <t>ÖREBRO</t>
        </is>
      </c>
      <c r="G528" t="n">
        <v>3.1</v>
      </c>
      <c r="H528" t="n">
        <v>0</v>
      </c>
      <c r="I528" t="n">
        <v>0</v>
      </c>
      <c r="J528" t="n">
        <v>0</v>
      </c>
      <c r="K528" t="n">
        <v>0</v>
      </c>
      <c r="L528" t="n">
        <v>0</v>
      </c>
      <c r="M528" t="n">
        <v>0</v>
      </c>
      <c r="N528" t="n">
        <v>0</v>
      </c>
      <c r="O528" t="n">
        <v>0</v>
      </c>
      <c r="P528" t="n">
        <v>0</v>
      </c>
      <c r="Q528" t="n">
        <v>0</v>
      </c>
      <c r="R528" s="2" t="inlineStr"/>
    </row>
    <row r="529" ht="15" customHeight="1">
      <c r="A529" t="inlineStr">
        <is>
          <t>A 55875-2024</t>
        </is>
      </c>
      <c r="B529" s="1" t="n">
        <v>45623.55375</v>
      </c>
      <c r="C529" s="1" t="n">
        <v>46072</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3841-2023</t>
        </is>
      </c>
      <c r="B530" s="1" t="n">
        <v>44951</v>
      </c>
      <c r="C530" s="1" t="n">
        <v>46072</v>
      </c>
      <c r="D530" t="inlineStr">
        <is>
          <t>ÖREBRO LÄN</t>
        </is>
      </c>
      <c r="E530" t="inlineStr">
        <is>
          <t>ÖREBRO</t>
        </is>
      </c>
      <c r="G530" t="n">
        <v>4.3</v>
      </c>
      <c r="H530" t="n">
        <v>0</v>
      </c>
      <c r="I530" t="n">
        <v>0</v>
      </c>
      <c r="J530" t="n">
        <v>0</v>
      </c>
      <c r="K530" t="n">
        <v>0</v>
      </c>
      <c r="L530" t="n">
        <v>0</v>
      </c>
      <c r="M530" t="n">
        <v>0</v>
      </c>
      <c r="N530" t="n">
        <v>0</v>
      </c>
      <c r="O530" t="n">
        <v>0</v>
      </c>
      <c r="P530" t="n">
        <v>0</v>
      </c>
      <c r="Q530" t="n">
        <v>0</v>
      </c>
      <c r="R530" s="2" t="inlineStr"/>
    </row>
    <row r="531" ht="15" customHeight="1">
      <c r="A531" t="inlineStr">
        <is>
          <t>A 49215-2023</t>
        </is>
      </c>
      <c r="B531" s="1" t="n">
        <v>45210.61050925926</v>
      </c>
      <c r="C531" s="1" t="n">
        <v>46072</v>
      </c>
      <c r="D531" t="inlineStr">
        <is>
          <t>ÖREBRO LÄN</t>
        </is>
      </c>
      <c r="E531" t="inlineStr">
        <is>
          <t>ÖREBRO</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43399-2022</t>
        </is>
      </c>
      <c r="B532" s="1" t="n">
        <v>44834</v>
      </c>
      <c r="C532" s="1" t="n">
        <v>46072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19553-2023</t>
        </is>
      </c>
      <c r="B533" s="1" t="n">
        <v>45050</v>
      </c>
      <c r="C533" s="1" t="n">
        <v>46072</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14291-2023</t>
        </is>
      </c>
      <c r="B534" s="1" t="n">
        <v>45010</v>
      </c>
      <c r="C534" s="1" t="n">
        <v>46072</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58527-2024</t>
        </is>
      </c>
      <c r="B535" s="1" t="n">
        <v>45635.44388888889</v>
      </c>
      <c r="C535" s="1" t="n">
        <v>46072</v>
      </c>
      <c r="D535" t="inlineStr">
        <is>
          <t>ÖREBRO LÄN</t>
        </is>
      </c>
      <c r="E535" t="inlineStr">
        <is>
          <t>ÖREBRO</t>
        </is>
      </c>
      <c r="F535" t="inlineStr">
        <is>
          <t>Sveaskog</t>
        </is>
      </c>
      <c r="G535" t="n">
        <v>6.4</v>
      </c>
      <c r="H535" t="n">
        <v>0</v>
      </c>
      <c r="I535" t="n">
        <v>0</v>
      </c>
      <c r="J535" t="n">
        <v>0</v>
      </c>
      <c r="K535" t="n">
        <v>0</v>
      </c>
      <c r="L535" t="n">
        <v>0</v>
      </c>
      <c r="M535" t="n">
        <v>0</v>
      </c>
      <c r="N535" t="n">
        <v>0</v>
      </c>
      <c r="O535" t="n">
        <v>0</v>
      </c>
      <c r="P535" t="n">
        <v>0</v>
      </c>
      <c r="Q535" t="n">
        <v>0</v>
      </c>
      <c r="R535" s="2" t="inlineStr"/>
    </row>
    <row r="536" ht="15" customHeight="1">
      <c r="A536" t="inlineStr">
        <is>
          <t>A 55593-2022</t>
        </is>
      </c>
      <c r="B536" s="1" t="n">
        <v>44888</v>
      </c>
      <c r="C536" s="1" t="n">
        <v>46072</v>
      </c>
      <c r="D536" t="inlineStr">
        <is>
          <t>ÖREBRO LÄN</t>
        </is>
      </c>
      <c r="E536" t="inlineStr">
        <is>
          <t>ÖREBRO</t>
        </is>
      </c>
      <c r="G536" t="n">
        <v>3.6</v>
      </c>
      <c r="H536" t="n">
        <v>0</v>
      </c>
      <c r="I536" t="n">
        <v>0</v>
      </c>
      <c r="J536" t="n">
        <v>0</v>
      </c>
      <c r="K536" t="n">
        <v>0</v>
      </c>
      <c r="L536" t="n">
        <v>0</v>
      </c>
      <c r="M536" t="n">
        <v>0</v>
      </c>
      <c r="N536" t="n">
        <v>0</v>
      </c>
      <c r="O536" t="n">
        <v>0</v>
      </c>
      <c r="P536" t="n">
        <v>0</v>
      </c>
      <c r="Q536" t="n">
        <v>0</v>
      </c>
      <c r="R536" s="2" t="inlineStr"/>
    </row>
    <row r="537" ht="15" customHeight="1">
      <c r="A537" t="inlineStr">
        <is>
          <t>A 63142-2023</t>
        </is>
      </c>
      <c r="B537" s="1" t="n">
        <v>45273</v>
      </c>
      <c r="C537" s="1" t="n">
        <v>46072</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46072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59121-2024</t>
        </is>
      </c>
      <c r="B539" s="1" t="n">
        <v>45637.37755787037</v>
      </c>
      <c r="C539" s="1" t="n">
        <v>46072</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9704-2023</t>
        </is>
      </c>
      <c r="B540" s="1" t="n">
        <v>44984</v>
      </c>
      <c r="C540" s="1" t="n">
        <v>46072</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12099-2023</t>
        </is>
      </c>
      <c r="B541" s="1" t="n">
        <v>44998.37043981482</v>
      </c>
      <c r="C541" s="1" t="n">
        <v>46072</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17869-2024</t>
        </is>
      </c>
      <c r="B542" s="1" t="n">
        <v>45419</v>
      </c>
      <c r="C542" s="1" t="n">
        <v>46072</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5026-2022</t>
        </is>
      </c>
      <c r="B543" s="1" t="n">
        <v>44593.63974537037</v>
      </c>
      <c r="C543" s="1" t="n">
        <v>46072</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10832-2023</t>
        </is>
      </c>
      <c r="B544" s="1" t="n">
        <v>44990.91711805556</v>
      </c>
      <c r="C544" s="1" t="n">
        <v>46072</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48581-2024</t>
        </is>
      </c>
      <c r="B545" s="1" t="n">
        <v>45593.41642361111</v>
      </c>
      <c r="C545" s="1" t="n">
        <v>46072</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46072</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14963-2025</t>
        </is>
      </c>
      <c r="B547" s="1" t="n">
        <v>45743.58699074074</v>
      </c>
      <c r="C547" s="1" t="n">
        <v>46072</v>
      </c>
      <c r="D547" t="inlineStr">
        <is>
          <t>ÖREBRO LÄN</t>
        </is>
      </c>
      <c r="E547" t="inlineStr">
        <is>
          <t>ÖREBRO</t>
        </is>
      </c>
      <c r="G547" t="n">
        <v>9.1</v>
      </c>
      <c r="H547" t="n">
        <v>0</v>
      </c>
      <c r="I547" t="n">
        <v>0</v>
      </c>
      <c r="J547" t="n">
        <v>0</v>
      </c>
      <c r="K547" t="n">
        <v>0</v>
      </c>
      <c r="L547" t="n">
        <v>0</v>
      </c>
      <c r="M547" t="n">
        <v>0</v>
      </c>
      <c r="N547" t="n">
        <v>0</v>
      </c>
      <c r="O547" t="n">
        <v>0</v>
      </c>
      <c r="P547" t="n">
        <v>0</v>
      </c>
      <c r="Q547" t="n">
        <v>0</v>
      </c>
      <c r="R547" s="2" t="inlineStr"/>
    </row>
    <row r="548" ht="15" customHeight="1">
      <c r="A548" t="inlineStr">
        <is>
          <t>A 33455-2023</t>
        </is>
      </c>
      <c r="B548" s="1" t="n">
        <v>45130.98962962963</v>
      </c>
      <c r="C548" s="1" t="n">
        <v>46072</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2069-2025</t>
        </is>
      </c>
      <c r="B549" s="1" t="n">
        <v>45672.56614583333</v>
      </c>
      <c r="C549" s="1" t="n">
        <v>46072</v>
      </c>
      <c r="D549" t="inlineStr">
        <is>
          <t>ÖREBRO LÄN</t>
        </is>
      </c>
      <c r="E549" t="inlineStr">
        <is>
          <t>ÖREBRO</t>
        </is>
      </c>
      <c r="G549" t="n">
        <v>3.8</v>
      </c>
      <c r="H549" t="n">
        <v>0</v>
      </c>
      <c r="I549" t="n">
        <v>0</v>
      </c>
      <c r="J549" t="n">
        <v>0</v>
      </c>
      <c r="K549" t="n">
        <v>0</v>
      </c>
      <c r="L549" t="n">
        <v>0</v>
      </c>
      <c r="M549" t="n">
        <v>0</v>
      </c>
      <c r="N549" t="n">
        <v>0</v>
      </c>
      <c r="O549" t="n">
        <v>0</v>
      </c>
      <c r="P549" t="n">
        <v>0</v>
      </c>
      <c r="Q549" t="n">
        <v>0</v>
      </c>
      <c r="R549" s="2" t="inlineStr"/>
    </row>
    <row r="550" ht="15" customHeight="1">
      <c r="A550" t="inlineStr">
        <is>
          <t>A 58277-2022</t>
        </is>
      </c>
      <c r="B550" s="1" t="n">
        <v>44901.48108796297</v>
      </c>
      <c r="C550" s="1" t="n">
        <v>46072</v>
      </c>
      <c r="D550" t="inlineStr">
        <is>
          <t>ÖREBRO LÄN</t>
        </is>
      </c>
      <c r="E550" t="inlineStr">
        <is>
          <t>ÖREBRO</t>
        </is>
      </c>
      <c r="G550" t="n">
        <v>1.8</v>
      </c>
      <c r="H550" t="n">
        <v>0</v>
      </c>
      <c r="I550" t="n">
        <v>0</v>
      </c>
      <c r="J550" t="n">
        <v>0</v>
      </c>
      <c r="K550" t="n">
        <v>0</v>
      </c>
      <c r="L550" t="n">
        <v>0</v>
      </c>
      <c r="M550" t="n">
        <v>0</v>
      </c>
      <c r="N550" t="n">
        <v>0</v>
      </c>
      <c r="O550" t="n">
        <v>0</v>
      </c>
      <c r="P550" t="n">
        <v>0</v>
      </c>
      <c r="Q550" t="n">
        <v>0</v>
      </c>
      <c r="R550" s="2" t="inlineStr"/>
    </row>
    <row r="551" ht="15" customHeight="1">
      <c r="A551" t="inlineStr">
        <is>
          <t>A 42518-2021</t>
        </is>
      </c>
      <c r="B551" s="1" t="n">
        <v>44427.81496527778</v>
      </c>
      <c r="C551" s="1" t="n">
        <v>46072</v>
      </c>
      <c r="D551" t="inlineStr">
        <is>
          <t>ÖREBRO LÄN</t>
        </is>
      </c>
      <c r="E551" t="inlineStr">
        <is>
          <t>ÖREBRO</t>
        </is>
      </c>
      <c r="G551" t="n">
        <v>4.5</v>
      </c>
      <c r="H551" t="n">
        <v>0</v>
      </c>
      <c r="I551" t="n">
        <v>0</v>
      </c>
      <c r="J551" t="n">
        <v>0</v>
      </c>
      <c r="K551" t="n">
        <v>0</v>
      </c>
      <c r="L551" t="n">
        <v>0</v>
      </c>
      <c r="M551" t="n">
        <v>0</v>
      </c>
      <c r="N551" t="n">
        <v>0</v>
      </c>
      <c r="O551" t="n">
        <v>0</v>
      </c>
      <c r="P551" t="n">
        <v>0</v>
      </c>
      <c r="Q551" t="n">
        <v>0</v>
      </c>
      <c r="R551" s="2" t="inlineStr"/>
    </row>
    <row r="552" ht="15" customHeight="1">
      <c r="A552" t="inlineStr">
        <is>
          <t>A 14524-2025</t>
        </is>
      </c>
      <c r="B552" s="1" t="n">
        <v>45741.64815972222</v>
      </c>
      <c r="C552" s="1" t="n">
        <v>46072</v>
      </c>
      <c r="D552" t="inlineStr">
        <is>
          <t>ÖREBRO LÄN</t>
        </is>
      </c>
      <c r="E552" t="inlineStr">
        <is>
          <t>ÖREBRO</t>
        </is>
      </c>
      <c r="G552" t="n">
        <v>2.8</v>
      </c>
      <c r="H552" t="n">
        <v>0</v>
      </c>
      <c r="I552" t="n">
        <v>0</v>
      </c>
      <c r="J552" t="n">
        <v>0</v>
      </c>
      <c r="K552" t="n">
        <v>0</v>
      </c>
      <c r="L552" t="n">
        <v>0</v>
      </c>
      <c r="M552" t="n">
        <v>0</v>
      </c>
      <c r="N552" t="n">
        <v>0</v>
      </c>
      <c r="O552" t="n">
        <v>0</v>
      </c>
      <c r="P552" t="n">
        <v>0</v>
      </c>
      <c r="Q552" t="n">
        <v>0</v>
      </c>
      <c r="R552" s="2" t="inlineStr"/>
    </row>
    <row r="553" ht="15" customHeight="1">
      <c r="A553" t="inlineStr">
        <is>
          <t>A 15354-2024</t>
        </is>
      </c>
      <c r="B553" s="1" t="n">
        <v>45400.85319444445</v>
      </c>
      <c r="C553" s="1" t="n">
        <v>46072</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41543-2024</t>
        </is>
      </c>
      <c r="B554" s="1" t="n">
        <v>45560</v>
      </c>
      <c r="C554" s="1" t="n">
        <v>46072</v>
      </c>
      <c r="D554" t="inlineStr">
        <is>
          <t>ÖREBRO LÄN</t>
        </is>
      </c>
      <c r="E554" t="inlineStr">
        <is>
          <t>ÖREBRO</t>
        </is>
      </c>
      <c r="G554" t="n">
        <v>2.8</v>
      </c>
      <c r="H554" t="n">
        <v>0</v>
      </c>
      <c r="I554" t="n">
        <v>0</v>
      </c>
      <c r="J554" t="n">
        <v>0</v>
      </c>
      <c r="K554" t="n">
        <v>0</v>
      </c>
      <c r="L554" t="n">
        <v>0</v>
      </c>
      <c r="M554" t="n">
        <v>0</v>
      </c>
      <c r="N554" t="n">
        <v>0</v>
      </c>
      <c r="O554" t="n">
        <v>0</v>
      </c>
      <c r="P554" t="n">
        <v>0</v>
      </c>
      <c r="Q554" t="n">
        <v>0</v>
      </c>
      <c r="R554" s="2" t="inlineStr"/>
    </row>
    <row r="555" ht="15" customHeight="1">
      <c r="A555" t="inlineStr">
        <is>
          <t>A 71275-2021</t>
        </is>
      </c>
      <c r="B555" s="1" t="n">
        <v>44539</v>
      </c>
      <c r="C555" s="1" t="n">
        <v>46072</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71285-2021</t>
        </is>
      </c>
      <c r="B556" s="1" t="n">
        <v>44539.62236111111</v>
      </c>
      <c r="C556" s="1" t="n">
        <v>46072</v>
      </c>
      <c r="D556" t="inlineStr">
        <is>
          <t>ÖREBRO LÄN</t>
        </is>
      </c>
      <c r="E556" t="inlineStr">
        <is>
          <t>ÖREBRO</t>
        </is>
      </c>
      <c r="G556" t="n">
        <v>0.8</v>
      </c>
      <c r="H556" t="n">
        <v>0</v>
      </c>
      <c r="I556" t="n">
        <v>0</v>
      </c>
      <c r="J556" t="n">
        <v>0</v>
      </c>
      <c r="K556" t="n">
        <v>0</v>
      </c>
      <c r="L556" t="n">
        <v>0</v>
      </c>
      <c r="M556" t="n">
        <v>0</v>
      </c>
      <c r="N556" t="n">
        <v>0</v>
      </c>
      <c r="O556" t="n">
        <v>0</v>
      </c>
      <c r="P556" t="n">
        <v>0</v>
      </c>
      <c r="Q556" t="n">
        <v>0</v>
      </c>
      <c r="R556" s="2" t="inlineStr"/>
    </row>
    <row r="557" ht="15" customHeight="1">
      <c r="A557" t="inlineStr">
        <is>
          <t>A 2658-2023</t>
        </is>
      </c>
      <c r="B557" s="1" t="n">
        <v>44944</v>
      </c>
      <c r="C557" s="1" t="n">
        <v>46072</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11382-2023</t>
        </is>
      </c>
      <c r="B558" s="1" t="n">
        <v>44993.45635416666</v>
      </c>
      <c r="C558" s="1" t="n">
        <v>46072</v>
      </c>
      <c r="D558" t="inlineStr">
        <is>
          <t>ÖREBRO LÄN</t>
        </is>
      </c>
      <c r="E558" t="inlineStr">
        <is>
          <t>ÖREBRO</t>
        </is>
      </c>
      <c r="G558" t="n">
        <v>3.3</v>
      </c>
      <c r="H558" t="n">
        <v>0</v>
      </c>
      <c r="I558" t="n">
        <v>0</v>
      </c>
      <c r="J558" t="n">
        <v>0</v>
      </c>
      <c r="K558" t="n">
        <v>0</v>
      </c>
      <c r="L558" t="n">
        <v>0</v>
      </c>
      <c r="M558" t="n">
        <v>0</v>
      </c>
      <c r="N558" t="n">
        <v>0</v>
      </c>
      <c r="O558" t="n">
        <v>0</v>
      </c>
      <c r="P558" t="n">
        <v>0</v>
      </c>
      <c r="Q558" t="n">
        <v>0</v>
      </c>
      <c r="R558" s="2" t="inlineStr"/>
    </row>
    <row r="559" ht="15" customHeight="1">
      <c r="A559" t="inlineStr">
        <is>
          <t>A 52016-2024</t>
        </is>
      </c>
      <c r="B559" s="1" t="n">
        <v>45607.81917824074</v>
      </c>
      <c r="C559" s="1" t="n">
        <v>46072</v>
      </c>
      <c r="D559" t="inlineStr">
        <is>
          <t>ÖREBRO LÄN</t>
        </is>
      </c>
      <c r="E559" t="inlineStr">
        <is>
          <t>ÖREBRO</t>
        </is>
      </c>
      <c r="G559" t="n">
        <v>1.9</v>
      </c>
      <c r="H559" t="n">
        <v>0</v>
      </c>
      <c r="I559" t="n">
        <v>0</v>
      </c>
      <c r="J559" t="n">
        <v>0</v>
      </c>
      <c r="K559" t="n">
        <v>0</v>
      </c>
      <c r="L559" t="n">
        <v>0</v>
      </c>
      <c r="M559" t="n">
        <v>0</v>
      </c>
      <c r="N559" t="n">
        <v>0</v>
      </c>
      <c r="O559" t="n">
        <v>0</v>
      </c>
      <c r="P559" t="n">
        <v>0</v>
      </c>
      <c r="Q559" t="n">
        <v>0</v>
      </c>
      <c r="R559" s="2" t="inlineStr"/>
    </row>
    <row r="560" ht="15" customHeight="1">
      <c r="A560" t="inlineStr">
        <is>
          <t>A 27112-2023</t>
        </is>
      </c>
      <c r="B560" s="1" t="n">
        <v>45096</v>
      </c>
      <c r="C560" s="1" t="n">
        <v>46072</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16739-2022</t>
        </is>
      </c>
      <c r="B561" s="1" t="n">
        <v>44673</v>
      </c>
      <c r="C561" s="1" t="n">
        <v>46072</v>
      </c>
      <c r="D561" t="inlineStr">
        <is>
          <t>ÖREBRO LÄN</t>
        </is>
      </c>
      <c r="E561" t="inlineStr">
        <is>
          <t>ÖREBRO</t>
        </is>
      </c>
      <c r="G561" t="n">
        <v>4.7</v>
      </c>
      <c r="H561" t="n">
        <v>0</v>
      </c>
      <c r="I561" t="n">
        <v>0</v>
      </c>
      <c r="J561" t="n">
        <v>0</v>
      </c>
      <c r="K561" t="n">
        <v>0</v>
      </c>
      <c r="L561" t="n">
        <v>0</v>
      </c>
      <c r="M561" t="n">
        <v>0</v>
      </c>
      <c r="N561" t="n">
        <v>0</v>
      </c>
      <c r="O561" t="n">
        <v>0</v>
      </c>
      <c r="P561" t="n">
        <v>0</v>
      </c>
      <c r="Q561" t="n">
        <v>0</v>
      </c>
      <c r="R561" s="2" t="inlineStr"/>
    </row>
    <row r="562" ht="15" customHeight="1">
      <c r="A562" t="inlineStr">
        <is>
          <t>A 13592-2023</t>
        </is>
      </c>
      <c r="B562" s="1" t="n">
        <v>45006.56870370371</v>
      </c>
      <c r="C562" s="1" t="n">
        <v>46072</v>
      </c>
      <c r="D562" t="inlineStr">
        <is>
          <t>ÖREBRO LÄN</t>
        </is>
      </c>
      <c r="E562" t="inlineStr">
        <is>
          <t>ÖREBRO</t>
        </is>
      </c>
      <c r="G562" t="n">
        <v>2</v>
      </c>
      <c r="H562" t="n">
        <v>0</v>
      </c>
      <c r="I562" t="n">
        <v>0</v>
      </c>
      <c r="J562" t="n">
        <v>0</v>
      </c>
      <c r="K562" t="n">
        <v>0</v>
      </c>
      <c r="L562" t="n">
        <v>0</v>
      </c>
      <c r="M562" t="n">
        <v>0</v>
      </c>
      <c r="N562" t="n">
        <v>0</v>
      </c>
      <c r="O562" t="n">
        <v>0</v>
      </c>
      <c r="P562" t="n">
        <v>0</v>
      </c>
      <c r="Q562" t="n">
        <v>0</v>
      </c>
      <c r="R562" s="2" t="inlineStr"/>
    </row>
    <row r="563" ht="15" customHeight="1">
      <c r="A563" t="inlineStr">
        <is>
          <t>A 40656-2023</t>
        </is>
      </c>
      <c r="B563" s="1" t="n">
        <v>45170</v>
      </c>
      <c r="C563" s="1" t="n">
        <v>46072</v>
      </c>
      <c r="D563" t="inlineStr">
        <is>
          <t>ÖREBRO LÄN</t>
        </is>
      </c>
      <c r="E563" t="inlineStr">
        <is>
          <t>ÖREBRO</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12245-2023</t>
        </is>
      </c>
      <c r="B564" s="1" t="n">
        <v>44998.64402777778</v>
      </c>
      <c r="C564" s="1" t="n">
        <v>46072</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8008-2024</t>
        </is>
      </c>
      <c r="B565" s="1" t="n">
        <v>45350.6794212963</v>
      </c>
      <c r="C565" s="1" t="n">
        <v>46072</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46072</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3789-2023</t>
        </is>
      </c>
      <c r="B567" s="1" t="n">
        <v>44951</v>
      </c>
      <c r="C567" s="1" t="n">
        <v>46072</v>
      </c>
      <c r="D567" t="inlineStr">
        <is>
          <t>ÖREBRO LÄN</t>
        </is>
      </c>
      <c r="E567" t="inlineStr">
        <is>
          <t>ÖREBRO</t>
        </is>
      </c>
      <c r="G567" t="n">
        <v>7.5</v>
      </c>
      <c r="H567" t="n">
        <v>0</v>
      </c>
      <c r="I567" t="n">
        <v>0</v>
      </c>
      <c r="J567" t="n">
        <v>0</v>
      </c>
      <c r="K567" t="n">
        <v>0</v>
      </c>
      <c r="L567" t="n">
        <v>0</v>
      </c>
      <c r="M567" t="n">
        <v>0</v>
      </c>
      <c r="N567" t="n">
        <v>0</v>
      </c>
      <c r="O567" t="n">
        <v>0</v>
      </c>
      <c r="P567" t="n">
        <v>0</v>
      </c>
      <c r="Q567" t="n">
        <v>0</v>
      </c>
      <c r="R567" s="2" t="inlineStr"/>
    </row>
    <row r="568" ht="15" customHeight="1">
      <c r="A568" t="inlineStr">
        <is>
          <t>A 57869-2024</t>
        </is>
      </c>
      <c r="B568" s="1" t="n">
        <v>45631.44207175926</v>
      </c>
      <c r="C568" s="1" t="n">
        <v>46072</v>
      </c>
      <c r="D568" t="inlineStr">
        <is>
          <t>ÖREBRO LÄN</t>
        </is>
      </c>
      <c r="E568" t="inlineStr">
        <is>
          <t>ÖREBRO</t>
        </is>
      </c>
      <c r="G568" t="n">
        <v>1.4</v>
      </c>
      <c r="H568" t="n">
        <v>0</v>
      </c>
      <c r="I568" t="n">
        <v>0</v>
      </c>
      <c r="J568" t="n">
        <v>0</v>
      </c>
      <c r="K568" t="n">
        <v>0</v>
      </c>
      <c r="L568" t="n">
        <v>0</v>
      </c>
      <c r="M568" t="n">
        <v>0</v>
      </c>
      <c r="N568" t="n">
        <v>0</v>
      </c>
      <c r="O568" t="n">
        <v>0</v>
      </c>
      <c r="P568" t="n">
        <v>0</v>
      </c>
      <c r="Q568" t="n">
        <v>0</v>
      </c>
      <c r="R568" s="2" t="inlineStr"/>
    </row>
    <row r="569" ht="15" customHeight="1">
      <c r="A569" t="inlineStr">
        <is>
          <t>A 11565-2023</t>
        </is>
      </c>
      <c r="B569" s="1" t="n">
        <v>44994</v>
      </c>
      <c r="C569" s="1" t="n">
        <v>46072</v>
      </c>
      <c r="D569" t="inlineStr">
        <is>
          <t>ÖREBRO LÄN</t>
        </is>
      </c>
      <c r="E569" t="inlineStr">
        <is>
          <t>ÖREBRO</t>
        </is>
      </c>
      <c r="G569" t="n">
        <v>4.7</v>
      </c>
      <c r="H569" t="n">
        <v>0</v>
      </c>
      <c r="I569" t="n">
        <v>0</v>
      </c>
      <c r="J569" t="n">
        <v>0</v>
      </c>
      <c r="K569" t="n">
        <v>0</v>
      </c>
      <c r="L569" t="n">
        <v>0</v>
      </c>
      <c r="M569" t="n">
        <v>0</v>
      </c>
      <c r="N569" t="n">
        <v>0</v>
      </c>
      <c r="O569" t="n">
        <v>0</v>
      </c>
      <c r="P569" t="n">
        <v>0</v>
      </c>
      <c r="Q569" t="n">
        <v>0</v>
      </c>
      <c r="R569" s="2" t="inlineStr"/>
    </row>
    <row r="570" ht="15" customHeight="1">
      <c r="A570" t="inlineStr">
        <is>
          <t>A 1647-2024</t>
        </is>
      </c>
      <c r="B570" s="1" t="n">
        <v>45306</v>
      </c>
      <c r="C570" s="1" t="n">
        <v>46072</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31906-2023</t>
        </is>
      </c>
      <c r="B571" s="1" t="n">
        <v>45118.8353125</v>
      </c>
      <c r="C571" s="1" t="n">
        <v>46072</v>
      </c>
      <c r="D571" t="inlineStr">
        <is>
          <t>ÖREBRO LÄN</t>
        </is>
      </c>
      <c r="E571" t="inlineStr">
        <is>
          <t>ÖREBRO</t>
        </is>
      </c>
      <c r="G571" t="n">
        <v>9</v>
      </c>
      <c r="H571" t="n">
        <v>0</v>
      </c>
      <c r="I571" t="n">
        <v>0</v>
      </c>
      <c r="J571" t="n">
        <v>0</v>
      </c>
      <c r="K571" t="n">
        <v>0</v>
      </c>
      <c r="L571" t="n">
        <v>0</v>
      </c>
      <c r="M571" t="n">
        <v>0</v>
      </c>
      <c r="N571" t="n">
        <v>0</v>
      </c>
      <c r="O571" t="n">
        <v>0</v>
      </c>
      <c r="P571" t="n">
        <v>0</v>
      </c>
      <c r="Q571" t="n">
        <v>0</v>
      </c>
      <c r="R571" s="2" t="inlineStr"/>
    </row>
    <row r="572" ht="15" customHeight="1">
      <c r="A572" t="inlineStr">
        <is>
          <t>A 31326-2024</t>
        </is>
      </c>
      <c r="B572" s="1" t="n">
        <v>45504.5934375</v>
      </c>
      <c r="C572" s="1" t="n">
        <v>46072</v>
      </c>
      <c r="D572" t="inlineStr">
        <is>
          <t>ÖREBRO LÄN</t>
        </is>
      </c>
      <c r="E572" t="inlineStr">
        <is>
          <t>ÖREBRO</t>
        </is>
      </c>
      <c r="G572" t="n">
        <v>6.4</v>
      </c>
      <c r="H572" t="n">
        <v>0</v>
      </c>
      <c r="I572" t="n">
        <v>0</v>
      </c>
      <c r="J572" t="n">
        <v>0</v>
      </c>
      <c r="K572" t="n">
        <v>0</v>
      </c>
      <c r="L572" t="n">
        <v>0</v>
      </c>
      <c r="M572" t="n">
        <v>0</v>
      </c>
      <c r="N572" t="n">
        <v>0</v>
      </c>
      <c r="O572" t="n">
        <v>0</v>
      </c>
      <c r="P572" t="n">
        <v>0</v>
      </c>
      <c r="Q572" t="n">
        <v>0</v>
      </c>
      <c r="R572" s="2" t="inlineStr"/>
    </row>
    <row r="573" ht="15" customHeight="1">
      <c r="A573" t="inlineStr">
        <is>
          <t>A 70719-2021</t>
        </is>
      </c>
      <c r="B573" s="1" t="n">
        <v>44537</v>
      </c>
      <c r="C573" s="1" t="n">
        <v>46072</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16694-2025</t>
        </is>
      </c>
      <c r="B574" s="1" t="n">
        <v>45754.46480324074</v>
      </c>
      <c r="C574" s="1" t="n">
        <v>46072</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30374-2023</t>
        </is>
      </c>
      <c r="B575" s="1" t="n">
        <v>45111</v>
      </c>
      <c r="C575" s="1" t="n">
        <v>46072</v>
      </c>
      <c r="D575" t="inlineStr">
        <is>
          <t>ÖREBRO LÄN</t>
        </is>
      </c>
      <c r="E575" t="inlineStr">
        <is>
          <t>ÖREBRO</t>
        </is>
      </c>
      <c r="F575" t="inlineStr">
        <is>
          <t>Övriga Aktiebolag</t>
        </is>
      </c>
      <c r="G575" t="n">
        <v>2.3</v>
      </c>
      <c r="H575" t="n">
        <v>0</v>
      </c>
      <c r="I575" t="n">
        <v>0</v>
      </c>
      <c r="J575" t="n">
        <v>0</v>
      </c>
      <c r="K575" t="n">
        <v>0</v>
      </c>
      <c r="L575" t="n">
        <v>0</v>
      </c>
      <c r="M575" t="n">
        <v>0</v>
      </c>
      <c r="N575" t="n">
        <v>0</v>
      </c>
      <c r="O575" t="n">
        <v>0</v>
      </c>
      <c r="P575" t="n">
        <v>0</v>
      </c>
      <c r="Q575" t="n">
        <v>0</v>
      </c>
      <c r="R575" s="2" t="inlineStr"/>
    </row>
    <row r="576" ht="15" customHeight="1">
      <c r="A576" t="inlineStr">
        <is>
          <t>A 38898-2023</t>
        </is>
      </c>
      <c r="B576" s="1" t="n">
        <v>45163</v>
      </c>
      <c r="C576" s="1" t="n">
        <v>46072</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5764-2022</t>
        </is>
      </c>
      <c r="B577" s="1" t="n">
        <v>44596</v>
      </c>
      <c r="C577" s="1" t="n">
        <v>46072</v>
      </c>
      <c r="D577" t="inlineStr">
        <is>
          <t>ÖREBRO LÄN</t>
        </is>
      </c>
      <c r="E577" t="inlineStr">
        <is>
          <t>ÖREBRO</t>
        </is>
      </c>
      <c r="G577" t="n">
        <v>3.5</v>
      </c>
      <c r="H577" t="n">
        <v>0</v>
      </c>
      <c r="I577" t="n">
        <v>0</v>
      </c>
      <c r="J577" t="n">
        <v>0</v>
      </c>
      <c r="K577" t="n">
        <v>0</v>
      </c>
      <c r="L577" t="n">
        <v>0</v>
      </c>
      <c r="M577" t="n">
        <v>0</v>
      </c>
      <c r="N577" t="n">
        <v>0</v>
      </c>
      <c r="O577" t="n">
        <v>0</v>
      </c>
      <c r="P577" t="n">
        <v>0</v>
      </c>
      <c r="Q577" t="n">
        <v>0</v>
      </c>
      <c r="R577" s="2" t="inlineStr"/>
    </row>
    <row r="578" ht="15" customHeight="1">
      <c r="A578" t="inlineStr">
        <is>
          <t>A 21036-2024</t>
        </is>
      </c>
      <c r="B578" s="1" t="n">
        <v>45439.65954861111</v>
      </c>
      <c r="C578" s="1" t="n">
        <v>46072</v>
      </c>
      <c r="D578" t="inlineStr">
        <is>
          <t>ÖREBRO LÄN</t>
        </is>
      </c>
      <c r="E578" t="inlineStr">
        <is>
          <t>ÖREBRO</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1492-2022</t>
        </is>
      </c>
      <c r="B579" s="1" t="n">
        <v>44573</v>
      </c>
      <c r="C579" s="1" t="n">
        <v>46072</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58615-2024</t>
        </is>
      </c>
      <c r="B580" s="1" t="n">
        <v>45635.5587037037</v>
      </c>
      <c r="C580" s="1" t="n">
        <v>46072</v>
      </c>
      <c r="D580" t="inlineStr">
        <is>
          <t>ÖREBRO LÄN</t>
        </is>
      </c>
      <c r="E580" t="inlineStr">
        <is>
          <t>ÖREBRO</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58620-2024</t>
        </is>
      </c>
      <c r="B581" s="1" t="n">
        <v>45635.56246527778</v>
      </c>
      <c r="C581" s="1" t="n">
        <v>46072</v>
      </c>
      <c r="D581" t="inlineStr">
        <is>
          <t>ÖREBRO LÄN</t>
        </is>
      </c>
      <c r="E581" t="inlineStr">
        <is>
          <t>ÖREBRO</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1014-2024</t>
        </is>
      </c>
      <c r="B582" s="1" t="n">
        <v>45301</v>
      </c>
      <c r="C582" s="1" t="n">
        <v>46072</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30472-2022</t>
        </is>
      </c>
      <c r="B583" s="1" t="n">
        <v>44761.70467592592</v>
      </c>
      <c r="C583" s="1" t="n">
        <v>46072</v>
      </c>
      <c r="D583" t="inlineStr">
        <is>
          <t>ÖREBRO LÄN</t>
        </is>
      </c>
      <c r="E583" t="inlineStr">
        <is>
          <t>ÖREBRO</t>
        </is>
      </c>
      <c r="F583" t="inlineStr">
        <is>
          <t>Övriga Aktiebolag</t>
        </is>
      </c>
      <c r="G583" t="n">
        <v>5.6</v>
      </c>
      <c r="H583" t="n">
        <v>0</v>
      </c>
      <c r="I583" t="n">
        <v>0</v>
      </c>
      <c r="J583" t="n">
        <v>0</v>
      </c>
      <c r="K583" t="n">
        <v>0</v>
      </c>
      <c r="L583" t="n">
        <v>0</v>
      </c>
      <c r="M583" t="n">
        <v>0</v>
      </c>
      <c r="N583" t="n">
        <v>0</v>
      </c>
      <c r="O583" t="n">
        <v>0</v>
      </c>
      <c r="P583" t="n">
        <v>0</v>
      </c>
      <c r="Q583" t="n">
        <v>0</v>
      </c>
      <c r="R583" s="2" t="inlineStr"/>
    </row>
    <row r="584" ht="15" customHeight="1">
      <c r="A584" t="inlineStr">
        <is>
          <t>A 34056-2023</t>
        </is>
      </c>
      <c r="B584" s="1" t="n">
        <v>45135</v>
      </c>
      <c r="C584" s="1" t="n">
        <v>46072</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43612-2022</t>
        </is>
      </c>
      <c r="B585" s="1" t="n">
        <v>44837</v>
      </c>
      <c r="C585" s="1" t="n">
        <v>46072</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51373-2023</t>
        </is>
      </c>
      <c r="B586" s="1" t="n">
        <v>45213</v>
      </c>
      <c r="C586" s="1" t="n">
        <v>46072</v>
      </c>
      <c r="D586" t="inlineStr">
        <is>
          <t>ÖREBRO LÄN</t>
        </is>
      </c>
      <c r="E586" t="inlineStr">
        <is>
          <t>ÖREBRO</t>
        </is>
      </c>
      <c r="G586" t="n">
        <v>5.9</v>
      </c>
      <c r="H586" t="n">
        <v>0</v>
      </c>
      <c r="I586" t="n">
        <v>0</v>
      </c>
      <c r="J586" t="n">
        <v>0</v>
      </c>
      <c r="K586" t="n">
        <v>0</v>
      </c>
      <c r="L586" t="n">
        <v>0</v>
      </c>
      <c r="M586" t="n">
        <v>0</v>
      </c>
      <c r="N586" t="n">
        <v>0</v>
      </c>
      <c r="O586" t="n">
        <v>0</v>
      </c>
      <c r="P586" t="n">
        <v>0</v>
      </c>
      <c r="Q586" t="n">
        <v>0</v>
      </c>
      <c r="R586" s="2" t="inlineStr"/>
    </row>
    <row r="587" ht="15" customHeight="1">
      <c r="A587" t="inlineStr">
        <is>
          <t>A 35843-2022</t>
        </is>
      </c>
      <c r="B587" s="1" t="n">
        <v>44802</v>
      </c>
      <c r="C587" s="1" t="n">
        <v>46072</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13599-2025</t>
        </is>
      </c>
      <c r="B588" s="1" t="n">
        <v>45736.60597222222</v>
      </c>
      <c r="C588" s="1" t="n">
        <v>46072</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20146-2024</t>
        </is>
      </c>
      <c r="B589" s="1" t="n">
        <v>45434.57641203704</v>
      </c>
      <c r="C589" s="1" t="n">
        <v>46072</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10937-2024</t>
        </is>
      </c>
      <c r="B590" s="1" t="n">
        <v>45370.44461805555</v>
      </c>
      <c r="C590" s="1" t="n">
        <v>46072</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20115-2024</t>
        </is>
      </c>
      <c r="B591" s="1" t="n">
        <v>45434</v>
      </c>
      <c r="C591" s="1" t="n">
        <v>46072</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16936-2023</t>
        </is>
      </c>
      <c r="B592" s="1" t="n">
        <v>45033.63005787037</v>
      </c>
      <c r="C592" s="1" t="n">
        <v>46072</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40588-2021</t>
        </is>
      </c>
      <c r="B593" s="1" t="n">
        <v>44420</v>
      </c>
      <c r="C593" s="1" t="n">
        <v>46072</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57485-2023</t>
        </is>
      </c>
      <c r="B594" s="1" t="n">
        <v>45246</v>
      </c>
      <c r="C594" s="1" t="n">
        <v>46072</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37025-2024</t>
        </is>
      </c>
      <c r="B595" s="1" t="n">
        <v>45539.3840162037</v>
      </c>
      <c r="C595" s="1" t="n">
        <v>46072</v>
      </c>
      <c r="D595" t="inlineStr">
        <is>
          <t>ÖREBRO LÄN</t>
        </is>
      </c>
      <c r="E595" t="inlineStr">
        <is>
          <t>ÖREBRO</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37027-2024</t>
        </is>
      </c>
      <c r="B596" s="1" t="n">
        <v>45539.38487268519</v>
      </c>
      <c r="C596" s="1" t="n">
        <v>46072</v>
      </c>
      <c r="D596" t="inlineStr">
        <is>
          <t>ÖREBRO LÄN</t>
        </is>
      </c>
      <c r="E596" t="inlineStr">
        <is>
          <t>ÖREBRO</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60506-2024</t>
        </is>
      </c>
      <c r="B597" s="1" t="n">
        <v>45643.66630787037</v>
      </c>
      <c r="C597" s="1" t="n">
        <v>46072</v>
      </c>
      <c r="D597" t="inlineStr">
        <is>
          <t>ÖREBRO LÄN</t>
        </is>
      </c>
      <c r="E597" t="inlineStr">
        <is>
          <t>ÖREBRO</t>
        </is>
      </c>
      <c r="G597" t="n">
        <v>5.8</v>
      </c>
      <c r="H597" t="n">
        <v>0</v>
      </c>
      <c r="I597" t="n">
        <v>0</v>
      </c>
      <c r="J597" t="n">
        <v>0</v>
      </c>
      <c r="K597" t="n">
        <v>0</v>
      </c>
      <c r="L597" t="n">
        <v>0</v>
      </c>
      <c r="M597" t="n">
        <v>0</v>
      </c>
      <c r="N597" t="n">
        <v>0</v>
      </c>
      <c r="O597" t="n">
        <v>0</v>
      </c>
      <c r="P597" t="n">
        <v>0</v>
      </c>
      <c r="Q597" t="n">
        <v>0</v>
      </c>
      <c r="R597" s="2" t="inlineStr"/>
    </row>
    <row r="598" ht="15" customHeight="1">
      <c r="A598" t="inlineStr">
        <is>
          <t>A 44284-2022</t>
        </is>
      </c>
      <c r="B598" s="1" t="n">
        <v>44839.59194444444</v>
      </c>
      <c r="C598" s="1" t="n">
        <v>46072</v>
      </c>
      <c r="D598" t="inlineStr">
        <is>
          <t>ÖREBRO LÄN</t>
        </is>
      </c>
      <c r="E598" t="inlineStr">
        <is>
          <t>ÖREBRO</t>
        </is>
      </c>
      <c r="G598" t="n">
        <v>1.2</v>
      </c>
      <c r="H598" t="n">
        <v>0</v>
      </c>
      <c r="I598" t="n">
        <v>0</v>
      </c>
      <c r="J598" t="n">
        <v>0</v>
      </c>
      <c r="K598" t="n">
        <v>0</v>
      </c>
      <c r="L598" t="n">
        <v>0</v>
      </c>
      <c r="M598" t="n">
        <v>0</v>
      </c>
      <c r="N598" t="n">
        <v>0</v>
      </c>
      <c r="O598" t="n">
        <v>0</v>
      </c>
      <c r="P598" t="n">
        <v>0</v>
      </c>
      <c r="Q598" t="n">
        <v>0</v>
      </c>
      <c r="R598" s="2" t="inlineStr"/>
    </row>
    <row r="599" ht="15" customHeight="1">
      <c r="A599" t="inlineStr">
        <is>
          <t>A 35833-2024</t>
        </is>
      </c>
      <c r="B599" s="1" t="n">
        <v>45532.68699074074</v>
      </c>
      <c r="C599" s="1" t="n">
        <v>46072</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58608-2024</t>
        </is>
      </c>
      <c r="B600" s="1" t="n">
        <v>45635.55185185185</v>
      </c>
      <c r="C600" s="1" t="n">
        <v>46072</v>
      </c>
      <c r="D600" t="inlineStr">
        <is>
          <t>ÖREBRO LÄN</t>
        </is>
      </c>
      <c r="E600" t="inlineStr">
        <is>
          <t>ÖREBRO</t>
        </is>
      </c>
      <c r="F600" t="inlineStr">
        <is>
          <t>Sveaskog</t>
        </is>
      </c>
      <c r="G600" t="n">
        <v>0.3</v>
      </c>
      <c r="H600" t="n">
        <v>0</v>
      </c>
      <c r="I600" t="n">
        <v>0</v>
      </c>
      <c r="J600" t="n">
        <v>0</v>
      </c>
      <c r="K600" t="n">
        <v>0</v>
      </c>
      <c r="L600" t="n">
        <v>0</v>
      </c>
      <c r="M600" t="n">
        <v>0</v>
      </c>
      <c r="N600" t="n">
        <v>0</v>
      </c>
      <c r="O600" t="n">
        <v>0</v>
      </c>
      <c r="P600" t="n">
        <v>0</v>
      </c>
      <c r="Q600" t="n">
        <v>0</v>
      </c>
      <c r="R600" s="2" t="inlineStr"/>
    </row>
    <row r="601" ht="15" customHeight="1">
      <c r="A601" t="inlineStr">
        <is>
          <t>A 38422-2023</t>
        </is>
      </c>
      <c r="B601" s="1" t="n">
        <v>45162.36422453704</v>
      </c>
      <c r="C601" s="1" t="n">
        <v>46072</v>
      </c>
      <c r="D601" t="inlineStr">
        <is>
          <t>ÖREBRO LÄN</t>
        </is>
      </c>
      <c r="E601" t="inlineStr">
        <is>
          <t>ÖREBRO</t>
        </is>
      </c>
      <c r="G601" t="n">
        <v>8</v>
      </c>
      <c r="H601" t="n">
        <v>0</v>
      </c>
      <c r="I601" t="n">
        <v>0</v>
      </c>
      <c r="J601" t="n">
        <v>0</v>
      </c>
      <c r="K601" t="n">
        <v>0</v>
      </c>
      <c r="L601" t="n">
        <v>0</v>
      </c>
      <c r="M601" t="n">
        <v>0</v>
      </c>
      <c r="N601" t="n">
        <v>0</v>
      </c>
      <c r="O601" t="n">
        <v>0</v>
      </c>
      <c r="P601" t="n">
        <v>0</v>
      </c>
      <c r="Q601" t="n">
        <v>0</v>
      </c>
      <c r="R601" s="2" t="inlineStr"/>
    </row>
    <row r="602" ht="15" customHeight="1">
      <c r="A602" t="inlineStr">
        <is>
          <t>A 56040-2024</t>
        </is>
      </c>
      <c r="B602" s="1" t="n">
        <v>45624.3344212963</v>
      </c>
      <c r="C602" s="1" t="n">
        <v>46072</v>
      </c>
      <c r="D602" t="inlineStr">
        <is>
          <t>ÖREBRO LÄN</t>
        </is>
      </c>
      <c r="E602" t="inlineStr">
        <is>
          <t>ÖREBRO</t>
        </is>
      </c>
      <c r="G602" t="n">
        <v>1.2</v>
      </c>
      <c r="H602" t="n">
        <v>0</v>
      </c>
      <c r="I602" t="n">
        <v>0</v>
      </c>
      <c r="J602" t="n">
        <v>0</v>
      </c>
      <c r="K602" t="n">
        <v>0</v>
      </c>
      <c r="L602" t="n">
        <v>0</v>
      </c>
      <c r="M602" t="n">
        <v>0</v>
      </c>
      <c r="N602" t="n">
        <v>0</v>
      </c>
      <c r="O602" t="n">
        <v>0</v>
      </c>
      <c r="P602" t="n">
        <v>0</v>
      </c>
      <c r="Q602" t="n">
        <v>0</v>
      </c>
      <c r="R602" s="2" t="inlineStr"/>
    </row>
    <row r="603" ht="15" customHeight="1">
      <c r="A603" t="inlineStr">
        <is>
          <t>A 14487-2023</t>
        </is>
      </c>
      <c r="B603" s="1" t="n">
        <v>45012</v>
      </c>
      <c r="C603" s="1" t="n">
        <v>46072</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40522-2024</t>
        </is>
      </c>
      <c r="B604" s="1" t="n">
        <v>45555.59717592593</v>
      </c>
      <c r="C604" s="1" t="n">
        <v>46072</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49029-2024</t>
        </is>
      </c>
      <c r="B605" s="1" t="n">
        <v>45594</v>
      </c>
      <c r="C605" s="1" t="n">
        <v>46072</v>
      </c>
      <c r="D605" t="inlineStr">
        <is>
          <t>ÖREBRO LÄN</t>
        </is>
      </c>
      <c r="E605" t="inlineStr">
        <is>
          <t>ÖREBRO</t>
        </is>
      </c>
      <c r="G605" t="n">
        <v>3.7</v>
      </c>
      <c r="H605" t="n">
        <v>0</v>
      </c>
      <c r="I605" t="n">
        <v>0</v>
      </c>
      <c r="J605" t="n">
        <v>0</v>
      </c>
      <c r="K605" t="n">
        <v>0</v>
      </c>
      <c r="L605" t="n">
        <v>0</v>
      </c>
      <c r="M605" t="n">
        <v>0</v>
      </c>
      <c r="N605" t="n">
        <v>0</v>
      </c>
      <c r="O605" t="n">
        <v>0</v>
      </c>
      <c r="P605" t="n">
        <v>0</v>
      </c>
      <c r="Q605" t="n">
        <v>0</v>
      </c>
      <c r="R605" s="2" t="inlineStr"/>
    </row>
    <row r="606" ht="15" customHeight="1">
      <c r="A606" t="inlineStr">
        <is>
          <t>A 49062-2023</t>
        </is>
      </c>
      <c r="B606" s="1" t="n">
        <v>45210.35119212963</v>
      </c>
      <c r="C606" s="1" t="n">
        <v>46072</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35829-2024</t>
        </is>
      </c>
      <c r="B607" s="1" t="n">
        <v>45532</v>
      </c>
      <c r="C607" s="1" t="n">
        <v>46072</v>
      </c>
      <c r="D607" t="inlineStr">
        <is>
          <t>ÖREBRO LÄN</t>
        </is>
      </c>
      <c r="E607" t="inlineStr">
        <is>
          <t>ÖREBRO</t>
        </is>
      </c>
      <c r="G607" t="n">
        <v>4.6</v>
      </c>
      <c r="H607" t="n">
        <v>0</v>
      </c>
      <c r="I607" t="n">
        <v>0</v>
      </c>
      <c r="J607" t="n">
        <v>0</v>
      </c>
      <c r="K607" t="n">
        <v>0</v>
      </c>
      <c r="L607" t="n">
        <v>0</v>
      </c>
      <c r="M607" t="n">
        <v>0</v>
      </c>
      <c r="N607" t="n">
        <v>0</v>
      </c>
      <c r="O607" t="n">
        <v>0</v>
      </c>
      <c r="P607" t="n">
        <v>0</v>
      </c>
      <c r="Q607" t="n">
        <v>0</v>
      </c>
      <c r="R607" s="2" t="inlineStr"/>
    </row>
    <row r="608" ht="15" customHeight="1">
      <c r="A608" t="inlineStr">
        <is>
          <t>A 13181-2023</t>
        </is>
      </c>
      <c r="B608" s="1" t="n">
        <v>45002.60659722222</v>
      </c>
      <c r="C608" s="1" t="n">
        <v>46072</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61078-2024</t>
        </is>
      </c>
      <c r="B609" s="1" t="n">
        <v>45645.51034722223</v>
      </c>
      <c r="C609" s="1" t="n">
        <v>46072</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62511-2023</t>
        </is>
      </c>
      <c r="B610" s="1" t="n">
        <v>45268.61855324074</v>
      </c>
      <c r="C610" s="1" t="n">
        <v>46072</v>
      </c>
      <c r="D610" t="inlineStr">
        <is>
          <t>ÖREBRO LÄN</t>
        </is>
      </c>
      <c r="E610" t="inlineStr">
        <is>
          <t>ÖREBRO</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55472-2023</t>
        </is>
      </c>
      <c r="B611" s="1" t="n">
        <v>45238</v>
      </c>
      <c r="C611" s="1" t="n">
        <v>46072</v>
      </c>
      <c r="D611" t="inlineStr">
        <is>
          <t>ÖREBRO LÄN</t>
        </is>
      </c>
      <c r="E611" t="inlineStr">
        <is>
          <t>ÖREBRO</t>
        </is>
      </c>
      <c r="G611" t="n">
        <v>0.6</v>
      </c>
      <c r="H611" t="n">
        <v>0</v>
      </c>
      <c r="I611" t="n">
        <v>0</v>
      </c>
      <c r="J611" t="n">
        <v>0</v>
      </c>
      <c r="K611" t="n">
        <v>0</v>
      </c>
      <c r="L611" t="n">
        <v>0</v>
      </c>
      <c r="M611" t="n">
        <v>0</v>
      </c>
      <c r="N611" t="n">
        <v>0</v>
      </c>
      <c r="O611" t="n">
        <v>0</v>
      </c>
      <c r="P611" t="n">
        <v>0</v>
      </c>
      <c r="Q611" t="n">
        <v>0</v>
      </c>
      <c r="R611" s="2" t="inlineStr"/>
    </row>
    <row r="612" ht="15" customHeight="1">
      <c r="A612" t="inlineStr">
        <is>
          <t>A 5129-2024</t>
        </is>
      </c>
      <c r="B612" s="1" t="n">
        <v>45330</v>
      </c>
      <c r="C612" s="1" t="n">
        <v>46072</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58486-2024</t>
        </is>
      </c>
      <c r="B613" s="1" t="n">
        <v>45635</v>
      </c>
      <c r="C613" s="1" t="n">
        <v>46072</v>
      </c>
      <c r="D613" t="inlineStr">
        <is>
          <t>ÖREBRO LÄN</t>
        </is>
      </c>
      <c r="E613" t="inlineStr">
        <is>
          <t>ÖREBRO</t>
        </is>
      </c>
      <c r="G613" t="n">
        <v>1.7</v>
      </c>
      <c r="H613" t="n">
        <v>0</v>
      </c>
      <c r="I613" t="n">
        <v>0</v>
      </c>
      <c r="J613" t="n">
        <v>0</v>
      </c>
      <c r="K613" t="n">
        <v>0</v>
      </c>
      <c r="L613" t="n">
        <v>0</v>
      </c>
      <c r="M613" t="n">
        <v>0</v>
      </c>
      <c r="N613" t="n">
        <v>0</v>
      </c>
      <c r="O613" t="n">
        <v>0</v>
      </c>
      <c r="P613" t="n">
        <v>0</v>
      </c>
      <c r="Q613" t="n">
        <v>0</v>
      </c>
      <c r="R613" s="2" t="inlineStr"/>
    </row>
    <row r="614" ht="15" customHeight="1">
      <c r="A614" t="inlineStr">
        <is>
          <t>A 30015-2023</t>
        </is>
      </c>
      <c r="B614" s="1" t="n">
        <v>45109</v>
      </c>
      <c r="C614" s="1" t="n">
        <v>46072</v>
      </c>
      <c r="D614" t="inlineStr">
        <is>
          <t>ÖREBRO LÄN</t>
        </is>
      </c>
      <c r="E614" t="inlineStr">
        <is>
          <t>ÖREBRO</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1013-2024</t>
        </is>
      </c>
      <c r="B615" s="1" t="n">
        <v>45301</v>
      </c>
      <c r="C615" s="1" t="n">
        <v>46072</v>
      </c>
      <c r="D615" t="inlineStr">
        <is>
          <t>ÖREBRO LÄN</t>
        </is>
      </c>
      <c r="E615" t="inlineStr">
        <is>
          <t>ÖREBRO</t>
        </is>
      </c>
      <c r="G615" t="n">
        <v>2.6</v>
      </c>
      <c r="H615" t="n">
        <v>0</v>
      </c>
      <c r="I615" t="n">
        <v>0</v>
      </c>
      <c r="J615" t="n">
        <v>0</v>
      </c>
      <c r="K615" t="n">
        <v>0</v>
      </c>
      <c r="L615" t="n">
        <v>0</v>
      </c>
      <c r="M615" t="n">
        <v>0</v>
      </c>
      <c r="N615" t="n">
        <v>0</v>
      </c>
      <c r="O615" t="n">
        <v>0</v>
      </c>
      <c r="P615" t="n">
        <v>0</v>
      </c>
      <c r="Q615" t="n">
        <v>0</v>
      </c>
      <c r="R615" s="2" t="inlineStr"/>
    </row>
    <row r="616" ht="15" customHeight="1">
      <c r="A616" t="inlineStr">
        <is>
          <t>A 8512-2025</t>
        </is>
      </c>
      <c r="B616" s="1" t="n">
        <v>45709.54873842592</v>
      </c>
      <c r="C616" s="1" t="n">
        <v>46072</v>
      </c>
      <c r="D616" t="inlineStr">
        <is>
          <t>ÖREBRO LÄN</t>
        </is>
      </c>
      <c r="E616" t="inlineStr">
        <is>
          <t>ÖREBRO</t>
        </is>
      </c>
      <c r="G616" t="n">
        <v>1.8</v>
      </c>
      <c r="H616" t="n">
        <v>0</v>
      </c>
      <c r="I616" t="n">
        <v>0</v>
      </c>
      <c r="J616" t="n">
        <v>0</v>
      </c>
      <c r="K616" t="n">
        <v>0</v>
      </c>
      <c r="L616" t="n">
        <v>0</v>
      </c>
      <c r="M616" t="n">
        <v>0</v>
      </c>
      <c r="N616" t="n">
        <v>0</v>
      </c>
      <c r="O616" t="n">
        <v>0</v>
      </c>
      <c r="P616" t="n">
        <v>0</v>
      </c>
      <c r="Q616" t="n">
        <v>0</v>
      </c>
      <c r="R616" s="2" t="inlineStr"/>
    </row>
    <row r="617" ht="15" customHeight="1">
      <c r="A617" t="inlineStr">
        <is>
          <t>A 14715-2024</t>
        </is>
      </c>
      <c r="B617" s="1" t="n">
        <v>45397.5500462963</v>
      </c>
      <c r="C617" s="1" t="n">
        <v>46072</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58145-2024</t>
        </is>
      </c>
      <c r="B618" s="1" t="n">
        <v>45632.43230324074</v>
      </c>
      <c r="C618" s="1" t="n">
        <v>46072</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16300-2022</t>
        </is>
      </c>
      <c r="B619" s="1" t="n">
        <v>44670</v>
      </c>
      <c r="C619" s="1" t="n">
        <v>46072</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18181-2024</t>
        </is>
      </c>
      <c r="B620" s="1" t="n">
        <v>45420.64561342593</v>
      </c>
      <c r="C620" s="1" t="n">
        <v>46072</v>
      </c>
      <c r="D620" t="inlineStr">
        <is>
          <t>ÖREBRO LÄN</t>
        </is>
      </c>
      <c r="E620" t="inlineStr">
        <is>
          <t>ÖREBRO</t>
        </is>
      </c>
      <c r="G620" t="n">
        <v>7.6</v>
      </c>
      <c r="H620" t="n">
        <v>0</v>
      </c>
      <c r="I620" t="n">
        <v>0</v>
      </c>
      <c r="J620" t="n">
        <v>0</v>
      </c>
      <c r="K620" t="n">
        <v>0</v>
      </c>
      <c r="L620" t="n">
        <v>0</v>
      </c>
      <c r="M620" t="n">
        <v>0</v>
      </c>
      <c r="N620" t="n">
        <v>0</v>
      </c>
      <c r="O620" t="n">
        <v>0</v>
      </c>
      <c r="P620" t="n">
        <v>0</v>
      </c>
      <c r="Q620" t="n">
        <v>0</v>
      </c>
      <c r="R620" s="2" t="inlineStr"/>
    </row>
    <row r="621" ht="15" customHeight="1">
      <c r="A621" t="inlineStr">
        <is>
          <t>A 70707-2021</t>
        </is>
      </c>
      <c r="B621" s="1" t="n">
        <v>44537</v>
      </c>
      <c r="C621" s="1" t="n">
        <v>46072</v>
      </c>
      <c r="D621" t="inlineStr">
        <is>
          <t>ÖREBRO LÄN</t>
        </is>
      </c>
      <c r="E621" t="inlineStr">
        <is>
          <t>ÖREBRO</t>
        </is>
      </c>
      <c r="G621" t="n">
        <v>13.2</v>
      </c>
      <c r="H621" t="n">
        <v>0</v>
      </c>
      <c r="I621" t="n">
        <v>0</v>
      </c>
      <c r="J621" t="n">
        <v>0</v>
      </c>
      <c r="K621" t="n">
        <v>0</v>
      </c>
      <c r="L621" t="n">
        <v>0</v>
      </c>
      <c r="M621" t="n">
        <v>0</v>
      </c>
      <c r="N621" t="n">
        <v>0</v>
      </c>
      <c r="O621" t="n">
        <v>0</v>
      </c>
      <c r="P621" t="n">
        <v>0</v>
      </c>
      <c r="Q621" t="n">
        <v>0</v>
      </c>
      <c r="R621" s="2" t="inlineStr"/>
    </row>
    <row r="622" ht="15" customHeight="1">
      <c r="A622" t="inlineStr">
        <is>
          <t>A 60100-2022</t>
        </is>
      </c>
      <c r="B622" s="1" t="n">
        <v>44902</v>
      </c>
      <c r="C622" s="1" t="n">
        <v>46072</v>
      </c>
      <c r="D622" t="inlineStr">
        <is>
          <t>ÖREBRO LÄN</t>
        </is>
      </c>
      <c r="E622" t="inlineStr">
        <is>
          <t>ÖREBRO</t>
        </is>
      </c>
      <c r="G622" t="n">
        <v>1.4</v>
      </c>
      <c r="H622" t="n">
        <v>0</v>
      </c>
      <c r="I622" t="n">
        <v>0</v>
      </c>
      <c r="J622" t="n">
        <v>0</v>
      </c>
      <c r="K622" t="n">
        <v>0</v>
      </c>
      <c r="L622" t="n">
        <v>0</v>
      </c>
      <c r="M622" t="n">
        <v>0</v>
      </c>
      <c r="N622" t="n">
        <v>0</v>
      </c>
      <c r="O622" t="n">
        <v>0</v>
      </c>
      <c r="P622" t="n">
        <v>0</v>
      </c>
      <c r="Q622" t="n">
        <v>0</v>
      </c>
      <c r="R622" s="2" t="inlineStr"/>
    </row>
    <row r="623" ht="15" customHeight="1">
      <c r="A623" t="inlineStr">
        <is>
          <t>A 2152-2023</t>
        </is>
      </c>
      <c r="B623" s="1" t="n">
        <v>44941.55056712963</v>
      </c>
      <c r="C623" s="1" t="n">
        <v>46072</v>
      </c>
      <c r="D623" t="inlineStr">
        <is>
          <t>ÖREBRO LÄN</t>
        </is>
      </c>
      <c r="E623" t="inlineStr">
        <is>
          <t>ÖREBRO</t>
        </is>
      </c>
      <c r="G623" t="n">
        <v>8</v>
      </c>
      <c r="H623" t="n">
        <v>0</v>
      </c>
      <c r="I623" t="n">
        <v>0</v>
      </c>
      <c r="J623" t="n">
        <v>0</v>
      </c>
      <c r="K623" t="n">
        <v>0</v>
      </c>
      <c r="L623" t="n">
        <v>0</v>
      </c>
      <c r="M623" t="n">
        <v>0</v>
      </c>
      <c r="N623" t="n">
        <v>0</v>
      </c>
      <c r="O623" t="n">
        <v>0</v>
      </c>
      <c r="P623" t="n">
        <v>0</v>
      </c>
      <c r="Q623" t="n">
        <v>0</v>
      </c>
      <c r="R623" s="2" t="inlineStr"/>
    </row>
    <row r="624" ht="15" customHeight="1">
      <c r="A624" t="inlineStr">
        <is>
          <t>A 8656-2025</t>
        </is>
      </c>
      <c r="B624" s="1" t="n">
        <v>45712.38268518518</v>
      </c>
      <c r="C624" s="1" t="n">
        <v>46072</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55353-2024</t>
        </is>
      </c>
      <c r="B625" s="1" t="n">
        <v>45621.79526620371</v>
      </c>
      <c r="C625" s="1" t="n">
        <v>46072</v>
      </c>
      <c r="D625" t="inlineStr">
        <is>
          <t>ÖREBRO LÄN</t>
        </is>
      </c>
      <c r="E625" t="inlineStr">
        <is>
          <t>ÖREBRO</t>
        </is>
      </c>
      <c r="G625" t="n">
        <v>0.5</v>
      </c>
      <c r="H625" t="n">
        <v>0</v>
      </c>
      <c r="I625" t="n">
        <v>0</v>
      </c>
      <c r="J625" t="n">
        <v>0</v>
      </c>
      <c r="K625" t="n">
        <v>0</v>
      </c>
      <c r="L625" t="n">
        <v>0</v>
      </c>
      <c r="M625" t="n">
        <v>0</v>
      </c>
      <c r="N625" t="n">
        <v>0</v>
      </c>
      <c r="O625" t="n">
        <v>0</v>
      </c>
      <c r="P625" t="n">
        <v>0</v>
      </c>
      <c r="Q625" t="n">
        <v>0</v>
      </c>
      <c r="R625" s="2" t="inlineStr"/>
    </row>
    <row r="626" ht="15" customHeight="1">
      <c r="A626" t="inlineStr">
        <is>
          <t>A 55357-2024</t>
        </is>
      </c>
      <c r="B626" s="1" t="n">
        <v>45621.81126157408</v>
      </c>
      <c r="C626" s="1" t="n">
        <v>46072</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42623-2022</t>
        </is>
      </c>
      <c r="B627" s="1" t="n">
        <v>44831</v>
      </c>
      <c r="C627" s="1" t="n">
        <v>46072</v>
      </c>
      <c r="D627" t="inlineStr">
        <is>
          <t>ÖREBRO LÄN</t>
        </is>
      </c>
      <c r="E627" t="inlineStr">
        <is>
          <t>ÖREBRO</t>
        </is>
      </c>
      <c r="G627" t="n">
        <v>3.6</v>
      </c>
      <c r="H627" t="n">
        <v>0</v>
      </c>
      <c r="I627" t="n">
        <v>0</v>
      </c>
      <c r="J627" t="n">
        <v>0</v>
      </c>
      <c r="K627" t="n">
        <v>0</v>
      </c>
      <c r="L627" t="n">
        <v>0</v>
      </c>
      <c r="M627" t="n">
        <v>0</v>
      </c>
      <c r="N627" t="n">
        <v>0</v>
      </c>
      <c r="O627" t="n">
        <v>0</v>
      </c>
      <c r="P627" t="n">
        <v>0</v>
      </c>
      <c r="Q627" t="n">
        <v>0</v>
      </c>
      <c r="R627" s="2" t="inlineStr"/>
    </row>
    <row r="628" ht="15" customHeight="1">
      <c r="A628" t="inlineStr">
        <is>
          <t>A 72329-2021</t>
        </is>
      </c>
      <c r="B628" s="1" t="n">
        <v>44545.46072916667</v>
      </c>
      <c r="C628" s="1" t="n">
        <v>46072</v>
      </c>
      <c r="D628" t="inlineStr">
        <is>
          <t>ÖREBRO LÄN</t>
        </is>
      </c>
      <c r="E628" t="inlineStr">
        <is>
          <t>ÖREBRO</t>
        </is>
      </c>
      <c r="G628" t="n">
        <v>0.5</v>
      </c>
      <c r="H628" t="n">
        <v>0</v>
      </c>
      <c r="I628" t="n">
        <v>0</v>
      </c>
      <c r="J628" t="n">
        <v>0</v>
      </c>
      <c r="K628" t="n">
        <v>0</v>
      </c>
      <c r="L628" t="n">
        <v>0</v>
      </c>
      <c r="M628" t="n">
        <v>0</v>
      </c>
      <c r="N628" t="n">
        <v>0</v>
      </c>
      <c r="O628" t="n">
        <v>0</v>
      </c>
      <c r="P628" t="n">
        <v>0</v>
      </c>
      <c r="Q628" t="n">
        <v>0</v>
      </c>
      <c r="R628" s="2" t="inlineStr"/>
    </row>
    <row r="629" ht="15" customHeight="1">
      <c r="A629" t="inlineStr">
        <is>
          <t>A 4344-2025</t>
        </is>
      </c>
      <c r="B629" s="1" t="n">
        <v>45685</v>
      </c>
      <c r="C629" s="1" t="n">
        <v>46072</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55355-2024</t>
        </is>
      </c>
      <c r="B630" s="1" t="n">
        <v>45621.80475694445</v>
      </c>
      <c r="C630" s="1" t="n">
        <v>46072</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56077-2022</t>
        </is>
      </c>
      <c r="B631" s="1" t="n">
        <v>44889.60872685185</v>
      </c>
      <c r="C631" s="1" t="n">
        <v>46072</v>
      </c>
      <c r="D631" t="inlineStr">
        <is>
          <t>ÖREBRO LÄN</t>
        </is>
      </c>
      <c r="E631" t="inlineStr">
        <is>
          <t>ÖREBRO</t>
        </is>
      </c>
      <c r="F631" t="inlineStr">
        <is>
          <t>Övriga Aktiebolag</t>
        </is>
      </c>
      <c r="G631" t="n">
        <v>2.5</v>
      </c>
      <c r="H631" t="n">
        <v>0</v>
      </c>
      <c r="I631" t="n">
        <v>0</v>
      </c>
      <c r="J631" t="n">
        <v>0</v>
      </c>
      <c r="K631" t="n">
        <v>0</v>
      </c>
      <c r="L631" t="n">
        <v>0</v>
      </c>
      <c r="M631" t="n">
        <v>0</v>
      </c>
      <c r="N631" t="n">
        <v>0</v>
      </c>
      <c r="O631" t="n">
        <v>0</v>
      </c>
      <c r="P631" t="n">
        <v>0</v>
      </c>
      <c r="Q631" t="n">
        <v>0</v>
      </c>
      <c r="R631" s="2" t="inlineStr"/>
    </row>
    <row r="632" ht="15" customHeight="1">
      <c r="A632" t="inlineStr">
        <is>
          <t>A 33457-2023</t>
        </is>
      </c>
      <c r="B632" s="1" t="n">
        <v>45131</v>
      </c>
      <c r="C632" s="1" t="n">
        <v>46072</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7141-2025</t>
        </is>
      </c>
      <c r="B633" s="1" t="n">
        <v>45702</v>
      </c>
      <c r="C633" s="1" t="n">
        <v>46072</v>
      </c>
      <c r="D633" t="inlineStr">
        <is>
          <t>ÖREBRO LÄN</t>
        </is>
      </c>
      <c r="E633" t="inlineStr">
        <is>
          <t>ÖREBRO</t>
        </is>
      </c>
      <c r="G633" t="n">
        <v>2.9</v>
      </c>
      <c r="H633" t="n">
        <v>0</v>
      </c>
      <c r="I633" t="n">
        <v>0</v>
      </c>
      <c r="J633" t="n">
        <v>0</v>
      </c>
      <c r="K633" t="n">
        <v>0</v>
      </c>
      <c r="L633" t="n">
        <v>0</v>
      </c>
      <c r="M633" t="n">
        <v>0</v>
      </c>
      <c r="N633" t="n">
        <v>0</v>
      </c>
      <c r="O633" t="n">
        <v>0</v>
      </c>
      <c r="P633" t="n">
        <v>0</v>
      </c>
      <c r="Q633" t="n">
        <v>0</v>
      </c>
      <c r="R633" s="2" t="inlineStr"/>
    </row>
    <row r="634" ht="15" customHeight="1">
      <c r="A634" t="inlineStr">
        <is>
          <t>A 22677-2022</t>
        </is>
      </c>
      <c r="B634" s="1" t="n">
        <v>44714</v>
      </c>
      <c r="C634" s="1" t="n">
        <v>46072</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13169-2024</t>
        </is>
      </c>
      <c r="B635" s="1" t="n">
        <v>45386.40489583334</v>
      </c>
      <c r="C635" s="1" t="n">
        <v>46072</v>
      </c>
      <c r="D635" t="inlineStr">
        <is>
          <t>ÖREBRO LÄN</t>
        </is>
      </c>
      <c r="E635" t="inlineStr">
        <is>
          <t>ÖREBRO</t>
        </is>
      </c>
      <c r="G635" t="n">
        <v>4.3</v>
      </c>
      <c r="H635" t="n">
        <v>0</v>
      </c>
      <c r="I635" t="n">
        <v>0</v>
      </c>
      <c r="J635" t="n">
        <v>0</v>
      </c>
      <c r="K635" t="n">
        <v>0</v>
      </c>
      <c r="L635" t="n">
        <v>0</v>
      </c>
      <c r="M635" t="n">
        <v>0</v>
      </c>
      <c r="N635" t="n">
        <v>0</v>
      </c>
      <c r="O635" t="n">
        <v>0</v>
      </c>
      <c r="P635" t="n">
        <v>0</v>
      </c>
      <c r="Q635" t="n">
        <v>0</v>
      </c>
      <c r="R635" s="2" t="inlineStr"/>
    </row>
    <row r="636" ht="15" customHeight="1">
      <c r="A636" t="inlineStr">
        <is>
          <t>A 23710-2022</t>
        </is>
      </c>
      <c r="B636" s="1" t="n">
        <v>44722</v>
      </c>
      <c r="C636" s="1" t="n">
        <v>46072</v>
      </c>
      <c r="D636" t="inlineStr">
        <is>
          <t>ÖREBRO LÄN</t>
        </is>
      </c>
      <c r="E636" t="inlineStr">
        <is>
          <t>ÖREBRO</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4757-2024</t>
        </is>
      </c>
      <c r="B637" s="1" t="n">
        <v>45328</v>
      </c>
      <c r="C637" s="1" t="n">
        <v>46072</v>
      </c>
      <c r="D637" t="inlineStr">
        <is>
          <t>ÖREBRO LÄN</t>
        </is>
      </c>
      <c r="E637" t="inlineStr">
        <is>
          <t>ÖREBRO</t>
        </is>
      </c>
      <c r="G637" t="n">
        <v>1.9</v>
      </c>
      <c r="H637" t="n">
        <v>0</v>
      </c>
      <c r="I637" t="n">
        <v>0</v>
      </c>
      <c r="J637" t="n">
        <v>0</v>
      </c>
      <c r="K637" t="n">
        <v>0</v>
      </c>
      <c r="L637" t="n">
        <v>0</v>
      </c>
      <c r="M637" t="n">
        <v>0</v>
      </c>
      <c r="N637" t="n">
        <v>0</v>
      </c>
      <c r="O637" t="n">
        <v>0</v>
      </c>
      <c r="P637" t="n">
        <v>0</v>
      </c>
      <c r="Q637" t="n">
        <v>0</v>
      </c>
      <c r="R637" s="2" t="inlineStr"/>
    </row>
    <row r="638" ht="15" customHeight="1">
      <c r="A638" t="inlineStr">
        <is>
          <t>A 30903-2024</t>
        </is>
      </c>
      <c r="B638" s="1" t="n">
        <v>45498.49946759259</v>
      </c>
      <c r="C638" s="1" t="n">
        <v>46072</v>
      </c>
      <c r="D638" t="inlineStr">
        <is>
          <t>ÖREBRO LÄN</t>
        </is>
      </c>
      <c r="E638" t="inlineStr">
        <is>
          <t>ÖREBRO</t>
        </is>
      </c>
      <c r="G638" t="n">
        <v>1.1</v>
      </c>
      <c r="H638" t="n">
        <v>0</v>
      </c>
      <c r="I638" t="n">
        <v>0</v>
      </c>
      <c r="J638" t="n">
        <v>0</v>
      </c>
      <c r="K638" t="n">
        <v>0</v>
      </c>
      <c r="L638" t="n">
        <v>0</v>
      </c>
      <c r="M638" t="n">
        <v>0</v>
      </c>
      <c r="N638" t="n">
        <v>0</v>
      </c>
      <c r="O638" t="n">
        <v>0</v>
      </c>
      <c r="P638" t="n">
        <v>0</v>
      </c>
      <c r="Q638" t="n">
        <v>0</v>
      </c>
      <c r="R638" s="2" t="inlineStr"/>
    </row>
    <row r="639" ht="15" customHeight="1">
      <c r="A639" t="inlineStr">
        <is>
          <t>A 47193-2023</t>
        </is>
      </c>
      <c r="B639" s="1" t="n">
        <v>45202.3074537037</v>
      </c>
      <c r="C639" s="1" t="n">
        <v>46072</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59026-2024</t>
        </is>
      </c>
      <c r="B640" s="1" t="n">
        <v>45636.6875</v>
      </c>
      <c r="C640" s="1" t="n">
        <v>46072</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17465-2023</t>
        </is>
      </c>
      <c r="B641" s="1" t="n">
        <v>45036</v>
      </c>
      <c r="C641" s="1" t="n">
        <v>46072</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36635-2023</t>
        </is>
      </c>
      <c r="B642" s="1" t="n">
        <v>45153</v>
      </c>
      <c r="C642" s="1" t="n">
        <v>46072</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681-2024</t>
        </is>
      </c>
      <c r="B643" s="1" t="n">
        <v>45300</v>
      </c>
      <c r="C643" s="1" t="n">
        <v>46072</v>
      </c>
      <c r="D643" t="inlineStr">
        <is>
          <t>ÖREBRO LÄN</t>
        </is>
      </c>
      <c r="E643" t="inlineStr">
        <is>
          <t>ÖREBRO</t>
        </is>
      </c>
      <c r="G643" t="n">
        <v>3.3</v>
      </c>
      <c r="H643" t="n">
        <v>0</v>
      </c>
      <c r="I643" t="n">
        <v>0</v>
      </c>
      <c r="J643" t="n">
        <v>0</v>
      </c>
      <c r="K643" t="n">
        <v>0</v>
      </c>
      <c r="L643" t="n">
        <v>0</v>
      </c>
      <c r="M643" t="n">
        <v>0</v>
      </c>
      <c r="N643" t="n">
        <v>0</v>
      </c>
      <c r="O643" t="n">
        <v>0</v>
      </c>
      <c r="P643" t="n">
        <v>0</v>
      </c>
      <c r="Q643" t="n">
        <v>0</v>
      </c>
      <c r="R643" s="2" t="inlineStr"/>
    </row>
    <row r="644" ht="15" customHeight="1">
      <c r="A644" t="inlineStr">
        <is>
          <t>A 21097-2025</t>
        </is>
      </c>
      <c r="B644" s="1" t="n">
        <v>45777.63863425926</v>
      </c>
      <c r="C644" s="1" t="n">
        <v>46072</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row r="645">
      <c r="A645" t="inlineStr">
        <is>
          <t>A 35819-2024</t>
        </is>
      </c>
      <c r="B645" s="1" t="n">
        <v>45532</v>
      </c>
      <c r="C645" s="1" t="n">
        <v>46072</v>
      </c>
      <c r="D645" t="inlineStr">
        <is>
          <t>ÖREBRO LÄN</t>
        </is>
      </c>
      <c r="E645" t="inlineStr">
        <is>
          <t>ÖREBRO</t>
        </is>
      </c>
      <c r="G645" t="n">
        <v>6.4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2026-02-19T14:26:34Z</dcterms:created>
  <dcterms:modified xmlns:dcterms="http://purl.org/dc/terms/" xmlns:xsi="http://www.w3.org/2001/XMLSchema-instance" xsi:type="dcterms:W3CDTF">2026-02-19T14:26:35Z</dcterms:modified>
</cp:coreProperties>
</file>